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tcs\"/>
    </mc:Choice>
  </mc:AlternateContent>
  <xr:revisionPtr revIDLastSave="0" documentId="13_ncr:1_{C81E03D5-FD58-4A65-870E-63C5D0E4FDAD}" xr6:coauthVersionLast="47" xr6:coauthVersionMax="47" xr10:uidLastSave="{00000000-0000-0000-0000-000000000000}"/>
  <bookViews>
    <workbookView xWindow="28680" yWindow="-120" windowWidth="38640" windowHeight="21120" tabRatio="815" xr2:uid="{00000000-000D-0000-FFFF-FFFF00000000}"/>
  </bookViews>
  <sheets>
    <sheet name="Cover" sheetId="115" r:id="rId1"/>
    <sheet name="更新履歴" sheetId="116" r:id="rId2"/>
    <sheet name="TCS" sheetId="117" r:id="rId3"/>
    <sheet name="テストデータ" sheetId="120" r:id="rId4"/>
    <sheet name="引数チェック" sheetId="121" r:id="rId5"/>
    <sheet name="主処理" sheetId="12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2" hidden="1">#REF!</definedName>
    <definedName name="_xlnm._FilterDatabase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2" hidden="1">#REF!</definedName>
    <definedName name="_Regression_X" hidden="1">#REF!</definedName>
    <definedName name="_Sort" localSheetId="2" hidden="1">#REF!</definedName>
    <definedName name="_Sort" hidden="1">#REF!</definedName>
    <definedName name="Access_Button" hidden="1">"名簿_ｱｸｾｽ_List1"</definedName>
    <definedName name="AccessDatabase" hidden="1">"G:\_資金部\1総括\総括庶務\ｱｸｾｽ\ｱﾅｱｸｾｽ.MDB"</definedName>
    <definedName name="AS2DocOpenMode" hidden="1">"AS2DocumentEdit"</definedName>
    <definedName name="BS入力">[1]!BS入力</definedName>
    <definedName name="EditBack" localSheetId="2">#REF!</definedName>
    <definedName name="EditBack">#REF!</definedName>
    <definedName name="EditBar" localSheetId="2">#REF!</definedName>
    <definedName name="EditBar">#REF!</definedName>
    <definedName name="EditCommon" localSheetId="2">#REF!</definedName>
    <definedName name="EditCommon">#REF!</definedName>
    <definedName name="EditConf" localSheetId="2">#REF!</definedName>
    <definedName name="EditConf">#REF!</definedName>
    <definedName name="EditConfirm" localSheetId="2">#REF!</definedName>
    <definedName name="EditConfirm">#REF!</definedName>
    <definedName name="EditCopyUpdate" localSheetId="2">#REF!</definedName>
    <definedName name="EditCopyUpdate">#REF!</definedName>
    <definedName name="EditDelete" localSheetId="2">#REF!</definedName>
    <definedName name="EditDelete">#REF!</definedName>
    <definedName name="EditDeleteS" localSheetId="2">#REF!</definedName>
    <definedName name="EditDeleteS">#REF!</definedName>
    <definedName name="EditDeleteUpdate" localSheetId="2">#REF!</definedName>
    <definedName name="EditDeleteUpdate">#REF!</definedName>
    <definedName name="EditDetail" localSheetId="2">#REF!</definedName>
    <definedName name="EditDetail">#REF!</definedName>
    <definedName name="EditDetailTran" localSheetId="2">#REF!</definedName>
    <definedName name="EditDetailTran">#REF!</definedName>
    <definedName name="EditDetailTransaction" localSheetId="2">#REF!</definedName>
    <definedName name="EditDetailTransaction">#REF!</definedName>
    <definedName name="EditDownload" localSheetId="2">#REF!</definedName>
    <definedName name="EditDownload">#REF!</definedName>
    <definedName name="EditEdit" localSheetId="2">#REF!</definedName>
    <definedName name="EditEdit">#REF!</definedName>
    <definedName name="EditEditTran" localSheetId="2">#REF!</definedName>
    <definedName name="EditEditTran">#REF!</definedName>
    <definedName name="EditEditUpdate" localSheetId="2">#REF!</definedName>
    <definedName name="EditEditUpdate">#REF!</definedName>
    <definedName name="EditInitial" localSheetId="2">#REF!</definedName>
    <definedName name="EditInitial">#REF!</definedName>
    <definedName name="EditInsert" localSheetId="2">#REF!</definedName>
    <definedName name="EditInsert">#REF!</definedName>
    <definedName name="EditItemChange" localSheetId="2">#REF!</definedName>
    <definedName name="EditItemChange">#REF!</definedName>
    <definedName name="EditLoseFocus" localSheetId="2">#REF!</definedName>
    <definedName name="EditLoseFocus">#REF!</definedName>
    <definedName name="EditLoseFocus1" localSheetId="2">#REF!</definedName>
    <definedName name="EditLoseFocus1">#REF!</definedName>
    <definedName name="EditLoseFocus2" localSheetId="2">#REF!</definedName>
    <definedName name="EditLoseFocus2">#REF!</definedName>
    <definedName name="EditLoseFocus3" localSheetId="2">#REF!</definedName>
    <definedName name="EditLoseFocus3">#REF!</definedName>
    <definedName name="EditLoseFocus4" localSheetId="2">#REF!</definedName>
    <definedName name="EditLoseFocus4">#REF!</definedName>
    <definedName name="EditLoseFocus5" localSheetId="2">#REF!</definedName>
    <definedName name="EditLoseFocus5">#REF!</definedName>
    <definedName name="EditNew" localSheetId="2">#REF!</definedName>
    <definedName name="EditNew">#REF!</definedName>
    <definedName name="EditNewS" localSheetId="2">#REF!</definedName>
    <definedName name="EditNewS">#REF!</definedName>
    <definedName name="EditNewTran" localSheetId="2">#REF!</definedName>
    <definedName name="EditNewTran">#REF!</definedName>
    <definedName name="EditPrev" localSheetId="2">#REF!</definedName>
    <definedName name="EditPrev">#REF!</definedName>
    <definedName name="EditPrint" localSheetId="2">#REF!</definedName>
    <definedName name="EditPrint">#REF!</definedName>
    <definedName name="EditReset" localSheetId="2">#REF!</definedName>
    <definedName name="EditReset">#REF!</definedName>
    <definedName name="EditRetrieve" localSheetId="2">#REF!</definedName>
    <definedName name="EditRetrieve">#REF!</definedName>
    <definedName name="EditUpdateS" localSheetId="2">#REF!</definedName>
    <definedName name="EditUpdateS">#REF!</definedName>
    <definedName name="EditUpload" localSheetId="2">#REF!</definedName>
    <definedName name="EditUpload">#REF!</definedName>
    <definedName name="EditValuesList" localSheetId="2">#REF!</definedName>
    <definedName name="EditValuesList">#REF!</definedName>
    <definedName name="Event" localSheetId="2">#REF!</definedName>
    <definedName name="Event">#REF!</definedName>
    <definedName name="fl01AS1" localSheetId="2" hidden="1">[2]分录!#REF!</definedName>
    <definedName name="fl01AS1" hidden="1">[2]分录!#REF!</definedName>
    <definedName name="fl04AF1" localSheetId="2" hidden="1">[3]分录!#REF!</definedName>
    <definedName name="fl04AF1" hidden="1">[3]分录!#REF!</definedName>
    <definedName name="HeaderItemChanged" localSheetId="2">#REF!</definedName>
    <definedName name="HeaderItemChanged">#REF!</definedName>
    <definedName name="PL入力">[1]!PL入力</definedName>
    <definedName name="test" localSheetId="2">#REF!</definedName>
    <definedName name="tes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dateConfirm" localSheetId="2">#REF!</definedName>
    <definedName name="UpdateConfirm">#REF!</definedName>
    <definedName name="UpdatePrint" localSheetId="2">#REF!</definedName>
    <definedName name="UpdatePrint">#REF!</definedName>
    <definedName name="ValidationCommon" localSheetId="2">#REF!</definedName>
    <definedName name="ValidationCommon">#REF!</definedName>
    <definedName name="ValidationConfirm" localSheetId="2">#REF!</definedName>
    <definedName name="ValidationConfirm">#REF!</definedName>
    <definedName name="ValidationDelete" localSheetId="2">#REF!</definedName>
    <definedName name="ValidationDelete">#REF!</definedName>
    <definedName name="ValidationDetail" localSheetId="2">#REF!</definedName>
    <definedName name="ValidationDetail">#REF!</definedName>
    <definedName name="ValidationEdit" localSheetId="2">#REF!</definedName>
    <definedName name="ValidationEdit">#REF!</definedName>
    <definedName name="ValidationLoseFocus" localSheetId="2">#REF!</definedName>
    <definedName name="ValidationLoseFocus">#REF!</definedName>
    <definedName name="ValidationPrint" localSheetId="2">#REF!</definedName>
    <definedName name="ValidationPrint">#REF!</definedName>
    <definedName name="ValidationRetrieve" localSheetId="2">#REF!</definedName>
    <definedName name="ValidationRetrieve">#REF!</definedName>
    <definedName name="ValidRet" localSheetId="2">#REF!</definedName>
    <definedName name="ValidRet">#REF!</definedName>
    <definedName name="xxjj36" localSheetId="2">[4]已审CF!#REF!</definedName>
    <definedName name="xxjj36">[4]已审CF!#REF!</definedName>
    <definedName name="xxjj44" localSheetId="2">[4]已审CF!#REF!</definedName>
    <definedName name="xxjj44">[4]已审CF!#REF!</definedName>
    <definedName name="xxjj48" localSheetId="2">[4]已审CF!#REF!</definedName>
    <definedName name="xxjj48">[4]已审CF!#REF!</definedName>
    <definedName name="コメント入力">[1]!コメント入力</definedName>
    <definedName name="データ形式">[5]!テーブル56[ファイルデータ形式]</definedName>
    <definedName name="データ型">[5]!テーブル5[データ型]</definedName>
    <definedName name="データ型2">[5]!テーブル69[データ型]</definedName>
    <definedName name="デリミタ">[5]!テーブル3[デリミタ]</definedName>
    <definedName name="改行コード">[5]!テーブル6[改行コード]</definedName>
    <definedName name="固定可変">[5]!テーブル43[固定長/可変長]</definedName>
    <definedName name="関連表" localSheetId="2" hidden="1">#REF!</definedName>
    <definedName name="関連表" hidden="1">#REF!</definedName>
    <definedName name="稼働日" localSheetId="2">#REF!</definedName>
    <definedName name="稼働日">#REF!</definedName>
    <definedName name="客户">[6]索引!$C$4</definedName>
    <definedName name="栏目设置">[6]索引!$C$8</definedName>
    <definedName name="売上入力">[1]!売上入力</definedName>
    <definedName name="末尾デリミタ">[5]!テーブル7[末尾デリミタ文字]</definedName>
    <definedName name="期间">[6]索引!$C$6</definedName>
    <definedName name="人員入力">[1]!人員入力</definedName>
    <definedName name="入出力対象">[5]!テーブル4[入出力対象]</definedName>
    <definedName name="深夜開始">[7]初期値!$G$3</definedName>
    <definedName name="始業時間">[7]初期値!$C$3</definedName>
    <definedName name="文字コード">[5]!テーブル1[文字コード]</definedName>
    <definedName name="曜日" localSheetId="2">#REF!</definedName>
    <definedName name="曜日">#REF!</definedName>
    <definedName name="应付票据mxb" localSheetId="2" hidden="1">#REF!</definedName>
    <definedName name="应付票据mxb" hidden="1">#REF!</definedName>
    <definedName name="終業時間">[7]初期値!$F$3</definedName>
    <definedName name="総表印刷">[1]!総表印刷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117" l="1"/>
  <c r="J2" i="117"/>
  <c r="G2" i="117"/>
  <c r="L2" i="117" l="1"/>
  <c r="G3" i="117"/>
  <c r="J3" i="1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F5" authorId="0" shapeId="0" xr:uid="{5C1326A4-549E-413B-BE9E-ED5283DCD2F7}">
      <text>
        <r>
          <rPr>
            <sz val="9"/>
            <color indexed="81"/>
            <rFont val="MS P ゴシック"/>
            <family val="3"/>
            <charset val="128"/>
          </rPr>
          <t>結果が保存されているシート名を記載する。
ファイルがない場合は「なし」と記載してください</t>
        </r>
      </text>
    </comment>
  </commentList>
</comments>
</file>

<file path=xl/sharedStrings.xml><?xml version="1.0" encoding="utf-8"?>
<sst xmlns="http://schemas.openxmlformats.org/spreadsheetml/2006/main" count="14700" uniqueCount="656">
  <si>
    <t>確認者</t>
    <rPh sb="0" eb="2">
      <t>カクニン</t>
    </rPh>
    <rPh sb="2" eb="3">
      <t>シャ</t>
    </rPh>
    <phoneticPr fontId="3"/>
  </si>
  <si>
    <t>作成者</t>
    <rPh sb="0" eb="3">
      <t>サクセイシャ</t>
    </rPh>
    <phoneticPr fontId="3"/>
  </si>
  <si>
    <t>日付</t>
    <rPh sb="0" eb="2">
      <t>ヒヅケ</t>
    </rPh>
    <phoneticPr fontId="3"/>
  </si>
  <si>
    <t>IC</t>
    <phoneticPr fontId="3"/>
  </si>
  <si>
    <t>更新者</t>
    <rPh sb="0" eb="3">
      <t>コウシンシャ</t>
    </rPh>
    <phoneticPr fontId="3"/>
  </si>
  <si>
    <t>モジュール名</t>
    <rPh sb="5" eb="6">
      <t>メイ</t>
    </rPh>
    <phoneticPr fontId="11"/>
  </si>
  <si>
    <t>プログラムID</t>
    <phoneticPr fontId="11"/>
  </si>
  <si>
    <t>プログラム名</t>
    <phoneticPr fontId="11"/>
  </si>
  <si>
    <t>Project Name</t>
    <phoneticPr fontId="11"/>
  </si>
  <si>
    <t>Yamaha-motor Next Stage</t>
    <phoneticPr fontId="11"/>
  </si>
  <si>
    <t>Workstream</t>
    <phoneticPr fontId="11"/>
  </si>
  <si>
    <t>Document Scope</t>
    <phoneticPr fontId="11"/>
  </si>
  <si>
    <t>TCS作成</t>
    <rPh sb="3" eb="5">
      <t>サクセイ</t>
    </rPh>
    <phoneticPr fontId="11"/>
  </si>
  <si>
    <t>承認者</t>
    <rPh sb="0" eb="3">
      <t>ショウニンシャ</t>
    </rPh>
    <phoneticPr fontId="3"/>
  </si>
  <si>
    <t>名前</t>
    <rPh sb="0" eb="2">
      <t>ナマエ</t>
    </rPh>
    <phoneticPr fontId="3"/>
  </si>
  <si>
    <t>テスト実施</t>
    <rPh sb="3" eb="5">
      <t>ジッシ</t>
    </rPh>
    <phoneticPr fontId="11"/>
  </si>
  <si>
    <t>テスト担当者</t>
    <rPh sb="3" eb="6">
      <t>タントウシャ</t>
    </rPh>
    <phoneticPr fontId="3"/>
  </si>
  <si>
    <t>Ver</t>
    <phoneticPr fontId="3"/>
  </si>
  <si>
    <t>更新日</t>
    <rPh sb="0" eb="2">
      <t>コウシン</t>
    </rPh>
    <rPh sb="2" eb="3">
      <t>ビ</t>
    </rPh>
    <phoneticPr fontId="3"/>
  </si>
  <si>
    <t>更新シート</t>
    <rPh sb="0" eb="2">
      <t>コウシン</t>
    </rPh>
    <phoneticPr fontId="3"/>
  </si>
  <si>
    <t>更新内容</t>
    <rPh sb="0" eb="2">
      <t>コウシン</t>
    </rPh>
    <rPh sb="2" eb="4">
      <t>ナイヨウ</t>
    </rPh>
    <phoneticPr fontId="3"/>
  </si>
  <si>
    <t>確認日</t>
    <rPh sb="0" eb="2">
      <t>カクニン</t>
    </rPh>
    <rPh sb="2" eb="3">
      <t>ビ</t>
    </rPh>
    <phoneticPr fontId="11"/>
  </si>
  <si>
    <t>確認者</t>
    <rPh sb="0" eb="2">
      <t>カクニン</t>
    </rPh>
    <rPh sb="2" eb="3">
      <t>シャ</t>
    </rPh>
    <phoneticPr fontId="11"/>
  </si>
  <si>
    <t>承認日</t>
    <rPh sb="0" eb="2">
      <t>ショウニン</t>
    </rPh>
    <rPh sb="2" eb="3">
      <t>ビ</t>
    </rPh>
    <phoneticPr fontId="11"/>
  </si>
  <si>
    <t>承認者</t>
    <rPh sb="0" eb="2">
      <t>ショウニン</t>
    </rPh>
    <rPh sb="2" eb="3">
      <t>シャ</t>
    </rPh>
    <phoneticPr fontId="11"/>
  </si>
  <si>
    <t>備考</t>
    <rPh sb="0" eb="2">
      <t>ビコウ</t>
    </rPh>
    <phoneticPr fontId="3"/>
  </si>
  <si>
    <t>*</t>
    <phoneticPr fontId="11"/>
  </si>
  <si>
    <t>テスト概要</t>
    <rPh sb="3" eb="5">
      <t>ｶﾞｲﾖｳ</t>
    </rPh>
    <phoneticPr fontId="18" type="noConversion"/>
  </si>
  <si>
    <t>テストケース数</t>
    <rPh sb="6" eb="7">
      <t>ｽｳ</t>
    </rPh>
    <phoneticPr fontId="18" type="noConversion"/>
  </si>
  <si>
    <t>テスト実施数</t>
    <rPh sb="3" eb="5">
      <t>ｼﾞｯｼ</t>
    </rPh>
    <rPh sb="5" eb="6">
      <t>ｽｳ</t>
    </rPh>
    <phoneticPr fontId="18" type="noConversion"/>
  </si>
  <si>
    <t>テスト未実施数</t>
    <rPh sb="3" eb="6">
      <t>ﾐｼﾞｯｼ</t>
    </rPh>
    <rPh sb="6" eb="7">
      <t>ｽｳ</t>
    </rPh>
    <phoneticPr fontId="18" type="noConversion"/>
  </si>
  <si>
    <t>合格ケース数</t>
    <rPh sb="0" eb="2">
      <t>ｺﾞｳｶｸ</t>
    </rPh>
    <rPh sb="5" eb="6">
      <t>ｽｳ</t>
    </rPh>
    <phoneticPr fontId="18" type="noConversion"/>
  </si>
  <si>
    <t>進捗率</t>
    <rPh sb="0" eb="2">
      <t>ｼﾝﾁｮｸ</t>
    </rPh>
    <rPh sb="2" eb="3">
      <t>ﾘﾂ</t>
    </rPh>
    <phoneticPr fontId="18" type="noConversion"/>
  </si>
  <si>
    <t>ケース合格率</t>
    <rPh sb="3" eb="5">
      <t>ｺﾞｳｶｸ</t>
    </rPh>
    <rPh sb="5" eb="6">
      <t>ﾘﾂ</t>
    </rPh>
    <phoneticPr fontId="18" type="noConversion"/>
  </si>
  <si>
    <t>開発者</t>
    <rPh sb="0" eb="3">
      <t>ｶｲﾊﾂｼｬ</t>
    </rPh>
    <phoneticPr fontId="18" type="noConversion"/>
  </si>
  <si>
    <t>検収者</t>
    <rPh sb="0" eb="2">
      <t>ｹﾝｼｭｳ</t>
    </rPh>
    <rPh sb="2" eb="3">
      <t>ｼｬ</t>
    </rPh>
    <phoneticPr fontId="18" type="noConversion"/>
  </si>
  <si>
    <t>No</t>
    <phoneticPr fontId="18" type="noConversion"/>
  </si>
  <si>
    <t>テスト動作</t>
  </si>
  <si>
    <t>項目名</t>
    <rPh sb="0" eb="2">
      <t>ｺｳﾓｸ</t>
    </rPh>
    <rPh sb="2" eb="3">
      <t>ﾒｲ</t>
    </rPh>
    <phoneticPr fontId="18" type="noConversion"/>
  </si>
  <si>
    <t>テストケース</t>
    <phoneticPr fontId="18" type="noConversion"/>
  </si>
  <si>
    <t>チェックポイント</t>
    <phoneticPr fontId="18" type="noConversion"/>
  </si>
  <si>
    <t>確認資料</t>
    <rPh sb="0" eb="4">
      <t>ｶｸﾆﾝｼﾘｮｳ</t>
    </rPh>
    <phoneticPr fontId="18" type="noConversion"/>
  </si>
  <si>
    <t>生成AI/手動</t>
    <rPh sb="0" eb="2">
      <t>ｾｲｾｲ</t>
    </rPh>
    <rPh sb="5" eb="7">
      <t>ｼｭﾄﾞｳ</t>
    </rPh>
    <phoneticPr fontId="18" type="noConversion"/>
  </si>
  <si>
    <t>テスト方法</t>
    <rPh sb="3" eb="5">
      <t>ﾎｳﾎｳ</t>
    </rPh>
    <phoneticPr fontId="18" type="noConversion"/>
  </si>
  <si>
    <t>エビデンス
要否</t>
    <rPh sb="6" eb="8">
      <t>ﾖｳﾋ</t>
    </rPh>
    <phoneticPr fontId="18" type="noConversion"/>
  </si>
  <si>
    <t>ケース
レビュー</t>
    <phoneticPr fontId="18" type="noConversion"/>
  </si>
  <si>
    <t>テスト担当者</t>
    <rPh sb="3" eb="6">
      <t>ﾀﾝﾄｳｼｬ</t>
    </rPh>
    <phoneticPr fontId="18" type="noConversion"/>
  </si>
  <si>
    <t>テスト
結果</t>
    <rPh sb="4" eb="6">
      <t>ｹｯｶ</t>
    </rPh>
    <phoneticPr fontId="18" type="noConversion"/>
  </si>
  <si>
    <t>テスト実施
レビュー</t>
    <rPh sb="3" eb="5">
      <t>ｼﾞｯｼ</t>
    </rPh>
    <phoneticPr fontId="18" type="noConversion"/>
  </si>
  <si>
    <t>コメント</t>
    <phoneticPr fontId="18" type="noConversion"/>
  </si>
  <si>
    <t>引数</t>
  </si>
  <si>
    <t>引数.処理識別がブランクの場合</t>
  </si>
  <si>
    <t>生成AI</t>
  </si>
  <si>
    <t>引数.処理識別がNULLの場合</t>
  </si>
  <si>
    <t>引数.品目番号がブランクの場合</t>
  </si>
  <si>
    <t>引数.品目番号がNULLの場合</t>
  </si>
  <si>
    <t>引数.供給者がブランクの場合</t>
  </si>
  <si>
    <t>引数.供給者がNULLの場合</t>
  </si>
  <si>
    <t>引数.使用者がブランクの場合</t>
  </si>
  <si>
    <t>引数.使用者がNULLの場合</t>
  </si>
  <si>
    <t>検索</t>
  </si>
  <si>
    <t>品目マスター</t>
  </si>
  <si>
    <t>MRP情報値</t>
  </si>
  <si>
    <t>テーブル結合</t>
  </si>
  <si>
    <t>両テーブルの結合条件（品目番号、供給者、使用者）が適切に処理されている</t>
  </si>
  <si>
    <t>検索結果なし</t>
  </si>
  <si>
    <t>品目クラスチェック</t>
  </si>
  <si>
    <t>品目クラス</t>
  </si>
  <si>
    <t>品目ステータスチェック</t>
  </si>
  <si>
    <t>品目ステータス</t>
  </si>
  <si>
    <t>フラグ設定</t>
  </si>
  <si>
    <t>LD11</t>
  </si>
  <si>
    <t>品目タイプフラグ2、MRP需要方針フラグ5、Wビン管理フラグ7が'Y'に設定されている</t>
  </si>
  <si>
    <t>LD41</t>
  </si>
  <si>
    <t>品目タイプフラグ2、品目クラスフラグ3、MRP需要方針フラグ5、Wビン管理フラグ7が'Y'に設定されている</t>
  </si>
  <si>
    <t>LD71</t>
  </si>
  <si>
    <t>品目タイプフラグ2、品目クラスフラグ3、MRP需要方針フラグ6、Wビン管理フラグ8が'Y'に設定されている</t>
  </si>
  <si>
    <t>LD21等</t>
  </si>
  <si>
    <t>品目タイプフラグ1が'Y'に設定されている</t>
  </si>
  <si>
    <t>LD14</t>
  </si>
  <si>
    <t>品目タイプフラグ1、Wビン管理フラグ7、AIRSサインフラグ9が'Y'に設定されている</t>
  </si>
  <si>
    <t>LD24</t>
  </si>
  <si>
    <t>LD44</t>
  </si>
  <si>
    <t>品目タイプフラグ1、AIRSサインフラグ9が'Y'に設定されている</t>
  </si>
  <si>
    <t>LD74</t>
  </si>
  <si>
    <t>品目タイプフラグ1、Wビン管理フラグ8が'Y'に設定されている</t>
  </si>
  <si>
    <t>LD78等</t>
  </si>
  <si>
    <t>品目タイプフラグ2が'Y'に設定されている</t>
  </si>
  <si>
    <t>LD81</t>
  </si>
  <si>
    <t>品目クラスフラグ4が'Y'に設定されている</t>
  </si>
  <si>
    <t>品目タイプフラグ1</t>
  </si>
  <si>
    <t>品目タイプ</t>
  </si>
  <si>
    <t>品目タイプフラグ2</t>
  </si>
  <si>
    <t>品目クラスフラグ3</t>
  </si>
  <si>
    <t>品目クラスフラグ4</t>
  </si>
  <si>
    <t>MRP需要方針フラグ5</t>
  </si>
  <si>
    <t>MRP需要方針コード</t>
  </si>
  <si>
    <t>MRP需要方針フラグ6</t>
  </si>
  <si>
    <t>Wビン管理フラグ7</t>
  </si>
  <si>
    <t>Wビン管理コード</t>
  </si>
  <si>
    <t>Wビン管理フラグ8</t>
  </si>
  <si>
    <t>AIRSサインフラグ9</t>
  </si>
  <si>
    <t>AIRSサイン</t>
  </si>
  <si>
    <t>正常終了</t>
  </si>
  <si>
    <t>処理ステータス</t>
  </si>
  <si>
    <t>正常終了時の処理ステータス</t>
  </si>
  <si>
    <t>処理ステータスが0で設定されている</t>
  </si>
  <si>
    <t>SQLコード</t>
  </si>
  <si>
    <t>正常終了時のSQLコード</t>
  </si>
  <si>
    <t>SQLコードが'0'で設定されている</t>
  </si>
  <si>
    <t>エラーコード</t>
  </si>
  <si>
    <t>正常終了時のエラーコード</t>
  </si>
  <si>
    <t>エラーコードが'0'で設定されている</t>
  </si>
  <si>
    <t>エラーメッセージ</t>
  </si>
  <si>
    <t>正常終了時のエラーメッセージ</t>
  </si>
  <si>
    <t>エラーメッセージがスペースで設定されている</t>
  </si>
  <si>
    <t>エラー位置</t>
  </si>
  <si>
    <t>正常終了時のエラー位置</t>
  </si>
  <si>
    <t>エラー位置がスペースで設定されている</t>
  </si>
  <si>
    <t>正常終了時の品目クラス</t>
  </si>
  <si>
    <t>取得した品目クラスが正しく設定されている</t>
  </si>
  <si>
    <t>正常終了時の品目ステータス</t>
  </si>
  <si>
    <t>取得した品目ステータスが正しく設定されている</t>
  </si>
  <si>
    <t>正常終了時のMRP需要方針コード</t>
  </si>
  <si>
    <t>取得したMRP需要方針コードが正しく設定されている</t>
  </si>
  <si>
    <t>正常終了時のAIRSサイン</t>
  </si>
  <si>
    <t>取得したAIRSサインが正しく設定されている</t>
  </si>
  <si>
    <t>変動安全在庫数</t>
  </si>
  <si>
    <t>正常終了時の変動安全在庫数</t>
  </si>
  <si>
    <t>取得した変動安全在庫数が正しく設定されている</t>
  </si>
  <si>
    <t>シンクロ管理コード</t>
  </si>
  <si>
    <t>正常終了時のシンクロ管理コード</t>
  </si>
  <si>
    <t>取得したシンクロ管理コードが正しく設定されている</t>
  </si>
  <si>
    <t>SQLエラー発生時の処理ステータス</t>
  </si>
  <si>
    <t>処理ステータスが-1で設定されている</t>
  </si>
  <si>
    <t>PGMエラー発生時の処理ステータス</t>
  </si>
  <si>
    <t>処理ステータスが-2で設定されている</t>
  </si>
  <si>
    <t>LDAS0300</t>
    <phoneticPr fontId="3"/>
  </si>
  <si>
    <t>Valid／品目妥当性チェック</t>
    <phoneticPr fontId="3"/>
  </si>
  <si>
    <t>要</t>
  </si>
  <si>
    <t>3. 処理パターン</t>
    <phoneticPr fontId="3"/>
  </si>
  <si>
    <t>2.検索(select)</t>
    <phoneticPr fontId="3"/>
  </si>
  <si>
    <t>1.引数チェック</t>
    <phoneticPr fontId="3"/>
  </si>
  <si>
    <t>4.戻り値</t>
    <phoneticPr fontId="3"/>
  </si>
  <si>
    <t>戻る</t>
    <rPh sb="0" eb="1">
      <t>モド</t>
    </rPh>
    <phoneticPr fontId="3"/>
  </si>
  <si>
    <t>引数チェック</t>
    <phoneticPr fontId="3"/>
  </si>
  <si>
    <t>No.</t>
    <phoneticPr fontId="3"/>
  </si>
  <si>
    <t>テスト項目</t>
    <rPh sb="3" eb="5">
      <t>コウモク</t>
    </rPh>
    <phoneticPr fontId="3"/>
  </si>
  <si>
    <t>● 仕様：</t>
    <rPh sb="2" eb="4">
      <t>シヨウ</t>
    </rPh>
    <phoneticPr fontId="3"/>
  </si>
  <si>
    <t>【実行形式】</t>
    <rPh sb="1" eb="3">
      <t>ジッコウ</t>
    </rPh>
    <rPh sb="3" eb="5">
      <t>ケイシキ</t>
    </rPh>
    <phoneticPr fontId="3"/>
  </si>
  <si>
    <t>更新日時</t>
  </si>
  <si>
    <t>更新者</t>
  </si>
  <si>
    <t>【戻り値】</t>
    <rPh sb="1" eb="2">
      <t>モド</t>
    </rPh>
    <rPh sb="3" eb="4">
      <t>チ</t>
    </rPh>
    <phoneticPr fontId="3"/>
  </si>
  <si>
    <t>rn_status</t>
  </si>
  <si>
    <t>rs_sql_code</t>
  </si>
  <si>
    <t xml:space="preserve"> </t>
  </si>
  <si>
    <t>rs_err_code</t>
  </si>
  <si>
    <t>rs_err_msg</t>
  </si>
  <si>
    <t>rs_err_code</t>
    <phoneticPr fontId="3"/>
  </si>
  <si>
    <t>テストデータ</t>
    <phoneticPr fontId="3"/>
  </si>
  <si>
    <t>色説明 ：</t>
    <rPh sb="0" eb="1">
      <t>イロ</t>
    </rPh>
    <rPh sb="1" eb="3">
      <t>セツメイ</t>
    </rPh>
    <phoneticPr fontId="3"/>
  </si>
  <si>
    <t>条件項目</t>
    <rPh sb="0" eb="2">
      <t>ジョウケン</t>
    </rPh>
    <rPh sb="2" eb="4">
      <t>コウモク</t>
    </rPh>
    <phoneticPr fontId="3"/>
  </si>
  <si>
    <t>使用しない項目</t>
    <rPh sb="0" eb="2">
      <t>シヨウ</t>
    </rPh>
    <rPh sb="5" eb="7">
      <t>コウモク</t>
    </rPh>
    <phoneticPr fontId="3"/>
  </si>
  <si>
    <t>対象外の値</t>
    <rPh sb="0" eb="3">
      <t>タイショウガイ</t>
    </rPh>
    <rPh sb="4" eb="5">
      <t>アタイ</t>
    </rPh>
    <phoneticPr fontId="3"/>
  </si>
  <si>
    <t>更新項目</t>
    <rPh sb="0" eb="2">
      <t>コウシン</t>
    </rPh>
    <rPh sb="2" eb="4">
      <t>コウモク</t>
    </rPh>
    <phoneticPr fontId="3"/>
  </si>
  <si>
    <t>追加項目</t>
    <rPh sb="0" eb="2">
      <t>ツイカ</t>
    </rPh>
    <rPh sb="2" eb="4">
      <t>コウモク</t>
    </rPh>
    <phoneticPr fontId="3"/>
  </si>
  <si>
    <t>削除項目</t>
    <rPh sb="0" eb="2">
      <t>サクジョ</t>
    </rPh>
    <rPh sb="2" eb="4">
      <t>コウモク</t>
    </rPh>
    <phoneticPr fontId="3"/>
  </si>
  <si>
    <t>検索項目</t>
    <rPh sb="0" eb="2">
      <t>ケンサク</t>
    </rPh>
    <rPh sb="2" eb="4">
      <t>コウモク</t>
    </rPh>
    <phoneticPr fontId="3"/>
  </si>
  <si>
    <t>●</t>
    <phoneticPr fontId="3"/>
  </si>
  <si>
    <t>データNo</t>
    <phoneticPr fontId="3"/>
  </si>
  <si>
    <t>抽出レコード</t>
    <rPh sb="0" eb="2">
      <t>チュウシュツ</t>
    </rPh>
    <phoneticPr fontId="3"/>
  </si>
  <si>
    <t>品目番号</t>
    <rPh sb="0" eb="2">
      <t>ヒンモク</t>
    </rPh>
    <rPh sb="2" eb="4">
      <t>バンゴウ</t>
    </rPh>
    <phoneticPr fontId="3"/>
  </si>
  <si>
    <t>供給者</t>
    <rPh sb="0" eb="3">
      <t>キョウキュウシャ</t>
    </rPh>
    <phoneticPr fontId="3"/>
  </si>
  <si>
    <t>使用者</t>
    <rPh sb="0" eb="3">
      <t>シヨウシャ</t>
    </rPh>
    <phoneticPr fontId="3"/>
  </si>
  <si>
    <t>2</t>
    <phoneticPr fontId="3"/>
  </si>
  <si>
    <t>7</t>
    <phoneticPr fontId="3"/>
  </si>
  <si>
    <t>8</t>
    <phoneticPr fontId="3"/>
  </si>
  <si>
    <t>9</t>
    <phoneticPr fontId="3"/>
  </si>
  <si>
    <t>3</t>
    <phoneticPr fontId="3"/>
  </si>
  <si>
    <t>1</t>
    <phoneticPr fontId="3"/>
  </si>
  <si>
    <t>4</t>
    <phoneticPr fontId="3"/>
  </si>
  <si>
    <t>1234</t>
    <phoneticPr fontId="3"/>
  </si>
  <si>
    <t>1</t>
  </si>
  <si>
    <t>4</t>
  </si>
  <si>
    <t>5</t>
  </si>
  <si>
    <t>7</t>
  </si>
  <si>
    <t>手動</t>
  </si>
  <si>
    <t>OK</t>
  </si>
  <si>
    <t>1~2</t>
    <phoneticPr fontId="23" type="noConversion"/>
  </si>
  <si>
    <t>确定処理識別</t>
    <phoneticPr fontId="23" type="noConversion"/>
  </si>
  <si>
    <t>SELECT * FROM LDAS0300('','10225137000080','0800','0800')</t>
    <phoneticPr fontId="23" type="noConversion"/>
  </si>
  <si>
    <t>rs_err_focus</t>
  </si>
  <si>
    <t>rs_item_class</t>
  </si>
  <si>
    <t>rs_item_status</t>
  </si>
  <si>
    <t>rs_demand_policy_code</t>
  </si>
  <si>
    <t>rs_airs_sign</t>
  </si>
  <si>
    <t>rn_float_safety_stock_qty</t>
  </si>
  <si>
    <t>rs_synchro_control_code</t>
  </si>
  <si>
    <t>Specify the Deal Flag.</t>
  </si>
  <si>
    <t xml:space="preserve">operation_id </t>
  </si>
  <si>
    <t>3~4</t>
    <phoneticPr fontId="23" type="noConversion"/>
  </si>
  <si>
    <t>确定品目番号</t>
    <phoneticPr fontId="23" type="noConversion"/>
  </si>
  <si>
    <t>SELECT * FROM LDAS0300(null,'10225137000080','0800','0800')</t>
  </si>
  <si>
    <r>
      <t>引数</t>
    </r>
    <r>
      <rPr>
        <sz val="10"/>
        <color rgb="FF008000"/>
        <rFont val="等线"/>
        <family val="3"/>
        <charset val="134"/>
      </rPr>
      <t>.</t>
    </r>
    <r>
      <rPr>
        <sz val="10"/>
        <color indexed="17"/>
        <rFont val="Meiryo UI"/>
        <family val="3"/>
        <charset val="128"/>
      </rPr>
      <t>処理識別</t>
    </r>
    <r>
      <rPr>
        <sz val="10"/>
        <color rgb="FF008000"/>
        <rFont val="等线"/>
        <family val="3"/>
        <charset val="134"/>
      </rPr>
      <t>がスペースの場合</t>
    </r>
    <phoneticPr fontId="23" type="noConversion"/>
  </si>
  <si>
    <r>
      <t>引数</t>
    </r>
    <r>
      <rPr>
        <sz val="10"/>
        <color rgb="FF008000"/>
        <rFont val="等线"/>
        <family val="3"/>
        <charset val="134"/>
      </rPr>
      <t>.</t>
    </r>
    <r>
      <rPr>
        <sz val="10"/>
        <color indexed="17"/>
        <rFont val="Meiryo UI"/>
        <family val="3"/>
        <charset val="128"/>
      </rPr>
      <t xml:space="preserve">処理識别がNULLの場合 </t>
    </r>
    <phoneticPr fontId="23" type="noConversion"/>
  </si>
  <si>
    <t>itemno</t>
  </si>
  <si>
    <t>SELECT * FROM LDAS0300('LD11',' ','0800','0800')</t>
  </si>
  <si>
    <t>引数.部品番号がNULL の場合</t>
    <phoneticPr fontId="23" type="noConversion"/>
  </si>
  <si>
    <t>SELECT * FROM LDAS0300('LD11',NULL,'0800','0800')</t>
  </si>
  <si>
    <t>5~6</t>
    <phoneticPr fontId="23" type="noConversion"/>
  </si>
  <si>
    <t>确定供給者</t>
    <phoneticPr fontId="23" type="noConversion"/>
  </si>
  <si>
    <t>引数.部品番号がスペースの場合</t>
    <phoneticPr fontId="23" type="noConversion"/>
  </si>
  <si>
    <t>引数.供給者がスペースの場合</t>
    <phoneticPr fontId="23" type="noConversion"/>
  </si>
  <si>
    <t>SELECT * FROM LDAS0300('LD11','10225137000080',' ','0800')</t>
  </si>
  <si>
    <t>supplier</t>
  </si>
  <si>
    <t>引数.供給者がNULL の場合</t>
    <phoneticPr fontId="23" type="noConversion"/>
  </si>
  <si>
    <t>SELECT * FROM LDAS0300('LD11','10225137000080',NULL,'0800')</t>
  </si>
  <si>
    <t>rs_err_msg</t>
    <phoneticPr fontId="23" type="noConversion"/>
  </si>
  <si>
    <t>确定使用者</t>
    <phoneticPr fontId="23" type="noConversion"/>
  </si>
  <si>
    <t>引数.使用者がスペースの場合</t>
    <phoneticPr fontId="23" type="noConversion"/>
  </si>
  <si>
    <t>引数.使用者がNULL の場合</t>
    <phoneticPr fontId="23" type="noConversion"/>
  </si>
  <si>
    <t>SELECT * FROM LDAS0300('LD11','10225137000080','0800',' ')</t>
  </si>
  <si>
    <t>usercd</t>
  </si>
  <si>
    <t>SELECT * FROM LDAS0300('LD11','10225137000080','0800',NULL)</t>
  </si>
  <si>
    <t>7~8</t>
    <phoneticPr fontId="23" type="noConversion"/>
  </si>
  <si>
    <t>処理</t>
    <phoneticPr fontId="3"/>
  </si>
  <si>
    <t>検索1</t>
    <phoneticPr fontId="3"/>
  </si>
  <si>
    <t>正常終了</t>
    <phoneticPr fontId="3"/>
  </si>
  <si>
    <t>【実行形式】</t>
    <phoneticPr fontId="3"/>
  </si>
  <si>
    <t>更新カウンタ</t>
  </si>
  <si>
    <t>登録日時</t>
  </si>
  <si>
    <t>登録者</t>
  </si>
  <si>
    <t>登録PGID</t>
  </si>
  <si>
    <t>更新PGID</t>
  </si>
  <si>
    <t>fix_period_id</t>
  </si>
  <si>
    <t>update_counter</t>
  </si>
  <si>
    <t>create_datetime</t>
  </si>
  <si>
    <t>create_author</t>
  </si>
  <si>
    <t>create_pgmid</t>
  </si>
  <si>
    <t>update_datetime</t>
  </si>
  <si>
    <t>update_author</t>
  </si>
  <si>
    <t>update_pgmid</t>
  </si>
  <si>
    <t>検索対象外</t>
    <phoneticPr fontId="3"/>
  </si>
  <si>
    <t>0</t>
  </si>
  <si>
    <t>検索対象</t>
    <phoneticPr fontId="3"/>
  </si>
  <si>
    <t>01</t>
  </si>
  <si>
    <t>品目マスターから指定品目の情報を正常に検索</t>
    <phoneticPr fontId="3"/>
  </si>
  <si>
    <r>
      <t>検索</t>
    </r>
    <r>
      <rPr>
        <b/>
        <sz val="10"/>
        <color rgb="FFFFFFFF"/>
        <rFont val="Meiryo UI"/>
        <family val="2"/>
      </rPr>
      <t>2</t>
    </r>
    <phoneticPr fontId="3"/>
  </si>
  <si>
    <t>MRP情報値から指定品目のMRP情報を正常に検索</t>
    <phoneticPr fontId="3"/>
  </si>
  <si>
    <t>主処理</t>
  </si>
  <si>
    <t>item_type</t>
  </si>
  <si>
    <t>item_class</t>
  </si>
  <si>
    <t>item_class_sub</t>
  </si>
  <si>
    <t>item_status</t>
  </si>
  <si>
    <t>weight</t>
  </si>
  <si>
    <t>add_weight</t>
  </si>
  <si>
    <t>bom_charge_code</t>
  </si>
  <si>
    <t>process_no</t>
  </si>
  <si>
    <t>free_comment</t>
  </si>
  <si>
    <t>service_parts_code</t>
  </si>
  <si>
    <t>primary_lot_ymd</t>
  </si>
  <si>
    <t>low_level_code</t>
  </si>
  <si>
    <t>cur_status_ymd</t>
  </si>
  <si>
    <t>cur_status_usr</t>
  </si>
  <si>
    <t>status_history1</t>
  </si>
  <si>
    <t>status_history2</t>
  </si>
  <si>
    <t>status_history3</t>
  </si>
  <si>
    <t>discontinue_sign</t>
  </si>
  <si>
    <r>
      <t>(BOM)品目マスタ</t>
    </r>
    <r>
      <rPr>
        <sz val="11"/>
        <color rgb="FFFFFFFF"/>
        <rFont val="Meiryo UI"/>
        <family val="2"/>
      </rPr>
      <t>(la_itemmast)</t>
    </r>
    <rPh sb="11" eb="13">
      <t>ユニュウ</t>
    </rPh>
    <rPh sb="13" eb="15">
      <t>ブヒン</t>
    </rPh>
    <phoneticPr fontId="3"/>
  </si>
  <si>
    <t>10225137000080</t>
  </si>
  <si>
    <t>0800</t>
  </si>
  <si>
    <t>2</t>
  </si>
  <si>
    <t>14</t>
  </si>
  <si>
    <t>00</t>
  </si>
  <si>
    <t>10</t>
  </si>
  <si>
    <t>19990910</t>
  </si>
  <si>
    <t>1981-04-29 00:00:00.000</t>
  </si>
  <si>
    <t>CONV</t>
  </si>
  <si>
    <t>2009-08-06 20:22:32.000</t>
  </si>
  <si>
    <t>04li301</t>
  </si>
  <si>
    <t>09</t>
  </si>
  <si>
    <t>20110407</t>
  </si>
  <si>
    <t>2011-04-07 18:00:42.000</t>
  </si>
  <si>
    <t>0470195</t>
  </si>
  <si>
    <t>3548</t>
  </si>
  <si>
    <t>1234</t>
  </si>
  <si>
    <t>3</t>
  </si>
  <si>
    <t xml:space="preserve">04li301	</t>
  </si>
  <si>
    <t>品目サブクラス</t>
  </si>
  <si>
    <t>品目サブクラス</t>
    <phoneticPr fontId="23" type="noConversion"/>
  </si>
  <si>
    <t>重量</t>
  </si>
  <si>
    <t>付加重量</t>
    <phoneticPr fontId="23" type="noConversion"/>
  </si>
  <si>
    <t>部品表担当</t>
  </si>
  <si>
    <t>工程番号</t>
    <phoneticPr fontId="23" type="noConversion"/>
  </si>
  <si>
    <t>フリーコメント</t>
    <phoneticPr fontId="23" type="noConversion"/>
  </si>
  <si>
    <t>サービスパーツコード</t>
  </si>
  <si>
    <t>初ロット年月日</t>
  </si>
  <si>
    <t>ロウレベルコード</t>
  </si>
  <si>
    <t>現在STS更新日</t>
    <phoneticPr fontId="23" type="noConversion"/>
  </si>
  <si>
    <t>現在STS更新者</t>
  </si>
  <si>
    <t>STS更新履歴１</t>
  </si>
  <si>
    <r>
      <t>STS更新履歴</t>
    </r>
    <r>
      <rPr>
        <sz val="9"/>
        <rFont val="Meiryo UI"/>
        <family val="2"/>
      </rPr>
      <t>2</t>
    </r>
    <phoneticPr fontId="23" type="noConversion"/>
  </si>
  <si>
    <t>STS更新履歴３</t>
    <rPh sb="0" eb="2">
      <t>チャクシュ</t>
    </rPh>
    <rPh sb="2" eb="3">
      <t>ビ</t>
    </rPh>
    <phoneticPr fontId="3"/>
  </si>
  <si>
    <t>使用禁止サイン</t>
  </si>
  <si>
    <t>varchar(30)</t>
    <phoneticPr fontId="23" type="noConversion"/>
  </si>
  <si>
    <t>varchar(4)</t>
  </si>
  <si>
    <t>varchar(1)</t>
  </si>
  <si>
    <t>varchar(1)</t>
    <phoneticPr fontId="23" type="noConversion"/>
  </si>
  <si>
    <t>numeric(15, 5)</t>
  </si>
  <si>
    <t>numeric(15, 5)</t>
    <phoneticPr fontId="23" type="noConversion"/>
  </si>
  <si>
    <t>varchar(2)</t>
  </si>
  <si>
    <t>varchar(64)</t>
  </si>
  <si>
    <t>varchar(8)</t>
  </si>
  <si>
    <t>numeric(3)</t>
  </si>
  <si>
    <t>varchar(10)</t>
  </si>
  <si>
    <t>varchar(19)</t>
  </si>
  <si>
    <t>varchar(19)</t>
    <phoneticPr fontId="23" type="noConversion"/>
  </si>
  <si>
    <t>int4</t>
  </si>
  <si>
    <t>timestamp(6)</t>
  </si>
  <si>
    <t>timestamp(6)</t>
    <phoneticPr fontId="23" type="noConversion"/>
  </si>
  <si>
    <t>varchar(20)</t>
  </si>
  <si>
    <r>
      <t>MRP情報値</t>
    </r>
    <r>
      <rPr>
        <sz val="9"/>
        <color rgb="FFFFFFFF"/>
        <rFont val="Meiryo UI"/>
        <family val="2"/>
      </rPr>
      <t>(le_mst_mrp_information)</t>
    </r>
    <phoneticPr fontId="3"/>
  </si>
  <si>
    <t>demand_policy_code</t>
  </si>
  <si>
    <t>wbin_control_code</t>
  </si>
  <si>
    <t>synchro_control_code</t>
  </si>
  <si>
    <t>input_work_center</t>
  </si>
  <si>
    <t>load_sum_code</t>
  </si>
  <si>
    <t>deliv_pf_no</t>
  </si>
  <si>
    <t>stock_location_no</t>
  </si>
  <si>
    <t>order_policy_code</t>
  </si>
  <si>
    <t>minimum_period</t>
  </si>
  <si>
    <t>minimum_qty</t>
  </si>
  <si>
    <t>maximum_period</t>
  </si>
  <si>
    <t>maximum_qty</t>
  </si>
  <si>
    <t>multiple_qty</t>
  </si>
  <si>
    <t>lot_size_fraction_flg</t>
  </si>
  <si>
    <t>manuf_scrap_ratio</t>
  </si>
  <si>
    <t>use_scrap_ratio</t>
  </si>
  <si>
    <t>shift_division_no</t>
  </si>
  <si>
    <t>shift_pattern_no</t>
  </si>
  <si>
    <t>tote_code</t>
  </si>
  <si>
    <t>tote_qty</t>
  </si>
  <si>
    <t>lt_effect_date</t>
  </si>
  <si>
    <t>manuf_lt</t>
  </si>
  <si>
    <t>precede_lt</t>
  </si>
  <si>
    <t>manuf_shift_lt</t>
  </si>
  <si>
    <t>precede_shift_lt</t>
  </si>
  <si>
    <t>effect_manuf_lt</t>
  </si>
  <si>
    <t>effect_precede_lt</t>
  </si>
  <si>
    <t>effect_manuf_shift_lt</t>
  </si>
  <si>
    <t>effect_precede_shift_lt</t>
  </si>
  <si>
    <t>airs_sign</t>
  </si>
  <si>
    <t>shipping_notice_sign</t>
  </si>
  <si>
    <t>external_plan_class</t>
  </si>
  <si>
    <t>inspection_class</t>
  </si>
  <si>
    <t>collect_info_code</t>
  </si>
  <si>
    <t>mat_used_level</t>
  </si>
  <si>
    <t>float_safety_stock_qty</t>
  </si>
  <si>
    <t>reorder_point</t>
  </si>
  <si>
    <t>float_safety_stock_req_sign</t>
  </si>
  <si>
    <t>fix_safety_stock_qty</t>
  </si>
  <si>
    <t>fix_safety_stock_ratio</t>
  </si>
  <si>
    <t>req_issue_control</t>
  </si>
  <si>
    <t>through_no_valid_flg</t>
  </si>
  <si>
    <t>order_recreate_class</t>
  </si>
  <si>
    <t>品目番号</t>
    <phoneticPr fontId="3"/>
  </si>
  <si>
    <t>投入作業区</t>
  </si>
  <si>
    <t>負荷集計コード</t>
  </si>
  <si>
    <t>納入PF番号</t>
  </si>
  <si>
    <t>格納ロケーション</t>
  </si>
  <si>
    <t>発注方針コード</t>
  </si>
  <si>
    <t>最小指定期間</t>
  </si>
  <si>
    <t>最小指定数量</t>
  </si>
  <si>
    <t>最大指定期間</t>
  </si>
  <si>
    <t>最大指定数量</t>
  </si>
  <si>
    <t>倍数数量</t>
    <rPh sb="0" eb="4">
      <t>クブン</t>
    </rPh>
    <phoneticPr fontId="3"/>
  </si>
  <si>
    <t>ロット編成端数フラグ</t>
    <rPh sb="0" eb="3">
      <t>タントウカ</t>
    </rPh>
    <phoneticPr fontId="3"/>
  </si>
  <si>
    <t>製造中仕損率</t>
    <rPh sb="0" eb="3">
      <t>タントウシャ</t>
    </rPh>
    <phoneticPr fontId="3"/>
  </si>
  <si>
    <t>使用中仕損率</t>
    <rPh sb="0" eb="2">
      <t>ハイフ</t>
    </rPh>
    <rPh sb="2" eb="5">
      <t>タントウカ</t>
    </rPh>
    <phoneticPr fontId="3"/>
  </si>
  <si>
    <t>シフト分割数</t>
  </si>
  <si>
    <t>シフトパターン番号</t>
  </si>
  <si>
    <t>荷姿コード</t>
  </si>
  <si>
    <t>荷姿収容数</t>
  </si>
  <si>
    <t>リードタイム適用日</t>
  </si>
  <si>
    <t>製造リードタイム</t>
  </si>
  <si>
    <t>先行リードタイム</t>
  </si>
  <si>
    <t>製造シフトリードタイム</t>
  </si>
  <si>
    <t>先行シフトリードタイム</t>
  </si>
  <si>
    <t>適用後製造リードタイム</t>
    <rPh sb="0" eb="2">
      <t>ノウキ</t>
    </rPh>
    <rPh sb="2" eb="4">
      <t>シジ</t>
    </rPh>
    <rPh sb="4" eb="6">
      <t>クブン</t>
    </rPh>
    <phoneticPr fontId="3"/>
  </si>
  <si>
    <t>適用後製造シフトリードタイム</t>
    <rPh sb="2" eb="4">
      <t>サクセイ</t>
    </rPh>
    <phoneticPr fontId="3"/>
  </si>
  <si>
    <t>適用後先行リードタイムサイン</t>
    <rPh sb="0" eb="2">
      <t>ジドウ</t>
    </rPh>
    <phoneticPr fontId="3"/>
  </si>
  <si>
    <t>AIRSサイン</t>
    <rPh sb="0" eb="2">
      <t>ツウカ</t>
    </rPh>
    <phoneticPr fontId="3"/>
  </si>
  <si>
    <t>出荷連絡サイン</t>
    <rPh sb="0" eb="2">
      <t>トウロク</t>
    </rPh>
    <rPh sb="2" eb="4">
      <t>ニチジ</t>
    </rPh>
    <phoneticPr fontId="3"/>
  </si>
  <si>
    <t>外部計画区分</t>
    <rPh sb="0" eb="3">
      <t>トウロクシャ</t>
    </rPh>
    <phoneticPr fontId="3"/>
  </si>
  <si>
    <t>検査区分</t>
    <rPh sb="0" eb="2">
      <t>コウシン</t>
    </rPh>
    <rPh sb="2" eb="4">
      <t>ニチジ</t>
    </rPh>
    <phoneticPr fontId="3"/>
  </si>
  <si>
    <t>確定期間ID</t>
    <rPh sb="0" eb="3">
      <t>コウシンシャ</t>
    </rPh>
    <phoneticPr fontId="3"/>
  </si>
  <si>
    <t>MAT採用レベル</t>
  </si>
  <si>
    <t>再発注点</t>
  </si>
  <si>
    <t>適用後先行シフトリードタイム連係区分</t>
    <rPh sb="6" eb="7">
      <t>レン</t>
    </rPh>
    <rPh sb="7" eb="8">
      <t>カカ</t>
    </rPh>
    <rPh sb="8" eb="10">
      <t>クブン</t>
    </rPh>
    <phoneticPr fontId="3"/>
  </si>
  <si>
    <t>集荷情報コード</t>
  </si>
  <si>
    <t>変動安全在庫所要量確認サイン</t>
    <phoneticPr fontId="3"/>
  </si>
  <si>
    <t>固定安全在庫数</t>
    <phoneticPr fontId="3"/>
  </si>
  <si>
    <t>固定安全在庫比率</t>
  </si>
  <si>
    <t>所要量出庫管理コード</t>
    <phoneticPr fontId="3"/>
  </si>
  <si>
    <t>通し番号発注適用フラグ</t>
  </si>
  <si>
    <t>オーダー再作成区分</t>
  </si>
  <si>
    <r>
      <t>varchar</t>
    </r>
    <r>
      <rPr>
        <sz val="9"/>
        <rFont val="Meiryo UI"/>
        <family val="2"/>
      </rPr>
      <t>(4</t>
    </r>
    <r>
      <rPr>
        <sz val="9"/>
        <rFont val="Meiryo UI"/>
        <family val="3"/>
        <charset val="128"/>
      </rPr>
      <t>)</t>
    </r>
    <phoneticPr fontId="3"/>
  </si>
  <si>
    <t>varchar(3)</t>
  </si>
  <si>
    <t>varchar(5)</t>
  </si>
  <si>
    <t>numeric(5, 3)</t>
  </si>
  <si>
    <t>numeric(2)</t>
  </si>
  <si>
    <t>numeric(15, 5)</t>
    <phoneticPr fontId="3"/>
  </si>
  <si>
    <t>D</t>
  </si>
  <si>
    <t>999</t>
  </si>
  <si>
    <t>9,999,999</t>
  </si>
  <si>
    <t>C</t>
  </si>
  <si>
    <t>9AS1</t>
  </si>
  <si>
    <t>P</t>
  </si>
  <si>
    <t>5,000</t>
  </si>
  <si>
    <t>2ABNG</t>
  </si>
  <si>
    <t>供給者</t>
    <phoneticPr fontId="3"/>
  </si>
  <si>
    <t>使用者</t>
    <phoneticPr fontId="3"/>
  </si>
  <si>
    <t>rn_status</t>
    <phoneticPr fontId="3"/>
  </si>
  <si>
    <t>rs_sql_code</t>
    <phoneticPr fontId="3"/>
  </si>
  <si>
    <t>rs_err_msg</t>
    <phoneticPr fontId="3"/>
  </si>
  <si>
    <t>rs_err_focus</t>
    <phoneticPr fontId="3"/>
  </si>
  <si>
    <t>rs_item_class</t>
    <phoneticPr fontId="3"/>
  </si>
  <si>
    <t>rs_item_status</t>
    <phoneticPr fontId="3"/>
  </si>
  <si>
    <t>rs_demand_policy_code</t>
    <phoneticPr fontId="3"/>
  </si>
  <si>
    <t>rs_airs_sign</t>
    <phoneticPr fontId="3"/>
  </si>
  <si>
    <t>rn_float_safety_stock_qty</t>
    <phoneticPr fontId="3"/>
  </si>
  <si>
    <t>rs_synchro_control_code</t>
    <phoneticPr fontId="3"/>
  </si>
  <si>
    <t xml:space="preserve"> </t>
    <phoneticPr fontId="3"/>
  </si>
  <si>
    <r>
      <t>戻り値1~</t>
    </r>
    <r>
      <rPr>
        <b/>
        <sz val="10"/>
        <color rgb="FFFFFFFF"/>
        <rFont val="Meiryo UI"/>
        <family val="2"/>
      </rPr>
      <t>11</t>
    </r>
    <phoneticPr fontId="3"/>
  </si>
  <si>
    <t>品目マスターとMRP情報値のJOIN検索</t>
    <phoneticPr fontId="3"/>
  </si>
  <si>
    <r>
      <t>検索</t>
    </r>
    <r>
      <rPr>
        <b/>
        <sz val="10"/>
        <color rgb="FFFFFFFF"/>
        <rFont val="Meiryo UI"/>
        <family val="2"/>
      </rPr>
      <t>3</t>
    </r>
    <phoneticPr fontId="3"/>
  </si>
  <si>
    <r>
      <t>検索</t>
    </r>
    <r>
      <rPr>
        <b/>
        <sz val="10"/>
        <color rgb="FFFFFFFF"/>
        <rFont val="Meiryo UI"/>
        <family val="2"/>
      </rPr>
      <t>4</t>
    </r>
    <phoneticPr fontId="3"/>
  </si>
  <si>
    <t>指定した品目が品目マスターに存在しない場合</t>
    <phoneticPr fontId="3"/>
  </si>
  <si>
    <t>品目クラス='M'の場合</t>
    <phoneticPr fontId="3"/>
  </si>
  <si>
    <t>品目タイプフラグ2='Y'かつ品目タイプ≠'1'、≠'2'の場合</t>
    <phoneticPr fontId="3"/>
  </si>
  <si>
    <r>
      <t>処理パターン</t>
    </r>
    <r>
      <rPr>
        <b/>
        <sz val="10"/>
        <color rgb="FFFFFFFF"/>
        <rFont val="Meiryo UI"/>
        <family val="2"/>
      </rPr>
      <t>1</t>
    </r>
    <phoneticPr fontId="3"/>
  </si>
  <si>
    <t>SELECT * FROM LDAS0300('LD11','10225137000080','1234','1234')</t>
  </si>
  <si>
    <t>1212</t>
  </si>
  <si>
    <t>M</t>
  </si>
  <si>
    <t>1235</t>
  </si>
  <si>
    <t>2345</t>
  </si>
  <si>
    <t>K</t>
  </si>
  <si>
    <t>異常終了</t>
    <phoneticPr fontId="3"/>
  </si>
  <si>
    <r>
      <t>処理パターン</t>
    </r>
    <r>
      <rPr>
        <b/>
        <sz val="10"/>
        <color rgb="FFFFFFFF"/>
        <rFont val="Meiryo UI"/>
        <family val="2"/>
      </rPr>
      <t>2</t>
    </r>
    <phoneticPr fontId="3"/>
  </si>
  <si>
    <t>品目クラス='K'の場合</t>
    <phoneticPr fontId="3"/>
  </si>
  <si>
    <t>SELECT * FROM LDAS0300('LD11','10225137000080','2345','2345')</t>
  </si>
  <si>
    <t>品目ステータス='1'の場合</t>
    <phoneticPr fontId="3"/>
  </si>
  <si>
    <r>
      <t>処理パターン</t>
    </r>
    <r>
      <rPr>
        <b/>
        <sz val="10"/>
        <color rgb="FFFFFFFF"/>
        <rFont val="Meiryo UI"/>
        <family val="2"/>
      </rPr>
      <t>3</t>
    </r>
    <phoneticPr fontId="3"/>
  </si>
  <si>
    <t>SELECT * FROM LDAS0300('LD11','10225137000080','1235','1235')</t>
  </si>
  <si>
    <t>エラー位置が'LDAS0300'で設定されている</t>
    <phoneticPr fontId="3"/>
  </si>
  <si>
    <r>
      <t>処理パターン</t>
    </r>
    <r>
      <rPr>
        <b/>
        <sz val="10"/>
        <color rgb="FFFFFFFF"/>
        <rFont val="Meiryo UI"/>
        <family val="2"/>
      </rPr>
      <t>4</t>
    </r>
    <phoneticPr fontId="3"/>
  </si>
  <si>
    <t>処理識別='LD11'の場合</t>
    <phoneticPr fontId="3"/>
  </si>
  <si>
    <t>select * from LDAS0300('LD11','10225137000080','0800','0800')</t>
    <phoneticPr fontId="3"/>
  </si>
  <si>
    <r>
      <t>処理パターン</t>
    </r>
    <r>
      <rPr>
        <b/>
        <sz val="10"/>
        <color rgb="FFFFFFFF"/>
        <rFont val="Meiryo UI"/>
        <family val="2"/>
      </rPr>
      <t>14</t>
    </r>
    <phoneticPr fontId="3"/>
  </si>
  <si>
    <t>品目タイプフラグ1='Y'かつ品目タイプ≠'1'の場合</t>
    <phoneticPr fontId="3"/>
  </si>
  <si>
    <t>3548</t>
    <phoneticPr fontId="3"/>
  </si>
  <si>
    <t>0800</t>
    <phoneticPr fontId="3"/>
  </si>
  <si>
    <t>1235</t>
    <phoneticPr fontId="3"/>
  </si>
  <si>
    <t>2345</t>
    <phoneticPr fontId="3"/>
  </si>
  <si>
    <t>5</t>
    <phoneticPr fontId="3"/>
  </si>
  <si>
    <t>6</t>
    <phoneticPr fontId="3"/>
  </si>
  <si>
    <t>×</t>
  </si>
  <si>
    <t>処理識別='LD41'の場合</t>
    <phoneticPr fontId="3"/>
  </si>
  <si>
    <t>SELECT * FROM LDAS0300('LD41','10225137000080','0800','0800')</t>
  </si>
  <si>
    <r>
      <t>処理パターン</t>
    </r>
    <r>
      <rPr>
        <b/>
        <sz val="10"/>
        <color rgb="FFFFFFFF"/>
        <rFont val="Meiryo UI"/>
        <family val="2"/>
      </rPr>
      <t>5</t>
    </r>
    <phoneticPr fontId="3"/>
  </si>
  <si>
    <r>
      <t>処理パターン</t>
    </r>
    <r>
      <rPr>
        <b/>
        <sz val="10"/>
        <color rgb="FFFFFFFF"/>
        <rFont val="Meiryo UI"/>
        <family val="2"/>
      </rPr>
      <t>6</t>
    </r>
    <phoneticPr fontId="3"/>
  </si>
  <si>
    <t>処理識別='LD71'の場合</t>
    <phoneticPr fontId="3"/>
  </si>
  <si>
    <t>21416119000080</t>
  </si>
  <si>
    <t>34125137000080</t>
  </si>
  <si>
    <t>LA0DS02</t>
  </si>
  <si>
    <t>10</t>
    <phoneticPr fontId="3"/>
  </si>
  <si>
    <t>21416119000080</t>
    <phoneticPr fontId="3"/>
  </si>
  <si>
    <t>100</t>
  </si>
  <si>
    <t>20090629</t>
  </si>
  <si>
    <t>720090523</t>
  </si>
  <si>
    <t>420090411</t>
  </si>
  <si>
    <t>720081015</t>
  </si>
  <si>
    <t>2009-06-29 16:56:35.000</t>
  </si>
  <si>
    <t>0375901</t>
  </si>
  <si>
    <t>12</t>
  </si>
  <si>
    <t>04</t>
  </si>
  <si>
    <t>11</t>
  </si>
  <si>
    <t>1987-02-11 00:00:00.000</t>
  </si>
  <si>
    <t>2002-08-20 19:24:59.000</t>
  </si>
  <si>
    <t>LA11</t>
  </si>
  <si>
    <t>34125137000080</t>
    <phoneticPr fontId="3"/>
  </si>
  <si>
    <t>処理識別='LD21,LD15,LD18,LD28,LD33,LD46,LD48,LD52,LD68'の場合</t>
    <phoneticPr fontId="3"/>
  </si>
  <si>
    <r>
      <t>処理パターン</t>
    </r>
    <r>
      <rPr>
        <b/>
        <sz val="10"/>
        <color rgb="FFFFFFFF"/>
        <rFont val="Meiryo UI"/>
        <family val="2"/>
      </rPr>
      <t>7</t>
    </r>
    <phoneticPr fontId="3"/>
  </si>
  <si>
    <t>SELECT * FROM LDAS0300('LD68','10225137000080','0800','0800');</t>
  </si>
  <si>
    <r>
      <t>処理パターン</t>
    </r>
    <r>
      <rPr>
        <b/>
        <sz val="10"/>
        <color rgb="FFFFFFFF"/>
        <rFont val="Meiryo UI"/>
        <family val="2"/>
      </rPr>
      <t>8</t>
    </r>
    <phoneticPr fontId="3"/>
  </si>
  <si>
    <t>処理識別='LD14'の場合</t>
    <phoneticPr fontId="3"/>
  </si>
  <si>
    <t>14.00000</t>
  </si>
  <si>
    <t>0.00000</t>
  </si>
  <si>
    <t>9999999.00000</t>
  </si>
  <si>
    <t>5000.00000</t>
  </si>
  <si>
    <t>0.000</t>
  </si>
  <si>
    <t>11</t>
    <phoneticPr fontId="3"/>
  </si>
  <si>
    <t>12</t>
    <phoneticPr fontId="3"/>
  </si>
  <si>
    <t>1236</t>
    <phoneticPr fontId="3"/>
  </si>
  <si>
    <t>99999999</t>
  </si>
  <si>
    <t>1111</t>
  </si>
  <si>
    <t>30.00000</t>
  </si>
  <si>
    <t>10.00000</t>
  </si>
  <si>
    <t>2024-04-10 16:15:53.000</t>
  </si>
  <si>
    <t>0363363</t>
  </si>
  <si>
    <t>10226137000080</t>
  </si>
  <si>
    <t>10226137000080</t>
    <phoneticPr fontId="3"/>
  </si>
  <si>
    <t>13</t>
    <phoneticPr fontId="3"/>
  </si>
  <si>
    <t>14</t>
    <phoneticPr fontId="3"/>
  </si>
  <si>
    <t>15</t>
    <phoneticPr fontId="3"/>
  </si>
  <si>
    <t>10225137000080</t>
    <phoneticPr fontId="3"/>
  </si>
  <si>
    <t>10225137000090</t>
    <phoneticPr fontId="3"/>
  </si>
  <si>
    <t>SELECT * FROM LDAS0300('LD14','10225137000080','0800','1234');</t>
    <phoneticPr fontId="3"/>
  </si>
  <si>
    <t>品目タイプフラグ1、Wビン管理フラグ7が'Y'に設定されている</t>
    <phoneticPr fontId="3"/>
  </si>
  <si>
    <t>更新PGID</t>
    <phoneticPr fontId="3"/>
  </si>
  <si>
    <t>処理識別='LD24'の場合</t>
    <phoneticPr fontId="3"/>
  </si>
  <si>
    <t>処理パターン9</t>
    <phoneticPr fontId="3"/>
  </si>
  <si>
    <t>SELECT * FROM LDAS0300('LD24','10225137000080','0800','1234');</t>
    <phoneticPr fontId="3"/>
  </si>
  <si>
    <t>処理識別='LD44'の場合</t>
    <phoneticPr fontId="3"/>
  </si>
  <si>
    <t>処理パターン10</t>
    <phoneticPr fontId="3"/>
  </si>
  <si>
    <t>SELECT * FROM LDAS0300('LD44','10225137000080','0800','1234');</t>
    <phoneticPr fontId="3"/>
  </si>
  <si>
    <t>処理識別='LD74'の場合</t>
    <phoneticPr fontId="3"/>
  </si>
  <si>
    <t>処理パターン11</t>
    <phoneticPr fontId="3"/>
  </si>
  <si>
    <t>処理パターン12</t>
    <phoneticPr fontId="3"/>
  </si>
  <si>
    <t>処理識別='LD78,LD80'の場合</t>
    <phoneticPr fontId="3"/>
  </si>
  <si>
    <t>SELECT * FROM LDAS0300('LD80','10225137000090','0800','0800');</t>
    <phoneticPr fontId="3"/>
  </si>
  <si>
    <t>処理パターン13</t>
    <phoneticPr fontId="3"/>
  </si>
  <si>
    <t>処理識別='LD81'の場合</t>
    <phoneticPr fontId="3"/>
  </si>
  <si>
    <t>0900</t>
  </si>
  <si>
    <t>E</t>
  </si>
  <si>
    <t>16</t>
    <phoneticPr fontId="3"/>
  </si>
  <si>
    <t>SELECT * FROM LDAS0300('LD81','10225137000080','0900','1234');</t>
    <phoneticPr fontId="3"/>
  </si>
  <si>
    <t>SELECT * FROM LDAS0300('LD11','10225137000080','0900','1234');</t>
  </si>
  <si>
    <t>品目クラスフラグ3='Y'かつ品目クラス≠'0'、≠'1'、≠'2'の場合</t>
    <phoneticPr fontId="3"/>
  </si>
  <si>
    <r>
      <t>処理パターン</t>
    </r>
    <r>
      <rPr>
        <b/>
        <sz val="10"/>
        <color rgb="FFFFFFFF"/>
        <rFont val="Meiryo UI"/>
        <family val="2"/>
      </rPr>
      <t>15</t>
    </r>
    <phoneticPr fontId="3"/>
  </si>
  <si>
    <r>
      <t>処理パターン</t>
    </r>
    <r>
      <rPr>
        <b/>
        <sz val="10"/>
        <color rgb="FFFFFFFF"/>
        <rFont val="Meiryo UI"/>
        <family val="2"/>
      </rPr>
      <t>16</t>
    </r>
    <phoneticPr fontId="3"/>
  </si>
  <si>
    <t>4.00000</t>
  </si>
  <si>
    <r>
      <t>処理パターン</t>
    </r>
    <r>
      <rPr>
        <b/>
        <sz val="10"/>
        <color rgb="FFFFFFFF"/>
        <rFont val="Meiryo UI"/>
        <family val="2"/>
      </rPr>
      <t>17</t>
    </r>
    <phoneticPr fontId="3"/>
  </si>
  <si>
    <t>品目クラスフラグ4='Y'かつ品目クラス≠'E'、≠'F'の場合</t>
    <phoneticPr fontId="3"/>
  </si>
  <si>
    <t>SELECT * FROM LDAS0300('LD81','10225137000080','0800','0800');</t>
  </si>
  <si>
    <t>MRP需要方針フラグ5='Y'かつMRP需要方針コード&lt;'1'または&gt;'6'の場合</t>
    <phoneticPr fontId="3"/>
  </si>
  <si>
    <r>
      <t>処理パターン</t>
    </r>
    <r>
      <rPr>
        <b/>
        <sz val="10"/>
        <color rgb="FFFFFFFF"/>
        <rFont val="Meiryo UI"/>
        <family val="2"/>
      </rPr>
      <t>1</t>
    </r>
    <r>
      <rPr>
        <b/>
        <sz val="10"/>
        <color rgb="FFFFFFFF"/>
        <rFont val="微软雅黑"/>
        <family val="2"/>
        <charset val="134"/>
      </rPr>
      <t>8</t>
    </r>
    <phoneticPr fontId="3"/>
  </si>
  <si>
    <r>
      <t>SELECT * FROM LDAS0300('LD21','10225137000080','1212','1</t>
    </r>
    <r>
      <rPr>
        <sz val="10"/>
        <rFont val="微软雅黑"/>
        <family val="3"/>
        <charset val="134"/>
      </rPr>
      <t>234</t>
    </r>
    <r>
      <rPr>
        <sz val="10"/>
        <rFont val="Meiryo UI"/>
        <family val="3"/>
        <charset val="128"/>
      </rPr>
      <t>')</t>
    </r>
    <phoneticPr fontId="3"/>
  </si>
  <si>
    <t>MRP需要方針フラグ6='Y'かつMRP需要方針コード≠'2'の場合</t>
    <phoneticPr fontId="3"/>
  </si>
  <si>
    <r>
      <t>処理パターン</t>
    </r>
    <r>
      <rPr>
        <b/>
        <sz val="10"/>
        <color rgb="FFFFFFFF"/>
        <rFont val="Meiryo UI"/>
        <family val="2"/>
      </rPr>
      <t>1</t>
    </r>
    <r>
      <rPr>
        <b/>
        <sz val="10"/>
        <color rgb="FFFFFFFF"/>
        <rFont val="微软雅黑"/>
        <family val="2"/>
        <charset val="134"/>
      </rPr>
      <t>9</t>
    </r>
    <phoneticPr fontId="3"/>
  </si>
  <si>
    <t>Wビン管理フラグ7='Y'かつWビン管理コード≠'0'の場合</t>
    <phoneticPr fontId="3"/>
  </si>
  <si>
    <r>
      <t>処理パターン</t>
    </r>
    <r>
      <rPr>
        <b/>
        <sz val="10"/>
        <color rgb="FFFFFFFF"/>
        <rFont val="微软雅黑"/>
        <family val="3"/>
        <charset val="134"/>
      </rPr>
      <t>20</t>
    </r>
    <phoneticPr fontId="3"/>
  </si>
  <si>
    <t>SELECT * FROM LDAS0300('LD14','10225137000090','0800','0800');</t>
    <phoneticPr fontId="3"/>
  </si>
  <si>
    <t>SELECT * FROM LDAS0300('LD74','10225137000090','0800','0800');</t>
    <phoneticPr fontId="3"/>
  </si>
  <si>
    <t>SELECT * FROM LDAS0300('LD71','10225137000090','0800','0800')</t>
  </si>
  <si>
    <r>
      <t>処理パターン</t>
    </r>
    <r>
      <rPr>
        <b/>
        <sz val="10"/>
        <color rgb="FFFFFFFF"/>
        <rFont val="微软雅黑"/>
        <family val="3"/>
        <charset val="134"/>
      </rPr>
      <t>21</t>
    </r>
    <phoneticPr fontId="3"/>
  </si>
  <si>
    <t>Wビン管理フラグ8='Y'かつWビン管理コード≠'1'の場合</t>
    <phoneticPr fontId="3"/>
  </si>
  <si>
    <t>SELECT * FROM LDAS0300('LD74','10225137000080','0800','0800');</t>
    <phoneticPr fontId="3"/>
  </si>
  <si>
    <r>
      <t>処理パターン</t>
    </r>
    <r>
      <rPr>
        <b/>
        <sz val="10"/>
        <color rgb="FFFFFFFF"/>
        <rFont val="微软雅黑"/>
        <family val="3"/>
        <charset val="134"/>
      </rPr>
      <t>22</t>
    </r>
    <phoneticPr fontId="3"/>
  </si>
  <si>
    <t>AIRSサインフラグ9='Y'かつAIRSサイン='1'の場合</t>
    <phoneticPr fontId="3"/>
  </si>
  <si>
    <t>SELECT * FROM LDAS0300('LD44','10225137000080','0800','0800');</t>
    <phoneticPr fontId="3"/>
  </si>
  <si>
    <r>
      <t>select * from LDAS0300('LD11','1022513700008</t>
    </r>
    <r>
      <rPr>
        <sz val="10"/>
        <rFont val="微软雅黑"/>
        <family val="3"/>
        <charset val="134"/>
      </rPr>
      <t>1</t>
    </r>
    <r>
      <rPr>
        <sz val="10"/>
        <rFont val="Meiryo UI"/>
        <family val="3"/>
        <charset val="128"/>
      </rPr>
      <t>','0800','0800')</t>
    </r>
    <phoneticPr fontId="3"/>
  </si>
  <si>
    <t>17</t>
    <phoneticPr fontId="3"/>
  </si>
  <si>
    <r>
      <t>MRP情報値</t>
    </r>
    <r>
      <rPr>
        <sz val="11"/>
        <color rgb="FFFFFFFF"/>
        <rFont val="Meiryo UI"/>
        <family val="2"/>
      </rPr>
      <t>(le_mst_mrp_information)</t>
    </r>
    <phoneticPr fontId="3"/>
  </si>
  <si>
    <t>ld.E.LDP10054</t>
  </si>
  <si>
    <t>ld.E.LDP10054</t>
    <phoneticPr fontId="3"/>
  </si>
  <si>
    <t>エラーコードld.E.LDP10054、エラーメッセージ'Specify the Deal Flag.'が出力され処理終了している</t>
    <phoneticPr fontId="3"/>
  </si>
  <si>
    <t>ld.E.LDP10055</t>
    <phoneticPr fontId="3"/>
  </si>
  <si>
    <t>エラーコードld.E.LDP10055、エラーメッセージ'Specify the Item Number.'が出力され処理終了している</t>
    <phoneticPr fontId="3"/>
  </si>
  <si>
    <t>ld.E.LDP10056</t>
    <phoneticPr fontId="3"/>
  </si>
  <si>
    <t>エラーコードld.E.LDP10056、エラーメッセージ'Specify the Supplier.'が出力され処理終了している</t>
    <phoneticPr fontId="3"/>
  </si>
  <si>
    <t>ld.E.LDP10057</t>
    <phoneticPr fontId="3"/>
  </si>
  <si>
    <t>エラーコードld.E.LDP10057、エラーメッセージ'Specify the User.'が出力され処理終了している</t>
    <phoneticPr fontId="3"/>
  </si>
  <si>
    <t>ld.E.LDP10019</t>
    <phoneticPr fontId="3"/>
  </si>
  <si>
    <t>エラーコードld.E.LDP10019、エラーメッセージ'Item does not exist in the item master'が出力され処理終了している</t>
    <phoneticPr fontId="3"/>
  </si>
  <si>
    <t>ld.E.LDP10037</t>
    <phoneticPr fontId="3"/>
  </si>
  <si>
    <t>エラーコードld.E.LDP10037、エラーメッセージ'You cannot specify Product、 CBU Model or CKD Model'が出力され処理終了している</t>
    <phoneticPr fontId="3"/>
  </si>
  <si>
    <t>ld.E.LDP10024</t>
    <phoneticPr fontId="3"/>
  </si>
  <si>
    <t>エラーコードld.E.LDP10024、エラーメッセージ'You cannot specify the item of which Item Status is 1(Technical Trial)'が出力され処理終了している</t>
    <phoneticPr fontId="3"/>
  </si>
  <si>
    <t>ld.E.LDP10020</t>
    <phoneticPr fontId="3"/>
  </si>
  <si>
    <t>エラーコードld.E.LDP10020、エラーメッセージ'You can specify only the item of which Item Type is 1(Standard)'が出力され処理終了している</t>
    <phoneticPr fontId="3"/>
  </si>
  <si>
    <t>ld.E.LDP10021</t>
    <phoneticPr fontId="3"/>
  </si>
  <si>
    <t>エラーコードld.E.LDP10021、エラーメッセージ'You can specify only the item of which Item Type is 1(Standard) or 2(B/T)'が出力され処理終了している</t>
    <phoneticPr fontId="3"/>
  </si>
  <si>
    <t>ld.E.LDP10058</t>
    <phoneticPr fontId="3"/>
  </si>
  <si>
    <t>エラーコードld.E.LDP10058、エラーメッセージ'You cannot specify Parts'が出力され処理終了している</t>
    <phoneticPr fontId="3"/>
  </si>
  <si>
    <t>エラーコードld.E.LDP10026、エラーメッセージ'You can specify only the item of which MRP Demand Policy Code is 1 to 6'が出力され処理終了している</t>
    <phoneticPr fontId="3"/>
  </si>
  <si>
    <t>ld.E.LDP10028</t>
    <phoneticPr fontId="3"/>
  </si>
  <si>
    <t>エラーコードld.E.LDP10028、エラーメッセージ'You can specify only the item of which MRP Demand Policy Code is 2(Manual Control)'が出力され処理終了している</t>
    <phoneticPr fontId="3"/>
  </si>
  <si>
    <t>ld.E.LDP10029</t>
    <phoneticPr fontId="3"/>
  </si>
  <si>
    <t>エラーコードld.E.LDP10029、エラーメッセージ'You can specify only the item of which W-bin Control Code is 0(Out of an object of control)'が出力され処理終了している</t>
    <phoneticPr fontId="3"/>
  </si>
  <si>
    <t>ld.E.LDP10030</t>
    <phoneticPr fontId="3"/>
  </si>
  <si>
    <t>エラーコードld.E.LDP10030、エラーメッセージ'You can specify only the item of which W-bin Control Code is 1(An object of control)'が出力され処理終了している</t>
    <phoneticPr fontId="3"/>
  </si>
  <si>
    <t>ld.E.LDP10034</t>
    <phoneticPr fontId="3"/>
  </si>
  <si>
    <t>エラーコードld.E.LDP10034、エラーメッセージ'You cannot specify AIRS Item'が出力され処理終了している</t>
    <phoneticPr fontId="3"/>
  </si>
  <si>
    <t>処理識別</t>
  </si>
  <si>
    <t>品目番号</t>
  </si>
  <si>
    <t>供給者</t>
  </si>
  <si>
    <t>使用者</t>
  </si>
  <si>
    <t>SELECT * FROM LDAS0300('LD11','10225137000080','1200','1234');</t>
  </si>
  <si>
    <t>1200</t>
  </si>
  <si>
    <t>18</t>
    <phoneticPr fontId="3"/>
  </si>
  <si>
    <t>品目番号、供給者、使用者に該当する品目情報を正常に取得している</t>
    <phoneticPr fontId="3"/>
  </si>
  <si>
    <t>品目タイプの妥当性チェック</t>
    <phoneticPr fontId="3"/>
  </si>
  <si>
    <t>MRP需要方針コードの妥当性チェック</t>
  </si>
  <si>
    <t>Wビン管理コードの妥当性チェック</t>
  </si>
  <si>
    <t>1000</t>
  </si>
  <si>
    <t>19</t>
    <phoneticPr fontId="3"/>
  </si>
  <si>
    <t>対応するエラーコードをreturnしている</t>
  </si>
  <si>
    <t>対応するエラーメッセージをreturnしている</t>
  </si>
  <si>
    <t>エラー発生時のエラー位置</t>
    <phoneticPr fontId="3"/>
  </si>
  <si>
    <t>エラーコード</t>
    <phoneticPr fontId="3"/>
  </si>
  <si>
    <t>エラー発生時のエラーコード</t>
    <phoneticPr fontId="3"/>
  </si>
  <si>
    <t>エラーメッセージ</t>
    <phoneticPr fontId="3"/>
  </si>
  <si>
    <t>エラー発生時のエラーメッセージ</t>
    <phoneticPr fontId="3"/>
  </si>
  <si>
    <t>Wビン管理コード</t>
    <phoneticPr fontId="3"/>
  </si>
  <si>
    <t>シンクロ管理コード</t>
    <phoneticPr fontId="3"/>
  </si>
  <si>
    <t>変動安全在庫数</t>
    <phoneticPr fontId="3"/>
  </si>
  <si>
    <t>MRP需要方針コード、Wビン管理コード、シンクロ管理コード、AIRSサイン、変動安全在庫数に該当するMRP情報を正常に取得している</t>
    <phoneticPr fontId="3"/>
  </si>
  <si>
    <r>
      <t>戻り値13~1</t>
    </r>
    <r>
      <rPr>
        <b/>
        <sz val="10"/>
        <color rgb="FFFFFFFF"/>
        <rFont val="Meiryo UI"/>
        <family val="2"/>
      </rPr>
      <t>6</t>
    </r>
    <phoneticPr fontId="3"/>
  </si>
  <si>
    <r>
      <t>戻り値</t>
    </r>
    <r>
      <rPr>
        <b/>
        <sz val="10"/>
        <color rgb="FFFFFFFF"/>
        <rFont val="Meiryo UI"/>
        <family val="2"/>
      </rPr>
      <t>13~16</t>
    </r>
    <phoneticPr fontId="3"/>
  </si>
  <si>
    <t>戻り値13~16</t>
    <phoneticPr fontId="3"/>
  </si>
  <si>
    <t>ld.E.LDP10022</t>
    <phoneticPr fontId="3"/>
  </si>
  <si>
    <t>エラーコードld.E.LDP10022、エラーメッセージ'You can specify only the item of which Item Cl. is 0(Packing Materials) or 1(Raw Materials) or 2(Parts)'が出力され処理終了している</t>
    <phoneticPr fontId="3"/>
  </si>
  <si>
    <t xml:space="preserve">You can specify only the item of which Item Cl. is 0(Packing Materials) or 1(Raw Materials) or 2(Parts)  </t>
    <phoneticPr fontId="3"/>
  </si>
  <si>
    <t>SELECT * FROM LDAS0300('LD41','10225137000080','1000','1234');</t>
    <phoneticPr fontId="3"/>
  </si>
  <si>
    <t>SELECT * FROM LDAS0300('LD71','10225137000080','1200','1234');</t>
  </si>
  <si>
    <t>M</t>
    <phoneticPr fontId="3"/>
  </si>
  <si>
    <t>品目クラス</t>
    <phoneticPr fontId="3"/>
  </si>
  <si>
    <t>品目サブクラス</t>
    <phoneticPr fontId="3"/>
  </si>
  <si>
    <t>MRP需要方針コード</t>
    <phoneticPr fontId="3"/>
  </si>
  <si>
    <t>品目タイプ</t>
    <phoneticPr fontId="3"/>
  </si>
  <si>
    <t>item_class_sub</t>
    <phoneticPr fontId="3"/>
  </si>
  <si>
    <t>SELECT * FROM LDAS0300('LD11','10225137000080','0800','0800')</t>
    <phoneticPr fontId="3"/>
  </si>
  <si>
    <t>初期作成</t>
    <phoneticPr fontId="3"/>
  </si>
  <si>
    <t>品目の各項目に対してバリデーションチェックを行う。</t>
    <phoneticPr fontId="3"/>
  </si>
  <si>
    <t>孫勝</t>
    <phoneticPr fontId="3"/>
  </si>
  <si>
    <t>Specify the Deal Flag.</t>
    <phoneticPr fontId="3"/>
  </si>
  <si>
    <t>Specify the Item Number</t>
    <phoneticPr fontId="3"/>
  </si>
  <si>
    <t>Specify the Supplier</t>
    <phoneticPr fontId="3"/>
  </si>
  <si>
    <t>Specify the User</t>
    <phoneticPr fontId="3"/>
  </si>
  <si>
    <t>余暁東</t>
    <phoneticPr fontId="3"/>
  </si>
  <si>
    <t xml:space="preserve">Specify the Item Number </t>
    <phoneticPr fontId="3"/>
  </si>
  <si>
    <t xml:space="preserve">Specify the Supplier </t>
    <phoneticPr fontId="3"/>
  </si>
  <si>
    <t xml:space="preserve">Specify the User. </t>
    <phoneticPr fontId="3"/>
  </si>
  <si>
    <t>Item does not exist in the item master</t>
    <phoneticPr fontId="3"/>
  </si>
  <si>
    <t>You cannot specify Product, CBU Model or CKD Model</t>
    <phoneticPr fontId="3"/>
  </si>
  <si>
    <t>You cannot specify the item of which Item Status is 1(Technical Trial)</t>
    <phoneticPr fontId="3"/>
  </si>
  <si>
    <t xml:space="preserve">You cannot specify the item of which Item Status is 1(Technical Trial) </t>
    <phoneticPr fontId="3"/>
  </si>
  <si>
    <t>You can specify only the item of which Item Type is 1(Standard) or 2(B/T)</t>
    <phoneticPr fontId="3"/>
  </si>
  <si>
    <t>You cannot specify Parts</t>
    <phoneticPr fontId="3"/>
  </si>
  <si>
    <t>ld.E.LDP10026</t>
    <phoneticPr fontId="3"/>
  </si>
  <si>
    <t>You can specify only the item of which MRP Demand Policy Code is 1 to 6</t>
    <phoneticPr fontId="3"/>
  </si>
  <si>
    <t xml:space="preserve">You can specify only the item of which MRP Demand Policy Code is 2(Manual Control) </t>
    <phoneticPr fontId="3"/>
  </si>
  <si>
    <t>You can specify only the item of which W-bin Control Code is 0(Out of an object of control)</t>
    <phoneticPr fontId="3"/>
  </si>
  <si>
    <t>You can specify only the item of which  W-bin Control Code is 1(An object of control)</t>
    <phoneticPr fontId="3"/>
  </si>
  <si>
    <t>You cannot specify AIRS Item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</si>
</sst>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9"/>
      <name val="Meiryo UI"/>
      <family val="3"/>
      <charset val="128"/>
    </font>
    <font>
      <sz val="10"/>
      <name val="Meiryo UI"/>
      <family val="3"/>
      <charset val="128"/>
    </font>
    <font>
      <sz val="11"/>
      <name val="ＭＳ ゴシック"/>
      <family val="3"/>
      <charset val="128"/>
    </font>
    <font>
      <sz val="18"/>
      <color theme="3"/>
      <name val="宋体"/>
      <family val="2"/>
      <charset val="128"/>
      <scheme val="major"/>
    </font>
    <font>
      <b/>
      <sz val="15"/>
      <color theme="3"/>
      <name val="宋体"/>
      <family val="2"/>
      <charset val="128"/>
      <scheme val="minor"/>
    </font>
    <font>
      <b/>
      <sz val="9"/>
      <color theme="0"/>
      <name val="Meiryo UI"/>
      <family val="3"/>
      <charset val="128"/>
    </font>
    <font>
      <sz val="6"/>
      <name val="宋体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sz val="8"/>
      <name val="ＭＳ Ｐゴシック"/>
      <family val="3"/>
      <charset val="128"/>
    </font>
    <font>
      <u/>
      <sz val="9"/>
      <color indexed="12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11"/>
      <color theme="1"/>
      <name val="Meiryo UI"/>
      <family val="2"/>
    </font>
    <font>
      <b/>
      <sz val="9"/>
      <color rgb="FF0000FF"/>
      <name val="Meiryo UI"/>
      <family val="3"/>
      <charset val="128"/>
    </font>
    <font>
      <sz val="9"/>
      <name val="宋体"/>
      <family val="3"/>
      <charset val="134"/>
    </font>
    <font>
      <sz val="11"/>
      <name val="Meiryo UI"/>
      <family val="3"/>
      <charset val="128"/>
    </font>
    <font>
      <u/>
      <sz val="11"/>
      <color theme="10"/>
      <name val="ＭＳ Ｐゴシック"/>
      <family val="3"/>
      <charset val="128"/>
    </font>
    <font>
      <b/>
      <sz val="24"/>
      <color indexed="18"/>
      <name val="Meiryo UI"/>
      <family val="3"/>
      <charset val="128"/>
    </font>
    <font>
      <b/>
      <sz val="18"/>
      <color indexed="18"/>
      <name val="Meiryo UI"/>
      <family val="3"/>
      <charset val="128"/>
    </font>
    <font>
      <b/>
      <sz val="11"/>
      <color indexed="18"/>
      <name val="Meiryo UI"/>
      <family val="3"/>
      <charset val="128"/>
    </font>
    <font>
      <b/>
      <sz val="9"/>
      <name val="Meiryo UI"/>
      <family val="3"/>
      <charset val="128"/>
    </font>
    <font>
      <b/>
      <sz val="10"/>
      <color indexed="9"/>
      <name val="Meiryo UI"/>
      <family val="3"/>
      <charset val="128"/>
    </font>
    <font>
      <sz val="10"/>
      <color indexed="8"/>
      <name val="Meiryo UI"/>
      <family val="3"/>
      <charset val="128"/>
    </font>
    <font>
      <sz val="8"/>
      <name val="Meiryo UI"/>
      <family val="3"/>
      <charset val="128"/>
    </font>
    <font>
      <sz val="10"/>
      <color indexed="59"/>
      <name val="Meiryo UI"/>
      <family val="3"/>
      <charset val="128"/>
    </font>
    <font>
      <sz val="10"/>
      <color indexed="10"/>
      <name val="Meiryo UI"/>
      <family val="3"/>
      <charset val="128"/>
    </font>
    <font>
      <sz val="10"/>
      <color indexed="17"/>
      <name val="Meiryo UI"/>
      <family val="3"/>
      <charset val="128"/>
    </font>
    <font>
      <b/>
      <sz val="10"/>
      <color indexed="59"/>
      <name val="Meiryo UI"/>
      <family val="3"/>
      <charset val="128"/>
    </font>
    <font>
      <sz val="6"/>
      <name val="Meiryo UI"/>
      <family val="3"/>
      <charset val="128"/>
    </font>
    <font>
      <sz val="10"/>
      <color indexed="63"/>
      <name val="Meiryo UI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b/>
      <sz val="10"/>
      <color indexed="12"/>
      <name val="Meiryo UI"/>
      <family val="3"/>
      <charset val="128"/>
    </font>
    <font>
      <sz val="10"/>
      <color indexed="12"/>
      <name val="Meiryo UI"/>
      <family val="3"/>
      <charset val="128"/>
    </font>
    <font>
      <sz val="11"/>
      <color indexed="60"/>
      <name val="Meiryo UI"/>
      <family val="3"/>
      <charset val="128"/>
    </font>
    <font>
      <b/>
      <sz val="18"/>
      <color indexed="8"/>
      <name val="Meiryo UI"/>
      <family val="3"/>
      <charset val="128"/>
    </font>
    <font>
      <sz val="11"/>
      <color indexed="18"/>
      <name val="Meiryo UI"/>
      <family val="3"/>
      <charset val="128"/>
    </font>
    <font>
      <b/>
      <sz val="8"/>
      <color indexed="61"/>
      <name val="Meiryo UI"/>
      <family val="3"/>
      <charset val="128"/>
    </font>
    <font>
      <sz val="11"/>
      <color indexed="9"/>
      <name val="Meiryo UI"/>
      <family val="3"/>
      <charset val="128"/>
    </font>
    <font>
      <b/>
      <sz val="11"/>
      <name val="Meiryo UI"/>
      <family val="3"/>
      <charset val="128"/>
    </font>
    <font>
      <sz val="9"/>
      <color indexed="53"/>
      <name val="Meiryo UI"/>
      <family val="3"/>
      <charset val="128"/>
    </font>
    <font>
      <sz val="10"/>
      <color indexed="61"/>
      <name val="Meiryo UI"/>
      <family val="3"/>
      <charset val="128"/>
    </font>
    <font>
      <sz val="8"/>
      <color indexed="61"/>
      <name val="Meiryo UI"/>
      <family val="3"/>
      <charset val="128"/>
    </font>
    <font>
      <sz val="11"/>
      <color indexed="53"/>
      <name val="Meiryo UI"/>
      <family val="3"/>
      <charset val="128"/>
    </font>
    <font>
      <sz val="9"/>
      <color indexed="61"/>
      <name val="Meiryo UI"/>
      <family val="3"/>
      <charset val="128"/>
    </font>
    <font>
      <sz val="11"/>
      <color indexed="61"/>
      <name val="Meiryo UI"/>
      <family val="3"/>
      <charset val="128"/>
    </font>
    <font>
      <b/>
      <sz val="11"/>
      <color indexed="61"/>
      <name val="Meiryo UI"/>
      <family val="3"/>
      <charset val="128"/>
    </font>
    <font>
      <sz val="11"/>
      <color indexed="63"/>
      <name val="Meiryo UI"/>
      <family val="3"/>
      <charset val="128"/>
    </font>
    <font>
      <sz val="11"/>
      <color indexed="17"/>
      <name val="Meiryo UI"/>
      <family val="3"/>
      <charset val="128"/>
    </font>
    <font>
      <sz val="11"/>
      <color indexed="12"/>
      <name val="Meiryo UI"/>
      <family val="3"/>
      <charset val="128"/>
    </font>
    <font>
      <sz val="9"/>
      <color indexed="9"/>
      <name val="Meiryo UI"/>
      <family val="3"/>
      <charset val="128"/>
    </font>
    <font>
      <i/>
      <sz val="8"/>
      <color indexed="61"/>
      <name val="Meiryo UI"/>
      <family val="3"/>
      <charset val="128"/>
    </font>
    <font>
      <b/>
      <sz val="16"/>
      <color indexed="18"/>
      <name val="Meiryo UI"/>
      <family val="3"/>
      <charset val="128"/>
    </font>
    <font>
      <sz val="16"/>
      <name val="Meiryo UI"/>
      <family val="3"/>
      <charset val="128"/>
    </font>
    <font>
      <sz val="10"/>
      <color rgb="FF008000"/>
      <name val="等线"/>
      <family val="3"/>
      <charset val="134"/>
    </font>
    <font>
      <b/>
      <sz val="10"/>
      <color rgb="FFFFFFFF"/>
      <name val="Meiryo UI"/>
      <family val="3"/>
      <charset val="128"/>
    </font>
    <font>
      <sz val="9"/>
      <name val="Meiryo UI"/>
      <family val="2"/>
    </font>
    <font>
      <sz val="10"/>
      <color theme="1"/>
      <name val="Meiryo UI"/>
      <family val="3"/>
      <charset val="128"/>
    </font>
    <font>
      <b/>
      <sz val="10"/>
      <color rgb="FFFFFFFF"/>
      <name val="Meiryo UI"/>
      <family val="2"/>
    </font>
    <font>
      <b/>
      <sz val="10"/>
      <color rgb="FFFFFFFF"/>
      <name val="Meiryo UI"/>
      <family val="2"/>
      <charset val="128"/>
    </font>
    <font>
      <sz val="11"/>
      <color rgb="FFFFFFFF"/>
      <name val="Meiryo UI"/>
      <family val="2"/>
    </font>
    <font>
      <sz val="9"/>
      <color rgb="FFFFFFFF"/>
      <name val="Meiryo UI"/>
      <family val="2"/>
    </font>
    <font>
      <sz val="11"/>
      <color rgb="FF993366"/>
      <name val="等线"/>
      <family val="3"/>
      <charset val="134"/>
    </font>
    <font>
      <b/>
      <sz val="9"/>
      <color indexed="61"/>
      <name val="Meiryo UI"/>
      <family val="2"/>
    </font>
    <font>
      <b/>
      <sz val="10"/>
      <color rgb="FFFFFFFF"/>
      <name val="微软雅黑"/>
      <family val="2"/>
      <charset val="134"/>
    </font>
    <font>
      <sz val="10"/>
      <name val="微软雅黑"/>
      <family val="3"/>
      <charset val="134"/>
    </font>
    <font>
      <sz val="9"/>
      <name val="微软雅黑"/>
      <family val="3"/>
      <charset val="134"/>
    </font>
    <font>
      <b/>
      <sz val="10"/>
      <color rgb="FFFFFFFF"/>
      <name val="微软雅黑"/>
      <family val="3"/>
      <charset val="134"/>
    </font>
    <font>
      <sz val="11"/>
      <color rgb="FF993366"/>
      <name val="微软雅黑"/>
      <family val="3"/>
      <charset val="134"/>
    </font>
    <font>
      <sz val="9"/>
      <color theme="1"/>
      <name val="微软雅黑"/>
      <family val="3"/>
      <charset val="134"/>
    </font>
    <font>
      <sz val="11"/>
      <name val="等线"/>
      <family val="2"/>
      <charset val="134"/>
    </font>
    <font>
      <sz val="9"/>
      <name val="微软雅黑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D4D7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45"/>
      </patternFill>
    </fill>
    <fill>
      <patternFill patternType="solid">
        <fgColor theme="0"/>
        <bgColor indexed="40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ck">
        <color indexed="1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/>
    <xf numFmtId="0" fontId="1" fillId="0" borderId="0"/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" fillId="0" borderId="0"/>
  </cellStyleXfs>
  <cellXfs count="270">
    <xf numFmtId="0" fontId="0" fillId="0" borderId="0" xfId="0"/>
    <xf numFmtId="0" fontId="12" fillId="0" borderId="0" xfId="4" applyFont="1" applyAlignment="1">
      <alignment vertical="center"/>
    </xf>
    <xf numFmtId="0" fontId="14" fillId="0" borderId="2" xfId="4" applyFont="1" applyBorder="1" applyAlignment="1">
      <alignment vertical="center"/>
    </xf>
    <xf numFmtId="0" fontId="15" fillId="0" borderId="2" xfId="4" applyFont="1" applyBorder="1" applyAlignment="1">
      <alignment horizontal="center" vertical="center"/>
    </xf>
    <xf numFmtId="0" fontId="16" fillId="5" borderId="6" xfId="5" applyFont="1" applyFill="1" applyBorder="1" applyAlignment="1">
      <alignment horizontal="center" vertical="center" wrapText="1" readingOrder="1"/>
    </xf>
    <xf numFmtId="0" fontId="17" fillId="0" borderId="0" xfId="6" applyFont="1"/>
    <xf numFmtId="2" fontId="17" fillId="0" borderId="2" xfId="6" applyNumberFormat="1" applyFont="1" applyBorder="1"/>
    <xf numFmtId="14" fontId="17" fillId="0" borderId="2" xfId="6" applyNumberFormat="1" applyFont="1" applyBorder="1"/>
    <xf numFmtId="0" fontId="17" fillId="0" borderId="2" xfId="6" applyFont="1" applyBorder="1"/>
    <xf numFmtId="0" fontId="5" fillId="0" borderId="0" xfId="0" applyFont="1" applyAlignment="1">
      <alignment horizontal="right" vertical="center" wrapText="1"/>
    </xf>
    <xf numFmtId="9" fontId="5" fillId="7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7" xfId="7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/>
    </xf>
    <xf numFmtId="0" fontId="22" fillId="8" borderId="7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 vertical="center"/>
    </xf>
    <xf numFmtId="0" fontId="24" fillId="0" borderId="0" xfId="0" applyFont="1"/>
    <xf numFmtId="0" fontId="6" fillId="0" borderId="0" xfId="0" applyFont="1"/>
    <xf numFmtId="0" fontId="26" fillId="9" borderId="10" xfId="0" applyFont="1" applyFill="1" applyBorder="1" applyAlignment="1">
      <alignment horizontal="left"/>
    </xf>
    <xf numFmtId="0" fontId="27" fillId="9" borderId="10" xfId="0" applyFont="1" applyFill="1" applyBorder="1" applyAlignment="1">
      <alignment horizontal="left"/>
    </xf>
    <xf numFmtId="0" fontId="28" fillId="9" borderId="10" xfId="0" applyFont="1" applyFill="1" applyBorder="1" applyAlignment="1">
      <alignment horizontal="left"/>
    </xf>
    <xf numFmtId="0" fontId="29" fillId="0" borderId="0" xfId="0" applyFont="1"/>
    <xf numFmtId="0" fontId="4" fillId="0" borderId="0" xfId="0" applyFont="1"/>
    <xf numFmtId="0" fontId="31" fillId="11" borderId="11" xfId="0" applyFont="1" applyFill="1" applyBorder="1" applyAlignment="1">
      <alignment vertical="center"/>
    </xf>
    <xf numFmtId="0" fontId="31" fillId="11" borderId="12" xfId="0" applyFont="1" applyFill="1" applyBorder="1" applyAlignment="1">
      <alignment vertical="center"/>
    </xf>
    <xf numFmtId="0" fontId="33" fillId="0" borderId="13" xfId="0" applyFont="1" applyBorder="1"/>
    <xf numFmtId="0" fontId="33" fillId="0" borderId="0" xfId="0" applyFont="1"/>
    <xf numFmtId="0" fontId="33" fillId="0" borderId="14" xfId="0" applyFont="1" applyBorder="1"/>
    <xf numFmtId="0" fontId="34" fillId="0" borderId="13" xfId="0" applyFont="1" applyBorder="1"/>
    <xf numFmtId="0" fontId="31" fillId="0" borderId="14" xfId="0" applyFont="1" applyBorder="1"/>
    <xf numFmtId="0" fontId="37" fillId="0" borderId="0" xfId="0" applyFont="1"/>
    <xf numFmtId="0" fontId="6" fillId="0" borderId="13" xfId="0" applyFont="1" applyBorder="1"/>
    <xf numFmtId="0" fontId="31" fillId="0" borderId="0" xfId="0" applyFont="1"/>
    <xf numFmtId="0" fontId="42" fillId="0" borderId="0" xfId="0" applyFont="1"/>
    <xf numFmtId="0" fontId="6" fillId="0" borderId="15" xfId="0" applyFont="1" applyBorder="1"/>
    <xf numFmtId="0" fontId="6" fillId="0" borderId="16" xfId="0" applyFont="1" applyBorder="1"/>
    <xf numFmtId="0" fontId="31" fillId="0" borderId="16" xfId="0" applyFont="1" applyBorder="1"/>
    <xf numFmtId="0" fontId="31" fillId="0" borderId="17" xfId="0" applyFont="1" applyBorder="1"/>
    <xf numFmtId="0" fontId="43" fillId="12" borderId="18" xfId="10" applyFont="1" applyFill="1" applyBorder="1"/>
    <xf numFmtId="0" fontId="24" fillId="0" borderId="0" xfId="10" applyFont="1"/>
    <xf numFmtId="0" fontId="45" fillId="0" borderId="0" xfId="10" applyFont="1"/>
    <xf numFmtId="0" fontId="27" fillId="0" borderId="0" xfId="10" applyFont="1" applyAlignment="1">
      <alignment horizontal="left"/>
    </xf>
    <xf numFmtId="0" fontId="28" fillId="0" borderId="0" xfId="10" applyFont="1" applyAlignment="1">
      <alignment horizontal="left"/>
    </xf>
    <xf numFmtId="0" fontId="4" fillId="0" borderId="0" xfId="10" applyFont="1" applyAlignment="1">
      <alignment horizontal="left"/>
    </xf>
    <xf numFmtId="49" fontId="5" fillId="0" borderId="0" xfId="0" applyNumberFormat="1" applyFont="1"/>
    <xf numFmtId="49" fontId="5" fillId="13" borderId="19" xfId="0" applyNumberFormat="1" applyFont="1" applyFill="1" applyBorder="1" applyAlignment="1">
      <alignment horizontal="center"/>
    </xf>
    <xf numFmtId="49" fontId="5" fillId="14" borderId="19" xfId="0" applyNumberFormat="1" applyFont="1" applyFill="1" applyBorder="1" applyAlignment="1">
      <alignment horizontal="center"/>
    </xf>
    <xf numFmtId="49" fontId="5" fillId="15" borderId="19" xfId="0" applyNumberFormat="1" applyFont="1" applyFill="1" applyBorder="1" applyAlignment="1">
      <alignment horizontal="center"/>
    </xf>
    <xf numFmtId="0" fontId="6" fillId="0" borderId="19" xfId="10" applyFont="1" applyBorder="1" applyAlignment="1">
      <alignment horizontal="center"/>
    </xf>
    <xf numFmtId="49" fontId="5" fillId="4" borderId="0" xfId="0" applyNumberFormat="1" applyFont="1" applyFill="1"/>
    <xf numFmtId="49" fontId="5" fillId="4" borderId="0" xfId="0" applyNumberFormat="1" applyFont="1" applyFill="1" applyAlignment="1">
      <alignment horizontal="center"/>
    </xf>
    <xf numFmtId="0" fontId="6" fillId="4" borderId="0" xfId="10" applyFont="1" applyFill="1" applyAlignment="1">
      <alignment horizontal="center"/>
    </xf>
    <xf numFmtId="0" fontId="6" fillId="0" borderId="0" xfId="10" applyFont="1" applyAlignment="1">
      <alignment horizontal="center"/>
    </xf>
    <xf numFmtId="49" fontId="24" fillId="0" borderId="0" xfId="0" applyNumberFormat="1" applyFont="1"/>
    <xf numFmtId="0" fontId="46" fillId="0" borderId="20" xfId="0" applyFont="1" applyBorder="1" applyAlignment="1">
      <alignment horizontal="center" textRotation="255"/>
    </xf>
    <xf numFmtId="0" fontId="24" fillId="16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48" fillId="4" borderId="0" xfId="0" applyFont="1" applyFill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 textRotation="255" wrapText="1"/>
    </xf>
    <xf numFmtId="49" fontId="50" fillId="0" borderId="0" xfId="0" applyNumberFormat="1" applyFont="1" applyAlignment="1">
      <alignment textRotation="255"/>
    </xf>
    <xf numFmtId="0" fontId="51" fillId="0" borderId="20" xfId="0" applyFont="1" applyBorder="1" applyAlignment="1">
      <alignment horizontal="center" textRotation="255"/>
    </xf>
    <xf numFmtId="0" fontId="5" fillId="4" borderId="0" xfId="0" applyFont="1" applyFill="1" applyAlignment="1">
      <alignment horizontal="center" textRotation="255"/>
    </xf>
    <xf numFmtId="0" fontId="24" fillId="0" borderId="0" xfId="0" applyFont="1" applyAlignment="1">
      <alignment horizontal="center" textRotation="255"/>
    </xf>
    <xf numFmtId="0" fontId="24" fillId="0" borderId="0" xfId="0" applyFont="1" applyAlignment="1">
      <alignment textRotation="255"/>
    </xf>
    <xf numFmtId="0" fontId="52" fillId="0" borderId="0" xfId="0" applyFont="1" applyAlignment="1">
      <alignment horizontal="center"/>
    </xf>
    <xf numFmtId="49" fontId="53" fillId="0" borderId="0" xfId="0" applyNumberFormat="1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center" vertical="center"/>
    </xf>
    <xf numFmtId="49" fontId="54" fillId="0" borderId="0" xfId="0" applyNumberFormat="1" applyFont="1" applyAlignment="1">
      <alignment horizontal="right"/>
    </xf>
    <xf numFmtId="0" fontId="55" fillId="0" borderId="0" xfId="0" applyFont="1" applyAlignment="1">
      <alignment horizontal="center"/>
    </xf>
    <xf numFmtId="49" fontId="24" fillId="4" borderId="0" xfId="0" applyNumberFormat="1" applyFont="1" applyFill="1" applyAlignment="1">
      <alignment horizont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4" fillId="0" borderId="0" xfId="0" applyFont="1"/>
    <xf numFmtId="49" fontId="24" fillId="0" borderId="0" xfId="0" applyNumberFormat="1" applyFont="1" applyAlignment="1">
      <alignment horizontal="center"/>
    </xf>
    <xf numFmtId="49" fontId="58" fillId="0" borderId="0" xfId="0" applyNumberFormat="1" applyFont="1" applyAlignment="1">
      <alignment horizontal="center"/>
    </xf>
    <xf numFmtId="49" fontId="48" fillId="0" borderId="0" xfId="0" applyNumberFormat="1" applyFont="1" applyAlignment="1">
      <alignment horizontal="center"/>
    </xf>
    <xf numFmtId="49" fontId="59" fillId="16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/>
    </xf>
    <xf numFmtId="0" fontId="5" fillId="16" borderId="0" xfId="0" applyFont="1" applyFill="1"/>
    <xf numFmtId="0" fontId="60" fillId="0" borderId="20" xfId="0" applyFont="1" applyBorder="1" applyAlignment="1">
      <alignment horizontal="center" textRotation="255"/>
    </xf>
    <xf numFmtId="0" fontId="24" fillId="0" borderId="14" xfId="0" applyFont="1" applyBorder="1"/>
    <xf numFmtId="0" fontId="5" fillId="0" borderId="0" xfId="0" applyFont="1"/>
    <xf numFmtId="49" fontId="47" fillId="16" borderId="21" xfId="0" applyNumberFormat="1" applyFont="1" applyFill="1" applyBorder="1" applyAlignment="1">
      <alignment horizontal="left" vertical="center"/>
    </xf>
    <xf numFmtId="49" fontId="47" fillId="16" borderId="22" xfId="0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right"/>
    </xf>
    <xf numFmtId="0" fontId="25" fillId="0" borderId="7" xfId="9" applyBorder="1" applyAlignment="1" applyProtection="1">
      <alignment horizontal="center" vertical="center" wrapText="1"/>
    </xf>
    <xf numFmtId="0" fontId="25" fillId="0" borderId="0" xfId="9" applyAlignment="1"/>
    <xf numFmtId="0" fontId="26" fillId="9" borderId="10" xfId="0" applyFont="1" applyFill="1" applyBorder="1" applyAlignment="1">
      <alignment horizontal="left" vertical="center"/>
    </xf>
    <xf numFmtId="0" fontId="28" fillId="9" borderId="10" xfId="0" applyFont="1" applyFill="1" applyBorder="1" applyAlignment="1">
      <alignment horizontal="left" vertical="center"/>
    </xf>
    <xf numFmtId="0" fontId="25" fillId="0" borderId="0" xfId="9" applyFill="1" applyAlignment="1">
      <alignment horizontal="left" vertical="center"/>
    </xf>
    <xf numFmtId="0" fontId="64" fillId="10" borderId="26" xfId="0" applyFont="1" applyFill="1" applyBorder="1" applyAlignment="1">
      <alignment horizontal="left" vertical="center"/>
    </xf>
    <xf numFmtId="0" fontId="31" fillId="11" borderId="27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25" fillId="0" borderId="7" xfId="9" applyFill="1" applyBorder="1" applyAlignment="1">
      <alignment horizontal="center" vertical="center"/>
    </xf>
    <xf numFmtId="0" fontId="24" fillId="17" borderId="0" xfId="0" applyFont="1" applyFill="1" applyAlignment="1">
      <alignment horizontal="center"/>
    </xf>
    <xf numFmtId="0" fontId="48" fillId="17" borderId="0" xfId="0" applyFont="1" applyFill="1" applyAlignment="1">
      <alignment horizontal="center"/>
    </xf>
    <xf numFmtId="0" fontId="5" fillId="17" borderId="0" xfId="0" applyFont="1" applyFill="1" applyAlignment="1">
      <alignment horizontal="center" textRotation="255" wrapText="1"/>
    </xf>
    <xf numFmtId="0" fontId="24" fillId="16" borderId="8" xfId="0" applyFont="1" applyFill="1" applyBorder="1" applyAlignment="1">
      <alignment horizontal="center"/>
    </xf>
    <xf numFmtId="49" fontId="5" fillId="17" borderId="0" xfId="0" applyNumberFormat="1" applyFont="1" applyFill="1" applyAlignment="1">
      <alignment horizontal="center"/>
    </xf>
    <xf numFmtId="49" fontId="6" fillId="17" borderId="0" xfId="0" applyNumberFormat="1" applyFont="1" applyFill="1" applyAlignment="1">
      <alignment horizontal="center"/>
    </xf>
    <xf numFmtId="49" fontId="40" fillId="17" borderId="0" xfId="0" applyNumberFormat="1" applyFont="1" applyFill="1" applyAlignment="1">
      <alignment horizontal="center"/>
    </xf>
    <xf numFmtId="49" fontId="24" fillId="17" borderId="0" xfId="0" applyNumberFormat="1" applyFont="1" applyFill="1" applyAlignment="1">
      <alignment horizontal="center"/>
    </xf>
    <xf numFmtId="49" fontId="65" fillId="17" borderId="8" xfId="0" applyNumberFormat="1" applyFont="1" applyFill="1" applyBorder="1" applyAlignment="1">
      <alignment horizontal="left" vertical="center" wrapText="1"/>
    </xf>
    <xf numFmtId="49" fontId="5" fillId="13" borderId="7" xfId="0" applyNumberFormat="1" applyFont="1" applyFill="1" applyBorder="1" applyAlignment="1">
      <alignment horizontal="left" vertical="center"/>
    </xf>
    <xf numFmtId="49" fontId="5" fillId="17" borderId="7" xfId="0" applyNumberFormat="1" applyFont="1" applyFill="1" applyBorder="1" applyAlignment="1">
      <alignment horizontal="left" vertical="center"/>
    </xf>
    <xf numFmtId="49" fontId="65" fillId="17" borderId="7" xfId="0" applyNumberFormat="1" applyFont="1" applyFill="1" applyBorder="1" applyAlignment="1">
      <alignment horizontal="left" vertical="center" wrapText="1"/>
    </xf>
    <xf numFmtId="0" fontId="66" fillId="18" borderId="13" xfId="0" applyFont="1" applyFill="1" applyBorder="1" applyAlignment="1">
      <alignment horizontal="right" vertical="center"/>
    </xf>
    <xf numFmtId="49" fontId="5" fillId="0" borderId="7" xfId="0" applyNumberFormat="1" applyFont="1" applyBorder="1" applyAlignment="1">
      <alignment horizontal="left"/>
    </xf>
    <xf numFmtId="0" fontId="66" fillId="0" borderId="13" xfId="0" applyFont="1" applyBorder="1" applyAlignment="1">
      <alignment horizontal="right" vertical="center"/>
    </xf>
    <xf numFmtId="0" fontId="51" fillId="0" borderId="0" xfId="0" applyFont="1" applyAlignment="1">
      <alignment horizontal="center" textRotation="255"/>
    </xf>
    <xf numFmtId="49" fontId="48" fillId="17" borderId="7" xfId="0" applyNumberFormat="1" applyFont="1" applyFill="1" applyBorder="1" applyAlignment="1">
      <alignment horizontal="center" vertical="center"/>
    </xf>
    <xf numFmtId="49" fontId="47" fillId="16" borderId="28" xfId="0" applyNumberFormat="1" applyFont="1" applyFill="1" applyBorder="1" applyAlignment="1">
      <alignment horizontal="left" vertical="center"/>
    </xf>
    <xf numFmtId="49" fontId="47" fillId="16" borderId="25" xfId="0" applyNumberFormat="1" applyFont="1" applyFill="1" applyBorder="1" applyAlignment="1">
      <alignment horizontal="left" vertical="center"/>
    </xf>
    <xf numFmtId="49" fontId="48" fillId="13" borderId="7" xfId="0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 textRotation="255"/>
    </xf>
    <xf numFmtId="49" fontId="29" fillId="17" borderId="7" xfId="0" applyNumberFormat="1" applyFont="1" applyFill="1" applyBorder="1" applyAlignment="1">
      <alignment horizontal="center" vertical="center"/>
    </xf>
    <xf numFmtId="0" fontId="29" fillId="17" borderId="7" xfId="0" applyFont="1" applyFill="1" applyBorder="1" applyAlignment="1">
      <alignment horizontal="center"/>
    </xf>
    <xf numFmtId="49" fontId="5" fillId="17" borderId="8" xfId="0" applyNumberFormat="1" applyFont="1" applyFill="1" applyBorder="1" applyAlignment="1">
      <alignment horizontal="left" vertical="center"/>
    </xf>
    <xf numFmtId="49" fontId="5" fillId="17" borderId="7" xfId="0" applyNumberFormat="1" applyFont="1" applyFill="1" applyBorder="1" applyAlignment="1">
      <alignment horizontal="left"/>
    </xf>
    <xf numFmtId="49" fontId="5" fillId="19" borderId="7" xfId="0" applyNumberFormat="1" applyFont="1" applyFill="1" applyBorder="1" applyAlignment="1">
      <alignment horizontal="left"/>
    </xf>
    <xf numFmtId="49" fontId="40" fillId="17" borderId="7" xfId="0" applyNumberFormat="1" applyFont="1" applyFill="1" applyBorder="1" applyAlignment="1">
      <alignment horizontal="left"/>
    </xf>
    <xf numFmtId="0" fontId="5" fillId="17" borderId="7" xfId="0" applyFont="1" applyFill="1" applyBorder="1" applyAlignment="1">
      <alignment horizontal="left"/>
    </xf>
    <xf numFmtId="0" fontId="24" fillId="0" borderId="7" xfId="0" applyFont="1" applyBorder="1" applyAlignment="1">
      <alignment horizontal="left"/>
    </xf>
    <xf numFmtId="47" fontId="24" fillId="0" borderId="7" xfId="0" applyNumberFormat="1" applyFont="1" applyBorder="1" applyAlignment="1">
      <alignment horizontal="left"/>
    </xf>
    <xf numFmtId="3" fontId="5" fillId="17" borderId="7" xfId="0" applyNumberFormat="1" applyFont="1" applyFill="1" applyBorder="1" applyAlignment="1">
      <alignment horizontal="left"/>
    </xf>
    <xf numFmtId="49" fontId="5" fillId="20" borderId="7" xfId="0" applyNumberFormat="1" applyFont="1" applyFill="1" applyBorder="1" applyAlignment="1">
      <alignment horizontal="left"/>
    </xf>
    <xf numFmtId="0" fontId="68" fillId="10" borderId="26" xfId="0" applyFont="1" applyFill="1" applyBorder="1" applyAlignment="1">
      <alignment horizontal="left" vertical="center"/>
    </xf>
    <xf numFmtId="49" fontId="5" fillId="0" borderId="8" xfId="0" applyNumberFormat="1" applyFont="1" applyBorder="1" applyAlignment="1">
      <alignment horizontal="left"/>
    </xf>
    <xf numFmtId="49" fontId="5" fillId="15" borderId="19" xfId="0" applyNumberFormat="1" applyFont="1" applyFill="1" applyBorder="1" applyAlignment="1">
      <alignment horizontal="left"/>
    </xf>
    <xf numFmtId="49" fontId="5" fillId="17" borderId="19" xfId="0" applyNumberFormat="1" applyFont="1" applyFill="1" applyBorder="1" applyAlignment="1">
      <alignment horizontal="left"/>
    </xf>
    <xf numFmtId="49" fontId="71" fillId="0" borderId="0" xfId="0" applyNumberFormat="1" applyFont="1" applyAlignment="1">
      <alignment horizontal="right"/>
    </xf>
    <xf numFmtId="0" fontId="54" fillId="0" borderId="0" xfId="0" applyFont="1" applyAlignment="1">
      <alignment horizontal="right"/>
    </xf>
    <xf numFmtId="49" fontId="72" fillId="0" borderId="0" xfId="0" applyNumberFormat="1" applyFont="1" applyAlignment="1">
      <alignment horizontal="center"/>
    </xf>
    <xf numFmtId="0" fontId="71" fillId="0" borderId="0" xfId="0" applyFont="1" applyAlignment="1">
      <alignment horizontal="right"/>
    </xf>
    <xf numFmtId="0" fontId="66" fillId="17" borderId="13" xfId="0" applyFont="1" applyFill="1" applyBorder="1" applyAlignment="1">
      <alignment horizontal="right" vertical="center"/>
    </xf>
    <xf numFmtId="49" fontId="5" fillId="17" borderId="0" xfId="0" applyNumberFormat="1" applyFont="1" applyFill="1" applyAlignment="1">
      <alignment horizontal="left"/>
    </xf>
    <xf numFmtId="49" fontId="75" fillId="0" borderId="7" xfId="0" applyNumberFormat="1" applyFont="1" applyBorder="1" applyAlignment="1">
      <alignment horizontal="left"/>
    </xf>
    <xf numFmtId="49" fontId="75" fillId="17" borderId="7" xfId="0" applyNumberFormat="1" applyFont="1" applyFill="1" applyBorder="1" applyAlignment="1">
      <alignment horizontal="left"/>
    </xf>
    <xf numFmtId="0" fontId="24" fillId="0" borderId="24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27" fillId="9" borderId="29" xfId="0" applyFont="1" applyFill="1" applyBorder="1" applyAlignment="1">
      <alignment horizontal="left" vertical="center"/>
    </xf>
    <xf numFmtId="0" fontId="0" fillId="0" borderId="14" xfId="0" applyBorder="1"/>
    <xf numFmtId="0" fontId="29" fillId="0" borderId="13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0" fillId="0" borderId="13" xfId="0" applyBorder="1"/>
    <xf numFmtId="0" fontId="38" fillId="0" borderId="0" xfId="0" applyFont="1" applyAlignment="1">
      <alignment horizontal="left"/>
    </xf>
    <xf numFmtId="49" fontId="5" fillId="17" borderId="0" xfId="0" applyNumberFormat="1" applyFont="1" applyFill="1" applyAlignment="1">
      <alignment horizontal="left" vertical="center"/>
    </xf>
    <xf numFmtId="49" fontId="65" fillId="17" borderId="0" xfId="0" applyNumberFormat="1" applyFont="1" applyFill="1" applyAlignment="1">
      <alignment horizontal="left" vertical="center" wrapText="1"/>
    </xf>
    <xf numFmtId="49" fontId="24" fillId="0" borderId="13" xfId="0" applyNumberFormat="1" applyFont="1" applyBorder="1"/>
    <xf numFmtId="0" fontId="29" fillId="0" borderId="13" xfId="0" applyFont="1" applyBorder="1" applyAlignment="1">
      <alignment horizontal="right"/>
    </xf>
    <xf numFmtId="0" fontId="48" fillId="0" borderId="14" xfId="0" applyFont="1" applyBorder="1" applyAlignment="1">
      <alignment horizontal="center"/>
    </xf>
    <xf numFmtId="49" fontId="50" fillId="0" borderId="13" xfId="0" applyNumberFormat="1" applyFont="1" applyBorder="1" applyAlignment="1">
      <alignment textRotation="255"/>
    </xf>
    <xf numFmtId="0" fontId="24" fillId="0" borderId="14" xfId="0" applyFont="1" applyBorder="1" applyAlignment="1">
      <alignment textRotation="255"/>
    </xf>
    <xf numFmtId="49" fontId="53" fillId="0" borderId="13" xfId="0" applyNumberFormat="1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77" fillId="0" borderId="0" xfId="0" applyNumberFormat="1" applyFont="1" applyAlignment="1">
      <alignment horizontal="right"/>
    </xf>
    <xf numFmtId="49" fontId="24" fillId="17" borderId="0" xfId="0" applyNumberFormat="1" applyFont="1" applyFill="1"/>
    <xf numFmtId="0" fontId="24" fillId="17" borderId="0" xfId="0" applyFont="1" applyFill="1"/>
    <xf numFmtId="0" fontId="54" fillId="17" borderId="0" xfId="0" applyFont="1" applyFill="1" applyAlignment="1">
      <alignment horizontal="center"/>
    </xf>
    <xf numFmtId="0" fontId="46" fillId="17" borderId="0" xfId="0" applyFont="1" applyFill="1" applyAlignment="1">
      <alignment horizontal="center" textRotation="255"/>
    </xf>
    <xf numFmtId="0" fontId="49" fillId="17" borderId="0" xfId="0" applyFont="1" applyFill="1" applyAlignment="1">
      <alignment horizontal="center" textRotation="255" wrapText="1"/>
    </xf>
    <xf numFmtId="49" fontId="50" fillId="17" borderId="0" xfId="0" applyNumberFormat="1" applyFont="1" applyFill="1" applyAlignment="1">
      <alignment textRotation="255"/>
    </xf>
    <xf numFmtId="0" fontId="51" fillId="17" borderId="0" xfId="0" applyFont="1" applyFill="1" applyAlignment="1">
      <alignment horizontal="center" textRotation="255"/>
    </xf>
    <xf numFmtId="0" fontId="52" fillId="17" borderId="0" xfId="0" applyFont="1" applyFill="1" applyAlignment="1">
      <alignment horizontal="center"/>
    </xf>
    <xf numFmtId="49" fontId="53" fillId="17" borderId="0" xfId="0" applyNumberFormat="1" applyFont="1" applyFill="1" applyAlignment="1">
      <alignment horizontal="center"/>
    </xf>
    <xf numFmtId="0" fontId="56" fillId="17" borderId="0" xfId="0" applyFont="1" applyFill="1" applyAlignment="1">
      <alignment horizontal="center" vertical="center"/>
    </xf>
    <xf numFmtId="49" fontId="54" fillId="17" borderId="0" xfId="0" applyNumberFormat="1" applyFont="1" applyFill="1" applyAlignment="1">
      <alignment horizontal="right"/>
    </xf>
    <xf numFmtId="0" fontId="55" fillId="17" borderId="0" xfId="0" applyFont="1" applyFill="1" applyAlignment="1">
      <alignment horizontal="center"/>
    </xf>
    <xf numFmtId="0" fontId="30" fillId="10" borderId="30" xfId="0" applyFont="1" applyFill="1" applyBorder="1" applyAlignment="1">
      <alignment vertical="center"/>
    </xf>
    <xf numFmtId="0" fontId="35" fillId="2" borderId="0" xfId="0" applyFont="1" applyFill="1" applyAlignment="1">
      <alignment horizontal="right"/>
    </xf>
    <xf numFmtId="0" fontId="35" fillId="2" borderId="0" xfId="0" applyFont="1" applyFill="1"/>
    <xf numFmtId="0" fontId="36" fillId="2" borderId="0" xfId="0" applyFont="1" applyFill="1"/>
    <xf numFmtId="0" fontId="33" fillId="2" borderId="0" xfId="0" applyFont="1" applyFill="1"/>
    <xf numFmtId="0" fontId="39" fillId="17" borderId="0" xfId="0" applyFont="1" applyFill="1"/>
    <xf numFmtId="0" fontId="39" fillId="17" borderId="14" xfId="0" applyFont="1" applyFill="1" applyBorder="1"/>
    <xf numFmtId="0" fontId="33" fillId="17" borderId="0" xfId="0" applyFont="1" applyFill="1"/>
    <xf numFmtId="0" fontId="5" fillId="17" borderId="0" xfId="0" applyFont="1" applyFill="1"/>
    <xf numFmtId="0" fontId="30" fillId="10" borderId="31" xfId="0" applyFont="1" applyFill="1" applyBorder="1" applyAlignment="1">
      <alignment vertical="center"/>
    </xf>
    <xf numFmtId="0" fontId="32" fillId="0" borderId="0" xfId="0" applyFont="1"/>
    <xf numFmtId="0" fontId="37" fillId="17" borderId="0" xfId="0" applyFont="1" applyFill="1"/>
    <xf numFmtId="0" fontId="31" fillId="17" borderId="0" xfId="0" applyFont="1" applyFill="1"/>
    <xf numFmtId="0" fontId="40" fillId="17" borderId="0" xfId="0" applyFont="1" applyFill="1"/>
    <xf numFmtId="0" fontId="41" fillId="0" borderId="0" xfId="0" applyFont="1"/>
    <xf numFmtId="0" fontId="31" fillId="17" borderId="0" xfId="0" applyFont="1" applyFill="1" applyAlignment="1">
      <alignment horizontal="left"/>
    </xf>
    <xf numFmtId="0" fontId="31" fillId="17" borderId="14" xfId="0" applyFont="1" applyFill="1" applyBorder="1" applyAlignment="1">
      <alignment horizontal="left"/>
    </xf>
    <xf numFmtId="49" fontId="48" fillId="17" borderId="0" xfId="0" applyNumberFormat="1" applyFont="1" applyFill="1" applyAlignment="1">
      <alignment horizontal="center" vertical="center"/>
    </xf>
    <xf numFmtId="49" fontId="24" fillId="17" borderId="0" xfId="0" applyNumberFormat="1" applyFont="1" applyFill="1" applyAlignment="1">
      <alignment horizontal="center" vertical="center"/>
    </xf>
    <xf numFmtId="49" fontId="29" fillId="17" borderId="0" xfId="0" applyNumberFormat="1" applyFont="1" applyFill="1" applyAlignment="1">
      <alignment textRotation="255"/>
    </xf>
    <xf numFmtId="49" fontId="29" fillId="17" borderId="0" xfId="0" applyNumberFormat="1" applyFont="1" applyFill="1" applyAlignment="1">
      <alignment textRotation="255" wrapText="1"/>
    </xf>
    <xf numFmtId="49" fontId="5" fillId="17" borderId="0" xfId="0" applyNumberFormat="1" applyFont="1" applyFill="1" applyAlignment="1">
      <alignment textRotation="255"/>
    </xf>
    <xf numFmtId="49" fontId="5" fillId="17" borderId="0" xfId="0" applyNumberFormat="1" applyFont="1" applyFill="1" applyAlignment="1">
      <alignment textRotation="255" wrapText="1"/>
    </xf>
    <xf numFmtId="49" fontId="5" fillId="17" borderId="0" xfId="0" applyNumberFormat="1" applyFont="1" applyFill="1" applyAlignment="1">
      <alignment horizontal="center" textRotation="255" wrapText="1"/>
    </xf>
    <xf numFmtId="49" fontId="5" fillId="17" borderId="0" xfId="0" applyNumberFormat="1" applyFont="1" applyFill="1" applyAlignment="1">
      <alignment horizontal="center" textRotation="255"/>
    </xf>
    <xf numFmtId="49" fontId="29" fillId="17" borderId="0" xfId="0" applyNumberFormat="1" applyFont="1" applyFill="1" applyAlignment="1">
      <alignment horizontal="center" textRotation="255"/>
    </xf>
    <xf numFmtId="0" fontId="5" fillId="17" borderId="0" xfId="0" applyFont="1" applyFill="1" applyAlignment="1">
      <alignment horizontal="center" textRotation="255"/>
    </xf>
    <xf numFmtId="49" fontId="5" fillId="17" borderId="0" xfId="0" applyNumberFormat="1" applyFont="1" applyFill="1" applyAlignment="1">
      <alignment horizontal="center" wrapText="1"/>
    </xf>
    <xf numFmtId="49" fontId="5" fillId="21" borderId="7" xfId="0" applyNumberFormat="1" applyFont="1" applyFill="1" applyBorder="1" applyAlignment="1">
      <alignment horizontal="left"/>
    </xf>
    <xf numFmtId="49" fontId="65" fillId="21" borderId="7" xfId="0" applyNumberFormat="1" applyFont="1" applyFill="1" applyBorder="1" applyAlignment="1">
      <alignment horizontal="left" vertical="center" wrapText="1"/>
    </xf>
    <xf numFmtId="0" fontId="5" fillId="21" borderId="7" xfId="0" applyFont="1" applyFill="1" applyBorder="1" applyAlignment="1">
      <alignment horizontal="left"/>
    </xf>
    <xf numFmtId="49" fontId="47" fillId="16" borderId="1" xfId="0" applyNumberFormat="1" applyFont="1" applyFill="1" applyBorder="1" applyAlignment="1">
      <alignment vertical="center"/>
    </xf>
    <xf numFmtId="49" fontId="47" fillId="16" borderId="9" xfId="0" applyNumberFormat="1" applyFont="1" applyFill="1" applyBorder="1" applyAlignment="1">
      <alignment vertical="center"/>
    </xf>
    <xf numFmtId="49" fontId="47" fillId="16" borderId="3" xfId="0" applyNumberFormat="1" applyFont="1" applyFill="1" applyBorder="1" applyAlignment="1">
      <alignment vertical="center"/>
    </xf>
    <xf numFmtId="49" fontId="23" fillId="0" borderId="7" xfId="0" applyNumberFormat="1" applyFont="1" applyBorder="1" applyAlignment="1">
      <alignment horizontal="left"/>
    </xf>
    <xf numFmtId="49" fontId="23" fillId="17" borderId="7" xfId="0" applyNumberFormat="1" applyFont="1" applyFill="1" applyBorder="1" applyAlignment="1">
      <alignment horizontal="left"/>
    </xf>
    <xf numFmtId="0" fontId="79" fillId="0" borderId="7" xfId="6" applyFont="1" applyBorder="1" applyAlignment="1">
      <alignment horizontal="center" vertical="center"/>
    </xf>
    <xf numFmtId="0" fontId="17" fillId="0" borderId="7" xfId="6" applyFont="1" applyBorder="1"/>
    <xf numFmtId="0" fontId="14" fillId="0" borderId="7" xfId="4" applyFont="1" applyBorder="1" applyAlignment="1">
      <alignment vertical="center"/>
    </xf>
    <xf numFmtId="14" fontId="17" fillId="0" borderId="7" xfId="6" applyNumberFormat="1" applyFont="1" applyBorder="1" applyAlignment="1">
      <alignment horizontal="center" vertical="center"/>
    </xf>
    <xf numFmtId="0" fontId="80" fillId="0" borderId="7" xfId="0" applyFont="1" applyBorder="1" applyAlignment="1">
      <alignment horizontal="left" vertical="center" wrapText="1"/>
    </xf>
    <xf numFmtId="0" fontId="31" fillId="17" borderId="7" xfId="0" applyFont="1" applyFill="1" applyBorder="1" applyAlignment="1">
      <alignment horizontal="left"/>
    </xf>
    <xf numFmtId="0" fontId="31" fillId="17" borderId="32" xfId="0" applyFont="1" applyFill="1" applyBorder="1" applyAlignment="1">
      <alignment horizontal="left"/>
    </xf>
    <xf numFmtId="0" fontId="38" fillId="0" borderId="26" xfId="0" applyFont="1" applyBorder="1" applyAlignment="1">
      <alignment horizontal="left"/>
    </xf>
    <xf numFmtId="0" fontId="78" fillId="0" borderId="7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14" fontId="14" fillId="0" borderId="2" xfId="4" applyNumberFormat="1" applyFont="1" applyBorder="1" applyAlignment="1">
      <alignment horizontal="center" vertical="center"/>
    </xf>
    <xf numFmtId="0" fontId="10" fillId="6" borderId="1" xfId="4" applyFont="1" applyFill="1" applyBorder="1" applyAlignment="1">
      <alignment horizontal="center" vertical="center"/>
    </xf>
    <xf numFmtId="0" fontId="10" fillId="6" borderId="4" xfId="4" applyFont="1" applyFill="1" applyBorder="1" applyAlignment="1">
      <alignment horizontal="center" vertical="center"/>
    </xf>
    <xf numFmtId="0" fontId="10" fillId="6" borderId="3" xfId="4" applyFont="1" applyFill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49" fontId="47" fillId="17" borderId="0" xfId="0" applyNumberFormat="1" applyFont="1" applyFill="1" applyAlignment="1">
      <alignment horizontal="left" vertical="center"/>
    </xf>
    <xf numFmtId="0" fontId="29" fillId="17" borderId="0" xfId="0" applyFont="1" applyFill="1" applyAlignment="1">
      <alignment horizontal="right"/>
    </xf>
    <xf numFmtId="0" fontId="44" fillId="12" borderId="18" xfId="10" applyFont="1" applyFill="1" applyBorder="1" applyAlignment="1">
      <alignment horizontal="left"/>
    </xf>
    <xf numFmtId="49" fontId="47" fillId="16" borderId="28" xfId="0" applyNumberFormat="1" applyFont="1" applyFill="1" applyBorder="1" applyAlignment="1">
      <alignment horizontal="left" vertical="center"/>
    </xf>
    <xf numFmtId="49" fontId="47" fillId="16" borderId="25" xfId="0" applyNumberFormat="1" applyFont="1" applyFill="1" applyBorder="1" applyAlignment="1">
      <alignment horizontal="left" vertical="center"/>
    </xf>
    <xf numFmtId="49" fontId="47" fillId="16" borderId="21" xfId="0" applyNumberFormat="1" applyFont="1" applyFill="1" applyBorder="1" applyAlignment="1">
      <alignment horizontal="left" vertical="center"/>
    </xf>
    <xf numFmtId="49" fontId="47" fillId="16" borderId="22" xfId="0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right"/>
    </xf>
    <xf numFmtId="0" fontId="29" fillId="0" borderId="20" xfId="0" applyFont="1" applyBorder="1" applyAlignment="1">
      <alignment horizontal="right"/>
    </xf>
    <xf numFmtId="0" fontId="61" fillId="17" borderId="0" xfId="0" applyFont="1" applyFill="1" applyAlignment="1">
      <alignment horizontal="left"/>
    </xf>
    <xf numFmtId="0" fontId="62" fillId="17" borderId="0" xfId="0" applyFont="1" applyFill="1" applyAlignment="1">
      <alignment horizontal="left"/>
    </xf>
    <xf numFmtId="49" fontId="47" fillId="16" borderId="23" xfId="0" applyNumberFormat="1" applyFont="1" applyFill="1" applyBorder="1" applyAlignment="1">
      <alignment horizontal="left" vertical="center"/>
    </xf>
    <xf numFmtId="49" fontId="47" fillId="16" borderId="0" xfId="0" applyNumberFormat="1" applyFont="1" applyFill="1" applyAlignment="1">
      <alignment horizontal="left" vertical="center"/>
    </xf>
    <xf numFmtId="49" fontId="47" fillId="16" borderId="1" xfId="0" applyNumberFormat="1" applyFont="1" applyFill="1" applyBorder="1" applyAlignment="1">
      <alignment horizontal="left" vertical="center"/>
    </xf>
    <xf numFmtId="49" fontId="47" fillId="16" borderId="9" xfId="0" applyNumberFormat="1" applyFont="1" applyFill="1" applyBorder="1" applyAlignment="1">
      <alignment horizontal="left" vertical="center"/>
    </xf>
    <xf numFmtId="49" fontId="47" fillId="16" borderId="3" xfId="0" applyNumberFormat="1" applyFont="1" applyFill="1" applyBorder="1" applyAlignment="1">
      <alignment horizontal="left" vertical="center"/>
    </xf>
  </cellXfs>
  <cellStyles count="11">
    <cellStyle name="ハイパーリンク 2" xfId="8" xr:uid="{D149D991-5776-4CD5-AAF4-AEFD62EAA993}"/>
    <cellStyle name="百分比" xfId="7" builtinId="5"/>
    <cellStyle name="标题" xfId="1" builtinId="15" hidden="1"/>
    <cellStyle name="标题 1" xfId="2" builtinId="16" hidden="1"/>
    <cellStyle name="標準 12" xfId="4" xr:uid="{2BAF3A1B-EF41-4FCB-8C53-3F485AF21B48}"/>
    <cellStyle name="標準 2" xfId="5" xr:uid="{013EF616-11C4-47C2-968D-263E3B0DFBF8}"/>
    <cellStyle name="標準 2 2" xfId="6" xr:uid="{92D69C64-EA5E-472F-9369-EA5A714066A4}"/>
    <cellStyle name="標準_com_calendar" xfId="3" xr:uid="{3F5F8C79-3F40-4195-AB61-8D095C796329}"/>
    <cellStyle name="標準_ＴＣＮ（4GL）" xfId="10" xr:uid="{1128C2DA-1FED-43C6-98CD-F56FD3B3A6CC}"/>
    <cellStyle name="常规" xfId="0" builtinId="0"/>
    <cellStyle name="超链接" xfId="9" builtinId="8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E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DD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5F5F5F"/>
      <rgbColor rgb="00993300"/>
      <rgbColor rgb="00993366"/>
      <rgbColor rgb="00333399"/>
      <rgbColor rgb="00333333"/>
    </indexedColors>
    <mruColors>
      <color rgb="FF99FF99"/>
      <color rgb="FFCCFFCC"/>
      <color rgb="FFCC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105227</xdr:rowOff>
    </xdr:from>
    <xdr:to>
      <xdr:col>9</xdr:col>
      <xdr:colOff>590550</xdr:colOff>
      <xdr:row>9</xdr:row>
      <xdr:rowOff>63500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40824CD-C5C0-4A4C-9FD9-C55F36393FA1}"/>
            </a:ext>
          </a:extLst>
        </xdr:cNvPr>
        <xdr:cNvSpPr>
          <a:spLocks noChangeArrowheads="1"/>
        </xdr:cNvSpPr>
      </xdr:nvSpPr>
      <xdr:spPr bwMode="auto">
        <a:xfrm>
          <a:off x="23812" y="1305377"/>
          <a:ext cx="5710238" cy="558348"/>
        </a:xfrm>
        <a:prstGeom prst="rect">
          <a:avLst/>
        </a:prstGeom>
        <a:solidFill>
          <a:srgbClr val="FFFFFF">
            <a:alpha val="7999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TCS(PLpgSQL)</a:t>
          </a:r>
        </a:p>
      </xdr:txBody>
    </xdr:sp>
    <xdr:clientData/>
  </xdr:twoCellAnchor>
  <xdr:twoCellAnchor>
    <xdr:from>
      <xdr:col>3</xdr:col>
      <xdr:colOff>60960</xdr:colOff>
      <xdr:row>17</xdr:row>
      <xdr:rowOff>49213</xdr:rowOff>
    </xdr:from>
    <xdr:to>
      <xdr:col>3</xdr:col>
      <xdr:colOff>198120</xdr:colOff>
      <xdr:row>17</xdr:row>
      <xdr:rowOff>171133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A4B78B9-999B-48C1-BBEE-EB557A01D44B}"/>
            </a:ext>
          </a:extLst>
        </xdr:cNvPr>
        <xdr:cNvSpPr/>
      </xdr:nvSpPr>
      <xdr:spPr>
        <a:xfrm>
          <a:off x="1518285" y="3449638"/>
          <a:ext cx="137160" cy="121920"/>
        </a:xfrm>
        <a:prstGeom prst="rect">
          <a:avLst/>
        </a:prstGeom>
        <a:solidFill>
          <a:srgbClr val="1D4D77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Global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599122</xdr:colOff>
      <xdr:row>17</xdr:row>
      <xdr:rowOff>45720</xdr:rowOff>
    </xdr:from>
    <xdr:to>
      <xdr:col>3</xdr:col>
      <xdr:colOff>730250</xdr:colOff>
      <xdr:row>17</xdr:row>
      <xdr:rowOff>174626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77F76B-C214-4A45-B42D-1109CCD78704}"/>
            </a:ext>
          </a:extLst>
        </xdr:cNvPr>
        <xdr:cNvSpPr/>
      </xdr:nvSpPr>
      <xdr:spPr>
        <a:xfrm>
          <a:off x="2056447" y="3446145"/>
          <a:ext cx="112078" cy="12890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Local [ *Region Name ]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</xdr:row>
      <xdr:rowOff>0</xdr:rowOff>
    </xdr:from>
    <xdr:to>
      <xdr:col>9</xdr:col>
      <xdr:colOff>2295525</xdr:colOff>
      <xdr:row>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A8DCEC8-F953-4CF1-80D7-C8508F91CF24}"/>
            </a:ext>
          </a:extLst>
        </xdr:cNvPr>
        <xdr:cNvSpPr>
          <a:spLocks noChangeArrowheads="1"/>
        </xdr:cNvSpPr>
      </xdr:nvSpPr>
      <xdr:spPr bwMode="auto">
        <a:xfrm>
          <a:off x="333375" y="1704975"/>
          <a:ext cx="65246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DD" mc:Ignorable="a14" a14:legacySpreadsheetColorIndex="43"/>
              </a:solidFill>
            </a14:hiddenFill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--- &lt;&lt;&lt; LG44LT020.4GL &gt;&gt;&gt; --------- ( Start Time : 2006-08-29 14:23:20 ) --- 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[cc3_acum_cost]   Delete Count =           2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[cc_acum_cost_dt] Select Count =           3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[cc3_acum_cost]   Insert Count =           3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--- &lt;&lt;&lt; LG44LT020.4GL &gt;&gt;&gt; --------- ( End   Time : 2006-08-29 14:23:21 ) --- ( Exec :   0:00:00.687 SEC ) --- 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7</xdr:col>
      <xdr:colOff>561975</xdr:colOff>
      <xdr:row>58</xdr:row>
      <xdr:rowOff>0</xdr:rowOff>
    </xdr:from>
    <xdr:to>
      <xdr:col>10</xdr:col>
      <xdr:colOff>314325</xdr:colOff>
      <xdr:row>58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A6CB29-39B1-4C52-AD04-E177D565F59D}"/>
            </a:ext>
          </a:extLst>
        </xdr:cNvPr>
        <xdr:cNvSpPr>
          <a:spLocks noChangeArrowheads="1"/>
        </xdr:cNvSpPr>
      </xdr:nvSpPr>
      <xdr:spPr bwMode="auto">
        <a:xfrm>
          <a:off x="5057775" y="12020550"/>
          <a:ext cx="21145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where　 a．serial_no  = b．serial_no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　and　 a．data_seq  = l_data_seq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　　   and　 b．y_itemno  = r_y_itemno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order by　 b．transfer_date</a:t>
          </a:r>
        </a:p>
      </xdr:txBody>
    </xdr:sp>
    <xdr:clientData/>
  </xdr:twoCellAnchor>
  <xdr:twoCellAnchor>
    <xdr:from>
      <xdr:col>8</xdr:col>
      <xdr:colOff>409575</xdr:colOff>
      <xdr:row>58</xdr:row>
      <xdr:rowOff>0</xdr:rowOff>
    </xdr:from>
    <xdr:to>
      <xdr:col>8</xdr:col>
      <xdr:colOff>800100</xdr:colOff>
      <xdr:row>58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1726696-FAAC-48A9-AC9B-56EAD6A46AE4}"/>
            </a:ext>
          </a:extLst>
        </xdr:cNvPr>
        <xdr:cNvSpPr>
          <a:spLocks noChangeArrowheads="1"/>
        </xdr:cNvSpPr>
      </xdr:nvSpPr>
      <xdr:spPr bwMode="auto">
        <a:xfrm>
          <a:off x="5619750" y="12020550"/>
          <a:ext cx="390525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495300</xdr:colOff>
      <xdr:row>37</xdr:row>
      <xdr:rowOff>0</xdr:rowOff>
    </xdr:from>
    <xdr:to>
      <xdr:col>14</xdr:col>
      <xdr:colOff>361950</xdr:colOff>
      <xdr:row>37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C6D7AD3-56FB-499B-AD29-A81A8F51EEF3}"/>
            </a:ext>
          </a:extLst>
        </xdr:cNvPr>
        <xdr:cNvSpPr>
          <a:spLocks noChangeArrowheads="1"/>
        </xdr:cNvSpPr>
      </xdr:nvSpPr>
      <xdr:spPr bwMode="auto">
        <a:xfrm>
          <a:off x="8782050" y="7515225"/>
          <a:ext cx="1238250" cy="0"/>
        </a:xfrm>
        <a:prstGeom prst="wedgeRectCallout">
          <a:avLst>
            <a:gd name="adj1" fmla="val -20000"/>
            <a:gd name="adj2" fmla="val -150000"/>
          </a:avLst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引数：200409で実行</a:t>
          </a:r>
        </a:p>
      </xdr:txBody>
    </xdr:sp>
    <xdr:clientData/>
  </xdr:twoCellAnchor>
  <xdr:twoCellAnchor>
    <xdr:from>
      <xdr:col>10</xdr:col>
      <xdr:colOff>628650</xdr:colOff>
      <xdr:row>58</xdr:row>
      <xdr:rowOff>0</xdr:rowOff>
    </xdr:from>
    <xdr:to>
      <xdr:col>10</xdr:col>
      <xdr:colOff>742950</xdr:colOff>
      <xdr:row>58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DADA28D6-ED9F-4CE5-98EB-EA9BD0C27322}"/>
            </a:ext>
          </a:extLst>
        </xdr:cNvPr>
        <xdr:cNvSpPr>
          <a:spLocks noChangeArrowheads="1"/>
        </xdr:cNvSpPr>
      </xdr:nvSpPr>
      <xdr:spPr bwMode="auto">
        <a:xfrm>
          <a:off x="7486650" y="12020550"/>
          <a:ext cx="1143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514350</xdr:colOff>
      <xdr:row>3</xdr:row>
      <xdr:rowOff>0</xdr:rowOff>
    </xdr:from>
    <xdr:to>
      <xdr:col>15</xdr:col>
      <xdr:colOff>180975</xdr:colOff>
      <xdr:row>7</xdr:row>
      <xdr:rowOff>0</xdr:rowOff>
    </xdr:to>
    <xdr:sp macro="" textlink="">
      <xdr:nvSpPr>
        <xdr:cNvPr id="11" name="AutoShape 22">
          <a:extLst>
            <a:ext uri="{FF2B5EF4-FFF2-40B4-BE49-F238E27FC236}">
              <a16:creationId xmlns:a16="http://schemas.microsoft.com/office/drawing/2014/main" id="{31164851-C4FD-415B-BD5D-4B5403FE7606}"/>
            </a:ext>
          </a:extLst>
        </xdr:cNvPr>
        <xdr:cNvSpPr>
          <a:spLocks noChangeArrowheads="1"/>
        </xdr:cNvSpPr>
      </xdr:nvSpPr>
      <xdr:spPr bwMode="auto">
        <a:xfrm>
          <a:off x="6572250" y="676275"/>
          <a:ext cx="3952875" cy="685800"/>
        </a:xfrm>
        <a:prstGeom prst="wedgeRoundRectCallout">
          <a:avLst>
            <a:gd name="adj1" fmla="val -61565"/>
            <a:gd name="adj2" fmla="val -3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DD" mc:Ignorable="a14" a14:legacySpreadsheetColorIndex="43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"更新項目"や"削除項目"への色分けが必要な場合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開発者は任意の色を指定し、テストデータと対応させる。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&#65297;&#65296;&#32076;&#21942;/&#26376;&#27425;&#27770;&#31639;/&#65296;&#65299;&#19979;&#26399;/&#26376;&#27425;&#27770;&#31639;/&#19978;&#26399;&#20206;&#27770;&#31639;&#22577;&#21578;&#32207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L\&#35937;&#23679;&#22269;&#36816;\&#22269;&#36816;\&#23457;&#35745;&#35760;&#24405;\&#25253;&#34920;&#35843;&#25972;_&#22269;&#36816;&#26412;&#37096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z1399\Desktop\IC&#22522;&#26412;&#35373;&#35336;\&#25104;&#26524;&#29289;&#12481;&#12455;&#12483;&#12463;\Java&#12496;&#12483;&#12481;\20250801\LDAJ0001_&#31292;&#20685;&#29366;&#27841;&#22793;&#26356;_&#12496;&#12483;&#12481;&#27231;&#33021;&#20181;&#27096;&#26360;_v1.00.xlsx" TargetMode="External"/><Relationship Id="rId1" Type="http://schemas.openxmlformats.org/officeDocument/2006/relationships/externalLinkPath" Target="https://globalymc.sharepoint.com/sites/YMSL_Teams_Sumafu_ERPgai/Shared%20Documents/00&#65294;&#29983;&#29987;&#35519;&#36948;&#12471;&#12473;&#12486;&#12512;&#37096;&#20849;&#36890;/10_YNS&#29983;&#29987;&#35519;&#36948;&#25913;&#38761;PJ/60_&#30456;&#35527;&#12539;&#26908;&#35342;&#20107;&#38917;/TCS&#26908;&#35342;/TCS&#12486;&#12531;&#12503;&#12524;&#12540;&#12488;/IC&#22522;&#26412;&#35373;&#35336;/&#25104;&#26524;&#29289;&#12481;&#12455;&#12483;&#12463;/Java&#12496;&#12483;&#12481;/20250801/LDAJ0001_&#31292;&#20685;&#29366;&#27841;&#22793;&#26356;_&#12496;&#12483;&#12481;&#27231;&#33021;&#20181;&#27096;&#26360;_v1.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zhouzhengchun/&#22825;&#20581;&#21326;&#22825;2003/&#25253;&#34920;&#35843;&#25972;&#31995;&#32479;-&#25253;&#20851;&#34892;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GAS\doc\KINMU\XLS\&#26085;&#39640;\&#21220;&#24608;&#34920;&#26085;&#39640;0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期仮決算報告総表"/>
    </sheetNames>
    <definedNames>
      <definedName name="BS入力"/>
      <definedName name="PL入力"/>
      <definedName name="コメント入力"/>
      <definedName name="売上入力"/>
      <definedName name="人員入力"/>
      <definedName name="総表印刷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  <sheetName val="初期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菜单"/>
      <sheetName val="导引表"/>
      <sheetName val="未审BS"/>
      <sheetName val="图表1"/>
      <sheetName val="未审IS"/>
      <sheetName val="未审分析"/>
      <sheetName val="AJE"/>
      <sheetName val="RJE"/>
      <sheetName val="TB_BS"/>
      <sheetName val="TB_IS"/>
      <sheetName val="TAX"/>
      <sheetName val="已审BS"/>
      <sheetName val="已审IS"/>
      <sheetName val="现金流量表"/>
      <sheetName val="CF_基础数据"/>
      <sheetName val="CF_前导表"/>
      <sheetName val="CF_补充分录"/>
      <sheetName val="CF_分析分录"/>
      <sheetName val="已审CF"/>
      <sheetName val="已审分析"/>
      <sheetName val="比率分析表"/>
      <sheetName val="分录"/>
      <sheetName val="评价标准"/>
      <sheetName val="报表调整_国运本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更新履歴"/>
      <sheetName val="処理概要"/>
      <sheetName val="バッチ機能仕様"/>
      <sheetName val="ファイル編集仕様書(ファイルIDorIF_ID)"/>
      <sheetName val="帳票編集仕様書(帳票ID)"/>
      <sheetName val="入出力一覧"/>
      <sheetName val="ファイルレイアウト"/>
      <sheetName val="帳票概要・レイアウト"/>
      <sheetName val="帳票項目定義"/>
      <sheetName val="概要図凡例"/>
      <sheetName val="入力選択肢"/>
      <sheetName val="補足１"/>
      <sheetName val="サンプル→"/>
      <sheetName val="処理概要_sample"/>
      <sheetName val="バッチ機能仕様_sample"/>
      <sheetName val="帳票編集仕様書(REP001)_sample"/>
      <sheetName val="入出力一覧_sample"/>
      <sheetName val="LDAJ0001_稼働状況変更_バッチ機能仕様書_v1.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  <sheetName val="分录"/>
    </sheetNames>
    <sheetDataSet>
      <sheetData sheetId="0" refreshError="1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  <sheetName val="已审CF"/>
      <sheetName val="BaseSheet1"/>
      <sheetName val="勤怠表日高0012"/>
      <sheetName val="JOBID"/>
      <sheetName val="代表ID"/>
      <sheetName val="見積基礎値"/>
      <sheetName val="見積り内訳"/>
      <sheetName val="仕入業者コード"/>
      <sheetName val="得意先コード"/>
      <sheetName val="WBS1"/>
      <sheetName val="基本契約KFC"/>
      <sheetName val="選択肢"/>
      <sheetName val="ｼﾞｪﾈﾚｰﾄ準備"/>
      <sheetName val="工数"/>
      <sheetName val="間接・販管費率"/>
      <sheetName val="データディクショナリィ"/>
      <sheetName val="査読ｼｰﾄ"/>
      <sheetName val="決定一覧９年度"/>
      <sheetName val="マスタ"/>
      <sheetName val="作業手順書"/>
      <sheetName val="作業手順書（復旧手順）"/>
      <sheetName val="体制図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EF5B-C835-4400-AC81-D786F6122B44}">
  <sheetPr codeName="Sheet1"/>
  <dimension ref="B12:H28"/>
  <sheetViews>
    <sheetView showGridLines="0" tabSelected="1" zoomScale="130" zoomScaleNormal="130" workbookViewId="0"/>
  </sheetViews>
  <sheetFormatPr defaultColWidth="9.36328125" defaultRowHeight="15"/>
  <cols>
    <col min="1" max="1" width="4.54296875" style="1" customWidth="1"/>
    <col min="2" max="2" width="8.08984375" style="1" customWidth="1"/>
    <col min="3" max="8" width="9.36328125" style="1"/>
    <col min="9" max="9" width="1.453125" style="1" customWidth="1"/>
    <col min="10" max="16384" width="9.36328125" style="1"/>
  </cols>
  <sheetData>
    <row r="12" spans="2:8">
      <c r="B12" s="238" t="s">
        <v>5</v>
      </c>
      <c r="C12" s="240"/>
      <c r="D12" s="238" t="s">
        <v>6</v>
      </c>
      <c r="E12" s="240"/>
      <c r="F12" s="238" t="s">
        <v>7</v>
      </c>
      <c r="G12" s="239"/>
      <c r="H12" s="240"/>
    </row>
    <row r="13" spans="2:8">
      <c r="B13" s="243" t="s">
        <v>3</v>
      </c>
      <c r="C13" s="245"/>
      <c r="D13" s="249" t="s">
        <v>137</v>
      </c>
      <c r="E13" s="249"/>
      <c r="F13" s="250" t="s">
        <v>138</v>
      </c>
      <c r="G13" s="250"/>
      <c r="H13" s="250"/>
    </row>
    <row r="16" spans="2:8">
      <c r="B16" s="238" t="s">
        <v>8</v>
      </c>
      <c r="C16" s="240"/>
      <c r="D16" s="243" t="s">
        <v>9</v>
      </c>
      <c r="E16" s="244"/>
      <c r="F16" s="244"/>
      <c r="G16" s="244"/>
      <c r="H16" s="245"/>
    </row>
    <row r="17" spans="2:8">
      <c r="B17" s="238" t="s">
        <v>10</v>
      </c>
      <c r="C17" s="240"/>
      <c r="D17" s="243"/>
      <c r="E17" s="244"/>
      <c r="F17" s="244"/>
      <c r="G17" s="244"/>
      <c r="H17" s="245"/>
    </row>
    <row r="18" spans="2:8">
      <c r="B18" s="238" t="s">
        <v>11</v>
      </c>
      <c r="C18" s="240"/>
      <c r="D18" s="246"/>
      <c r="E18" s="247"/>
      <c r="F18" s="247"/>
      <c r="G18" s="247"/>
      <c r="H18" s="248"/>
    </row>
    <row r="20" spans="2:8">
      <c r="B20" s="238" t="s">
        <v>12</v>
      </c>
      <c r="C20" s="239"/>
      <c r="D20" s="239"/>
      <c r="E20" s="239"/>
      <c r="F20" s="239"/>
      <c r="G20" s="239"/>
      <c r="H20" s="240"/>
    </row>
    <row r="21" spans="2:8">
      <c r="B21" s="2"/>
      <c r="C21" s="241" t="s">
        <v>1</v>
      </c>
      <c r="D21" s="242"/>
      <c r="E21" s="241" t="s">
        <v>0</v>
      </c>
      <c r="F21" s="242"/>
      <c r="G21" s="241" t="s">
        <v>13</v>
      </c>
      <c r="H21" s="242"/>
    </row>
    <row r="22" spans="2:8">
      <c r="B22" s="3" t="s">
        <v>14</v>
      </c>
      <c r="C22" s="236" t="s">
        <v>640</v>
      </c>
      <c r="D22" s="236"/>
      <c r="E22" s="236"/>
      <c r="F22" s="236"/>
      <c r="G22" s="236"/>
      <c r="H22" s="236"/>
    </row>
    <row r="23" spans="2:8">
      <c r="B23" s="3" t="s">
        <v>2</v>
      </c>
      <c r="C23" s="237">
        <v>45947</v>
      </c>
      <c r="D23" s="236"/>
      <c r="E23" s="237"/>
      <c r="F23" s="236"/>
      <c r="G23" s="237"/>
      <c r="H23" s="236"/>
    </row>
    <row r="25" spans="2:8">
      <c r="B25" s="238" t="s">
        <v>15</v>
      </c>
      <c r="C25" s="239"/>
      <c r="D25" s="239"/>
      <c r="E25" s="239"/>
      <c r="F25" s="239"/>
      <c r="G25" s="239"/>
      <c r="H25" s="240"/>
    </row>
    <row r="26" spans="2:8">
      <c r="B26" s="2"/>
      <c r="C26" s="241" t="s">
        <v>16</v>
      </c>
      <c r="D26" s="242"/>
      <c r="E26" s="241" t="s">
        <v>0</v>
      </c>
      <c r="F26" s="242"/>
      <c r="G26" s="241" t="s">
        <v>13</v>
      </c>
      <c r="H26" s="242"/>
    </row>
    <row r="27" spans="2:8">
      <c r="B27" s="3" t="s">
        <v>14</v>
      </c>
      <c r="C27" s="234" t="s">
        <v>635</v>
      </c>
      <c r="D27" s="235"/>
      <c r="E27" s="236"/>
      <c r="F27" s="236"/>
      <c r="G27" s="236"/>
      <c r="H27" s="236"/>
    </row>
    <row r="28" spans="2:8">
      <c r="B28" s="3" t="s">
        <v>2</v>
      </c>
      <c r="C28" s="237">
        <v>45957</v>
      </c>
      <c r="D28" s="236"/>
      <c r="E28" s="237"/>
      <c r="F28" s="236"/>
      <c r="G28" s="237"/>
      <c r="H28" s="236"/>
    </row>
  </sheetData>
  <mergeCells count="32">
    <mergeCell ref="B12:C12"/>
    <mergeCell ref="D12:E12"/>
    <mergeCell ref="F12:H12"/>
    <mergeCell ref="B13:C13"/>
    <mergeCell ref="D13:E13"/>
    <mergeCell ref="F13:H13"/>
    <mergeCell ref="B16:C16"/>
    <mergeCell ref="D16:H16"/>
    <mergeCell ref="B17:C17"/>
    <mergeCell ref="D17:H17"/>
    <mergeCell ref="B18:C18"/>
    <mergeCell ref="D18:H18"/>
    <mergeCell ref="B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B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7DBC-3145-4791-B23A-D2687C76D98E}">
  <sheetPr codeName="Sheet2"/>
  <dimension ref="B2:L27"/>
  <sheetViews>
    <sheetView zoomScaleNormal="100" zoomScaleSheetLayoutView="100" workbookViewId="0">
      <selection activeCell="E3" sqref="E3"/>
    </sheetView>
  </sheetViews>
  <sheetFormatPr defaultColWidth="7.453125" defaultRowHeight="15"/>
  <cols>
    <col min="1" max="1" width="2.90625" style="5" customWidth="1"/>
    <col min="2" max="2" width="6.26953125" style="5" bestFit="1" customWidth="1"/>
    <col min="3" max="3" width="13.90625" style="5" bestFit="1" customWidth="1"/>
    <col min="4" max="4" width="8" style="5" customWidth="1"/>
    <col min="5" max="5" width="13.36328125" style="5" customWidth="1"/>
    <col min="6" max="6" width="42" style="5" customWidth="1"/>
    <col min="7" max="7" width="11.08984375" style="5" bestFit="1" customWidth="1"/>
    <col min="8" max="8" width="8" style="5" customWidth="1"/>
    <col min="9" max="9" width="11.08984375" style="5" bestFit="1" customWidth="1"/>
    <col min="10" max="10" width="8" style="5" customWidth="1"/>
    <col min="11" max="11" width="44.08984375" style="5" customWidth="1"/>
    <col min="12" max="12" width="3.6328125" style="5" customWidth="1"/>
    <col min="13" max="16384" width="7.453125" style="5"/>
  </cols>
  <sheetData>
    <row r="2" spans="2:12">
      <c r="B2" s="4" t="s">
        <v>17</v>
      </c>
      <c r="C2" s="4" t="s">
        <v>18</v>
      </c>
      <c r="D2" s="4" t="s">
        <v>4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</row>
    <row r="3" spans="2:12">
      <c r="B3" s="6">
        <v>1</v>
      </c>
      <c r="C3" s="229">
        <v>45957</v>
      </c>
      <c r="D3" s="226" t="s">
        <v>635</v>
      </c>
      <c r="E3" s="228"/>
      <c r="F3" s="227" t="s">
        <v>633</v>
      </c>
      <c r="G3" s="7"/>
      <c r="H3" s="8"/>
      <c r="I3" s="7"/>
      <c r="J3" s="8"/>
      <c r="K3" s="8"/>
      <c r="L3" s="5" t="s">
        <v>26</v>
      </c>
    </row>
    <row r="4" spans="2:12">
      <c r="B4" s="6"/>
      <c r="C4" s="8"/>
      <c r="D4" s="8"/>
      <c r="E4" s="8"/>
      <c r="F4" s="8"/>
      <c r="G4" s="8"/>
      <c r="H4" s="8"/>
      <c r="I4" s="8"/>
      <c r="J4" s="8"/>
      <c r="K4" s="8"/>
      <c r="L4" s="5" t="s">
        <v>26</v>
      </c>
    </row>
    <row r="5" spans="2:12">
      <c r="B5" s="6"/>
      <c r="C5" s="8"/>
      <c r="D5" s="8"/>
      <c r="E5" s="8"/>
      <c r="F5" s="8"/>
      <c r="G5" s="8"/>
      <c r="H5" s="8"/>
      <c r="I5" s="8"/>
      <c r="J5" s="8"/>
      <c r="K5" s="8"/>
      <c r="L5" s="5" t="s">
        <v>26</v>
      </c>
    </row>
    <row r="6" spans="2:12">
      <c r="B6" s="6"/>
      <c r="C6" s="8"/>
      <c r="D6" s="8"/>
      <c r="E6" s="8"/>
      <c r="F6" s="8"/>
      <c r="G6" s="8"/>
      <c r="H6" s="8"/>
      <c r="I6" s="8"/>
      <c r="J6" s="8"/>
      <c r="K6" s="8"/>
      <c r="L6" s="5" t="s">
        <v>26</v>
      </c>
    </row>
    <row r="7" spans="2:12">
      <c r="B7" s="6"/>
      <c r="C7" s="8"/>
      <c r="D7" s="8"/>
      <c r="E7" s="8"/>
      <c r="F7" s="8"/>
      <c r="G7" s="8"/>
      <c r="H7" s="8"/>
      <c r="I7" s="8"/>
      <c r="J7" s="8"/>
      <c r="K7" s="8"/>
      <c r="L7" s="5" t="s">
        <v>26</v>
      </c>
    </row>
    <row r="8" spans="2:12">
      <c r="B8" s="6"/>
      <c r="C8" s="8"/>
      <c r="D8" s="8"/>
      <c r="E8" s="8"/>
      <c r="F8" s="8"/>
      <c r="G8" s="8"/>
      <c r="H8" s="8"/>
      <c r="I8" s="8"/>
      <c r="J8" s="8"/>
      <c r="K8" s="8"/>
      <c r="L8" s="5" t="s">
        <v>26</v>
      </c>
    </row>
    <row r="9" spans="2:12">
      <c r="B9" s="6"/>
      <c r="C9" s="8"/>
      <c r="D9" s="8"/>
      <c r="E9" s="8"/>
      <c r="F9" s="8"/>
      <c r="G9" s="8"/>
      <c r="H9" s="8"/>
      <c r="I9" s="8"/>
      <c r="J9" s="8"/>
      <c r="K9" s="8"/>
      <c r="L9" s="5" t="s">
        <v>26</v>
      </c>
    </row>
    <row r="10" spans="2:12">
      <c r="B10" s="6"/>
      <c r="C10" s="8"/>
      <c r="D10" s="8"/>
      <c r="E10" s="8"/>
      <c r="F10" s="8"/>
      <c r="G10" s="8"/>
      <c r="H10" s="8"/>
      <c r="I10" s="8"/>
      <c r="J10" s="8"/>
      <c r="K10" s="8"/>
      <c r="L10" s="5" t="s">
        <v>26</v>
      </c>
    </row>
    <row r="11" spans="2:12">
      <c r="B11" s="6"/>
      <c r="C11" s="8"/>
      <c r="D11" s="8"/>
      <c r="E11" s="8"/>
      <c r="F11" s="8"/>
      <c r="G11" s="8"/>
      <c r="H11" s="8"/>
      <c r="I11" s="8"/>
      <c r="J11" s="8"/>
      <c r="K11" s="8"/>
      <c r="L11" s="5" t="s">
        <v>26</v>
      </c>
    </row>
    <row r="12" spans="2:12">
      <c r="B12" s="6"/>
      <c r="C12" s="8"/>
      <c r="D12" s="8"/>
      <c r="E12" s="8"/>
      <c r="F12" s="8"/>
      <c r="G12" s="8"/>
      <c r="H12" s="8"/>
      <c r="I12" s="8"/>
      <c r="J12" s="8"/>
      <c r="K12" s="8"/>
      <c r="L12" s="5" t="s">
        <v>26</v>
      </c>
    </row>
    <row r="13" spans="2:12">
      <c r="B13" s="6"/>
      <c r="C13" s="8"/>
      <c r="D13" s="8"/>
      <c r="E13" s="8"/>
      <c r="F13" s="8"/>
      <c r="G13" s="8"/>
      <c r="H13" s="8"/>
      <c r="I13" s="8"/>
      <c r="J13" s="8"/>
      <c r="K13" s="8"/>
      <c r="L13" s="5" t="s">
        <v>26</v>
      </c>
    </row>
    <row r="14" spans="2:12">
      <c r="B14" s="6"/>
      <c r="C14" s="8"/>
      <c r="D14" s="8"/>
      <c r="E14" s="8"/>
      <c r="F14" s="8"/>
      <c r="G14" s="8"/>
      <c r="H14" s="8"/>
      <c r="I14" s="8"/>
      <c r="J14" s="8"/>
      <c r="K14" s="8"/>
      <c r="L14" s="5" t="s">
        <v>26</v>
      </c>
    </row>
    <row r="15" spans="2:12">
      <c r="B15" s="6"/>
      <c r="C15" s="8"/>
      <c r="D15" s="8"/>
      <c r="E15" s="8"/>
      <c r="F15" s="8"/>
      <c r="G15" s="8"/>
      <c r="H15" s="8"/>
      <c r="I15" s="8"/>
      <c r="J15" s="8"/>
      <c r="K15" s="8"/>
      <c r="L15" s="5" t="s">
        <v>26</v>
      </c>
    </row>
    <row r="16" spans="2:12">
      <c r="B16" s="6"/>
      <c r="C16" s="8"/>
      <c r="D16" s="8"/>
      <c r="E16" s="8"/>
      <c r="F16" s="8"/>
      <c r="G16" s="8"/>
      <c r="H16" s="8"/>
      <c r="I16" s="8"/>
      <c r="J16" s="8"/>
      <c r="K16" s="8"/>
      <c r="L16" s="5" t="s">
        <v>26</v>
      </c>
    </row>
    <row r="17" spans="2:12">
      <c r="B17" s="6"/>
      <c r="C17" s="8"/>
      <c r="D17" s="8"/>
      <c r="E17" s="8"/>
      <c r="F17" s="8"/>
      <c r="G17" s="8"/>
      <c r="H17" s="8"/>
      <c r="I17" s="8"/>
      <c r="J17" s="8"/>
      <c r="K17" s="8"/>
      <c r="L17" s="5" t="s">
        <v>26</v>
      </c>
    </row>
    <row r="18" spans="2:12">
      <c r="B18" s="6"/>
      <c r="C18" s="8"/>
      <c r="D18" s="8"/>
      <c r="E18" s="8"/>
      <c r="F18" s="8"/>
      <c r="G18" s="8"/>
      <c r="H18" s="8"/>
      <c r="I18" s="8"/>
      <c r="J18" s="8"/>
      <c r="K18" s="8"/>
      <c r="L18" s="5" t="s">
        <v>26</v>
      </c>
    </row>
    <row r="19" spans="2:12">
      <c r="B19" s="6"/>
      <c r="C19" s="8"/>
      <c r="D19" s="8"/>
      <c r="E19" s="8"/>
      <c r="F19" s="8"/>
      <c r="G19" s="8"/>
      <c r="H19" s="8"/>
      <c r="I19" s="8"/>
      <c r="J19" s="8"/>
      <c r="K19" s="8"/>
      <c r="L19" s="5" t="s">
        <v>26</v>
      </c>
    </row>
    <row r="20" spans="2:12">
      <c r="B20" s="6"/>
      <c r="C20" s="8"/>
      <c r="D20" s="8"/>
      <c r="E20" s="8"/>
      <c r="F20" s="8"/>
      <c r="G20" s="8"/>
      <c r="H20" s="8"/>
      <c r="I20" s="8"/>
      <c r="J20" s="8"/>
      <c r="K20" s="8"/>
      <c r="L20" s="5" t="s">
        <v>26</v>
      </c>
    </row>
    <row r="21" spans="2:12">
      <c r="B21" s="6"/>
      <c r="C21" s="8"/>
      <c r="D21" s="8"/>
      <c r="E21" s="8"/>
      <c r="F21" s="8"/>
      <c r="G21" s="8"/>
      <c r="H21" s="8"/>
      <c r="I21" s="8"/>
      <c r="J21" s="8"/>
      <c r="K21" s="8"/>
      <c r="L21" s="5" t="s">
        <v>26</v>
      </c>
    </row>
    <row r="22" spans="2:12">
      <c r="B22" s="6"/>
      <c r="C22" s="8"/>
      <c r="D22" s="8"/>
      <c r="E22" s="8"/>
      <c r="F22" s="8"/>
      <c r="G22" s="8"/>
      <c r="H22" s="8"/>
      <c r="I22" s="8"/>
      <c r="J22" s="8"/>
      <c r="K22" s="8"/>
      <c r="L22" s="5" t="s">
        <v>26</v>
      </c>
    </row>
    <row r="23" spans="2:12">
      <c r="B23" s="6"/>
      <c r="C23" s="8"/>
      <c r="D23" s="8"/>
      <c r="E23" s="8"/>
      <c r="F23" s="8"/>
      <c r="G23" s="8"/>
      <c r="H23" s="8"/>
      <c r="I23" s="8"/>
      <c r="J23" s="8"/>
      <c r="K23" s="8"/>
      <c r="L23" s="5" t="s">
        <v>26</v>
      </c>
    </row>
    <row r="24" spans="2:12">
      <c r="B24" s="6"/>
      <c r="C24" s="8"/>
      <c r="D24" s="8"/>
      <c r="E24" s="8"/>
      <c r="F24" s="8"/>
      <c r="G24" s="8"/>
      <c r="H24" s="8"/>
      <c r="I24" s="8"/>
      <c r="J24" s="8"/>
      <c r="K24" s="8"/>
      <c r="L24" s="5" t="s">
        <v>26</v>
      </c>
    </row>
    <row r="25" spans="2:12">
      <c r="B25" s="6"/>
      <c r="C25" s="8"/>
      <c r="D25" s="8"/>
      <c r="E25" s="8"/>
      <c r="F25" s="8"/>
      <c r="G25" s="8"/>
      <c r="H25" s="8"/>
      <c r="I25" s="8"/>
      <c r="J25" s="8"/>
      <c r="K25" s="8"/>
      <c r="L25" s="5" t="s">
        <v>26</v>
      </c>
    </row>
    <row r="26" spans="2:12">
      <c r="B26" s="6"/>
      <c r="C26" s="8"/>
      <c r="D26" s="8"/>
      <c r="E26" s="8"/>
      <c r="F26" s="8"/>
      <c r="G26" s="8"/>
      <c r="H26" s="8"/>
      <c r="I26" s="7"/>
      <c r="J26" s="8"/>
      <c r="K26" s="8"/>
      <c r="L26" s="5" t="s">
        <v>26</v>
      </c>
    </row>
    <row r="27" spans="2:12"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</row>
  </sheetData>
  <phoneticPr fontId="3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CF0E-B3DC-427B-811A-6C994A1DBB31}">
  <sheetPr codeName="Sheet3"/>
  <dimension ref="A2:N167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" defaultRowHeight="12.5"/>
  <cols>
    <col min="1" max="1" width="6.7265625" style="9" customWidth="1"/>
    <col min="2" max="2" width="25.36328125" style="14" customWidth="1"/>
    <col min="3" max="3" width="22.36328125" style="14" customWidth="1"/>
    <col min="4" max="4" width="36.90625" style="14" bestFit="1" customWidth="1"/>
    <col min="5" max="5" width="36.90625" style="14" customWidth="1"/>
    <col min="6" max="6" width="12.36328125" style="16" customWidth="1"/>
    <col min="7" max="7" width="12.36328125" style="14" customWidth="1"/>
    <col min="8" max="9" width="8.26953125" style="14" customWidth="1"/>
    <col min="10" max="10" width="7.90625" style="14" bestFit="1" customWidth="1"/>
    <col min="11" max="11" width="18.453125" style="14" bestFit="1" customWidth="1"/>
    <col min="12" max="12" width="10.36328125" style="14" bestFit="1" customWidth="1"/>
    <col min="13" max="13" width="10.90625" style="14" customWidth="1"/>
    <col min="14" max="14" width="16.26953125" style="14" customWidth="1"/>
    <col min="15" max="15" width="28" style="14" customWidth="1"/>
    <col min="16" max="16384" width="9" style="14"/>
  </cols>
  <sheetData>
    <row r="2" spans="1:14" ht="25.5" customHeight="1">
      <c r="B2" s="251" t="s">
        <v>27</v>
      </c>
      <c r="C2" s="252" t="s">
        <v>634</v>
      </c>
      <c r="D2" s="252"/>
      <c r="E2" s="252"/>
      <c r="F2" s="10" t="s">
        <v>28</v>
      </c>
      <c r="G2" s="11">
        <f>COUNTIF(G6:G443,"*")</f>
        <v>50</v>
      </c>
      <c r="H2" s="253" t="s">
        <v>29</v>
      </c>
      <c r="I2" s="253"/>
      <c r="J2" s="11">
        <f>COUNTIF(L6:L443,"*")</f>
        <v>50</v>
      </c>
      <c r="K2" s="12" t="s">
        <v>30</v>
      </c>
      <c r="L2" s="11">
        <f>G2-J2</f>
        <v>0</v>
      </c>
      <c r="M2" s="13" t="s">
        <v>31</v>
      </c>
      <c r="N2" s="11">
        <f>COUNTIF(L6:L443,"OK")</f>
        <v>50</v>
      </c>
    </row>
    <row r="3" spans="1:14" ht="25.5" customHeight="1">
      <c r="B3" s="251"/>
      <c r="C3" s="252"/>
      <c r="D3" s="252"/>
      <c r="E3" s="252"/>
      <c r="F3" s="12" t="s">
        <v>32</v>
      </c>
      <c r="G3" s="15">
        <f>J2/G2</f>
        <v>1</v>
      </c>
      <c r="H3" s="253" t="s">
        <v>33</v>
      </c>
      <c r="I3" s="253"/>
      <c r="J3" s="15">
        <f>IF(J2=0,0,N2/J2)</f>
        <v>1</v>
      </c>
      <c r="K3" s="12"/>
      <c r="L3" s="11"/>
      <c r="M3" s="13"/>
      <c r="N3" s="11"/>
    </row>
    <row r="4" spans="1:14">
      <c r="M4" s="14" t="s">
        <v>34</v>
      </c>
      <c r="N4" s="14" t="s">
        <v>35</v>
      </c>
    </row>
    <row r="5" spans="1:14" s="18" customFormat="1" ht="27">
      <c r="A5" s="17" t="s">
        <v>36</v>
      </c>
      <c r="B5" s="17" t="s">
        <v>37</v>
      </c>
      <c r="C5" s="17" t="s">
        <v>38</v>
      </c>
      <c r="D5" s="17" t="s">
        <v>39</v>
      </c>
      <c r="E5" s="17" t="s">
        <v>40</v>
      </c>
      <c r="F5" s="17" t="s">
        <v>41</v>
      </c>
      <c r="G5" s="17" t="s">
        <v>42</v>
      </c>
      <c r="H5" s="17" t="s">
        <v>43</v>
      </c>
      <c r="I5" s="17" t="s">
        <v>44</v>
      </c>
      <c r="J5" s="17" t="s">
        <v>45</v>
      </c>
      <c r="K5" s="17" t="s">
        <v>46</v>
      </c>
      <c r="L5" s="17" t="s">
        <v>47</v>
      </c>
      <c r="M5" s="17" t="s">
        <v>48</v>
      </c>
      <c r="N5" s="17" t="s">
        <v>49</v>
      </c>
    </row>
    <row r="6" spans="1:14">
      <c r="A6" s="24" t="s">
        <v>142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25">
      <c r="A7" s="20">
        <v>1</v>
      </c>
      <c r="B7" s="21" t="s">
        <v>50</v>
      </c>
      <c r="C7" s="21" t="s">
        <v>594</v>
      </c>
      <c r="D7" s="21" t="s">
        <v>51</v>
      </c>
      <c r="E7" s="21" t="s">
        <v>566</v>
      </c>
      <c r="F7" s="99" t="s">
        <v>145</v>
      </c>
      <c r="G7" s="21" t="s">
        <v>52</v>
      </c>
      <c r="H7" s="21" t="s">
        <v>186</v>
      </c>
      <c r="I7" s="11" t="s">
        <v>139</v>
      </c>
      <c r="J7" s="21" t="s">
        <v>187</v>
      </c>
      <c r="K7" s="230" t="s">
        <v>635</v>
      </c>
      <c r="L7" s="21" t="s">
        <v>187</v>
      </c>
      <c r="M7" s="21"/>
      <c r="N7" s="21"/>
    </row>
    <row r="8" spans="1:14" ht="25">
      <c r="A8" s="20">
        <v>2</v>
      </c>
      <c r="B8" s="21"/>
      <c r="C8" s="21"/>
      <c r="D8" s="21" t="s">
        <v>53</v>
      </c>
      <c r="E8" s="21" t="s">
        <v>566</v>
      </c>
      <c r="F8" s="99" t="s">
        <v>145</v>
      </c>
      <c r="G8" s="21" t="s">
        <v>52</v>
      </c>
      <c r="H8" s="21" t="s">
        <v>186</v>
      </c>
      <c r="I8" s="11" t="s">
        <v>139</v>
      </c>
      <c r="J8" s="21" t="s">
        <v>187</v>
      </c>
      <c r="K8" s="230" t="s">
        <v>635</v>
      </c>
      <c r="L8" s="21" t="s">
        <v>187</v>
      </c>
      <c r="M8" s="21"/>
      <c r="N8" s="21"/>
    </row>
    <row r="9" spans="1:14" ht="25">
      <c r="A9" s="20">
        <v>3</v>
      </c>
      <c r="B9" s="21"/>
      <c r="C9" s="21" t="s">
        <v>595</v>
      </c>
      <c r="D9" s="21" t="s">
        <v>54</v>
      </c>
      <c r="E9" s="21" t="s">
        <v>568</v>
      </c>
      <c r="F9" s="99" t="s">
        <v>145</v>
      </c>
      <c r="G9" s="21" t="s">
        <v>52</v>
      </c>
      <c r="H9" s="21" t="s">
        <v>186</v>
      </c>
      <c r="I9" s="11" t="s">
        <v>139</v>
      </c>
      <c r="J9" s="21" t="s">
        <v>187</v>
      </c>
      <c r="K9" s="230" t="s">
        <v>635</v>
      </c>
      <c r="L9" s="21" t="s">
        <v>187</v>
      </c>
      <c r="M9" s="21"/>
      <c r="N9" s="21"/>
    </row>
    <row r="10" spans="1:14" ht="25">
      <c r="A10" s="20">
        <v>4</v>
      </c>
      <c r="B10" s="21"/>
      <c r="C10" s="21"/>
      <c r="D10" s="21" t="s">
        <v>55</v>
      </c>
      <c r="E10" s="21" t="s">
        <v>568</v>
      </c>
      <c r="F10" s="99" t="s">
        <v>145</v>
      </c>
      <c r="G10" s="21" t="s">
        <v>52</v>
      </c>
      <c r="H10" s="21" t="s">
        <v>186</v>
      </c>
      <c r="I10" s="11" t="s">
        <v>139</v>
      </c>
      <c r="J10" s="21" t="s">
        <v>187</v>
      </c>
      <c r="K10" s="230" t="s">
        <v>635</v>
      </c>
      <c r="L10" s="21" t="s">
        <v>187</v>
      </c>
      <c r="M10" s="21"/>
      <c r="N10" s="21"/>
    </row>
    <row r="11" spans="1:14" ht="25">
      <c r="A11" s="20">
        <v>5</v>
      </c>
      <c r="B11" s="21"/>
      <c r="C11" s="21" t="s">
        <v>596</v>
      </c>
      <c r="D11" s="21" t="s">
        <v>56</v>
      </c>
      <c r="E11" s="21" t="s">
        <v>570</v>
      </c>
      <c r="F11" s="99" t="s">
        <v>145</v>
      </c>
      <c r="G11" s="21" t="s">
        <v>52</v>
      </c>
      <c r="H11" s="21" t="s">
        <v>186</v>
      </c>
      <c r="I11" s="11" t="s">
        <v>139</v>
      </c>
      <c r="J11" s="21" t="s">
        <v>187</v>
      </c>
      <c r="K11" s="230" t="s">
        <v>635</v>
      </c>
      <c r="L11" s="21" t="s">
        <v>187</v>
      </c>
      <c r="M11" s="21"/>
      <c r="N11" s="21"/>
    </row>
    <row r="12" spans="1:14" ht="25">
      <c r="A12" s="20">
        <v>6</v>
      </c>
      <c r="B12" s="22"/>
      <c r="C12" s="22"/>
      <c r="D12" s="22" t="s">
        <v>57</v>
      </c>
      <c r="E12" s="22" t="s">
        <v>570</v>
      </c>
      <c r="F12" s="99" t="s">
        <v>145</v>
      </c>
      <c r="G12" s="22" t="s">
        <v>52</v>
      </c>
      <c r="H12" s="21" t="s">
        <v>186</v>
      </c>
      <c r="I12" s="11" t="s">
        <v>139</v>
      </c>
      <c r="J12" s="21" t="s">
        <v>187</v>
      </c>
      <c r="K12" s="230" t="s">
        <v>635</v>
      </c>
      <c r="L12" s="21" t="s">
        <v>187</v>
      </c>
      <c r="M12" s="21"/>
      <c r="N12" s="21"/>
    </row>
    <row r="13" spans="1:14" ht="25">
      <c r="A13" s="20">
        <v>7</v>
      </c>
      <c r="B13" s="22"/>
      <c r="C13" s="22" t="s">
        <v>597</v>
      </c>
      <c r="D13" s="22" t="s">
        <v>58</v>
      </c>
      <c r="E13" s="22" t="s">
        <v>572</v>
      </c>
      <c r="F13" s="99" t="s">
        <v>145</v>
      </c>
      <c r="G13" s="22" t="s">
        <v>52</v>
      </c>
      <c r="H13" s="21" t="s">
        <v>186</v>
      </c>
      <c r="I13" s="11" t="s">
        <v>139</v>
      </c>
      <c r="J13" s="21" t="s">
        <v>187</v>
      </c>
      <c r="K13" s="230" t="s">
        <v>635</v>
      </c>
      <c r="L13" s="21" t="s">
        <v>187</v>
      </c>
      <c r="M13" s="21"/>
      <c r="N13" s="21"/>
    </row>
    <row r="14" spans="1:14" ht="25">
      <c r="A14" s="20">
        <v>8</v>
      </c>
      <c r="B14" s="22"/>
      <c r="C14" s="22"/>
      <c r="D14" s="22" t="s">
        <v>59</v>
      </c>
      <c r="E14" s="22" t="s">
        <v>572</v>
      </c>
      <c r="F14" s="99" t="s">
        <v>145</v>
      </c>
      <c r="G14" s="22" t="s">
        <v>52</v>
      </c>
      <c r="H14" s="21" t="s">
        <v>186</v>
      </c>
      <c r="I14" s="11" t="s">
        <v>139</v>
      </c>
      <c r="J14" s="21" t="s">
        <v>187</v>
      </c>
      <c r="K14" s="230" t="s">
        <v>635</v>
      </c>
      <c r="L14" s="21" t="s">
        <v>187</v>
      </c>
      <c r="M14" s="21"/>
      <c r="N14" s="21"/>
    </row>
    <row r="15" spans="1:14">
      <c r="A15" s="24" t="s">
        <v>141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ht="25">
      <c r="A16" s="20">
        <v>1</v>
      </c>
      <c r="B16" s="22" t="s">
        <v>60</v>
      </c>
      <c r="C16" s="22" t="s">
        <v>61</v>
      </c>
      <c r="D16" s="22" t="s">
        <v>246</v>
      </c>
      <c r="E16" s="22" t="s">
        <v>601</v>
      </c>
      <c r="F16" s="107" t="s">
        <v>249</v>
      </c>
      <c r="G16" s="22" t="s">
        <v>52</v>
      </c>
      <c r="H16" s="21" t="s">
        <v>186</v>
      </c>
      <c r="I16" s="11" t="s">
        <v>139</v>
      </c>
      <c r="J16" s="21" t="s">
        <v>187</v>
      </c>
      <c r="K16" s="230" t="s">
        <v>635</v>
      </c>
      <c r="L16" s="21" t="s">
        <v>187</v>
      </c>
      <c r="M16" s="21"/>
      <c r="N16" s="21"/>
    </row>
    <row r="17" spans="1:14" ht="37.5">
      <c r="A17" s="20">
        <v>2</v>
      </c>
      <c r="B17" s="22"/>
      <c r="C17" s="22" t="s">
        <v>62</v>
      </c>
      <c r="D17" s="22" t="s">
        <v>248</v>
      </c>
      <c r="E17" s="22" t="s">
        <v>617</v>
      </c>
      <c r="F17" s="107" t="s">
        <v>249</v>
      </c>
      <c r="G17" s="22" t="s">
        <v>52</v>
      </c>
      <c r="H17" s="21" t="s">
        <v>186</v>
      </c>
      <c r="I17" s="11" t="s">
        <v>139</v>
      </c>
      <c r="J17" s="21" t="s">
        <v>187</v>
      </c>
      <c r="K17" s="230" t="s">
        <v>635</v>
      </c>
      <c r="L17" s="21" t="s">
        <v>187</v>
      </c>
      <c r="M17" s="21"/>
      <c r="N17" s="21"/>
    </row>
    <row r="18" spans="1:14" ht="25">
      <c r="A18" s="20">
        <v>3</v>
      </c>
      <c r="B18" s="22"/>
      <c r="C18" s="22" t="s">
        <v>63</v>
      </c>
      <c r="D18" s="22" t="s">
        <v>434</v>
      </c>
      <c r="E18" s="22" t="s">
        <v>64</v>
      </c>
      <c r="F18" s="107" t="s">
        <v>249</v>
      </c>
      <c r="G18" s="22" t="s">
        <v>52</v>
      </c>
      <c r="H18" s="21" t="s">
        <v>186</v>
      </c>
      <c r="I18" s="11" t="s">
        <v>139</v>
      </c>
      <c r="J18" s="21" t="s">
        <v>187</v>
      </c>
      <c r="K18" s="230" t="s">
        <v>635</v>
      </c>
      <c r="L18" s="21" t="s">
        <v>187</v>
      </c>
      <c r="M18" s="21"/>
      <c r="N18" s="21"/>
    </row>
    <row r="19" spans="1:14" ht="33" customHeight="1">
      <c r="A19" s="20">
        <v>4</v>
      </c>
      <c r="B19" s="22"/>
      <c r="C19" s="22" t="s">
        <v>65</v>
      </c>
      <c r="D19" s="22" t="s">
        <v>437</v>
      </c>
      <c r="E19" s="22" t="s">
        <v>574</v>
      </c>
      <c r="F19" s="107" t="s">
        <v>249</v>
      </c>
      <c r="G19" s="22" t="s">
        <v>52</v>
      </c>
      <c r="H19" s="21" t="s">
        <v>186</v>
      </c>
      <c r="I19" s="11" t="s">
        <v>139</v>
      </c>
      <c r="J19" s="21" t="s">
        <v>187</v>
      </c>
      <c r="K19" s="230" t="s">
        <v>635</v>
      </c>
      <c r="L19" s="21" t="s">
        <v>187</v>
      </c>
      <c r="M19" s="21"/>
      <c r="N19" s="21"/>
    </row>
    <row r="20" spans="1:14">
      <c r="A20" s="24" t="s">
        <v>140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37.5">
      <c r="A21" s="20">
        <v>1</v>
      </c>
      <c r="B21" s="22" t="s">
        <v>66</v>
      </c>
      <c r="C21" s="22" t="s">
        <v>67</v>
      </c>
      <c r="D21" s="22" t="s">
        <v>438</v>
      </c>
      <c r="E21" s="22" t="s">
        <v>576</v>
      </c>
      <c r="F21" s="107" t="s">
        <v>249</v>
      </c>
      <c r="G21" s="22" t="s">
        <v>52</v>
      </c>
      <c r="H21" s="21" t="s">
        <v>186</v>
      </c>
      <c r="I21" s="11" t="s">
        <v>139</v>
      </c>
      <c r="J21" s="21" t="s">
        <v>187</v>
      </c>
      <c r="K21" s="230" t="s">
        <v>635</v>
      </c>
      <c r="L21" s="21" t="s">
        <v>187</v>
      </c>
      <c r="M21" s="21"/>
      <c r="N21" s="21"/>
    </row>
    <row r="22" spans="1:14" ht="37.5">
      <c r="A22" s="20">
        <v>2</v>
      </c>
      <c r="B22" s="22"/>
      <c r="C22" s="22"/>
      <c r="D22" s="22" t="s">
        <v>449</v>
      </c>
      <c r="E22" s="22" t="s">
        <v>576</v>
      </c>
      <c r="F22" s="107" t="s">
        <v>249</v>
      </c>
      <c r="G22" s="22" t="s">
        <v>52</v>
      </c>
      <c r="H22" s="21" t="s">
        <v>186</v>
      </c>
      <c r="I22" s="11" t="s">
        <v>139</v>
      </c>
      <c r="J22" s="21" t="s">
        <v>187</v>
      </c>
      <c r="K22" s="230" t="s">
        <v>635</v>
      </c>
      <c r="L22" s="21" t="s">
        <v>187</v>
      </c>
      <c r="M22" s="21"/>
      <c r="N22" s="21"/>
    </row>
    <row r="23" spans="1:14" ht="37.5">
      <c r="A23" s="20">
        <v>3</v>
      </c>
      <c r="B23" s="22" t="s">
        <v>68</v>
      </c>
      <c r="C23" s="22" t="s">
        <v>69</v>
      </c>
      <c r="D23" s="22" t="s">
        <v>451</v>
      </c>
      <c r="E23" s="22" t="s">
        <v>578</v>
      </c>
      <c r="F23" s="107" t="s">
        <v>249</v>
      </c>
      <c r="G23" s="22" t="s">
        <v>52</v>
      </c>
      <c r="H23" s="21" t="s">
        <v>186</v>
      </c>
      <c r="I23" s="11" t="s">
        <v>139</v>
      </c>
      <c r="J23" s="21" t="s">
        <v>187</v>
      </c>
      <c r="K23" s="230" t="s">
        <v>635</v>
      </c>
      <c r="L23" s="21" t="s">
        <v>187</v>
      </c>
      <c r="M23" s="21"/>
      <c r="N23" s="21"/>
    </row>
    <row r="24" spans="1:14" ht="25">
      <c r="A24" s="20">
        <v>4</v>
      </c>
      <c r="B24" s="22" t="s">
        <v>70</v>
      </c>
      <c r="C24" s="22" t="s">
        <v>71</v>
      </c>
      <c r="D24" s="22" t="s">
        <v>456</v>
      </c>
      <c r="E24" s="22" t="s">
        <v>72</v>
      </c>
      <c r="F24" s="107" t="s">
        <v>249</v>
      </c>
      <c r="G24" s="22" t="s">
        <v>52</v>
      </c>
      <c r="H24" s="21" t="s">
        <v>186</v>
      </c>
      <c r="I24" s="11" t="s">
        <v>139</v>
      </c>
      <c r="J24" s="21" t="s">
        <v>187</v>
      </c>
      <c r="K24" s="230" t="s">
        <v>635</v>
      </c>
      <c r="L24" s="21" t="s">
        <v>187</v>
      </c>
      <c r="M24" s="21"/>
      <c r="N24" s="21"/>
    </row>
    <row r="25" spans="1:14" ht="25">
      <c r="A25" s="20">
        <v>5</v>
      </c>
      <c r="B25" s="22"/>
      <c r="C25" s="22" t="s">
        <v>73</v>
      </c>
      <c r="D25" s="22" t="s">
        <v>467</v>
      </c>
      <c r="E25" s="22" t="s">
        <v>74</v>
      </c>
      <c r="F25" s="107" t="s">
        <v>249</v>
      </c>
      <c r="G25" s="22" t="s">
        <v>52</v>
      </c>
      <c r="H25" s="21" t="s">
        <v>186</v>
      </c>
      <c r="I25" s="11" t="s">
        <v>139</v>
      </c>
      <c r="J25" s="21" t="s">
        <v>187</v>
      </c>
      <c r="K25" s="230" t="s">
        <v>635</v>
      </c>
      <c r="L25" s="21" t="s">
        <v>187</v>
      </c>
      <c r="M25" s="21"/>
      <c r="N25" s="21"/>
    </row>
    <row r="26" spans="1:14" ht="25">
      <c r="A26" s="20">
        <v>6</v>
      </c>
      <c r="B26" s="22"/>
      <c r="C26" s="22" t="s">
        <v>75</v>
      </c>
      <c r="D26" s="22" t="s">
        <v>471</v>
      </c>
      <c r="E26" s="22" t="s">
        <v>76</v>
      </c>
      <c r="F26" s="107" t="s">
        <v>249</v>
      </c>
      <c r="G26" s="22" t="s">
        <v>52</v>
      </c>
      <c r="H26" s="21" t="s">
        <v>186</v>
      </c>
      <c r="I26" s="11" t="s">
        <v>139</v>
      </c>
      <c r="J26" s="21" t="s">
        <v>187</v>
      </c>
      <c r="K26" s="230" t="s">
        <v>635</v>
      </c>
      <c r="L26" s="21" t="s">
        <v>187</v>
      </c>
      <c r="M26" s="21"/>
      <c r="N26" s="21"/>
    </row>
    <row r="27" spans="1:14" ht="37.5">
      <c r="A27" s="20">
        <v>7</v>
      </c>
      <c r="B27" s="22"/>
      <c r="C27" s="22" t="s">
        <v>77</v>
      </c>
      <c r="D27" s="22" t="s">
        <v>491</v>
      </c>
      <c r="E27" s="22" t="s">
        <v>78</v>
      </c>
      <c r="F27" s="107" t="s">
        <v>249</v>
      </c>
      <c r="G27" s="22" t="s">
        <v>52</v>
      </c>
      <c r="H27" s="21" t="s">
        <v>186</v>
      </c>
      <c r="I27" s="11" t="s">
        <v>139</v>
      </c>
      <c r="J27" s="21" t="s">
        <v>187</v>
      </c>
      <c r="K27" s="230" t="s">
        <v>635</v>
      </c>
      <c r="L27" s="21" t="s">
        <v>187</v>
      </c>
      <c r="M27" s="21"/>
      <c r="N27" s="21"/>
    </row>
    <row r="28" spans="1:14" ht="25">
      <c r="A28" s="20">
        <v>8</v>
      </c>
      <c r="B28" s="22"/>
      <c r="C28" s="22" t="s">
        <v>79</v>
      </c>
      <c r="D28" s="22" t="s">
        <v>495</v>
      </c>
      <c r="E28" s="22" t="s">
        <v>80</v>
      </c>
      <c r="F28" s="107" t="s">
        <v>249</v>
      </c>
      <c r="G28" s="22" t="s">
        <v>52</v>
      </c>
      <c r="H28" s="21" t="s">
        <v>186</v>
      </c>
      <c r="I28" s="11" t="s">
        <v>139</v>
      </c>
      <c r="J28" s="21" t="s">
        <v>187</v>
      </c>
      <c r="K28" s="230" t="s">
        <v>635</v>
      </c>
      <c r="L28" s="21" t="s">
        <v>187</v>
      </c>
      <c r="M28" s="21"/>
      <c r="N28" s="21"/>
    </row>
    <row r="29" spans="1:14" ht="25">
      <c r="A29" s="20">
        <v>9</v>
      </c>
      <c r="B29" s="22"/>
      <c r="C29" s="22" t="s">
        <v>81</v>
      </c>
      <c r="D29" s="22" t="s">
        <v>520</v>
      </c>
      <c r="E29" s="22" t="s">
        <v>518</v>
      </c>
      <c r="F29" s="107" t="s">
        <v>249</v>
      </c>
      <c r="G29" s="22" t="s">
        <v>52</v>
      </c>
      <c r="H29" s="21" t="s">
        <v>186</v>
      </c>
      <c r="I29" s="11" t="s">
        <v>139</v>
      </c>
      <c r="J29" s="21" t="s">
        <v>187</v>
      </c>
      <c r="K29" s="230" t="s">
        <v>635</v>
      </c>
      <c r="L29" s="21" t="s">
        <v>187</v>
      </c>
      <c r="M29" s="21"/>
      <c r="N29" s="21"/>
    </row>
    <row r="30" spans="1:14" ht="25">
      <c r="A30" s="20">
        <v>10</v>
      </c>
      <c r="B30" s="22"/>
      <c r="C30" s="22" t="s">
        <v>82</v>
      </c>
      <c r="D30" s="22" t="s">
        <v>523</v>
      </c>
      <c r="E30" s="22" t="s">
        <v>83</v>
      </c>
      <c r="F30" s="107" t="s">
        <v>249</v>
      </c>
      <c r="G30" s="22" t="s">
        <v>52</v>
      </c>
      <c r="H30" s="21" t="s">
        <v>186</v>
      </c>
      <c r="I30" s="11" t="s">
        <v>139</v>
      </c>
      <c r="J30" s="21" t="s">
        <v>187</v>
      </c>
      <c r="K30" s="230" t="s">
        <v>635</v>
      </c>
      <c r="L30" s="21" t="s">
        <v>187</v>
      </c>
      <c r="M30" s="21"/>
      <c r="N30" s="21"/>
    </row>
    <row r="31" spans="1:14" ht="25">
      <c r="A31" s="20">
        <v>11</v>
      </c>
      <c r="B31" s="22"/>
      <c r="C31" s="22" t="s">
        <v>84</v>
      </c>
      <c r="D31" s="22" t="s">
        <v>526</v>
      </c>
      <c r="E31" s="22" t="s">
        <v>85</v>
      </c>
      <c r="F31" s="107" t="s">
        <v>249</v>
      </c>
      <c r="G31" s="22" t="s">
        <v>52</v>
      </c>
      <c r="H31" s="21" t="s">
        <v>186</v>
      </c>
      <c r="I31" s="11" t="s">
        <v>139</v>
      </c>
      <c r="J31" s="21" t="s">
        <v>187</v>
      </c>
      <c r="K31" s="230" t="s">
        <v>635</v>
      </c>
      <c r="L31" s="21" t="s">
        <v>187</v>
      </c>
      <c r="M31" s="21"/>
      <c r="N31" s="21"/>
    </row>
    <row r="32" spans="1:14" ht="13">
      <c r="A32" s="20">
        <v>12</v>
      </c>
      <c r="B32" s="22"/>
      <c r="C32" s="22" t="s">
        <v>86</v>
      </c>
      <c r="D32" s="22" t="s">
        <v>529</v>
      </c>
      <c r="E32" s="22" t="s">
        <v>87</v>
      </c>
      <c r="F32" s="107" t="s">
        <v>249</v>
      </c>
      <c r="G32" s="22" t="s">
        <v>52</v>
      </c>
      <c r="H32" s="21" t="s">
        <v>186</v>
      </c>
      <c r="I32" s="11" t="s">
        <v>139</v>
      </c>
      <c r="J32" s="21" t="s">
        <v>187</v>
      </c>
      <c r="K32" s="230" t="s">
        <v>635</v>
      </c>
      <c r="L32" s="21" t="s">
        <v>187</v>
      </c>
      <c r="M32" s="21"/>
      <c r="N32" s="21"/>
    </row>
    <row r="33" spans="1:14" ht="13">
      <c r="A33" s="20">
        <v>13</v>
      </c>
      <c r="B33" s="22"/>
      <c r="C33" s="22" t="s">
        <v>88</v>
      </c>
      <c r="D33" s="22" t="s">
        <v>532</v>
      </c>
      <c r="E33" s="22" t="s">
        <v>89</v>
      </c>
      <c r="F33" s="107" t="s">
        <v>249</v>
      </c>
      <c r="G33" s="22" t="s">
        <v>52</v>
      </c>
      <c r="H33" s="21" t="s">
        <v>186</v>
      </c>
      <c r="I33" s="11" t="s">
        <v>139</v>
      </c>
      <c r="J33" s="21" t="s">
        <v>187</v>
      </c>
      <c r="K33" s="230" t="s">
        <v>635</v>
      </c>
      <c r="L33" s="21" t="s">
        <v>187</v>
      </c>
      <c r="M33" s="21"/>
      <c r="N33" s="21"/>
    </row>
    <row r="34" spans="1:14" ht="37.5">
      <c r="A34" s="20">
        <v>14</v>
      </c>
      <c r="B34" s="22" t="s">
        <v>602</v>
      </c>
      <c r="C34" s="22" t="s">
        <v>90</v>
      </c>
      <c r="D34" s="22" t="s">
        <v>459</v>
      </c>
      <c r="E34" s="22" t="s">
        <v>580</v>
      </c>
      <c r="F34" s="107" t="s">
        <v>249</v>
      </c>
      <c r="G34" s="22" t="s">
        <v>52</v>
      </c>
      <c r="H34" s="21" t="s">
        <v>186</v>
      </c>
      <c r="I34" s="11" t="s">
        <v>139</v>
      </c>
      <c r="J34" s="21" t="s">
        <v>187</v>
      </c>
      <c r="K34" s="230" t="s">
        <v>635</v>
      </c>
      <c r="L34" s="21" t="s">
        <v>187</v>
      </c>
      <c r="M34" s="21"/>
      <c r="N34" s="21"/>
    </row>
    <row r="35" spans="1:14" ht="50">
      <c r="A35" s="20">
        <v>15</v>
      </c>
      <c r="B35" s="22"/>
      <c r="C35" s="22" t="s">
        <v>92</v>
      </c>
      <c r="D35" s="22" t="s">
        <v>439</v>
      </c>
      <c r="E35" s="22" t="s">
        <v>582</v>
      </c>
      <c r="F35" s="107" t="s">
        <v>249</v>
      </c>
      <c r="G35" s="22" t="s">
        <v>52</v>
      </c>
      <c r="H35" s="21" t="s">
        <v>186</v>
      </c>
      <c r="I35" s="11" t="s">
        <v>139</v>
      </c>
      <c r="J35" s="21" t="s">
        <v>187</v>
      </c>
      <c r="K35" s="230" t="s">
        <v>635</v>
      </c>
      <c r="L35" s="21" t="s">
        <v>187</v>
      </c>
      <c r="M35" s="21"/>
      <c r="N35" s="21"/>
    </row>
    <row r="36" spans="1:14" ht="50">
      <c r="A36" s="20">
        <v>16</v>
      </c>
      <c r="B36" s="22"/>
      <c r="C36" s="22" t="s">
        <v>93</v>
      </c>
      <c r="D36" s="22" t="s">
        <v>538</v>
      </c>
      <c r="E36" s="22" t="s">
        <v>622</v>
      </c>
      <c r="F36" s="107" t="s">
        <v>249</v>
      </c>
      <c r="G36" s="22" t="s">
        <v>52</v>
      </c>
      <c r="H36" s="21" t="s">
        <v>186</v>
      </c>
      <c r="I36" s="11" t="s">
        <v>139</v>
      </c>
      <c r="J36" s="21" t="s">
        <v>187</v>
      </c>
      <c r="K36" s="230" t="s">
        <v>635</v>
      </c>
      <c r="L36" s="21" t="s">
        <v>187</v>
      </c>
      <c r="M36" s="21"/>
      <c r="N36" s="21"/>
    </row>
    <row r="37" spans="1:14" ht="25">
      <c r="A37" s="20">
        <v>17</v>
      </c>
      <c r="B37" s="22"/>
      <c r="C37" s="22" t="s">
        <v>94</v>
      </c>
      <c r="D37" s="22" t="s">
        <v>543</v>
      </c>
      <c r="E37" s="22" t="s">
        <v>584</v>
      </c>
      <c r="F37" s="107" t="s">
        <v>249</v>
      </c>
      <c r="G37" s="22" t="s">
        <v>52</v>
      </c>
      <c r="H37" s="21" t="s">
        <v>186</v>
      </c>
      <c r="I37" s="11" t="s">
        <v>139</v>
      </c>
      <c r="J37" s="21" t="s">
        <v>187</v>
      </c>
      <c r="K37" s="230" t="s">
        <v>635</v>
      </c>
      <c r="L37" s="21" t="s">
        <v>187</v>
      </c>
      <c r="M37" s="21"/>
      <c r="N37" s="21"/>
    </row>
    <row r="38" spans="1:14" ht="50">
      <c r="A38" s="20">
        <v>18</v>
      </c>
      <c r="B38" s="22" t="s">
        <v>603</v>
      </c>
      <c r="C38" s="21" t="s">
        <v>95</v>
      </c>
      <c r="D38" s="21" t="s">
        <v>545</v>
      </c>
      <c r="E38" s="21" t="s">
        <v>585</v>
      </c>
      <c r="F38" s="107" t="s">
        <v>249</v>
      </c>
      <c r="G38" s="21" t="s">
        <v>52</v>
      </c>
      <c r="H38" s="21" t="s">
        <v>186</v>
      </c>
      <c r="I38" s="11" t="s">
        <v>139</v>
      </c>
      <c r="J38" s="21" t="s">
        <v>187</v>
      </c>
      <c r="K38" s="230" t="s">
        <v>635</v>
      </c>
      <c r="L38" s="21" t="s">
        <v>187</v>
      </c>
      <c r="M38" s="21"/>
      <c r="N38" s="21"/>
    </row>
    <row r="39" spans="1:14" ht="50">
      <c r="A39" s="20">
        <v>19</v>
      </c>
      <c r="B39" s="22"/>
      <c r="C39" s="21" t="s">
        <v>97</v>
      </c>
      <c r="D39" s="21" t="s">
        <v>548</v>
      </c>
      <c r="E39" s="21" t="s">
        <v>587</v>
      </c>
      <c r="F39" s="107" t="s">
        <v>249</v>
      </c>
      <c r="G39" s="21" t="s">
        <v>52</v>
      </c>
      <c r="H39" s="21" t="s">
        <v>186</v>
      </c>
      <c r="I39" s="11" t="s">
        <v>139</v>
      </c>
      <c r="J39" s="21" t="s">
        <v>187</v>
      </c>
      <c r="K39" s="230" t="s">
        <v>635</v>
      </c>
      <c r="L39" s="21" t="s">
        <v>187</v>
      </c>
      <c r="M39" s="21"/>
      <c r="N39" s="21"/>
    </row>
    <row r="40" spans="1:14" ht="50">
      <c r="A40" s="20">
        <v>20</v>
      </c>
      <c r="B40" s="22" t="s">
        <v>604</v>
      </c>
      <c r="C40" s="21" t="s">
        <v>98</v>
      </c>
      <c r="D40" s="21" t="s">
        <v>550</v>
      </c>
      <c r="E40" s="21" t="s">
        <v>589</v>
      </c>
      <c r="F40" s="107" t="s">
        <v>249</v>
      </c>
      <c r="G40" s="21" t="s">
        <v>52</v>
      </c>
      <c r="H40" s="21" t="s">
        <v>186</v>
      </c>
      <c r="I40" s="11" t="s">
        <v>139</v>
      </c>
      <c r="J40" s="21" t="s">
        <v>187</v>
      </c>
      <c r="K40" s="230" t="s">
        <v>635</v>
      </c>
      <c r="L40" s="21" t="s">
        <v>187</v>
      </c>
      <c r="M40" s="21"/>
      <c r="N40" s="21"/>
    </row>
    <row r="41" spans="1:14" ht="50">
      <c r="A41" s="20">
        <v>21</v>
      </c>
      <c r="B41" s="22"/>
      <c r="C41" s="21" t="s">
        <v>100</v>
      </c>
      <c r="D41" s="21" t="s">
        <v>556</v>
      </c>
      <c r="E41" s="21" t="s">
        <v>591</v>
      </c>
      <c r="F41" s="107" t="s">
        <v>249</v>
      </c>
      <c r="G41" s="21" t="s">
        <v>52</v>
      </c>
      <c r="H41" s="21" t="s">
        <v>186</v>
      </c>
      <c r="I41" s="11" t="s">
        <v>139</v>
      </c>
      <c r="J41" s="21" t="s">
        <v>187</v>
      </c>
      <c r="K41" s="230" t="s">
        <v>635</v>
      </c>
      <c r="L41" s="21" t="s">
        <v>187</v>
      </c>
      <c r="M41" s="21"/>
      <c r="N41" s="21"/>
    </row>
    <row r="42" spans="1:14" ht="37.5">
      <c r="A42" s="20">
        <v>22</v>
      </c>
      <c r="B42" s="22"/>
      <c r="C42" s="21" t="s">
        <v>101</v>
      </c>
      <c r="D42" s="21" t="s">
        <v>559</v>
      </c>
      <c r="E42" s="21" t="s">
        <v>593</v>
      </c>
      <c r="F42" s="107" t="s">
        <v>249</v>
      </c>
      <c r="G42" s="21" t="s">
        <v>52</v>
      </c>
      <c r="H42" s="21" t="s">
        <v>186</v>
      </c>
      <c r="I42" s="11" t="s">
        <v>139</v>
      </c>
      <c r="J42" s="21" t="s">
        <v>187</v>
      </c>
      <c r="K42" s="230" t="s">
        <v>635</v>
      </c>
      <c r="L42" s="21" t="s">
        <v>187</v>
      </c>
      <c r="M42" s="21"/>
      <c r="N42" s="21"/>
    </row>
    <row r="43" spans="1:14">
      <c r="A43" s="26" t="s">
        <v>143</v>
      </c>
      <c r="B43" s="25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3">
      <c r="A44" s="20">
        <v>1</v>
      </c>
      <c r="B44" s="21" t="s">
        <v>103</v>
      </c>
      <c r="C44" s="21" t="s">
        <v>104</v>
      </c>
      <c r="D44" s="21" t="s">
        <v>105</v>
      </c>
      <c r="E44" s="21" t="s">
        <v>106</v>
      </c>
      <c r="F44" s="107" t="s">
        <v>249</v>
      </c>
      <c r="G44" s="21" t="s">
        <v>52</v>
      </c>
      <c r="H44" s="21" t="s">
        <v>186</v>
      </c>
      <c r="I44" s="11" t="s">
        <v>139</v>
      </c>
      <c r="J44" s="21" t="s">
        <v>187</v>
      </c>
      <c r="K44" s="230" t="s">
        <v>635</v>
      </c>
      <c r="L44" s="21" t="s">
        <v>187</v>
      </c>
      <c r="M44" s="21"/>
      <c r="N44" s="21"/>
    </row>
    <row r="45" spans="1:14" ht="13">
      <c r="A45" s="20">
        <v>2</v>
      </c>
      <c r="B45" s="21"/>
      <c r="C45" s="22" t="s">
        <v>107</v>
      </c>
      <c r="D45" s="21" t="s">
        <v>108</v>
      </c>
      <c r="E45" s="21" t="s">
        <v>109</v>
      </c>
      <c r="F45" s="107" t="s">
        <v>249</v>
      </c>
      <c r="G45" s="21" t="s">
        <v>52</v>
      </c>
      <c r="H45" s="21" t="s">
        <v>186</v>
      </c>
      <c r="I45" s="11" t="s">
        <v>139</v>
      </c>
      <c r="J45" s="21" t="s">
        <v>187</v>
      </c>
      <c r="K45" s="230" t="s">
        <v>635</v>
      </c>
      <c r="L45" s="21" t="s">
        <v>187</v>
      </c>
      <c r="M45" s="21"/>
      <c r="N45" s="21"/>
    </row>
    <row r="46" spans="1:14" ht="13">
      <c r="A46" s="20">
        <v>3</v>
      </c>
      <c r="B46" s="21"/>
      <c r="C46" s="21" t="s">
        <v>110</v>
      </c>
      <c r="D46" s="21" t="s">
        <v>111</v>
      </c>
      <c r="E46" s="21" t="s">
        <v>112</v>
      </c>
      <c r="F46" s="107" t="s">
        <v>249</v>
      </c>
      <c r="G46" s="21" t="s">
        <v>52</v>
      </c>
      <c r="H46" s="21" t="s">
        <v>186</v>
      </c>
      <c r="I46" s="11" t="s">
        <v>139</v>
      </c>
      <c r="J46" s="21" t="s">
        <v>187</v>
      </c>
      <c r="K46" s="230" t="s">
        <v>635</v>
      </c>
      <c r="L46" s="21" t="s">
        <v>187</v>
      </c>
      <c r="M46" s="21"/>
      <c r="N46" s="21"/>
    </row>
    <row r="47" spans="1:14" ht="13">
      <c r="A47" s="20">
        <v>4</v>
      </c>
      <c r="B47" s="21"/>
      <c r="C47" s="21" t="s">
        <v>113</v>
      </c>
      <c r="D47" s="21" t="s">
        <v>114</v>
      </c>
      <c r="E47" s="21" t="s">
        <v>115</v>
      </c>
      <c r="F47" s="107" t="s">
        <v>249</v>
      </c>
      <c r="G47" s="21" t="s">
        <v>52</v>
      </c>
      <c r="H47" s="21" t="s">
        <v>186</v>
      </c>
      <c r="I47" s="11" t="s">
        <v>139</v>
      </c>
      <c r="J47" s="21" t="s">
        <v>187</v>
      </c>
      <c r="K47" s="230" t="s">
        <v>635</v>
      </c>
      <c r="L47" s="21" t="s">
        <v>187</v>
      </c>
      <c r="M47" s="21"/>
      <c r="N47" s="21"/>
    </row>
    <row r="48" spans="1:14" ht="13">
      <c r="A48" s="20">
        <v>5</v>
      </c>
      <c r="B48" s="21"/>
      <c r="C48" s="21" t="s">
        <v>116</v>
      </c>
      <c r="D48" s="21" t="s">
        <v>117</v>
      </c>
      <c r="E48" s="21" t="s">
        <v>118</v>
      </c>
      <c r="F48" s="107" t="s">
        <v>249</v>
      </c>
      <c r="G48" s="21" t="s">
        <v>52</v>
      </c>
      <c r="H48" s="21" t="s">
        <v>186</v>
      </c>
      <c r="I48" s="11" t="s">
        <v>139</v>
      </c>
      <c r="J48" s="21" t="s">
        <v>187</v>
      </c>
      <c r="K48" s="230" t="s">
        <v>635</v>
      </c>
      <c r="L48" s="21" t="s">
        <v>187</v>
      </c>
      <c r="M48" s="21"/>
      <c r="N48" s="21"/>
    </row>
    <row r="49" spans="1:14" ht="13">
      <c r="A49" s="20">
        <v>6</v>
      </c>
      <c r="B49" s="21"/>
      <c r="C49" s="21" t="s">
        <v>67</v>
      </c>
      <c r="D49" s="21" t="s">
        <v>119</v>
      </c>
      <c r="E49" s="21" t="s">
        <v>120</v>
      </c>
      <c r="F49" s="107" t="s">
        <v>249</v>
      </c>
      <c r="G49" s="21" t="s">
        <v>52</v>
      </c>
      <c r="H49" s="21" t="s">
        <v>186</v>
      </c>
      <c r="I49" s="11" t="s">
        <v>139</v>
      </c>
      <c r="J49" s="21" t="s">
        <v>187</v>
      </c>
      <c r="K49" s="230" t="s">
        <v>635</v>
      </c>
      <c r="L49" s="21" t="s">
        <v>187</v>
      </c>
      <c r="M49" s="21"/>
      <c r="N49" s="21"/>
    </row>
    <row r="50" spans="1:14" ht="13">
      <c r="A50" s="20">
        <v>7</v>
      </c>
      <c r="B50" s="21"/>
      <c r="C50" s="21" t="s">
        <v>69</v>
      </c>
      <c r="D50" s="21" t="s">
        <v>121</v>
      </c>
      <c r="E50" s="21" t="s">
        <v>122</v>
      </c>
      <c r="F50" s="107" t="s">
        <v>249</v>
      </c>
      <c r="G50" s="21" t="s">
        <v>52</v>
      </c>
      <c r="H50" s="21" t="s">
        <v>186</v>
      </c>
      <c r="I50" s="11" t="s">
        <v>139</v>
      </c>
      <c r="J50" s="21" t="s">
        <v>187</v>
      </c>
      <c r="K50" s="230" t="s">
        <v>635</v>
      </c>
      <c r="L50" s="21" t="s">
        <v>187</v>
      </c>
      <c r="M50" s="21"/>
      <c r="N50" s="21"/>
    </row>
    <row r="51" spans="1:14" ht="13">
      <c r="A51" s="20">
        <v>8</v>
      </c>
      <c r="B51" s="21"/>
      <c r="C51" s="21" t="s">
        <v>96</v>
      </c>
      <c r="D51" s="21" t="s">
        <v>123</v>
      </c>
      <c r="E51" s="21" t="s">
        <v>124</v>
      </c>
      <c r="F51" s="107" t="s">
        <v>249</v>
      </c>
      <c r="G51" s="21" t="s">
        <v>52</v>
      </c>
      <c r="H51" s="21" t="s">
        <v>186</v>
      </c>
      <c r="I51" s="11" t="s">
        <v>139</v>
      </c>
      <c r="J51" s="21" t="s">
        <v>187</v>
      </c>
      <c r="K51" s="230" t="s">
        <v>635</v>
      </c>
      <c r="L51" s="21" t="s">
        <v>187</v>
      </c>
      <c r="M51" s="21"/>
      <c r="N51" s="21"/>
    </row>
    <row r="52" spans="1:14" ht="13">
      <c r="A52" s="20">
        <v>9</v>
      </c>
      <c r="B52" s="21"/>
      <c r="C52" s="21" t="s">
        <v>102</v>
      </c>
      <c r="D52" s="21" t="s">
        <v>125</v>
      </c>
      <c r="E52" s="21" t="s">
        <v>126</v>
      </c>
      <c r="F52" s="107" t="s">
        <v>249</v>
      </c>
      <c r="G52" s="21" t="s">
        <v>52</v>
      </c>
      <c r="H52" s="21" t="s">
        <v>186</v>
      </c>
      <c r="I52" s="11" t="s">
        <v>139</v>
      </c>
      <c r="J52" s="21" t="s">
        <v>187</v>
      </c>
      <c r="K52" s="230" t="s">
        <v>635</v>
      </c>
      <c r="L52" s="21" t="s">
        <v>187</v>
      </c>
      <c r="M52" s="21"/>
      <c r="N52" s="21"/>
    </row>
    <row r="53" spans="1:14" ht="13">
      <c r="A53" s="20">
        <v>10</v>
      </c>
      <c r="B53" s="21"/>
      <c r="C53" s="21" t="s">
        <v>127</v>
      </c>
      <c r="D53" s="21" t="s">
        <v>128</v>
      </c>
      <c r="E53" s="21" t="s">
        <v>129</v>
      </c>
      <c r="F53" s="107" t="s">
        <v>249</v>
      </c>
      <c r="G53" s="21" t="s">
        <v>52</v>
      </c>
      <c r="H53" s="21" t="s">
        <v>186</v>
      </c>
      <c r="I53" s="11" t="s">
        <v>139</v>
      </c>
      <c r="J53" s="21" t="s">
        <v>187</v>
      </c>
      <c r="K53" s="230" t="s">
        <v>635</v>
      </c>
      <c r="L53" s="21" t="s">
        <v>187</v>
      </c>
      <c r="M53" s="21"/>
      <c r="N53" s="21"/>
    </row>
    <row r="54" spans="1:14" ht="13">
      <c r="A54" s="20">
        <v>11</v>
      </c>
      <c r="B54" s="21"/>
      <c r="C54" s="21" t="s">
        <v>130</v>
      </c>
      <c r="D54" s="21" t="s">
        <v>131</v>
      </c>
      <c r="E54" s="21" t="s">
        <v>132</v>
      </c>
      <c r="F54" s="107" t="s">
        <v>249</v>
      </c>
      <c r="G54" s="21" t="s">
        <v>52</v>
      </c>
      <c r="H54" s="21" t="s">
        <v>186</v>
      </c>
      <c r="I54" s="11" t="s">
        <v>139</v>
      </c>
      <c r="J54" s="21" t="s">
        <v>187</v>
      </c>
      <c r="K54" s="230" t="s">
        <v>635</v>
      </c>
      <c r="L54" s="21" t="s">
        <v>187</v>
      </c>
      <c r="M54" s="21"/>
      <c r="N54" s="21"/>
    </row>
    <row r="55" spans="1:14" ht="13">
      <c r="A55" s="20">
        <v>12</v>
      </c>
      <c r="B55" s="21" t="s">
        <v>447</v>
      </c>
      <c r="C55" s="22" t="s">
        <v>104</v>
      </c>
      <c r="D55" s="21" t="s">
        <v>133</v>
      </c>
      <c r="E55" s="21" t="s">
        <v>134</v>
      </c>
      <c r="F55" s="107" t="s">
        <v>249</v>
      </c>
      <c r="G55" s="21" t="s">
        <v>52</v>
      </c>
      <c r="H55" s="21" t="s">
        <v>186</v>
      </c>
      <c r="I55" s="11" t="s">
        <v>139</v>
      </c>
      <c r="J55" s="21" t="s">
        <v>187</v>
      </c>
      <c r="K55" s="230" t="s">
        <v>635</v>
      </c>
      <c r="L55" s="21" t="s">
        <v>187</v>
      </c>
      <c r="M55" s="21"/>
      <c r="N55" s="21"/>
    </row>
    <row r="56" spans="1:14" ht="13">
      <c r="A56" s="20">
        <v>13</v>
      </c>
      <c r="B56" s="21"/>
      <c r="C56" s="21" t="s">
        <v>104</v>
      </c>
      <c r="D56" s="21" t="s">
        <v>135</v>
      </c>
      <c r="E56" s="21" t="s">
        <v>136</v>
      </c>
      <c r="F56" s="107" t="s">
        <v>249</v>
      </c>
      <c r="G56" s="21" t="s">
        <v>52</v>
      </c>
      <c r="H56" s="21" t="s">
        <v>186</v>
      </c>
      <c r="I56" s="11" t="s">
        <v>139</v>
      </c>
      <c r="J56" s="21" t="s">
        <v>187</v>
      </c>
      <c r="K56" s="230" t="s">
        <v>635</v>
      </c>
      <c r="L56" s="21" t="s">
        <v>187</v>
      </c>
      <c r="M56" s="21"/>
      <c r="N56" s="21"/>
    </row>
    <row r="57" spans="1:14" ht="13">
      <c r="A57" s="20">
        <v>14</v>
      </c>
      <c r="B57" s="21"/>
      <c r="C57" s="21" t="s">
        <v>116</v>
      </c>
      <c r="D57" s="21" t="s">
        <v>609</v>
      </c>
      <c r="E57" s="21" t="s">
        <v>454</v>
      </c>
      <c r="F57" s="107" t="s">
        <v>249</v>
      </c>
      <c r="G57" s="21" t="s">
        <v>52</v>
      </c>
      <c r="H57" s="21" t="s">
        <v>186</v>
      </c>
      <c r="I57" s="11" t="s">
        <v>139</v>
      </c>
      <c r="J57" s="21" t="s">
        <v>187</v>
      </c>
      <c r="K57" s="230" t="s">
        <v>635</v>
      </c>
      <c r="L57" s="21" t="s">
        <v>187</v>
      </c>
      <c r="M57" s="21"/>
      <c r="N57" s="21"/>
    </row>
    <row r="58" spans="1:14" ht="13">
      <c r="A58" s="20">
        <v>15</v>
      </c>
      <c r="B58" s="21"/>
      <c r="C58" s="21" t="s">
        <v>610</v>
      </c>
      <c r="D58" s="21" t="s">
        <v>611</v>
      </c>
      <c r="E58" s="21" t="s">
        <v>607</v>
      </c>
      <c r="F58" s="107" t="s">
        <v>249</v>
      </c>
      <c r="G58" s="21" t="s">
        <v>52</v>
      </c>
      <c r="H58" s="21" t="s">
        <v>186</v>
      </c>
      <c r="I58" s="11" t="s">
        <v>139</v>
      </c>
      <c r="J58" s="21" t="s">
        <v>187</v>
      </c>
      <c r="K58" s="230" t="s">
        <v>635</v>
      </c>
      <c r="L58" s="21" t="s">
        <v>187</v>
      </c>
      <c r="M58" s="21"/>
      <c r="N58" s="21"/>
    </row>
    <row r="59" spans="1:14" ht="13">
      <c r="A59" s="20">
        <v>16</v>
      </c>
      <c r="B59" s="21"/>
      <c r="C59" s="21" t="s">
        <v>612</v>
      </c>
      <c r="D59" s="21" t="s">
        <v>613</v>
      </c>
      <c r="E59" s="21" t="s">
        <v>608</v>
      </c>
      <c r="F59" s="107" t="s">
        <v>249</v>
      </c>
      <c r="G59" s="21" t="s">
        <v>52</v>
      </c>
      <c r="H59" s="21" t="s">
        <v>186</v>
      </c>
      <c r="I59" s="11" t="s">
        <v>139</v>
      </c>
      <c r="J59" s="21" t="s">
        <v>187</v>
      </c>
      <c r="K59" s="230" t="s">
        <v>635</v>
      </c>
      <c r="L59" s="21" t="s">
        <v>187</v>
      </c>
      <c r="M59" s="21"/>
      <c r="N59" s="21"/>
    </row>
    <row r="60" spans="1:14">
      <c r="A60" s="20"/>
      <c r="B60" s="21"/>
      <c r="C60" s="21"/>
      <c r="D60" s="21"/>
      <c r="E60" s="21"/>
      <c r="F60" s="11"/>
      <c r="G60" s="21"/>
      <c r="H60" s="21"/>
      <c r="I60" s="11"/>
      <c r="J60" s="21"/>
      <c r="K60" s="21"/>
      <c r="L60" s="21"/>
      <c r="M60" s="21"/>
      <c r="N60" s="21"/>
    </row>
    <row r="61" spans="1:14">
      <c r="A61" s="20"/>
      <c r="C61" s="21"/>
      <c r="D61" s="21"/>
      <c r="E61" s="21"/>
      <c r="F61" s="11"/>
      <c r="G61" s="21"/>
      <c r="H61" s="21"/>
      <c r="I61" s="11"/>
      <c r="J61" s="21"/>
      <c r="K61" s="21"/>
      <c r="L61" s="21"/>
      <c r="M61" s="21"/>
      <c r="N61" s="21"/>
    </row>
    <row r="62" spans="1:14">
      <c r="A62" s="20"/>
      <c r="B62" s="21"/>
      <c r="C62" s="21"/>
      <c r="D62" s="21"/>
      <c r="E62" s="21"/>
      <c r="F62" s="11"/>
      <c r="G62" s="21"/>
      <c r="H62" s="21"/>
      <c r="I62" s="11"/>
      <c r="J62" s="21"/>
      <c r="K62" s="21"/>
      <c r="L62" s="21"/>
      <c r="M62" s="21"/>
      <c r="N62" s="21"/>
    </row>
    <row r="63" spans="1:14">
      <c r="A63" s="20"/>
      <c r="B63" s="21"/>
      <c r="C63" s="21"/>
      <c r="D63" s="21"/>
      <c r="E63" s="21"/>
      <c r="F63" s="11"/>
      <c r="G63" s="21"/>
      <c r="H63" s="21"/>
      <c r="I63" s="11"/>
      <c r="J63" s="21"/>
      <c r="K63" s="21"/>
      <c r="L63" s="21"/>
      <c r="M63" s="21"/>
      <c r="N63" s="21"/>
    </row>
    <row r="64" spans="1:14">
      <c r="A64" s="20"/>
      <c r="B64" s="21"/>
      <c r="C64" s="21"/>
      <c r="D64" s="21"/>
      <c r="E64" s="21"/>
      <c r="F64" s="11"/>
      <c r="G64" s="21"/>
      <c r="H64" s="21"/>
      <c r="I64" s="11"/>
      <c r="J64" s="21"/>
      <c r="K64" s="21"/>
      <c r="L64" s="21"/>
      <c r="M64" s="21"/>
      <c r="N64" s="21"/>
    </row>
    <row r="65" spans="1:14">
      <c r="A65" s="20"/>
      <c r="B65" s="21"/>
      <c r="C65" s="21"/>
      <c r="D65" s="21"/>
      <c r="E65" s="21"/>
      <c r="F65" s="11"/>
      <c r="G65" s="21"/>
      <c r="H65" s="21"/>
      <c r="I65" s="11"/>
      <c r="J65" s="21"/>
      <c r="K65" s="21"/>
      <c r="L65" s="21"/>
      <c r="M65" s="21"/>
      <c r="N65" s="21"/>
    </row>
    <row r="66" spans="1:14">
      <c r="A66" s="20"/>
      <c r="B66" s="21"/>
      <c r="C66" s="21"/>
      <c r="D66" s="21"/>
      <c r="E66" s="21"/>
      <c r="F66" s="11"/>
      <c r="G66" s="21"/>
      <c r="H66" s="21"/>
      <c r="I66" s="11"/>
      <c r="J66" s="21"/>
      <c r="K66" s="21"/>
      <c r="L66" s="21"/>
      <c r="M66" s="21"/>
      <c r="N66" s="21"/>
    </row>
    <row r="67" spans="1:14">
      <c r="A67" s="20"/>
      <c r="B67" s="21"/>
      <c r="C67" s="21"/>
      <c r="D67" s="21"/>
      <c r="E67" s="21"/>
      <c r="F67" s="11"/>
      <c r="G67" s="21"/>
      <c r="H67" s="21"/>
      <c r="I67" s="11"/>
      <c r="J67" s="21"/>
      <c r="K67" s="21"/>
      <c r="L67" s="21"/>
      <c r="M67" s="21"/>
      <c r="N67" s="21"/>
    </row>
    <row r="68" spans="1:14">
      <c r="A68" s="20"/>
      <c r="B68" s="21"/>
      <c r="C68" s="21"/>
      <c r="D68" s="21"/>
      <c r="E68" s="21"/>
      <c r="F68" s="11"/>
      <c r="G68" s="21"/>
      <c r="H68" s="21"/>
      <c r="I68" s="11"/>
      <c r="J68" s="21"/>
      <c r="K68" s="21"/>
      <c r="L68" s="21"/>
      <c r="M68" s="21"/>
      <c r="N68" s="21"/>
    </row>
    <row r="69" spans="1:14">
      <c r="A69" s="20"/>
      <c r="B69" s="21"/>
      <c r="C69" s="21"/>
      <c r="D69" s="21"/>
      <c r="E69" s="21"/>
      <c r="F69" s="11"/>
      <c r="G69" s="21"/>
      <c r="H69" s="21"/>
      <c r="I69" s="11"/>
      <c r="J69" s="21"/>
      <c r="K69" s="21"/>
      <c r="L69" s="21"/>
      <c r="M69" s="21"/>
      <c r="N69" s="21"/>
    </row>
    <row r="70" spans="1:14">
      <c r="A70" s="20"/>
      <c r="B70" s="21"/>
      <c r="C70" s="21"/>
      <c r="D70" s="21"/>
      <c r="E70" s="21"/>
      <c r="F70" s="11"/>
      <c r="G70" s="21"/>
      <c r="H70" s="21"/>
      <c r="I70" s="11"/>
      <c r="J70" s="21"/>
      <c r="K70" s="21"/>
      <c r="L70" s="21"/>
      <c r="M70" s="21"/>
      <c r="N70" s="21"/>
    </row>
    <row r="71" spans="1:14">
      <c r="A71" s="20"/>
      <c r="B71" s="21"/>
      <c r="C71" s="21"/>
      <c r="D71" s="21"/>
      <c r="E71" s="21"/>
      <c r="F71" s="11"/>
      <c r="G71" s="21"/>
      <c r="H71" s="21"/>
      <c r="I71" s="11"/>
      <c r="J71" s="21"/>
      <c r="K71" s="21"/>
      <c r="L71" s="21"/>
      <c r="M71" s="21"/>
      <c r="N71" s="21"/>
    </row>
    <row r="72" spans="1:14">
      <c r="A72" s="20"/>
      <c r="B72" s="21"/>
      <c r="C72" s="21"/>
      <c r="D72" s="21"/>
      <c r="E72" s="21"/>
      <c r="F72" s="11"/>
      <c r="G72" s="21"/>
      <c r="H72" s="21"/>
      <c r="I72" s="11"/>
      <c r="J72" s="21"/>
      <c r="K72" s="21"/>
      <c r="L72" s="21"/>
      <c r="M72" s="21"/>
      <c r="N72" s="21"/>
    </row>
    <row r="73" spans="1:14">
      <c r="A73" s="20"/>
      <c r="B73" s="21"/>
      <c r="C73" s="21"/>
      <c r="D73" s="21"/>
      <c r="E73" s="21"/>
      <c r="F73" s="11"/>
      <c r="G73" s="21"/>
      <c r="H73" s="21"/>
      <c r="I73" s="11"/>
      <c r="J73" s="21"/>
      <c r="K73" s="21"/>
      <c r="L73" s="21"/>
      <c r="M73" s="21"/>
      <c r="N73" s="21"/>
    </row>
    <row r="74" spans="1:14">
      <c r="A74" s="20"/>
      <c r="B74" s="21"/>
      <c r="C74" s="21"/>
      <c r="D74" s="21"/>
      <c r="E74" s="21"/>
      <c r="F74" s="11"/>
      <c r="G74" s="21"/>
      <c r="H74" s="21"/>
      <c r="I74" s="11"/>
      <c r="J74" s="21"/>
      <c r="K74" s="21"/>
      <c r="L74" s="21"/>
      <c r="M74" s="21"/>
      <c r="N74" s="21"/>
    </row>
    <row r="75" spans="1:14">
      <c r="A75" s="20"/>
      <c r="B75" s="21"/>
      <c r="C75" s="21"/>
      <c r="D75" s="21"/>
      <c r="E75" s="21"/>
      <c r="F75" s="11"/>
      <c r="G75" s="21"/>
      <c r="H75" s="21"/>
      <c r="I75" s="11"/>
      <c r="J75" s="21"/>
      <c r="K75" s="21"/>
      <c r="L75" s="21"/>
      <c r="M75" s="21"/>
      <c r="N75" s="21"/>
    </row>
    <row r="76" spans="1:14">
      <c r="A76" s="20"/>
      <c r="B76" s="21"/>
      <c r="C76" s="21"/>
      <c r="D76" s="21"/>
      <c r="E76" s="21"/>
      <c r="F76" s="11"/>
      <c r="G76" s="21"/>
      <c r="H76" s="21"/>
      <c r="I76" s="11"/>
      <c r="J76" s="21"/>
      <c r="K76" s="21"/>
      <c r="L76" s="21"/>
      <c r="M76" s="21"/>
      <c r="N76" s="21"/>
    </row>
    <row r="77" spans="1:14">
      <c r="A77" s="20"/>
      <c r="B77" s="21"/>
      <c r="C77" s="21"/>
      <c r="D77" s="21"/>
      <c r="E77" s="21"/>
      <c r="F77" s="11"/>
      <c r="G77" s="21"/>
      <c r="H77" s="21"/>
      <c r="I77" s="11"/>
      <c r="J77" s="21"/>
      <c r="K77" s="21"/>
      <c r="L77" s="21"/>
      <c r="M77" s="21"/>
      <c r="N77" s="21"/>
    </row>
    <row r="78" spans="1:14">
      <c r="A78" s="20"/>
      <c r="B78" s="21"/>
      <c r="C78" s="21"/>
      <c r="D78" s="21"/>
      <c r="E78" s="21"/>
      <c r="F78" s="11"/>
      <c r="G78" s="21"/>
      <c r="H78" s="21"/>
      <c r="I78" s="11"/>
      <c r="J78" s="21"/>
      <c r="K78" s="21"/>
      <c r="L78" s="21"/>
      <c r="M78" s="21"/>
      <c r="N78" s="21"/>
    </row>
    <row r="79" spans="1:14">
      <c r="A79" s="20"/>
      <c r="B79" s="21"/>
      <c r="C79" s="21"/>
      <c r="D79" s="21"/>
      <c r="E79" s="21"/>
      <c r="F79" s="11"/>
      <c r="G79" s="21"/>
      <c r="H79" s="21"/>
      <c r="I79" s="11"/>
      <c r="J79" s="21"/>
      <c r="K79" s="21"/>
      <c r="L79" s="21"/>
      <c r="M79" s="21"/>
      <c r="N79" s="21"/>
    </row>
    <row r="80" spans="1:14">
      <c r="A80" s="20"/>
      <c r="B80" s="21"/>
      <c r="C80" s="21"/>
      <c r="D80" s="21"/>
      <c r="E80" s="21"/>
      <c r="F80" s="11"/>
      <c r="G80" s="21"/>
      <c r="H80" s="21"/>
      <c r="I80" s="11"/>
      <c r="J80" s="21"/>
      <c r="K80" s="21"/>
      <c r="L80" s="21"/>
      <c r="M80" s="21"/>
      <c r="N80" s="21"/>
    </row>
    <row r="81" spans="1:14">
      <c r="A81" s="20"/>
      <c r="B81" s="21"/>
      <c r="C81" s="21"/>
      <c r="D81" s="21"/>
      <c r="E81" s="21"/>
      <c r="F81" s="11"/>
      <c r="G81" s="21"/>
      <c r="H81" s="21"/>
      <c r="I81" s="11"/>
      <c r="J81" s="21"/>
      <c r="K81" s="21"/>
      <c r="L81" s="21"/>
      <c r="M81" s="21"/>
      <c r="N81" s="21"/>
    </row>
    <row r="82" spans="1:14">
      <c r="A82" s="20"/>
      <c r="B82" s="21"/>
      <c r="C82" s="21"/>
      <c r="D82" s="21"/>
      <c r="E82" s="21"/>
      <c r="F82" s="11"/>
      <c r="G82" s="21"/>
      <c r="H82" s="21"/>
      <c r="I82" s="11"/>
      <c r="J82" s="21"/>
      <c r="K82" s="21"/>
      <c r="L82" s="21"/>
      <c r="M82" s="21"/>
      <c r="N82" s="21"/>
    </row>
    <row r="83" spans="1:14">
      <c r="A83" s="20"/>
      <c r="B83" s="21"/>
      <c r="C83" s="21"/>
      <c r="D83" s="21"/>
      <c r="E83" s="21"/>
      <c r="F83" s="11"/>
      <c r="G83" s="21"/>
      <c r="H83" s="21"/>
      <c r="I83" s="11"/>
      <c r="J83" s="21"/>
      <c r="K83" s="21"/>
      <c r="L83" s="21"/>
      <c r="M83" s="21"/>
      <c r="N83" s="21"/>
    </row>
    <row r="84" spans="1:14">
      <c r="A84" s="20"/>
      <c r="B84" s="21"/>
      <c r="C84" s="21"/>
      <c r="D84" s="21"/>
      <c r="E84" s="21"/>
      <c r="F84" s="11"/>
      <c r="G84" s="21"/>
      <c r="H84" s="21"/>
      <c r="I84" s="11"/>
      <c r="J84" s="21"/>
      <c r="K84" s="21"/>
      <c r="L84" s="21"/>
      <c r="M84" s="21"/>
      <c r="N84" s="21"/>
    </row>
    <row r="85" spans="1:14">
      <c r="A85" s="20"/>
      <c r="B85" s="21"/>
      <c r="C85" s="21"/>
      <c r="D85" s="21"/>
      <c r="E85" s="21"/>
      <c r="F85" s="11"/>
      <c r="G85" s="21"/>
      <c r="H85" s="21"/>
      <c r="I85" s="11"/>
      <c r="J85" s="21"/>
      <c r="K85" s="21"/>
      <c r="L85" s="21"/>
      <c r="M85" s="21"/>
      <c r="N85" s="21"/>
    </row>
    <row r="86" spans="1:14">
      <c r="A86" s="20"/>
      <c r="B86" s="21"/>
      <c r="C86" s="21"/>
      <c r="D86" s="21"/>
      <c r="E86" s="21"/>
      <c r="F86" s="11"/>
      <c r="G86" s="21"/>
      <c r="H86" s="21"/>
      <c r="I86" s="11"/>
      <c r="J86" s="21"/>
      <c r="K86" s="21"/>
      <c r="L86" s="21"/>
      <c r="M86" s="21"/>
      <c r="N86" s="21"/>
    </row>
    <row r="87" spans="1:14">
      <c r="A87" s="20"/>
      <c r="B87" s="21"/>
      <c r="C87" s="21"/>
      <c r="D87" s="21"/>
      <c r="E87" s="21"/>
      <c r="F87" s="11"/>
      <c r="G87" s="21"/>
      <c r="H87" s="21"/>
      <c r="I87" s="11"/>
      <c r="J87" s="21"/>
      <c r="K87" s="21"/>
      <c r="L87" s="21"/>
      <c r="M87" s="21"/>
      <c r="N87" s="21"/>
    </row>
    <row r="88" spans="1:14">
      <c r="A88" s="20"/>
      <c r="B88" s="21"/>
      <c r="C88" s="21"/>
      <c r="D88" s="21"/>
      <c r="E88" s="21"/>
      <c r="F88" s="11"/>
      <c r="G88" s="21"/>
      <c r="H88" s="21"/>
      <c r="I88" s="11"/>
      <c r="J88" s="21"/>
      <c r="K88" s="21"/>
      <c r="L88" s="21"/>
      <c r="M88" s="21"/>
      <c r="N88" s="21"/>
    </row>
    <row r="89" spans="1:14">
      <c r="A89" s="20"/>
      <c r="B89" s="21"/>
      <c r="C89" s="21"/>
      <c r="D89" s="21"/>
      <c r="E89" s="21"/>
      <c r="F89" s="11"/>
      <c r="G89" s="21"/>
      <c r="H89" s="21"/>
      <c r="I89" s="11"/>
      <c r="J89" s="21"/>
      <c r="K89" s="21"/>
      <c r="L89" s="21"/>
      <c r="M89" s="21"/>
      <c r="N89" s="21"/>
    </row>
    <row r="90" spans="1:14">
      <c r="A90" s="20"/>
      <c r="B90" s="21"/>
      <c r="C90" s="21"/>
      <c r="D90" s="21"/>
      <c r="E90" s="21"/>
      <c r="F90" s="11"/>
      <c r="G90" s="21"/>
      <c r="H90" s="21"/>
      <c r="I90" s="11"/>
      <c r="J90" s="21"/>
      <c r="K90" s="21"/>
      <c r="L90" s="21"/>
      <c r="M90" s="21"/>
      <c r="N90" s="21"/>
    </row>
    <row r="91" spans="1:14">
      <c r="A91" s="20"/>
      <c r="B91" s="21"/>
      <c r="C91" s="21"/>
      <c r="D91" s="21"/>
      <c r="E91" s="21"/>
      <c r="F91" s="11"/>
      <c r="G91" s="21"/>
      <c r="H91" s="21"/>
      <c r="I91" s="11"/>
      <c r="J91" s="21"/>
      <c r="K91" s="21"/>
      <c r="L91" s="21"/>
      <c r="M91" s="21"/>
      <c r="N91" s="21"/>
    </row>
    <row r="92" spans="1:14">
      <c r="A92" s="20"/>
      <c r="B92" s="21"/>
      <c r="C92" s="21"/>
      <c r="D92" s="21"/>
      <c r="E92" s="21"/>
      <c r="F92" s="11"/>
      <c r="G92" s="21"/>
      <c r="H92" s="21"/>
      <c r="I92" s="11"/>
      <c r="J92" s="21"/>
      <c r="K92" s="21"/>
      <c r="L92" s="21"/>
      <c r="M92" s="21"/>
      <c r="N92" s="21"/>
    </row>
    <row r="93" spans="1:14">
      <c r="A93" s="20"/>
      <c r="B93" s="21"/>
      <c r="C93" s="21"/>
      <c r="D93" s="21"/>
      <c r="E93" s="21"/>
      <c r="F93" s="11"/>
      <c r="G93" s="21"/>
      <c r="H93" s="21"/>
      <c r="I93" s="11"/>
      <c r="J93" s="21"/>
      <c r="K93" s="21"/>
      <c r="L93" s="21"/>
      <c r="M93" s="21"/>
      <c r="N93" s="21"/>
    </row>
    <row r="94" spans="1:14">
      <c r="A94" s="20"/>
      <c r="B94" s="21"/>
      <c r="C94" s="21"/>
      <c r="D94" s="21"/>
      <c r="E94" s="21"/>
      <c r="F94" s="11"/>
      <c r="G94" s="21"/>
      <c r="H94" s="21"/>
      <c r="I94" s="11"/>
      <c r="J94" s="21"/>
      <c r="K94" s="21"/>
      <c r="L94" s="21"/>
      <c r="M94" s="21"/>
      <c r="N94" s="21"/>
    </row>
    <row r="95" spans="1:14">
      <c r="A95" s="20"/>
      <c r="B95" s="21"/>
      <c r="C95" s="21"/>
      <c r="D95" s="21"/>
      <c r="E95" s="21"/>
      <c r="F95" s="11"/>
      <c r="G95" s="21"/>
      <c r="H95" s="21"/>
      <c r="I95" s="11"/>
      <c r="J95" s="21"/>
      <c r="K95" s="21"/>
      <c r="L95" s="21"/>
      <c r="M95" s="21"/>
      <c r="N95" s="21"/>
    </row>
    <row r="96" spans="1:14">
      <c r="A96" s="20"/>
      <c r="B96" s="21"/>
      <c r="C96" s="21"/>
      <c r="D96" s="21"/>
      <c r="E96" s="21"/>
      <c r="F96" s="11"/>
      <c r="G96" s="21"/>
      <c r="H96" s="21"/>
      <c r="I96" s="11"/>
      <c r="J96" s="21"/>
      <c r="K96" s="21"/>
      <c r="L96" s="21"/>
      <c r="M96" s="21"/>
      <c r="N96" s="21"/>
    </row>
    <row r="97" spans="1:14">
      <c r="A97" s="20"/>
      <c r="B97" s="21"/>
      <c r="C97" s="21"/>
      <c r="D97" s="21"/>
      <c r="E97" s="21"/>
      <c r="F97" s="11"/>
      <c r="G97" s="21"/>
      <c r="H97" s="21"/>
      <c r="I97" s="11"/>
      <c r="J97" s="21"/>
      <c r="K97" s="21"/>
      <c r="L97" s="21"/>
      <c r="M97" s="21"/>
      <c r="N97" s="21"/>
    </row>
    <row r="98" spans="1:14">
      <c r="A98" s="20"/>
      <c r="B98" s="21"/>
      <c r="C98" s="21"/>
      <c r="D98" s="21"/>
      <c r="E98" s="21"/>
      <c r="F98" s="11"/>
      <c r="G98" s="21"/>
      <c r="H98" s="21"/>
      <c r="I98" s="11"/>
      <c r="J98" s="21"/>
      <c r="K98" s="21"/>
      <c r="L98" s="21"/>
      <c r="M98" s="21"/>
      <c r="N98" s="21"/>
    </row>
    <row r="99" spans="1:14">
      <c r="A99" s="20"/>
      <c r="B99" s="21"/>
      <c r="C99" s="21"/>
      <c r="D99" s="21"/>
      <c r="E99" s="21"/>
      <c r="F99" s="11"/>
      <c r="G99" s="21"/>
      <c r="H99" s="21"/>
      <c r="I99" s="11"/>
      <c r="J99" s="21"/>
      <c r="K99" s="21"/>
      <c r="L99" s="21"/>
      <c r="M99" s="21"/>
      <c r="N99" s="21"/>
    </row>
    <row r="100" spans="1:14">
      <c r="A100" s="20"/>
      <c r="B100" s="21"/>
      <c r="C100" s="21"/>
      <c r="D100" s="21"/>
      <c r="E100" s="21"/>
      <c r="F100" s="11"/>
      <c r="G100" s="21"/>
      <c r="H100" s="21"/>
      <c r="I100" s="11"/>
      <c r="J100" s="21"/>
      <c r="K100" s="21"/>
      <c r="L100" s="21"/>
      <c r="M100" s="21"/>
      <c r="N100" s="21"/>
    </row>
    <row r="101" spans="1:14">
      <c r="A101" s="20"/>
      <c r="B101" s="21"/>
      <c r="C101" s="21"/>
      <c r="D101" s="21"/>
      <c r="E101" s="21"/>
      <c r="F101" s="11"/>
      <c r="G101" s="21"/>
      <c r="H101" s="21"/>
      <c r="I101" s="11"/>
      <c r="J101" s="21"/>
      <c r="K101" s="21"/>
      <c r="L101" s="21"/>
      <c r="M101" s="21"/>
      <c r="N101" s="21"/>
    </row>
    <row r="102" spans="1:14">
      <c r="A102" s="20"/>
      <c r="B102" s="21"/>
      <c r="C102" s="21"/>
      <c r="D102" s="21"/>
      <c r="E102" s="21"/>
      <c r="F102" s="11"/>
      <c r="G102" s="21"/>
      <c r="H102" s="21"/>
      <c r="I102" s="11"/>
      <c r="J102" s="21"/>
      <c r="K102" s="21"/>
      <c r="L102" s="21"/>
      <c r="M102" s="21"/>
      <c r="N102" s="21"/>
    </row>
    <row r="103" spans="1:14">
      <c r="A103" s="20"/>
      <c r="B103" s="21"/>
      <c r="C103" s="21"/>
      <c r="D103" s="21"/>
      <c r="E103" s="21"/>
      <c r="F103" s="11"/>
      <c r="G103" s="21"/>
      <c r="H103" s="21"/>
      <c r="I103" s="11"/>
      <c r="J103" s="21"/>
      <c r="K103" s="21"/>
      <c r="L103" s="21"/>
      <c r="M103" s="21"/>
      <c r="N103" s="21"/>
    </row>
    <row r="104" spans="1:14">
      <c r="A104" s="20"/>
      <c r="B104" s="21"/>
      <c r="C104" s="21"/>
      <c r="D104" s="21"/>
      <c r="E104" s="21"/>
      <c r="F104" s="11"/>
      <c r="G104" s="21"/>
      <c r="H104" s="21"/>
      <c r="I104" s="11"/>
      <c r="J104" s="21"/>
      <c r="K104" s="21"/>
      <c r="L104" s="21"/>
      <c r="M104" s="21"/>
      <c r="N104" s="21"/>
    </row>
    <row r="105" spans="1:14">
      <c r="A105" s="20"/>
      <c r="B105" s="21"/>
      <c r="C105" s="21"/>
      <c r="D105" s="21"/>
      <c r="E105" s="21"/>
      <c r="F105" s="11"/>
      <c r="G105" s="21"/>
      <c r="H105" s="21"/>
      <c r="I105" s="11"/>
      <c r="J105" s="21"/>
      <c r="K105" s="21"/>
      <c r="L105" s="21"/>
      <c r="M105" s="21"/>
      <c r="N105" s="21"/>
    </row>
    <row r="106" spans="1:14">
      <c r="A106" s="20"/>
      <c r="B106" s="21"/>
      <c r="C106" s="21"/>
      <c r="D106" s="21"/>
      <c r="E106" s="21"/>
      <c r="F106" s="11"/>
      <c r="G106" s="21"/>
      <c r="H106" s="21"/>
      <c r="I106" s="11"/>
      <c r="J106" s="21"/>
      <c r="K106" s="21"/>
      <c r="L106" s="21"/>
      <c r="M106" s="21"/>
      <c r="N106" s="21"/>
    </row>
    <row r="107" spans="1:14">
      <c r="A107" s="20"/>
      <c r="B107" s="21"/>
      <c r="C107" s="21"/>
      <c r="D107" s="21"/>
      <c r="E107" s="21"/>
      <c r="F107" s="11"/>
      <c r="G107" s="21"/>
      <c r="H107" s="21"/>
      <c r="I107" s="11"/>
      <c r="J107" s="21"/>
      <c r="K107" s="21"/>
      <c r="L107" s="21"/>
      <c r="M107" s="21"/>
      <c r="N107" s="21"/>
    </row>
    <row r="108" spans="1:14">
      <c r="A108" s="20"/>
      <c r="B108" s="21"/>
      <c r="C108" s="21"/>
      <c r="D108" s="21"/>
      <c r="E108" s="21"/>
      <c r="F108" s="11"/>
      <c r="G108" s="21"/>
      <c r="H108" s="21"/>
      <c r="I108" s="11"/>
      <c r="J108" s="21"/>
      <c r="K108" s="21"/>
      <c r="L108" s="21"/>
      <c r="M108" s="21"/>
      <c r="N108" s="21"/>
    </row>
    <row r="109" spans="1:14">
      <c r="A109" s="20"/>
      <c r="B109" s="21"/>
      <c r="C109" s="21"/>
      <c r="D109" s="21"/>
      <c r="E109" s="21"/>
      <c r="F109" s="11"/>
      <c r="G109" s="21"/>
      <c r="H109" s="21"/>
      <c r="I109" s="11"/>
      <c r="J109" s="21"/>
      <c r="K109" s="21"/>
      <c r="L109" s="21"/>
      <c r="M109" s="21"/>
      <c r="N109" s="21"/>
    </row>
    <row r="110" spans="1:14">
      <c r="A110" s="20"/>
      <c r="B110" s="21"/>
      <c r="C110" s="21"/>
      <c r="D110" s="21"/>
      <c r="E110" s="21"/>
      <c r="F110" s="11"/>
      <c r="G110" s="21"/>
      <c r="H110" s="21"/>
      <c r="I110" s="11"/>
      <c r="J110" s="21"/>
      <c r="K110" s="21"/>
      <c r="L110" s="21"/>
      <c r="M110" s="21"/>
      <c r="N110" s="21"/>
    </row>
    <row r="111" spans="1:14">
      <c r="A111" s="20"/>
      <c r="B111" s="21"/>
      <c r="C111" s="21"/>
      <c r="D111" s="21"/>
      <c r="E111" s="21"/>
      <c r="F111" s="11"/>
      <c r="G111" s="21"/>
      <c r="H111" s="21"/>
      <c r="I111" s="11"/>
      <c r="J111" s="21"/>
      <c r="K111" s="21"/>
      <c r="L111" s="21"/>
      <c r="M111" s="21"/>
      <c r="N111" s="21"/>
    </row>
    <row r="112" spans="1:14">
      <c r="A112" s="20"/>
      <c r="B112" s="21"/>
      <c r="C112" s="21"/>
      <c r="D112" s="21"/>
      <c r="E112" s="21"/>
      <c r="F112" s="11"/>
      <c r="G112" s="21"/>
      <c r="H112" s="21"/>
      <c r="I112" s="11"/>
      <c r="J112" s="21"/>
      <c r="K112" s="21"/>
      <c r="L112" s="21"/>
      <c r="M112" s="21"/>
      <c r="N112" s="21"/>
    </row>
    <row r="113" spans="1:14">
      <c r="A113" s="20"/>
      <c r="B113" s="21"/>
      <c r="C113" s="21"/>
      <c r="D113" s="21"/>
      <c r="E113" s="21"/>
      <c r="F113" s="11"/>
      <c r="G113" s="21"/>
      <c r="H113" s="21"/>
      <c r="I113" s="11"/>
      <c r="J113" s="21"/>
      <c r="K113" s="21"/>
      <c r="L113" s="21"/>
      <c r="M113" s="21"/>
      <c r="N113" s="21"/>
    </row>
    <row r="114" spans="1:14">
      <c r="A114" s="20"/>
      <c r="B114" s="21"/>
      <c r="C114" s="21"/>
      <c r="D114" s="21"/>
      <c r="E114" s="21"/>
      <c r="F114" s="11"/>
      <c r="G114" s="21"/>
      <c r="H114" s="21"/>
      <c r="I114" s="11"/>
      <c r="J114" s="21"/>
      <c r="K114" s="21"/>
      <c r="L114" s="21"/>
      <c r="M114" s="21"/>
      <c r="N114" s="21"/>
    </row>
    <row r="115" spans="1:14">
      <c r="A115" s="20"/>
      <c r="B115" s="21"/>
      <c r="C115" s="21"/>
      <c r="D115" s="21"/>
      <c r="E115" s="21"/>
      <c r="F115" s="11"/>
      <c r="G115" s="21"/>
      <c r="H115" s="21"/>
      <c r="I115" s="11"/>
      <c r="J115" s="21"/>
      <c r="K115" s="21"/>
      <c r="L115" s="21"/>
      <c r="M115" s="21"/>
      <c r="N115" s="21"/>
    </row>
    <row r="116" spans="1:14">
      <c r="A116" s="20"/>
      <c r="B116" s="21"/>
      <c r="C116" s="21"/>
      <c r="D116" s="21"/>
      <c r="E116" s="21"/>
      <c r="F116" s="11"/>
      <c r="G116" s="21"/>
      <c r="H116" s="21"/>
      <c r="I116" s="11"/>
      <c r="J116" s="21"/>
      <c r="K116" s="21"/>
      <c r="L116" s="21"/>
      <c r="M116" s="21"/>
      <c r="N116" s="21"/>
    </row>
    <row r="117" spans="1:14">
      <c r="A117" s="20"/>
      <c r="B117" s="21"/>
      <c r="C117" s="21"/>
      <c r="D117" s="21"/>
      <c r="E117" s="21"/>
      <c r="F117" s="11"/>
      <c r="G117" s="21"/>
      <c r="H117" s="21"/>
      <c r="I117" s="11"/>
      <c r="J117" s="21"/>
      <c r="K117" s="21"/>
      <c r="L117" s="21"/>
      <c r="M117" s="21"/>
      <c r="N117" s="21"/>
    </row>
    <row r="118" spans="1:14">
      <c r="A118" s="20"/>
      <c r="B118" s="21"/>
      <c r="C118" s="21"/>
      <c r="D118" s="21"/>
      <c r="E118" s="21"/>
      <c r="F118" s="11"/>
      <c r="G118" s="21"/>
      <c r="H118" s="21"/>
      <c r="I118" s="11"/>
      <c r="J118" s="21"/>
      <c r="K118" s="21"/>
      <c r="L118" s="21"/>
      <c r="M118" s="21"/>
      <c r="N118" s="21"/>
    </row>
    <row r="119" spans="1:14">
      <c r="A119" s="20"/>
      <c r="B119" s="21"/>
      <c r="C119" s="21"/>
      <c r="D119" s="21"/>
      <c r="E119" s="21"/>
      <c r="F119" s="11"/>
      <c r="G119" s="21"/>
      <c r="H119" s="21"/>
      <c r="I119" s="11"/>
      <c r="J119" s="21"/>
      <c r="K119" s="21"/>
      <c r="L119" s="21"/>
      <c r="M119" s="21"/>
      <c r="N119" s="21"/>
    </row>
    <row r="120" spans="1:14">
      <c r="A120" s="20"/>
      <c r="B120" s="21"/>
      <c r="C120" s="21"/>
      <c r="D120" s="21"/>
      <c r="E120" s="21"/>
      <c r="F120" s="11"/>
      <c r="G120" s="21"/>
      <c r="H120" s="21"/>
      <c r="I120" s="11"/>
      <c r="J120" s="21"/>
      <c r="K120" s="21"/>
      <c r="L120" s="21"/>
      <c r="M120" s="21"/>
      <c r="N120" s="21"/>
    </row>
    <row r="121" spans="1:14">
      <c r="A121" s="20"/>
      <c r="B121" s="21"/>
      <c r="C121" s="21"/>
      <c r="D121" s="21"/>
      <c r="E121" s="21"/>
      <c r="F121" s="11"/>
      <c r="G121" s="21"/>
      <c r="H121" s="21"/>
      <c r="I121" s="11"/>
      <c r="J121" s="21"/>
      <c r="K121" s="21"/>
      <c r="L121" s="21"/>
      <c r="M121" s="21"/>
      <c r="N121" s="21"/>
    </row>
    <row r="122" spans="1:14">
      <c r="A122" s="20"/>
      <c r="B122" s="21"/>
      <c r="C122" s="21"/>
      <c r="D122" s="21"/>
      <c r="E122" s="21"/>
      <c r="F122" s="11"/>
      <c r="G122" s="21"/>
      <c r="H122" s="21"/>
      <c r="I122" s="11"/>
      <c r="J122" s="21"/>
      <c r="K122" s="21"/>
      <c r="L122" s="21"/>
      <c r="M122" s="21"/>
      <c r="N122" s="21"/>
    </row>
    <row r="123" spans="1:14">
      <c r="A123" s="20"/>
      <c r="B123" s="21"/>
      <c r="C123" s="21"/>
      <c r="D123" s="21"/>
      <c r="E123" s="21"/>
      <c r="F123" s="11"/>
      <c r="G123" s="21"/>
      <c r="H123" s="21"/>
      <c r="I123" s="11"/>
      <c r="J123" s="21"/>
      <c r="K123" s="21"/>
      <c r="L123" s="21"/>
      <c r="M123" s="21"/>
      <c r="N123" s="21"/>
    </row>
    <row r="124" spans="1:14">
      <c r="A124" s="20"/>
      <c r="B124" s="21"/>
      <c r="C124" s="21"/>
      <c r="D124" s="21"/>
      <c r="E124" s="21"/>
      <c r="F124" s="11"/>
      <c r="G124" s="21"/>
      <c r="H124" s="21"/>
      <c r="I124" s="11"/>
      <c r="J124" s="21"/>
      <c r="K124" s="21"/>
      <c r="L124" s="21"/>
      <c r="M124" s="21"/>
      <c r="N124" s="21"/>
    </row>
    <row r="125" spans="1:14">
      <c r="A125" s="20"/>
      <c r="B125" s="21"/>
      <c r="C125" s="21"/>
      <c r="D125" s="21"/>
      <c r="E125" s="21"/>
      <c r="F125" s="11"/>
      <c r="G125" s="21"/>
      <c r="H125" s="21"/>
      <c r="I125" s="11"/>
      <c r="J125" s="21"/>
      <c r="K125" s="21"/>
      <c r="L125" s="21"/>
      <c r="M125" s="21"/>
      <c r="N125" s="21"/>
    </row>
    <row r="126" spans="1:14">
      <c r="A126" s="20"/>
      <c r="B126" s="21"/>
      <c r="C126" s="21"/>
      <c r="D126" s="21"/>
      <c r="E126" s="21"/>
      <c r="F126" s="11"/>
      <c r="G126" s="21"/>
      <c r="H126" s="21"/>
      <c r="I126" s="11"/>
      <c r="J126" s="21"/>
      <c r="K126" s="21"/>
      <c r="L126" s="21"/>
      <c r="M126" s="21"/>
      <c r="N126" s="21"/>
    </row>
    <row r="127" spans="1:14">
      <c r="A127" s="20"/>
      <c r="B127" s="21"/>
      <c r="C127" s="21"/>
      <c r="D127" s="21"/>
      <c r="E127" s="21"/>
      <c r="F127" s="11"/>
      <c r="G127" s="21"/>
      <c r="H127" s="21"/>
      <c r="I127" s="11"/>
      <c r="J127" s="21"/>
      <c r="K127" s="21"/>
      <c r="L127" s="21"/>
      <c r="M127" s="21"/>
      <c r="N127" s="21"/>
    </row>
    <row r="128" spans="1:14">
      <c r="A128" s="20"/>
      <c r="B128" s="21"/>
      <c r="C128" s="21"/>
      <c r="D128" s="21"/>
      <c r="E128" s="21"/>
      <c r="F128" s="11"/>
      <c r="G128" s="21"/>
      <c r="H128" s="21"/>
      <c r="I128" s="11"/>
      <c r="J128" s="21"/>
      <c r="K128" s="21"/>
      <c r="L128" s="21"/>
      <c r="M128" s="21"/>
      <c r="N128" s="21"/>
    </row>
    <row r="129" spans="1:14">
      <c r="A129" s="20"/>
      <c r="B129" s="21"/>
      <c r="C129" s="21"/>
      <c r="D129" s="21"/>
      <c r="E129" s="21"/>
      <c r="F129" s="11"/>
      <c r="G129" s="21"/>
      <c r="H129" s="21"/>
      <c r="I129" s="11"/>
      <c r="J129" s="21"/>
      <c r="K129" s="21"/>
      <c r="L129" s="21"/>
      <c r="M129" s="21"/>
      <c r="N129" s="21"/>
    </row>
    <row r="130" spans="1:14">
      <c r="A130" s="20"/>
      <c r="B130" s="21"/>
      <c r="C130" s="21"/>
      <c r="D130" s="21"/>
      <c r="E130" s="21"/>
      <c r="F130" s="11"/>
      <c r="G130" s="21"/>
      <c r="H130" s="21"/>
      <c r="I130" s="11"/>
      <c r="J130" s="21"/>
      <c r="K130" s="21"/>
      <c r="L130" s="21"/>
      <c r="M130" s="21"/>
      <c r="N130" s="21"/>
    </row>
    <row r="131" spans="1:14">
      <c r="A131" s="20"/>
      <c r="B131" s="21"/>
      <c r="C131" s="21"/>
      <c r="D131" s="21"/>
      <c r="E131" s="21"/>
      <c r="F131" s="11"/>
      <c r="G131" s="21"/>
      <c r="H131" s="21"/>
      <c r="I131" s="11"/>
      <c r="J131" s="21"/>
      <c r="K131" s="21"/>
      <c r="L131" s="21"/>
      <c r="M131" s="21"/>
      <c r="N131" s="21"/>
    </row>
    <row r="132" spans="1:14">
      <c r="A132" s="20"/>
      <c r="B132" s="21"/>
      <c r="C132" s="21"/>
      <c r="D132" s="21"/>
      <c r="E132" s="21"/>
      <c r="F132" s="11"/>
      <c r="G132" s="21"/>
      <c r="H132" s="21"/>
      <c r="I132" s="11"/>
      <c r="J132" s="21"/>
      <c r="K132" s="21"/>
      <c r="L132" s="21"/>
      <c r="M132" s="21"/>
      <c r="N132" s="21"/>
    </row>
    <row r="133" spans="1:14">
      <c r="A133" s="20"/>
      <c r="B133" s="21"/>
      <c r="C133" s="21"/>
      <c r="D133" s="21"/>
      <c r="E133" s="21"/>
      <c r="F133" s="11"/>
      <c r="G133" s="21"/>
      <c r="H133" s="21"/>
      <c r="I133" s="11"/>
      <c r="J133" s="21"/>
      <c r="K133" s="21"/>
      <c r="L133" s="21"/>
      <c r="M133" s="21"/>
      <c r="N133" s="21"/>
    </row>
    <row r="134" spans="1:14">
      <c r="A134" s="20"/>
      <c r="B134" s="21"/>
      <c r="C134" s="21"/>
      <c r="D134" s="21"/>
      <c r="E134" s="21"/>
      <c r="F134" s="11"/>
      <c r="G134" s="21"/>
      <c r="H134" s="21"/>
      <c r="I134" s="11"/>
      <c r="J134" s="21"/>
      <c r="K134" s="21"/>
      <c r="L134" s="21"/>
      <c r="M134" s="21"/>
      <c r="N134" s="21"/>
    </row>
    <row r="135" spans="1:14">
      <c r="A135" s="20"/>
      <c r="B135" s="21"/>
      <c r="C135" s="21"/>
      <c r="D135" s="21"/>
      <c r="E135" s="21"/>
      <c r="F135" s="11"/>
      <c r="G135" s="21"/>
      <c r="H135" s="21"/>
      <c r="I135" s="11"/>
      <c r="J135" s="21"/>
      <c r="K135" s="21"/>
      <c r="L135" s="21"/>
      <c r="M135" s="21"/>
      <c r="N135" s="21"/>
    </row>
    <row r="136" spans="1:14">
      <c r="A136" s="20"/>
      <c r="B136" s="21"/>
      <c r="C136" s="21"/>
      <c r="D136" s="21"/>
      <c r="E136" s="21"/>
      <c r="F136" s="11"/>
      <c r="G136" s="21"/>
      <c r="H136" s="21"/>
      <c r="I136" s="11"/>
      <c r="J136" s="21"/>
      <c r="K136" s="21"/>
      <c r="L136" s="21"/>
      <c r="M136" s="21"/>
      <c r="N136" s="21"/>
    </row>
    <row r="137" spans="1:14">
      <c r="A137" s="20"/>
      <c r="B137" s="21"/>
      <c r="C137" s="21"/>
      <c r="D137" s="21"/>
      <c r="E137" s="21"/>
      <c r="F137" s="11"/>
      <c r="G137" s="21"/>
      <c r="H137" s="21"/>
      <c r="I137" s="11"/>
      <c r="J137" s="21"/>
      <c r="K137" s="21"/>
      <c r="L137" s="21"/>
      <c r="M137" s="21"/>
      <c r="N137" s="21"/>
    </row>
    <row r="138" spans="1:14">
      <c r="A138" s="20"/>
      <c r="B138" s="21"/>
      <c r="C138" s="21"/>
      <c r="D138" s="21"/>
      <c r="E138" s="21"/>
      <c r="F138" s="11"/>
      <c r="G138" s="21"/>
      <c r="H138" s="21"/>
      <c r="I138" s="11"/>
      <c r="J138" s="21"/>
      <c r="K138" s="21"/>
      <c r="L138" s="21"/>
      <c r="M138" s="21"/>
      <c r="N138" s="21"/>
    </row>
    <row r="139" spans="1:14">
      <c r="A139" s="20"/>
      <c r="B139" s="21"/>
      <c r="C139" s="21"/>
      <c r="D139" s="21"/>
      <c r="E139" s="21"/>
      <c r="F139" s="11"/>
      <c r="G139" s="21"/>
      <c r="H139" s="21"/>
      <c r="I139" s="11"/>
      <c r="J139" s="21"/>
      <c r="K139" s="21"/>
      <c r="L139" s="21"/>
      <c r="M139" s="21"/>
      <c r="N139" s="21"/>
    </row>
    <row r="140" spans="1:14">
      <c r="A140" s="20"/>
      <c r="B140" s="21"/>
      <c r="C140" s="21"/>
      <c r="D140" s="21"/>
      <c r="E140" s="21"/>
      <c r="F140" s="11"/>
      <c r="G140" s="21"/>
      <c r="H140" s="21"/>
      <c r="I140" s="11"/>
      <c r="J140" s="21"/>
      <c r="K140" s="21"/>
      <c r="L140" s="21"/>
      <c r="M140" s="21"/>
      <c r="N140" s="21"/>
    </row>
    <row r="141" spans="1:14">
      <c r="A141" s="20"/>
      <c r="B141" s="21"/>
      <c r="C141" s="21"/>
      <c r="D141" s="21"/>
      <c r="E141" s="21"/>
      <c r="F141" s="11"/>
      <c r="G141" s="21"/>
      <c r="H141" s="21"/>
      <c r="I141" s="11"/>
      <c r="J141" s="21"/>
      <c r="K141" s="21"/>
      <c r="L141" s="21"/>
      <c r="M141" s="21"/>
      <c r="N141" s="21"/>
    </row>
    <row r="142" spans="1:14">
      <c r="A142" s="20"/>
      <c r="B142" s="21"/>
      <c r="C142" s="21"/>
      <c r="D142" s="21"/>
      <c r="E142" s="21"/>
      <c r="F142" s="11"/>
      <c r="G142" s="21"/>
      <c r="H142" s="21"/>
      <c r="I142" s="11"/>
      <c r="J142" s="21"/>
      <c r="K142" s="21"/>
      <c r="L142" s="21"/>
      <c r="M142" s="21"/>
      <c r="N142" s="21"/>
    </row>
    <row r="143" spans="1:14">
      <c r="A143" s="20"/>
      <c r="B143" s="21"/>
      <c r="C143" s="21"/>
      <c r="D143" s="21"/>
      <c r="E143" s="21"/>
      <c r="F143" s="11"/>
      <c r="G143" s="21"/>
      <c r="H143" s="21"/>
      <c r="I143" s="11"/>
      <c r="J143" s="21"/>
      <c r="K143" s="21"/>
      <c r="L143" s="21"/>
      <c r="M143" s="21"/>
      <c r="N143" s="21"/>
    </row>
    <row r="144" spans="1:14">
      <c r="A144" s="20"/>
      <c r="B144" s="21"/>
      <c r="C144" s="21"/>
      <c r="D144" s="21"/>
      <c r="E144" s="21"/>
      <c r="F144" s="11"/>
      <c r="G144" s="21"/>
      <c r="H144" s="21"/>
      <c r="I144" s="11"/>
      <c r="J144" s="21"/>
      <c r="K144" s="21"/>
      <c r="L144" s="21"/>
      <c r="M144" s="21"/>
      <c r="N144" s="21"/>
    </row>
    <row r="145" spans="1:14">
      <c r="A145" s="20"/>
      <c r="B145" s="21"/>
      <c r="C145" s="21"/>
      <c r="D145" s="21"/>
      <c r="E145" s="21"/>
      <c r="F145" s="11"/>
      <c r="G145" s="21"/>
      <c r="H145" s="21"/>
      <c r="I145" s="11"/>
      <c r="J145" s="21"/>
      <c r="K145" s="21"/>
      <c r="L145" s="21"/>
      <c r="M145" s="21"/>
      <c r="N145" s="21"/>
    </row>
    <row r="146" spans="1:14">
      <c r="A146" s="20"/>
      <c r="B146" s="21"/>
      <c r="C146" s="21"/>
      <c r="D146" s="21"/>
      <c r="E146" s="21"/>
      <c r="F146" s="11"/>
      <c r="G146" s="21"/>
      <c r="H146" s="21"/>
      <c r="I146" s="11"/>
      <c r="J146" s="21"/>
      <c r="K146" s="21"/>
      <c r="L146" s="21"/>
      <c r="M146" s="21"/>
      <c r="N146" s="21"/>
    </row>
    <row r="147" spans="1:14">
      <c r="A147" s="20"/>
      <c r="B147" s="21"/>
      <c r="C147" s="21"/>
      <c r="D147" s="21"/>
      <c r="E147" s="21"/>
      <c r="F147" s="11"/>
      <c r="G147" s="21"/>
      <c r="H147" s="21"/>
      <c r="I147" s="11"/>
      <c r="J147" s="21"/>
      <c r="K147" s="21"/>
      <c r="L147" s="21"/>
      <c r="M147" s="21"/>
      <c r="N147" s="21"/>
    </row>
    <row r="148" spans="1:14">
      <c r="A148" s="20"/>
      <c r="B148" s="21"/>
      <c r="C148" s="21"/>
      <c r="D148" s="21"/>
      <c r="E148" s="21"/>
      <c r="F148" s="11"/>
      <c r="G148" s="21"/>
      <c r="H148" s="21"/>
      <c r="I148" s="11"/>
      <c r="J148" s="21"/>
      <c r="K148" s="21"/>
      <c r="L148" s="21"/>
      <c r="M148" s="21"/>
      <c r="N148" s="21"/>
    </row>
    <row r="149" spans="1:14">
      <c r="A149" s="20"/>
      <c r="B149" s="21"/>
      <c r="C149" s="21"/>
      <c r="D149" s="21"/>
      <c r="E149" s="21"/>
      <c r="F149" s="11"/>
      <c r="G149" s="21"/>
      <c r="H149" s="21"/>
      <c r="I149" s="11"/>
      <c r="J149" s="21"/>
      <c r="K149" s="21"/>
      <c r="L149" s="21"/>
      <c r="M149" s="21"/>
      <c r="N149" s="21"/>
    </row>
    <row r="150" spans="1:14">
      <c r="A150" s="20"/>
      <c r="B150" s="21"/>
      <c r="C150" s="21"/>
      <c r="D150" s="21"/>
      <c r="E150" s="21"/>
      <c r="F150" s="11"/>
      <c r="G150" s="21"/>
      <c r="H150" s="21"/>
      <c r="I150" s="11"/>
      <c r="J150" s="21"/>
      <c r="K150" s="21"/>
      <c r="L150" s="21"/>
      <c r="M150" s="21"/>
      <c r="N150" s="21"/>
    </row>
    <row r="151" spans="1:14">
      <c r="A151" s="20"/>
      <c r="B151" s="21"/>
      <c r="C151" s="21"/>
      <c r="D151" s="21"/>
      <c r="E151" s="21"/>
      <c r="F151" s="11"/>
      <c r="G151" s="21"/>
      <c r="H151" s="21"/>
      <c r="I151" s="11"/>
      <c r="J151" s="21"/>
      <c r="K151" s="21"/>
      <c r="L151" s="21"/>
      <c r="M151" s="21"/>
      <c r="N151" s="21"/>
    </row>
    <row r="152" spans="1:14">
      <c r="A152" s="20"/>
      <c r="B152" s="21"/>
      <c r="C152" s="21"/>
      <c r="D152" s="21"/>
      <c r="E152" s="21"/>
      <c r="F152" s="11"/>
      <c r="G152" s="21"/>
      <c r="H152" s="21"/>
      <c r="I152" s="11"/>
      <c r="J152" s="21"/>
      <c r="K152" s="21"/>
      <c r="L152" s="21"/>
      <c r="M152" s="21"/>
      <c r="N152" s="21"/>
    </row>
    <row r="153" spans="1:14">
      <c r="A153" s="20"/>
      <c r="B153" s="21"/>
      <c r="C153" s="21"/>
      <c r="D153" s="21"/>
      <c r="E153" s="21"/>
      <c r="F153" s="11"/>
      <c r="G153" s="21"/>
      <c r="H153" s="21"/>
      <c r="I153" s="11"/>
      <c r="J153" s="21"/>
      <c r="K153" s="21"/>
      <c r="L153" s="21"/>
      <c r="M153" s="21"/>
      <c r="N153" s="21"/>
    </row>
    <row r="154" spans="1:14">
      <c r="A154" s="20"/>
      <c r="B154" s="21"/>
      <c r="C154" s="21"/>
      <c r="D154" s="21"/>
      <c r="E154" s="21"/>
      <c r="F154" s="11"/>
      <c r="G154" s="21"/>
      <c r="H154" s="21"/>
      <c r="I154" s="11"/>
      <c r="J154" s="21"/>
      <c r="K154" s="21"/>
      <c r="L154" s="21"/>
      <c r="M154" s="21"/>
      <c r="N154" s="21"/>
    </row>
    <row r="155" spans="1:14">
      <c r="A155" s="20"/>
      <c r="B155" s="21"/>
      <c r="C155" s="21"/>
      <c r="D155" s="21"/>
      <c r="E155" s="21"/>
      <c r="F155" s="11"/>
      <c r="G155" s="21"/>
      <c r="H155" s="21"/>
      <c r="I155" s="11"/>
      <c r="J155" s="21"/>
      <c r="K155" s="21"/>
      <c r="L155" s="21"/>
      <c r="M155" s="21"/>
      <c r="N155" s="21"/>
    </row>
    <row r="156" spans="1:14">
      <c r="A156" s="20"/>
      <c r="B156" s="21"/>
      <c r="C156" s="21"/>
      <c r="D156" s="21"/>
      <c r="E156" s="21"/>
      <c r="F156" s="11"/>
      <c r="G156" s="21"/>
      <c r="H156" s="21"/>
      <c r="I156" s="11"/>
      <c r="J156" s="21"/>
      <c r="K156" s="21"/>
      <c r="L156" s="21"/>
      <c r="M156" s="21"/>
      <c r="N156" s="21"/>
    </row>
    <row r="157" spans="1:14">
      <c r="A157" s="20"/>
      <c r="B157" s="21"/>
      <c r="C157" s="21"/>
      <c r="D157" s="21"/>
      <c r="E157" s="21"/>
      <c r="F157" s="11"/>
      <c r="G157" s="21"/>
      <c r="H157" s="21"/>
      <c r="I157" s="11"/>
      <c r="J157" s="21"/>
      <c r="K157" s="21"/>
      <c r="L157" s="21"/>
      <c r="M157" s="21"/>
      <c r="N157" s="21"/>
    </row>
    <row r="158" spans="1:14">
      <c r="A158" s="20"/>
      <c r="B158" s="21"/>
      <c r="C158" s="21"/>
      <c r="D158" s="21"/>
      <c r="E158" s="21"/>
      <c r="F158" s="11"/>
      <c r="G158" s="21"/>
      <c r="H158" s="21"/>
      <c r="I158" s="11"/>
      <c r="J158" s="21"/>
      <c r="K158" s="21"/>
      <c r="L158" s="21"/>
      <c r="M158" s="21"/>
      <c r="N158" s="21"/>
    </row>
    <row r="159" spans="1:14">
      <c r="A159" s="20"/>
      <c r="B159" s="21"/>
      <c r="C159" s="21"/>
      <c r="D159" s="21"/>
      <c r="E159" s="21"/>
      <c r="F159" s="11"/>
      <c r="G159" s="21"/>
      <c r="H159" s="21"/>
      <c r="I159" s="11"/>
      <c r="J159" s="21"/>
      <c r="K159" s="21"/>
      <c r="L159" s="21"/>
      <c r="M159" s="21"/>
      <c r="N159" s="21"/>
    </row>
    <row r="160" spans="1:14">
      <c r="A160" s="20"/>
      <c r="B160" s="21"/>
      <c r="C160" s="21"/>
      <c r="D160" s="21"/>
      <c r="E160" s="21"/>
      <c r="F160" s="11"/>
      <c r="G160" s="21"/>
      <c r="H160" s="21"/>
      <c r="I160" s="11"/>
      <c r="J160" s="21"/>
      <c r="K160" s="21"/>
      <c r="L160" s="21"/>
      <c r="M160" s="21"/>
      <c r="N160" s="21"/>
    </row>
    <row r="161" spans="1:14">
      <c r="A161" s="20"/>
      <c r="B161" s="21"/>
      <c r="C161" s="21"/>
      <c r="D161" s="21"/>
      <c r="E161" s="21"/>
      <c r="F161" s="11"/>
      <c r="G161" s="21"/>
      <c r="H161" s="21"/>
      <c r="I161" s="11"/>
      <c r="J161" s="21"/>
      <c r="K161" s="21"/>
      <c r="L161" s="21"/>
      <c r="M161" s="21"/>
      <c r="N161" s="21"/>
    </row>
    <row r="162" spans="1:14">
      <c r="A162" s="20"/>
      <c r="B162" s="21"/>
      <c r="C162" s="21"/>
      <c r="D162" s="21"/>
      <c r="E162" s="21"/>
      <c r="F162" s="11"/>
      <c r="G162" s="21"/>
      <c r="H162" s="21"/>
      <c r="I162" s="11"/>
      <c r="J162" s="21"/>
      <c r="K162" s="21"/>
      <c r="L162" s="21"/>
      <c r="M162" s="21"/>
      <c r="N162" s="21"/>
    </row>
    <row r="163" spans="1:14">
      <c r="A163" s="20"/>
      <c r="B163" s="21"/>
      <c r="C163" s="21"/>
      <c r="D163" s="21"/>
      <c r="E163" s="21"/>
      <c r="F163" s="11"/>
      <c r="G163" s="21"/>
      <c r="H163" s="21"/>
      <c r="I163" s="11"/>
      <c r="J163" s="21"/>
      <c r="K163" s="21"/>
      <c r="L163" s="21"/>
      <c r="M163" s="21"/>
      <c r="N163" s="21"/>
    </row>
    <row r="164" spans="1:14">
      <c r="A164" s="20"/>
      <c r="B164" s="21"/>
      <c r="C164" s="21"/>
      <c r="D164" s="21"/>
      <c r="E164" s="21"/>
      <c r="F164" s="11"/>
      <c r="G164" s="21"/>
      <c r="H164" s="21"/>
      <c r="I164" s="11"/>
      <c r="J164" s="21"/>
      <c r="K164" s="21"/>
      <c r="L164" s="21"/>
      <c r="M164" s="21"/>
      <c r="N164" s="21"/>
    </row>
    <row r="165" spans="1:14">
      <c r="A165" s="20"/>
      <c r="B165" s="21"/>
      <c r="C165" s="21"/>
      <c r="D165" s="21"/>
      <c r="E165" s="21"/>
      <c r="F165" s="11"/>
      <c r="G165" s="21"/>
      <c r="H165" s="21"/>
      <c r="I165" s="11"/>
      <c r="J165" s="21"/>
      <c r="K165" s="21"/>
      <c r="L165" s="21"/>
      <c r="M165" s="21"/>
      <c r="N165" s="21"/>
    </row>
    <row r="166" spans="1:14">
      <c r="A166" s="20"/>
      <c r="B166" s="21"/>
      <c r="C166" s="21"/>
      <c r="D166" s="21"/>
      <c r="E166" s="21"/>
      <c r="F166" s="11"/>
      <c r="G166" s="21"/>
      <c r="H166" s="21"/>
      <c r="I166" s="11"/>
      <c r="J166" s="21"/>
      <c r="K166" s="21"/>
      <c r="L166" s="21"/>
      <c r="M166" s="21"/>
      <c r="N166" s="21"/>
    </row>
    <row r="167" spans="1:14">
      <c r="A167" s="20"/>
      <c r="B167" s="21"/>
      <c r="C167" s="21"/>
      <c r="D167" s="21"/>
      <c r="E167" s="21"/>
      <c r="F167" s="11"/>
      <c r="G167" s="21"/>
      <c r="H167" s="21"/>
      <c r="I167" s="11"/>
      <c r="J167" s="21"/>
      <c r="K167" s="21"/>
      <c r="L167" s="21"/>
      <c r="M167" s="21"/>
      <c r="N167" s="21"/>
    </row>
  </sheetData>
  <mergeCells count="4">
    <mergeCell ref="B2:B3"/>
    <mergeCell ref="C2:E3"/>
    <mergeCell ref="H2:I2"/>
    <mergeCell ref="H3:I3"/>
  </mergeCells>
  <phoneticPr fontId="3"/>
  <conditionalFormatting sqref="I7:I14 I16:I19 I21:I42 I44:I167">
    <cfRule type="cellIs" dxfId="2" priority="3" stopIfTrue="1" operator="equal">
      <formula>"否"</formula>
    </cfRule>
  </conditionalFormatting>
  <conditionalFormatting sqref="J7:J14 L7:M14 J16:J19 L16:M19 J21:J42 L21:M42 J44:J167 L44:M167 M66:N66">
    <cfRule type="cellIs" dxfId="1" priority="4" stopIfTrue="1" operator="equal">
      <formula>"NG"</formula>
    </cfRule>
  </conditionalFormatting>
  <conditionalFormatting sqref="M71:N71 M92:N102">
    <cfRule type="cellIs" dxfId="0" priority="7" stopIfTrue="1" operator="equal">
      <formula>"NG"</formula>
    </cfRule>
  </conditionalFormatting>
  <dataValidations count="4">
    <dataValidation type="list" allowBlank="1" showInputMessage="1" showErrorMessage="1" sqref="J6:J167 L6:M167" xr:uid="{FFC153D0-1D5B-414F-AD83-22875610DEB9}">
      <formula1>"OK,NG"</formula1>
    </dataValidation>
    <dataValidation type="list" allowBlank="1" showInputMessage="1" showErrorMessage="1" sqref="I6:I167" xr:uid="{428927EC-79D1-4235-9FBA-A45A4DF5AB72}">
      <formula1>"要,否"</formula1>
    </dataValidation>
    <dataValidation type="list" allowBlank="1" showInputMessage="1" showErrorMessage="1" sqref="H6:H167" xr:uid="{EF925F08-92D1-4C23-BC8A-7803F1D65B98}">
      <formula1>"ツール,手動"</formula1>
    </dataValidation>
    <dataValidation type="list" allowBlank="1" showInputMessage="1" showErrorMessage="1" sqref="G6:G167" xr:uid="{8CF506BF-CEA7-4022-9B75-8E42DE07E4E0}">
      <formula1>"生成AI,手動"</formula1>
    </dataValidation>
  </dataValidations>
  <hyperlinks>
    <hyperlink ref="F7" location="引数チェック!A1" display="引数チェック" xr:uid="{C6EDCA2C-D54D-41FB-A84A-5F23E23A3AF9}"/>
    <hyperlink ref="F8:F14" location="引数チェック!A1" display="引数チェック" xr:uid="{FA90AA5D-E867-4A02-9559-22860B484F13}"/>
    <hyperlink ref="F16" location="主処理!A1" display="主処理" xr:uid="{D70AD22E-0791-48E6-82B0-F41842D54960}"/>
    <hyperlink ref="F17:F19" location="主処理!A1" display="主処理" xr:uid="{F6E8A7A9-D959-47E3-96BD-4453DBA0E8E6}"/>
    <hyperlink ref="F21:F42" location="主処理!A1" display="主処理" xr:uid="{715106FC-B249-47C3-91EB-72E41D2B98AB}"/>
    <hyperlink ref="F44:F57" location="主処理!A1" display="主処理" xr:uid="{EB74D558-5061-4EF4-9E61-F4C7702F2B89}"/>
    <hyperlink ref="F58:F59" location="主処理!A1" display="主処理" xr:uid="{389C8C41-C464-45E2-9595-AB3DCF0934BF}"/>
  </hyperlinks>
  <pageMargins left="0.78700000000000003" right="0.78700000000000003" top="0.98399999999999999" bottom="0.98399999999999999" header="0.51200000000000001" footer="0.51200000000000001"/>
  <pageSetup paperSize="9" scale="74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EF58-41E3-49A4-974B-87A0457F7BC3}">
  <dimension ref="A1:BG78"/>
  <sheetViews>
    <sheetView showGridLines="0" zoomScaleNormal="100" workbookViewId="0">
      <pane ySplit="9" topLeftCell="A10" activePane="bottomLeft" state="frozen"/>
      <selection activeCell="G18" sqref="G18"/>
      <selection pane="bottomLeft"/>
    </sheetView>
  </sheetViews>
  <sheetFormatPr defaultRowHeight="15"/>
  <cols>
    <col min="1" max="1" width="8.81640625" style="27" customWidth="1"/>
    <col min="2" max="2" width="4.6328125" style="27" customWidth="1"/>
    <col min="3" max="3" width="3.90625" style="27" bestFit="1" customWidth="1"/>
    <col min="4" max="4" width="16" style="28" bestFit="1" customWidth="1"/>
    <col min="5" max="5" width="13" style="28" customWidth="1"/>
    <col min="6" max="6" width="9.54296875" style="28" bestFit="1" customWidth="1"/>
    <col min="7" max="7" width="12.453125" style="28" customWidth="1"/>
    <col min="8" max="8" width="14" style="28" bestFit="1" customWidth="1"/>
    <col min="9" max="9" width="18.90625" style="28" bestFit="1" customWidth="1"/>
    <col min="10" max="10" width="16.90625" style="28" bestFit="1" customWidth="1"/>
    <col min="11" max="11" width="20.7265625" style="27" bestFit="1" customWidth="1"/>
    <col min="12" max="12" width="33.54296875" style="27" bestFit="1" customWidth="1"/>
    <col min="13" max="13" width="16.6328125" style="27" bestFit="1" customWidth="1"/>
    <col min="14" max="14" width="10.453125" style="27" bestFit="1" customWidth="1"/>
    <col min="15" max="15" width="13.6328125" style="27" bestFit="1" customWidth="1"/>
    <col min="16" max="16" width="17.54296875" style="27" bestFit="1" customWidth="1"/>
    <col min="17" max="17" width="16.7265625" style="27" bestFit="1" customWidth="1"/>
    <col min="18" max="18" width="13.90625" style="27" bestFit="1" customWidth="1"/>
    <col min="19" max="19" width="14.81640625" style="27" bestFit="1" customWidth="1"/>
    <col min="20" max="20" width="13.6328125" style="27" bestFit="1" customWidth="1"/>
    <col min="21" max="22" width="14.1796875" style="27" bestFit="1" customWidth="1"/>
    <col min="23" max="23" width="17" style="27" bestFit="1" customWidth="1"/>
    <col min="24" max="24" width="15" style="27" bestFit="1" customWidth="1"/>
    <col min="25" max="25" width="14.26953125" style="27" bestFit="1" customWidth="1"/>
    <col min="26" max="26" width="23.26953125" style="27" bestFit="1" customWidth="1"/>
    <col min="27" max="27" width="12.90625" style="27" bestFit="1" customWidth="1"/>
    <col min="28" max="28" width="12.6328125" style="27" bestFit="1" customWidth="1"/>
    <col min="29" max="29" width="24.6328125" style="27" bestFit="1" customWidth="1"/>
    <col min="30" max="30" width="13.453125" style="27" bestFit="1" customWidth="1"/>
    <col min="31" max="31" width="14.81640625" style="27" customWidth="1"/>
    <col min="32" max="32" width="16.6328125" style="27" customWidth="1"/>
    <col min="33" max="33" width="14.7265625" style="27" bestFit="1" customWidth="1"/>
    <col min="34" max="34" width="21.26953125" style="27" customWidth="1"/>
    <col min="35" max="35" width="21.81640625" style="27" bestFit="1" customWidth="1"/>
    <col min="36" max="36" width="21.54296875" style="27" bestFit="1" customWidth="1"/>
    <col min="37" max="37" width="29.90625" style="27" customWidth="1"/>
    <col min="38" max="38" width="10.453125" style="27" customWidth="1"/>
    <col min="39" max="39" width="18.7265625" style="27" bestFit="1" customWidth="1"/>
    <col min="40" max="40" width="17.81640625" style="27" bestFit="1" customWidth="1"/>
    <col min="41" max="41" width="9" style="27"/>
    <col min="42" max="42" width="11.81640625" style="27" bestFit="1" customWidth="1"/>
    <col min="43" max="43" width="15.54296875" style="27" bestFit="1" customWidth="1"/>
    <col min="44" max="44" width="14.54296875" style="27" customWidth="1"/>
    <col min="45" max="45" width="20.7265625" style="27" bestFit="1" customWidth="1"/>
    <col min="46" max="46" width="12.54296875" style="27" bestFit="1" customWidth="1"/>
    <col min="47" max="47" width="25.1796875" style="27" bestFit="1" customWidth="1"/>
    <col min="48" max="48" width="18.90625" style="27" bestFit="1" customWidth="1"/>
    <col min="49" max="49" width="20.1796875" style="27" bestFit="1" customWidth="1"/>
    <col min="50" max="50" width="16.08984375" style="27" bestFit="1" customWidth="1"/>
    <col min="51" max="51" width="18.90625" style="27" bestFit="1" customWidth="1"/>
    <col min="52" max="52" width="19.08984375" style="27" bestFit="1" customWidth="1"/>
    <col min="53" max="53" width="14.26953125" style="27" bestFit="1" customWidth="1"/>
    <col min="54" max="54" width="15.26953125" style="27" bestFit="1" customWidth="1"/>
    <col min="55" max="55" width="12.90625" style="27" bestFit="1" customWidth="1"/>
    <col min="56" max="56" width="12.6328125" style="27" bestFit="1" customWidth="1"/>
    <col min="57" max="57" width="15.6328125" style="27" bestFit="1" customWidth="1"/>
    <col min="58" max="58" width="13.453125" style="27" bestFit="1" customWidth="1"/>
    <col min="59" max="59" width="13.1796875" style="27" customWidth="1"/>
    <col min="60" max="256" width="9" style="27"/>
    <col min="257" max="257" width="3.08984375" style="27" customWidth="1"/>
    <col min="258" max="258" width="4.6328125" style="27" customWidth="1"/>
    <col min="259" max="259" width="3.08984375" style="27" customWidth="1"/>
    <col min="260" max="260" width="12.90625" style="27" customWidth="1"/>
    <col min="261" max="261" width="11.08984375" style="27" customWidth="1"/>
    <col min="262" max="262" width="12.26953125" style="27" customWidth="1"/>
    <col min="263" max="263" width="11.90625" style="27" customWidth="1"/>
    <col min="264" max="264" width="9.36328125" style="27" customWidth="1"/>
    <col min="265" max="265" width="11.08984375" style="27" customWidth="1"/>
    <col min="266" max="266" width="10.453125" style="27" customWidth="1"/>
    <col min="267" max="267" width="9.7265625" style="27" customWidth="1"/>
    <col min="268" max="512" width="9" style="27"/>
    <col min="513" max="513" width="3.08984375" style="27" customWidth="1"/>
    <col min="514" max="514" width="4.6328125" style="27" customWidth="1"/>
    <col min="515" max="515" width="3.08984375" style="27" customWidth="1"/>
    <col min="516" max="516" width="12.90625" style="27" customWidth="1"/>
    <col min="517" max="517" width="11.08984375" style="27" customWidth="1"/>
    <col min="518" max="518" width="12.26953125" style="27" customWidth="1"/>
    <col min="519" max="519" width="11.90625" style="27" customWidth="1"/>
    <col min="520" max="520" width="9.36328125" style="27" customWidth="1"/>
    <col min="521" max="521" width="11.08984375" style="27" customWidth="1"/>
    <col min="522" max="522" width="10.453125" style="27" customWidth="1"/>
    <col min="523" max="523" width="9.7265625" style="27" customWidth="1"/>
    <col min="524" max="768" width="9" style="27"/>
    <col min="769" max="769" width="3.08984375" style="27" customWidth="1"/>
    <col min="770" max="770" width="4.6328125" style="27" customWidth="1"/>
    <col min="771" max="771" width="3.08984375" style="27" customWidth="1"/>
    <col min="772" max="772" width="12.90625" style="27" customWidth="1"/>
    <col min="773" max="773" width="11.08984375" style="27" customWidth="1"/>
    <col min="774" max="774" width="12.26953125" style="27" customWidth="1"/>
    <col min="775" max="775" width="11.90625" style="27" customWidth="1"/>
    <col min="776" max="776" width="9.36328125" style="27" customWidth="1"/>
    <col min="777" max="777" width="11.08984375" style="27" customWidth="1"/>
    <col min="778" max="778" width="10.453125" style="27" customWidth="1"/>
    <col min="779" max="779" width="9.7265625" style="27" customWidth="1"/>
    <col min="780" max="1024" width="9" style="27"/>
    <col min="1025" max="1025" width="3.08984375" style="27" customWidth="1"/>
    <col min="1026" max="1026" width="4.6328125" style="27" customWidth="1"/>
    <col min="1027" max="1027" width="3.08984375" style="27" customWidth="1"/>
    <col min="1028" max="1028" width="12.90625" style="27" customWidth="1"/>
    <col min="1029" max="1029" width="11.08984375" style="27" customWidth="1"/>
    <col min="1030" max="1030" width="12.26953125" style="27" customWidth="1"/>
    <col min="1031" max="1031" width="11.90625" style="27" customWidth="1"/>
    <col min="1032" max="1032" width="9.36328125" style="27" customWidth="1"/>
    <col min="1033" max="1033" width="11.08984375" style="27" customWidth="1"/>
    <col min="1034" max="1034" width="10.453125" style="27" customWidth="1"/>
    <col min="1035" max="1035" width="9.7265625" style="27" customWidth="1"/>
    <col min="1036" max="1280" width="9" style="27"/>
    <col min="1281" max="1281" width="3.08984375" style="27" customWidth="1"/>
    <col min="1282" max="1282" width="4.6328125" style="27" customWidth="1"/>
    <col min="1283" max="1283" width="3.08984375" style="27" customWidth="1"/>
    <col min="1284" max="1284" width="12.90625" style="27" customWidth="1"/>
    <col min="1285" max="1285" width="11.08984375" style="27" customWidth="1"/>
    <col min="1286" max="1286" width="12.26953125" style="27" customWidth="1"/>
    <col min="1287" max="1287" width="11.90625" style="27" customWidth="1"/>
    <col min="1288" max="1288" width="9.36328125" style="27" customWidth="1"/>
    <col min="1289" max="1289" width="11.08984375" style="27" customWidth="1"/>
    <col min="1290" max="1290" width="10.453125" style="27" customWidth="1"/>
    <col min="1291" max="1291" width="9.7265625" style="27" customWidth="1"/>
    <col min="1292" max="1536" width="9" style="27"/>
    <col min="1537" max="1537" width="3.08984375" style="27" customWidth="1"/>
    <col min="1538" max="1538" width="4.6328125" style="27" customWidth="1"/>
    <col min="1539" max="1539" width="3.08984375" style="27" customWidth="1"/>
    <col min="1540" max="1540" width="12.90625" style="27" customWidth="1"/>
    <col min="1541" max="1541" width="11.08984375" style="27" customWidth="1"/>
    <col min="1542" max="1542" width="12.26953125" style="27" customWidth="1"/>
    <col min="1543" max="1543" width="11.90625" style="27" customWidth="1"/>
    <col min="1544" max="1544" width="9.36328125" style="27" customWidth="1"/>
    <col min="1545" max="1545" width="11.08984375" style="27" customWidth="1"/>
    <col min="1546" max="1546" width="10.453125" style="27" customWidth="1"/>
    <col min="1547" max="1547" width="9.7265625" style="27" customWidth="1"/>
    <col min="1548" max="1792" width="9" style="27"/>
    <col min="1793" max="1793" width="3.08984375" style="27" customWidth="1"/>
    <col min="1794" max="1794" width="4.6328125" style="27" customWidth="1"/>
    <col min="1795" max="1795" width="3.08984375" style="27" customWidth="1"/>
    <col min="1796" max="1796" width="12.90625" style="27" customWidth="1"/>
    <col min="1797" max="1797" width="11.08984375" style="27" customWidth="1"/>
    <col min="1798" max="1798" width="12.26953125" style="27" customWidth="1"/>
    <col min="1799" max="1799" width="11.90625" style="27" customWidth="1"/>
    <col min="1800" max="1800" width="9.36328125" style="27" customWidth="1"/>
    <col min="1801" max="1801" width="11.08984375" style="27" customWidth="1"/>
    <col min="1802" max="1802" width="10.453125" style="27" customWidth="1"/>
    <col min="1803" max="1803" width="9.7265625" style="27" customWidth="1"/>
    <col min="1804" max="2048" width="9" style="27"/>
    <col min="2049" max="2049" width="3.08984375" style="27" customWidth="1"/>
    <col min="2050" max="2050" width="4.6328125" style="27" customWidth="1"/>
    <col min="2051" max="2051" width="3.08984375" style="27" customWidth="1"/>
    <col min="2052" max="2052" width="12.90625" style="27" customWidth="1"/>
    <col min="2053" max="2053" width="11.08984375" style="27" customWidth="1"/>
    <col min="2054" max="2054" width="12.26953125" style="27" customWidth="1"/>
    <col min="2055" max="2055" width="11.90625" style="27" customWidth="1"/>
    <col min="2056" max="2056" width="9.36328125" style="27" customWidth="1"/>
    <col min="2057" max="2057" width="11.08984375" style="27" customWidth="1"/>
    <col min="2058" max="2058" width="10.453125" style="27" customWidth="1"/>
    <col min="2059" max="2059" width="9.7265625" style="27" customWidth="1"/>
    <col min="2060" max="2304" width="9" style="27"/>
    <col min="2305" max="2305" width="3.08984375" style="27" customWidth="1"/>
    <col min="2306" max="2306" width="4.6328125" style="27" customWidth="1"/>
    <col min="2307" max="2307" width="3.08984375" style="27" customWidth="1"/>
    <col min="2308" max="2308" width="12.90625" style="27" customWidth="1"/>
    <col min="2309" max="2309" width="11.08984375" style="27" customWidth="1"/>
    <col min="2310" max="2310" width="12.26953125" style="27" customWidth="1"/>
    <col min="2311" max="2311" width="11.90625" style="27" customWidth="1"/>
    <col min="2312" max="2312" width="9.36328125" style="27" customWidth="1"/>
    <col min="2313" max="2313" width="11.08984375" style="27" customWidth="1"/>
    <col min="2314" max="2314" width="10.453125" style="27" customWidth="1"/>
    <col min="2315" max="2315" width="9.7265625" style="27" customWidth="1"/>
    <col min="2316" max="2560" width="9" style="27"/>
    <col min="2561" max="2561" width="3.08984375" style="27" customWidth="1"/>
    <col min="2562" max="2562" width="4.6328125" style="27" customWidth="1"/>
    <col min="2563" max="2563" width="3.08984375" style="27" customWidth="1"/>
    <col min="2564" max="2564" width="12.90625" style="27" customWidth="1"/>
    <col min="2565" max="2565" width="11.08984375" style="27" customWidth="1"/>
    <col min="2566" max="2566" width="12.26953125" style="27" customWidth="1"/>
    <col min="2567" max="2567" width="11.90625" style="27" customWidth="1"/>
    <col min="2568" max="2568" width="9.36328125" style="27" customWidth="1"/>
    <col min="2569" max="2569" width="11.08984375" style="27" customWidth="1"/>
    <col min="2570" max="2570" width="10.453125" style="27" customWidth="1"/>
    <col min="2571" max="2571" width="9.7265625" style="27" customWidth="1"/>
    <col min="2572" max="2816" width="9" style="27"/>
    <col min="2817" max="2817" width="3.08984375" style="27" customWidth="1"/>
    <col min="2818" max="2818" width="4.6328125" style="27" customWidth="1"/>
    <col min="2819" max="2819" width="3.08984375" style="27" customWidth="1"/>
    <col min="2820" max="2820" width="12.90625" style="27" customWidth="1"/>
    <col min="2821" max="2821" width="11.08984375" style="27" customWidth="1"/>
    <col min="2822" max="2822" width="12.26953125" style="27" customWidth="1"/>
    <col min="2823" max="2823" width="11.90625" style="27" customWidth="1"/>
    <col min="2824" max="2824" width="9.36328125" style="27" customWidth="1"/>
    <col min="2825" max="2825" width="11.08984375" style="27" customWidth="1"/>
    <col min="2826" max="2826" width="10.453125" style="27" customWidth="1"/>
    <col min="2827" max="2827" width="9.7265625" style="27" customWidth="1"/>
    <col min="2828" max="3072" width="9" style="27"/>
    <col min="3073" max="3073" width="3.08984375" style="27" customWidth="1"/>
    <col min="3074" max="3074" width="4.6328125" style="27" customWidth="1"/>
    <col min="3075" max="3075" width="3.08984375" style="27" customWidth="1"/>
    <col min="3076" max="3076" width="12.90625" style="27" customWidth="1"/>
    <col min="3077" max="3077" width="11.08984375" style="27" customWidth="1"/>
    <col min="3078" max="3078" width="12.26953125" style="27" customWidth="1"/>
    <col min="3079" max="3079" width="11.90625" style="27" customWidth="1"/>
    <col min="3080" max="3080" width="9.36328125" style="27" customWidth="1"/>
    <col min="3081" max="3081" width="11.08984375" style="27" customWidth="1"/>
    <col min="3082" max="3082" width="10.453125" style="27" customWidth="1"/>
    <col min="3083" max="3083" width="9.7265625" style="27" customWidth="1"/>
    <col min="3084" max="3328" width="9" style="27"/>
    <col min="3329" max="3329" width="3.08984375" style="27" customWidth="1"/>
    <col min="3330" max="3330" width="4.6328125" style="27" customWidth="1"/>
    <col min="3331" max="3331" width="3.08984375" style="27" customWidth="1"/>
    <col min="3332" max="3332" width="12.90625" style="27" customWidth="1"/>
    <col min="3333" max="3333" width="11.08984375" style="27" customWidth="1"/>
    <col min="3334" max="3334" width="12.26953125" style="27" customWidth="1"/>
    <col min="3335" max="3335" width="11.90625" style="27" customWidth="1"/>
    <col min="3336" max="3336" width="9.36328125" style="27" customWidth="1"/>
    <col min="3337" max="3337" width="11.08984375" style="27" customWidth="1"/>
    <col min="3338" max="3338" width="10.453125" style="27" customWidth="1"/>
    <col min="3339" max="3339" width="9.7265625" style="27" customWidth="1"/>
    <col min="3340" max="3584" width="9" style="27"/>
    <col min="3585" max="3585" width="3.08984375" style="27" customWidth="1"/>
    <col min="3586" max="3586" width="4.6328125" style="27" customWidth="1"/>
    <col min="3587" max="3587" width="3.08984375" style="27" customWidth="1"/>
    <col min="3588" max="3588" width="12.90625" style="27" customWidth="1"/>
    <col min="3589" max="3589" width="11.08984375" style="27" customWidth="1"/>
    <col min="3590" max="3590" width="12.26953125" style="27" customWidth="1"/>
    <col min="3591" max="3591" width="11.90625" style="27" customWidth="1"/>
    <col min="3592" max="3592" width="9.36328125" style="27" customWidth="1"/>
    <col min="3593" max="3593" width="11.08984375" style="27" customWidth="1"/>
    <col min="3594" max="3594" width="10.453125" style="27" customWidth="1"/>
    <col min="3595" max="3595" width="9.7265625" style="27" customWidth="1"/>
    <col min="3596" max="3840" width="9" style="27"/>
    <col min="3841" max="3841" width="3.08984375" style="27" customWidth="1"/>
    <col min="3842" max="3842" width="4.6328125" style="27" customWidth="1"/>
    <col min="3843" max="3843" width="3.08984375" style="27" customWidth="1"/>
    <col min="3844" max="3844" width="12.90625" style="27" customWidth="1"/>
    <col min="3845" max="3845" width="11.08984375" style="27" customWidth="1"/>
    <col min="3846" max="3846" width="12.26953125" style="27" customWidth="1"/>
    <col min="3847" max="3847" width="11.90625" style="27" customWidth="1"/>
    <col min="3848" max="3848" width="9.36328125" style="27" customWidth="1"/>
    <col min="3849" max="3849" width="11.08984375" style="27" customWidth="1"/>
    <col min="3850" max="3850" width="10.453125" style="27" customWidth="1"/>
    <col min="3851" max="3851" width="9.7265625" style="27" customWidth="1"/>
    <col min="3852" max="4096" width="9" style="27"/>
    <col min="4097" max="4097" width="3.08984375" style="27" customWidth="1"/>
    <col min="4098" max="4098" width="4.6328125" style="27" customWidth="1"/>
    <col min="4099" max="4099" width="3.08984375" style="27" customWidth="1"/>
    <col min="4100" max="4100" width="12.90625" style="27" customWidth="1"/>
    <col min="4101" max="4101" width="11.08984375" style="27" customWidth="1"/>
    <col min="4102" max="4102" width="12.26953125" style="27" customWidth="1"/>
    <col min="4103" max="4103" width="11.90625" style="27" customWidth="1"/>
    <col min="4104" max="4104" width="9.36328125" style="27" customWidth="1"/>
    <col min="4105" max="4105" width="11.08984375" style="27" customWidth="1"/>
    <col min="4106" max="4106" width="10.453125" style="27" customWidth="1"/>
    <col min="4107" max="4107" width="9.7265625" style="27" customWidth="1"/>
    <col min="4108" max="4352" width="9" style="27"/>
    <col min="4353" max="4353" width="3.08984375" style="27" customWidth="1"/>
    <col min="4354" max="4354" width="4.6328125" style="27" customWidth="1"/>
    <col min="4355" max="4355" width="3.08984375" style="27" customWidth="1"/>
    <col min="4356" max="4356" width="12.90625" style="27" customWidth="1"/>
    <col min="4357" max="4357" width="11.08984375" style="27" customWidth="1"/>
    <col min="4358" max="4358" width="12.26953125" style="27" customWidth="1"/>
    <col min="4359" max="4359" width="11.90625" style="27" customWidth="1"/>
    <col min="4360" max="4360" width="9.36328125" style="27" customWidth="1"/>
    <col min="4361" max="4361" width="11.08984375" style="27" customWidth="1"/>
    <col min="4362" max="4362" width="10.453125" style="27" customWidth="1"/>
    <col min="4363" max="4363" width="9.7265625" style="27" customWidth="1"/>
    <col min="4364" max="4608" width="9" style="27"/>
    <col min="4609" max="4609" width="3.08984375" style="27" customWidth="1"/>
    <col min="4610" max="4610" width="4.6328125" style="27" customWidth="1"/>
    <col min="4611" max="4611" width="3.08984375" style="27" customWidth="1"/>
    <col min="4612" max="4612" width="12.90625" style="27" customWidth="1"/>
    <col min="4613" max="4613" width="11.08984375" style="27" customWidth="1"/>
    <col min="4614" max="4614" width="12.26953125" style="27" customWidth="1"/>
    <col min="4615" max="4615" width="11.90625" style="27" customWidth="1"/>
    <col min="4616" max="4616" width="9.36328125" style="27" customWidth="1"/>
    <col min="4617" max="4617" width="11.08984375" style="27" customWidth="1"/>
    <col min="4618" max="4618" width="10.453125" style="27" customWidth="1"/>
    <col min="4619" max="4619" width="9.7265625" style="27" customWidth="1"/>
    <col min="4620" max="4864" width="9" style="27"/>
    <col min="4865" max="4865" width="3.08984375" style="27" customWidth="1"/>
    <col min="4866" max="4866" width="4.6328125" style="27" customWidth="1"/>
    <col min="4867" max="4867" width="3.08984375" style="27" customWidth="1"/>
    <col min="4868" max="4868" width="12.90625" style="27" customWidth="1"/>
    <col min="4869" max="4869" width="11.08984375" style="27" customWidth="1"/>
    <col min="4870" max="4870" width="12.26953125" style="27" customWidth="1"/>
    <col min="4871" max="4871" width="11.90625" style="27" customWidth="1"/>
    <col min="4872" max="4872" width="9.36328125" style="27" customWidth="1"/>
    <col min="4873" max="4873" width="11.08984375" style="27" customWidth="1"/>
    <col min="4874" max="4874" width="10.453125" style="27" customWidth="1"/>
    <col min="4875" max="4875" width="9.7265625" style="27" customWidth="1"/>
    <col min="4876" max="5120" width="9" style="27"/>
    <col min="5121" max="5121" width="3.08984375" style="27" customWidth="1"/>
    <col min="5122" max="5122" width="4.6328125" style="27" customWidth="1"/>
    <col min="5123" max="5123" width="3.08984375" style="27" customWidth="1"/>
    <col min="5124" max="5124" width="12.90625" style="27" customWidth="1"/>
    <col min="5125" max="5125" width="11.08984375" style="27" customWidth="1"/>
    <col min="5126" max="5126" width="12.26953125" style="27" customWidth="1"/>
    <col min="5127" max="5127" width="11.90625" style="27" customWidth="1"/>
    <col min="5128" max="5128" width="9.36328125" style="27" customWidth="1"/>
    <col min="5129" max="5129" width="11.08984375" style="27" customWidth="1"/>
    <col min="5130" max="5130" width="10.453125" style="27" customWidth="1"/>
    <col min="5131" max="5131" width="9.7265625" style="27" customWidth="1"/>
    <col min="5132" max="5376" width="9" style="27"/>
    <col min="5377" max="5377" width="3.08984375" style="27" customWidth="1"/>
    <col min="5378" max="5378" width="4.6328125" style="27" customWidth="1"/>
    <col min="5379" max="5379" width="3.08984375" style="27" customWidth="1"/>
    <col min="5380" max="5380" width="12.90625" style="27" customWidth="1"/>
    <col min="5381" max="5381" width="11.08984375" style="27" customWidth="1"/>
    <col min="5382" max="5382" width="12.26953125" style="27" customWidth="1"/>
    <col min="5383" max="5383" width="11.90625" style="27" customWidth="1"/>
    <col min="5384" max="5384" width="9.36328125" style="27" customWidth="1"/>
    <col min="5385" max="5385" width="11.08984375" style="27" customWidth="1"/>
    <col min="5386" max="5386" width="10.453125" style="27" customWidth="1"/>
    <col min="5387" max="5387" width="9.7265625" style="27" customWidth="1"/>
    <col min="5388" max="5632" width="9" style="27"/>
    <col min="5633" max="5633" width="3.08984375" style="27" customWidth="1"/>
    <col min="5634" max="5634" width="4.6328125" style="27" customWidth="1"/>
    <col min="5635" max="5635" width="3.08984375" style="27" customWidth="1"/>
    <col min="5636" max="5636" width="12.90625" style="27" customWidth="1"/>
    <col min="5637" max="5637" width="11.08984375" style="27" customWidth="1"/>
    <col min="5638" max="5638" width="12.26953125" style="27" customWidth="1"/>
    <col min="5639" max="5639" width="11.90625" style="27" customWidth="1"/>
    <col min="5640" max="5640" width="9.36328125" style="27" customWidth="1"/>
    <col min="5641" max="5641" width="11.08984375" style="27" customWidth="1"/>
    <col min="5642" max="5642" width="10.453125" style="27" customWidth="1"/>
    <col min="5643" max="5643" width="9.7265625" style="27" customWidth="1"/>
    <col min="5644" max="5888" width="9" style="27"/>
    <col min="5889" max="5889" width="3.08984375" style="27" customWidth="1"/>
    <col min="5890" max="5890" width="4.6328125" style="27" customWidth="1"/>
    <col min="5891" max="5891" width="3.08984375" style="27" customWidth="1"/>
    <col min="5892" max="5892" width="12.90625" style="27" customWidth="1"/>
    <col min="5893" max="5893" width="11.08984375" style="27" customWidth="1"/>
    <col min="5894" max="5894" width="12.26953125" style="27" customWidth="1"/>
    <col min="5895" max="5895" width="11.90625" style="27" customWidth="1"/>
    <col min="5896" max="5896" width="9.36328125" style="27" customWidth="1"/>
    <col min="5897" max="5897" width="11.08984375" style="27" customWidth="1"/>
    <col min="5898" max="5898" width="10.453125" style="27" customWidth="1"/>
    <col min="5899" max="5899" width="9.7265625" style="27" customWidth="1"/>
    <col min="5900" max="6144" width="9" style="27"/>
    <col min="6145" max="6145" width="3.08984375" style="27" customWidth="1"/>
    <col min="6146" max="6146" width="4.6328125" style="27" customWidth="1"/>
    <col min="6147" max="6147" width="3.08984375" style="27" customWidth="1"/>
    <col min="6148" max="6148" width="12.90625" style="27" customWidth="1"/>
    <col min="6149" max="6149" width="11.08984375" style="27" customWidth="1"/>
    <col min="6150" max="6150" width="12.26953125" style="27" customWidth="1"/>
    <col min="6151" max="6151" width="11.90625" style="27" customWidth="1"/>
    <col min="6152" max="6152" width="9.36328125" style="27" customWidth="1"/>
    <col min="6153" max="6153" width="11.08984375" style="27" customWidth="1"/>
    <col min="6154" max="6154" width="10.453125" style="27" customWidth="1"/>
    <col min="6155" max="6155" width="9.7265625" style="27" customWidth="1"/>
    <col min="6156" max="6400" width="9" style="27"/>
    <col min="6401" max="6401" width="3.08984375" style="27" customWidth="1"/>
    <col min="6402" max="6402" width="4.6328125" style="27" customWidth="1"/>
    <col min="6403" max="6403" width="3.08984375" style="27" customWidth="1"/>
    <col min="6404" max="6404" width="12.90625" style="27" customWidth="1"/>
    <col min="6405" max="6405" width="11.08984375" style="27" customWidth="1"/>
    <col min="6406" max="6406" width="12.26953125" style="27" customWidth="1"/>
    <col min="6407" max="6407" width="11.90625" style="27" customWidth="1"/>
    <col min="6408" max="6408" width="9.36328125" style="27" customWidth="1"/>
    <col min="6409" max="6409" width="11.08984375" style="27" customWidth="1"/>
    <col min="6410" max="6410" width="10.453125" style="27" customWidth="1"/>
    <col min="6411" max="6411" width="9.7265625" style="27" customWidth="1"/>
    <col min="6412" max="6656" width="9" style="27"/>
    <col min="6657" max="6657" width="3.08984375" style="27" customWidth="1"/>
    <col min="6658" max="6658" width="4.6328125" style="27" customWidth="1"/>
    <col min="6659" max="6659" width="3.08984375" style="27" customWidth="1"/>
    <col min="6660" max="6660" width="12.90625" style="27" customWidth="1"/>
    <col min="6661" max="6661" width="11.08984375" style="27" customWidth="1"/>
    <col min="6662" max="6662" width="12.26953125" style="27" customWidth="1"/>
    <col min="6663" max="6663" width="11.90625" style="27" customWidth="1"/>
    <col min="6664" max="6664" width="9.36328125" style="27" customWidth="1"/>
    <col min="6665" max="6665" width="11.08984375" style="27" customWidth="1"/>
    <col min="6666" max="6666" width="10.453125" style="27" customWidth="1"/>
    <col min="6667" max="6667" width="9.7265625" style="27" customWidth="1"/>
    <col min="6668" max="6912" width="9" style="27"/>
    <col min="6913" max="6913" width="3.08984375" style="27" customWidth="1"/>
    <col min="6914" max="6914" width="4.6328125" style="27" customWidth="1"/>
    <col min="6915" max="6915" width="3.08984375" style="27" customWidth="1"/>
    <col min="6916" max="6916" width="12.90625" style="27" customWidth="1"/>
    <col min="6917" max="6917" width="11.08984375" style="27" customWidth="1"/>
    <col min="6918" max="6918" width="12.26953125" style="27" customWidth="1"/>
    <col min="6919" max="6919" width="11.90625" style="27" customWidth="1"/>
    <col min="6920" max="6920" width="9.36328125" style="27" customWidth="1"/>
    <col min="6921" max="6921" width="11.08984375" style="27" customWidth="1"/>
    <col min="6922" max="6922" width="10.453125" style="27" customWidth="1"/>
    <col min="6923" max="6923" width="9.7265625" style="27" customWidth="1"/>
    <col min="6924" max="7168" width="9" style="27"/>
    <col min="7169" max="7169" width="3.08984375" style="27" customWidth="1"/>
    <col min="7170" max="7170" width="4.6328125" style="27" customWidth="1"/>
    <col min="7171" max="7171" width="3.08984375" style="27" customWidth="1"/>
    <col min="7172" max="7172" width="12.90625" style="27" customWidth="1"/>
    <col min="7173" max="7173" width="11.08984375" style="27" customWidth="1"/>
    <col min="7174" max="7174" width="12.26953125" style="27" customWidth="1"/>
    <col min="7175" max="7175" width="11.90625" style="27" customWidth="1"/>
    <col min="7176" max="7176" width="9.36328125" style="27" customWidth="1"/>
    <col min="7177" max="7177" width="11.08984375" style="27" customWidth="1"/>
    <col min="7178" max="7178" width="10.453125" style="27" customWidth="1"/>
    <col min="7179" max="7179" width="9.7265625" style="27" customWidth="1"/>
    <col min="7180" max="7424" width="9" style="27"/>
    <col min="7425" max="7425" width="3.08984375" style="27" customWidth="1"/>
    <col min="7426" max="7426" width="4.6328125" style="27" customWidth="1"/>
    <col min="7427" max="7427" width="3.08984375" style="27" customWidth="1"/>
    <col min="7428" max="7428" width="12.90625" style="27" customWidth="1"/>
    <col min="7429" max="7429" width="11.08984375" style="27" customWidth="1"/>
    <col min="7430" max="7430" width="12.26953125" style="27" customWidth="1"/>
    <col min="7431" max="7431" width="11.90625" style="27" customWidth="1"/>
    <col min="7432" max="7432" width="9.36328125" style="27" customWidth="1"/>
    <col min="7433" max="7433" width="11.08984375" style="27" customWidth="1"/>
    <col min="7434" max="7434" width="10.453125" style="27" customWidth="1"/>
    <col min="7435" max="7435" width="9.7265625" style="27" customWidth="1"/>
    <col min="7436" max="7680" width="9" style="27"/>
    <col min="7681" max="7681" width="3.08984375" style="27" customWidth="1"/>
    <col min="7682" max="7682" width="4.6328125" style="27" customWidth="1"/>
    <col min="7683" max="7683" width="3.08984375" style="27" customWidth="1"/>
    <col min="7684" max="7684" width="12.90625" style="27" customWidth="1"/>
    <col min="7685" max="7685" width="11.08984375" style="27" customWidth="1"/>
    <col min="7686" max="7686" width="12.26953125" style="27" customWidth="1"/>
    <col min="7687" max="7687" width="11.90625" style="27" customWidth="1"/>
    <col min="7688" max="7688" width="9.36328125" style="27" customWidth="1"/>
    <col min="7689" max="7689" width="11.08984375" style="27" customWidth="1"/>
    <col min="7690" max="7690" width="10.453125" style="27" customWidth="1"/>
    <col min="7691" max="7691" width="9.7265625" style="27" customWidth="1"/>
    <col min="7692" max="7936" width="9" style="27"/>
    <col min="7937" max="7937" width="3.08984375" style="27" customWidth="1"/>
    <col min="7938" max="7938" width="4.6328125" style="27" customWidth="1"/>
    <col min="7939" max="7939" width="3.08984375" style="27" customWidth="1"/>
    <col min="7940" max="7940" width="12.90625" style="27" customWidth="1"/>
    <col min="7941" max="7941" width="11.08984375" style="27" customWidth="1"/>
    <col min="7942" max="7942" width="12.26953125" style="27" customWidth="1"/>
    <col min="7943" max="7943" width="11.90625" style="27" customWidth="1"/>
    <col min="7944" max="7944" width="9.36328125" style="27" customWidth="1"/>
    <col min="7945" max="7945" width="11.08984375" style="27" customWidth="1"/>
    <col min="7946" max="7946" width="10.453125" style="27" customWidth="1"/>
    <col min="7947" max="7947" width="9.7265625" style="27" customWidth="1"/>
    <col min="7948" max="8192" width="9" style="27"/>
    <col min="8193" max="8193" width="3.08984375" style="27" customWidth="1"/>
    <col min="8194" max="8194" width="4.6328125" style="27" customWidth="1"/>
    <col min="8195" max="8195" width="3.08984375" style="27" customWidth="1"/>
    <col min="8196" max="8196" width="12.90625" style="27" customWidth="1"/>
    <col min="8197" max="8197" width="11.08984375" style="27" customWidth="1"/>
    <col min="8198" max="8198" width="12.26953125" style="27" customWidth="1"/>
    <col min="8199" max="8199" width="11.90625" style="27" customWidth="1"/>
    <col min="8200" max="8200" width="9.36328125" style="27" customWidth="1"/>
    <col min="8201" max="8201" width="11.08984375" style="27" customWidth="1"/>
    <col min="8202" max="8202" width="10.453125" style="27" customWidth="1"/>
    <col min="8203" max="8203" width="9.7265625" style="27" customWidth="1"/>
    <col min="8204" max="8448" width="9" style="27"/>
    <col min="8449" max="8449" width="3.08984375" style="27" customWidth="1"/>
    <col min="8450" max="8450" width="4.6328125" style="27" customWidth="1"/>
    <col min="8451" max="8451" width="3.08984375" style="27" customWidth="1"/>
    <col min="8452" max="8452" width="12.90625" style="27" customWidth="1"/>
    <col min="8453" max="8453" width="11.08984375" style="27" customWidth="1"/>
    <col min="8454" max="8454" width="12.26953125" style="27" customWidth="1"/>
    <col min="8455" max="8455" width="11.90625" style="27" customWidth="1"/>
    <col min="8456" max="8456" width="9.36328125" style="27" customWidth="1"/>
    <col min="8457" max="8457" width="11.08984375" style="27" customWidth="1"/>
    <col min="8458" max="8458" width="10.453125" style="27" customWidth="1"/>
    <col min="8459" max="8459" width="9.7265625" style="27" customWidth="1"/>
    <col min="8460" max="8704" width="9" style="27"/>
    <col min="8705" max="8705" width="3.08984375" style="27" customWidth="1"/>
    <col min="8706" max="8706" width="4.6328125" style="27" customWidth="1"/>
    <col min="8707" max="8707" width="3.08984375" style="27" customWidth="1"/>
    <col min="8708" max="8708" width="12.90625" style="27" customWidth="1"/>
    <col min="8709" max="8709" width="11.08984375" style="27" customWidth="1"/>
    <col min="8710" max="8710" width="12.26953125" style="27" customWidth="1"/>
    <col min="8711" max="8711" width="11.90625" style="27" customWidth="1"/>
    <col min="8712" max="8712" width="9.36328125" style="27" customWidth="1"/>
    <col min="8713" max="8713" width="11.08984375" style="27" customWidth="1"/>
    <col min="8714" max="8714" width="10.453125" style="27" customWidth="1"/>
    <col min="8715" max="8715" width="9.7265625" style="27" customWidth="1"/>
    <col min="8716" max="8960" width="9" style="27"/>
    <col min="8961" max="8961" width="3.08984375" style="27" customWidth="1"/>
    <col min="8962" max="8962" width="4.6328125" style="27" customWidth="1"/>
    <col min="8963" max="8963" width="3.08984375" style="27" customWidth="1"/>
    <col min="8964" max="8964" width="12.90625" style="27" customWidth="1"/>
    <col min="8965" max="8965" width="11.08984375" style="27" customWidth="1"/>
    <col min="8966" max="8966" width="12.26953125" style="27" customWidth="1"/>
    <col min="8967" max="8967" width="11.90625" style="27" customWidth="1"/>
    <col min="8968" max="8968" width="9.36328125" style="27" customWidth="1"/>
    <col min="8969" max="8969" width="11.08984375" style="27" customWidth="1"/>
    <col min="8970" max="8970" width="10.453125" style="27" customWidth="1"/>
    <col min="8971" max="8971" width="9.7265625" style="27" customWidth="1"/>
    <col min="8972" max="9216" width="9" style="27"/>
    <col min="9217" max="9217" width="3.08984375" style="27" customWidth="1"/>
    <col min="9218" max="9218" width="4.6328125" style="27" customWidth="1"/>
    <col min="9219" max="9219" width="3.08984375" style="27" customWidth="1"/>
    <col min="9220" max="9220" width="12.90625" style="27" customWidth="1"/>
    <col min="9221" max="9221" width="11.08984375" style="27" customWidth="1"/>
    <col min="9222" max="9222" width="12.26953125" style="27" customWidth="1"/>
    <col min="9223" max="9223" width="11.90625" style="27" customWidth="1"/>
    <col min="9224" max="9224" width="9.36328125" style="27" customWidth="1"/>
    <col min="9225" max="9225" width="11.08984375" style="27" customWidth="1"/>
    <col min="9226" max="9226" width="10.453125" style="27" customWidth="1"/>
    <col min="9227" max="9227" width="9.7265625" style="27" customWidth="1"/>
    <col min="9228" max="9472" width="9" style="27"/>
    <col min="9473" max="9473" width="3.08984375" style="27" customWidth="1"/>
    <col min="9474" max="9474" width="4.6328125" style="27" customWidth="1"/>
    <col min="9475" max="9475" width="3.08984375" style="27" customWidth="1"/>
    <col min="9476" max="9476" width="12.90625" style="27" customWidth="1"/>
    <col min="9477" max="9477" width="11.08984375" style="27" customWidth="1"/>
    <col min="9478" max="9478" width="12.26953125" style="27" customWidth="1"/>
    <col min="9479" max="9479" width="11.90625" style="27" customWidth="1"/>
    <col min="9480" max="9480" width="9.36328125" style="27" customWidth="1"/>
    <col min="9481" max="9481" width="11.08984375" style="27" customWidth="1"/>
    <col min="9482" max="9482" width="10.453125" style="27" customWidth="1"/>
    <col min="9483" max="9483" width="9.7265625" style="27" customWidth="1"/>
    <col min="9484" max="9728" width="9" style="27"/>
    <col min="9729" max="9729" width="3.08984375" style="27" customWidth="1"/>
    <col min="9730" max="9730" width="4.6328125" style="27" customWidth="1"/>
    <col min="9731" max="9731" width="3.08984375" style="27" customWidth="1"/>
    <col min="9732" max="9732" width="12.90625" style="27" customWidth="1"/>
    <col min="9733" max="9733" width="11.08984375" style="27" customWidth="1"/>
    <col min="9734" max="9734" width="12.26953125" style="27" customWidth="1"/>
    <col min="9735" max="9735" width="11.90625" style="27" customWidth="1"/>
    <col min="9736" max="9736" width="9.36328125" style="27" customWidth="1"/>
    <col min="9737" max="9737" width="11.08984375" style="27" customWidth="1"/>
    <col min="9738" max="9738" width="10.453125" style="27" customWidth="1"/>
    <col min="9739" max="9739" width="9.7265625" style="27" customWidth="1"/>
    <col min="9740" max="9984" width="9" style="27"/>
    <col min="9985" max="9985" width="3.08984375" style="27" customWidth="1"/>
    <col min="9986" max="9986" width="4.6328125" style="27" customWidth="1"/>
    <col min="9987" max="9987" width="3.08984375" style="27" customWidth="1"/>
    <col min="9988" max="9988" width="12.90625" style="27" customWidth="1"/>
    <col min="9989" max="9989" width="11.08984375" style="27" customWidth="1"/>
    <col min="9990" max="9990" width="12.26953125" style="27" customWidth="1"/>
    <col min="9991" max="9991" width="11.90625" style="27" customWidth="1"/>
    <col min="9992" max="9992" width="9.36328125" style="27" customWidth="1"/>
    <col min="9993" max="9993" width="11.08984375" style="27" customWidth="1"/>
    <col min="9994" max="9994" width="10.453125" style="27" customWidth="1"/>
    <col min="9995" max="9995" width="9.7265625" style="27" customWidth="1"/>
    <col min="9996" max="10240" width="9" style="27"/>
    <col min="10241" max="10241" width="3.08984375" style="27" customWidth="1"/>
    <col min="10242" max="10242" width="4.6328125" style="27" customWidth="1"/>
    <col min="10243" max="10243" width="3.08984375" style="27" customWidth="1"/>
    <col min="10244" max="10244" width="12.90625" style="27" customWidth="1"/>
    <col min="10245" max="10245" width="11.08984375" style="27" customWidth="1"/>
    <col min="10246" max="10246" width="12.26953125" style="27" customWidth="1"/>
    <col min="10247" max="10247" width="11.90625" style="27" customWidth="1"/>
    <col min="10248" max="10248" width="9.36328125" style="27" customWidth="1"/>
    <col min="10249" max="10249" width="11.08984375" style="27" customWidth="1"/>
    <col min="10250" max="10250" width="10.453125" style="27" customWidth="1"/>
    <col min="10251" max="10251" width="9.7265625" style="27" customWidth="1"/>
    <col min="10252" max="10496" width="9" style="27"/>
    <col min="10497" max="10497" width="3.08984375" style="27" customWidth="1"/>
    <col min="10498" max="10498" width="4.6328125" style="27" customWidth="1"/>
    <col min="10499" max="10499" width="3.08984375" style="27" customWidth="1"/>
    <col min="10500" max="10500" width="12.90625" style="27" customWidth="1"/>
    <col min="10501" max="10501" width="11.08984375" style="27" customWidth="1"/>
    <col min="10502" max="10502" width="12.26953125" style="27" customWidth="1"/>
    <col min="10503" max="10503" width="11.90625" style="27" customWidth="1"/>
    <col min="10504" max="10504" width="9.36328125" style="27" customWidth="1"/>
    <col min="10505" max="10505" width="11.08984375" style="27" customWidth="1"/>
    <col min="10506" max="10506" width="10.453125" style="27" customWidth="1"/>
    <col min="10507" max="10507" width="9.7265625" style="27" customWidth="1"/>
    <col min="10508" max="10752" width="9" style="27"/>
    <col min="10753" max="10753" width="3.08984375" style="27" customWidth="1"/>
    <col min="10754" max="10754" width="4.6328125" style="27" customWidth="1"/>
    <col min="10755" max="10755" width="3.08984375" style="27" customWidth="1"/>
    <col min="10756" max="10756" width="12.90625" style="27" customWidth="1"/>
    <col min="10757" max="10757" width="11.08984375" style="27" customWidth="1"/>
    <col min="10758" max="10758" width="12.26953125" style="27" customWidth="1"/>
    <col min="10759" max="10759" width="11.90625" style="27" customWidth="1"/>
    <col min="10760" max="10760" width="9.36328125" style="27" customWidth="1"/>
    <col min="10761" max="10761" width="11.08984375" style="27" customWidth="1"/>
    <col min="10762" max="10762" width="10.453125" style="27" customWidth="1"/>
    <col min="10763" max="10763" width="9.7265625" style="27" customWidth="1"/>
    <col min="10764" max="11008" width="9" style="27"/>
    <col min="11009" max="11009" width="3.08984375" style="27" customWidth="1"/>
    <col min="11010" max="11010" width="4.6328125" style="27" customWidth="1"/>
    <col min="11011" max="11011" width="3.08984375" style="27" customWidth="1"/>
    <col min="11012" max="11012" width="12.90625" style="27" customWidth="1"/>
    <col min="11013" max="11013" width="11.08984375" style="27" customWidth="1"/>
    <col min="11014" max="11014" width="12.26953125" style="27" customWidth="1"/>
    <col min="11015" max="11015" width="11.90625" style="27" customWidth="1"/>
    <col min="11016" max="11016" width="9.36328125" style="27" customWidth="1"/>
    <col min="11017" max="11017" width="11.08984375" style="27" customWidth="1"/>
    <col min="11018" max="11018" width="10.453125" style="27" customWidth="1"/>
    <col min="11019" max="11019" width="9.7265625" style="27" customWidth="1"/>
    <col min="11020" max="11264" width="9" style="27"/>
    <col min="11265" max="11265" width="3.08984375" style="27" customWidth="1"/>
    <col min="11266" max="11266" width="4.6328125" style="27" customWidth="1"/>
    <col min="11267" max="11267" width="3.08984375" style="27" customWidth="1"/>
    <col min="11268" max="11268" width="12.90625" style="27" customWidth="1"/>
    <col min="11269" max="11269" width="11.08984375" style="27" customWidth="1"/>
    <col min="11270" max="11270" width="12.26953125" style="27" customWidth="1"/>
    <col min="11271" max="11271" width="11.90625" style="27" customWidth="1"/>
    <col min="11272" max="11272" width="9.36328125" style="27" customWidth="1"/>
    <col min="11273" max="11273" width="11.08984375" style="27" customWidth="1"/>
    <col min="11274" max="11274" width="10.453125" style="27" customWidth="1"/>
    <col min="11275" max="11275" width="9.7265625" style="27" customWidth="1"/>
    <col min="11276" max="11520" width="9" style="27"/>
    <col min="11521" max="11521" width="3.08984375" style="27" customWidth="1"/>
    <col min="11522" max="11522" width="4.6328125" style="27" customWidth="1"/>
    <col min="11523" max="11523" width="3.08984375" style="27" customWidth="1"/>
    <col min="11524" max="11524" width="12.90625" style="27" customWidth="1"/>
    <col min="11525" max="11525" width="11.08984375" style="27" customWidth="1"/>
    <col min="11526" max="11526" width="12.26953125" style="27" customWidth="1"/>
    <col min="11527" max="11527" width="11.90625" style="27" customWidth="1"/>
    <col min="11528" max="11528" width="9.36328125" style="27" customWidth="1"/>
    <col min="11529" max="11529" width="11.08984375" style="27" customWidth="1"/>
    <col min="11530" max="11530" width="10.453125" style="27" customWidth="1"/>
    <col min="11531" max="11531" width="9.7265625" style="27" customWidth="1"/>
    <col min="11532" max="11776" width="9" style="27"/>
    <col min="11777" max="11777" width="3.08984375" style="27" customWidth="1"/>
    <col min="11778" max="11778" width="4.6328125" style="27" customWidth="1"/>
    <col min="11779" max="11779" width="3.08984375" style="27" customWidth="1"/>
    <col min="11780" max="11780" width="12.90625" style="27" customWidth="1"/>
    <col min="11781" max="11781" width="11.08984375" style="27" customWidth="1"/>
    <col min="11782" max="11782" width="12.26953125" style="27" customWidth="1"/>
    <col min="11783" max="11783" width="11.90625" style="27" customWidth="1"/>
    <col min="11784" max="11784" width="9.36328125" style="27" customWidth="1"/>
    <col min="11785" max="11785" width="11.08984375" style="27" customWidth="1"/>
    <col min="11786" max="11786" width="10.453125" style="27" customWidth="1"/>
    <col min="11787" max="11787" width="9.7265625" style="27" customWidth="1"/>
    <col min="11788" max="12032" width="9" style="27"/>
    <col min="12033" max="12033" width="3.08984375" style="27" customWidth="1"/>
    <col min="12034" max="12034" width="4.6328125" style="27" customWidth="1"/>
    <col min="12035" max="12035" width="3.08984375" style="27" customWidth="1"/>
    <col min="12036" max="12036" width="12.90625" style="27" customWidth="1"/>
    <col min="12037" max="12037" width="11.08984375" style="27" customWidth="1"/>
    <col min="12038" max="12038" width="12.26953125" style="27" customWidth="1"/>
    <col min="12039" max="12039" width="11.90625" style="27" customWidth="1"/>
    <col min="12040" max="12040" width="9.36328125" style="27" customWidth="1"/>
    <col min="12041" max="12041" width="11.08984375" style="27" customWidth="1"/>
    <col min="12042" max="12042" width="10.453125" style="27" customWidth="1"/>
    <col min="12043" max="12043" width="9.7265625" style="27" customWidth="1"/>
    <col min="12044" max="12288" width="9" style="27"/>
    <col min="12289" max="12289" width="3.08984375" style="27" customWidth="1"/>
    <col min="12290" max="12290" width="4.6328125" style="27" customWidth="1"/>
    <col min="12291" max="12291" width="3.08984375" style="27" customWidth="1"/>
    <col min="12292" max="12292" width="12.90625" style="27" customWidth="1"/>
    <col min="12293" max="12293" width="11.08984375" style="27" customWidth="1"/>
    <col min="12294" max="12294" width="12.26953125" style="27" customWidth="1"/>
    <col min="12295" max="12295" width="11.90625" style="27" customWidth="1"/>
    <col min="12296" max="12296" width="9.36328125" style="27" customWidth="1"/>
    <col min="12297" max="12297" width="11.08984375" style="27" customWidth="1"/>
    <col min="12298" max="12298" width="10.453125" style="27" customWidth="1"/>
    <col min="12299" max="12299" width="9.7265625" style="27" customWidth="1"/>
    <col min="12300" max="12544" width="9" style="27"/>
    <col min="12545" max="12545" width="3.08984375" style="27" customWidth="1"/>
    <col min="12546" max="12546" width="4.6328125" style="27" customWidth="1"/>
    <col min="12547" max="12547" width="3.08984375" style="27" customWidth="1"/>
    <col min="12548" max="12548" width="12.90625" style="27" customWidth="1"/>
    <col min="12549" max="12549" width="11.08984375" style="27" customWidth="1"/>
    <col min="12550" max="12550" width="12.26953125" style="27" customWidth="1"/>
    <col min="12551" max="12551" width="11.90625" style="27" customWidth="1"/>
    <col min="12552" max="12552" width="9.36328125" style="27" customWidth="1"/>
    <col min="12553" max="12553" width="11.08984375" style="27" customWidth="1"/>
    <col min="12554" max="12554" width="10.453125" style="27" customWidth="1"/>
    <col min="12555" max="12555" width="9.7265625" style="27" customWidth="1"/>
    <col min="12556" max="12800" width="9" style="27"/>
    <col min="12801" max="12801" width="3.08984375" style="27" customWidth="1"/>
    <col min="12802" max="12802" width="4.6328125" style="27" customWidth="1"/>
    <col min="12803" max="12803" width="3.08984375" style="27" customWidth="1"/>
    <col min="12804" max="12804" width="12.90625" style="27" customWidth="1"/>
    <col min="12805" max="12805" width="11.08984375" style="27" customWidth="1"/>
    <col min="12806" max="12806" width="12.26953125" style="27" customWidth="1"/>
    <col min="12807" max="12807" width="11.90625" style="27" customWidth="1"/>
    <col min="12808" max="12808" width="9.36328125" style="27" customWidth="1"/>
    <col min="12809" max="12809" width="11.08984375" style="27" customWidth="1"/>
    <col min="12810" max="12810" width="10.453125" style="27" customWidth="1"/>
    <col min="12811" max="12811" width="9.7265625" style="27" customWidth="1"/>
    <col min="12812" max="13056" width="9" style="27"/>
    <col min="13057" max="13057" width="3.08984375" style="27" customWidth="1"/>
    <col min="13058" max="13058" width="4.6328125" style="27" customWidth="1"/>
    <col min="13059" max="13059" width="3.08984375" style="27" customWidth="1"/>
    <col min="13060" max="13060" width="12.90625" style="27" customWidth="1"/>
    <col min="13061" max="13061" width="11.08984375" style="27" customWidth="1"/>
    <col min="13062" max="13062" width="12.26953125" style="27" customWidth="1"/>
    <col min="13063" max="13063" width="11.90625" style="27" customWidth="1"/>
    <col min="13064" max="13064" width="9.36328125" style="27" customWidth="1"/>
    <col min="13065" max="13065" width="11.08984375" style="27" customWidth="1"/>
    <col min="13066" max="13066" width="10.453125" style="27" customWidth="1"/>
    <col min="13067" max="13067" width="9.7265625" style="27" customWidth="1"/>
    <col min="13068" max="13312" width="9" style="27"/>
    <col min="13313" max="13313" width="3.08984375" style="27" customWidth="1"/>
    <col min="13314" max="13314" width="4.6328125" style="27" customWidth="1"/>
    <col min="13315" max="13315" width="3.08984375" style="27" customWidth="1"/>
    <col min="13316" max="13316" width="12.90625" style="27" customWidth="1"/>
    <col min="13317" max="13317" width="11.08984375" style="27" customWidth="1"/>
    <col min="13318" max="13318" width="12.26953125" style="27" customWidth="1"/>
    <col min="13319" max="13319" width="11.90625" style="27" customWidth="1"/>
    <col min="13320" max="13320" width="9.36328125" style="27" customWidth="1"/>
    <col min="13321" max="13321" width="11.08984375" style="27" customWidth="1"/>
    <col min="13322" max="13322" width="10.453125" style="27" customWidth="1"/>
    <col min="13323" max="13323" width="9.7265625" style="27" customWidth="1"/>
    <col min="13324" max="13568" width="9" style="27"/>
    <col min="13569" max="13569" width="3.08984375" style="27" customWidth="1"/>
    <col min="13570" max="13570" width="4.6328125" style="27" customWidth="1"/>
    <col min="13571" max="13571" width="3.08984375" style="27" customWidth="1"/>
    <col min="13572" max="13572" width="12.90625" style="27" customWidth="1"/>
    <col min="13573" max="13573" width="11.08984375" style="27" customWidth="1"/>
    <col min="13574" max="13574" width="12.26953125" style="27" customWidth="1"/>
    <col min="13575" max="13575" width="11.90625" style="27" customWidth="1"/>
    <col min="13576" max="13576" width="9.36328125" style="27" customWidth="1"/>
    <col min="13577" max="13577" width="11.08984375" style="27" customWidth="1"/>
    <col min="13578" max="13578" width="10.453125" style="27" customWidth="1"/>
    <col min="13579" max="13579" width="9.7265625" style="27" customWidth="1"/>
    <col min="13580" max="13824" width="9" style="27"/>
    <col min="13825" max="13825" width="3.08984375" style="27" customWidth="1"/>
    <col min="13826" max="13826" width="4.6328125" style="27" customWidth="1"/>
    <col min="13827" max="13827" width="3.08984375" style="27" customWidth="1"/>
    <col min="13828" max="13828" width="12.90625" style="27" customWidth="1"/>
    <col min="13829" max="13829" width="11.08984375" style="27" customWidth="1"/>
    <col min="13830" max="13830" width="12.26953125" style="27" customWidth="1"/>
    <col min="13831" max="13831" width="11.90625" style="27" customWidth="1"/>
    <col min="13832" max="13832" width="9.36328125" style="27" customWidth="1"/>
    <col min="13833" max="13833" width="11.08984375" style="27" customWidth="1"/>
    <col min="13834" max="13834" width="10.453125" style="27" customWidth="1"/>
    <col min="13835" max="13835" width="9.7265625" style="27" customWidth="1"/>
    <col min="13836" max="14080" width="9" style="27"/>
    <col min="14081" max="14081" width="3.08984375" style="27" customWidth="1"/>
    <col min="14082" max="14082" width="4.6328125" style="27" customWidth="1"/>
    <col min="14083" max="14083" width="3.08984375" style="27" customWidth="1"/>
    <col min="14084" max="14084" width="12.90625" style="27" customWidth="1"/>
    <col min="14085" max="14085" width="11.08984375" style="27" customWidth="1"/>
    <col min="14086" max="14086" width="12.26953125" style="27" customWidth="1"/>
    <col min="14087" max="14087" width="11.90625" style="27" customWidth="1"/>
    <col min="14088" max="14088" width="9.36328125" style="27" customWidth="1"/>
    <col min="14089" max="14089" width="11.08984375" style="27" customWidth="1"/>
    <col min="14090" max="14090" width="10.453125" style="27" customWidth="1"/>
    <col min="14091" max="14091" width="9.7265625" style="27" customWidth="1"/>
    <col min="14092" max="14336" width="9" style="27"/>
    <col min="14337" max="14337" width="3.08984375" style="27" customWidth="1"/>
    <col min="14338" max="14338" width="4.6328125" style="27" customWidth="1"/>
    <col min="14339" max="14339" width="3.08984375" style="27" customWidth="1"/>
    <col min="14340" max="14340" width="12.90625" style="27" customWidth="1"/>
    <col min="14341" max="14341" width="11.08984375" style="27" customWidth="1"/>
    <col min="14342" max="14342" width="12.26953125" style="27" customWidth="1"/>
    <col min="14343" max="14343" width="11.90625" style="27" customWidth="1"/>
    <col min="14344" max="14344" width="9.36328125" style="27" customWidth="1"/>
    <col min="14345" max="14345" width="11.08984375" style="27" customWidth="1"/>
    <col min="14346" max="14346" width="10.453125" style="27" customWidth="1"/>
    <col min="14347" max="14347" width="9.7265625" style="27" customWidth="1"/>
    <col min="14348" max="14592" width="9" style="27"/>
    <col min="14593" max="14593" width="3.08984375" style="27" customWidth="1"/>
    <col min="14594" max="14594" width="4.6328125" style="27" customWidth="1"/>
    <col min="14595" max="14595" width="3.08984375" style="27" customWidth="1"/>
    <col min="14596" max="14596" width="12.90625" style="27" customWidth="1"/>
    <col min="14597" max="14597" width="11.08984375" style="27" customWidth="1"/>
    <col min="14598" max="14598" width="12.26953125" style="27" customWidth="1"/>
    <col min="14599" max="14599" width="11.90625" style="27" customWidth="1"/>
    <col min="14600" max="14600" width="9.36328125" style="27" customWidth="1"/>
    <col min="14601" max="14601" width="11.08984375" style="27" customWidth="1"/>
    <col min="14602" max="14602" width="10.453125" style="27" customWidth="1"/>
    <col min="14603" max="14603" width="9.7265625" style="27" customWidth="1"/>
    <col min="14604" max="14848" width="9" style="27"/>
    <col min="14849" max="14849" width="3.08984375" style="27" customWidth="1"/>
    <col min="14850" max="14850" width="4.6328125" style="27" customWidth="1"/>
    <col min="14851" max="14851" width="3.08984375" style="27" customWidth="1"/>
    <col min="14852" max="14852" width="12.90625" style="27" customWidth="1"/>
    <col min="14853" max="14853" width="11.08984375" style="27" customWidth="1"/>
    <col min="14854" max="14854" width="12.26953125" style="27" customWidth="1"/>
    <col min="14855" max="14855" width="11.90625" style="27" customWidth="1"/>
    <col min="14856" max="14856" width="9.36328125" style="27" customWidth="1"/>
    <col min="14857" max="14857" width="11.08984375" style="27" customWidth="1"/>
    <col min="14858" max="14858" width="10.453125" style="27" customWidth="1"/>
    <col min="14859" max="14859" width="9.7265625" style="27" customWidth="1"/>
    <col min="14860" max="15104" width="9" style="27"/>
    <col min="15105" max="15105" width="3.08984375" style="27" customWidth="1"/>
    <col min="15106" max="15106" width="4.6328125" style="27" customWidth="1"/>
    <col min="15107" max="15107" width="3.08984375" style="27" customWidth="1"/>
    <col min="15108" max="15108" width="12.90625" style="27" customWidth="1"/>
    <col min="15109" max="15109" width="11.08984375" style="27" customWidth="1"/>
    <col min="15110" max="15110" width="12.26953125" style="27" customWidth="1"/>
    <col min="15111" max="15111" width="11.90625" style="27" customWidth="1"/>
    <col min="15112" max="15112" width="9.36328125" style="27" customWidth="1"/>
    <col min="15113" max="15113" width="11.08984375" style="27" customWidth="1"/>
    <col min="15114" max="15114" width="10.453125" style="27" customWidth="1"/>
    <col min="15115" max="15115" width="9.7265625" style="27" customWidth="1"/>
    <col min="15116" max="15360" width="9" style="27"/>
    <col min="15361" max="15361" width="3.08984375" style="27" customWidth="1"/>
    <col min="15362" max="15362" width="4.6328125" style="27" customWidth="1"/>
    <col min="15363" max="15363" width="3.08984375" style="27" customWidth="1"/>
    <col min="15364" max="15364" width="12.90625" style="27" customWidth="1"/>
    <col min="15365" max="15365" width="11.08984375" style="27" customWidth="1"/>
    <col min="15366" max="15366" width="12.26953125" style="27" customWidth="1"/>
    <col min="15367" max="15367" width="11.90625" style="27" customWidth="1"/>
    <col min="15368" max="15368" width="9.36328125" style="27" customWidth="1"/>
    <col min="15369" max="15369" width="11.08984375" style="27" customWidth="1"/>
    <col min="15370" max="15370" width="10.453125" style="27" customWidth="1"/>
    <col min="15371" max="15371" width="9.7265625" style="27" customWidth="1"/>
    <col min="15372" max="15616" width="9" style="27"/>
    <col min="15617" max="15617" width="3.08984375" style="27" customWidth="1"/>
    <col min="15618" max="15618" width="4.6328125" style="27" customWidth="1"/>
    <col min="15619" max="15619" width="3.08984375" style="27" customWidth="1"/>
    <col min="15620" max="15620" width="12.90625" style="27" customWidth="1"/>
    <col min="15621" max="15621" width="11.08984375" style="27" customWidth="1"/>
    <col min="15622" max="15622" width="12.26953125" style="27" customWidth="1"/>
    <col min="15623" max="15623" width="11.90625" style="27" customWidth="1"/>
    <col min="15624" max="15624" width="9.36328125" style="27" customWidth="1"/>
    <col min="15625" max="15625" width="11.08984375" style="27" customWidth="1"/>
    <col min="15626" max="15626" width="10.453125" style="27" customWidth="1"/>
    <col min="15627" max="15627" width="9.7265625" style="27" customWidth="1"/>
    <col min="15628" max="15872" width="9" style="27"/>
    <col min="15873" max="15873" width="3.08984375" style="27" customWidth="1"/>
    <col min="15874" max="15874" width="4.6328125" style="27" customWidth="1"/>
    <col min="15875" max="15875" width="3.08984375" style="27" customWidth="1"/>
    <col min="15876" max="15876" width="12.90625" style="27" customWidth="1"/>
    <col min="15877" max="15877" width="11.08984375" style="27" customWidth="1"/>
    <col min="15878" max="15878" width="12.26953125" style="27" customWidth="1"/>
    <col min="15879" max="15879" width="11.90625" style="27" customWidth="1"/>
    <col min="15880" max="15880" width="9.36328125" style="27" customWidth="1"/>
    <col min="15881" max="15881" width="11.08984375" style="27" customWidth="1"/>
    <col min="15882" max="15882" width="10.453125" style="27" customWidth="1"/>
    <col min="15883" max="15883" width="9.7265625" style="27" customWidth="1"/>
    <col min="15884" max="16128" width="9" style="27"/>
    <col min="16129" max="16129" width="3.08984375" style="27" customWidth="1"/>
    <col min="16130" max="16130" width="4.6328125" style="27" customWidth="1"/>
    <col min="16131" max="16131" width="3.08984375" style="27" customWidth="1"/>
    <col min="16132" max="16132" width="12.90625" style="27" customWidth="1"/>
    <col min="16133" max="16133" width="11.08984375" style="27" customWidth="1"/>
    <col min="16134" max="16134" width="12.26953125" style="27" customWidth="1"/>
    <col min="16135" max="16135" width="11.90625" style="27" customWidth="1"/>
    <col min="16136" max="16136" width="9.36328125" style="27" customWidth="1"/>
    <col min="16137" max="16137" width="11.08984375" style="27" customWidth="1"/>
    <col min="16138" max="16138" width="10.453125" style="27" customWidth="1"/>
    <col min="16139" max="16139" width="9.7265625" style="27" customWidth="1"/>
    <col min="16140" max="16384" width="9" style="27"/>
  </cols>
  <sheetData>
    <row r="1" spans="1:41">
      <c r="A1" s="100" t="s">
        <v>144</v>
      </c>
    </row>
    <row r="2" spans="1:41" s="50" customFormat="1" ht="24" customHeight="1" thickBot="1">
      <c r="A2" s="49"/>
      <c r="B2" s="256" t="s">
        <v>159</v>
      </c>
      <c r="C2" s="256"/>
      <c r="D2" s="256"/>
      <c r="E2" s="256"/>
      <c r="F2" s="256"/>
      <c r="G2" s="256"/>
      <c r="H2" s="256"/>
      <c r="I2" s="256"/>
      <c r="J2" s="256"/>
      <c r="K2" s="256"/>
    </row>
    <row r="3" spans="1:41" s="50" customFormat="1" ht="13.5" customHeight="1" thickTop="1">
      <c r="A3" s="51"/>
      <c r="B3" s="52"/>
      <c r="C3" s="53"/>
      <c r="D3" s="53"/>
      <c r="E3" s="53"/>
      <c r="F3" s="53"/>
      <c r="G3" s="53"/>
      <c r="H3" s="53"/>
      <c r="I3" s="53"/>
      <c r="J3" s="53"/>
    </row>
    <row r="4" spans="1:41" s="50" customFormat="1" ht="13.5" customHeight="1">
      <c r="A4" s="51"/>
      <c r="B4" s="54" t="s">
        <v>160</v>
      </c>
      <c r="C4" s="55"/>
      <c r="D4" s="56" t="s">
        <v>161</v>
      </c>
      <c r="E4" s="57" t="s">
        <v>162</v>
      </c>
      <c r="F4" s="58" t="s">
        <v>163</v>
      </c>
      <c r="G4" s="59" t="s">
        <v>164</v>
      </c>
      <c r="H4" s="59" t="s">
        <v>165</v>
      </c>
      <c r="I4" s="59" t="s">
        <v>166</v>
      </c>
    </row>
    <row r="5" spans="1:41" s="50" customFormat="1" ht="13.5" customHeight="1">
      <c r="A5" s="51"/>
      <c r="B5" s="54"/>
      <c r="C5" s="60"/>
      <c r="D5" s="61"/>
      <c r="E5" s="61"/>
      <c r="F5" s="61"/>
      <c r="G5" s="62"/>
      <c r="H5" s="63"/>
      <c r="I5" s="63"/>
    </row>
    <row r="6" spans="1:41" s="50" customFormat="1" ht="13.5" customHeight="1">
      <c r="A6" s="51"/>
      <c r="B6" s="54"/>
      <c r="C6" s="60"/>
      <c r="D6" s="61"/>
      <c r="E6" s="61"/>
      <c r="F6" s="61"/>
      <c r="G6" s="62"/>
      <c r="H6" s="63"/>
      <c r="I6" s="63"/>
    </row>
    <row r="7" spans="1:41" s="50" customFormat="1" ht="13.5" customHeight="1">
      <c r="A7" s="51"/>
      <c r="B7" s="54"/>
      <c r="C7" s="60"/>
      <c r="D7" s="61"/>
      <c r="E7" s="61"/>
      <c r="F7" s="61"/>
      <c r="G7" s="62"/>
      <c r="H7" s="63"/>
      <c r="I7" s="63"/>
    </row>
    <row r="8" spans="1:41" s="50" customFormat="1" ht="13.5" customHeight="1">
      <c r="A8" s="51"/>
      <c r="B8" s="54"/>
      <c r="C8" s="60"/>
      <c r="D8" s="61"/>
      <c r="E8" s="61"/>
      <c r="F8" s="61"/>
      <c r="G8" s="62"/>
      <c r="H8" s="63"/>
      <c r="I8" s="63"/>
    </row>
    <row r="9" spans="1:41" ht="13.5" customHeight="1">
      <c r="B9" s="32"/>
      <c r="C9" s="32"/>
      <c r="D9" s="32"/>
      <c r="E9" s="33"/>
    </row>
    <row r="11" spans="1:41" ht="19.5" customHeight="1">
      <c r="B11" s="64"/>
      <c r="C11" s="65"/>
      <c r="D11" s="257" t="s">
        <v>268</v>
      </c>
      <c r="E11" s="258"/>
      <c r="F11" s="258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60"/>
      <c r="Z11" s="66"/>
      <c r="AA11" s="66"/>
      <c r="AB11" s="66"/>
      <c r="AC11" s="66"/>
      <c r="AD11" s="66"/>
      <c r="AE11" s="111"/>
      <c r="AF11" s="108"/>
      <c r="AH11" s="67"/>
      <c r="AI11" s="67"/>
      <c r="AJ11" s="67"/>
      <c r="AK11" s="67"/>
      <c r="AL11" s="67"/>
      <c r="AM11" s="68"/>
      <c r="AN11" s="68"/>
      <c r="AO11" s="68"/>
    </row>
    <row r="12" spans="1:41" s="70" customFormat="1" ht="16.5" customHeight="1">
      <c r="A12" s="261" t="s">
        <v>167</v>
      </c>
      <c r="B12" s="261"/>
      <c r="C12" s="262"/>
      <c r="D12" s="127"/>
      <c r="E12" s="127"/>
      <c r="F12" s="127"/>
      <c r="G12" s="124" t="s">
        <v>168</v>
      </c>
      <c r="H12" s="124" t="s">
        <v>168</v>
      </c>
      <c r="I12" s="124"/>
      <c r="J12" s="124" t="s">
        <v>168</v>
      </c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09"/>
      <c r="AG12" s="69"/>
      <c r="AH12" s="69"/>
      <c r="AI12" s="69"/>
      <c r="AJ12" s="69"/>
      <c r="AK12" s="69"/>
      <c r="AL12" s="69"/>
    </row>
    <row r="13" spans="1:41" s="76" customFormat="1" ht="92" customHeight="1">
      <c r="A13" s="71"/>
      <c r="B13" s="72" t="s">
        <v>169</v>
      </c>
      <c r="C13" s="73" t="s">
        <v>170</v>
      </c>
      <c r="D13" s="117" t="s">
        <v>171</v>
      </c>
      <c r="E13" s="117" t="s">
        <v>172</v>
      </c>
      <c r="F13" s="117" t="s">
        <v>173</v>
      </c>
      <c r="G13" s="119" t="s">
        <v>91</v>
      </c>
      <c r="H13" s="119" t="s">
        <v>67</v>
      </c>
      <c r="I13" s="119" t="s">
        <v>289</v>
      </c>
      <c r="J13" s="119" t="s">
        <v>69</v>
      </c>
      <c r="K13" s="119" t="s">
        <v>290</v>
      </c>
      <c r="L13" s="119" t="s">
        <v>291</v>
      </c>
      <c r="M13" s="119" t="s">
        <v>292</v>
      </c>
      <c r="N13" s="119" t="s">
        <v>293</v>
      </c>
      <c r="O13" s="119" t="s">
        <v>294</v>
      </c>
      <c r="P13" s="119" t="s">
        <v>295</v>
      </c>
      <c r="Q13" s="119" t="s">
        <v>296</v>
      </c>
      <c r="R13" s="119" t="s">
        <v>297</v>
      </c>
      <c r="S13" s="119" t="s">
        <v>298</v>
      </c>
      <c r="T13" s="119" t="s">
        <v>299</v>
      </c>
      <c r="U13" s="119" t="s">
        <v>300</v>
      </c>
      <c r="V13" s="119" t="s">
        <v>301</v>
      </c>
      <c r="W13" s="119" t="s">
        <v>302</v>
      </c>
      <c r="X13" s="119" t="s">
        <v>303</v>
      </c>
      <c r="Y13" s="119" t="s">
        <v>229</v>
      </c>
      <c r="Z13" s="119" t="s">
        <v>230</v>
      </c>
      <c r="AA13" s="119" t="s">
        <v>231</v>
      </c>
      <c r="AB13" s="119" t="s">
        <v>232</v>
      </c>
      <c r="AC13" s="119" t="s">
        <v>150</v>
      </c>
      <c r="AD13" s="119" t="s">
        <v>151</v>
      </c>
      <c r="AE13" s="119" t="s">
        <v>233</v>
      </c>
      <c r="AF13" s="110"/>
      <c r="AG13" s="67"/>
      <c r="AH13" s="74"/>
      <c r="AI13" s="74"/>
      <c r="AJ13" s="74"/>
      <c r="AK13" s="74"/>
      <c r="AL13" s="74"/>
      <c r="AM13" s="75"/>
      <c r="AN13" s="75"/>
      <c r="AO13" s="75"/>
    </row>
    <row r="14" spans="1:41" s="76" customFormat="1">
      <c r="A14" s="71"/>
      <c r="B14" s="72"/>
      <c r="C14" s="123"/>
      <c r="D14" s="117" t="s">
        <v>205</v>
      </c>
      <c r="E14" s="117" t="s">
        <v>214</v>
      </c>
      <c r="F14" s="117" t="s">
        <v>222</v>
      </c>
      <c r="G14" s="118" t="s">
        <v>250</v>
      </c>
      <c r="H14" s="118" t="s">
        <v>251</v>
      </c>
      <c r="I14" s="118" t="s">
        <v>631</v>
      </c>
      <c r="J14" s="118" t="s">
        <v>253</v>
      </c>
      <c r="K14" s="118" t="s">
        <v>254</v>
      </c>
      <c r="L14" s="118" t="s">
        <v>255</v>
      </c>
      <c r="M14" s="118" t="s">
        <v>256</v>
      </c>
      <c r="N14" s="118" t="s">
        <v>257</v>
      </c>
      <c r="O14" s="118" t="s">
        <v>258</v>
      </c>
      <c r="P14" s="118" t="s">
        <v>259</v>
      </c>
      <c r="Q14" s="118" t="s">
        <v>260</v>
      </c>
      <c r="R14" s="118" t="s">
        <v>261</v>
      </c>
      <c r="S14" s="118" t="s">
        <v>262</v>
      </c>
      <c r="T14" s="118" t="s">
        <v>263</v>
      </c>
      <c r="U14" s="118" t="s">
        <v>264</v>
      </c>
      <c r="V14" s="118" t="s">
        <v>265</v>
      </c>
      <c r="W14" s="118" t="s">
        <v>266</v>
      </c>
      <c r="X14" s="118" t="s">
        <v>267</v>
      </c>
      <c r="Y14" s="118" t="s">
        <v>235</v>
      </c>
      <c r="Z14" s="118" t="s">
        <v>236</v>
      </c>
      <c r="AA14" s="118" t="s">
        <v>237</v>
      </c>
      <c r="AB14" s="118" t="s">
        <v>238</v>
      </c>
      <c r="AC14" s="118" t="s">
        <v>239</v>
      </c>
      <c r="AD14" s="118" t="s">
        <v>240</v>
      </c>
      <c r="AE14" s="118" t="s">
        <v>241</v>
      </c>
      <c r="AF14" s="110"/>
      <c r="AG14" s="67"/>
      <c r="AH14" s="74"/>
      <c r="AI14" s="74"/>
      <c r="AJ14" s="74"/>
      <c r="AK14" s="74"/>
      <c r="AL14" s="74"/>
      <c r="AM14" s="75"/>
      <c r="AN14" s="75"/>
      <c r="AO14" s="75"/>
    </row>
    <row r="15" spans="1:41" s="68" customFormat="1" ht="13.5" customHeight="1">
      <c r="A15" s="77"/>
      <c r="B15" s="78"/>
      <c r="C15" s="79"/>
      <c r="D15" s="117" t="s">
        <v>304</v>
      </c>
      <c r="E15" s="117" t="s">
        <v>305</v>
      </c>
      <c r="F15" s="117" t="s">
        <v>305</v>
      </c>
      <c r="G15" s="119" t="s">
        <v>306</v>
      </c>
      <c r="H15" s="119" t="s">
        <v>306</v>
      </c>
      <c r="I15" s="119" t="s">
        <v>306</v>
      </c>
      <c r="J15" s="119" t="s">
        <v>307</v>
      </c>
      <c r="K15" s="119" t="s">
        <v>308</v>
      </c>
      <c r="L15" s="119" t="s">
        <v>309</v>
      </c>
      <c r="M15" s="118" t="s">
        <v>310</v>
      </c>
      <c r="N15" s="119" t="s">
        <v>310</v>
      </c>
      <c r="O15" s="119" t="s">
        <v>311</v>
      </c>
      <c r="P15" s="119" t="s">
        <v>306</v>
      </c>
      <c r="Q15" s="119" t="s">
        <v>312</v>
      </c>
      <c r="R15" s="119" t="s">
        <v>313</v>
      </c>
      <c r="S15" s="119" t="s">
        <v>312</v>
      </c>
      <c r="T15" s="119" t="s">
        <v>314</v>
      </c>
      <c r="U15" s="118" t="s">
        <v>315</v>
      </c>
      <c r="V15" s="119" t="s">
        <v>315</v>
      </c>
      <c r="W15" s="119" t="s">
        <v>316</v>
      </c>
      <c r="X15" s="119" t="s">
        <v>306</v>
      </c>
      <c r="Y15" s="119" t="s">
        <v>317</v>
      </c>
      <c r="Z15" s="119" t="s">
        <v>319</v>
      </c>
      <c r="AA15" s="119" t="s">
        <v>320</v>
      </c>
      <c r="AB15" s="119" t="s">
        <v>320</v>
      </c>
      <c r="AC15" s="118" t="s">
        <v>318</v>
      </c>
      <c r="AD15" s="119" t="s">
        <v>320</v>
      </c>
      <c r="AE15" s="119" t="s">
        <v>320</v>
      </c>
      <c r="AF15" s="108"/>
      <c r="AG15" s="67"/>
      <c r="AH15" s="67"/>
      <c r="AI15" s="67"/>
      <c r="AJ15" s="67"/>
      <c r="AK15" s="67"/>
      <c r="AL15" s="67"/>
    </row>
    <row r="16" spans="1:41" ht="13.5" customHeight="1">
      <c r="A16" s="80"/>
      <c r="B16" s="81">
        <v>1</v>
      </c>
      <c r="C16" s="82" t="s">
        <v>168</v>
      </c>
      <c r="D16" s="121" t="s">
        <v>515</v>
      </c>
      <c r="E16" s="118" t="s">
        <v>270</v>
      </c>
      <c r="F16" s="119" t="s">
        <v>270</v>
      </c>
      <c r="G16" s="119" t="s">
        <v>182</v>
      </c>
      <c r="H16" s="119" t="s">
        <v>271</v>
      </c>
      <c r="I16" s="119" t="s">
        <v>271</v>
      </c>
      <c r="J16" s="119" t="s">
        <v>183</v>
      </c>
      <c r="K16" s="119" t="s">
        <v>272</v>
      </c>
      <c r="L16" s="119" t="s">
        <v>243</v>
      </c>
      <c r="M16" s="118" t="s">
        <v>155</v>
      </c>
      <c r="N16" s="119" t="s">
        <v>273</v>
      </c>
      <c r="O16" s="119"/>
      <c r="P16" s="119" t="s">
        <v>182</v>
      </c>
      <c r="Q16" s="119" t="s">
        <v>155</v>
      </c>
      <c r="R16" s="119" t="s">
        <v>274</v>
      </c>
      <c r="S16" s="119" t="s">
        <v>275</v>
      </c>
      <c r="T16" s="119"/>
      <c r="U16" s="118" t="s">
        <v>155</v>
      </c>
      <c r="V16" s="119" t="s">
        <v>155</v>
      </c>
      <c r="W16" s="119" t="s">
        <v>155</v>
      </c>
      <c r="X16" s="119"/>
      <c r="Y16" s="119" t="s">
        <v>243</v>
      </c>
      <c r="Z16" s="119" t="s">
        <v>276</v>
      </c>
      <c r="AA16" s="119" t="s">
        <v>277</v>
      </c>
      <c r="AB16" s="119" t="s">
        <v>277</v>
      </c>
      <c r="AC16" s="118" t="s">
        <v>278</v>
      </c>
      <c r="AD16" s="119" t="s">
        <v>279</v>
      </c>
      <c r="AE16" s="119" t="s">
        <v>279</v>
      </c>
      <c r="AF16" s="108"/>
      <c r="AG16" s="67"/>
      <c r="AH16" s="67"/>
      <c r="AI16" s="83"/>
      <c r="AJ16" s="67"/>
      <c r="AK16" s="83"/>
      <c r="AL16" s="67"/>
      <c r="AM16" s="68"/>
      <c r="AN16" s="68"/>
      <c r="AO16" s="68"/>
    </row>
    <row r="17" spans="1:41" ht="13.5" customHeight="1">
      <c r="A17" s="84"/>
      <c r="B17" s="81">
        <v>2</v>
      </c>
      <c r="C17" s="82" t="s">
        <v>168</v>
      </c>
      <c r="D17" s="121" t="s">
        <v>269</v>
      </c>
      <c r="E17" s="118" t="s">
        <v>270</v>
      </c>
      <c r="F17" s="119" t="s">
        <v>181</v>
      </c>
      <c r="G17" s="119" t="s">
        <v>182</v>
      </c>
      <c r="H17" s="119" t="s">
        <v>271</v>
      </c>
      <c r="I17" s="119" t="s">
        <v>271</v>
      </c>
      <c r="J17" s="119" t="s">
        <v>183</v>
      </c>
      <c r="K17" s="119" t="s">
        <v>183</v>
      </c>
      <c r="L17" s="119" t="s">
        <v>243</v>
      </c>
      <c r="M17" s="118" t="s">
        <v>280</v>
      </c>
      <c r="N17" s="119" t="s">
        <v>273</v>
      </c>
      <c r="O17" s="119"/>
      <c r="P17" s="119" t="s">
        <v>243</v>
      </c>
      <c r="Q17" s="119" t="s">
        <v>155</v>
      </c>
      <c r="R17" s="119" t="s">
        <v>183</v>
      </c>
      <c r="S17" s="119" t="s">
        <v>281</v>
      </c>
      <c r="T17" s="119"/>
      <c r="U17" s="118" t="s">
        <v>155</v>
      </c>
      <c r="V17" s="119" t="s">
        <v>155</v>
      </c>
      <c r="W17" s="119" t="s">
        <v>155</v>
      </c>
      <c r="X17" s="119"/>
      <c r="Y17" s="119" t="s">
        <v>243</v>
      </c>
      <c r="Z17" s="119" t="s">
        <v>282</v>
      </c>
      <c r="AA17" s="119" t="s">
        <v>283</v>
      </c>
      <c r="AB17" s="119">
        <v>470195</v>
      </c>
      <c r="AC17" s="118" t="s">
        <v>282</v>
      </c>
      <c r="AD17" s="119">
        <v>470195</v>
      </c>
      <c r="AE17" s="119" t="s">
        <v>283</v>
      </c>
      <c r="AF17" s="108"/>
      <c r="AG17" s="67"/>
      <c r="AH17" s="61"/>
      <c r="AI17" s="83"/>
      <c r="AJ17" s="67"/>
      <c r="AK17" s="67"/>
      <c r="AL17" s="67"/>
      <c r="AM17" s="68"/>
      <c r="AN17" s="68"/>
      <c r="AO17" s="68"/>
    </row>
    <row r="18" spans="1:41" ht="13.5" customHeight="1">
      <c r="A18" s="85"/>
      <c r="B18" s="81">
        <v>3</v>
      </c>
      <c r="C18" s="146" t="s">
        <v>466</v>
      </c>
      <c r="D18" s="121" t="s">
        <v>269</v>
      </c>
      <c r="E18" s="121" t="s">
        <v>284</v>
      </c>
      <c r="F18" s="121" t="s">
        <v>285</v>
      </c>
      <c r="G18" s="121" t="s">
        <v>286</v>
      </c>
      <c r="H18" s="121" t="s">
        <v>182</v>
      </c>
      <c r="I18" s="224" t="s">
        <v>432</v>
      </c>
      <c r="J18" s="121" t="s">
        <v>183</v>
      </c>
      <c r="K18" s="121" t="s">
        <v>272</v>
      </c>
      <c r="L18" s="121" t="s">
        <v>243</v>
      </c>
      <c r="M18" s="121" t="s">
        <v>155</v>
      </c>
      <c r="N18" s="121" t="s">
        <v>273</v>
      </c>
      <c r="O18" s="121" t="s">
        <v>155</v>
      </c>
      <c r="P18" s="121" t="s">
        <v>182</v>
      </c>
      <c r="Q18" s="121" t="s">
        <v>155</v>
      </c>
      <c r="R18" s="121" t="s">
        <v>274</v>
      </c>
      <c r="S18" s="121" t="s">
        <v>275</v>
      </c>
      <c r="T18" s="121" t="s">
        <v>155</v>
      </c>
      <c r="U18" s="121" t="s">
        <v>155</v>
      </c>
      <c r="V18" s="121" t="s">
        <v>155</v>
      </c>
      <c r="W18" s="121" t="s">
        <v>155</v>
      </c>
      <c r="X18" s="121" t="s">
        <v>155</v>
      </c>
      <c r="Y18" s="121" t="s">
        <v>243</v>
      </c>
      <c r="Z18" s="121" t="s">
        <v>276</v>
      </c>
      <c r="AA18" s="121" t="s">
        <v>277</v>
      </c>
      <c r="AB18" s="121" t="s">
        <v>277</v>
      </c>
      <c r="AC18" s="121" t="s">
        <v>278</v>
      </c>
      <c r="AD18" s="121" t="s">
        <v>287</v>
      </c>
      <c r="AE18" s="121" t="s">
        <v>287</v>
      </c>
      <c r="AF18" s="108"/>
      <c r="AG18" s="67"/>
      <c r="AH18" s="61"/>
      <c r="AI18" s="83"/>
      <c r="AJ18" s="67"/>
      <c r="AK18" s="67"/>
      <c r="AL18" s="67"/>
      <c r="AM18" s="68"/>
      <c r="AN18" s="68"/>
      <c r="AO18" s="68"/>
    </row>
    <row r="19" spans="1:41" ht="13.5" customHeight="1">
      <c r="A19" s="85"/>
      <c r="B19" s="145">
        <v>4</v>
      </c>
      <c r="C19" s="82" t="s">
        <v>168</v>
      </c>
      <c r="D19" s="121" t="s">
        <v>269</v>
      </c>
      <c r="E19" s="121" t="s">
        <v>442</v>
      </c>
      <c r="F19" s="150" t="s">
        <v>181</v>
      </c>
      <c r="G19" s="121" t="s">
        <v>286</v>
      </c>
      <c r="H19" s="121" t="s">
        <v>271</v>
      </c>
      <c r="I19" s="121" t="s">
        <v>271</v>
      </c>
      <c r="J19" s="121" t="s">
        <v>183</v>
      </c>
      <c r="K19" s="121" t="s">
        <v>272</v>
      </c>
      <c r="L19" s="121" t="s">
        <v>243</v>
      </c>
      <c r="M19" s="121" t="s">
        <v>155</v>
      </c>
      <c r="N19" s="121" t="s">
        <v>273</v>
      </c>
      <c r="O19" s="121" t="s">
        <v>155</v>
      </c>
      <c r="P19" s="121" t="s">
        <v>182</v>
      </c>
      <c r="Q19" s="121" t="s">
        <v>155</v>
      </c>
      <c r="R19" s="121" t="s">
        <v>274</v>
      </c>
      <c r="S19" s="121" t="s">
        <v>275</v>
      </c>
      <c r="T19" s="121" t="s">
        <v>155</v>
      </c>
      <c r="U19" s="121" t="s">
        <v>155</v>
      </c>
      <c r="V19" s="121" t="s">
        <v>155</v>
      </c>
      <c r="W19" s="121" t="s">
        <v>155</v>
      </c>
      <c r="X19" s="121" t="s">
        <v>155</v>
      </c>
      <c r="Y19" s="121" t="s">
        <v>243</v>
      </c>
      <c r="Z19" s="121" t="s">
        <v>276</v>
      </c>
      <c r="AA19" s="121" t="s">
        <v>277</v>
      </c>
      <c r="AB19" s="121" t="s">
        <v>277</v>
      </c>
      <c r="AC19" s="121" t="s">
        <v>278</v>
      </c>
      <c r="AD19" s="121" t="s">
        <v>287</v>
      </c>
      <c r="AE19" s="121" t="s">
        <v>287</v>
      </c>
      <c r="AF19" s="108"/>
      <c r="AG19" s="67"/>
      <c r="AH19" s="61"/>
      <c r="AI19" s="83"/>
      <c r="AJ19" s="67"/>
      <c r="AK19" s="67"/>
      <c r="AL19" s="67"/>
      <c r="AM19" s="68"/>
      <c r="AN19" s="68"/>
      <c r="AO19" s="68"/>
    </row>
    <row r="20" spans="1:41" ht="13.5" customHeight="1">
      <c r="A20" s="84"/>
      <c r="B20" s="145">
        <v>5</v>
      </c>
      <c r="C20" s="82" t="s">
        <v>168</v>
      </c>
      <c r="D20" s="121" t="s">
        <v>269</v>
      </c>
      <c r="E20" s="121" t="s">
        <v>285</v>
      </c>
      <c r="F20" s="121" t="s">
        <v>285</v>
      </c>
      <c r="G20" s="121" t="s">
        <v>286</v>
      </c>
      <c r="H20" s="121" t="s">
        <v>443</v>
      </c>
      <c r="I20" s="224" t="s">
        <v>432</v>
      </c>
      <c r="J20" s="121" t="s">
        <v>183</v>
      </c>
      <c r="K20" s="121" t="s">
        <v>272</v>
      </c>
      <c r="L20" s="121" t="s">
        <v>243</v>
      </c>
      <c r="M20" s="121" t="s">
        <v>155</v>
      </c>
      <c r="N20" s="121" t="s">
        <v>273</v>
      </c>
      <c r="O20" s="121" t="s">
        <v>155</v>
      </c>
      <c r="P20" s="121" t="s">
        <v>182</v>
      </c>
      <c r="Q20" s="121" t="s">
        <v>155</v>
      </c>
      <c r="R20" s="121" t="s">
        <v>274</v>
      </c>
      <c r="S20" s="121" t="s">
        <v>275</v>
      </c>
      <c r="T20" s="121" t="s">
        <v>155</v>
      </c>
      <c r="U20" s="121" t="s">
        <v>155</v>
      </c>
      <c r="V20" s="121" t="s">
        <v>155</v>
      </c>
      <c r="W20" s="121" t="s">
        <v>155</v>
      </c>
      <c r="X20" s="121" t="s">
        <v>155</v>
      </c>
      <c r="Y20" s="121" t="s">
        <v>243</v>
      </c>
      <c r="Z20" s="121" t="s">
        <v>276</v>
      </c>
      <c r="AA20" s="121" t="s">
        <v>277</v>
      </c>
      <c r="AB20" s="121" t="s">
        <v>277</v>
      </c>
      <c r="AC20" s="121" t="s">
        <v>278</v>
      </c>
      <c r="AD20" s="121" t="s">
        <v>287</v>
      </c>
      <c r="AE20" s="121" t="s">
        <v>287</v>
      </c>
      <c r="AF20" s="108"/>
      <c r="AG20" s="67"/>
      <c r="AH20" s="61"/>
      <c r="AI20" s="83"/>
      <c r="AJ20" s="67"/>
      <c r="AK20" s="67"/>
      <c r="AL20" s="67"/>
      <c r="AM20" s="68"/>
      <c r="AN20" s="68"/>
      <c r="AO20" s="68"/>
    </row>
    <row r="21" spans="1:41" ht="13.5" customHeight="1">
      <c r="A21" s="80"/>
      <c r="B21" s="145">
        <v>6</v>
      </c>
      <c r="C21" s="82" t="s">
        <v>168</v>
      </c>
      <c r="D21" s="121" t="s">
        <v>269</v>
      </c>
      <c r="E21" s="121" t="s">
        <v>444</v>
      </c>
      <c r="F21" s="121" t="s">
        <v>444</v>
      </c>
      <c r="G21" s="121" t="s">
        <v>286</v>
      </c>
      <c r="H21" s="121" t="s">
        <v>271</v>
      </c>
      <c r="I21" s="121" t="s">
        <v>271</v>
      </c>
      <c r="J21" s="121" t="s">
        <v>182</v>
      </c>
      <c r="K21" s="121" t="s">
        <v>272</v>
      </c>
      <c r="L21" s="121" t="s">
        <v>243</v>
      </c>
      <c r="M21" s="121" t="s">
        <v>155</v>
      </c>
      <c r="N21" s="121" t="s">
        <v>273</v>
      </c>
      <c r="O21" s="121" t="s">
        <v>155</v>
      </c>
      <c r="P21" s="121" t="s">
        <v>182</v>
      </c>
      <c r="Q21" s="121" t="s">
        <v>155</v>
      </c>
      <c r="R21" s="121" t="s">
        <v>274</v>
      </c>
      <c r="S21" s="121" t="s">
        <v>275</v>
      </c>
      <c r="T21" s="121" t="s">
        <v>155</v>
      </c>
      <c r="U21" s="121" t="s">
        <v>155</v>
      </c>
      <c r="V21" s="121" t="s">
        <v>155</v>
      </c>
      <c r="W21" s="121" t="s">
        <v>155</v>
      </c>
      <c r="X21" s="121" t="s">
        <v>155</v>
      </c>
      <c r="Y21" s="121" t="s">
        <v>243</v>
      </c>
      <c r="Z21" s="121" t="s">
        <v>276</v>
      </c>
      <c r="AA21" s="121" t="s">
        <v>277</v>
      </c>
      <c r="AB21" s="121" t="s">
        <v>277</v>
      </c>
      <c r="AC21" s="121" t="s">
        <v>278</v>
      </c>
      <c r="AD21" s="121" t="s">
        <v>287</v>
      </c>
      <c r="AE21" s="121" t="s">
        <v>287</v>
      </c>
      <c r="AF21" s="108"/>
      <c r="AG21" s="67"/>
      <c r="AH21" s="67"/>
      <c r="AI21" s="83"/>
      <c r="AJ21" s="67"/>
      <c r="AK21" s="83"/>
      <c r="AL21" s="67"/>
      <c r="AM21" s="68"/>
      <c r="AN21" s="68"/>
      <c r="AO21" s="68"/>
    </row>
    <row r="22" spans="1:41" ht="13.5" customHeight="1">
      <c r="A22" s="85"/>
      <c r="B22" s="145">
        <v>7</v>
      </c>
      <c r="C22" s="82" t="s">
        <v>168</v>
      </c>
      <c r="D22" s="121" t="s">
        <v>269</v>
      </c>
      <c r="E22" s="121" t="s">
        <v>445</v>
      </c>
      <c r="F22" s="121" t="s">
        <v>445</v>
      </c>
      <c r="G22" s="121" t="s">
        <v>286</v>
      </c>
      <c r="H22" s="121" t="s">
        <v>446</v>
      </c>
      <c r="I22" s="224" t="s">
        <v>432</v>
      </c>
      <c r="J22" s="121" t="s">
        <v>183</v>
      </c>
      <c r="K22" s="121" t="s">
        <v>272</v>
      </c>
      <c r="L22" s="121" t="s">
        <v>243</v>
      </c>
      <c r="M22" s="121" t="s">
        <v>155</v>
      </c>
      <c r="N22" s="121" t="s">
        <v>273</v>
      </c>
      <c r="O22" s="121" t="s">
        <v>155</v>
      </c>
      <c r="P22" s="121" t="s">
        <v>182</v>
      </c>
      <c r="Q22" s="121" t="s">
        <v>155</v>
      </c>
      <c r="R22" s="121" t="s">
        <v>274</v>
      </c>
      <c r="S22" s="121" t="s">
        <v>275</v>
      </c>
      <c r="T22" s="121" t="s">
        <v>155</v>
      </c>
      <c r="U22" s="121" t="s">
        <v>155</v>
      </c>
      <c r="V22" s="121" t="s">
        <v>155</v>
      </c>
      <c r="W22" s="121" t="s">
        <v>155</v>
      </c>
      <c r="X22" s="121" t="s">
        <v>155</v>
      </c>
      <c r="Y22" s="121" t="s">
        <v>243</v>
      </c>
      <c r="Z22" s="121" t="s">
        <v>276</v>
      </c>
      <c r="AA22" s="121" t="s">
        <v>277</v>
      </c>
      <c r="AB22" s="121" t="s">
        <v>277</v>
      </c>
      <c r="AC22" s="121" t="s">
        <v>278</v>
      </c>
      <c r="AD22" s="121" t="s">
        <v>287</v>
      </c>
      <c r="AE22" s="121" t="s">
        <v>287</v>
      </c>
      <c r="AF22" s="108"/>
      <c r="AG22" s="67"/>
      <c r="AH22" s="67"/>
      <c r="AI22" s="83"/>
      <c r="AJ22" s="67"/>
      <c r="AK22" s="83"/>
      <c r="AL22" s="67"/>
      <c r="AM22" s="68"/>
      <c r="AN22" s="68"/>
      <c r="AO22" s="68"/>
    </row>
    <row r="23" spans="1:41" ht="13.5" customHeight="1">
      <c r="A23" s="85"/>
      <c r="B23" s="147">
        <v>8</v>
      </c>
      <c r="C23" s="82" t="s">
        <v>168</v>
      </c>
      <c r="D23" s="132" t="s">
        <v>516</v>
      </c>
      <c r="E23" s="132" t="s">
        <v>461</v>
      </c>
      <c r="F23" s="132" t="s">
        <v>461</v>
      </c>
      <c r="G23" s="132" t="s">
        <v>182</v>
      </c>
      <c r="H23" s="132" t="s">
        <v>182</v>
      </c>
      <c r="I23" s="224" t="s">
        <v>432</v>
      </c>
      <c r="J23" s="132" t="s">
        <v>183</v>
      </c>
      <c r="K23" s="132" t="s">
        <v>183</v>
      </c>
      <c r="L23" s="132" t="s">
        <v>243</v>
      </c>
      <c r="M23" s="132" t="s">
        <v>280</v>
      </c>
      <c r="N23" s="132" t="s">
        <v>273</v>
      </c>
      <c r="O23" s="132"/>
      <c r="P23" s="132" t="s">
        <v>243</v>
      </c>
      <c r="Q23" s="132" t="s">
        <v>155</v>
      </c>
      <c r="R23" s="132" t="s">
        <v>183</v>
      </c>
      <c r="S23" s="132" t="s">
        <v>281</v>
      </c>
      <c r="T23" s="132"/>
      <c r="U23" s="132" t="s">
        <v>155</v>
      </c>
      <c r="V23" s="132" t="s">
        <v>155</v>
      </c>
      <c r="W23" s="132" t="s">
        <v>155</v>
      </c>
      <c r="X23" s="132"/>
      <c r="Y23" s="132" t="s">
        <v>243</v>
      </c>
      <c r="Z23" s="132">
        <v>40640.750486111108</v>
      </c>
      <c r="AA23" s="132">
        <v>470195</v>
      </c>
      <c r="AB23" s="132">
        <v>470195</v>
      </c>
      <c r="AC23" s="132">
        <v>40640.750486111108</v>
      </c>
      <c r="AD23" s="132">
        <v>470195</v>
      </c>
      <c r="AE23" s="132">
        <v>470195</v>
      </c>
      <c r="AF23" s="108"/>
      <c r="AG23" s="67"/>
      <c r="AH23" s="67"/>
      <c r="AI23" s="83"/>
      <c r="AJ23" s="67"/>
      <c r="AK23" s="83"/>
      <c r="AL23" s="67"/>
      <c r="AM23" s="68"/>
      <c r="AN23" s="68"/>
      <c r="AO23" s="68"/>
    </row>
    <row r="24" spans="1:41" ht="13.5" customHeight="1">
      <c r="A24" s="84"/>
      <c r="B24" s="81" t="s">
        <v>177</v>
      </c>
      <c r="C24" s="146" t="s">
        <v>466</v>
      </c>
      <c r="D24" s="121" t="s">
        <v>472</v>
      </c>
      <c r="E24" s="121" t="s">
        <v>270</v>
      </c>
      <c r="F24" s="121" t="s">
        <v>270</v>
      </c>
      <c r="G24" s="121" t="s">
        <v>182</v>
      </c>
      <c r="H24" s="121" t="s">
        <v>271</v>
      </c>
      <c r="I24" s="121" t="s">
        <v>271</v>
      </c>
      <c r="J24" s="121" t="s">
        <v>183</v>
      </c>
      <c r="K24" s="121" t="s">
        <v>477</v>
      </c>
      <c r="L24" s="121" t="s">
        <v>243</v>
      </c>
      <c r="M24" s="121" t="s">
        <v>155</v>
      </c>
      <c r="N24" s="121" t="s">
        <v>273</v>
      </c>
      <c r="O24" s="121"/>
      <c r="P24" s="121" t="s">
        <v>182</v>
      </c>
      <c r="Q24" s="121" t="s">
        <v>155</v>
      </c>
      <c r="R24" s="121" t="s">
        <v>274</v>
      </c>
      <c r="S24" s="121" t="s">
        <v>478</v>
      </c>
      <c r="T24" s="121"/>
      <c r="U24" s="121" t="s">
        <v>479</v>
      </c>
      <c r="V24" s="121" t="s">
        <v>480</v>
      </c>
      <c r="W24" s="121" t="s">
        <v>481</v>
      </c>
      <c r="X24" s="121"/>
      <c r="Y24" s="121" t="s">
        <v>243</v>
      </c>
      <c r="Z24" s="121" t="s">
        <v>276</v>
      </c>
      <c r="AA24" s="121" t="s">
        <v>277</v>
      </c>
      <c r="AB24" s="121" t="s">
        <v>277</v>
      </c>
      <c r="AC24" s="121" t="s">
        <v>482</v>
      </c>
      <c r="AD24" s="121">
        <v>375901</v>
      </c>
      <c r="AE24" s="121" t="s">
        <v>483</v>
      </c>
      <c r="AF24" s="108"/>
      <c r="AG24" s="67"/>
      <c r="AH24" s="67"/>
      <c r="AI24" s="83"/>
      <c r="AJ24" s="67"/>
      <c r="AK24" s="83"/>
      <c r="AL24" s="67"/>
      <c r="AM24" s="68"/>
      <c r="AN24" s="68"/>
      <c r="AO24" s="68"/>
    </row>
    <row r="25" spans="1:41" ht="13.5" customHeight="1">
      <c r="A25" s="84"/>
      <c r="B25" s="81" t="s">
        <v>475</v>
      </c>
      <c r="C25" s="146" t="s">
        <v>466</v>
      </c>
      <c r="D25" s="132" t="s">
        <v>473</v>
      </c>
      <c r="E25" s="132" t="s">
        <v>270</v>
      </c>
      <c r="F25" s="132" t="s">
        <v>270</v>
      </c>
      <c r="G25" s="132" t="s">
        <v>182</v>
      </c>
      <c r="H25" s="132" t="s">
        <v>271</v>
      </c>
      <c r="I25" s="132" t="s">
        <v>271</v>
      </c>
      <c r="J25" s="132" t="s">
        <v>183</v>
      </c>
      <c r="K25" s="132" t="s">
        <v>484</v>
      </c>
      <c r="L25" s="132" t="s">
        <v>243</v>
      </c>
      <c r="M25" s="132" t="s">
        <v>485</v>
      </c>
      <c r="N25" s="132" t="s">
        <v>273</v>
      </c>
      <c r="O25" s="132"/>
      <c r="P25" s="132" t="s">
        <v>271</v>
      </c>
      <c r="Q25" s="132" t="s">
        <v>155</v>
      </c>
      <c r="R25" s="132" t="s">
        <v>486</v>
      </c>
      <c r="S25" s="132" t="s">
        <v>275</v>
      </c>
      <c r="T25" s="132"/>
      <c r="U25" s="132" t="s">
        <v>155</v>
      </c>
      <c r="V25" s="132" t="s">
        <v>155</v>
      </c>
      <c r="W25" s="132" t="s">
        <v>155</v>
      </c>
      <c r="X25" s="132"/>
      <c r="Y25" s="132" t="s">
        <v>243</v>
      </c>
      <c r="Z25" s="132" t="s">
        <v>487</v>
      </c>
      <c r="AA25" s="132" t="s">
        <v>277</v>
      </c>
      <c r="AB25" s="132" t="s">
        <v>277</v>
      </c>
      <c r="AC25" s="132" t="s">
        <v>488</v>
      </c>
      <c r="AD25" s="132" t="s">
        <v>489</v>
      </c>
      <c r="AE25" s="132" t="s">
        <v>489</v>
      </c>
      <c r="AF25" s="108"/>
      <c r="AG25" s="67"/>
      <c r="AH25" s="61"/>
      <c r="AI25" s="83"/>
      <c r="AJ25" s="67"/>
      <c r="AK25" s="67"/>
      <c r="AL25" s="67"/>
      <c r="AM25" s="68"/>
      <c r="AN25" s="68"/>
      <c r="AO25" s="68"/>
    </row>
    <row r="26" spans="1:41" ht="13.5" customHeight="1">
      <c r="A26" s="80"/>
      <c r="B26" s="81" t="s">
        <v>501</v>
      </c>
      <c r="C26" s="146" t="s">
        <v>466</v>
      </c>
      <c r="D26" s="132" t="s">
        <v>269</v>
      </c>
      <c r="E26" s="132" t="s">
        <v>285</v>
      </c>
      <c r="F26" s="132" t="s">
        <v>503</v>
      </c>
      <c r="G26" s="132" t="s">
        <v>286</v>
      </c>
      <c r="H26" s="132" t="s">
        <v>446</v>
      </c>
      <c r="I26" s="224" t="s">
        <v>432</v>
      </c>
      <c r="J26" s="132" t="s">
        <v>183</v>
      </c>
      <c r="K26" s="132" t="s">
        <v>496</v>
      </c>
      <c r="L26" s="132" t="s">
        <v>497</v>
      </c>
      <c r="M26" s="132" t="s">
        <v>155</v>
      </c>
      <c r="N26" s="132" t="s">
        <v>273</v>
      </c>
      <c r="O26" s="132" t="s">
        <v>155</v>
      </c>
      <c r="P26" s="132" t="s">
        <v>182</v>
      </c>
      <c r="Q26" s="132" t="s">
        <v>155</v>
      </c>
      <c r="R26" s="132" t="s">
        <v>274</v>
      </c>
      <c r="S26" s="132" t="s">
        <v>275</v>
      </c>
      <c r="T26" s="132" t="s">
        <v>155</v>
      </c>
      <c r="U26" s="132" t="s">
        <v>155</v>
      </c>
      <c r="V26" s="132" t="s">
        <v>155</v>
      </c>
      <c r="W26" s="132" t="s">
        <v>155</v>
      </c>
      <c r="X26" s="132" t="s">
        <v>155</v>
      </c>
      <c r="Y26" s="132" t="s">
        <v>243</v>
      </c>
      <c r="Z26" s="132" t="s">
        <v>276</v>
      </c>
      <c r="AA26" s="132" t="s">
        <v>277</v>
      </c>
      <c r="AB26" s="132" t="s">
        <v>277</v>
      </c>
      <c r="AC26" s="132" t="s">
        <v>278</v>
      </c>
      <c r="AD26" s="132" t="s">
        <v>287</v>
      </c>
      <c r="AE26" s="132" t="s">
        <v>287</v>
      </c>
      <c r="AF26" s="108"/>
      <c r="AG26" s="67"/>
      <c r="AH26" s="61"/>
      <c r="AI26" s="83"/>
      <c r="AJ26" s="67"/>
      <c r="AK26" s="67"/>
      <c r="AL26" s="67"/>
      <c r="AM26" s="68"/>
      <c r="AN26" s="68"/>
      <c r="AO26" s="68"/>
    </row>
    <row r="27" spans="1:41" ht="13.5" customHeight="1">
      <c r="A27" s="80"/>
      <c r="B27" s="81" t="s">
        <v>502</v>
      </c>
      <c r="C27" s="146" t="s">
        <v>466</v>
      </c>
      <c r="D27" s="132" t="s">
        <v>269</v>
      </c>
      <c r="E27" s="132" t="s">
        <v>285</v>
      </c>
      <c r="F27" s="132" t="s">
        <v>444</v>
      </c>
      <c r="G27" s="132" t="s">
        <v>286</v>
      </c>
      <c r="H27" s="132" t="s">
        <v>271</v>
      </c>
      <c r="I27" s="132" t="s">
        <v>271</v>
      </c>
      <c r="J27" s="132" t="s">
        <v>182</v>
      </c>
      <c r="K27" s="132" t="s">
        <v>496</v>
      </c>
      <c r="L27" s="132" t="s">
        <v>497</v>
      </c>
      <c r="M27" s="132" t="s">
        <v>155</v>
      </c>
      <c r="N27" s="132" t="s">
        <v>273</v>
      </c>
      <c r="O27" s="132" t="s">
        <v>155</v>
      </c>
      <c r="P27" s="132" t="s">
        <v>182</v>
      </c>
      <c r="Q27" s="132" t="s">
        <v>155</v>
      </c>
      <c r="R27" s="132" t="s">
        <v>274</v>
      </c>
      <c r="S27" s="132" t="s">
        <v>275</v>
      </c>
      <c r="T27" s="132" t="s">
        <v>155</v>
      </c>
      <c r="U27" s="132" t="s">
        <v>155</v>
      </c>
      <c r="V27" s="132" t="s">
        <v>155</v>
      </c>
      <c r="W27" s="132" t="s">
        <v>155</v>
      </c>
      <c r="X27" s="132" t="s">
        <v>155</v>
      </c>
      <c r="Y27" s="132" t="s">
        <v>243</v>
      </c>
      <c r="Z27" s="132" t="s">
        <v>276</v>
      </c>
      <c r="AA27" s="132" t="s">
        <v>277</v>
      </c>
      <c r="AB27" s="132" t="s">
        <v>277</v>
      </c>
      <c r="AC27" s="132" t="s">
        <v>278</v>
      </c>
      <c r="AD27" s="132" t="s">
        <v>287</v>
      </c>
      <c r="AE27" s="132" t="s">
        <v>287</v>
      </c>
      <c r="AF27" s="108"/>
      <c r="AG27" s="67"/>
      <c r="AH27" s="61"/>
      <c r="AI27" s="83"/>
      <c r="AJ27" s="67"/>
      <c r="AK27" s="67"/>
      <c r="AL27" s="67"/>
      <c r="AM27" s="68"/>
      <c r="AN27" s="68"/>
      <c r="AO27" s="68"/>
    </row>
    <row r="28" spans="1:41" ht="13.5" customHeight="1">
      <c r="A28" s="80"/>
      <c r="B28" s="81" t="s">
        <v>512</v>
      </c>
      <c r="C28" s="146" t="s">
        <v>466</v>
      </c>
      <c r="D28" s="132" t="s">
        <v>510</v>
      </c>
      <c r="E28" s="132" t="s">
        <v>445</v>
      </c>
      <c r="F28" s="132" t="s">
        <v>445</v>
      </c>
      <c r="G28" s="132" t="s">
        <v>286</v>
      </c>
      <c r="H28" s="132" t="s">
        <v>446</v>
      </c>
      <c r="I28" s="224" t="s">
        <v>432</v>
      </c>
      <c r="J28" s="132" t="s">
        <v>183</v>
      </c>
      <c r="K28" s="132" t="s">
        <v>496</v>
      </c>
      <c r="L28" s="132" t="s">
        <v>497</v>
      </c>
      <c r="M28" s="132" t="s">
        <v>155</v>
      </c>
      <c r="N28" s="132" t="s">
        <v>273</v>
      </c>
      <c r="O28" s="132" t="s">
        <v>155</v>
      </c>
      <c r="P28" s="132" t="s">
        <v>182</v>
      </c>
      <c r="Q28" s="132" t="s">
        <v>155</v>
      </c>
      <c r="R28" s="132" t="s">
        <v>274</v>
      </c>
      <c r="S28" s="132" t="s">
        <v>275</v>
      </c>
      <c r="T28" s="132" t="s">
        <v>155</v>
      </c>
      <c r="U28" s="132" t="s">
        <v>155</v>
      </c>
      <c r="V28" s="132" t="s">
        <v>155</v>
      </c>
      <c r="W28" s="132" t="s">
        <v>155</v>
      </c>
      <c r="X28" s="132" t="s">
        <v>155</v>
      </c>
      <c r="Y28" s="132" t="s">
        <v>243</v>
      </c>
      <c r="Z28" s="132" t="s">
        <v>276</v>
      </c>
      <c r="AA28" s="132" t="s">
        <v>277</v>
      </c>
      <c r="AB28" s="132" t="s">
        <v>277</v>
      </c>
      <c r="AC28" s="132" t="s">
        <v>278</v>
      </c>
      <c r="AD28" s="132" t="s">
        <v>287</v>
      </c>
      <c r="AE28" s="132" t="s">
        <v>287</v>
      </c>
      <c r="AF28" s="108"/>
      <c r="AG28" s="67"/>
      <c r="AH28" s="61"/>
      <c r="AI28" s="83"/>
      <c r="AJ28" s="67"/>
      <c r="AK28" s="67"/>
      <c r="AL28" s="67"/>
      <c r="AM28" s="68"/>
      <c r="AN28" s="68"/>
      <c r="AO28" s="68"/>
    </row>
    <row r="29" spans="1:41" ht="13.5" customHeight="1">
      <c r="A29" s="77"/>
      <c r="B29" s="81" t="s">
        <v>513</v>
      </c>
      <c r="C29" s="146" t="s">
        <v>466</v>
      </c>
      <c r="D29" s="132" t="s">
        <v>269</v>
      </c>
      <c r="E29" s="132" t="s">
        <v>444</v>
      </c>
      <c r="F29" s="132" t="s">
        <v>445</v>
      </c>
      <c r="G29" s="132" t="s">
        <v>286</v>
      </c>
      <c r="H29" s="132" t="s">
        <v>446</v>
      </c>
      <c r="I29" s="224" t="s">
        <v>432</v>
      </c>
      <c r="J29" s="132" t="s">
        <v>183</v>
      </c>
      <c r="K29" s="132" t="s">
        <v>496</v>
      </c>
      <c r="L29" s="132" t="s">
        <v>497</v>
      </c>
      <c r="M29" s="132" t="s">
        <v>155</v>
      </c>
      <c r="N29" s="132" t="s">
        <v>273</v>
      </c>
      <c r="O29" s="132" t="s">
        <v>155</v>
      </c>
      <c r="P29" s="132" t="s">
        <v>182</v>
      </c>
      <c r="Q29" s="132" t="s">
        <v>155</v>
      </c>
      <c r="R29" s="132" t="s">
        <v>274</v>
      </c>
      <c r="S29" s="132" t="s">
        <v>275</v>
      </c>
      <c r="T29" s="132" t="s">
        <v>155</v>
      </c>
      <c r="U29" s="132" t="s">
        <v>155</v>
      </c>
      <c r="V29" s="132" t="s">
        <v>155</v>
      </c>
      <c r="W29" s="132" t="s">
        <v>155</v>
      </c>
      <c r="X29" s="132" t="s">
        <v>155</v>
      </c>
      <c r="Y29" s="132" t="s">
        <v>243</v>
      </c>
      <c r="Z29" s="132" t="s">
        <v>276</v>
      </c>
      <c r="AA29" s="132" t="s">
        <v>277</v>
      </c>
      <c r="AB29" s="132" t="s">
        <v>277</v>
      </c>
      <c r="AC29" s="132" t="s">
        <v>278</v>
      </c>
      <c r="AD29" s="132" t="s">
        <v>287</v>
      </c>
      <c r="AE29" s="132" t="s">
        <v>287</v>
      </c>
      <c r="AF29" s="108"/>
      <c r="AG29" s="67"/>
      <c r="AH29" s="67"/>
      <c r="AI29" s="83"/>
      <c r="AJ29" s="67"/>
      <c r="AK29" s="83"/>
      <c r="AL29" s="67"/>
      <c r="AM29" s="68"/>
      <c r="AN29" s="68"/>
      <c r="AO29" s="68"/>
    </row>
    <row r="30" spans="1:41" ht="13.5" customHeight="1">
      <c r="A30" s="77"/>
      <c r="B30" s="81" t="s">
        <v>514</v>
      </c>
      <c r="C30" s="146" t="s">
        <v>466</v>
      </c>
      <c r="D30" s="132" t="s">
        <v>269</v>
      </c>
      <c r="E30" s="132" t="s">
        <v>444</v>
      </c>
      <c r="F30" s="132" t="s">
        <v>285</v>
      </c>
      <c r="G30" s="132" t="s">
        <v>286</v>
      </c>
      <c r="H30" s="132" t="s">
        <v>271</v>
      </c>
      <c r="I30" s="132" t="s">
        <v>271</v>
      </c>
      <c r="J30" s="132" t="s">
        <v>182</v>
      </c>
      <c r="K30" s="132" t="s">
        <v>496</v>
      </c>
      <c r="L30" s="132" t="s">
        <v>497</v>
      </c>
      <c r="M30" s="132" t="s">
        <v>155</v>
      </c>
      <c r="N30" s="132" t="s">
        <v>273</v>
      </c>
      <c r="O30" s="132" t="s">
        <v>155</v>
      </c>
      <c r="P30" s="132" t="s">
        <v>182</v>
      </c>
      <c r="Q30" s="132" t="s">
        <v>155</v>
      </c>
      <c r="R30" s="132" t="s">
        <v>274</v>
      </c>
      <c r="S30" s="132" t="s">
        <v>275</v>
      </c>
      <c r="T30" s="132" t="s">
        <v>155</v>
      </c>
      <c r="U30" s="132" t="s">
        <v>155</v>
      </c>
      <c r="V30" s="132" t="s">
        <v>155</v>
      </c>
      <c r="W30" s="132" t="s">
        <v>155</v>
      </c>
      <c r="X30" s="132" t="s">
        <v>155</v>
      </c>
      <c r="Y30" s="132" t="s">
        <v>243</v>
      </c>
      <c r="Z30" s="132" t="s">
        <v>276</v>
      </c>
      <c r="AA30" s="132" t="s">
        <v>277</v>
      </c>
      <c r="AB30" s="132" t="s">
        <v>277</v>
      </c>
      <c r="AC30" s="132" t="s">
        <v>278</v>
      </c>
      <c r="AD30" s="132" t="s">
        <v>287</v>
      </c>
      <c r="AE30" s="132" t="s">
        <v>287</v>
      </c>
      <c r="AF30" s="108"/>
      <c r="AG30" s="67"/>
      <c r="AH30" s="67"/>
      <c r="AI30" s="83"/>
      <c r="AJ30" s="67"/>
      <c r="AK30" s="83"/>
      <c r="AL30" s="67"/>
      <c r="AM30" s="68"/>
      <c r="AN30" s="68"/>
      <c r="AO30" s="68"/>
    </row>
    <row r="31" spans="1:41" ht="12.75" customHeight="1">
      <c r="A31" s="86"/>
      <c r="B31" s="81" t="s">
        <v>535</v>
      </c>
      <c r="C31" s="82" t="s">
        <v>168</v>
      </c>
      <c r="D31" s="132" t="s">
        <v>269</v>
      </c>
      <c r="E31" s="132" t="s">
        <v>533</v>
      </c>
      <c r="F31" s="132" t="s">
        <v>285</v>
      </c>
      <c r="G31" s="132" t="s">
        <v>286</v>
      </c>
      <c r="H31" s="132" t="s">
        <v>534</v>
      </c>
      <c r="I31" s="224" t="s">
        <v>432</v>
      </c>
      <c r="J31" s="132" t="s">
        <v>183</v>
      </c>
      <c r="K31" s="132" t="s">
        <v>496</v>
      </c>
      <c r="L31" s="132" t="s">
        <v>497</v>
      </c>
      <c r="M31" s="132" t="s">
        <v>155</v>
      </c>
      <c r="N31" s="132" t="s">
        <v>273</v>
      </c>
      <c r="O31" s="132" t="s">
        <v>155</v>
      </c>
      <c r="P31" s="132" t="s">
        <v>182</v>
      </c>
      <c r="Q31" s="132" t="s">
        <v>155</v>
      </c>
      <c r="R31" s="132" t="s">
        <v>274</v>
      </c>
      <c r="S31" s="132" t="s">
        <v>275</v>
      </c>
      <c r="T31" s="132" t="s">
        <v>155</v>
      </c>
      <c r="U31" s="132" t="s">
        <v>155</v>
      </c>
      <c r="V31" s="132" t="s">
        <v>155</v>
      </c>
      <c r="W31" s="132" t="s">
        <v>155</v>
      </c>
      <c r="X31" s="132" t="s">
        <v>155</v>
      </c>
      <c r="Y31" s="132" t="s">
        <v>243</v>
      </c>
      <c r="Z31" s="132" t="s">
        <v>276</v>
      </c>
      <c r="AA31" s="132" t="s">
        <v>277</v>
      </c>
      <c r="AB31" s="132" t="s">
        <v>277</v>
      </c>
      <c r="AC31" s="132" t="s">
        <v>278</v>
      </c>
      <c r="AD31" s="132" t="s">
        <v>287</v>
      </c>
      <c r="AE31" s="132" t="s">
        <v>287</v>
      </c>
      <c r="AF31" s="108"/>
      <c r="AG31" s="67"/>
      <c r="AH31" s="67"/>
      <c r="AI31" s="83"/>
      <c r="AJ31" s="67"/>
      <c r="AK31" s="83"/>
      <c r="AL31" s="67"/>
      <c r="AM31" s="68"/>
      <c r="AN31" s="68"/>
      <c r="AO31" s="68"/>
    </row>
    <row r="32" spans="1:41" ht="13.5" customHeight="1">
      <c r="A32" s="86"/>
      <c r="B32" s="177" t="s">
        <v>562</v>
      </c>
      <c r="C32" s="82" t="s">
        <v>168</v>
      </c>
      <c r="D32" s="132" t="s">
        <v>269</v>
      </c>
      <c r="E32" s="132" t="s">
        <v>270</v>
      </c>
      <c r="F32" s="132" t="s">
        <v>444</v>
      </c>
      <c r="G32" s="132" t="s">
        <v>243</v>
      </c>
      <c r="H32" s="132" t="s">
        <v>271</v>
      </c>
      <c r="I32" s="132" t="s">
        <v>271</v>
      </c>
      <c r="J32" s="132" t="s">
        <v>183</v>
      </c>
      <c r="K32" s="132" t="s">
        <v>541</v>
      </c>
      <c r="L32" s="132" t="s">
        <v>497</v>
      </c>
      <c r="M32" s="132" t="s">
        <v>280</v>
      </c>
      <c r="N32" s="132" t="s">
        <v>273</v>
      </c>
      <c r="O32" s="132"/>
      <c r="P32" s="132" t="s">
        <v>243</v>
      </c>
      <c r="Q32" s="132" t="s">
        <v>155</v>
      </c>
      <c r="R32" s="132" t="s">
        <v>183</v>
      </c>
      <c r="S32" s="132" t="s">
        <v>281</v>
      </c>
      <c r="T32" s="132"/>
      <c r="U32" s="132" t="s">
        <v>155</v>
      </c>
      <c r="V32" s="132" t="s">
        <v>155</v>
      </c>
      <c r="W32" s="132" t="s">
        <v>155</v>
      </c>
      <c r="X32" s="132"/>
      <c r="Y32" s="132" t="s">
        <v>243</v>
      </c>
      <c r="Z32" s="132" t="s">
        <v>282</v>
      </c>
      <c r="AA32" s="132" t="s">
        <v>283</v>
      </c>
      <c r="AB32" s="132">
        <v>470195</v>
      </c>
      <c r="AC32" s="132" t="s">
        <v>282</v>
      </c>
      <c r="AD32" s="132">
        <v>470195</v>
      </c>
      <c r="AE32" s="132" t="s">
        <v>283</v>
      </c>
      <c r="AF32" s="108"/>
      <c r="AG32" s="67"/>
      <c r="AH32" s="67"/>
      <c r="AI32" s="83"/>
      <c r="AJ32" s="67"/>
      <c r="AK32" s="83"/>
      <c r="AL32" s="67"/>
      <c r="AM32" s="68"/>
      <c r="AN32" s="68"/>
      <c r="AO32" s="68"/>
    </row>
    <row r="33" spans="1:59" ht="13.5" customHeight="1">
      <c r="A33" s="86"/>
      <c r="B33" s="81" t="s">
        <v>600</v>
      </c>
      <c r="C33" s="82" t="s">
        <v>168</v>
      </c>
      <c r="D33" s="132" t="s">
        <v>269</v>
      </c>
      <c r="E33" s="132" t="s">
        <v>599</v>
      </c>
      <c r="F33" s="132" t="s">
        <v>285</v>
      </c>
      <c r="G33" s="132" t="s">
        <v>182</v>
      </c>
      <c r="H33" s="132" t="s">
        <v>182</v>
      </c>
      <c r="I33" s="225" t="s">
        <v>432</v>
      </c>
      <c r="J33" s="132" t="s">
        <v>183</v>
      </c>
      <c r="K33" s="132" t="s">
        <v>496</v>
      </c>
      <c r="L33" s="132" t="s">
        <v>497</v>
      </c>
      <c r="M33" s="132" t="s">
        <v>155</v>
      </c>
      <c r="N33" s="132" t="s">
        <v>273</v>
      </c>
      <c r="O33" s="132" t="s">
        <v>155</v>
      </c>
      <c r="P33" s="132" t="s">
        <v>182</v>
      </c>
      <c r="Q33" s="132" t="s">
        <v>155</v>
      </c>
      <c r="R33" s="132" t="s">
        <v>274</v>
      </c>
      <c r="S33" s="132" t="s">
        <v>275</v>
      </c>
      <c r="T33" s="132" t="s">
        <v>155</v>
      </c>
      <c r="U33" s="132" t="s">
        <v>155</v>
      </c>
      <c r="V33" s="132" t="s">
        <v>155</v>
      </c>
      <c r="W33" s="132" t="s">
        <v>155</v>
      </c>
      <c r="X33" s="132" t="s">
        <v>155</v>
      </c>
      <c r="Y33" s="132" t="s">
        <v>243</v>
      </c>
      <c r="Z33" s="132" t="s">
        <v>276</v>
      </c>
      <c r="AA33" s="132" t="s">
        <v>277</v>
      </c>
      <c r="AB33" s="132" t="s">
        <v>277</v>
      </c>
      <c r="AC33" s="132" t="s">
        <v>278</v>
      </c>
      <c r="AD33" s="132" t="s">
        <v>287</v>
      </c>
      <c r="AE33" s="132" t="s">
        <v>287</v>
      </c>
      <c r="AF33" s="108"/>
      <c r="AG33" s="67"/>
      <c r="AH33" s="67"/>
      <c r="AI33" s="83"/>
      <c r="AJ33" s="67"/>
      <c r="AK33" s="67"/>
      <c r="AL33" s="67"/>
      <c r="AM33" s="68"/>
      <c r="AN33" s="68"/>
      <c r="AO33" s="68"/>
    </row>
    <row r="34" spans="1:59" ht="13.5" customHeight="1">
      <c r="A34" s="86"/>
      <c r="B34" s="81" t="s">
        <v>606</v>
      </c>
      <c r="C34" s="82" t="s">
        <v>168</v>
      </c>
      <c r="D34" s="132" t="s">
        <v>269</v>
      </c>
      <c r="E34" s="132" t="s">
        <v>605</v>
      </c>
      <c r="F34" s="132" t="s">
        <v>285</v>
      </c>
      <c r="G34" s="132" t="s">
        <v>182</v>
      </c>
      <c r="H34" s="132" t="s">
        <v>534</v>
      </c>
      <c r="I34" s="224" t="s">
        <v>432</v>
      </c>
      <c r="J34" s="132" t="s">
        <v>183</v>
      </c>
      <c r="K34" s="132" t="s">
        <v>496</v>
      </c>
      <c r="L34" s="132" t="s">
        <v>497</v>
      </c>
      <c r="M34" s="132" t="s">
        <v>155</v>
      </c>
      <c r="N34" s="132" t="s">
        <v>273</v>
      </c>
      <c r="O34" s="132" t="s">
        <v>155</v>
      </c>
      <c r="P34" s="132" t="s">
        <v>182</v>
      </c>
      <c r="Q34" s="132" t="s">
        <v>155</v>
      </c>
      <c r="R34" s="132" t="s">
        <v>274</v>
      </c>
      <c r="S34" s="132" t="s">
        <v>275</v>
      </c>
      <c r="T34" s="132" t="s">
        <v>155</v>
      </c>
      <c r="U34" s="132" t="s">
        <v>155</v>
      </c>
      <c r="V34" s="132" t="s">
        <v>155</v>
      </c>
      <c r="W34" s="132" t="s">
        <v>155</v>
      </c>
      <c r="X34" s="132" t="s">
        <v>155</v>
      </c>
      <c r="Y34" s="132" t="s">
        <v>243</v>
      </c>
      <c r="Z34" s="132" t="s">
        <v>276</v>
      </c>
      <c r="AA34" s="132" t="s">
        <v>277</v>
      </c>
      <c r="AB34" s="132" t="s">
        <v>277</v>
      </c>
      <c r="AC34" s="132" t="s">
        <v>278</v>
      </c>
      <c r="AD34" s="132" t="s">
        <v>287</v>
      </c>
      <c r="AE34" s="132" t="s">
        <v>287</v>
      </c>
      <c r="AF34" s="108"/>
      <c r="AG34" s="67"/>
      <c r="AH34" s="67"/>
      <c r="AI34" s="83"/>
      <c r="AJ34" s="67"/>
      <c r="AK34" s="67"/>
      <c r="AL34" s="67"/>
      <c r="AM34" s="68"/>
      <c r="AN34" s="68"/>
      <c r="AO34" s="68"/>
    </row>
    <row r="35" spans="1:59" ht="13.5" customHeight="1">
      <c r="A35" s="77"/>
      <c r="B35" s="81"/>
      <c r="C35" s="82"/>
      <c r="D35" s="112"/>
      <c r="E35" s="114"/>
      <c r="F35" s="112"/>
      <c r="G35" s="112"/>
      <c r="H35" s="113"/>
      <c r="I35" s="112"/>
      <c r="J35" s="112"/>
      <c r="K35" s="112"/>
      <c r="L35" s="112"/>
      <c r="M35" s="112"/>
      <c r="N35" s="112"/>
      <c r="O35" s="112"/>
      <c r="P35" s="114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08"/>
      <c r="AC35" s="115"/>
      <c r="AD35" s="108"/>
      <c r="AE35" s="115"/>
      <c r="AF35" s="108"/>
      <c r="AG35" s="67"/>
      <c r="AH35" s="67"/>
      <c r="AI35" s="83"/>
      <c r="AJ35" s="67"/>
      <c r="AK35" s="83"/>
      <c r="AL35" s="67"/>
      <c r="AM35" s="68"/>
      <c r="AN35" s="68"/>
      <c r="AO35" s="68"/>
    </row>
    <row r="36" spans="1:59" ht="13.5" customHeight="1">
      <c r="A36" s="77"/>
      <c r="B36" s="81"/>
      <c r="C36" s="82"/>
      <c r="D36" s="112"/>
      <c r="E36" s="114"/>
      <c r="F36" s="112"/>
      <c r="G36" s="112"/>
      <c r="H36" s="113"/>
      <c r="I36" s="112"/>
      <c r="J36" s="112"/>
      <c r="K36" s="112"/>
      <c r="L36" s="112"/>
      <c r="M36" s="112"/>
      <c r="N36" s="112"/>
      <c r="O36" s="112"/>
      <c r="P36" s="114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08"/>
      <c r="AC36" s="115"/>
      <c r="AD36" s="108"/>
      <c r="AE36" s="115"/>
      <c r="AF36" s="108"/>
      <c r="AG36" s="67"/>
      <c r="AH36" s="67"/>
      <c r="AI36" s="83"/>
      <c r="AJ36" s="67"/>
      <c r="AK36" s="83"/>
      <c r="AL36" s="67"/>
      <c r="AM36" s="68"/>
      <c r="AN36" s="68"/>
      <c r="AO36" s="68"/>
    </row>
    <row r="37" spans="1:59">
      <c r="B37" s="64"/>
      <c r="C37" s="79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87"/>
      <c r="U37" s="87"/>
      <c r="V37" s="87"/>
      <c r="W37" s="88"/>
      <c r="X37" s="87"/>
      <c r="Y37" s="87"/>
      <c r="Z37" s="68"/>
      <c r="AA37" s="68"/>
      <c r="AB37" s="68"/>
      <c r="AC37" s="68"/>
      <c r="AD37" s="68"/>
      <c r="AE37" s="68"/>
      <c r="AF37" s="68"/>
      <c r="AG37" s="67"/>
      <c r="AH37" s="67"/>
      <c r="AI37" s="67"/>
      <c r="AJ37" s="67"/>
      <c r="AK37" s="67"/>
      <c r="AL37" s="67"/>
      <c r="AM37" s="68"/>
      <c r="AN37" s="68"/>
      <c r="AO37" s="68"/>
    </row>
    <row r="38" spans="1:59">
      <c r="B38" s="64"/>
      <c r="C38" s="79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87"/>
      <c r="U38" s="87"/>
      <c r="V38" s="87"/>
      <c r="W38" s="89"/>
      <c r="X38" s="87"/>
      <c r="Y38" s="87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</row>
    <row r="39" spans="1:59" ht="19.5" customHeight="1">
      <c r="B39" s="64"/>
      <c r="C39" s="65"/>
      <c r="D39" s="257" t="s">
        <v>563</v>
      </c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90"/>
      <c r="U39" s="90"/>
      <c r="V39" s="90"/>
      <c r="W39" s="90"/>
      <c r="X39" s="90"/>
      <c r="Y39" s="90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</row>
    <row r="40" spans="1:59" s="70" customFormat="1" ht="16.5" customHeight="1">
      <c r="A40" s="261" t="s">
        <v>167</v>
      </c>
      <c r="B40" s="261"/>
      <c r="C40" s="262"/>
      <c r="D40" s="127"/>
      <c r="E40" s="127"/>
      <c r="F40" s="127"/>
      <c r="G40" s="129"/>
      <c r="H40" s="129"/>
      <c r="I40" s="124" t="s">
        <v>168</v>
      </c>
      <c r="J40" s="124" t="s">
        <v>168</v>
      </c>
      <c r="K40" s="129" t="s">
        <v>168</v>
      </c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24" t="s">
        <v>168</v>
      </c>
      <c r="AM40" s="130"/>
      <c r="AN40" s="130"/>
      <c r="AO40" s="130"/>
      <c r="AP40" s="130"/>
      <c r="AQ40" s="130"/>
      <c r="AR40" s="130"/>
      <c r="AS40" s="124" t="s">
        <v>168</v>
      </c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</row>
    <row r="41" spans="1:59" s="76" customFormat="1" ht="86" customHeight="1">
      <c r="B41" s="72" t="s">
        <v>169</v>
      </c>
      <c r="C41" s="93" t="s">
        <v>170</v>
      </c>
      <c r="D41" s="117" t="s">
        <v>365</v>
      </c>
      <c r="E41" s="117" t="s">
        <v>420</v>
      </c>
      <c r="F41" s="117" t="s">
        <v>421</v>
      </c>
      <c r="G41" s="119" t="s">
        <v>67</v>
      </c>
      <c r="H41" s="119" t="s">
        <v>288</v>
      </c>
      <c r="I41" s="119" t="s">
        <v>96</v>
      </c>
      <c r="J41" s="119" t="s">
        <v>614</v>
      </c>
      <c r="K41" s="119" t="s">
        <v>615</v>
      </c>
      <c r="L41" s="119" t="s">
        <v>366</v>
      </c>
      <c r="M41" s="119" t="s">
        <v>367</v>
      </c>
      <c r="N41" s="119" t="s">
        <v>368</v>
      </c>
      <c r="O41" s="119" t="s">
        <v>369</v>
      </c>
      <c r="P41" s="119" t="s">
        <v>370</v>
      </c>
      <c r="Q41" s="119" t="s">
        <v>371</v>
      </c>
      <c r="R41" s="119" t="s">
        <v>372</v>
      </c>
      <c r="S41" s="119" t="s">
        <v>373</v>
      </c>
      <c r="T41" s="119" t="s">
        <v>374</v>
      </c>
      <c r="U41" s="119" t="s">
        <v>375</v>
      </c>
      <c r="V41" s="119" t="s">
        <v>376</v>
      </c>
      <c r="W41" s="119" t="s">
        <v>377</v>
      </c>
      <c r="X41" s="119" t="s">
        <v>378</v>
      </c>
      <c r="Y41" s="119" t="s">
        <v>379</v>
      </c>
      <c r="Z41" s="119" t="s">
        <v>380</v>
      </c>
      <c r="AA41" s="119" t="s">
        <v>381</v>
      </c>
      <c r="AB41" s="119" t="s">
        <v>382</v>
      </c>
      <c r="AC41" s="119" t="s">
        <v>383</v>
      </c>
      <c r="AD41" s="119" t="s">
        <v>384</v>
      </c>
      <c r="AE41" s="119" t="s">
        <v>385</v>
      </c>
      <c r="AF41" s="119" t="s">
        <v>386</v>
      </c>
      <c r="AG41" s="119" t="s">
        <v>387</v>
      </c>
      <c r="AH41" s="119" t="s">
        <v>388</v>
      </c>
      <c r="AI41" s="119" t="s">
        <v>390</v>
      </c>
      <c r="AJ41" s="119" t="s">
        <v>389</v>
      </c>
      <c r="AK41" s="119" t="s">
        <v>398</v>
      </c>
      <c r="AL41" s="119" t="s">
        <v>391</v>
      </c>
      <c r="AM41" s="119" t="s">
        <v>392</v>
      </c>
      <c r="AN41" s="119" t="s">
        <v>393</v>
      </c>
      <c r="AO41" s="119" t="s">
        <v>394</v>
      </c>
      <c r="AP41" s="119" t="s">
        <v>395</v>
      </c>
      <c r="AQ41" s="119" t="s">
        <v>399</v>
      </c>
      <c r="AR41" s="119" t="s">
        <v>396</v>
      </c>
      <c r="AS41" s="119" t="s">
        <v>616</v>
      </c>
      <c r="AT41" s="119" t="s">
        <v>397</v>
      </c>
      <c r="AU41" s="119" t="s">
        <v>400</v>
      </c>
      <c r="AV41" s="119" t="s">
        <v>401</v>
      </c>
      <c r="AW41" s="119" t="s">
        <v>402</v>
      </c>
      <c r="AX41" s="119" t="s">
        <v>403</v>
      </c>
      <c r="AY41" s="119" t="s">
        <v>404</v>
      </c>
      <c r="AZ41" s="119" t="s">
        <v>405</v>
      </c>
      <c r="BA41" s="119" t="s">
        <v>229</v>
      </c>
      <c r="BB41" s="119" t="s">
        <v>230</v>
      </c>
      <c r="BC41" s="119" t="s">
        <v>231</v>
      </c>
      <c r="BD41" s="119" t="s">
        <v>232</v>
      </c>
      <c r="BE41" s="119" t="s">
        <v>150</v>
      </c>
      <c r="BF41" s="119" t="s">
        <v>151</v>
      </c>
      <c r="BG41" s="119" t="s">
        <v>233</v>
      </c>
    </row>
    <row r="42" spans="1:59" s="76" customFormat="1" ht="12.5">
      <c r="B42" s="72"/>
      <c r="C42" s="128"/>
      <c r="D42" s="117" t="s">
        <v>205</v>
      </c>
      <c r="E42" s="117" t="s">
        <v>214</v>
      </c>
      <c r="F42" s="117" t="s">
        <v>222</v>
      </c>
      <c r="G42" s="118" t="s">
        <v>251</v>
      </c>
      <c r="H42" s="118" t="s">
        <v>252</v>
      </c>
      <c r="I42" s="118" t="s">
        <v>322</v>
      </c>
      <c r="J42" s="118" t="s">
        <v>323</v>
      </c>
      <c r="K42" s="118" t="s">
        <v>324</v>
      </c>
      <c r="L42" s="118" t="s">
        <v>325</v>
      </c>
      <c r="M42" s="118" t="s">
        <v>326</v>
      </c>
      <c r="N42" s="118" t="s">
        <v>327</v>
      </c>
      <c r="O42" s="118" t="s">
        <v>328</v>
      </c>
      <c r="P42" s="118" t="s">
        <v>329</v>
      </c>
      <c r="Q42" s="118" t="s">
        <v>330</v>
      </c>
      <c r="R42" s="118" t="s">
        <v>331</v>
      </c>
      <c r="S42" s="118" t="s">
        <v>332</v>
      </c>
      <c r="T42" s="118" t="s">
        <v>333</v>
      </c>
      <c r="U42" s="118" t="s">
        <v>334</v>
      </c>
      <c r="V42" s="118" t="s">
        <v>335</v>
      </c>
      <c r="W42" s="118" t="s">
        <v>336</v>
      </c>
      <c r="X42" s="118" t="s">
        <v>337</v>
      </c>
      <c r="Y42" s="118" t="s">
        <v>338</v>
      </c>
      <c r="Z42" s="118" t="s">
        <v>339</v>
      </c>
      <c r="AA42" s="118" t="s">
        <v>340</v>
      </c>
      <c r="AB42" s="118" t="s">
        <v>341</v>
      </c>
      <c r="AC42" s="118" t="s">
        <v>342</v>
      </c>
      <c r="AD42" s="118" t="s">
        <v>343</v>
      </c>
      <c r="AE42" s="118" t="s">
        <v>344</v>
      </c>
      <c r="AF42" s="118" t="s">
        <v>345</v>
      </c>
      <c r="AG42" s="118" t="s">
        <v>346</v>
      </c>
      <c r="AH42" s="118" t="s">
        <v>347</v>
      </c>
      <c r="AI42" s="118" t="s">
        <v>348</v>
      </c>
      <c r="AJ42" s="118" t="s">
        <v>349</v>
      </c>
      <c r="AK42" s="118" t="s">
        <v>350</v>
      </c>
      <c r="AL42" s="118" t="s">
        <v>351</v>
      </c>
      <c r="AM42" s="118" t="s">
        <v>352</v>
      </c>
      <c r="AN42" s="118" t="s">
        <v>353</v>
      </c>
      <c r="AO42" s="118" t="s">
        <v>354</v>
      </c>
      <c r="AP42" s="118" t="s">
        <v>234</v>
      </c>
      <c r="AQ42" s="118" t="s">
        <v>355</v>
      </c>
      <c r="AR42" s="118" t="s">
        <v>356</v>
      </c>
      <c r="AS42" s="118" t="s">
        <v>357</v>
      </c>
      <c r="AT42" s="118" t="s">
        <v>358</v>
      </c>
      <c r="AU42" s="118" t="s">
        <v>359</v>
      </c>
      <c r="AV42" s="118" t="s">
        <v>360</v>
      </c>
      <c r="AW42" s="118" t="s">
        <v>361</v>
      </c>
      <c r="AX42" s="118" t="s">
        <v>362</v>
      </c>
      <c r="AY42" s="118" t="s">
        <v>363</v>
      </c>
      <c r="AZ42" s="118" t="s">
        <v>364</v>
      </c>
      <c r="BA42" s="118" t="s">
        <v>235</v>
      </c>
      <c r="BB42" s="118" t="s">
        <v>236</v>
      </c>
      <c r="BC42" s="118" t="s">
        <v>237</v>
      </c>
      <c r="BD42" s="118" t="s">
        <v>238</v>
      </c>
      <c r="BE42" s="118" t="s">
        <v>239</v>
      </c>
      <c r="BF42" s="118" t="s">
        <v>240</v>
      </c>
      <c r="BG42" s="118" t="s">
        <v>241</v>
      </c>
    </row>
    <row r="43" spans="1:59" s="68" customFormat="1" ht="13.5" customHeight="1">
      <c r="B43" s="78"/>
      <c r="C43" s="79"/>
      <c r="D43" s="117" t="s">
        <v>304</v>
      </c>
      <c r="E43" s="117" t="s">
        <v>406</v>
      </c>
      <c r="F43" s="117" t="s">
        <v>305</v>
      </c>
      <c r="G43" s="131" t="s">
        <v>306</v>
      </c>
      <c r="H43" s="131" t="s">
        <v>306</v>
      </c>
      <c r="I43" s="131" t="s">
        <v>306</v>
      </c>
      <c r="J43" s="131" t="s">
        <v>306</v>
      </c>
      <c r="K43" s="131" t="s">
        <v>306</v>
      </c>
      <c r="L43" s="131" t="s">
        <v>407</v>
      </c>
      <c r="M43" s="131" t="s">
        <v>407</v>
      </c>
      <c r="N43" s="131" t="s">
        <v>305</v>
      </c>
      <c r="O43" s="131" t="s">
        <v>408</v>
      </c>
      <c r="P43" s="131" t="s">
        <v>306</v>
      </c>
      <c r="Q43" s="131" t="s">
        <v>313</v>
      </c>
      <c r="R43" s="131" t="s">
        <v>308</v>
      </c>
      <c r="S43" s="131" t="s">
        <v>313</v>
      </c>
      <c r="T43" s="131" t="s">
        <v>308</v>
      </c>
      <c r="U43" s="131" t="s">
        <v>308</v>
      </c>
      <c r="V43" s="131" t="s">
        <v>306</v>
      </c>
      <c r="W43" s="131" t="s">
        <v>409</v>
      </c>
      <c r="X43" s="131" t="s">
        <v>409</v>
      </c>
      <c r="Y43" s="131" t="s">
        <v>310</v>
      </c>
      <c r="Z43" s="131" t="s">
        <v>408</v>
      </c>
      <c r="AA43" s="131" t="s">
        <v>408</v>
      </c>
      <c r="AB43" s="131" t="s">
        <v>308</v>
      </c>
      <c r="AC43" s="131" t="s">
        <v>312</v>
      </c>
      <c r="AD43" s="131" t="s">
        <v>313</v>
      </c>
      <c r="AE43" s="131" t="s">
        <v>313</v>
      </c>
      <c r="AF43" s="131" t="s">
        <v>410</v>
      </c>
      <c r="AG43" s="131" t="s">
        <v>410</v>
      </c>
      <c r="AH43" s="131" t="s">
        <v>313</v>
      </c>
      <c r="AI43" s="131" t="s">
        <v>313</v>
      </c>
      <c r="AJ43" s="131" t="s">
        <v>410</v>
      </c>
      <c r="AK43" s="131" t="s">
        <v>410</v>
      </c>
      <c r="AL43" s="131" t="s">
        <v>306</v>
      </c>
      <c r="AM43" s="131" t="s">
        <v>306</v>
      </c>
      <c r="AN43" s="131" t="s">
        <v>306</v>
      </c>
      <c r="AO43" s="131" t="s">
        <v>306</v>
      </c>
      <c r="AP43" s="131" t="s">
        <v>310</v>
      </c>
      <c r="AQ43" s="131" t="s">
        <v>305</v>
      </c>
      <c r="AR43" s="131" t="s">
        <v>306</v>
      </c>
      <c r="AS43" s="131" t="s">
        <v>308</v>
      </c>
      <c r="AT43" s="131" t="s">
        <v>308</v>
      </c>
      <c r="AU43" s="131" t="s">
        <v>306</v>
      </c>
      <c r="AV43" s="131" t="s">
        <v>411</v>
      </c>
      <c r="AW43" s="131" t="s">
        <v>313</v>
      </c>
      <c r="AX43" s="131" t="s">
        <v>310</v>
      </c>
      <c r="AY43" s="131" t="s">
        <v>306</v>
      </c>
      <c r="AZ43" s="131" t="s">
        <v>306</v>
      </c>
      <c r="BA43" s="131" t="s">
        <v>317</v>
      </c>
      <c r="BB43" s="131" t="s">
        <v>318</v>
      </c>
      <c r="BC43" s="131" t="s">
        <v>320</v>
      </c>
      <c r="BD43" s="131" t="s">
        <v>320</v>
      </c>
      <c r="BE43" s="131" t="s">
        <v>318</v>
      </c>
      <c r="BF43" s="131" t="s">
        <v>320</v>
      </c>
      <c r="BG43" s="131" t="s">
        <v>320</v>
      </c>
    </row>
    <row r="44" spans="1:59" ht="13.5" customHeight="1">
      <c r="B44" s="81" t="s">
        <v>179</v>
      </c>
      <c r="C44" s="82" t="s">
        <v>168</v>
      </c>
      <c r="D44" s="132" t="s">
        <v>269</v>
      </c>
      <c r="E44" s="132" t="s">
        <v>270</v>
      </c>
      <c r="F44" s="132" t="s">
        <v>270</v>
      </c>
      <c r="G44" s="132" t="s">
        <v>271</v>
      </c>
      <c r="H44" s="132" t="s">
        <v>271</v>
      </c>
      <c r="I44" s="133" t="s">
        <v>286</v>
      </c>
      <c r="J44" s="132" t="s">
        <v>243</v>
      </c>
      <c r="K44" s="132" t="s">
        <v>243</v>
      </c>
      <c r="L44" s="132" t="s">
        <v>155</v>
      </c>
      <c r="M44" s="132" t="s">
        <v>155</v>
      </c>
      <c r="N44" s="132" t="s">
        <v>155</v>
      </c>
      <c r="O44" s="132" t="s">
        <v>155</v>
      </c>
      <c r="P44" s="134" t="s">
        <v>412</v>
      </c>
      <c r="Q44" s="132" t="s">
        <v>243</v>
      </c>
      <c r="R44" s="132" t="s">
        <v>243</v>
      </c>
      <c r="S44" s="132" t="s">
        <v>413</v>
      </c>
      <c r="T44" s="132" t="s">
        <v>414</v>
      </c>
      <c r="U44" s="132" t="s">
        <v>182</v>
      </c>
      <c r="V44" s="132" t="s">
        <v>182</v>
      </c>
      <c r="W44" s="132" t="s">
        <v>243</v>
      </c>
      <c r="X44" s="132" t="s">
        <v>243</v>
      </c>
      <c r="Y44" s="132"/>
      <c r="Z44" s="135"/>
      <c r="AA44" s="135" t="s">
        <v>155</v>
      </c>
      <c r="AB44" s="135">
        <v>1</v>
      </c>
      <c r="AC44" s="135">
        <v>99999999</v>
      </c>
      <c r="AD44" s="132" t="s">
        <v>243</v>
      </c>
      <c r="AE44" s="132" t="s">
        <v>243</v>
      </c>
      <c r="AF44" s="132" t="s">
        <v>243</v>
      </c>
      <c r="AG44" s="132" t="s">
        <v>243</v>
      </c>
      <c r="AH44" s="135">
        <v>0</v>
      </c>
      <c r="AI44" s="135">
        <v>0</v>
      </c>
      <c r="AJ44" s="135">
        <v>0</v>
      </c>
      <c r="AK44" s="135">
        <v>0</v>
      </c>
      <c r="AL44" s="135">
        <v>1</v>
      </c>
      <c r="AM44" s="132" t="s">
        <v>182</v>
      </c>
      <c r="AN44" s="135">
        <v>0</v>
      </c>
      <c r="AO44" s="132" t="s">
        <v>243</v>
      </c>
      <c r="AP44" s="135">
        <v>1</v>
      </c>
      <c r="AQ44" s="136" t="s">
        <v>155</v>
      </c>
      <c r="AR44" s="136" t="s">
        <v>415</v>
      </c>
      <c r="AS44" s="136">
        <v>0</v>
      </c>
      <c r="AT44" s="136">
        <v>0</v>
      </c>
      <c r="AU44" s="136">
        <v>1</v>
      </c>
      <c r="AV44" s="136">
        <v>0</v>
      </c>
      <c r="AW44" s="136">
        <v>0</v>
      </c>
      <c r="AX44" s="136">
        <v>0</v>
      </c>
      <c r="AY44" s="136">
        <v>0</v>
      </c>
      <c r="AZ44" s="136">
        <v>1</v>
      </c>
      <c r="BA44" s="136">
        <v>0</v>
      </c>
      <c r="BB44" s="137">
        <v>29705</v>
      </c>
      <c r="BC44" s="136" t="s">
        <v>277</v>
      </c>
      <c r="BD44" s="136" t="s">
        <v>277</v>
      </c>
      <c r="BE44" s="137">
        <v>36413</v>
      </c>
      <c r="BF44" s="136" t="s">
        <v>277</v>
      </c>
      <c r="BG44" s="136" t="s">
        <v>277</v>
      </c>
    </row>
    <row r="45" spans="1:59" ht="13.5" customHeight="1">
      <c r="B45" s="81" t="s">
        <v>174</v>
      </c>
      <c r="C45" s="82" t="s">
        <v>168</v>
      </c>
      <c r="D45" s="132" t="s">
        <v>269</v>
      </c>
      <c r="E45" s="132" t="s">
        <v>270</v>
      </c>
      <c r="F45" s="132" t="s">
        <v>181</v>
      </c>
      <c r="G45" s="132" t="s">
        <v>271</v>
      </c>
      <c r="H45" s="132" t="s">
        <v>271</v>
      </c>
      <c r="I45" s="133" t="s">
        <v>184</v>
      </c>
      <c r="J45" s="132" t="s">
        <v>243</v>
      </c>
      <c r="K45" s="132" t="s">
        <v>243</v>
      </c>
      <c r="L45" s="132" t="s">
        <v>155</v>
      </c>
      <c r="M45" s="132" t="s">
        <v>155</v>
      </c>
      <c r="N45" s="132" t="s">
        <v>416</v>
      </c>
      <c r="O45" s="132" t="s">
        <v>155</v>
      </c>
      <c r="P45" s="134" t="s">
        <v>417</v>
      </c>
      <c r="Q45" s="132" t="s">
        <v>182</v>
      </c>
      <c r="R45" s="132" t="s">
        <v>243</v>
      </c>
      <c r="S45" s="132" t="s">
        <v>413</v>
      </c>
      <c r="T45" s="132" t="s">
        <v>414</v>
      </c>
      <c r="U45" s="132" t="s">
        <v>418</v>
      </c>
      <c r="V45" s="132" t="s">
        <v>182</v>
      </c>
      <c r="W45" s="132" t="s">
        <v>243</v>
      </c>
      <c r="X45" s="132" t="s">
        <v>243</v>
      </c>
      <c r="Y45" s="132"/>
      <c r="Z45" s="135"/>
      <c r="AA45" s="135" t="s">
        <v>419</v>
      </c>
      <c r="AB45" s="138">
        <v>5000</v>
      </c>
      <c r="AC45" s="135">
        <v>99999999</v>
      </c>
      <c r="AD45" s="132" t="s">
        <v>243</v>
      </c>
      <c r="AE45" s="132" t="s">
        <v>271</v>
      </c>
      <c r="AF45" s="132" t="s">
        <v>243</v>
      </c>
      <c r="AG45" s="132" t="s">
        <v>243</v>
      </c>
      <c r="AH45" s="135">
        <v>0</v>
      </c>
      <c r="AI45" s="135">
        <v>0</v>
      </c>
      <c r="AJ45" s="135">
        <v>0</v>
      </c>
      <c r="AK45" s="135">
        <v>0</v>
      </c>
      <c r="AL45" s="135">
        <v>0</v>
      </c>
      <c r="AM45" s="132" t="s">
        <v>182</v>
      </c>
      <c r="AN45" s="135">
        <v>0</v>
      </c>
      <c r="AO45" s="132" t="s">
        <v>243</v>
      </c>
      <c r="AP45" s="135">
        <v>1</v>
      </c>
      <c r="AQ45" s="136">
        <v>1111</v>
      </c>
      <c r="AR45" s="136" t="s">
        <v>415</v>
      </c>
      <c r="AS45" s="136">
        <v>30</v>
      </c>
      <c r="AT45" s="136">
        <v>10</v>
      </c>
      <c r="AU45" s="136">
        <v>1</v>
      </c>
      <c r="AV45" s="136">
        <v>0</v>
      </c>
      <c r="AW45" s="136">
        <v>0</v>
      </c>
      <c r="AX45" s="136">
        <v>0</v>
      </c>
      <c r="AY45" s="136">
        <v>0</v>
      </c>
      <c r="AZ45" s="136">
        <v>1</v>
      </c>
      <c r="BA45" s="136">
        <v>0</v>
      </c>
      <c r="BB45" s="137">
        <v>40640.750486111108</v>
      </c>
      <c r="BC45" s="136">
        <v>470195</v>
      </c>
      <c r="BD45" s="136">
        <v>470195</v>
      </c>
      <c r="BE45" s="137">
        <v>45392.67769675926</v>
      </c>
      <c r="BF45" s="136">
        <v>363363</v>
      </c>
      <c r="BG45" s="136">
        <v>363363</v>
      </c>
    </row>
    <row r="46" spans="1:59" ht="13.5" customHeight="1">
      <c r="B46" s="81" t="s">
        <v>178</v>
      </c>
      <c r="C46" s="146" t="s">
        <v>466</v>
      </c>
      <c r="D46" s="132" t="s">
        <v>269</v>
      </c>
      <c r="E46" s="132" t="s">
        <v>284</v>
      </c>
      <c r="F46" s="132" t="s">
        <v>285</v>
      </c>
      <c r="G46" s="132" t="s">
        <v>182</v>
      </c>
      <c r="H46" s="225" t="s">
        <v>432</v>
      </c>
      <c r="I46" s="139" t="s">
        <v>286</v>
      </c>
      <c r="J46" s="132" t="s">
        <v>243</v>
      </c>
      <c r="K46" s="132" t="s">
        <v>243</v>
      </c>
      <c r="L46" s="132" t="s">
        <v>155</v>
      </c>
      <c r="M46" s="132" t="s">
        <v>155</v>
      </c>
      <c r="N46" s="132" t="s">
        <v>155</v>
      </c>
      <c r="O46" s="132" t="s">
        <v>155</v>
      </c>
      <c r="P46" s="134" t="s">
        <v>412</v>
      </c>
      <c r="Q46" s="132" t="s">
        <v>243</v>
      </c>
      <c r="R46" s="132" t="s">
        <v>243</v>
      </c>
      <c r="S46" s="132" t="s">
        <v>413</v>
      </c>
      <c r="T46" s="132" t="s">
        <v>414</v>
      </c>
      <c r="U46" s="132" t="s">
        <v>182</v>
      </c>
      <c r="V46" s="132" t="s">
        <v>182</v>
      </c>
      <c r="W46" s="132" t="s">
        <v>243</v>
      </c>
      <c r="X46" s="132" t="s">
        <v>243</v>
      </c>
      <c r="Y46" s="132" t="s">
        <v>155</v>
      </c>
      <c r="Z46" s="135" t="s">
        <v>155</v>
      </c>
      <c r="AA46" s="135" t="s">
        <v>155</v>
      </c>
      <c r="AB46" s="135">
        <v>1</v>
      </c>
      <c r="AC46" s="135">
        <v>99999999</v>
      </c>
      <c r="AD46" s="132" t="s">
        <v>243</v>
      </c>
      <c r="AE46" s="132" t="s">
        <v>243</v>
      </c>
      <c r="AF46" s="132" t="s">
        <v>243</v>
      </c>
      <c r="AG46" s="132" t="s">
        <v>243</v>
      </c>
      <c r="AH46" s="135">
        <v>0</v>
      </c>
      <c r="AI46" s="135">
        <v>0</v>
      </c>
      <c r="AJ46" s="135">
        <v>0</v>
      </c>
      <c r="AK46" s="135">
        <v>0</v>
      </c>
      <c r="AL46" s="135">
        <v>1</v>
      </c>
      <c r="AM46" s="132" t="s">
        <v>182</v>
      </c>
      <c r="AN46" s="135">
        <v>0</v>
      </c>
      <c r="AO46" s="132" t="s">
        <v>243</v>
      </c>
      <c r="AP46" s="135">
        <v>1</v>
      </c>
      <c r="AQ46" s="136" t="s">
        <v>155</v>
      </c>
      <c r="AR46" s="136" t="s">
        <v>415</v>
      </c>
      <c r="AS46" s="136">
        <v>0</v>
      </c>
      <c r="AT46" s="136">
        <v>0</v>
      </c>
      <c r="AU46" s="136">
        <v>1</v>
      </c>
      <c r="AV46" s="136">
        <v>0</v>
      </c>
      <c r="AW46" s="136">
        <v>0</v>
      </c>
      <c r="AX46" s="136">
        <v>0</v>
      </c>
      <c r="AY46" s="136">
        <v>0</v>
      </c>
      <c r="AZ46" s="136">
        <v>1</v>
      </c>
      <c r="BA46" s="136">
        <v>0</v>
      </c>
      <c r="BB46" s="137">
        <v>29705</v>
      </c>
      <c r="BC46" s="136" t="s">
        <v>277</v>
      </c>
      <c r="BD46" s="136" t="s">
        <v>277</v>
      </c>
      <c r="BE46" s="137">
        <v>36413</v>
      </c>
      <c r="BF46" s="136" t="s">
        <v>277</v>
      </c>
      <c r="BG46" s="136" t="s">
        <v>277</v>
      </c>
    </row>
    <row r="47" spans="1:59" ht="13.5" customHeight="1">
      <c r="B47" s="144" t="s">
        <v>180</v>
      </c>
      <c r="C47" s="82" t="s">
        <v>168</v>
      </c>
      <c r="D47" s="132" t="s">
        <v>269</v>
      </c>
      <c r="E47" s="132" t="s">
        <v>442</v>
      </c>
      <c r="F47" s="151" t="s">
        <v>181</v>
      </c>
      <c r="G47" s="132" t="s">
        <v>271</v>
      </c>
      <c r="H47" s="132" t="s">
        <v>271</v>
      </c>
      <c r="I47" s="132" t="s">
        <v>185</v>
      </c>
      <c r="J47" s="132" t="s">
        <v>243</v>
      </c>
      <c r="K47" s="132" t="s">
        <v>243</v>
      </c>
      <c r="L47" s="132" t="s">
        <v>155</v>
      </c>
      <c r="M47" s="132" t="s">
        <v>155</v>
      </c>
      <c r="N47" s="132" t="s">
        <v>416</v>
      </c>
      <c r="O47" s="132" t="s">
        <v>155</v>
      </c>
      <c r="P47" s="132" t="s">
        <v>417</v>
      </c>
      <c r="Q47" s="132" t="s">
        <v>182</v>
      </c>
      <c r="R47" s="132" t="s">
        <v>243</v>
      </c>
      <c r="S47" s="132" t="s">
        <v>413</v>
      </c>
      <c r="T47" s="132" t="s">
        <v>414</v>
      </c>
      <c r="U47" s="132" t="s">
        <v>418</v>
      </c>
      <c r="V47" s="132" t="s">
        <v>182</v>
      </c>
      <c r="W47" s="132" t="s">
        <v>243</v>
      </c>
      <c r="X47" s="132" t="s">
        <v>243</v>
      </c>
      <c r="Y47" s="132"/>
      <c r="Z47" s="132"/>
      <c r="AA47" s="132" t="s">
        <v>419</v>
      </c>
      <c r="AB47" s="132">
        <v>5000</v>
      </c>
      <c r="AC47" s="132">
        <v>99999999</v>
      </c>
      <c r="AD47" s="132" t="s">
        <v>243</v>
      </c>
      <c r="AE47" s="132" t="s">
        <v>271</v>
      </c>
      <c r="AF47" s="132" t="s">
        <v>243</v>
      </c>
      <c r="AG47" s="132" t="s">
        <v>243</v>
      </c>
      <c r="AH47" s="132">
        <v>0</v>
      </c>
      <c r="AI47" s="132">
        <v>0</v>
      </c>
      <c r="AJ47" s="132">
        <v>0</v>
      </c>
      <c r="AK47" s="132">
        <v>0</v>
      </c>
      <c r="AL47" s="132">
        <v>0</v>
      </c>
      <c r="AM47" s="132" t="s">
        <v>182</v>
      </c>
      <c r="AN47" s="132">
        <v>0</v>
      </c>
      <c r="AO47" s="132" t="s">
        <v>243</v>
      </c>
      <c r="AP47" s="132">
        <v>1</v>
      </c>
      <c r="AQ47" s="132">
        <v>1111</v>
      </c>
      <c r="AR47" s="132" t="s">
        <v>415</v>
      </c>
      <c r="AS47" s="132">
        <v>30</v>
      </c>
      <c r="AT47" s="132">
        <v>10</v>
      </c>
      <c r="AU47" s="132">
        <v>1</v>
      </c>
      <c r="AV47" s="132">
        <v>0</v>
      </c>
      <c r="AW47" s="132">
        <v>0</v>
      </c>
      <c r="AX47" s="132">
        <v>0</v>
      </c>
      <c r="AY47" s="132">
        <v>0</v>
      </c>
      <c r="AZ47" s="132">
        <v>1</v>
      </c>
      <c r="BA47" s="132">
        <v>0</v>
      </c>
      <c r="BB47" s="132">
        <v>40640.750486111108</v>
      </c>
      <c r="BC47" s="132">
        <v>470195</v>
      </c>
      <c r="BD47" s="132">
        <v>470195</v>
      </c>
      <c r="BE47" s="132">
        <v>45392.67769675926</v>
      </c>
      <c r="BF47" s="132">
        <v>363363</v>
      </c>
      <c r="BG47" s="132">
        <v>363363</v>
      </c>
    </row>
    <row r="48" spans="1:59" ht="13.5" customHeight="1">
      <c r="B48" s="144" t="s">
        <v>464</v>
      </c>
      <c r="C48" s="82" t="s">
        <v>168</v>
      </c>
      <c r="D48" s="132" t="s">
        <v>269</v>
      </c>
      <c r="E48" s="132" t="s">
        <v>285</v>
      </c>
      <c r="F48" s="132" t="s">
        <v>285</v>
      </c>
      <c r="G48" s="132" t="s">
        <v>443</v>
      </c>
      <c r="H48" s="225" t="s">
        <v>432</v>
      </c>
      <c r="I48" s="132" t="s">
        <v>184</v>
      </c>
      <c r="J48" s="132" t="s">
        <v>243</v>
      </c>
      <c r="K48" s="132" t="s">
        <v>243</v>
      </c>
      <c r="L48" s="132" t="s">
        <v>155</v>
      </c>
      <c r="M48" s="132" t="s">
        <v>155</v>
      </c>
      <c r="N48" s="132" t="s">
        <v>416</v>
      </c>
      <c r="O48" s="132" t="s">
        <v>155</v>
      </c>
      <c r="P48" s="132" t="s">
        <v>417</v>
      </c>
      <c r="Q48" s="132" t="s">
        <v>182</v>
      </c>
      <c r="R48" s="132" t="s">
        <v>243</v>
      </c>
      <c r="S48" s="132" t="s">
        <v>413</v>
      </c>
      <c r="T48" s="132" t="s">
        <v>414</v>
      </c>
      <c r="U48" s="132" t="s">
        <v>418</v>
      </c>
      <c r="V48" s="132" t="s">
        <v>182</v>
      </c>
      <c r="W48" s="132" t="s">
        <v>243</v>
      </c>
      <c r="X48" s="132" t="s">
        <v>243</v>
      </c>
      <c r="Y48" s="132"/>
      <c r="Z48" s="132"/>
      <c r="AA48" s="132" t="s">
        <v>419</v>
      </c>
      <c r="AB48" s="132">
        <v>5000</v>
      </c>
      <c r="AC48" s="132">
        <v>99999999</v>
      </c>
      <c r="AD48" s="132" t="s">
        <v>243</v>
      </c>
      <c r="AE48" s="132" t="s">
        <v>271</v>
      </c>
      <c r="AF48" s="132" t="s">
        <v>243</v>
      </c>
      <c r="AG48" s="132" t="s">
        <v>243</v>
      </c>
      <c r="AH48" s="132">
        <v>0</v>
      </c>
      <c r="AI48" s="132">
        <v>0</v>
      </c>
      <c r="AJ48" s="132">
        <v>0</v>
      </c>
      <c r="AK48" s="132">
        <v>0</v>
      </c>
      <c r="AL48" s="132">
        <v>0</v>
      </c>
      <c r="AM48" s="132" t="s">
        <v>182</v>
      </c>
      <c r="AN48" s="132">
        <v>0</v>
      </c>
      <c r="AO48" s="132" t="s">
        <v>243</v>
      </c>
      <c r="AP48" s="132">
        <v>1</v>
      </c>
      <c r="AQ48" s="132">
        <v>1111</v>
      </c>
      <c r="AR48" s="132" t="s">
        <v>415</v>
      </c>
      <c r="AS48" s="132">
        <v>30</v>
      </c>
      <c r="AT48" s="132">
        <v>10</v>
      </c>
      <c r="AU48" s="132">
        <v>1</v>
      </c>
      <c r="AV48" s="132">
        <v>0</v>
      </c>
      <c r="AW48" s="132">
        <v>0</v>
      </c>
      <c r="AX48" s="132">
        <v>0</v>
      </c>
      <c r="AY48" s="132">
        <v>0</v>
      </c>
      <c r="AZ48" s="132">
        <v>1</v>
      </c>
      <c r="BA48" s="132">
        <v>0</v>
      </c>
      <c r="BB48" s="132">
        <v>40640.750486111108</v>
      </c>
      <c r="BC48" s="132">
        <v>470195</v>
      </c>
      <c r="BD48" s="132">
        <v>470195</v>
      </c>
      <c r="BE48" s="132">
        <v>45392.67769675926</v>
      </c>
      <c r="BF48" s="132">
        <v>363363</v>
      </c>
      <c r="BG48" s="132">
        <v>363363</v>
      </c>
    </row>
    <row r="49" spans="1:59" ht="13.5" customHeight="1">
      <c r="B49" s="144" t="s">
        <v>465</v>
      </c>
      <c r="C49" s="82" t="s">
        <v>168</v>
      </c>
      <c r="D49" s="132" t="s">
        <v>269</v>
      </c>
      <c r="E49" s="132" t="s">
        <v>444</v>
      </c>
      <c r="F49" s="132" t="s">
        <v>444</v>
      </c>
      <c r="G49" s="132" t="s">
        <v>271</v>
      </c>
      <c r="H49" s="132" t="s">
        <v>271</v>
      </c>
      <c r="I49" s="132" t="s">
        <v>184</v>
      </c>
      <c r="J49" s="132" t="s">
        <v>243</v>
      </c>
      <c r="K49" s="132" t="s">
        <v>243</v>
      </c>
      <c r="L49" s="132" t="s">
        <v>155</v>
      </c>
      <c r="M49" s="132" t="s">
        <v>155</v>
      </c>
      <c r="N49" s="132" t="s">
        <v>416</v>
      </c>
      <c r="O49" s="132" t="s">
        <v>155</v>
      </c>
      <c r="P49" s="132" t="s">
        <v>417</v>
      </c>
      <c r="Q49" s="132" t="s">
        <v>182</v>
      </c>
      <c r="R49" s="132" t="s">
        <v>243</v>
      </c>
      <c r="S49" s="132" t="s">
        <v>413</v>
      </c>
      <c r="T49" s="132" t="s">
        <v>414</v>
      </c>
      <c r="U49" s="132" t="s">
        <v>418</v>
      </c>
      <c r="V49" s="132" t="s">
        <v>182</v>
      </c>
      <c r="W49" s="132" t="s">
        <v>243</v>
      </c>
      <c r="X49" s="132" t="s">
        <v>243</v>
      </c>
      <c r="Y49" s="132"/>
      <c r="Z49" s="132"/>
      <c r="AA49" s="132" t="s">
        <v>419</v>
      </c>
      <c r="AB49" s="132">
        <v>5000</v>
      </c>
      <c r="AC49" s="132">
        <v>99999999</v>
      </c>
      <c r="AD49" s="132" t="s">
        <v>243</v>
      </c>
      <c r="AE49" s="132" t="s">
        <v>271</v>
      </c>
      <c r="AF49" s="132" t="s">
        <v>243</v>
      </c>
      <c r="AG49" s="132" t="s">
        <v>243</v>
      </c>
      <c r="AH49" s="132">
        <v>0</v>
      </c>
      <c r="AI49" s="132">
        <v>0</v>
      </c>
      <c r="AJ49" s="132">
        <v>0</v>
      </c>
      <c r="AK49" s="132">
        <v>0</v>
      </c>
      <c r="AL49" s="132">
        <v>0</v>
      </c>
      <c r="AM49" s="132" t="s">
        <v>182</v>
      </c>
      <c r="AN49" s="132">
        <v>0</v>
      </c>
      <c r="AO49" s="132" t="s">
        <v>243</v>
      </c>
      <c r="AP49" s="132">
        <v>1</v>
      </c>
      <c r="AQ49" s="132">
        <v>1111</v>
      </c>
      <c r="AR49" s="132" t="s">
        <v>415</v>
      </c>
      <c r="AS49" s="132">
        <v>30</v>
      </c>
      <c r="AT49" s="132">
        <v>10</v>
      </c>
      <c r="AU49" s="132">
        <v>1</v>
      </c>
      <c r="AV49" s="132">
        <v>0</v>
      </c>
      <c r="AW49" s="132">
        <v>0</v>
      </c>
      <c r="AX49" s="132">
        <v>0</v>
      </c>
      <c r="AY49" s="132">
        <v>0</v>
      </c>
      <c r="AZ49" s="132">
        <v>1</v>
      </c>
      <c r="BA49" s="132">
        <v>0</v>
      </c>
      <c r="BB49" s="132">
        <v>40640.750486111108</v>
      </c>
      <c r="BC49" s="132">
        <v>470195</v>
      </c>
      <c r="BD49" s="132">
        <v>470195</v>
      </c>
      <c r="BE49" s="132">
        <v>45392.67769675926</v>
      </c>
      <c r="BF49" s="132">
        <v>363363</v>
      </c>
      <c r="BG49" s="132">
        <v>363363</v>
      </c>
    </row>
    <row r="50" spans="1:59" ht="13.5" customHeight="1">
      <c r="B50" s="144" t="s">
        <v>175</v>
      </c>
      <c r="C50" s="82" t="s">
        <v>168</v>
      </c>
      <c r="D50" s="132" t="s">
        <v>269</v>
      </c>
      <c r="E50" s="132" t="s">
        <v>445</v>
      </c>
      <c r="F50" s="132" t="s">
        <v>445</v>
      </c>
      <c r="G50" s="132" t="s">
        <v>446</v>
      </c>
      <c r="H50" s="225" t="s">
        <v>432</v>
      </c>
      <c r="I50" s="132" t="s">
        <v>184</v>
      </c>
      <c r="J50" s="132" t="s">
        <v>243</v>
      </c>
      <c r="K50" s="132" t="s">
        <v>243</v>
      </c>
      <c r="L50" s="132" t="s">
        <v>155</v>
      </c>
      <c r="M50" s="132" t="s">
        <v>155</v>
      </c>
      <c r="N50" s="132" t="s">
        <v>416</v>
      </c>
      <c r="O50" s="132" t="s">
        <v>155</v>
      </c>
      <c r="P50" s="132" t="s">
        <v>417</v>
      </c>
      <c r="Q50" s="132" t="s">
        <v>182</v>
      </c>
      <c r="R50" s="132" t="s">
        <v>243</v>
      </c>
      <c r="S50" s="132" t="s">
        <v>413</v>
      </c>
      <c r="T50" s="132" t="s">
        <v>414</v>
      </c>
      <c r="U50" s="132" t="s">
        <v>418</v>
      </c>
      <c r="V50" s="132" t="s">
        <v>182</v>
      </c>
      <c r="W50" s="132" t="s">
        <v>243</v>
      </c>
      <c r="X50" s="132" t="s">
        <v>243</v>
      </c>
      <c r="Y50" s="132"/>
      <c r="Z50" s="132"/>
      <c r="AA50" s="132" t="s">
        <v>419</v>
      </c>
      <c r="AB50" s="132">
        <v>5000</v>
      </c>
      <c r="AC50" s="132">
        <v>99999999</v>
      </c>
      <c r="AD50" s="132" t="s">
        <v>243</v>
      </c>
      <c r="AE50" s="132" t="s">
        <v>271</v>
      </c>
      <c r="AF50" s="132" t="s">
        <v>243</v>
      </c>
      <c r="AG50" s="132" t="s">
        <v>243</v>
      </c>
      <c r="AH50" s="132">
        <v>0</v>
      </c>
      <c r="AI50" s="132">
        <v>0</v>
      </c>
      <c r="AJ50" s="132">
        <v>0</v>
      </c>
      <c r="AK50" s="132">
        <v>0</v>
      </c>
      <c r="AL50" s="132">
        <v>0</v>
      </c>
      <c r="AM50" s="132" t="s">
        <v>182</v>
      </c>
      <c r="AN50" s="132">
        <v>0</v>
      </c>
      <c r="AO50" s="132" t="s">
        <v>243</v>
      </c>
      <c r="AP50" s="132">
        <v>1</v>
      </c>
      <c r="AQ50" s="132">
        <v>1111</v>
      </c>
      <c r="AR50" s="132" t="s">
        <v>415</v>
      </c>
      <c r="AS50" s="132">
        <v>30</v>
      </c>
      <c r="AT50" s="132">
        <v>10</v>
      </c>
      <c r="AU50" s="132">
        <v>1</v>
      </c>
      <c r="AV50" s="132">
        <v>0</v>
      </c>
      <c r="AW50" s="132">
        <v>0</v>
      </c>
      <c r="AX50" s="132">
        <v>0</v>
      </c>
      <c r="AY50" s="132">
        <v>0</v>
      </c>
      <c r="AZ50" s="132">
        <v>1</v>
      </c>
      <c r="BA50" s="132">
        <v>0</v>
      </c>
      <c r="BB50" s="132">
        <v>40640.750486111108</v>
      </c>
      <c r="BC50" s="132">
        <v>470195</v>
      </c>
      <c r="BD50" s="132">
        <v>470195</v>
      </c>
      <c r="BE50" s="132">
        <v>45392.67769675926</v>
      </c>
      <c r="BF50" s="132">
        <v>363363</v>
      </c>
      <c r="BG50" s="132">
        <v>363363</v>
      </c>
    </row>
    <row r="51" spans="1:59">
      <c r="B51" s="144" t="s">
        <v>176</v>
      </c>
      <c r="C51" s="82" t="s">
        <v>168</v>
      </c>
      <c r="D51" s="132" t="s">
        <v>516</v>
      </c>
      <c r="E51" s="132" t="s">
        <v>461</v>
      </c>
      <c r="F51" s="132" t="s">
        <v>461</v>
      </c>
      <c r="G51" s="132" t="s">
        <v>182</v>
      </c>
      <c r="H51" s="225" t="s">
        <v>432</v>
      </c>
      <c r="I51" s="132" t="s">
        <v>271</v>
      </c>
      <c r="J51" s="132" t="s">
        <v>182</v>
      </c>
      <c r="K51" s="132" t="s">
        <v>243</v>
      </c>
      <c r="L51" s="132" t="s">
        <v>155</v>
      </c>
      <c r="M51" s="132" t="s">
        <v>155</v>
      </c>
      <c r="N51" s="132" t="s">
        <v>416</v>
      </c>
      <c r="O51" s="132" t="s">
        <v>155</v>
      </c>
      <c r="P51" s="132" t="s">
        <v>417</v>
      </c>
      <c r="Q51" s="132" t="s">
        <v>182</v>
      </c>
      <c r="R51" s="132" t="s">
        <v>243</v>
      </c>
      <c r="S51" s="132" t="s">
        <v>413</v>
      </c>
      <c r="T51" s="132" t="s">
        <v>414</v>
      </c>
      <c r="U51" s="132" t="s">
        <v>418</v>
      </c>
      <c r="V51" s="132" t="s">
        <v>182</v>
      </c>
      <c r="W51" s="132" t="s">
        <v>243</v>
      </c>
      <c r="X51" s="132" t="s">
        <v>243</v>
      </c>
      <c r="Y51" s="132"/>
      <c r="Z51" s="132"/>
      <c r="AA51" s="132" t="s">
        <v>419</v>
      </c>
      <c r="AB51" s="132">
        <v>5000</v>
      </c>
      <c r="AC51" s="132">
        <v>99999999</v>
      </c>
      <c r="AD51" s="132">
        <v>0</v>
      </c>
      <c r="AE51" s="132">
        <v>2</v>
      </c>
      <c r="AF51" s="132">
        <v>0</v>
      </c>
      <c r="AG51" s="132">
        <v>0</v>
      </c>
      <c r="AH51" s="132">
        <v>0</v>
      </c>
      <c r="AI51" s="132">
        <v>0</v>
      </c>
      <c r="AJ51" s="132">
        <v>0</v>
      </c>
      <c r="AK51" s="132">
        <v>0</v>
      </c>
      <c r="AL51" s="132">
        <v>0</v>
      </c>
      <c r="AM51" s="132">
        <v>1</v>
      </c>
      <c r="AN51" s="132">
        <v>0</v>
      </c>
      <c r="AO51" s="132">
        <v>0</v>
      </c>
      <c r="AP51" s="132">
        <v>1</v>
      </c>
      <c r="AQ51" s="132">
        <v>1111</v>
      </c>
      <c r="AR51" s="132" t="s">
        <v>415</v>
      </c>
      <c r="AS51" s="132">
        <v>30</v>
      </c>
      <c r="AT51" s="132">
        <v>10</v>
      </c>
      <c r="AU51" s="132">
        <v>1</v>
      </c>
      <c r="AV51" s="132">
        <v>0</v>
      </c>
      <c r="AW51" s="132">
        <v>0</v>
      </c>
      <c r="AX51" s="132">
        <v>0</v>
      </c>
      <c r="AY51" s="132">
        <v>0</v>
      </c>
      <c r="AZ51" s="132">
        <v>1</v>
      </c>
      <c r="BA51" s="132">
        <v>0</v>
      </c>
      <c r="BB51" s="132">
        <v>40640.750486111108</v>
      </c>
      <c r="BC51" s="132">
        <v>470195</v>
      </c>
      <c r="BD51" s="132">
        <v>470195</v>
      </c>
      <c r="BE51" s="132">
        <v>45392.67769675926</v>
      </c>
      <c r="BF51" s="132">
        <v>363363</v>
      </c>
      <c r="BG51" s="132">
        <v>363363</v>
      </c>
    </row>
    <row r="52" spans="1:59">
      <c r="B52" s="144" t="s">
        <v>177</v>
      </c>
      <c r="C52" s="146" t="s">
        <v>466</v>
      </c>
      <c r="D52" s="132" t="s">
        <v>476</v>
      </c>
      <c r="E52" s="132" t="s">
        <v>461</v>
      </c>
      <c r="F52" s="132" t="s">
        <v>270</v>
      </c>
      <c r="G52" s="132" t="s">
        <v>271</v>
      </c>
      <c r="H52" s="132" t="s">
        <v>271</v>
      </c>
      <c r="I52" s="132" t="s">
        <v>286</v>
      </c>
      <c r="J52" s="132" t="s">
        <v>243</v>
      </c>
      <c r="K52" s="132" t="s">
        <v>243</v>
      </c>
      <c r="L52" s="132" t="s">
        <v>155</v>
      </c>
      <c r="M52" s="132" t="s">
        <v>155</v>
      </c>
      <c r="N52" s="132" t="s">
        <v>155</v>
      </c>
      <c r="O52" s="132" t="s">
        <v>155</v>
      </c>
      <c r="P52" s="132" t="s">
        <v>412</v>
      </c>
      <c r="Q52" s="132" t="s">
        <v>243</v>
      </c>
      <c r="R52" s="132" t="s">
        <v>243</v>
      </c>
      <c r="S52" s="132" t="s">
        <v>413</v>
      </c>
      <c r="T52" s="132" t="s">
        <v>414</v>
      </c>
      <c r="U52" s="132" t="s">
        <v>182</v>
      </c>
      <c r="V52" s="132" t="s">
        <v>182</v>
      </c>
      <c r="W52" s="132" t="s">
        <v>243</v>
      </c>
      <c r="X52" s="132" t="s">
        <v>243</v>
      </c>
      <c r="Y52" s="132"/>
      <c r="Z52" s="132"/>
      <c r="AA52" s="132" t="s">
        <v>155</v>
      </c>
      <c r="AB52" s="132">
        <v>1</v>
      </c>
      <c r="AC52" s="132">
        <v>99999999</v>
      </c>
      <c r="AD52" s="132">
        <v>0</v>
      </c>
      <c r="AE52" s="132">
        <v>0</v>
      </c>
      <c r="AF52" s="132">
        <v>0</v>
      </c>
      <c r="AG52" s="132">
        <v>0</v>
      </c>
      <c r="AH52" s="132">
        <v>0</v>
      </c>
      <c r="AI52" s="132">
        <v>0</v>
      </c>
      <c r="AJ52" s="132">
        <v>0</v>
      </c>
      <c r="AK52" s="132">
        <v>0</v>
      </c>
      <c r="AL52" s="132">
        <v>1</v>
      </c>
      <c r="AM52" s="132">
        <v>1</v>
      </c>
      <c r="AN52" s="132">
        <v>0</v>
      </c>
      <c r="AO52" s="132">
        <v>0</v>
      </c>
      <c r="AP52" s="132">
        <v>1</v>
      </c>
      <c r="AQ52" s="132" t="s">
        <v>155</v>
      </c>
      <c r="AR52" s="132" t="s">
        <v>415</v>
      </c>
      <c r="AS52" s="132">
        <v>0</v>
      </c>
      <c r="AT52" s="132">
        <v>0</v>
      </c>
      <c r="AU52" s="132">
        <v>1</v>
      </c>
      <c r="AV52" s="132">
        <v>0</v>
      </c>
      <c r="AW52" s="132">
        <v>0</v>
      </c>
      <c r="AX52" s="132">
        <v>0</v>
      </c>
      <c r="AY52" s="132">
        <v>0</v>
      </c>
      <c r="AZ52" s="132">
        <v>1</v>
      </c>
      <c r="BA52" s="132">
        <v>0</v>
      </c>
      <c r="BB52" s="132">
        <v>29705</v>
      </c>
      <c r="BC52" s="132" t="s">
        <v>277</v>
      </c>
      <c r="BD52" s="132" t="s">
        <v>277</v>
      </c>
      <c r="BE52" s="132">
        <v>39993.705960648149</v>
      </c>
      <c r="BF52" s="132">
        <v>375901</v>
      </c>
      <c r="BG52" s="132">
        <v>375901</v>
      </c>
    </row>
    <row r="53" spans="1:59">
      <c r="B53" s="144" t="s">
        <v>475</v>
      </c>
      <c r="C53" s="146" t="s">
        <v>466</v>
      </c>
      <c r="D53" s="132" t="s">
        <v>473</v>
      </c>
      <c r="E53" s="132" t="s">
        <v>270</v>
      </c>
      <c r="F53" s="132" t="s">
        <v>270</v>
      </c>
      <c r="G53" s="132" t="s">
        <v>271</v>
      </c>
      <c r="H53" s="132" t="s">
        <v>271</v>
      </c>
      <c r="I53" s="132" t="s">
        <v>286</v>
      </c>
      <c r="J53" s="132" t="s">
        <v>243</v>
      </c>
      <c r="K53" s="132" t="s">
        <v>243</v>
      </c>
      <c r="L53" s="132" t="s">
        <v>155</v>
      </c>
      <c r="M53" s="132" t="s">
        <v>155</v>
      </c>
      <c r="N53" s="132" t="s">
        <v>155</v>
      </c>
      <c r="O53" s="132" t="s">
        <v>155</v>
      </c>
      <c r="P53" s="132" t="s">
        <v>412</v>
      </c>
      <c r="Q53" s="132" t="s">
        <v>243</v>
      </c>
      <c r="R53" s="132" t="s">
        <v>243</v>
      </c>
      <c r="S53" s="132" t="s">
        <v>413</v>
      </c>
      <c r="T53" s="132" t="s">
        <v>414</v>
      </c>
      <c r="U53" s="132" t="s">
        <v>182</v>
      </c>
      <c r="V53" s="132" t="s">
        <v>182</v>
      </c>
      <c r="W53" s="132" t="s">
        <v>243</v>
      </c>
      <c r="X53" s="132" t="s">
        <v>243</v>
      </c>
      <c r="Y53" s="132"/>
      <c r="Z53" s="132"/>
      <c r="AA53" s="132" t="s">
        <v>155</v>
      </c>
      <c r="AB53" s="132">
        <v>1</v>
      </c>
      <c r="AC53" s="132">
        <v>99999999</v>
      </c>
      <c r="AD53" s="132">
        <v>0</v>
      </c>
      <c r="AE53" s="132">
        <v>0</v>
      </c>
      <c r="AF53" s="132">
        <v>0</v>
      </c>
      <c r="AG53" s="132">
        <v>0</v>
      </c>
      <c r="AH53" s="132">
        <v>0</v>
      </c>
      <c r="AI53" s="132">
        <v>0</v>
      </c>
      <c r="AJ53" s="132">
        <v>0</v>
      </c>
      <c r="AK53" s="132">
        <v>0</v>
      </c>
      <c r="AL53" s="132">
        <v>1</v>
      </c>
      <c r="AM53" s="132">
        <v>1</v>
      </c>
      <c r="AN53" s="132">
        <v>0</v>
      </c>
      <c r="AO53" s="132">
        <v>0</v>
      </c>
      <c r="AP53" s="132">
        <v>1</v>
      </c>
      <c r="AQ53" s="132" t="s">
        <v>155</v>
      </c>
      <c r="AR53" s="132" t="s">
        <v>415</v>
      </c>
      <c r="AS53" s="132">
        <v>0</v>
      </c>
      <c r="AT53" s="132">
        <v>0</v>
      </c>
      <c r="AU53" s="132">
        <v>1</v>
      </c>
      <c r="AV53" s="132">
        <v>0</v>
      </c>
      <c r="AW53" s="132">
        <v>0</v>
      </c>
      <c r="AX53" s="132">
        <v>0</v>
      </c>
      <c r="AY53" s="132">
        <v>0</v>
      </c>
      <c r="AZ53" s="132">
        <v>1</v>
      </c>
      <c r="BA53" s="132">
        <v>0</v>
      </c>
      <c r="BB53" s="132">
        <v>31819</v>
      </c>
      <c r="BC53" s="132" t="s">
        <v>277</v>
      </c>
      <c r="BD53" s="132" t="s">
        <v>277</v>
      </c>
      <c r="BE53" s="132">
        <v>45636.056898148148</v>
      </c>
      <c r="BF53" s="132" t="s">
        <v>474</v>
      </c>
      <c r="BG53" s="132" t="s">
        <v>474</v>
      </c>
    </row>
    <row r="54" spans="1:59">
      <c r="B54" s="144" t="s">
        <v>501</v>
      </c>
      <c r="C54" s="146" t="s">
        <v>466</v>
      </c>
      <c r="D54" s="132" t="s">
        <v>269</v>
      </c>
      <c r="E54" s="132" t="s">
        <v>285</v>
      </c>
      <c r="F54" s="132" t="s">
        <v>503</v>
      </c>
      <c r="G54" s="132" t="s">
        <v>446</v>
      </c>
      <c r="H54" s="225" t="s">
        <v>432</v>
      </c>
      <c r="I54" s="132" t="s">
        <v>184</v>
      </c>
      <c r="J54" s="132" t="s">
        <v>243</v>
      </c>
      <c r="K54" s="132" t="s">
        <v>243</v>
      </c>
      <c r="L54" s="132" t="s">
        <v>155</v>
      </c>
      <c r="M54" s="132" t="s">
        <v>155</v>
      </c>
      <c r="N54" s="132" t="s">
        <v>416</v>
      </c>
      <c r="O54" s="132" t="s">
        <v>155</v>
      </c>
      <c r="P54" s="132" t="s">
        <v>417</v>
      </c>
      <c r="Q54" s="132" t="s">
        <v>182</v>
      </c>
      <c r="R54" s="132" t="s">
        <v>497</v>
      </c>
      <c r="S54" s="132" t="s">
        <v>413</v>
      </c>
      <c r="T54" s="132" t="s">
        <v>498</v>
      </c>
      <c r="U54" s="132" t="s">
        <v>499</v>
      </c>
      <c r="V54" s="132" t="s">
        <v>182</v>
      </c>
      <c r="W54" s="132" t="s">
        <v>500</v>
      </c>
      <c r="X54" s="132" t="s">
        <v>500</v>
      </c>
      <c r="Y54" s="132"/>
      <c r="Z54" s="132"/>
      <c r="AA54" s="132" t="s">
        <v>419</v>
      </c>
      <c r="AB54" s="132">
        <v>5000</v>
      </c>
      <c r="AC54" s="132">
        <v>99999999</v>
      </c>
      <c r="AD54" s="132">
        <v>0</v>
      </c>
      <c r="AE54" s="132">
        <v>2</v>
      </c>
      <c r="AF54" s="132">
        <v>0</v>
      </c>
      <c r="AG54" s="132">
        <v>0</v>
      </c>
      <c r="AH54" s="132">
        <v>0</v>
      </c>
      <c r="AI54" s="132">
        <v>0</v>
      </c>
      <c r="AJ54" s="132">
        <v>0</v>
      </c>
      <c r="AK54" s="132">
        <v>0</v>
      </c>
      <c r="AL54" s="132">
        <v>0</v>
      </c>
      <c r="AM54" s="132">
        <v>1</v>
      </c>
      <c r="AN54" s="132">
        <v>0</v>
      </c>
      <c r="AO54" s="132">
        <v>0</v>
      </c>
      <c r="AP54" s="132">
        <v>1</v>
      </c>
      <c r="AQ54" s="132">
        <v>1111</v>
      </c>
      <c r="AR54" s="132" t="s">
        <v>415</v>
      </c>
      <c r="AS54" s="132">
        <v>30</v>
      </c>
      <c r="AT54" s="132">
        <v>10</v>
      </c>
      <c r="AU54" s="132">
        <v>1</v>
      </c>
      <c r="AV54" s="132">
        <v>0</v>
      </c>
      <c r="AW54" s="132">
        <v>0</v>
      </c>
      <c r="AX54" s="132">
        <v>0</v>
      </c>
      <c r="AY54" s="132">
        <v>0</v>
      </c>
      <c r="AZ54" s="132">
        <v>1</v>
      </c>
      <c r="BA54" s="132">
        <v>0</v>
      </c>
      <c r="BB54" s="132">
        <v>40640.750486111108</v>
      </c>
      <c r="BC54" s="132">
        <v>470195</v>
      </c>
      <c r="BD54" s="132">
        <v>470195</v>
      </c>
      <c r="BE54" s="132">
        <v>45392.67769675926</v>
      </c>
      <c r="BF54" s="132">
        <v>363363</v>
      </c>
      <c r="BG54" s="132">
        <v>363363</v>
      </c>
    </row>
    <row r="55" spans="1:59">
      <c r="B55" s="144" t="s">
        <v>502</v>
      </c>
      <c r="C55" s="146" t="s">
        <v>466</v>
      </c>
      <c r="D55" s="132" t="s">
        <v>269</v>
      </c>
      <c r="E55" s="132" t="s">
        <v>285</v>
      </c>
      <c r="F55" s="132" t="s">
        <v>462</v>
      </c>
      <c r="G55" s="132" t="s">
        <v>271</v>
      </c>
      <c r="H55" s="132" t="s">
        <v>271</v>
      </c>
      <c r="I55" s="132" t="s">
        <v>184</v>
      </c>
      <c r="J55" s="132" t="s">
        <v>243</v>
      </c>
      <c r="K55" s="132" t="s">
        <v>243</v>
      </c>
      <c r="L55" s="132" t="s">
        <v>155</v>
      </c>
      <c r="M55" s="132" t="s">
        <v>155</v>
      </c>
      <c r="N55" s="132" t="s">
        <v>416</v>
      </c>
      <c r="O55" s="132" t="s">
        <v>155</v>
      </c>
      <c r="P55" s="132" t="s">
        <v>417</v>
      </c>
      <c r="Q55" s="132" t="s">
        <v>182</v>
      </c>
      <c r="R55" s="132" t="s">
        <v>497</v>
      </c>
      <c r="S55" s="132" t="s">
        <v>413</v>
      </c>
      <c r="T55" s="132" t="s">
        <v>498</v>
      </c>
      <c r="U55" s="132" t="s">
        <v>499</v>
      </c>
      <c r="V55" s="132" t="s">
        <v>182</v>
      </c>
      <c r="W55" s="132" t="s">
        <v>500</v>
      </c>
      <c r="X55" s="132" t="s">
        <v>500</v>
      </c>
      <c r="Y55" s="132"/>
      <c r="Z55" s="132"/>
      <c r="AA55" s="132" t="s">
        <v>419</v>
      </c>
      <c r="AB55" s="132">
        <v>5000</v>
      </c>
      <c r="AC55" s="132">
        <v>99999999</v>
      </c>
      <c r="AD55" s="132">
        <v>0</v>
      </c>
      <c r="AE55" s="132">
        <v>2</v>
      </c>
      <c r="AF55" s="132">
        <v>0</v>
      </c>
      <c r="AG55" s="132">
        <v>0</v>
      </c>
      <c r="AH55" s="132">
        <v>0</v>
      </c>
      <c r="AI55" s="132">
        <v>0</v>
      </c>
      <c r="AJ55" s="132">
        <v>0</v>
      </c>
      <c r="AK55" s="132">
        <v>0</v>
      </c>
      <c r="AL55" s="132">
        <v>0</v>
      </c>
      <c r="AM55" s="132">
        <v>1</v>
      </c>
      <c r="AN55" s="132">
        <v>0</v>
      </c>
      <c r="AO55" s="132">
        <v>0</v>
      </c>
      <c r="AP55" s="132">
        <v>1</v>
      </c>
      <c r="AQ55" s="132">
        <v>1111</v>
      </c>
      <c r="AR55" s="132" t="s">
        <v>415</v>
      </c>
      <c r="AS55" s="132">
        <v>30</v>
      </c>
      <c r="AT55" s="132">
        <v>10</v>
      </c>
      <c r="AU55" s="132">
        <v>1</v>
      </c>
      <c r="AV55" s="132">
        <v>0</v>
      </c>
      <c r="AW55" s="132">
        <v>0</v>
      </c>
      <c r="AX55" s="132">
        <v>0</v>
      </c>
      <c r="AY55" s="132">
        <v>0</v>
      </c>
      <c r="AZ55" s="132">
        <v>1</v>
      </c>
      <c r="BA55" s="132">
        <v>0</v>
      </c>
      <c r="BB55" s="132">
        <v>40640.750486111108</v>
      </c>
      <c r="BC55" s="132">
        <v>470195</v>
      </c>
      <c r="BD55" s="132">
        <v>470195</v>
      </c>
      <c r="BE55" s="132">
        <v>45392.67769675926</v>
      </c>
      <c r="BF55" s="132">
        <v>363363</v>
      </c>
      <c r="BG55" s="132">
        <v>363363</v>
      </c>
    </row>
    <row r="56" spans="1:59">
      <c r="B56" s="144" t="s">
        <v>512</v>
      </c>
      <c r="C56" s="146" t="s">
        <v>466</v>
      </c>
      <c r="D56" s="132" t="s">
        <v>510</v>
      </c>
      <c r="E56" s="132" t="s">
        <v>445</v>
      </c>
      <c r="F56" s="132" t="s">
        <v>445</v>
      </c>
      <c r="G56" s="132" t="s">
        <v>446</v>
      </c>
      <c r="H56" s="225" t="s">
        <v>432</v>
      </c>
      <c r="I56" s="132" t="s">
        <v>184</v>
      </c>
      <c r="J56" s="132" t="s">
        <v>243</v>
      </c>
      <c r="K56" s="132" t="s">
        <v>243</v>
      </c>
      <c r="L56" s="132" t="s">
        <v>155</v>
      </c>
      <c r="M56" s="132" t="s">
        <v>155</v>
      </c>
      <c r="N56" s="132" t="s">
        <v>416</v>
      </c>
      <c r="O56" s="132" t="s">
        <v>155</v>
      </c>
      <c r="P56" s="132" t="s">
        <v>417</v>
      </c>
      <c r="Q56" s="132" t="s">
        <v>182</v>
      </c>
      <c r="R56" s="132" t="s">
        <v>497</v>
      </c>
      <c r="S56" s="132" t="s">
        <v>413</v>
      </c>
      <c r="T56" s="132" t="s">
        <v>498</v>
      </c>
      <c r="U56" s="132" t="s">
        <v>499</v>
      </c>
      <c r="V56" s="132" t="s">
        <v>182</v>
      </c>
      <c r="W56" s="132" t="s">
        <v>500</v>
      </c>
      <c r="X56" s="132" t="s">
        <v>500</v>
      </c>
      <c r="Y56" s="132"/>
      <c r="Z56" s="132"/>
      <c r="AA56" s="132" t="s">
        <v>419</v>
      </c>
      <c r="AB56" s="132" t="s">
        <v>499</v>
      </c>
      <c r="AC56" s="132" t="s">
        <v>504</v>
      </c>
      <c r="AD56" s="132" t="s">
        <v>243</v>
      </c>
      <c r="AE56" s="132" t="s">
        <v>271</v>
      </c>
      <c r="AF56" s="132" t="s">
        <v>243</v>
      </c>
      <c r="AG56" s="132" t="s">
        <v>243</v>
      </c>
      <c r="AH56" s="132" t="s">
        <v>243</v>
      </c>
      <c r="AI56" s="132" t="s">
        <v>243</v>
      </c>
      <c r="AJ56" s="132" t="s">
        <v>243</v>
      </c>
      <c r="AK56" s="132" t="s">
        <v>243</v>
      </c>
      <c r="AL56" s="132" t="s">
        <v>243</v>
      </c>
      <c r="AM56" s="132" t="s">
        <v>182</v>
      </c>
      <c r="AN56" s="132" t="s">
        <v>243</v>
      </c>
      <c r="AO56" s="132" t="s">
        <v>243</v>
      </c>
      <c r="AP56" s="132" t="s">
        <v>245</v>
      </c>
      <c r="AQ56" s="132" t="s">
        <v>505</v>
      </c>
      <c r="AR56" s="132" t="s">
        <v>415</v>
      </c>
      <c r="AS56" s="132" t="s">
        <v>506</v>
      </c>
      <c r="AT56" s="132" t="s">
        <v>507</v>
      </c>
      <c r="AU56" s="132" t="s">
        <v>182</v>
      </c>
      <c r="AV56" s="132" t="s">
        <v>497</v>
      </c>
      <c r="AW56" s="132" t="s">
        <v>243</v>
      </c>
      <c r="AX56" s="132" t="s">
        <v>273</v>
      </c>
      <c r="AY56" s="132" t="s">
        <v>243</v>
      </c>
      <c r="AZ56" s="132" t="s">
        <v>182</v>
      </c>
      <c r="BA56" s="132" t="s">
        <v>243</v>
      </c>
      <c r="BB56" s="132" t="s">
        <v>282</v>
      </c>
      <c r="BC56" s="132" t="s">
        <v>283</v>
      </c>
      <c r="BD56" s="132" t="s">
        <v>283</v>
      </c>
      <c r="BE56" s="132" t="s">
        <v>508</v>
      </c>
      <c r="BF56" s="132" t="s">
        <v>509</v>
      </c>
      <c r="BG56" s="132" t="s">
        <v>509</v>
      </c>
    </row>
    <row r="57" spans="1:59">
      <c r="B57" s="144" t="s">
        <v>513</v>
      </c>
      <c r="C57" s="146" t="s">
        <v>466</v>
      </c>
      <c r="D57" s="132" t="s">
        <v>269</v>
      </c>
      <c r="E57" s="132" t="s">
        <v>444</v>
      </c>
      <c r="F57" s="132" t="s">
        <v>445</v>
      </c>
      <c r="G57" s="132" t="s">
        <v>446</v>
      </c>
      <c r="H57" s="225" t="s">
        <v>432</v>
      </c>
      <c r="I57" s="132" t="s">
        <v>184</v>
      </c>
      <c r="J57" s="132" t="s">
        <v>243</v>
      </c>
      <c r="K57" s="132" t="s">
        <v>243</v>
      </c>
      <c r="L57" s="132" t="s">
        <v>155</v>
      </c>
      <c r="M57" s="132" t="s">
        <v>155</v>
      </c>
      <c r="N57" s="132" t="s">
        <v>416</v>
      </c>
      <c r="O57" s="132" t="s">
        <v>155</v>
      </c>
      <c r="P57" s="132" t="s">
        <v>417</v>
      </c>
      <c r="Q57" s="132" t="s">
        <v>182</v>
      </c>
      <c r="R57" s="132" t="s">
        <v>497</v>
      </c>
      <c r="S57" s="132" t="s">
        <v>413</v>
      </c>
      <c r="T57" s="132" t="s">
        <v>498</v>
      </c>
      <c r="U57" s="132" t="s">
        <v>499</v>
      </c>
      <c r="V57" s="132" t="s">
        <v>182</v>
      </c>
      <c r="W57" s="132" t="s">
        <v>500</v>
      </c>
      <c r="X57" s="132" t="s">
        <v>500</v>
      </c>
      <c r="Y57" s="132"/>
      <c r="Z57" s="132"/>
      <c r="AA57" s="132" t="s">
        <v>419</v>
      </c>
      <c r="AB57" s="132" t="s">
        <v>499</v>
      </c>
      <c r="AC57" s="132" t="s">
        <v>504</v>
      </c>
      <c r="AD57" s="132" t="s">
        <v>243</v>
      </c>
      <c r="AE57" s="132" t="s">
        <v>271</v>
      </c>
      <c r="AF57" s="132" t="s">
        <v>243</v>
      </c>
      <c r="AG57" s="132" t="s">
        <v>243</v>
      </c>
      <c r="AH57" s="132" t="s">
        <v>243</v>
      </c>
      <c r="AI57" s="132" t="s">
        <v>243</v>
      </c>
      <c r="AJ57" s="132" t="s">
        <v>243</v>
      </c>
      <c r="AK57" s="132" t="s">
        <v>243</v>
      </c>
      <c r="AL57" s="132" t="s">
        <v>243</v>
      </c>
      <c r="AM57" s="132" t="s">
        <v>182</v>
      </c>
      <c r="AN57" s="132" t="s">
        <v>243</v>
      </c>
      <c r="AO57" s="132" t="s">
        <v>243</v>
      </c>
      <c r="AP57" s="132" t="s">
        <v>245</v>
      </c>
      <c r="AQ57" s="132" t="s">
        <v>505</v>
      </c>
      <c r="AR57" s="132" t="s">
        <v>415</v>
      </c>
      <c r="AS57" s="132" t="s">
        <v>506</v>
      </c>
      <c r="AT57" s="132" t="s">
        <v>507</v>
      </c>
      <c r="AU57" s="132" t="s">
        <v>182</v>
      </c>
      <c r="AV57" s="132" t="s">
        <v>497</v>
      </c>
      <c r="AW57" s="132" t="s">
        <v>243</v>
      </c>
      <c r="AX57" s="132" t="s">
        <v>273</v>
      </c>
      <c r="AY57" s="132" t="s">
        <v>243</v>
      </c>
      <c r="AZ57" s="132" t="s">
        <v>182</v>
      </c>
      <c r="BA57" s="132" t="s">
        <v>243</v>
      </c>
      <c r="BB57" s="132" t="s">
        <v>282</v>
      </c>
      <c r="BC57" s="132" t="s">
        <v>283</v>
      </c>
      <c r="BD57" s="132" t="s">
        <v>283</v>
      </c>
      <c r="BE57" s="132" t="s">
        <v>508</v>
      </c>
      <c r="BF57" s="132" t="s">
        <v>509</v>
      </c>
      <c r="BG57" s="132" t="s">
        <v>509</v>
      </c>
    </row>
    <row r="58" spans="1:59">
      <c r="B58" s="144" t="s">
        <v>514</v>
      </c>
      <c r="C58" s="146" t="s">
        <v>466</v>
      </c>
      <c r="D58" s="132" t="s">
        <v>269</v>
      </c>
      <c r="E58" s="132" t="s">
        <v>444</v>
      </c>
      <c r="F58" s="132" t="s">
        <v>285</v>
      </c>
      <c r="G58" s="132" t="s">
        <v>271</v>
      </c>
      <c r="H58" s="132" t="s">
        <v>271</v>
      </c>
      <c r="I58" s="132" t="s">
        <v>184</v>
      </c>
      <c r="J58" s="132" t="s">
        <v>243</v>
      </c>
      <c r="K58" s="132" t="s">
        <v>243</v>
      </c>
      <c r="L58" s="132" t="s">
        <v>155</v>
      </c>
      <c r="M58" s="132" t="s">
        <v>155</v>
      </c>
      <c r="N58" s="132" t="s">
        <v>416</v>
      </c>
      <c r="O58" s="132" t="s">
        <v>155</v>
      </c>
      <c r="P58" s="132" t="s">
        <v>417</v>
      </c>
      <c r="Q58" s="132" t="s">
        <v>182</v>
      </c>
      <c r="R58" s="132" t="s">
        <v>497</v>
      </c>
      <c r="S58" s="132" t="s">
        <v>413</v>
      </c>
      <c r="T58" s="132" t="s">
        <v>498</v>
      </c>
      <c r="U58" s="132" t="s">
        <v>499</v>
      </c>
      <c r="V58" s="132" t="s">
        <v>182</v>
      </c>
      <c r="W58" s="132" t="s">
        <v>500</v>
      </c>
      <c r="X58" s="132" t="s">
        <v>500</v>
      </c>
      <c r="Y58" s="132"/>
      <c r="Z58" s="132"/>
      <c r="AA58" s="132" t="s">
        <v>419</v>
      </c>
      <c r="AB58" s="132" t="s">
        <v>499</v>
      </c>
      <c r="AC58" s="132" t="s">
        <v>504</v>
      </c>
      <c r="AD58" s="132" t="s">
        <v>243</v>
      </c>
      <c r="AE58" s="132" t="s">
        <v>271</v>
      </c>
      <c r="AF58" s="132" t="s">
        <v>243</v>
      </c>
      <c r="AG58" s="132" t="s">
        <v>243</v>
      </c>
      <c r="AH58" s="132" t="s">
        <v>243</v>
      </c>
      <c r="AI58" s="132" t="s">
        <v>243</v>
      </c>
      <c r="AJ58" s="132" t="s">
        <v>243</v>
      </c>
      <c r="AK58" s="132" t="s">
        <v>243</v>
      </c>
      <c r="AL58" s="132" t="s">
        <v>243</v>
      </c>
      <c r="AM58" s="132" t="s">
        <v>182</v>
      </c>
      <c r="AN58" s="132" t="s">
        <v>243</v>
      </c>
      <c r="AO58" s="132" t="s">
        <v>243</v>
      </c>
      <c r="AP58" s="132" t="s">
        <v>245</v>
      </c>
      <c r="AQ58" s="132" t="s">
        <v>505</v>
      </c>
      <c r="AR58" s="132" t="s">
        <v>415</v>
      </c>
      <c r="AS58" s="132" t="s">
        <v>506</v>
      </c>
      <c r="AT58" s="132" t="s">
        <v>507</v>
      </c>
      <c r="AU58" s="132" t="s">
        <v>182</v>
      </c>
      <c r="AV58" s="132" t="s">
        <v>497</v>
      </c>
      <c r="AW58" s="132" t="s">
        <v>243</v>
      </c>
      <c r="AX58" s="132" t="s">
        <v>273</v>
      </c>
      <c r="AY58" s="132" t="s">
        <v>243</v>
      </c>
      <c r="AZ58" s="132" t="s">
        <v>182</v>
      </c>
      <c r="BA58" s="132" t="s">
        <v>243</v>
      </c>
      <c r="BB58" s="132" t="s">
        <v>282</v>
      </c>
      <c r="BC58" s="132" t="s">
        <v>283</v>
      </c>
      <c r="BD58" s="132" t="s">
        <v>283</v>
      </c>
      <c r="BE58" s="132" t="s">
        <v>508</v>
      </c>
      <c r="BF58" s="132" t="s">
        <v>509</v>
      </c>
      <c r="BG58" s="132" t="s">
        <v>509</v>
      </c>
    </row>
    <row r="59" spans="1:59">
      <c r="B59" s="144" t="s">
        <v>535</v>
      </c>
      <c r="C59" s="82" t="s">
        <v>168</v>
      </c>
      <c r="D59" s="132" t="s">
        <v>269</v>
      </c>
      <c r="E59" s="132" t="s">
        <v>533</v>
      </c>
      <c r="F59" s="132" t="s">
        <v>285</v>
      </c>
      <c r="G59" s="132" t="s">
        <v>534</v>
      </c>
      <c r="H59" s="225" t="s">
        <v>432</v>
      </c>
      <c r="I59" s="132" t="s">
        <v>184</v>
      </c>
      <c r="J59" s="132" t="s">
        <v>243</v>
      </c>
      <c r="K59" s="132" t="s">
        <v>243</v>
      </c>
      <c r="L59" s="132" t="s">
        <v>155</v>
      </c>
      <c r="M59" s="132" t="s">
        <v>155</v>
      </c>
      <c r="N59" s="132" t="s">
        <v>416</v>
      </c>
      <c r="O59" s="132" t="s">
        <v>155</v>
      </c>
      <c r="P59" s="132" t="s">
        <v>417</v>
      </c>
      <c r="Q59" s="132" t="s">
        <v>182</v>
      </c>
      <c r="R59" s="132" t="s">
        <v>497</v>
      </c>
      <c r="S59" s="132" t="s">
        <v>413</v>
      </c>
      <c r="T59" s="132" t="s">
        <v>498</v>
      </c>
      <c r="U59" s="132" t="s">
        <v>499</v>
      </c>
      <c r="V59" s="132" t="s">
        <v>182</v>
      </c>
      <c r="W59" s="132" t="s">
        <v>500</v>
      </c>
      <c r="X59" s="132" t="s">
        <v>500</v>
      </c>
      <c r="Y59" s="132"/>
      <c r="Z59" s="132"/>
      <c r="AA59" s="132" t="s">
        <v>419</v>
      </c>
      <c r="AB59" s="132">
        <v>5000</v>
      </c>
      <c r="AC59" s="132">
        <v>99999999</v>
      </c>
      <c r="AD59" s="132">
        <v>0</v>
      </c>
      <c r="AE59" s="132">
        <v>2</v>
      </c>
      <c r="AF59" s="132">
        <v>0</v>
      </c>
      <c r="AG59" s="132">
        <v>0</v>
      </c>
      <c r="AH59" s="132">
        <v>0</v>
      </c>
      <c r="AI59" s="132">
        <v>0</v>
      </c>
      <c r="AJ59" s="132">
        <v>0</v>
      </c>
      <c r="AK59" s="132">
        <v>0</v>
      </c>
      <c r="AL59" s="132">
        <v>0</v>
      </c>
      <c r="AM59" s="132">
        <v>1</v>
      </c>
      <c r="AN59" s="132">
        <v>0</v>
      </c>
      <c r="AO59" s="132">
        <v>0</v>
      </c>
      <c r="AP59" s="132">
        <v>1</v>
      </c>
      <c r="AQ59" s="132">
        <v>1111</v>
      </c>
      <c r="AR59" s="132" t="s">
        <v>415</v>
      </c>
      <c r="AS59" s="132">
        <v>30</v>
      </c>
      <c r="AT59" s="132">
        <v>10</v>
      </c>
      <c r="AU59" s="132">
        <v>1</v>
      </c>
      <c r="AV59" s="132">
        <v>0</v>
      </c>
      <c r="AW59" s="132">
        <v>0</v>
      </c>
      <c r="AX59" s="132">
        <v>0</v>
      </c>
      <c r="AY59" s="132">
        <v>0</v>
      </c>
      <c r="AZ59" s="132">
        <v>1</v>
      </c>
      <c r="BA59" s="132">
        <v>0</v>
      </c>
      <c r="BB59" s="132">
        <v>40640.750486111108</v>
      </c>
      <c r="BC59" s="132">
        <v>470195</v>
      </c>
      <c r="BD59" s="132">
        <v>470195</v>
      </c>
      <c r="BE59" s="132">
        <v>45392.67769675926</v>
      </c>
      <c r="BF59" s="132">
        <v>363363</v>
      </c>
      <c r="BG59" s="132">
        <v>363363</v>
      </c>
    </row>
    <row r="60" spans="1:59">
      <c r="B60" s="144" t="s">
        <v>562</v>
      </c>
      <c r="C60" s="82" t="s">
        <v>168</v>
      </c>
      <c r="D60" s="132" t="s">
        <v>269</v>
      </c>
      <c r="E60" s="132" t="s">
        <v>270</v>
      </c>
      <c r="F60" s="132" t="s">
        <v>462</v>
      </c>
      <c r="G60" s="132" t="s">
        <v>271</v>
      </c>
      <c r="H60" s="132" t="s">
        <v>271</v>
      </c>
      <c r="I60" s="132" t="s">
        <v>184</v>
      </c>
      <c r="J60" s="132" t="s">
        <v>243</v>
      </c>
      <c r="K60" s="132" t="s">
        <v>243</v>
      </c>
      <c r="L60" s="132" t="s">
        <v>155</v>
      </c>
      <c r="M60" s="132" t="s">
        <v>155</v>
      </c>
      <c r="N60" s="132" t="s">
        <v>416</v>
      </c>
      <c r="O60" s="132" t="s">
        <v>155</v>
      </c>
      <c r="P60" s="132" t="s">
        <v>417</v>
      </c>
      <c r="Q60" s="132" t="s">
        <v>182</v>
      </c>
      <c r="R60" s="132" t="s">
        <v>497</v>
      </c>
      <c r="S60" s="132" t="s">
        <v>413</v>
      </c>
      <c r="T60" s="132" t="s">
        <v>498</v>
      </c>
      <c r="U60" s="132" t="s">
        <v>499</v>
      </c>
      <c r="V60" s="132" t="s">
        <v>182</v>
      </c>
      <c r="W60" s="132" t="s">
        <v>500</v>
      </c>
      <c r="X60" s="132" t="s">
        <v>500</v>
      </c>
      <c r="Y60" s="132"/>
      <c r="Z60" s="132"/>
      <c r="AA60" s="132" t="s">
        <v>419</v>
      </c>
      <c r="AB60" s="132">
        <v>5000</v>
      </c>
      <c r="AC60" s="132">
        <v>99999999</v>
      </c>
      <c r="AD60" s="132">
        <v>0</v>
      </c>
      <c r="AE60" s="132">
        <v>2</v>
      </c>
      <c r="AF60" s="132">
        <v>0</v>
      </c>
      <c r="AG60" s="132">
        <v>0</v>
      </c>
      <c r="AH60" s="132">
        <v>0</v>
      </c>
      <c r="AI60" s="132">
        <v>0</v>
      </c>
      <c r="AJ60" s="132">
        <v>0</v>
      </c>
      <c r="AK60" s="132">
        <v>0</v>
      </c>
      <c r="AL60" s="132">
        <v>0</v>
      </c>
      <c r="AM60" s="132">
        <v>1</v>
      </c>
      <c r="AN60" s="132">
        <v>0</v>
      </c>
      <c r="AO60" s="132">
        <v>0</v>
      </c>
      <c r="AP60" s="132">
        <v>1</v>
      </c>
      <c r="AQ60" s="132">
        <v>1111</v>
      </c>
      <c r="AR60" s="132" t="s">
        <v>415</v>
      </c>
      <c r="AS60" s="132">
        <v>30</v>
      </c>
      <c r="AT60" s="132">
        <v>10</v>
      </c>
      <c r="AU60" s="132">
        <v>1</v>
      </c>
      <c r="AV60" s="132">
        <v>0</v>
      </c>
      <c r="AW60" s="132">
        <v>0</v>
      </c>
      <c r="AX60" s="132">
        <v>0</v>
      </c>
      <c r="AY60" s="132">
        <v>0</v>
      </c>
      <c r="AZ60" s="132">
        <v>1</v>
      </c>
      <c r="BA60" s="132">
        <v>0</v>
      </c>
      <c r="BB60" s="132">
        <v>40640.750486111108</v>
      </c>
      <c r="BC60" s="132">
        <v>470195</v>
      </c>
      <c r="BD60" s="132">
        <v>470195</v>
      </c>
      <c r="BE60" s="132">
        <v>45392.67769675926</v>
      </c>
      <c r="BF60" s="132">
        <v>363363</v>
      </c>
      <c r="BG60" s="132">
        <v>363363</v>
      </c>
    </row>
    <row r="61" spans="1:59">
      <c r="B61" s="144" t="s">
        <v>600</v>
      </c>
      <c r="C61" s="82" t="s">
        <v>168</v>
      </c>
      <c r="D61" s="132" t="s">
        <v>269</v>
      </c>
      <c r="E61" s="132" t="s">
        <v>599</v>
      </c>
      <c r="F61" s="132" t="s">
        <v>285</v>
      </c>
      <c r="G61" s="132" t="s">
        <v>182</v>
      </c>
      <c r="H61" s="225" t="s">
        <v>432</v>
      </c>
      <c r="I61" s="132" t="s">
        <v>185</v>
      </c>
      <c r="J61" s="132" t="s">
        <v>243</v>
      </c>
      <c r="K61" s="132" t="s">
        <v>243</v>
      </c>
      <c r="L61" s="132" t="s">
        <v>155</v>
      </c>
      <c r="M61" s="132" t="s">
        <v>155</v>
      </c>
      <c r="N61" s="132" t="s">
        <v>416</v>
      </c>
      <c r="O61" s="132" t="s">
        <v>155</v>
      </c>
      <c r="P61" s="132" t="s">
        <v>417</v>
      </c>
      <c r="Q61" s="132" t="s">
        <v>182</v>
      </c>
      <c r="R61" s="132" t="s">
        <v>497</v>
      </c>
      <c r="S61" s="132" t="s">
        <v>413</v>
      </c>
      <c r="T61" s="132" t="s">
        <v>498</v>
      </c>
      <c r="U61" s="132" t="s">
        <v>499</v>
      </c>
      <c r="V61" s="132" t="s">
        <v>182</v>
      </c>
      <c r="W61" s="132" t="s">
        <v>500</v>
      </c>
      <c r="X61" s="132" t="s">
        <v>500</v>
      </c>
      <c r="Y61" s="132"/>
      <c r="Z61" s="132"/>
      <c r="AA61" s="132" t="s">
        <v>419</v>
      </c>
      <c r="AB61" s="132">
        <v>5000</v>
      </c>
      <c r="AC61" s="132">
        <v>99999999</v>
      </c>
      <c r="AD61" s="132">
        <v>0</v>
      </c>
      <c r="AE61" s="132">
        <v>2</v>
      </c>
      <c r="AF61" s="132">
        <v>0</v>
      </c>
      <c r="AG61" s="132">
        <v>0</v>
      </c>
      <c r="AH61" s="132">
        <v>0</v>
      </c>
      <c r="AI61" s="132">
        <v>0</v>
      </c>
      <c r="AJ61" s="132">
        <v>0</v>
      </c>
      <c r="AK61" s="132">
        <v>0</v>
      </c>
      <c r="AL61" s="132">
        <v>0</v>
      </c>
      <c r="AM61" s="132">
        <v>1</v>
      </c>
      <c r="AN61" s="132">
        <v>0</v>
      </c>
      <c r="AO61" s="132">
        <v>0</v>
      </c>
      <c r="AP61" s="132">
        <v>1</v>
      </c>
      <c r="AQ61" s="132">
        <v>1111</v>
      </c>
      <c r="AR61" s="132" t="s">
        <v>415</v>
      </c>
      <c r="AS61" s="132">
        <v>30</v>
      </c>
      <c r="AT61" s="132">
        <v>10</v>
      </c>
      <c r="AU61" s="132">
        <v>1</v>
      </c>
      <c r="AV61" s="132">
        <v>0</v>
      </c>
      <c r="AW61" s="132">
        <v>0</v>
      </c>
      <c r="AX61" s="132">
        <v>0</v>
      </c>
      <c r="AY61" s="132">
        <v>0</v>
      </c>
      <c r="AZ61" s="132">
        <v>1</v>
      </c>
      <c r="BA61" s="132">
        <v>0</v>
      </c>
      <c r="BB61" s="132">
        <v>40640.750486111108</v>
      </c>
      <c r="BC61" s="132">
        <v>470195</v>
      </c>
      <c r="BD61" s="132">
        <v>470195</v>
      </c>
      <c r="BE61" s="132">
        <v>45392.67769675926</v>
      </c>
      <c r="BF61" s="132">
        <v>363363</v>
      </c>
      <c r="BG61" s="132">
        <v>363363</v>
      </c>
    </row>
    <row r="62" spans="1:59">
      <c r="B62" s="144" t="s">
        <v>606</v>
      </c>
      <c r="C62" s="82" t="s">
        <v>168</v>
      </c>
      <c r="D62" s="132" t="s">
        <v>269</v>
      </c>
      <c r="E62" s="132" t="s">
        <v>605</v>
      </c>
      <c r="F62" s="132" t="s">
        <v>285</v>
      </c>
      <c r="G62" s="132" t="s">
        <v>534</v>
      </c>
      <c r="H62" s="225" t="s">
        <v>432</v>
      </c>
      <c r="I62" s="132" t="s">
        <v>184</v>
      </c>
      <c r="J62" s="132" t="s">
        <v>243</v>
      </c>
      <c r="K62" s="132" t="s">
        <v>243</v>
      </c>
      <c r="L62" s="132" t="s">
        <v>155</v>
      </c>
      <c r="M62" s="132" t="s">
        <v>155</v>
      </c>
      <c r="N62" s="132" t="s">
        <v>416</v>
      </c>
      <c r="O62" s="132" t="s">
        <v>155</v>
      </c>
      <c r="P62" s="132" t="s">
        <v>417</v>
      </c>
      <c r="Q62" s="132" t="s">
        <v>182</v>
      </c>
      <c r="R62" s="132" t="s">
        <v>497</v>
      </c>
      <c r="S62" s="132" t="s">
        <v>413</v>
      </c>
      <c r="T62" s="132" t="s">
        <v>498</v>
      </c>
      <c r="U62" s="132" t="s">
        <v>499</v>
      </c>
      <c r="V62" s="132" t="s">
        <v>182</v>
      </c>
      <c r="W62" s="132" t="s">
        <v>500</v>
      </c>
      <c r="X62" s="132" t="s">
        <v>500</v>
      </c>
      <c r="Y62" s="132"/>
      <c r="Z62" s="132"/>
      <c r="AA62" s="132" t="s">
        <v>419</v>
      </c>
      <c r="AB62" s="132">
        <v>5000</v>
      </c>
      <c r="AC62" s="132">
        <v>99999999</v>
      </c>
      <c r="AD62" s="132">
        <v>0</v>
      </c>
      <c r="AE62" s="132">
        <v>2</v>
      </c>
      <c r="AF62" s="132">
        <v>0</v>
      </c>
      <c r="AG62" s="132">
        <v>0</v>
      </c>
      <c r="AH62" s="132">
        <v>0</v>
      </c>
      <c r="AI62" s="132">
        <v>0</v>
      </c>
      <c r="AJ62" s="132">
        <v>0</v>
      </c>
      <c r="AK62" s="132">
        <v>0</v>
      </c>
      <c r="AL62" s="132">
        <v>0</v>
      </c>
      <c r="AM62" s="132">
        <v>1</v>
      </c>
      <c r="AN62" s="132">
        <v>0</v>
      </c>
      <c r="AO62" s="132">
        <v>0</v>
      </c>
      <c r="AP62" s="132">
        <v>1</v>
      </c>
      <c r="AQ62" s="132">
        <v>1111</v>
      </c>
      <c r="AR62" s="132" t="s">
        <v>415</v>
      </c>
      <c r="AS62" s="132">
        <v>30</v>
      </c>
      <c r="AT62" s="132">
        <v>10</v>
      </c>
      <c r="AU62" s="132">
        <v>1</v>
      </c>
      <c r="AV62" s="132">
        <v>0</v>
      </c>
      <c r="AW62" s="132">
        <v>0</v>
      </c>
      <c r="AX62" s="132">
        <v>0</v>
      </c>
      <c r="AY62" s="132">
        <v>0</v>
      </c>
      <c r="AZ62" s="132">
        <v>1</v>
      </c>
      <c r="BA62" s="132">
        <v>0</v>
      </c>
      <c r="BB62" s="132">
        <v>40640.750486111108</v>
      </c>
      <c r="BC62" s="132">
        <v>470195</v>
      </c>
      <c r="BD62" s="132">
        <v>470195</v>
      </c>
      <c r="BE62" s="132">
        <v>45392.67769675926</v>
      </c>
      <c r="BF62" s="132">
        <v>363363</v>
      </c>
      <c r="BG62" s="132">
        <v>363363</v>
      </c>
    </row>
    <row r="63" spans="1:59">
      <c r="B63" s="64"/>
      <c r="C63" s="79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87"/>
      <c r="U63" s="87"/>
      <c r="V63" s="87"/>
      <c r="W63" s="87"/>
      <c r="X63" s="87"/>
      <c r="Y63" s="87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</row>
    <row r="64" spans="1:59">
      <c r="A64" s="263"/>
      <c r="B64" s="264"/>
      <c r="C64" s="264"/>
      <c r="D64" s="264"/>
      <c r="E64" s="264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15"/>
      <c r="U64" s="115"/>
      <c r="V64" s="115"/>
      <c r="W64" s="115"/>
      <c r="X64" s="115"/>
      <c r="Y64" s="115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</row>
    <row r="65" spans="1:41">
      <c r="A65" s="264"/>
      <c r="B65" s="264"/>
      <c r="C65" s="264"/>
      <c r="D65" s="264"/>
      <c r="E65" s="264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15"/>
      <c r="U65" s="115"/>
      <c r="V65" s="115"/>
      <c r="W65" s="115"/>
      <c r="X65" s="115"/>
      <c r="Y65" s="115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</row>
    <row r="66" spans="1:41">
      <c r="A66" s="179"/>
      <c r="B66" s="178"/>
      <c r="C66" s="180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15"/>
      <c r="U66" s="115"/>
      <c r="V66" s="115"/>
      <c r="W66" s="115"/>
      <c r="X66" s="115"/>
      <c r="Y66" s="115"/>
      <c r="Z66" s="108"/>
      <c r="AA66" s="108"/>
      <c r="AB66" s="108"/>
      <c r="AC66" s="108"/>
      <c r="AD66" s="108"/>
      <c r="AE66" s="108"/>
      <c r="AF66" s="108"/>
      <c r="AG66" s="108"/>
      <c r="AH66" s="108"/>
      <c r="AI66" s="68"/>
      <c r="AJ66" s="68"/>
      <c r="AK66" s="68"/>
      <c r="AL66" s="68"/>
      <c r="AM66" s="68"/>
      <c r="AN66" s="68"/>
      <c r="AO66" s="68"/>
    </row>
    <row r="67" spans="1:41" ht="19.5" customHeight="1">
      <c r="A67" s="179"/>
      <c r="B67" s="178"/>
      <c r="C67" s="181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108"/>
      <c r="AA67" s="108"/>
      <c r="AB67" s="108"/>
      <c r="AC67" s="108"/>
      <c r="AD67" s="108"/>
      <c r="AE67" s="108"/>
      <c r="AF67" s="108"/>
      <c r="AG67" s="108"/>
      <c r="AH67" s="108"/>
      <c r="AI67" s="67"/>
      <c r="AJ67" s="67"/>
      <c r="AK67" s="67"/>
      <c r="AL67" s="67"/>
      <c r="AM67" s="68"/>
      <c r="AN67" s="68"/>
      <c r="AO67" s="68"/>
    </row>
    <row r="68" spans="1:41" s="70" customFormat="1" ht="16.5" customHeight="1">
      <c r="A68" s="255"/>
      <c r="B68" s="255"/>
      <c r="C68" s="255"/>
      <c r="D68" s="207"/>
      <c r="E68" s="207"/>
      <c r="F68" s="207"/>
      <c r="G68" s="207"/>
      <c r="H68" s="207"/>
      <c r="I68" s="207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7"/>
      <c r="W68" s="207"/>
      <c r="X68" s="207"/>
      <c r="Y68" s="207"/>
      <c r="Z68" s="109"/>
      <c r="AA68" s="109"/>
      <c r="AB68" s="109"/>
      <c r="AC68" s="109"/>
      <c r="AD68" s="109"/>
      <c r="AE68" s="109"/>
      <c r="AF68" s="109"/>
      <c r="AG68" s="109"/>
      <c r="AH68" s="109"/>
      <c r="AI68" s="69"/>
      <c r="AJ68" s="69"/>
      <c r="AK68" s="69"/>
      <c r="AL68" s="69"/>
    </row>
    <row r="69" spans="1:41" s="76" customFormat="1" ht="93.75" customHeight="1">
      <c r="A69" s="182"/>
      <c r="B69" s="183"/>
      <c r="C69" s="184"/>
      <c r="D69" s="209"/>
      <c r="E69" s="210"/>
      <c r="F69" s="211"/>
      <c r="G69" s="209"/>
      <c r="H69" s="210"/>
      <c r="I69" s="209"/>
      <c r="J69" s="211"/>
      <c r="K69" s="212"/>
      <c r="L69" s="210"/>
      <c r="M69" s="212"/>
      <c r="N69" s="213"/>
      <c r="O69" s="212"/>
      <c r="P69" s="211"/>
      <c r="Q69" s="209"/>
      <c r="R69" s="211"/>
      <c r="S69" s="214"/>
      <c r="T69" s="213"/>
      <c r="U69" s="213"/>
      <c r="V69" s="214"/>
      <c r="W69" s="215"/>
      <c r="X69" s="215"/>
      <c r="Y69" s="214"/>
      <c r="Z69" s="216"/>
      <c r="AA69" s="216"/>
      <c r="AB69" s="110"/>
      <c r="AC69" s="110"/>
      <c r="AD69" s="110"/>
      <c r="AE69" s="110"/>
      <c r="AF69" s="110"/>
      <c r="AG69" s="110"/>
      <c r="AH69" s="216"/>
      <c r="AI69" s="74"/>
      <c r="AJ69" s="74"/>
      <c r="AK69" s="74"/>
      <c r="AL69" s="74"/>
      <c r="AM69" s="75"/>
      <c r="AN69" s="75"/>
      <c r="AO69" s="75"/>
    </row>
    <row r="70" spans="1:41" s="68" customFormat="1" ht="13.5" customHeight="1">
      <c r="A70" s="185"/>
      <c r="B70" s="186"/>
      <c r="C70" s="180"/>
      <c r="D70" s="112"/>
      <c r="E70" s="217"/>
      <c r="F70" s="217"/>
      <c r="G70" s="217"/>
      <c r="H70" s="217"/>
      <c r="I70" s="217"/>
      <c r="J70" s="112"/>
      <c r="K70" s="217"/>
      <c r="L70" s="112"/>
      <c r="M70" s="112"/>
      <c r="N70" s="112"/>
      <c r="O70" s="217"/>
      <c r="P70" s="217"/>
      <c r="Q70" s="112"/>
      <c r="R70" s="112"/>
      <c r="S70" s="112"/>
      <c r="T70" s="217"/>
      <c r="U70" s="217"/>
      <c r="V70" s="217"/>
      <c r="W70" s="112"/>
      <c r="X70" s="112"/>
      <c r="Y70" s="112"/>
      <c r="Z70" s="112"/>
      <c r="AA70" s="108"/>
      <c r="AB70" s="108"/>
      <c r="AC70" s="108"/>
      <c r="AD70" s="108"/>
      <c r="AE70" s="108"/>
      <c r="AF70" s="108"/>
      <c r="AG70" s="108"/>
      <c r="AH70" s="108"/>
      <c r="AI70" s="67"/>
      <c r="AJ70" s="67"/>
      <c r="AK70" s="67"/>
      <c r="AL70" s="67"/>
    </row>
    <row r="71" spans="1:41" ht="13.5" customHeight="1">
      <c r="A71" s="187"/>
      <c r="B71" s="188"/>
      <c r="C71" s="189"/>
      <c r="D71" s="112"/>
      <c r="E71" s="112"/>
      <c r="F71" s="112"/>
      <c r="G71" s="112"/>
      <c r="H71" s="113"/>
      <c r="I71" s="112"/>
      <c r="J71" s="112"/>
      <c r="K71" s="112"/>
      <c r="L71" s="112"/>
      <c r="M71" s="112"/>
      <c r="N71" s="112"/>
      <c r="O71" s="112"/>
      <c r="P71" s="114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08"/>
      <c r="AC71" s="115"/>
      <c r="AD71" s="108"/>
      <c r="AE71" s="115"/>
      <c r="AF71" s="108"/>
      <c r="AG71" s="108"/>
      <c r="AH71" s="112"/>
      <c r="AI71" s="83"/>
      <c r="AJ71" s="67"/>
      <c r="AK71" s="67"/>
      <c r="AL71" s="67"/>
      <c r="AM71" s="68"/>
      <c r="AN71" s="68"/>
      <c r="AO71" s="68"/>
    </row>
    <row r="72" spans="1:41" ht="13.5" customHeight="1">
      <c r="A72" s="187"/>
      <c r="B72" s="188"/>
      <c r="C72" s="189"/>
      <c r="D72" s="112"/>
      <c r="E72" s="112"/>
      <c r="F72" s="112"/>
      <c r="G72" s="112"/>
      <c r="H72" s="113"/>
      <c r="I72" s="112"/>
      <c r="J72" s="112"/>
      <c r="K72" s="112"/>
      <c r="L72" s="112"/>
      <c r="M72" s="112"/>
      <c r="N72" s="112"/>
      <c r="O72" s="112"/>
      <c r="P72" s="114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08"/>
      <c r="AC72" s="115"/>
      <c r="AD72" s="108"/>
      <c r="AE72" s="115"/>
      <c r="AF72" s="108"/>
      <c r="AG72" s="108"/>
      <c r="AH72" s="112"/>
      <c r="AI72" s="83"/>
      <c r="AJ72" s="67"/>
      <c r="AK72" s="67"/>
      <c r="AL72" s="67"/>
      <c r="AM72" s="68"/>
      <c r="AN72" s="68"/>
      <c r="AO72" s="68"/>
    </row>
    <row r="73" spans="1:41" ht="13.5" customHeight="1">
      <c r="A73" s="187"/>
      <c r="B73" s="188"/>
      <c r="C73" s="189"/>
      <c r="D73" s="112"/>
      <c r="E73" s="112"/>
      <c r="F73" s="112"/>
      <c r="G73" s="112"/>
      <c r="H73" s="113"/>
      <c r="I73" s="112"/>
      <c r="J73" s="112"/>
      <c r="K73" s="112"/>
      <c r="L73" s="112"/>
      <c r="M73" s="112"/>
      <c r="N73" s="112"/>
      <c r="O73" s="112"/>
      <c r="P73" s="114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08"/>
      <c r="AC73" s="115"/>
      <c r="AD73" s="108"/>
      <c r="AE73" s="115"/>
      <c r="AF73" s="108"/>
      <c r="AG73" s="108"/>
      <c r="AH73" s="108"/>
      <c r="AI73" s="83"/>
      <c r="AJ73" s="67"/>
      <c r="AK73" s="83"/>
      <c r="AL73" s="67"/>
      <c r="AM73" s="68"/>
      <c r="AN73" s="68"/>
      <c r="AO73" s="68"/>
    </row>
    <row r="74" spans="1:41">
      <c r="B74" s="64"/>
      <c r="C74" s="79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15"/>
      <c r="U74" s="115"/>
      <c r="V74" s="115"/>
      <c r="W74" s="115"/>
      <c r="X74" s="115"/>
      <c r="Y74" s="115"/>
      <c r="Z74" s="108"/>
      <c r="AA74" s="108"/>
      <c r="AB74" s="108"/>
      <c r="AC74" s="108"/>
      <c r="AD74" s="108"/>
      <c r="AE74" s="108"/>
      <c r="AF74" s="108"/>
      <c r="AG74" s="108"/>
      <c r="AH74" s="108"/>
      <c r="AI74" s="68"/>
      <c r="AJ74" s="68"/>
      <c r="AK74" s="68"/>
      <c r="AL74" s="68"/>
      <c r="AM74" s="68"/>
      <c r="AN74" s="68"/>
      <c r="AO74" s="68"/>
    </row>
    <row r="75" spans="1:41">
      <c r="B75" s="64"/>
      <c r="C75" s="79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15"/>
      <c r="U75" s="115"/>
      <c r="V75" s="115"/>
      <c r="W75" s="115"/>
      <c r="X75" s="115"/>
      <c r="Y75" s="115"/>
      <c r="Z75" s="108"/>
      <c r="AA75" s="108"/>
      <c r="AB75" s="108"/>
      <c r="AC75" s="108"/>
      <c r="AD75" s="108"/>
      <c r="AE75" s="108"/>
      <c r="AF75" s="108"/>
      <c r="AG75" s="108"/>
      <c r="AH75" s="108"/>
      <c r="AI75" s="68"/>
      <c r="AJ75" s="68"/>
      <c r="AK75" s="68"/>
      <c r="AL75" s="68"/>
      <c r="AM75" s="68"/>
      <c r="AN75" s="68"/>
      <c r="AO75" s="68"/>
    </row>
    <row r="76" spans="1:41">
      <c r="B76" s="64"/>
      <c r="C76" s="79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15"/>
      <c r="U76" s="115"/>
      <c r="V76" s="115"/>
      <c r="W76" s="115"/>
      <c r="X76" s="115"/>
      <c r="Y76" s="115"/>
      <c r="Z76" s="108"/>
      <c r="AA76" s="108"/>
      <c r="AB76" s="108"/>
      <c r="AC76" s="108"/>
      <c r="AD76" s="108"/>
      <c r="AE76" s="108"/>
      <c r="AF76" s="108"/>
      <c r="AG76" s="108"/>
      <c r="AH76" s="108"/>
      <c r="AI76" s="68"/>
      <c r="AJ76" s="68"/>
      <c r="AK76" s="68"/>
      <c r="AL76" s="68"/>
      <c r="AM76" s="68"/>
      <c r="AN76" s="68"/>
      <c r="AO76" s="68"/>
    </row>
    <row r="77" spans="1:41">
      <c r="B77" s="64"/>
      <c r="C77" s="79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15"/>
      <c r="U77" s="115"/>
      <c r="V77" s="115"/>
      <c r="W77" s="115"/>
      <c r="X77" s="115"/>
      <c r="Y77" s="115"/>
      <c r="Z77" s="108"/>
      <c r="AA77" s="108"/>
      <c r="AB77" s="108"/>
      <c r="AC77" s="108"/>
      <c r="AD77" s="108"/>
      <c r="AE77" s="108"/>
      <c r="AF77" s="108"/>
      <c r="AG77" s="108"/>
      <c r="AH77" s="108"/>
      <c r="AI77" s="68"/>
      <c r="AJ77" s="68"/>
      <c r="AK77" s="68"/>
      <c r="AL77" s="68"/>
      <c r="AM77" s="68"/>
      <c r="AN77" s="68"/>
      <c r="AO77" s="68"/>
    </row>
    <row r="78" spans="1:41">
      <c r="B78" s="64"/>
      <c r="C78" s="79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87"/>
      <c r="U78" s="87"/>
      <c r="V78" s="87"/>
      <c r="W78" s="87"/>
      <c r="X78" s="87"/>
      <c r="Y78" s="87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</row>
  </sheetData>
  <mergeCells count="8">
    <mergeCell ref="D67:Y67"/>
    <mergeCell ref="A68:C68"/>
    <mergeCell ref="B2:K2"/>
    <mergeCell ref="D11:Y11"/>
    <mergeCell ref="A12:C12"/>
    <mergeCell ref="D39:S39"/>
    <mergeCell ref="A40:C40"/>
    <mergeCell ref="A64:E65"/>
  </mergeCells>
  <phoneticPr fontId="3"/>
  <hyperlinks>
    <hyperlink ref="A1" location="TCS!A1" display="戻る" xr:uid="{A9A9D66D-7FBE-43EA-A29B-CD90C9B692DB}"/>
  </hyperlinks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2238-2592-4702-B567-3D7E73475D20}">
  <dimension ref="A1:M83"/>
  <sheetViews>
    <sheetView showGridLines="0" zoomScaleNormal="100" workbookViewId="0">
      <pane ySplit="3" topLeftCell="A4" activePane="bottomLeft" state="frozen"/>
      <selection activeCell="G18" sqref="G18"/>
      <selection pane="bottomLeft"/>
    </sheetView>
  </sheetViews>
  <sheetFormatPr defaultColWidth="9" defaultRowHeight="15"/>
  <cols>
    <col min="1" max="1" width="5.453125" style="27" customWidth="1"/>
    <col min="2" max="2" width="7.453125" style="27" customWidth="1"/>
    <col min="3" max="3" width="9" style="27"/>
    <col min="4" max="4" width="22.36328125" style="28" customWidth="1"/>
    <col min="5" max="5" width="27.1796875" style="28" customWidth="1"/>
    <col min="6" max="6" width="28.453125" style="28" customWidth="1"/>
    <col min="7" max="7" width="29.453125" style="28" customWidth="1"/>
    <col min="8" max="8" width="36.54296875" style="28" customWidth="1"/>
    <col min="9" max="9" width="29.453125" style="28" customWidth="1"/>
    <col min="10" max="10" width="31.54296875" style="28" customWidth="1"/>
    <col min="11" max="11" width="25.81640625" style="28" customWidth="1"/>
    <col min="12" max="12" width="26.1796875" style="28" customWidth="1"/>
    <col min="13" max="13" width="29.08984375" style="28" customWidth="1"/>
    <col min="14" max="16384" width="9" style="27"/>
  </cols>
  <sheetData>
    <row r="1" spans="1:13">
      <c r="A1" s="100" t="s">
        <v>144</v>
      </c>
    </row>
    <row r="2" spans="1:13" ht="33" thickBot="1">
      <c r="A2" s="29"/>
      <c r="B2" s="30" t="s">
        <v>145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6" thickTop="1" thickBot="1">
      <c r="B3" s="32" t="s">
        <v>146</v>
      </c>
      <c r="C3" s="32" t="s">
        <v>147</v>
      </c>
      <c r="D3" s="32"/>
      <c r="E3" s="33"/>
    </row>
    <row r="4" spans="1:13">
      <c r="B4" s="190" t="s">
        <v>188</v>
      </c>
      <c r="C4" s="34" t="s">
        <v>189</v>
      </c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</row>
    <row r="6" spans="1:13">
      <c r="B6" s="39"/>
      <c r="C6" s="191" t="s">
        <v>148</v>
      </c>
      <c r="D6" s="192" t="s">
        <v>203</v>
      </c>
      <c r="E6" s="193"/>
      <c r="F6" s="194"/>
      <c r="G6" s="194"/>
      <c r="H6" s="194"/>
      <c r="I6" s="194"/>
      <c r="J6" s="194"/>
      <c r="K6" s="194"/>
      <c r="L6" s="194"/>
      <c r="M6" s="40"/>
    </row>
    <row r="7" spans="1:13" s="41" customFormat="1" ht="13.5">
      <c r="B7" s="36"/>
      <c r="C7" s="205" t="s">
        <v>149</v>
      </c>
      <c r="D7" s="205"/>
      <c r="E7" s="205"/>
      <c r="F7" s="205"/>
      <c r="G7" s="205"/>
      <c r="H7" s="205"/>
      <c r="I7" s="205"/>
      <c r="J7" s="205"/>
      <c r="K7" s="205"/>
      <c r="L7" s="205"/>
      <c r="M7" s="206"/>
    </row>
    <row r="8" spans="1:13" s="41" customFormat="1" ht="13.5">
      <c r="B8" s="36"/>
      <c r="C8" s="205" t="s">
        <v>190</v>
      </c>
      <c r="D8" s="205"/>
      <c r="E8" s="205"/>
      <c r="F8" s="205"/>
      <c r="G8" s="205"/>
      <c r="H8" s="205"/>
      <c r="I8" s="205"/>
      <c r="J8" s="205"/>
      <c r="K8" s="205"/>
      <c r="L8" s="205"/>
      <c r="M8" s="206"/>
    </row>
    <row r="9" spans="1:13" s="41" customFormat="1" ht="13.5">
      <c r="B9" s="36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6"/>
    </row>
    <row r="10" spans="1:13" s="41" customFormat="1" ht="13.5">
      <c r="B10" s="36"/>
      <c r="C10" s="205" t="s">
        <v>152</v>
      </c>
      <c r="D10" s="205"/>
      <c r="E10" s="205"/>
      <c r="F10" s="205"/>
      <c r="G10" s="205"/>
      <c r="H10" s="205"/>
      <c r="I10" s="205"/>
      <c r="J10" s="205"/>
      <c r="K10" s="205"/>
      <c r="L10" s="205"/>
      <c r="M10" s="206"/>
    </row>
    <row r="11" spans="1:13" s="41" customFormat="1" ht="13.5">
      <c r="B11" s="36"/>
      <c r="C11" s="231" t="s">
        <v>153</v>
      </c>
      <c r="D11" s="231" t="s">
        <v>154</v>
      </c>
      <c r="E11" s="231" t="s">
        <v>156</v>
      </c>
      <c r="F11" s="231" t="s">
        <v>217</v>
      </c>
      <c r="G11" s="231" t="s">
        <v>191</v>
      </c>
      <c r="H11" s="231" t="s">
        <v>192</v>
      </c>
      <c r="I11" s="231" t="s">
        <v>193</v>
      </c>
      <c r="J11" s="231" t="s">
        <v>194</v>
      </c>
      <c r="K11" s="231" t="s">
        <v>195</v>
      </c>
      <c r="L11" s="231" t="s">
        <v>196</v>
      </c>
      <c r="M11" s="232" t="s">
        <v>197</v>
      </c>
    </row>
    <row r="12" spans="1:13" s="41" customFormat="1" ht="13.5">
      <c r="B12" s="36"/>
      <c r="C12" s="231">
        <v>-2</v>
      </c>
      <c r="D12" s="231" t="s">
        <v>155</v>
      </c>
      <c r="E12" s="231" t="s">
        <v>565</v>
      </c>
      <c r="F12" s="231" t="s">
        <v>198</v>
      </c>
      <c r="G12" s="231" t="s">
        <v>199</v>
      </c>
      <c r="H12" s="231" t="s">
        <v>155</v>
      </c>
      <c r="I12" s="231" t="s">
        <v>155</v>
      </c>
      <c r="J12" s="231" t="s">
        <v>155</v>
      </c>
      <c r="K12" s="231" t="s">
        <v>155</v>
      </c>
      <c r="L12" s="231">
        <v>0</v>
      </c>
      <c r="M12" s="232" t="s">
        <v>155</v>
      </c>
    </row>
    <row r="13" spans="1:13" s="41" customFormat="1" ht="13.5">
      <c r="B13" s="36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6"/>
    </row>
    <row r="14" spans="1:13" s="41" customFormat="1" ht="13.5">
      <c r="B14" s="36"/>
      <c r="C14" s="197"/>
      <c r="D14" s="197"/>
      <c r="E14" s="198"/>
      <c r="F14" s="198"/>
      <c r="G14" s="197"/>
      <c r="H14" s="37"/>
      <c r="I14" s="37"/>
      <c r="J14" s="37"/>
      <c r="K14" s="37"/>
      <c r="L14" s="37"/>
      <c r="M14" s="38"/>
    </row>
    <row r="15" spans="1:13" s="41" customFormat="1" ht="13.5">
      <c r="B15" s="36"/>
      <c r="C15" s="191" t="s">
        <v>148</v>
      </c>
      <c r="D15" s="192" t="s">
        <v>204</v>
      </c>
      <c r="E15" s="193"/>
      <c r="F15" s="194"/>
      <c r="G15" s="194"/>
      <c r="H15" s="194"/>
      <c r="I15" s="194"/>
      <c r="J15" s="194"/>
      <c r="K15" s="194"/>
      <c r="L15" s="194"/>
      <c r="M15" s="38"/>
    </row>
    <row r="16" spans="1:13" s="41" customFormat="1" ht="13.5">
      <c r="B16" s="36"/>
      <c r="C16" s="205" t="s">
        <v>149</v>
      </c>
      <c r="D16" s="205"/>
      <c r="E16" s="205"/>
      <c r="F16" s="205"/>
      <c r="G16" s="205"/>
      <c r="H16" s="205"/>
      <c r="I16" s="205"/>
      <c r="J16" s="205"/>
      <c r="K16" s="205"/>
      <c r="L16" s="205"/>
      <c r="M16" s="206"/>
    </row>
    <row r="17" spans="2:13" s="41" customFormat="1" ht="13.5">
      <c r="B17" s="36"/>
      <c r="C17" s="205" t="s">
        <v>202</v>
      </c>
      <c r="D17" s="205"/>
      <c r="E17" s="205"/>
      <c r="F17" s="205"/>
      <c r="G17" s="205"/>
      <c r="H17" s="205"/>
      <c r="I17" s="205"/>
      <c r="J17" s="205"/>
      <c r="K17" s="205"/>
      <c r="L17" s="205"/>
      <c r="M17" s="206"/>
    </row>
    <row r="18" spans="2:13" s="41" customFormat="1" ht="13.5">
      <c r="B18" s="36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6"/>
    </row>
    <row r="19" spans="2:13" s="41" customFormat="1" ht="13.5">
      <c r="B19" s="36"/>
      <c r="C19" s="205" t="s">
        <v>152</v>
      </c>
      <c r="D19" s="205"/>
      <c r="E19" s="205"/>
      <c r="F19" s="205"/>
      <c r="G19" s="205"/>
      <c r="H19" s="205"/>
      <c r="I19" s="205"/>
      <c r="J19" s="205"/>
      <c r="K19" s="205"/>
      <c r="L19" s="205"/>
      <c r="M19" s="206"/>
    </row>
    <row r="20" spans="2:13" s="41" customFormat="1" ht="13.5">
      <c r="B20" s="36"/>
      <c r="C20" s="231" t="s">
        <v>153</v>
      </c>
      <c r="D20" s="231" t="s">
        <v>154</v>
      </c>
      <c r="E20" s="231" t="s">
        <v>156</v>
      </c>
      <c r="F20" s="231" t="s">
        <v>157</v>
      </c>
      <c r="G20" s="231" t="s">
        <v>191</v>
      </c>
      <c r="H20" s="231" t="s">
        <v>192</v>
      </c>
      <c r="I20" s="231" t="s">
        <v>193</v>
      </c>
      <c r="J20" s="231" t="s">
        <v>194</v>
      </c>
      <c r="K20" s="231" t="s">
        <v>195</v>
      </c>
      <c r="L20" s="231" t="s">
        <v>196</v>
      </c>
      <c r="M20" s="232" t="s">
        <v>197</v>
      </c>
    </row>
    <row r="21" spans="2:13" s="41" customFormat="1" ht="13.5">
      <c r="B21" s="36"/>
      <c r="C21" s="231">
        <v>-2</v>
      </c>
      <c r="D21" s="231" t="s">
        <v>155</v>
      </c>
      <c r="E21" s="231" t="s">
        <v>564</v>
      </c>
      <c r="F21" s="231" t="s">
        <v>636</v>
      </c>
      <c r="G21" s="231" t="s">
        <v>199</v>
      </c>
      <c r="H21" s="231" t="s">
        <v>155</v>
      </c>
      <c r="I21" s="231" t="s">
        <v>155</v>
      </c>
      <c r="J21" s="231" t="s">
        <v>155</v>
      </c>
      <c r="K21" s="231" t="s">
        <v>155</v>
      </c>
      <c r="L21" s="231">
        <v>0</v>
      </c>
      <c r="M21" s="232" t="s">
        <v>155</v>
      </c>
    </row>
    <row r="22" spans="2:13" s="41" customFormat="1" ht="13.5">
      <c r="B22" s="36"/>
      <c r="C22" s="197"/>
      <c r="D22" s="197"/>
      <c r="E22" s="198"/>
      <c r="F22" s="198"/>
      <c r="G22" s="197"/>
      <c r="H22" s="37"/>
      <c r="I22" s="37"/>
      <c r="J22" s="37"/>
      <c r="K22" s="37"/>
      <c r="L22" s="37"/>
      <c r="M22" s="38"/>
    </row>
    <row r="23" spans="2:13" s="41" customFormat="1" ht="14" thickBot="1">
      <c r="B23" s="36"/>
      <c r="D23" s="37"/>
      <c r="E23" s="37"/>
      <c r="F23" s="37"/>
      <c r="G23" s="37"/>
      <c r="H23" s="37"/>
      <c r="I23" s="37"/>
      <c r="J23" s="37"/>
      <c r="K23" s="37"/>
      <c r="L23" s="37"/>
      <c r="M23" s="38"/>
    </row>
    <row r="24" spans="2:13">
      <c r="B24" s="199" t="s">
        <v>200</v>
      </c>
      <c r="C24" s="34" t="s">
        <v>201</v>
      </c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2:13">
      <c r="B25" s="42"/>
      <c r="C25" s="200"/>
      <c r="D25" s="95"/>
      <c r="E25" s="43"/>
      <c r="F25" s="43"/>
      <c r="G25" s="43"/>
      <c r="H25" s="43"/>
      <c r="I25" s="43"/>
      <c r="J25" s="43"/>
      <c r="K25" s="43"/>
      <c r="L25" s="43"/>
      <c r="M25" s="40"/>
    </row>
    <row r="26" spans="2:13">
      <c r="B26" s="42"/>
      <c r="C26" s="191" t="s">
        <v>148</v>
      </c>
      <c r="D26" s="192" t="s">
        <v>211</v>
      </c>
      <c r="E26" s="193"/>
      <c r="F26" s="194"/>
      <c r="G26" s="194"/>
      <c r="H26" s="194"/>
      <c r="I26" s="194"/>
      <c r="J26" s="194"/>
      <c r="K26" s="194"/>
      <c r="L26" s="194"/>
      <c r="M26" s="40"/>
    </row>
    <row r="27" spans="2:13">
      <c r="B27" s="42"/>
      <c r="C27" s="205" t="s">
        <v>149</v>
      </c>
      <c r="D27" s="205"/>
      <c r="E27" s="205"/>
      <c r="F27" s="205"/>
      <c r="G27" s="205"/>
      <c r="H27" s="205"/>
      <c r="I27" s="205"/>
      <c r="J27" s="205"/>
      <c r="K27" s="205"/>
      <c r="L27" s="205"/>
      <c r="M27" s="206"/>
    </row>
    <row r="28" spans="2:13">
      <c r="B28" s="42"/>
      <c r="C28" s="205" t="s">
        <v>206</v>
      </c>
      <c r="D28" s="205"/>
      <c r="E28" s="205"/>
      <c r="F28" s="205"/>
      <c r="G28" s="205"/>
      <c r="H28" s="205"/>
      <c r="I28" s="205"/>
      <c r="J28" s="205"/>
      <c r="K28" s="205"/>
      <c r="L28" s="205"/>
      <c r="M28" s="206"/>
    </row>
    <row r="29" spans="2:13">
      <c r="B29" s="42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6"/>
    </row>
    <row r="30" spans="2:13">
      <c r="B30" s="42"/>
      <c r="C30" s="205" t="s">
        <v>152</v>
      </c>
      <c r="D30" s="205"/>
      <c r="E30" s="205"/>
      <c r="F30" s="205"/>
      <c r="G30" s="205"/>
      <c r="H30" s="205"/>
      <c r="I30" s="205"/>
      <c r="J30" s="205"/>
      <c r="K30" s="205"/>
      <c r="L30" s="205"/>
      <c r="M30" s="206"/>
    </row>
    <row r="31" spans="2:13">
      <c r="B31" s="42"/>
      <c r="C31" s="231" t="s">
        <v>153</v>
      </c>
      <c r="D31" s="231" t="s">
        <v>154</v>
      </c>
      <c r="E31" s="231" t="s">
        <v>156</v>
      </c>
      <c r="F31" s="231" t="s">
        <v>157</v>
      </c>
      <c r="G31" s="231" t="s">
        <v>191</v>
      </c>
      <c r="H31" s="231" t="s">
        <v>192</v>
      </c>
      <c r="I31" s="231" t="s">
        <v>193</v>
      </c>
      <c r="J31" s="231" t="s">
        <v>194</v>
      </c>
      <c r="K31" s="231" t="s">
        <v>195</v>
      </c>
      <c r="L31" s="231" t="s">
        <v>196</v>
      </c>
      <c r="M31" s="232" t="s">
        <v>197</v>
      </c>
    </row>
    <row r="32" spans="2:13">
      <c r="B32" s="39"/>
      <c r="C32" s="231">
        <v>-2</v>
      </c>
      <c r="D32" s="231" t="s">
        <v>155</v>
      </c>
      <c r="E32" s="231" t="s">
        <v>567</v>
      </c>
      <c r="F32" s="231" t="s">
        <v>641</v>
      </c>
      <c r="G32" s="231" t="s">
        <v>205</v>
      </c>
      <c r="H32" s="231" t="s">
        <v>155</v>
      </c>
      <c r="I32" s="231" t="s">
        <v>155</v>
      </c>
      <c r="J32" s="231" t="s">
        <v>155</v>
      </c>
      <c r="K32" s="231" t="s">
        <v>155</v>
      </c>
      <c r="L32" s="231">
        <v>0</v>
      </c>
      <c r="M32" s="232" t="s">
        <v>155</v>
      </c>
    </row>
    <row r="33" spans="2:13" s="41" customFormat="1" ht="13.5">
      <c r="B33" s="36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6"/>
    </row>
    <row r="34" spans="2:13" s="41" customFormat="1" ht="13.5">
      <c r="B34" s="36"/>
      <c r="C34" s="201"/>
      <c r="D34" s="197"/>
      <c r="E34" s="198"/>
      <c r="F34" s="198"/>
      <c r="G34" s="197"/>
      <c r="H34" s="197"/>
      <c r="I34" s="197"/>
      <c r="J34" s="197"/>
      <c r="K34" s="197"/>
      <c r="L34" s="37"/>
      <c r="M34" s="38"/>
    </row>
    <row r="35" spans="2:13" s="41" customFormat="1" ht="13.5">
      <c r="B35" s="36"/>
      <c r="C35" s="191" t="s">
        <v>148</v>
      </c>
      <c r="D35" s="192" t="s">
        <v>207</v>
      </c>
      <c r="E35" s="193"/>
      <c r="F35" s="194"/>
      <c r="G35" s="194"/>
      <c r="H35" s="194"/>
      <c r="I35" s="194"/>
      <c r="J35" s="194"/>
      <c r="K35" s="194"/>
      <c r="L35" s="194"/>
      <c r="M35" s="38"/>
    </row>
    <row r="36" spans="2:13" s="41" customFormat="1" ht="13.5">
      <c r="B36" s="36"/>
      <c r="C36" s="205" t="s">
        <v>149</v>
      </c>
      <c r="D36" s="205"/>
      <c r="E36" s="205"/>
      <c r="F36" s="205"/>
      <c r="G36" s="205"/>
      <c r="H36" s="205"/>
      <c r="I36" s="205"/>
      <c r="J36" s="205"/>
      <c r="K36" s="205"/>
      <c r="L36" s="205"/>
      <c r="M36" s="206"/>
    </row>
    <row r="37" spans="2:13" s="41" customFormat="1" ht="13.5">
      <c r="B37" s="36"/>
      <c r="C37" s="205" t="s">
        <v>208</v>
      </c>
      <c r="D37" s="205"/>
      <c r="E37" s="205"/>
      <c r="F37" s="205"/>
      <c r="G37" s="205"/>
      <c r="H37" s="205"/>
      <c r="I37" s="205"/>
      <c r="J37" s="205"/>
      <c r="K37" s="205"/>
      <c r="L37" s="205"/>
      <c r="M37" s="206"/>
    </row>
    <row r="38" spans="2:13" s="41" customFormat="1" ht="13.5">
      <c r="B38" s="36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6"/>
    </row>
    <row r="39" spans="2:13" s="41" customFormat="1" ht="13.5">
      <c r="B39" s="36"/>
      <c r="C39" s="205" t="s">
        <v>152</v>
      </c>
      <c r="D39" s="205"/>
      <c r="E39" s="205"/>
      <c r="F39" s="205"/>
      <c r="G39" s="205"/>
      <c r="H39" s="205"/>
      <c r="I39" s="205"/>
      <c r="J39" s="205"/>
      <c r="K39" s="205"/>
      <c r="L39" s="205"/>
      <c r="M39" s="206"/>
    </row>
    <row r="40" spans="2:13" s="41" customFormat="1" ht="13.5">
      <c r="B40" s="36"/>
      <c r="C40" s="231" t="s">
        <v>153</v>
      </c>
      <c r="D40" s="231" t="s">
        <v>154</v>
      </c>
      <c r="E40" s="231" t="s">
        <v>156</v>
      </c>
      <c r="F40" s="231" t="s">
        <v>157</v>
      </c>
      <c r="G40" s="231" t="s">
        <v>191</v>
      </c>
      <c r="H40" s="231" t="s">
        <v>192</v>
      </c>
      <c r="I40" s="231" t="s">
        <v>193</v>
      </c>
      <c r="J40" s="231" t="s">
        <v>194</v>
      </c>
      <c r="K40" s="231" t="s">
        <v>195</v>
      </c>
      <c r="L40" s="231" t="s">
        <v>196</v>
      </c>
      <c r="M40" s="232" t="s">
        <v>197</v>
      </c>
    </row>
    <row r="41" spans="2:13" s="41" customFormat="1" ht="13.5">
      <c r="B41" s="36"/>
      <c r="C41" s="231">
        <v>-2</v>
      </c>
      <c r="D41" s="231" t="s">
        <v>155</v>
      </c>
      <c r="E41" s="231" t="s">
        <v>567</v>
      </c>
      <c r="F41" s="231" t="s">
        <v>637</v>
      </c>
      <c r="G41" s="231" t="s">
        <v>205</v>
      </c>
      <c r="H41" s="231" t="s">
        <v>155</v>
      </c>
      <c r="I41" s="231" t="s">
        <v>155</v>
      </c>
      <c r="J41" s="231" t="s">
        <v>155</v>
      </c>
      <c r="K41" s="231" t="s">
        <v>155</v>
      </c>
      <c r="L41" s="231">
        <v>0</v>
      </c>
      <c r="M41" s="232" t="s">
        <v>155</v>
      </c>
    </row>
    <row r="42" spans="2:13" s="41" customFormat="1" ht="13.5">
      <c r="B42" s="36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6"/>
    </row>
    <row r="43" spans="2:13" s="41" customFormat="1" ht="14" thickBot="1">
      <c r="B43" s="36"/>
      <c r="C43" s="197"/>
      <c r="D43" s="197"/>
      <c r="E43" s="198"/>
      <c r="F43" s="198"/>
      <c r="G43" s="197"/>
      <c r="H43" s="197"/>
      <c r="I43" s="197"/>
      <c r="J43" s="197"/>
      <c r="K43" s="197"/>
      <c r="L43" s="37"/>
      <c r="M43" s="38"/>
    </row>
    <row r="44" spans="2:13" s="41" customFormat="1" ht="13.5">
      <c r="B44" s="199" t="s">
        <v>209</v>
      </c>
      <c r="C44" s="34" t="s">
        <v>210</v>
      </c>
      <c r="D44" s="34"/>
      <c r="E44" s="34"/>
      <c r="F44" s="34"/>
      <c r="G44" s="34"/>
      <c r="H44" s="34"/>
      <c r="I44" s="34"/>
      <c r="J44" s="34"/>
      <c r="K44" s="34"/>
      <c r="L44" s="34"/>
      <c r="M44" s="35"/>
    </row>
    <row r="45" spans="2:13" s="41" customFormat="1" ht="13.5">
      <c r="B45" s="36"/>
      <c r="C45" s="197"/>
      <c r="D45" s="197"/>
      <c r="E45" s="198"/>
      <c r="F45" s="198"/>
      <c r="G45" s="197"/>
      <c r="H45" s="197"/>
      <c r="I45" s="197"/>
      <c r="J45" s="197"/>
      <c r="K45" s="197"/>
      <c r="L45" s="37"/>
      <c r="M45" s="38"/>
    </row>
    <row r="46" spans="2:13" s="41" customFormat="1" ht="13.5">
      <c r="B46" s="36"/>
      <c r="C46" s="191" t="s">
        <v>148</v>
      </c>
      <c r="D46" s="192" t="s">
        <v>212</v>
      </c>
      <c r="E46" s="193"/>
      <c r="F46" s="194"/>
      <c r="G46" s="194"/>
      <c r="H46" s="194"/>
      <c r="I46" s="194"/>
      <c r="J46" s="194"/>
      <c r="K46" s="194"/>
      <c r="L46" s="194"/>
      <c r="M46" s="38"/>
    </row>
    <row r="47" spans="2:13" s="41" customFormat="1" ht="13.5">
      <c r="B47" s="36"/>
      <c r="C47" s="205" t="s">
        <v>149</v>
      </c>
      <c r="D47" s="205"/>
      <c r="E47" s="205"/>
      <c r="F47" s="205"/>
      <c r="G47" s="205"/>
      <c r="H47" s="205"/>
      <c r="I47" s="205"/>
      <c r="J47" s="205"/>
      <c r="K47" s="205"/>
      <c r="L47" s="205"/>
      <c r="M47" s="206"/>
    </row>
    <row r="48" spans="2:13" s="41" customFormat="1" ht="13.5">
      <c r="B48" s="36"/>
      <c r="C48" s="205" t="s">
        <v>213</v>
      </c>
      <c r="D48" s="205"/>
      <c r="E48" s="205"/>
      <c r="F48" s="205"/>
      <c r="G48" s="205"/>
      <c r="H48" s="205"/>
      <c r="I48" s="205"/>
      <c r="J48" s="205"/>
      <c r="K48" s="205"/>
      <c r="L48" s="205"/>
      <c r="M48" s="206"/>
    </row>
    <row r="49" spans="2:13" s="41" customFormat="1" ht="13.5">
      <c r="B49" s="36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6"/>
    </row>
    <row r="50" spans="2:13">
      <c r="B50" s="42"/>
      <c r="C50" s="205" t="s">
        <v>152</v>
      </c>
      <c r="D50" s="205"/>
      <c r="E50" s="205"/>
      <c r="F50" s="205"/>
      <c r="G50" s="205"/>
      <c r="H50" s="205"/>
      <c r="I50" s="205"/>
      <c r="J50" s="205"/>
      <c r="K50" s="205"/>
      <c r="L50" s="205"/>
      <c r="M50" s="206"/>
    </row>
    <row r="51" spans="2:13">
      <c r="B51" s="42"/>
      <c r="C51" s="231" t="s">
        <v>153</v>
      </c>
      <c r="D51" s="231" t="s">
        <v>154</v>
      </c>
      <c r="E51" s="231" t="s">
        <v>156</v>
      </c>
      <c r="F51" s="231" t="s">
        <v>157</v>
      </c>
      <c r="G51" s="231" t="s">
        <v>191</v>
      </c>
      <c r="H51" s="231" t="s">
        <v>192</v>
      </c>
      <c r="I51" s="231" t="s">
        <v>193</v>
      </c>
      <c r="J51" s="231" t="s">
        <v>194</v>
      </c>
      <c r="K51" s="231" t="s">
        <v>195</v>
      </c>
      <c r="L51" s="231" t="s">
        <v>196</v>
      </c>
      <c r="M51" s="232" t="s">
        <v>197</v>
      </c>
    </row>
    <row r="52" spans="2:13">
      <c r="B52" s="42"/>
      <c r="C52" s="231">
        <v>-2</v>
      </c>
      <c r="D52" s="231" t="s">
        <v>155</v>
      </c>
      <c r="E52" s="231" t="s">
        <v>569</v>
      </c>
      <c r="F52" s="231" t="s">
        <v>642</v>
      </c>
      <c r="G52" s="231" t="s">
        <v>214</v>
      </c>
      <c r="H52" s="231" t="s">
        <v>155</v>
      </c>
      <c r="I52" s="231" t="s">
        <v>155</v>
      </c>
      <c r="J52" s="231" t="s">
        <v>155</v>
      </c>
      <c r="K52" s="231" t="s">
        <v>155</v>
      </c>
      <c r="L52" s="231">
        <v>0</v>
      </c>
      <c r="M52" s="232" t="s">
        <v>155</v>
      </c>
    </row>
    <row r="53" spans="2:13">
      <c r="B53" s="42"/>
      <c r="C53" s="195"/>
      <c r="D53" s="203"/>
      <c r="E53" s="202"/>
      <c r="F53" s="202"/>
      <c r="G53" s="202"/>
      <c r="H53" s="202"/>
      <c r="I53" s="202"/>
      <c r="J53" s="202"/>
      <c r="K53" s="202"/>
      <c r="L53" s="43"/>
      <c r="M53" s="40"/>
    </row>
    <row r="54" spans="2:13">
      <c r="B54" s="42"/>
      <c r="C54" s="195"/>
      <c r="D54" s="203"/>
      <c r="E54" s="202"/>
      <c r="F54" s="202"/>
      <c r="G54" s="202"/>
      <c r="H54" s="202"/>
      <c r="I54" s="202"/>
      <c r="J54" s="202"/>
      <c r="K54" s="202"/>
      <c r="L54" s="43"/>
      <c r="M54" s="40"/>
    </row>
    <row r="55" spans="2:13">
      <c r="B55" s="42"/>
      <c r="C55" s="191" t="s">
        <v>148</v>
      </c>
      <c r="D55" s="192" t="s">
        <v>215</v>
      </c>
      <c r="E55" s="193"/>
      <c r="F55" s="194"/>
      <c r="G55" s="194"/>
      <c r="H55" s="194"/>
      <c r="I55" s="194"/>
      <c r="J55" s="194"/>
      <c r="K55" s="194"/>
      <c r="L55" s="194"/>
      <c r="M55" s="40"/>
    </row>
    <row r="56" spans="2:13">
      <c r="B56" s="42"/>
      <c r="C56" s="205" t="s">
        <v>149</v>
      </c>
      <c r="D56" s="205"/>
      <c r="E56" s="205"/>
      <c r="F56" s="205"/>
      <c r="G56" s="205"/>
      <c r="H56" s="205"/>
      <c r="I56" s="205"/>
      <c r="J56" s="205"/>
      <c r="K56" s="205"/>
      <c r="L56" s="205"/>
      <c r="M56" s="206"/>
    </row>
    <row r="57" spans="2:13">
      <c r="B57" s="39"/>
      <c r="C57" s="205" t="s">
        <v>216</v>
      </c>
      <c r="D57" s="205"/>
      <c r="E57" s="205"/>
      <c r="F57" s="205"/>
      <c r="G57" s="205"/>
      <c r="H57" s="205"/>
      <c r="I57" s="205"/>
      <c r="J57" s="205"/>
      <c r="K57" s="205"/>
      <c r="L57" s="205"/>
      <c r="M57" s="206"/>
    </row>
    <row r="58" spans="2:13">
      <c r="B58" s="39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6"/>
    </row>
    <row r="59" spans="2:13" s="41" customFormat="1" ht="13.5">
      <c r="B59" s="36"/>
      <c r="C59" s="205" t="s">
        <v>152</v>
      </c>
      <c r="D59" s="205"/>
      <c r="E59" s="205"/>
      <c r="F59" s="205"/>
      <c r="G59" s="205"/>
      <c r="H59" s="205"/>
      <c r="I59" s="205"/>
      <c r="J59" s="205"/>
      <c r="K59" s="205"/>
      <c r="L59" s="205"/>
      <c r="M59" s="206"/>
    </row>
    <row r="60" spans="2:13" s="41" customFormat="1" ht="13.5">
      <c r="B60" s="36"/>
      <c r="C60" s="231" t="s">
        <v>153</v>
      </c>
      <c r="D60" s="231" t="s">
        <v>154</v>
      </c>
      <c r="E60" s="231" t="s">
        <v>156</v>
      </c>
      <c r="F60" s="231" t="s">
        <v>157</v>
      </c>
      <c r="G60" s="231" t="s">
        <v>191</v>
      </c>
      <c r="H60" s="231" t="s">
        <v>192</v>
      </c>
      <c r="I60" s="231" t="s">
        <v>193</v>
      </c>
      <c r="J60" s="231" t="s">
        <v>194</v>
      </c>
      <c r="K60" s="231" t="s">
        <v>195</v>
      </c>
      <c r="L60" s="231" t="s">
        <v>196</v>
      </c>
      <c r="M60" s="232" t="s">
        <v>197</v>
      </c>
    </row>
    <row r="61" spans="2:13" s="41" customFormat="1" ht="13.5">
      <c r="B61" s="36"/>
      <c r="C61" s="231">
        <v>-2</v>
      </c>
      <c r="D61" s="231" t="s">
        <v>155</v>
      </c>
      <c r="E61" s="231" t="s">
        <v>569</v>
      </c>
      <c r="F61" s="231" t="s">
        <v>638</v>
      </c>
      <c r="G61" s="231" t="s">
        <v>214</v>
      </c>
      <c r="H61" s="231" t="s">
        <v>155</v>
      </c>
      <c r="I61" s="231" t="s">
        <v>155</v>
      </c>
      <c r="J61" s="231" t="s">
        <v>155</v>
      </c>
      <c r="K61" s="231" t="s">
        <v>155</v>
      </c>
      <c r="L61" s="231">
        <v>0</v>
      </c>
      <c r="M61" s="232" t="s">
        <v>155</v>
      </c>
    </row>
    <row r="62" spans="2:13" s="41" customFormat="1" ht="13.5">
      <c r="B62" s="36"/>
      <c r="C62" s="197"/>
      <c r="D62" s="197"/>
      <c r="E62" s="198"/>
      <c r="F62" s="198"/>
      <c r="G62" s="197"/>
      <c r="H62" s="197"/>
      <c r="I62" s="197"/>
      <c r="J62" s="197"/>
      <c r="K62" s="197"/>
      <c r="L62" s="197"/>
      <c r="M62" s="38"/>
    </row>
    <row r="63" spans="2:13" s="41" customFormat="1" ht="14" thickBot="1">
      <c r="B63" s="36"/>
      <c r="C63" s="197"/>
      <c r="D63" s="197"/>
      <c r="E63" s="198"/>
      <c r="F63" s="198"/>
      <c r="G63" s="197"/>
      <c r="H63" s="197"/>
      <c r="I63" s="197"/>
      <c r="J63" s="197"/>
      <c r="K63" s="197"/>
      <c r="L63" s="197"/>
      <c r="M63" s="38"/>
    </row>
    <row r="64" spans="2:13" s="41" customFormat="1" ht="13.5">
      <c r="B64" s="199" t="s">
        <v>224</v>
      </c>
      <c r="C64" s="34" t="s">
        <v>218</v>
      </c>
      <c r="D64" s="34"/>
      <c r="E64" s="34"/>
      <c r="F64" s="34"/>
      <c r="G64" s="34"/>
      <c r="H64" s="34"/>
      <c r="I64" s="34"/>
      <c r="J64" s="34"/>
      <c r="K64" s="34"/>
      <c r="L64" s="34"/>
      <c r="M64" s="35"/>
    </row>
    <row r="65" spans="2:13" s="41" customFormat="1" ht="13.5">
      <c r="B65" s="36"/>
      <c r="C65" s="197"/>
      <c r="D65" s="197"/>
      <c r="E65" s="198"/>
      <c r="F65" s="198"/>
      <c r="G65" s="197"/>
      <c r="H65" s="197"/>
      <c r="I65" s="197"/>
      <c r="J65" s="197"/>
      <c r="K65" s="197"/>
      <c r="L65" s="197"/>
      <c r="M65" s="38"/>
    </row>
    <row r="66" spans="2:13" s="41" customFormat="1" ht="13.5">
      <c r="B66" s="36"/>
      <c r="C66" s="191" t="s">
        <v>148</v>
      </c>
      <c r="D66" s="192" t="s">
        <v>219</v>
      </c>
      <c r="E66" s="193"/>
      <c r="F66" s="194"/>
      <c r="G66" s="194"/>
      <c r="H66" s="194"/>
      <c r="I66" s="194"/>
      <c r="J66" s="194"/>
      <c r="K66" s="194"/>
      <c r="L66" s="194"/>
      <c r="M66" s="38"/>
    </row>
    <row r="67" spans="2:13" s="41" customFormat="1" ht="13.5">
      <c r="B67" s="36"/>
      <c r="C67" s="205" t="s">
        <v>149</v>
      </c>
      <c r="D67" s="205"/>
      <c r="E67" s="205"/>
      <c r="F67" s="205"/>
      <c r="G67" s="205"/>
      <c r="H67" s="205"/>
      <c r="I67" s="205"/>
      <c r="J67" s="205"/>
      <c r="K67" s="205"/>
      <c r="L67" s="205"/>
      <c r="M67" s="206"/>
    </row>
    <row r="68" spans="2:13" s="41" customFormat="1" ht="13.5">
      <c r="B68" s="36"/>
      <c r="C68" s="205" t="s">
        <v>221</v>
      </c>
      <c r="D68" s="205"/>
      <c r="E68" s="205"/>
      <c r="F68" s="205"/>
      <c r="G68" s="205"/>
      <c r="H68" s="205"/>
      <c r="I68" s="205"/>
      <c r="J68" s="205"/>
      <c r="K68" s="205"/>
      <c r="L68" s="205"/>
      <c r="M68" s="206"/>
    </row>
    <row r="69" spans="2:13" s="41" customFormat="1" ht="13.5">
      <c r="B69" s="36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6"/>
    </row>
    <row r="70" spans="2:13" s="41" customFormat="1" ht="13.5">
      <c r="B70" s="36"/>
      <c r="C70" s="205" t="s">
        <v>152</v>
      </c>
      <c r="D70" s="205"/>
      <c r="E70" s="205"/>
      <c r="F70" s="205"/>
      <c r="G70" s="205"/>
      <c r="H70" s="205"/>
      <c r="I70" s="205"/>
      <c r="J70" s="205"/>
      <c r="K70" s="205"/>
      <c r="L70" s="205"/>
      <c r="M70" s="206"/>
    </row>
    <row r="71" spans="2:13" s="41" customFormat="1" ht="13.5">
      <c r="B71" s="36"/>
      <c r="C71" s="231" t="s">
        <v>153</v>
      </c>
      <c r="D71" s="231" t="s">
        <v>154</v>
      </c>
      <c r="E71" s="231" t="s">
        <v>156</v>
      </c>
      <c r="F71" s="231" t="s">
        <v>157</v>
      </c>
      <c r="G71" s="231" t="s">
        <v>191</v>
      </c>
      <c r="H71" s="231" t="s">
        <v>192</v>
      </c>
      <c r="I71" s="231" t="s">
        <v>193</v>
      </c>
      <c r="J71" s="231" t="s">
        <v>194</v>
      </c>
      <c r="K71" s="231" t="s">
        <v>195</v>
      </c>
      <c r="L71" s="231" t="s">
        <v>196</v>
      </c>
      <c r="M71" s="232" t="s">
        <v>197</v>
      </c>
    </row>
    <row r="72" spans="2:13" s="41" customFormat="1" ht="13.5">
      <c r="B72" s="36"/>
      <c r="C72" s="231">
        <v>-2</v>
      </c>
      <c r="D72" s="231" t="s">
        <v>155</v>
      </c>
      <c r="E72" s="231" t="s">
        <v>571</v>
      </c>
      <c r="F72" s="231" t="s">
        <v>643</v>
      </c>
      <c r="G72" s="231" t="s">
        <v>222</v>
      </c>
      <c r="H72" s="231" t="s">
        <v>155</v>
      </c>
      <c r="I72" s="231" t="s">
        <v>155</v>
      </c>
      <c r="J72" s="231" t="s">
        <v>155</v>
      </c>
      <c r="K72" s="231" t="s">
        <v>155</v>
      </c>
      <c r="L72" s="231">
        <v>0</v>
      </c>
      <c r="M72" s="232" t="s">
        <v>155</v>
      </c>
    </row>
    <row r="73" spans="2:13" s="41" customFormat="1" ht="13.5">
      <c r="B73" s="36"/>
      <c r="C73" s="197"/>
      <c r="D73" s="197"/>
      <c r="E73" s="198"/>
      <c r="F73" s="198"/>
      <c r="G73" s="197"/>
      <c r="H73" s="197"/>
      <c r="I73" s="197"/>
      <c r="J73" s="197"/>
      <c r="K73" s="197"/>
      <c r="L73" s="197"/>
      <c r="M73" s="38"/>
    </row>
    <row r="74" spans="2:13" s="41" customFormat="1" ht="13.5">
      <c r="B74" s="36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38"/>
    </row>
    <row r="75" spans="2:13">
      <c r="B75" s="42"/>
      <c r="C75" s="191" t="s">
        <v>148</v>
      </c>
      <c r="D75" s="192" t="s">
        <v>220</v>
      </c>
      <c r="E75" s="193"/>
      <c r="F75" s="194"/>
      <c r="G75" s="194"/>
      <c r="H75" s="194"/>
      <c r="I75" s="194"/>
      <c r="J75" s="194"/>
      <c r="K75" s="194"/>
      <c r="L75" s="194"/>
      <c r="M75" s="40"/>
    </row>
    <row r="76" spans="2:13">
      <c r="B76" s="42"/>
      <c r="C76" s="205" t="s">
        <v>149</v>
      </c>
      <c r="D76" s="205"/>
      <c r="E76" s="205"/>
      <c r="F76" s="205"/>
      <c r="G76" s="205"/>
      <c r="H76" s="205"/>
      <c r="I76" s="205"/>
      <c r="J76" s="205"/>
      <c r="K76" s="205"/>
      <c r="L76" s="205"/>
      <c r="M76" s="206"/>
    </row>
    <row r="77" spans="2:13">
      <c r="B77" s="42"/>
      <c r="C77" s="205" t="s">
        <v>223</v>
      </c>
      <c r="D77" s="205"/>
      <c r="E77" s="205"/>
      <c r="F77" s="205"/>
      <c r="G77" s="205"/>
      <c r="H77" s="205"/>
      <c r="I77" s="205"/>
      <c r="J77" s="205"/>
      <c r="K77" s="205"/>
      <c r="L77" s="205"/>
      <c r="M77" s="206"/>
    </row>
    <row r="78" spans="2:13">
      <c r="B78" s="42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6"/>
    </row>
    <row r="79" spans="2:13">
      <c r="B79" s="42"/>
      <c r="C79" s="205" t="s">
        <v>152</v>
      </c>
      <c r="D79" s="205"/>
      <c r="E79" s="205"/>
      <c r="F79" s="205"/>
      <c r="G79" s="205"/>
      <c r="H79" s="205"/>
      <c r="I79" s="205"/>
      <c r="J79" s="205"/>
      <c r="K79" s="205"/>
      <c r="L79" s="205"/>
      <c r="M79" s="206"/>
    </row>
    <row r="80" spans="2:13">
      <c r="B80" s="42"/>
      <c r="C80" s="231" t="s">
        <v>153</v>
      </c>
      <c r="D80" s="231" t="s">
        <v>154</v>
      </c>
      <c r="E80" s="231" t="s">
        <v>156</v>
      </c>
      <c r="F80" s="231" t="s">
        <v>157</v>
      </c>
      <c r="G80" s="231" t="s">
        <v>191</v>
      </c>
      <c r="H80" s="231" t="s">
        <v>192</v>
      </c>
      <c r="I80" s="231" t="s">
        <v>193</v>
      </c>
      <c r="J80" s="231" t="s">
        <v>194</v>
      </c>
      <c r="K80" s="231" t="s">
        <v>195</v>
      </c>
      <c r="L80" s="231" t="s">
        <v>196</v>
      </c>
      <c r="M80" s="232" t="s">
        <v>197</v>
      </c>
    </row>
    <row r="81" spans="2:13">
      <c r="B81" s="42"/>
      <c r="C81" s="231">
        <v>-2</v>
      </c>
      <c r="D81" s="231" t="s">
        <v>155</v>
      </c>
      <c r="E81" s="231" t="s">
        <v>571</v>
      </c>
      <c r="F81" s="231" t="s">
        <v>639</v>
      </c>
      <c r="G81" s="231" t="s">
        <v>222</v>
      </c>
      <c r="H81" s="231" t="s">
        <v>155</v>
      </c>
      <c r="I81" s="231" t="s">
        <v>155</v>
      </c>
      <c r="J81" s="231" t="s">
        <v>155</v>
      </c>
      <c r="K81" s="231" t="s">
        <v>155</v>
      </c>
      <c r="L81" s="231">
        <v>0</v>
      </c>
      <c r="M81" s="232" t="s">
        <v>155</v>
      </c>
    </row>
    <row r="82" spans="2:13">
      <c r="B82" s="42"/>
      <c r="C82" s="204"/>
      <c r="D82" s="44"/>
      <c r="E82" s="44"/>
      <c r="F82" s="44"/>
      <c r="G82" s="44"/>
      <c r="H82" s="44"/>
      <c r="J82" s="44"/>
      <c r="K82" s="44"/>
      <c r="L82" s="44"/>
      <c r="M82" s="40"/>
    </row>
    <row r="83" spans="2:13" ht="15.5" thickBot="1">
      <c r="B83" s="45"/>
      <c r="C83" s="46"/>
      <c r="D83" s="47"/>
      <c r="E83" s="47"/>
      <c r="F83" s="47"/>
      <c r="G83" s="47"/>
      <c r="H83" s="47"/>
      <c r="I83" s="47"/>
      <c r="J83" s="47"/>
      <c r="K83" s="47"/>
      <c r="L83" s="47"/>
      <c r="M83" s="48"/>
    </row>
  </sheetData>
  <phoneticPr fontId="3"/>
  <hyperlinks>
    <hyperlink ref="A1" location="TCS!A1" display="戻る" xr:uid="{B58A403D-B1B7-42BA-A643-006AC035AF8C}"/>
  </hyperlinks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35A7-EB60-4820-99C5-C8569CAB2C5F}">
  <dimension ref="A1:BG729"/>
  <sheetViews>
    <sheetView zoomScale="85" zoomScaleNormal="85" workbookViewId="0"/>
  </sheetViews>
  <sheetFormatPr defaultRowHeight="13"/>
  <cols>
    <col min="2" max="2" width="14.08984375" bestFit="1" customWidth="1"/>
    <col min="3" max="3" width="42.7265625" customWidth="1"/>
    <col min="4" max="4" width="15.26953125" bestFit="1" customWidth="1"/>
    <col min="5" max="5" width="14.26953125" bestFit="1" customWidth="1"/>
    <col min="6" max="6" width="101.08984375" bestFit="1" customWidth="1"/>
    <col min="7" max="7" width="14" bestFit="1" customWidth="1"/>
    <col min="8" max="8" width="18.90625" bestFit="1" customWidth="1"/>
    <col min="9" max="9" width="16.90625" bestFit="1" customWidth="1"/>
    <col min="10" max="10" width="23.81640625" customWidth="1"/>
    <col min="11" max="11" width="12.6328125" bestFit="1" customWidth="1"/>
    <col min="12" max="12" width="26.453125" bestFit="1" customWidth="1"/>
    <col min="13" max="13" width="26.26953125" bestFit="1" customWidth="1"/>
    <col min="14" max="14" width="25.54296875" bestFit="1" customWidth="1"/>
    <col min="15" max="15" width="24.6328125" bestFit="1" customWidth="1"/>
    <col min="16" max="16" width="16.36328125" bestFit="1" customWidth="1"/>
    <col min="17" max="17" width="17.54296875" bestFit="1" customWidth="1"/>
    <col min="18" max="18" width="15.90625" bestFit="1" customWidth="1"/>
    <col min="19" max="19" width="13.90625" bestFit="1" customWidth="1"/>
    <col min="20" max="20" width="16.1796875" bestFit="1" customWidth="1"/>
    <col min="21" max="21" width="13.6328125" bestFit="1" customWidth="1"/>
    <col min="22" max="22" width="14.1796875" bestFit="1" customWidth="1"/>
    <col min="23" max="23" width="18.08984375" bestFit="1" customWidth="1"/>
    <col min="24" max="24" width="17" bestFit="1" customWidth="1"/>
    <col min="25" max="25" width="15" bestFit="1" customWidth="1"/>
    <col min="26" max="26" width="15.1796875" bestFit="1" customWidth="1"/>
    <col min="27" max="27" width="23.26953125" bestFit="1" customWidth="1"/>
    <col min="28" max="28" width="12.90625" bestFit="1" customWidth="1"/>
    <col min="29" max="29" width="13.6328125" bestFit="1" customWidth="1"/>
    <col min="30" max="30" width="23.26953125" bestFit="1" customWidth="1"/>
    <col min="31" max="31" width="13.453125" customWidth="1"/>
    <col min="32" max="32" width="13.1796875" customWidth="1"/>
    <col min="33" max="33" width="13.36328125" bestFit="1" customWidth="1"/>
    <col min="34" max="34" width="14.7265625" bestFit="1" customWidth="1"/>
    <col min="35" max="35" width="14.54296875" bestFit="1" customWidth="1"/>
    <col min="36" max="36" width="15.90625" bestFit="1" customWidth="1"/>
    <col min="37" max="37" width="19.36328125" bestFit="1" customWidth="1"/>
    <col min="38" max="38" width="20.7265625" bestFit="1" customWidth="1"/>
    <col min="39" max="39" width="18.7265625" bestFit="1" customWidth="1"/>
    <col min="40" max="40" width="17.81640625" bestFit="1" customWidth="1"/>
    <col min="41" max="41" width="14.7265625" bestFit="1" customWidth="1"/>
    <col min="42" max="42" width="11.81640625" bestFit="1" customWidth="1"/>
    <col min="43" max="43" width="15.54296875" bestFit="1" customWidth="1"/>
    <col min="44" max="44" width="14.54296875" bestFit="1" customWidth="1"/>
    <col min="45" max="45" width="13.6328125" bestFit="1" customWidth="1"/>
    <col min="46" max="46" width="25.1796875" bestFit="1" customWidth="1"/>
    <col min="47" max="47" width="18.90625" bestFit="1" customWidth="1"/>
    <col min="48" max="48" width="20.1796875" bestFit="1" customWidth="1"/>
    <col min="49" max="49" width="16.08984375" bestFit="1" customWidth="1"/>
    <col min="50" max="50" width="18.90625" bestFit="1" customWidth="1"/>
    <col min="51" max="51" width="19.08984375" bestFit="1" customWidth="1"/>
    <col min="52" max="52" width="14.26953125" bestFit="1" customWidth="1"/>
    <col min="53" max="53" width="15.26953125" bestFit="1" customWidth="1"/>
    <col min="54" max="54" width="12.90625" bestFit="1" customWidth="1"/>
    <col min="55" max="55" width="12.6328125" bestFit="1" customWidth="1"/>
    <col min="56" max="56" width="15.6328125" bestFit="1" customWidth="1"/>
    <col min="57" max="57" width="13.453125" bestFit="1" customWidth="1"/>
    <col min="58" max="58" width="13.1796875" bestFit="1" customWidth="1"/>
  </cols>
  <sheetData>
    <row r="1" spans="1:59" ht="15">
      <c r="A1" s="103" t="s">
        <v>144</v>
      </c>
      <c r="B1" s="152"/>
      <c r="C1" s="153"/>
      <c r="D1" s="154"/>
      <c r="E1" s="154"/>
      <c r="F1" s="154"/>
      <c r="G1" s="154"/>
      <c r="H1" s="154"/>
      <c r="I1" s="154"/>
      <c r="J1" s="154"/>
      <c r="K1" s="155"/>
      <c r="L1" s="155"/>
      <c r="M1" s="154"/>
      <c r="N1" s="154"/>
      <c r="O1" s="154"/>
      <c r="P1" s="154"/>
      <c r="Q1" s="154"/>
      <c r="R1" s="154"/>
      <c r="S1" s="154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6"/>
    </row>
    <row r="2" spans="1:59" ht="33" thickBot="1">
      <c r="A2" s="101"/>
      <c r="B2" s="157" t="s">
        <v>225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58"/>
    </row>
    <row r="3" spans="1:59" ht="14" thickTop="1" thickBot="1">
      <c r="B3" s="159" t="s">
        <v>146</v>
      </c>
      <c r="C3" s="160" t="s">
        <v>147</v>
      </c>
      <c r="BG3" s="158"/>
    </row>
    <row r="4" spans="1:59" ht="14" thickBot="1">
      <c r="B4" s="104" t="s">
        <v>226</v>
      </c>
      <c r="C4" s="105" t="s">
        <v>246</v>
      </c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58"/>
    </row>
    <row r="5" spans="1:59" ht="14" thickBot="1">
      <c r="B5" s="104" t="s">
        <v>247</v>
      </c>
      <c r="C5" s="105" t="s">
        <v>248</v>
      </c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58"/>
    </row>
    <row r="6" spans="1:59" ht="14" thickBot="1">
      <c r="B6" s="104" t="s">
        <v>435</v>
      </c>
      <c r="C6" s="105" t="s">
        <v>434</v>
      </c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58"/>
    </row>
    <row r="7" spans="1:59" ht="14" thickBot="1">
      <c r="B7" s="140" t="s">
        <v>433</v>
      </c>
      <c r="C7" s="105" t="s">
        <v>227</v>
      </c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58"/>
    </row>
    <row r="8" spans="1:59" ht="13.5">
      <c r="B8" s="106"/>
      <c r="C8" s="161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58"/>
    </row>
    <row r="9" spans="1:59" ht="13.5">
      <c r="B9" s="106"/>
      <c r="C9" s="161" t="s">
        <v>228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58"/>
    </row>
    <row r="10" spans="1:59" ht="13.5">
      <c r="B10" s="106"/>
      <c r="C10" s="161" t="s">
        <v>457</v>
      </c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58"/>
    </row>
    <row r="11" spans="1:59" ht="13.5">
      <c r="B11" s="106"/>
      <c r="C11" s="161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58"/>
    </row>
    <row r="12" spans="1:59" ht="15">
      <c r="B12" s="106"/>
      <c r="C12" s="257" t="s">
        <v>268</v>
      </c>
      <c r="D12" s="258"/>
      <c r="E12" s="258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60"/>
      <c r="AA12" s="66"/>
      <c r="AB12" s="66"/>
      <c r="AC12" s="66"/>
      <c r="AD12" s="66"/>
      <c r="BG12" s="158"/>
    </row>
    <row r="13" spans="1:59" ht="15">
      <c r="B13" s="106"/>
      <c r="C13" s="127"/>
      <c r="D13" s="127"/>
      <c r="E13" s="127"/>
      <c r="F13" s="124" t="s">
        <v>168</v>
      </c>
      <c r="G13" s="124" t="s">
        <v>168</v>
      </c>
      <c r="H13" s="124" t="s">
        <v>168</v>
      </c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BG13" s="158"/>
    </row>
    <row r="14" spans="1:59" ht="13.5">
      <c r="B14" s="106"/>
      <c r="C14" s="117" t="s">
        <v>171</v>
      </c>
      <c r="D14" s="117" t="s">
        <v>172</v>
      </c>
      <c r="E14" s="117" t="s">
        <v>173</v>
      </c>
      <c r="F14" s="119" t="s">
        <v>630</v>
      </c>
      <c r="G14" s="119" t="s">
        <v>67</v>
      </c>
      <c r="H14" s="119" t="s">
        <v>69</v>
      </c>
      <c r="I14" s="119" t="s">
        <v>289</v>
      </c>
      <c r="J14" s="119" t="s">
        <v>290</v>
      </c>
      <c r="K14" s="119" t="s">
        <v>291</v>
      </c>
      <c r="L14" s="119" t="s">
        <v>292</v>
      </c>
      <c r="M14" s="119" t="s">
        <v>293</v>
      </c>
      <c r="N14" s="119" t="s">
        <v>294</v>
      </c>
      <c r="O14" s="119" t="s">
        <v>295</v>
      </c>
      <c r="P14" s="119" t="s">
        <v>296</v>
      </c>
      <c r="Q14" s="119" t="s">
        <v>297</v>
      </c>
      <c r="R14" s="119" t="s">
        <v>298</v>
      </c>
      <c r="S14" s="119" t="s">
        <v>299</v>
      </c>
      <c r="T14" s="119" t="s">
        <v>300</v>
      </c>
      <c r="U14" s="119" t="s">
        <v>301</v>
      </c>
      <c r="V14" s="119" t="s">
        <v>302</v>
      </c>
      <c r="W14" s="119" t="s">
        <v>303</v>
      </c>
      <c r="X14" s="119" t="s">
        <v>229</v>
      </c>
      <c r="Y14" s="119" t="s">
        <v>230</v>
      </c>
      <c r="Z14" s="119" t="s">
        <v>231</v>
      </c>
      <c r="AA14" s="119" t="s">
        <v>232</v>
      </c>
      <c r="AB14" s="119" t="s">
        <v>150</v>
      </c>
      <c r="AC14" s="119" t="s">
        <v>151</v>
      </c>
      <c r="AD14" s="119" t="s">
        <v>233</v>
      </c>
      <c r="BG14" s="158"/>
    </row>
    <row r="15" spans="1:59" ht="13.5">
      <c r="B15" s="106"/>
      <c r="C15" s="117" t="s">
        <v>205</v>
      </c>
      <c r="D15" s="117" t="s">
        <v>214</v>
      </c>
      <c r="E15" s="117" t="s">
        <v>222</v>
      </c>
      <c r="F15" s="118" t="s">
        <v>250</v>
      </c>
      <c r="G15" s="118" t="s">
        <v>251</v>
      </c>
      <c r="H15" s="118" t="s">
        <v>253</v>
      </c>
      <c r="I15" s="118" t="s">
        <v>252</v>
      </c>
      <c r="J15" s="118" t="s">
        <v>254</v>
      </c>
      <c r="K15" s="118" t="s">
        <v>255</v>
      </c>
      <c r="L15" s="118" t="s">
        <v>256</v>
      </c>
      <c r="M15" s="118" t="s">
        <v>257</v>
      </c>
      <c r="N15" s="118" t="s">
        <v>258</v>
      </c>
      <c r="O15" s="118" t="s">
        <v>259</v>
      </c>
      <c r="P15" s="118" t="s">
        <v>260</v>
      </c>
      <c r="Q15" s="118" t="s">
        <v>261</v>
      </c>
      <c r="R15" s="118" t="s">
        <v>262</v>
      </c>
      <c r="S15" s="118" t="s">
        <v>263</v>
      </c>
      <c r="T15" s="118" t="s">
        <v>264</v>
      </c>
      <c r="U15" s="118" t="s">
        <v>265</v>
      </c>
      <c r="V15" s="118" t="s">
        <v>266</v>
      </c>
      <c r="W15" s="118" t="s">
        <v>267</v>
      </c>
      <c r="X15" s="118" t="s">
        <v>235</v>
      </c>
      <c r="Y15" s="118" t="s">
        <v>236</v>
      </c>
      <c r="Z15" s="118" t="s">
        <v>237</v>
      </c>
      <c r="AA15" s="118" t="s">
        <v>238</v>
      </c>
      <c r="AB15" s="118" t="s">
        <v>239</v>
      </c>
      <c r="AC15" s="118" t="s">
        <v>240</v>
      </c>
      <c r="AD15" s="118" t="s">
        <v>241</v>
      </c>
      <c r="BG15" s="158"/>
    </row>
    <row r="16" spans="1:59" ht="13.5">
      <c r="B16" s="122"/>
      <c r="C16" s="117" t="s">
        <v>304</v>
      </c>
      <c r="D16" s="117" t="s">
        <v>305</v>
      </c>
      <c r="E16" s="117" t="s">
        <v>305</v>
      </c>
      <c r="F16" s="119" t="s">
        <v>306</v>
      </c>
      <c r="G16" s="119" t="s">
        <v>306</v>
      </c>
      <c r="H16" s="119" t="s">
        <v>307</v>
      </c>
      <c r="I16" s="119" t="s">
        <v>306</v>
      </c>
      <c r="J16" s="119" t="s">
        <v>308</v>
      </c>
      <c r="K16" s="119" t="s">
        <v>309</v>
      </c>
      <c r="L16" s="118" t="s">
        <v>310</v>
      </c>
      <c r="M16" s="119" t="s">
        <v>310</v>
      </c>
      <c r="N16" s="119" t="s">
        <v>311</v>
      </c>
      <c r="O16" s="119" t="s">
        <v>306</v>
      </c>
      <c r="P16" s="119" t="s">
        <v>312</v>
      </c>
      <c r="Q16" s="119" t="s">
        <v>313</v>
      </c>
      <c r="R16" s="119" t="s">
        <v>312</v>
      </c>
      <c r="S16" s="119" t="s">
        <v>314</v>
      </c>
      <c r="T16" s="118" t="s">
        <v>315</v>
      </c>
      <c r="U16" s="119" t="s">
        <v>315</v>
      </c>
      <c r="V16" s="119" t="s">
        <v>316</v>
      </c>
      <c r="W16" s="119" t="s">
        <v>306</v>
      </c>
      <c r="X16" s="119" t="s">
        <v>317</v>
      </c>
      <c r="Y16" s="119" t="s">
        <v>319</v>
      </c>
      <c r="Z16" s="119" t="s">
        <v>320</v>
      </c>
      <c r="AA16" s="119" t="s">
        <v>320</v>
      </c>
      <c r="AB16" s="118" t="s">
        <v>318</v>
      </c>
      <c r="AC16" s="119" t="s">
        <v>320</v>
      </c>
      <c r="AD16" s="119" t="s">
        <v>320</v>
      </c>
      <c r="BG16" s="158"/>
    </row>
    <row r="17" spans="2:59" ht="21" customHeight="1">
      <c r="B17" s="122" t="s">
        <v>244</v>
      </c>
      <c r="C17" s="143" t="s">
        <v>515</v>
      </c>
      <c r="D17" s="118" t="s">
        <v>270</v>
      </c>
      <c r="E17" s="119" t="s">
        <v>270</v>
      </c>
      <c r="F17" s="119" t="s">
        <v>182</v>
      </c>
      <c r="G17" s="119" t="s">
        <v>271</v>
      </c>
      <c r="H17" s="119" t="s">
        <v>183</v>
      </c>
      <c r="I17" s="119" t="s">
        <v>271</v>
      </c>
      <c r="J17" s="119" t="s">
        <v>272</v>
      </c>
      <c r="K17" s="119" t="s">
        <v>243</v>
      </c>
      <c r="L17" s="118" t="s">
        <v>155</v>
      </c>
      <c r="M17" s="119" t="s">
        <v>273</v>
      </c>
      <c r="N17" s="119"/>
      <c r="O17" s="119" t="s">
        <v>182</v>
      </c>
      <c r="P17" s="119" t="s">
        <v>155</v>
      </c>
      <c r="Q17" s="119" t="s">
        <v>274</v>
      </c>
      <c r="R17" s="119" t="s">
        <v>275</v>
      </c>
      <c r="S17" s="119"/>
      <c r="T17" s="118" t="s">
        <v>155</v>
      </c>
      <c r="U17" s="119" t="s">
        <v>155</v>
      </c>
      <c r="V17" s="119" t="s">
        <v>155</v>
      </c>
      <c r="W17" s="119"/>
      <c r="X17" s="119" t="s">
        <v>243</v>
      </c>
      <c r="Y17" s="119" t="s">
        <v>276</v>
      </c>
      <c r="Z17" s="119" t="s">
        <v>277</v>
      </c>
      <c r="AA17" s="119" t="s">
        <v>277</v>
      </c>
      <c r="AB17" s="118" t="s">
        <v>278</v>
      </c>
      <c r="AC17" s="119" t="s">
        <v>279</v>
      </c>
      <c r="AD17" s="119" t="s">
        <v>279</v>
      </c>
      <c r="BG17" s="158"/>
    </row>
    <row r="18" spans="2:59" ht="19.5" customHeight="1">
      <c r="B18" s="120" t="s">
        <v>242</v>
      </c>
      <c r="C18" s="143" t="s">
        <v>515</v>
      </c>
      <c r="D18" s="131" t="s">
        <v>270</v>
      </c>
      <c r="E18" s="142" t="s">
        <v>181</v>
      </c>
      <c r="F18" s="116" t="s">
        <v>182</v>
      </c>
      <c r="G18" s="132" t="s">
        <v>271</v>
      </c>
      <c r="H18" s="116" t="s">
        <v>183</v>
      </c>
      <c r="I18" s="132" t="s">
        <v>271</v>
      </c>
      <c r="J18" s="116" t="s">
        <v>183</v>
      </c>
      <c r="K18" s="116" t="s">
        <v>243</v>
      </c>
      <c r="L18" s="131" t="s">
        <v>280</v>
      </c>
      <c r="M18" s="116" t="s">
        <v>273</v>
      </c>
      <c r="N18" s="116"/>
      <c r="O18" s="116" t="s">
        <v>243</v>
      </c>
      <c r="P18" s="116" t="s">
        <v>155</v>
      </c>
      <c r="Q18" s="116" t="s">
        <v>183</v>
      </c>
      <c r="R18" s="116" t="s">
        <v>281</v>
      </c>
      <c r="S18" s="116"/>
      <c r="T18" s="131" t="s">
        <v>155</v>
      </c>
      <c r="U18" s="116" t="s">
        <v>155</v>
      </c>
      <c r="V18" s="116" t="s">
        <v>155</v>
      </c>
      <c r="W18" s="116"/>
      <c r="X18" s="116" t="s">
        <v>243</v>
      </c>
      <c r="Y18" s="116" t="s">
        <v>282</v>
      </c>
      <c r="Z18" s="116" t="s">
        <v>283</v>
      </c>
      <c r="AA18" s="116">
        <v>470195</v>
      </c>
      <c r="AB18" s="131" t="s">
        <v>282</v>
      </c>
      <c r="AC18" s="116">
        <v>470195</v>
      </c>
      <c r="AD18" s="116" t="s">
        <v>283</v>
      </c>
      <c r="BG18" s="158"/>
    </row>
    <row r="19" spans="2:59" ht="14">
      <c r="B19" s="120" t="s">
        <v>242</v>
      </c>
      <c r="C19" s="142" t="s">
        <v>476</v>
      </c>
      <c r="D19" s="121" t="s">
        <v>270</v>
      </c>
      <c r="E19" s="121" t="s">
        <v>270</v>
      </c>
      <c r="F19" s="121" t="s">
        <v>182</v>
      </c>
      <c r="G19" s="121" t="s">
        <v>271</v>
      </c>
      <c r="H19" s="121" t="s">
        <v>183</v>
      </c>
      <c r="I19" s="121" t="s">
        <v>271</v>
      </c>
      <c r="J19" s="121" t="s">
        <v>477</v>
      </c>
      <c r="K19" s="121" t="s">
        <v>243</v>
      </c>
      <c r="L19" s="121" t="s">
        <v>155</v>
      </c>
      <c r="M19" s="121" t="s">
        <v>273</v>
      </c>
      <c r="N19" s="121"/>
      <c r="O19" s="121" t="s">
        <v>182</v>
      </c>
      <c r="P19" s="121" t="s">
        <v>155</v>
      </c>
      <c r="Q19" s="121" t="s">
        <v>274</v>
      </c>
      <c r="R19" s="121" t="s">
        <v>478</v>
      </c>
      <c r="S19" s="121"/>
      <c r="T19" s="121" t="s">
        <v>479</v>
      </c>
      <c r="U19" s="121" t="s">
        <v>480</v>
      </c>
      <c r="V19" s="121" t="s">
        <v>481</v>
      </c>
      <c r="W19" s="121"/>
      <c r="X19" s="121" t="s">
        <v>243</v>
      </c>
      <c r="Y19" s="121" t="s">
        <v>276</v>
      </c>
      <c r="Z19" s="121" t="s">
        <v>277</v>
      </c>
      <c r="AA19" s="121" t="s">
        <v>277</v>
      </c>
      <c r="AB19" s="121" t="s">
        <v>482</v>
      </c>
      <c r="AC19" s="121">
        <v>375901</v>
      </c>
      <c r="AD19" s="121" t="s">
        <v>483</v>
      </c>
      <c r="BG19" s="158"/>
    </row>
    <row r="20" spans="2:59" ht="14">
      <c r="B20" s="120" t="s">
        <v>242</v>
      </c>
      <c r="C20" s="142" t="s">
        <v>490</v>
      </c>
      <c r="D20" s="121" t="s">
        <v>270</v>
      </c>
      <c r="E20" s="121" t="s">
        <v>270</v>
      </c>
      <c r="F20" s="121" t="s">
        <v>182</v>
      </c>
      <c r="G20" s="121" t="s">
        <v>271</v>
      </c>
      <c r="H20" s="121" t="s">
        <v>183</v>
      </c>
      <c r="I20" s="121" t="s">
        <v>271</v>
      </c>
      <c r="J20" s="121" t="s">
        <v>484</v>
      </c>
      <c r="K20" s="121" t="s">
        <v>243</v>
      </c>
      <c r="L20" s="121" t="s">
        <v>485</v>
      </c>
      <c r="M20" s="121" t="s">
        <v>273</v>
      </c>
      <c r="N20" s="121"/>
      <c r="O20" s="121" t="s">
        <v>271</v>
      </c>
      <c r="P20" s="121" t="s">
        <v>155</v>
      </c>
      <c r="Q20" s="121" t="s">
        <v>486</v>
      </c>
      <c r="R20" s="121" t="s">
        <v>275</v>
      </c>
      <c r="S20" s="121"/>
      <c r="T20" s="121" t="s">
        <v>155</v>
      </c>
      <c r="U20" s="121" t="s">
        <v>155</v>
      </c>
      <c r="V20" s="121" t="s">
        <v>155</v>
      </c>
      <c r="W20" s="121"/>
      <c r="X20" s="121" t="s">
        <v>243</v>
      </c>
      <c r="Y20" s="121" t="s">
        <v>487</v>
      </c>
      <c r="Z20" s="121" t="s">
        <v>277</v>
      </c>
      <c r="AA20" s="121" t="s">
        <v>277</v>
      </c>
      <c r="AB20" s="121" t="s">
        <v>488</v>
      </c>
      <c r="AC20" s="121" t="s">
        <v>489</v>
      </c>
      <c r="AD20" s="121" t="s">
        <v>489</v>
      </c>
      <c r="BG20" s="158"/>
    </row>
    <row r="21" spans="2:59" ht="13.5">
      <c r="B21" s="106"/>
      <c r="C21" s="161"/>
      <c r="D21" s="161"/>
      <c r="E21" s="161"/>
      <c r="F21" s="161"/>
      <c r="G21" s="161"/>
      <c r="H21" s="161"/>
      <c r="I21" s="161"/>
      <c r="J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BG21" s="158"/>
    </row>
    <row r="22" spans="2:59" ht="15">
      <c r="B22" s="106"/>
      <c r="C22" s="265" t="s">
        <v>321</v>
      </c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90"/>
      <c r="V22" s="90"/>
      <c r="W22" s="90"/>
      <c r="X22" s="90"/>
      <c r="Y22" s="90"/>
      <c r="Z22" s="90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158"/>
    </row>
    <row r="23" spans="2:59" ht="15">
      <c r="B23" s="106"/>
      <c r="C23" s="127"/>
      <c r="D23" s="127"/>
      <c r="E23" s="127"/>
      <c r="F23" s="124" t="s">
        <v>168</v>
      </c>
      <c r="G23" s="124" t="s">
        <v>168</v>
      </c>
      <c r="H23" s="129" t="s">
        <v>168</v>
      </c>
      <c r="I23" s="124" t="s">
        <v>168</v>
      </c>
      <c r="J23" s="124" t="s">
        <v>168</v>
      </c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58"/>
    </row>
    <row r="24" spans="2:59" ht="25">
      <c r="B24" s="106"/>
      <c r="C24" s="117" t="s">
        <v>365</v>
      </c>
      <c r="D24" s="117" t="s">
        <v>420</v>
      </c>
      <c r="E24" s="117" t="s">
        <v>421</v>
      </c>
      <c r="F24" s="119" t="s">
        <v>629</v>
      </c>
      <c r="G24" s="119" t="s">
        <v>99</v>
      </c>
      <c r="H24" s="119" t="s">
        <v>130</v>
      </c>
      <c r="I24" s="119" t="s">
        <v>391</v>
      </c>
      <c r="J24" s="119" t="s">
        <v>127</v>
      </c>
      <c r="K24" s="119" t="s">
        <v>67</v>
      </c>
      <c r="L24" s="119" t="s">
        <v>288</v>
      </c>
      <c r="M24" s="119" t="s">
        <v>366</v>
      </c>
      <c r="N24" s="119" t="s">
        <v>367</v>
      </c>
      <c r="O24" s="119" t="s">
        <v>368</v>
      </c>
      <c r="P24" s="119" t="s">
        <v>369</v>
      </c>
      <c r="Q24" s="119" t="s">
        <v>370</v>
      </c>
      <c r="R24" s="119" t="s">
        <v>371</v>
      </c>
      <c r="S24" s="119" t="s">
        <v>372</v>
      </c>
      <c r="T24" s="119" t="s">
        <v>373</v>
      </c>
      <c r="U24" s="119" t="s">
        <v>374</v>
      </c>
      <c r="V24" s="119" t="s">
        <v>375</v>
      </c>
      <c r="W24" s="119" t="s">
        <v>376</v>
      </c>
      <c r="X24" s="119" t="s">
        <v>377</v>
      </c>
      <c r="Y24" s="119" t="s">
        <v>378</v>
      </c>
      <c r="Z24" s="119" t="s">
        <v>379</v>
      </c>
      <c r="AA24" s="119" t="s">
        <v>380</v>
      </c>
      <c r="AB24" s="119" t="s">
        <v>381</v>
      </c>
      <c r="AC24" s="119" t="s">
        <v>382</v>
      </c>
      <c r="AD24" s="119" t="s">
        <v>383</v>
      </c>
      <c r="AE24" s="119" t="s">
        <v>384</v>
      </c>
      <c r="AF24" s="119" t="s">
        <v>385</v>
      </c>
      <c r="AG24" s="119" t="s">
        <v>386</v>
      </c>
      <c r="AH24" s="119" t="s">
        <v>387</v>
      </c>
      <c r="AI24" s="119" t="s">
        <v>388</v>
      </c>
      <c r="AJ24" s="119" t="s">
        <v>390</v>
      </c>
      <c r="AK24" s="119" t="s">
        <v>389</v>
      </c>
      <c r="AL24" s="119" t="s">
        <v>398</v>
      </c>
      <c r="AM24" s="119" t="s">
        <v>392</v>
      </c>
      <c r="AN24" s="119" t="s">
        <v>393</v>
      </c>
      <c r="AO24" s="119" t="s">
        <v>394</v>
      </c>
      <c r="AP24" s="119" t="s">
        <v>395</v>
      </c>
      <c r="AQ24" s="119" t="s">
        <v>399</v>
      </c>
      <c r="AR24" s="119" t="s">
        <v>396</v>
      </c>
      <c r="AS24" s="119" t="s">
        <v>397</v>
      </c>
      <c r="AT24" s="119" t="s">
        <v>400</v>
      </c>
      <c r="AU24" s="119" t="s">
        <v>401</v>
      </c>
      <c r="AV24" s="119" t="s">
        <v>402</v>
      </c>
      <c r="AW24" s="119" t="s">
        <v>403</v>
      </c>
      <c r="AX24" s="119" t="s">
        <v>404</v>
      </c>
      <c r="AY24" s="119" t="s">
        <v>405</v>
      </c>
      <c r="AZ24" s="119" t="s">
        <v>229</v>
      </c>
      <c r="BA24" s="119" t="s">
        <v>230</v>
      </c>
      <c r="BB24" s="119" t="s">
        <v>231</v>
      </c>
      <c r="BC24" s="119" t="s">
        <v>232</v>
      </c>
      <c r="BD24" s="119" t="s">
        <v>150</v>
      </c>
      <c r="BE24" s="119" t="s">
        <v>151</v>
      </c>
      <c r="BF24" s="119" t="s">
        <v>519</v>
      </c>
      <c r="BG24" s="158"/>
    </row>
    <row r="25" spans="2:59">
      <c r="B25" s="163"/>
      <c r="C25" s="117" t="s">
        <v>205</v>
      </c>
      <c r="D25" s="117" t="s">
        <v>214</v>
      </c>
      <c r="E25" s="117" t="s">
        <v>222</v>
      </c>
      <c r="F25" s="118" t="s">
        <v>322</v>
      </c>
      <c r="G25" s="118" t="s">
        <v>323</v>
      </c>
      <c r="H25" s="118" t="s">
        <v>324</v>
      </c>
      <c r="I25" s="118" t="s">
        <v>351</v>
      </c>
      <c r="J25" s="118" t="s">
        <v>357</v>
      </c>
      <c r="K25" s="118" t="s">
        <v>251</v>
      </c>
      <c r="L25" s="118" t="s">
        <v>252</v>
      </c>
      <c r="M25" s="118" t="s">
        <v>325</v>
      </c>
      <c r="N25" s="118" t="s">
        <v>326</v>
      </c>
      <c r="O25" s="118" t="s">
        <v>327</v>
      </c>
      <c r="P25" s="118" t="s">
        <v>328</v>
      </c>
      <c r="Q25" s="118" t="s">
        <v>329</v>
      </c>
      <c r="R25" s="118" t="s">
        <v>330</v>
      </c>
      <c r="S25" s="118" t="s">
        <v>331</v>
      </c>
      <c r="T25" s="118" t="s">
        <v>332</v>
      </c>
      <c r="U25" s="118" t="s">
        <v>333</v>
      </c>
      <c r="V25" s="118" t="s">
        <v>334</v>
      </c>
      <c r="W25" s="118" t="s">
        <v>335</v>
      </c>
      <c r="X25" s="118" t="s">
        <v>336</v>
      </c>
      <c r="Y25" s="118" t="s">
        <v>337</v>
      </c>
      <c r="Z25" s="118" t="s">
        <v>338</v>
      </c>
      <c r="AA25" s="118" t="s">
        <v>339</v>
      </c>
      <c r="AB25" s="118" t="s">
        <v>340</v>
      </c>
      <c r="AC25" s="118" t="s">
        <v>341</v>
      </c>
      <c r="AD25" s="118" t="s">
        <v>342</v>
      </c>
      <c r="AE25" s="118" t="s">
        <v>343</v>
      </c>
      <c r="AF25" s="118" t="s">
        <v>344</v>
      </c>
      <c r="AG25" s="118" t="s">
        <v>345</v>
      </c>
      <c r="AH25" s="118" t="s">
        <v>346</v>
      </c>
      <c r="AI25" s="118" t="s">
        <v>347</v>
      </c>
      <c r="AJ25" s="118" t="s">
        <v>348</v>
      </c>
      <c r="AK25" s="118" t="s">
        <v>349</v>
      </c>
      <c r="AL25" s="118" t="s">
        <v>350</v>
      </c>
      <c r="AM25" s="118" t="s">
        <v>352</v>
      </c>
      <c r="AN25" s="118" t="s">
        <v>353</v>
      </c>
      <c r="AO25" s="118" t="s">
        <v>354</v>
      </c>
      <c r="AP25" s="118" t="s">
        <v>234</v>
      </c>
      <c r="AQ25" s="118" t="s">
        <v>355</v>
      </c>
      <c r="AR25" s="118" t="s">
        <v>356</v>
      </c>
      <c r="AS25" s="118" t="s">
        <v>358</v>
      </c>
      <c r="AT25" s="118" t="s">
        <v>359</v>
      </c>
      <c r="AU25" s="118" t="s">
        <v>360</v>
      </c>
      <c r="AV25" s="118" t="s">
        <v>361</v>
      </c>
      <c r="AW25" s="118" t="s">
        <v>362</v>
      </c>
      <c r="AX25" s="118" t="s">
        <v>363</v>
      </c>
      <c r="AY25" s="118" t="s">
        <v>364</v>
      </c>
      <c r="AZ25" s="118" t="s">
        <v>235</v>
      </c>
      <c r="BA25" s="118" t="s">
        <v>236</v>
      </c>
      <c r="BB25" s="118" t="s">
        <v>237</v>
      </c>
      <c r="BC25" s="118" t="s">
        <v>238</v>
      </c>
      <c r="BD25" s="118" t="s">
        <v>239</v>
      </c>
      <c r="BE25" s="118" t="s">
        <v>240</v>
      </c>
      <c r="BF25" s="118" t="s">
        <v>241</v>
      </c>
      <c r="BG25" s="158"/>
    </row>
    <row r="26" spans="2:59">
      <c r="B26" s="163"/>
      <c r="C26" s="117" t="s">
        <v>304</v>
      </c>
      <c r="D26" s="117" t="s">
        <v>406</v>
      </c>
      <c r="E26" s="117" t="s">
        <v>305</v>
      </c>
      <c r="F26" s="131" t="s">
        <v>306</v>
      </c>
      <c r="G26" s="131" t="s">
        <v>306</v>
      </c>
      <c r="H26" s="131" t="s">
        <v>306</v>
      </c>
      <c r="I26" s="131" t="s">
        <v>306</v>
      </c>
      <c r="J26" s="131" t="s">
        <v>308</v>
      </c>
      <c r="K26" s="131" t="s">
        <v>306</v>
      </c>
      <c r="L26" s="131" t="s">
        <v>306</v>
      </c>
      <c r="M26" s="131" t="s">
        <v>407</v>
      </c>
      <c r="N26" s="131" t="s">
        <v>407</v>
      </c>
      <c r="O26" s="131" t="s">
        <v>305</v>
      </c>
      <c r="P26" s="131" t="s">
        <v>408</v>
      </c>
      <c r="Q26" s="131" t="s">
        <v>306</v>
      </c>
      <c r="R26" s="131" t="s">
        <v>313</v>
      </c>
      <c r="S26" s="131" t="s">
        <v>308</v>
      </c>
      <c r="T26" s="131" t="s">
        <v>313</v>
      </c>
      <c r="U26" s="131" t="s">
        <v>308</v>
      </c>
      <c r="V26" s="131" t="s">
        <v>308</v>
      </c>
      <c r="W26" s="131" t="s">
        <v>306</v>
      </c>
      <c r="X26" s="131" t="s">
        <v>409</v>
      </c>
      <c r="Y26" s="131" t="s">
        <v>409</v>
      </c>
      <c r="Z26" s="131" t="s">
        <v>310</v>
      </c>
      <c r="AA26" s="131" t="s">
        <v>408</v>
      </c>
      <c r="AB26" s="131" t="s">
        <v>408</v>
      </c>
      <c r="AC26" s="131" t="s">
        <v>308</v>
      </c>
      <c r="AD26" s="131" t="s">
        <v>312</v>
      </c>
      <c r="AE26" s="131" t="s">
        <v>313</v>
      </c>
      <c r="AF26" s="131" t="s">
        <v>313</v>
      </c>
      <c r="AG26" s="131" t="s">
        <v>410</v>
      </c>
      <c r="AH26" s="131" t="s">
        <v>410</v>
      </c>
      <c r="AI26" s="131" t="s">
        <v>313</v>
      </c>
      <c r="AJ26" s="131" t="s">
        <v>313</v>
      </c>
      <c r="AK26" s="131" t="s">
        <v>410</v>
      </c>
      <c r="AL26" s="131" t="s">
        <v>410</v>
      </c>
      <c r="AM26" s="131" t="s">
        <v>306</v>
      </c>
      <c r="AN26" s="131" t="s">
        <v>306</v>
      </c>
      <c r="AO26" s="131" t="s">
        <v>306</v>
      </c>
      <c r="AP26" s="131" t="s">
        <v>310</v>
      </c>
      <c r="AQ26" s="131" t="s">
        <v>305</v>
      </c>
      <c r="AR26" s="131" t="s">
        <v>306</v>
      </c>
      <c r="AS26" s="131" t="s">
        <v>308</v>
      </c>
      <c r="AT26" s="131" t="s">
        <v>306</v>
      </c>
      <c r="AU26" s="131" t="s">
        <v>411</v>
      </c>
      <c r="AV26" s="131" t="s">
        <v>313</v>
      </c>
      <c r="AW26" s="131" t="s">
        <v>310</v>
      </c>
      <c r="AX26" s="131" t="s">
        <v>306</v>
      </c>
      <c r="AY26" s="131" t="s">
        <v>306</v>
      </c>
      <c r="AZ26" s="131" t="s">
        <v>317</v>
      </c>
      <c r="BA26" s="131" t="s">
        <v>318</v>
      </c>
      <c r="BB26" s="131" t="s">
        <v>320</v>
      </c>
      <c r="BC26" s="131" t="s">
        <v>320</v>
      </c>
      <c r="BD26" s="131" t="s">
        <v>318</v>
      </c>
      <c r="BE26" s="131" t="s">
        <v>320</v>
      </c>
      <c r="BF26" s="131" t="s">
        <v>320</v>
      </c>
      <c r="BG26" s="158"/>
    </row>
    <row r="27" spans="2:59" ht="15">
      <c r="B27" s="122" t="s">
        <v>244</v>
      </c>
      <c r="C27" s="132" t="s">
        <v>269</v>
      </c>
      <c r="D27" s="132" t="s">
        <v>270</v>
      </c>
      <c r="E27" s="132" t="s">
        <v>270</v>
      </c>
      <c r="F27" s="133" t="s">
        <v>286</v>
      </c>
      <c r="G27" s="132" t="s">
        <v>243</v>
      </c>
      <c r="H27" s="132" t="s">
        <v>243</v>
      </c>
      <c r="I27" s="135">
        <v>1</v>
      </c>
      <c r="J27" s="136">
        <v>0</v>
      </c>
      <c r="K27" s="132" t="s">
        <v>271</v>
      </c>
      <c r="L27" s="132" t="s">
        <v>271</v>
      </c>
      <c r="M27" s="132" t="s">
        <v>155</v>
      </c>
      <c r="N27" s="132" t="s">
        <v>155</v>
      </c>
      <c r="O27" s="132" t="s">
        <v>155</v>
      </c>
      <c r="P27" s="132" t="s">
        <v>155</v>
      </c>
      <c r="Q27" s="134" t="s">
        <v>412</v>
      </c>
      <c r="R27" s="132" t="s">
        <v>243</v>
      </c>
      <c r="S27" s="132" t="s">
        <v>243</v>
      </c>
      <c r="T27" s="132" t="s">
        <v>413</v>
      </c>
      <c r="U27" s="132" t="s">
        <v>414</v>
      </c>
      <c r="V27" s="132" t="s">
        <v>182</v>
      </c>
      <c r="W27" s="132" t="s">
        <v>182</v>
      </c>
      <c r="X27" s="132" t="s">
        <v>243</v>
      </c>
      <c r="Y27" s="132" t="s">
        <v>243</v>
      </c>
      <c r="Z27" s="132"/>
      <c r="AA27" s="135"/>
      <c r="AB27" s="135" t="s">
        <v>155</v>
      </c>
      <c r="AC27" s="135">
        <v>1</v>
      </c>
      <c r="AD27" s="135">
        <v>99999999</v>
      </c>
      <c r="AE27" s="132" t="s">
        <v>243</v>
      </c>
      <c r="AF27" s="132" t="s">
        <v>243</v>
      </c>
      <c r="AG27" s="132" t="s">
        <v>243</v>
      </c>
      <c r="AH27" s="132" t="s">
        <v>243</v>
      </c>
      <c r="AI27" s="135">
        <v>0</v>
      </c>
      <c r="AJ27" s="135">
        <v>0</v>
      </c>
      <c r="AK27" s="135">
        <v>0</v>
      </c>
      <c r="AL27" s="135">
        <v>0</v>
      </c>
      <c r="AM27" s="132" t="s">
        <v>182</v>
      </c>
      <c r="AN27" s="135">
        <v>0</v>
      </c>
      <c r="AO27" s="132" t="s">
        <v>243</v>
      </c>
      <c r="AP27" s="135">
        <v>1</v>
      </c>
      <c r="AQ27" s="136" t="s">
        <v>155</v>
      </c>
      <c r="AR27" s="136" t="s">
        <v>415</v>
      </c>
      <c r="AS27" s="136">
        <v>0</v>
      </c>
      <c r="AT27" s="136">
        <v>1</v>
      </c>
      <c r="AU27" s="136">
        <v>0</v>
      </c>
      <c r="AV27" s="136">
        <v>0</v>
      </c>
      <c r="AW27" s="136">
        <v>0</v>
      </c>
      <c r="AX27" s="136">
        <v>0</v>
      </c>
      <c r="AY27" s="136">
        <v>1</v>
      </c>
      <c r="AZ27" s="136">
        <v>0</v>
      </c>
      <c r="BA27" s="137">
        <v>29705</v>
      </c>
      <c r="BB27" s="136" t="s">
        <v>277</v>
      </c>
      <c r="BC27" s="136" t="s">
        <v>277</v>
      </c>
      <c r="BD27" s="137">
        <v>36413</v>
      </c>
      <c r="BE27" s="136" t="s">
        <v>277</v>
      </c>
      <c r="BF27" s="136" t="s">
        <v>277</v>
      </c>
      <c r="BG27" s="158"/>
    </row>
    <row r="28" spans="2:59" ht="15">
      <c r="B28" s="120" t="s">
        <v>242</v>
      </c>
      <c r="C28" s="132" t="s">
        <v>269</v>
      </c>
      <c r="D28" s="132" t="s">
        <v>270</v>
      </c>
      <c r="E28" s="142" t="s">
        <v>181</v>
      </c>
      <c r="F28" s="133" t="s">
        <v>184</v>
      </c>
      <c r="G28" s="132" t="s">
        <v>243</v>
      </c>
      <c r="H28" s="132" t="s">
        <v>243</v>
      </c>
      <c r="I28" s="135">
        <v>0</v>
      </c>
      <c r="J28" s="136">
        <v>30</v>
      </c>
      <c r="K28" s="132" t="s">
        <v>271</v>
      </c>
      <c r="L28" s="132" t="s">
        <v>271</v>
      </c>
      <c r="M28" s="132" t="s">
        <v>155</v>
      </c>
      <c r="N28" s="132" t="s">
        <v>155</v>
      </c>
      <c r="O28" s="132" t="s">
        <v>416</v>
      </c>
      <c r="P28" s="132" t="s">
        <v>155</v>
      </c>
      <c r="Q28" s="134" t="s">
        <v>417</v>
      </c>
      <c r="R28" s="132" t="s">
        <v>182</v>
      </c>
      <c r="S28" s="132" t="s">
        <v>243</v>
      </c>
      <c r="T28" s="132" t="s">
        <v>413</v>
      </c>
      <c r="U28" s="132" t="s">
        <v>414</v>
      </c>
      <c r="V28" s="132" t="s">
        <v>418</v>
      </c>
      <c r="W28" s="132" t="s">
        <v>182</v>
      </c>
      <c r="X28" s="132" t="s">
        <v>243</v>
      </c>
      <c r="Y28" s="132" t="s">
        <v>243</v>
      </c>
      <c r="Z28" s="132"/>
      <c r="AA28" s="135"/>
      <c r="AB28" s="135" t="s">
        <v>419</v>
      </c>
      <c r="AC28" s="138">
        <v>5000</v>
      </c>
      <c r="AD28" s="135">
        <v>99999999</v>
      </c>
      <c r="AE28" s="132" t="s">
        <v>243</v>
      </c>
      <c r="AF28" s="132" t="s">
        <v>271</v>
      </c>
      <c r="AG28" s="132" t="s">
        <v>243</v>
      </c>
      <c r="AH28" s="132" t="s">
        <v>243</v>
      </c>
      <c r="AI28" s="135">
        <v>0</v>
      </c>
      <c r="AJ28" s="135">
        <v>0</v>
      </c>
      <c r="AK28" s="135">
        <v>0</v>
      </c>
      <c r="AL28" s="135">
        <v>0</v>
      </c>
      <c r="AM28" s="132" t="s">
        <v>182</v>
      </c>
      <c r="AN28" s="135">
        <v>0</v>
      </c>
      <c r="AO28" s="132" t="s">
        <v>243</v>
      </c>
      <c r="AP28" s="135">
        <v>1</v>
      </c>
      <c r="AQ28" s="136">
        <v>1111</v>
      </c>
      <c r="AR28" s="136" t="s">
        <v>415</v>
      </c>
      <c r="AS28" s="136">
        <v>10</v>
      </c>
      <c r="AT28" s="136">
        <v>1</v>
      </c>
      <c r="AU28" s="136">
        <v>0</v>
      </c>
      <c r="AV28" s="136">
        <v>0</v>
      </c>
      <c r="AW28" s="136">
        <v>0</v>
      </c>
      <c r="AX28" s="136">
        <v>0</v>
      </c>
      <c r="AY28" s="136">
        <v>1</v>
      </c>
      <c r="AZ28" s="136">
        <v>0</v>
      </c>
      <c r="BA28" s="137">
        <v>40640.750486111108</v>
      </c>
      <c r="BB28" s="136">
        <v>470195</v>
      </c>
      <c r="BC28" s="136">
        <v>470195</v>
      </c>
      <c r="BD28" s="137">
        <v>45392.67769675926</v>
      </c>
      <c r="BE28" s="136">
        <v>363363</v>
      </c>
      <c r="BF28" s="136">
        <v>363363</v>
      </c>
      <c r="BG28" s="158"/>
    </row>
    <row r="29" spans="2:59" ht="14">
      <c r="B29" s="120" t="s">
        <v>242</v>
      </c>
      <c r="C29" s="142" t="s">
        <v>476</v>
      </c>
      <c r="D29" s="132" t="s">
        <v>270</v>
      </c>
      <c r="E29" s="132" t="s">
        <v>270</v>
      </c>
      <c r="F29" s="132" t="s">
        <v>286</v>
      </c>
      <c r="G29" s="132" t="s">
        <v>243</v>
      </c>
      <c r="H29" s="132" t="s">
        <v>243</v>
      </c>
      <c r="I29" s="132">
        <v>1</v>
      </c>
      <c r="J29" s="132">
        <v>0</v>
      </c>
      <c r="K29" s="132" t="s">
        <v>271</v>
      </c>
      <c r="L29" s="132" t="s">
        <v>271</v>
      </c>
      <c r="M29" s="132" t="s">
        <v>155</v>
      </c>
      <c r="N29" s="132" t="s">
        <v>155</v>
      </c>
      <c r="O29" s="132" t="s">
        <v>155</v>
      </c>
      <c r="P29" s="132" t="s">
        <v>155</v>
      </c>
      <c r="Q29" s="132" t="s">
        <v>412</v>
      </c>
      <c r="R29" s="132" t="s">
        <v>243</v>
      </c>
      <c r="S29" s="132" t="s">
        <v>243</v>
      </c>
      <c r="T29" s="132" t="s">
        <v>413</v>
      </c>
      <c r="U29" s="132" t="s">
        <v>414</v>
      </c>
      <c r="V29" s="132" t="s">
        <v>182</v>
      </c>
      <c r="W29" s="132" t="s">
        <v>182</v>
      </c>
      <c r="X29" s="132" t="s">
        <v>243</v>
      </c>
      <c r="Y29" s="132" t="s">
        <v>243</v>
      </c>
      <c r="Z29" s="132"/>
      <c r="AA29" s="132"/>
      <c r="AB29" s="132" t="s">
        <v>155</v>
      </c>
      <c r="AC29" s="132">
        <v>1</v>
      </c>
      <c r="AD29" s="132">
        <v>99999999</v>
      </c>
      <c r="AE29" s="132">
        <v>0</v>
      </c>
      <c r="AF29" s="132">
        <v>0</v>
      </c>
      <c r="AG29" s="132">
        <v>0</v>
      </c>
      <c r="AH29" s="132">
        <v>0</v>
      </c>
      <c r="AI29" s="132">
        <v>0</v>
      </c>
      <c r="AJ29" s="132">
        <v>0</v>
      </c>
      <c r="AK29" s="132">
        <v>0</v>
      </c>
      <c r="AL29" s="132">
        <v>0</v>
      </c>
      <c r="AM29" s="132">
        <v>1</v>
      </c>
      <c r="AN29" s="132">
        <v>0</v>
      </c>
      <c r="AO29" s="132">
        <v>0</v>
      </c>
      <c r="AP29" s="132">
        <v>1</v>
      </c>
      <c r="AQ29" s="132" t="s">
        <v>155</v>
      </c>
      <c r="AR29" s="132" t="s">
        <v>415</v>
      </c>
      <c r="AS29" s="132">
        <v>0</v>
      </c>
      <c r="AT29" s="132">
        <v>1</v>
      </c>
      <c r="AU29" s="132">
        <v>0</v>
      </c>
      <c r="AV29" s="132">
        <v>0</v>
      </c>
      <c r="AW29" s="132">
        <v>0</v>
      </c>
      <c r="AX29" s="132">
        <v>0</v>
      </c>
      <c r="AY29" s="132">
        <v>1</v>
      </c>
      <c r="AZ29" s="132">
        <v>0</v>
      </c>
      <c r="BA29" s="132">
        <v>29705</v>
      </c>
      <c r="BB29" s="132" t="s">
        <v>277</v>
      </c>
      <c r="BC29" s="132" t="s">
        <v>277</v>
      </c>
      <c r="BD29" s="132">
        <v>39993.705960648149</v>
      </c>
      <c r="BE29" s="132">
        <v>375901</v>
      </c>
      <c r="BF29" s="132">
        <v>375901</v>
      </c>
      <c r="BG29" s="158"/>
    </row>
    <row r="30" spans="2:59" ht="14">
      <c r="B30" s="120" t="s">
        <v>242</v>
      </c>
      <c r="C30" s="142" t="s">
        <v>490</v>
      </c>
      <c r="D30" s="132" t="s">
        <v>270</v>
      </c>
      <c r="E30" s="132" t="s">
        <v>270</v>
      </c>
      <c r="F30" s="132" t="s">
        <v>286</v>
      </c>
      <c r="G30" s="132" t="s">
        <v>243</v>
      </c>
      <c r="H30" s="132" t="s">
        <v>243</v>
      </c>
      <c r="I30" s="132">
        <v>1</v>
      </c>
      <c r="J30" s="132">
        <v>0</v>
      </c>
      <c r="K30" s="132" t="s">
        <v>271</v>
      </c>
      <c r="L30" s="132" t="s">
        <v>271</v>
      </c>
      <c r="M30" s="132" t="s">
        <v>155</v>
      </c>
      <c r="N30" s="132" t="s">
        <v>155</v>
      </c>
      <c r="O30" s="132" t="s">
        <v>155</v>
      </c>
      <c r="P30" s="132" t="s">
        <v>155</v>
      </c>
      <c r="Q30" s="132" t="s">
        <v>412</v>
      </c>
      <c r="R30" s="132" t="s">
        <v>243</v>
      </c>
      <c r="S30" s="132" t="s">
        <v>243</v>
      </c>
      <c r="T30" s="132" t="s">
        <v>413</v>
      </c>
      <c r="U30" s="132" t="s">
        <v>414</v>
      </c>
      <c r="V30" s="132" t="s">
        <v>182</v>
      </c>
      <c r="W30" s="132" t="s">
        <v>182</v>
      </c>
      <c r="X30" s="132" t="s">
        <v>243</v>
      </c>
      <c r="Y30" s="132" t="s">
        <v>243</v>
      </c>
      <c r="Z30" s="132"/>
      <c r="AA30" s="132"/>
      <c r="AB30" s="132" t="s">
        <v>155</v>
      </c>
      <c r="AC30" s="132">
        <v>1</v>
      </c>
      <c r="AD30" s="132">
        <v>99999999</v>
      </c>
      <c r="AE30" s="132">
        <v>0</v>
      </c>
      <c r="AF30" s="132">
        <v>0</v>
      </c>
      <c r="AG30" s="132">
        <v>0</v>
      </c>
      <c r="AH30" s="132">
        <v>0</v>
      </c>
      <c r="AI30" s="132">
        <v>0</v>
      </c>
      <c r="AJ30" s="132">
        <v>0</v>
      </c>
      <c r="AK30" s="132">
        <v>0</v>
      </c>
      <c r="AL30" s="132">
        <v>0</v>
      </c>
      <c r="AM30" s="132">
        <v>1</v>
      </c>
      <c r="AN30" s="132">
        <v>0</v>
      </c>
      <c r="AO30" s="132">
        <v>0</v>
      </c>
      <c r="AP30" s="132">
        <v>1</v>
      </c>
      <c r="AQ30" s="132" t="s">
        <v>155</v>
      </c>
      <c r="AR30" s="132" t="s">
        <v>415</v>
      </c>
      <c r="AS30" s="132">
        <v>0</v>
      </c>
      <c r="AT30" s="132">
        <v>1</v>
      </c>
      <c r="AU30" s="132">
        <v>0</v>
      </c>
      <c r="AV30" s="132">
        <v>0</v>
      </c>
      <c r="AW30" s="132">
        <v>0</v>
      </c>
      <c r="AX30" s="132">
        <v>0</v>
      </c>
      <c r="AY30" s="132">
        <v>1</v>
      </c>
      <c r="AZ30" s="132">
        <v>0</v>
      </c>
      <c r="BA30" s="132">
        <v>31819</v>
      </c>
      <c r="BB30" s="132" t="s">
        <v>277</v>
      </c>
      <c r="BC30" s="132" t="s">
        <v>277</v>
      </c>
      <c r="BD30" s="132">
        <v>45636.056898148148</v>
      </c>
      <c r="BE30" s="132" t="s">
        <v>474</v>
      </c>
      <c r="BF30" s="132" t="s">
        <v>474</v>
      </c>
      <c r="BG30" s="158"/>
    </row>
    <row r="31" spans="2:59">
      <c r="B31" s="163"/>
      <c r="BG31" s="158"/>
    </row>
    <row r="32" spans="2:59" ht="14.5" thickBot="1">
      <c r="B32" s="163"/>
      <c r="C32" s="164" t="s">
        <v>152</v>
      </c>
      <c r="BG32" s="158"/>
    </row>
    <row r="33" spans="2:59" ht="14.5" thickBot="1">
      <c r="B33" s="163"/>
      <c r="C33" s="233" t="s">
        <v>422</v>
      </c>
      <c r="D33" s="233" t="s">
        <v>423</v>
      </c>
      <c r="E33" s="233" t="s">
        <v>158</v>
      </c>
      <c r="F33" s="233" t="s">
        <v>424</v>
      </c>
      <c r="G33" s="233" t="s">
        <v>425</v>
      </c>
      <c r="H33" s="233" t="s">
        <v>426</v>
      </c>
      <c r="I33" s="233" t="s">
        <v>427</v>
      </c>
      <c r="J33" s="233" t="s">
        <v>428</v>
      </c>
      <c r="K33" s="233" t="s">
        <v>429</v>
      </c>
      <c r="L33" s="233" t="s">
        <v>430</v>
      </c>
      <c r="M33" s="233" t="s">
        <v>431</v>
      </c>
      <c r="P33" s="164"/>
      <c r="BG33" s="158"/>
    </row>
    <row r="34" spans="2:59" ht="14.5" thickBot="1">
      <c r="B34" s="163"/>
      <c r="C34" s="233">
        <v>0</v>
      </c>
      <c r="D34" s="233">
        <v>0</v>
      </c>
      <c r="E34" s="233">
        <v>0</v>
      </c>
      <c r="F34" s="233" t="s">
        <v>432</v>
      </c>
      <c r="G34" s="233" t="s">
        <v>432</v>
      </c>
      <c r="H34" s="233">
        <v>2</v>
      </c>
      <c r="I34" s="233">
        <v>4</v>
      </c>
      <c r="J34" s="233">
        <v>3</v>
      </c>
      <c r="K34" s="233">
        <v>1</v>
      </c>
      <c r="L34" s="233">
        <v>0</v>
      </c>
      <c r="M34" s="233">
        <v>0</v>
      </c>
      <c r="P34" s="164"/>
      <c r="BG34" s="158"/>
    </row>
    <row r="35" spans="2:59" ht="13.5" thickBot="1">
      <c r="B35" s="163"/>
      <c r="BG35" s="158"/>
    </row>
    <row r="36" spans="2:59" ht="14" thickBot="1">
      <c r="B36" s="104" t="s">
        <v>436</v>
      </c>
      <c r="C36" s="105" t="s">
        <v>437</v>
      </c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58"/>
    </row>
    <row r="37" spans="2:59" ht="14" thickBot="1">
      <c r="B37" s="140" t="s">
        <v>619</v>
      </c>
      <c r="C37" s="105" t="s">
        <v>447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58"/>
    </row>
    <row r="38" spans="2:59">
      <c r="B38" s="163"/>
      <c r="BG38" s="158"/>
    </row>
    <row r="39" spans="2:59" ht="13.5">
      <c r="B39" s="163"/>
      <c r="C39" s="161" t="s">
        <v>228</v>
      </c>
      <c r="BG39" s="158"/>
    </row>
    <row r="40" spans="2:59" ht="14.5">
      <c r="B40" s="163"/>
      <c r="C40" s="161" t="s">
        <v>561</v>
      </c>
      <c r="BG40" s="158"/>
    </row>
    <row r="41" spans="2:59">
      <c r="B41" s="163"/>
      <c r="BG41" s="158"/>
    </row>
    <row r="42" spans="2:59" ht="15">
      <c r="B42" s="106"/>
      <c r="C42" s="257" t="s">
        <v>268</v>
      </c>
      <c r="D42" s="258"/>
      <c r="E42" s="258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60"/>
      <c r="AA42" s="66"/>
      <c r="AB42" s="66"/>
      <c r="AC42" s="66"/>
      <c r="AD42" s="66"/>
      <c r="BG42" s="158"/>
    </row>
    <row r="43" spans="2:59" ht="15">
      <c r="B43" s="106"/>
      <c r="C43" s="127"/>
      <c r="D43" s="127"/>
      <c r="E43" s="127"/>
      <c r="F43" s="124" t="s">
        <v>168</v>
      </c>
      <c r="G43" s="124" t="s">
        <v>168</v>
      </c>
      <c r="H43" s="124" t="s">
        <v>168</v>
      </c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BG43" s="158"/>
    </row>
    <row r="44" spans="2:59" ht="13.5">
      <c r="B44" s="106"/>
      <c r="C44" s="117" t="s">
        <v>171</v>
      </c>
      <c r="D44" s="117" t="s">
        <v>172</v>
      </c>
      <c r="E44" s="117" t="s">
        <v>173</v>
      </c>
      <c r="F44" s="119" t="s">
        <v>91</v>
      </c>
      <c r="G44" s="119" t="s">
        <v>627</v>
      </c>
      <c r="H44" s="119" t="s">
        <v>69</v>
      </c>
      <c r="I44" s="119" t="s">
        <v>289</v>
      </c>
      <c r="J44" s="119" t="s">
        <v>290</v>
      </c>
      <c r="K44" s="119" t="s">
        <v>291</v>
      </c>
      <c r="L44" s="119" t="s">
        <v>292</v>
      </c>
      <c r="M44" s="119" t="s">
        <v>293</v>
      </c>
      <c r="N44" s="119" t="s">
        <v>294</v>
      </c>
      <c r="O44" s="119" t="s">
        <v>295</v>
      </c>
      <c r="P44" s="119" t="s">
        <v>296</v>
      </c>
      <c r="Q44" s="119" t="s">
        <v>297</v>
      </c>
      <c r="R44" s="119" t="s">
        <v>298</v>
      </c>
      <c r="S44" s="119" t="s">
        <v>299</v>
      </c>
      <c r="T44" s="119" t="s">
        <v>300</v>
      </c>
      <c r="U44" s="119" t="s">
        <v>301</v>
      </c>
      <c r="V44" s="119" t="s">
        <v>302</v>
      </c>
      <c r="W44" s="119" t="s">
        <v>303</v>
      </c>
      <c r="X44" s="119" t="s">
        <v>229</v>
      </c>
      <c r="Y44" s="119" t="s">
        <v>230</v>
      </c>
      <c r="Z44" s="119" t="s">
        <v>231</v>
      </c>
      <c r="AA44" s="119" t="s">
        <v>232</v>
      </c>
      <c r="AB44" s="119" t="s">
        <v>150</v>
      </c>
      <c r="AC44" s="119" t="s">
        <v>151</v>
      </c>
      <c r="AD44" s="119" t="s">
        <v>233</v>
      </c>
      <c r="BG44" s="158"/>
    </row>
    <row r="45" spans="2:59" ht="13.5">
      <c r="B45" s="106"/>
      <c r="C45" s="117" t="s">
        <v>205</v>
      </c>
      <c r="D45" s="117" t="s">
        <v>214</v>
      </c>
      <c r="E45" s="117" t="s">
        <v>222</v>
      </c>
      <c r="F45" s="118" t="s">
        <v>250</v>
      </c>
      <c r="G45" s="118" t="s">
        <v>251</v>
      </c>
      <c r="H45" s="118" t="s">
        <v>253</v>
      </c>
      <c r="I45" s="118" t="s">
        <v>252</v>
      </c>
      <c r="J45" s="118" t="s">
        <v>254</v>
      </c>
      <c r="K45" s="118" t="s">
        <v>255</v>
      </c>
      <c r="L45" s="118" t="s">
        <v>256</v>
      </c>
      <c r="M45" s="118" t="s">
        <v>257</v>
      </c>
      <c r="N45" s="118" t="s">
        <v>258</v>
      </c>
      <c r="O45" s="118" t="s">
        <v>259</v>
      </c>
      <c r="P45" s="118" t="s">
        <v>260</v>
      </c>
      <c r="Q45" s="118" t="s">
        <v>261</v>
      </c>
      <c r="R45" s="118" t="s">
        <v>262</v>
      </c>
      <c r="S45" s="118" t="s">
        <v>263</v>
      </c>
      <c r="T45" s="118" t="s">
        <v>264</v>
      </c>
      <c r="U45" s="118" t="s">
        <v>265</v>
      </c>
      <c r="V45" s="118" t="s">
        <v>266</v>
      </c>
      <c r="W45" s="118" t="s">
        <v>267</v>
      </c>
      <c r="X45" s="118" t="s">
        <v>235</v>
      </c>
      <c r="Y45" s="118" t="s">
        <v>236</v>
      </c>
      <c r="Z45" s="118" t="s">
        <v>237</v>
      </c>
      <c r="AA45" s="118" t="s">
        <v>238</v>
      </c>
      <c r="AB45" s="118" t="s">
        <v>239</v>
      </c>
      <c r="AC45" s="118" t="s">
        <v>240</v>
      </c>
      <c r="AD45" s="118" t="s">
        <v>241</v>
      </c>
      <c r="BG45" s="158"/>
    </row>
    <row r="46" spans="2:59" ht="13.5">
      <c r="B46" s="122"/>
      <c r="C46" s="117" t="s">
        <v>304</v>
      </c>
      <c r="D46" s="117" t="s">
        <v>305</v>
      </c>
      <c r="E46" s="117" t="s">
        <v>305</v>
      </c>
      <c r="F46" s="119" t="s">
        <v>306</v>
      </c>
      <c r="G46" s="119" t="s">
        <v>306</v>
      </c>
      <c r="H46" s="119" t="s">
        <v>307</v>
      </c>
      <c r="I46" s="119" t="s">
        <v>306</v>
      </c>
      <c r="J46" s="119" t="s">
        <v>308</v>
      </c>
      <c r="K46" s="119" t="s">
        <v>309</v>
      </c>
      <c r="L46" s="118" t="s">
        <v>310</v>
      </c>
      <c r="M46" s="119" t="s">
        <v>310</v>
      </c>
      <c r="N46" s="119" t="s">
        <v>311</v>
      </c>
      <c r="O46" s="119" t="s">
        <v>306</v>
      </c>
      <c r="P46" s="119" t="s">
        <v>312</v>
      </c>
      <c r="Q46" s="119" t="s">
        <v>313</v>
      </c>
      <c r="R46" s="119" t="s">
        <v>312</v>
      </c>
      <c r="S46" s="119" t="s">
        <v>314</v>
      </c>
      <c r="T46" s="118" t="s">
        <v>315</v>
      </c>
      <c r="U46" s="119" t="s">
        <v>315</v>
      </c>
      <c r="V46" s="119" t="s">
        <v>316</v>
      </c>
      <c r="W46" s="119" t="s">
        <v>306</v>
      </c>
      <c r="X46" s="119" t="s">
        <v>317</v>
      </c>
      <c r="Y46" s="119" t="s">
        <v>319</v>
      </c>
      <c r="Z46" s="119" t="s">
        <v>320</v>
      </c>
      <c r="AA46" s="119" t="s">
        <v>320</v>
      </c>
      <c r="AB46" s="118" t="s">
        <v>318</v>
      </c>
      <c r="AC46" s="119" t="s">
        <v>320</v>
      </c>
      <c r="AD46" s="119" t="s">
        <v>320</v>
      </c>
      <c r="BG46" s="158"/>
    </row>
    <row r="47" spans="2:59" ht="25">
      <c r="B47" s="120" t="s">
        <v>242</v>
      </c>
      <c r="C47" s="142" t="s">
        <v>515</v>
      </c>
      <c r="D47" s="118" t="s">
        <v>270</v>
      </c>
      <c r="E47" s="119" t="s">
        <v>270</v>
      </c>
      <c r="F47" s="119" t="s">
        <v>182</v>
      </c>
      <c r="G47" s="119" t="s">
        <v>271</v>
      </c>
      <c r="H47" s="119" t="s">
        <v>183</v>
      </c>
      <c r="I47" s="119" t="s">
        <v>271</v>
      </c>
      <c r="J47" s="119" t="s">
        <v>272</v>
      </c>
      <c r="K47" s="119" t="s">
        <v>243</v>
      </c>
      <c r="L47" s="118" t="s">
        <v>155</v>
      </c>
      <c r="M47" s="119" t="s">
        <v>273</v>
      </c>
      <c r="N47" s="119"/>
      <c r="O47" s="119" t="s">
        <v>182</v>
      </c>
      <c r="P47" s="119" t="s">
        <v>155</v>
      </c>
      <c r="Q47" s="119" t="s">
        <v>274</v>
      </c>
      <c r="R47" s="119" t="s">
        <v>275</v>
      </c>
      <c r="S47" s="119"/>
      <c r="T47" s="118" t="s">
        <v>155</v>
      </c>
      <c r="U47" s="119" t="s">
        <v>155</v>
      </c>
      <c r="V47" s="119" t="s">
        <v>155</v>
      </c>
      <c r="W47" s="119"/>
      <c r="X47" s="119" t="s">
        <v>243</v>
      </c>
      <c r="Y47" s="119" t="s">
        <v>276</v>
      </c>
      <c r="Z47" s="119" t="s">
        <v>277</v>
      </c>
      <c r="AA47" s="119" t="s">
        <v>277</v>
      </c>
      <c r="AB47" s="118" t="s">
        <v>278</v>
      </c>
      <c r="AC47" s="119" t="s">
        <v>279</v>
      </c>
      <c r="AD47" s="119" t="s">
        <v>279</v>
      </c>
      <c r="BG47" s="158"/>
    </row>
    <row r="48" spans="2:59" ht="25">
      <c r="B48" s="120" t="s">
        <v>242</v>
      </c>
      <c r="C48" s="142" t="s">
        <v>515</v>
      </c>
      <c r="D48" s="131" t="s">
        <v>270</v>
      </c>
      <c r="E48" s="142" t="s">
        <v>181</v>
      </c>
      <c r="F48" s="116" t="s">
        <v>182</v>
      </c>
      <c r="G48" s="143" t="s">
        <v>174</v>
      </c>
      <c r="H48" s="116" t="s">
        <v>183</v>
      </c>
      <c r="I48" s="132" t="s">
        <v>271</v>
      </c>
      <c r="J48" s="116" t="s">
        <v>183</v>
      </c>
      <c r="K48" s="116" t="s">
        <v>243</v>
      </c>
      <c r="L48" s="131" t="s">
        <v>280</v>
      </c>
      <c r="M48" s="116" t="s">
        <v>273</v>
      </c>
      <c r="N48" s="116"/>
      <c r="O48" s="116" t="s">
        <v>243</v>
      </c>
      <c r="P48" s="116" t="s">
        <v>155</v>
      </c>
      <c r="Q48" s="116" t="s">
        <v>183</v>
      </c>
      <c r="R48" s="116" t="s">
        <v>281</v>
      </c>
      <c r="S48" s="116"/>
      <c r="T48" s="131" t="s">
        <v>155</v>
      </c>
      <c r="U48" s="116" t="s">
        <v>155</v>
      </c>
      <c r="V48" s="116" t="s">
        <v>155</v>
      </c>
      <c r="W48" s="116"/>
      <c r="X48" s="116" t="s">
        <v>243</v>
      </c>
      <c r="Y48" s="116" t="s">
        <v>282</v>
      </c>
      <c r="Z48" s="116" t="s">
        <v>283</v>
      </c>
      <c r="AA48" s="116">
        <v>470195</v>
      </c>
      <c r="AB48" s="131" t="s">
        <v>282</v>
      </c>
      <c r="AC48" s="116">
        <v>470195</v>
      </c>
      <c r="AD48" s="116" t="s">
        <v>283</v>
      </c>
      <c r="BG48" s="158"/>
    </row>
    <row r="49" spans="2:59" ht="14">
      <c r="B49" s="120" t="s">
        <v>242</v>
      </c>
      <c r="C49" s="142" t="s">
        <v>476</v>
      </c>
      <c r="D49" s="121" t="s">
        <v>270</v>
      </c>
      <c r="E49" s="121" t="s">
        <v>270</v>
      </c>
      <c r="F49" s="121" t="s">
        <v>182</v>
      </c>
      <c r="G49" s="121" t="s">
        <v>271</v>
      </c>
      <c r="H49" s="121" t="s">
        <v>183</v>
      </c>
      <c r="I49" s="121" t="s">
        <v>271</v>
      </c>
      <c r="J49" s="121" t="s">
        <v>477</v>
      </c>
      <c r="K49" s="121" t="s">
        <v>243</v>
      </c>
      <c r="L49" s="121" t="s">
        <v>155</v>
      </c>
      <c r="M49" s="121" t="s">
        <v>273</v>
      </c>
      <c r="N49" s="121"/>
      <c r="O49" s="121" t="s">
        <v>182</v>
      </c>
      <c r="P49" s="121" t="s">
        <v>155</v>
      </c>
      <c r="Q49" s="121" t="s">
        <v>274</v>
      </c>
      <c r="R49" s="121" t="s">
        <v>478</v>
      </c>
      <c r="S49" s="121"/>
      <c r="T49" s="121" t="s">
        <v>479</v>
      </c>
      <c r="U49" s="121" t="s">
        <v>480</v>
      </c>
      <c r="V49" s="121" t="s">
        <v>481</v>
      </c>
      <c r="W49" s="121"/>
      <c r="X49" s="121" t="s">
        <v>243</v>
      </c>
      <c r="Y49" s="121" t="s">
        <v>276</v>
      </c>
      <c r="Z49" s="121" t="s">
        <v>277</v>
      </c>
      <c r="AA49" s="121" t="s">
        <v>277</v>
      </c>
      <c r="AB49" s="121" t="s">
        <v>482</v>
      </c>
      <c r="AC49" s="121">
        <v>375901</v>
      </c>
      <c r="AD49" s="121" t="s">
        <v>483</v>
      </c>
      <c r="BG49" s="158"/>
    </row>
    <row r="50" spans="2:59" ht="14">
      <c r="B50" s="120" t="s">
        <v>242</v>
      </c>
      <c r="C50" s="142" t="s">
        <v>490</v>
      </c>
      <c r="D50" s="121" t="s">
        <v>270</v>
      </c>
      <c r="E50" s="121" t="s">
        <v>270</v>
      </c>
      <c r="F50" s="121" t="s">
        <v>182</v>
      </c>
      <c r="G50" s="121" t="s">
        <v>271</v>
      </c>
      <c r="H50" s="121" t="s">
        <v>183</v>
      </c>
      <c r="I50" s="121" t="s">
        <v>271</v>
      </c>
      <c r="J50" s="121" t="s">
        <v>484</v>
      </c>
      <c r="K50" s="121" t="s">
        <v>243</v>
      </c>
      <c r="L50" s="121" t="s">
        <v>485</v>
      </c>
      <c r="M50" s="121" t="s">
        <v>273</v>
      </c>
      <c r="N50" s="121"/>
      <c r="O50" s="121" t="s">
        <v>271</v>
      </c>
      <c r="P50" s="121" t="s">
        <v>155</v>
      </c>
      <c r="Q50" s="121" t="s">
        <v>486</v>
      </c>
      <c r="R50" s="121" t="s">
        <v>275</v>
      </c>
      <c r="S50" s="121"/>
      <c r="T50" s="121" t="s">
        <v>155</v>
      </c>
      <c r="U50" s="121" t="s">
        <v>155</v>
      </c>
      <c r="V50" s="121" t="s">
        <v>155</v>
      </c>
      <c r="W50" s="121"/>
      <c r="X50" s="121" t="s">
        <v>243</v>
      </c>
      <c r="Y50" s="121" t="s">
        <v>487</v>
      </c>
      <c r="Z50" s="121" t="s">
        <v>277</v>
      </c>
      <c r="AA50" s="121" t="s">
        <v>277</v>
      </c>
      <c r="AB50" s="121" t="s">
        <v>488</v>
      </c>
      <c r="AC50" s="121" t="s">
        <v>489</v>
      </c>
      <c r="AD50" s="121" t="s">
        <v>489</v>
      </c>
      <c r="BG50" s="158"/>
    </row>
    <row r="51" spans="2:59" ht="14">
      <c r="B51" s="106"/>
      <c r="C51" s="112"/>
      <c r="D51" s="165"/>
      <c r="E51" s="166"/>
      <c r="F51" s="166"/>
      <c r="G51" s="166"/>
      <c r="H51" s="166"/>
      <c r="I51" s="166"/>
      <c r="J51" s="166"/>
      <c r="M51" s="166"/>
      <c r="N51" s="165"/>
      <c r="O51" s="166"/>
      <c r="P51" s="166"/>
      <c r="Q51" s="166"/>
      <c r="R51" s="166"/>
      <c r="S51" s="166"/>
      <c r="T51" s="166"/>
      <c r="U51" s="166"/>
      <c r="V51" s="165"/>
      <c r="W51" s="166"/>
      <c r="X51" s="166"/>
      <c r="Y51" s="166"/>
      <c r="Z51" s="166"/>
      <c r="BG51" s="158"/>
    </row>
    <row r="52" spans="2:59" ht="15">
      <c r="B52" s="106"/>
      <c r="C52" s="257" t="s">
        <v>321</v>
      </c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90"/>
      <c r="V52" s="90"/>
      <c r="W52" s="90"/>
      <c r="X52" s="90"/>
      <c r="Y52" s="90"/>
      <c r="Z52" s="90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158"/>
    </row>
    <row r="53" spans="2:59" ht="15">
      <c r="B53" s="106"/>
      <c r="C53" s="127"/>
      <c r="D53" s="127"/>
      <c r="E53" s="127"/>
      <c r="F53" s="124" t="s">
        <v>168</v>
      </c>
      <c r="G53" s="124" t="s">
        <v>168</v>
      </c>
      <c r="H53" s="129" t="s">
        <v>168</v>
      </c>
      <c r="I53" s="124" t="s">
        <v>168</v>
      </c>
      <c r="J53" s="124" t="s">
        <v>168</v>
      </c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58"/>
    </row>
    <row r="54" spans="2:59" ht="25">
      <c r="B54" s="106"/>
      <c r="C54" s="117" t="s">
        <v>365</v>
      </c>
      <c r="D54" s="117" t="s">
        <v>420</v>
      </c>
      <c r="E54" s="117" t="s">
        <v>421</v>
      </c>
      <c r="F54" s="119" t="s">
        <v>96</v>
      </c>
      <c r="G54" s="119" t="s">
        <v>99</v>
      </c>
      <c r="H54" s="119" t="s">
        <v>130</v>
      </c>
      <c r="I54" s="119" t="s">
        <v>391</v>
      </c>
      <c r="J54" s="119" t="s">
        <v>127</v>
      </c>
      <c r="K54" s="119" t="s">
        <v>67</v>
      </c>
      <c r="L54" s="119" t="s">
        <v>288</v>
      </c>
      <c r="M54" s="119" t="s">
        <v>366</v>
      </c>
      <c r="N54" s="119" t="s">
        <v>367</v>
      </c>
      <c r="O54" s="119" t="s">
        <v>368</v>
      </c>
      <c r="P54" s="119" t="s">
        <v>369</v>
      </c>
      <c r="Q54" s="119" t="s">
        <v>370</v>
      </c>
      <c r="R54" s="119" t="s">
        <v>371</v>
      </c>
      <c r="S54" s="119" t="s">
        <v>372</v>
      </c>
      <c r="T54" s="119" t="s">
        <v>373</v>
      </c>
      <c r="U54" s="119" t="s">
        <v>374</v>
      </c>
      <c r="V54" s="119" t="s">
        <v>375</v>
      </c>
      <c r="W54" s="119" t="s">
        <v>376</v>
      </c>
      <c r="X54" s="119" t="s">
        <v>377</v>
      </c>
      <c r="Y54" s="119" t="s">
        <v>378</v>
      </c>
      <c r="Z54" s="119" t="s">
        <v>379</v>
      </c>
      <c r="AA54" s="119" t="s">
        <v>380</v>
      </c>
      <c r="AB54" s="119" t="s">
        <v>381</v>
      </c>
      <c r="AC54" s="119" t="s">
        <v>382</v>
      </c>
      <c r="AD54" s="119" t="s">
        <v>383</v>
      </c>
      <c r="AE54" s="119" t="s">
        <v>384</v>
      </c>
      <c r="AF54" s="119" t="s">
        <v>385</v>
      </c>
      <c r="AG54" s="119" t="s">
        <v>386</v>
      </c>
      <c r="AH54" s="119" t="s">
        <v>387</v>
      </c>
      <c r="AI54" s="119" t="s">
        <v>388</v>
      </c>
      <c r="AJ54" s="119" t="s">
        <v>390</v>
      </c>
      <c r="AK54" s="119" t="s">
        <v>389</v>
      </c>
      <c r="AL54" s="119" t="s">
        <v>398</v>
      </c>
      <c r="AM54" s="119" t="s">
        <v>392</v>
      </c>
      <c r="AN54" s="119" t="s">
        <v>393</v>
      </c>
      <c r="AO54" s="119" t="s">
        <v>394</v>
      </c>
      <c r="AP54" s="119" t="s">
        <v>395</v>
      </c>
      <c r="AQ54" s="119" t="s">
        <v>399</v>
      </c>
      <c r="AR54" s="119" t="s">
        <v>396</v>
      </c>
      <c r="AS54" s="119" t="s">
        <v>397</v>
      </c>
      <c r="AT54" s="119" t="s">
        <v>400</v>
      </c>
      <c r="AU54" s="119" t="s">
        <v>401</v>
      </c>
      <c r="AV54" s="119" t="s">
        <v>402</v>
      </c>
      <c r="AW54" s="119" t="s">
        <v>403</v>
      </c>
      <c r="AX54" s="119" t="s">
        <v>404</v>
      </c>
      <c r="AY54" s="119" t="s">
        <v>405</v>
      </c>
      <c r="AZ54" s="119" t="s">
        <v>229</v>
      </c>
      <c r="BA54" s="119" t="s">
        <v>230</v>
      </c>
      <c r="BB54" s="119" t="s">
        <v>231</v>
      </c>
      <c r="BC54" s="119" t="s">
        <v>232</v>
      </c>
      <c r="BD54" s="119" t="s">
        <v>150</v>
      </c>
      <c r="BE54" s="119" t="s">
        <v>151</v>
      </c>
      <c r="BF54" s="119" t="s">
        <v>233</v>
      </c>
      <c r="BG54" s="158"/>
    </row>
    <row r="55" spans="2:59">
      <c r="B55" s="163"/>
      <c r="C55" s="117" t="s">
        <v>205</v>
      </c>
      <c r="D55" s="117" t="s">
        <v>214</v>
      </c>
      <c r="E55" s="117" t="s">
        <v>222</v>
      </c>
      <c r="F55" s="118" t="s">
        <v>322</v>
      </c>
      <c r="G55" s="118" t="s">
        <v>323</v>
      </c>
      <c r="H55" s="118" t="s">
        <v>324</v>
      </c>
      <c r="I55" s="118" t="s">
        <v>351</v>
      </c>
      <c r="J55" s="118" t="s">
        <v>357</v>
      </c>
      <c r="K55" s="118" t="s">
        <v>251</v>
      </c>
      <c r="L55" s="118" t="s">
        <v>252</v>
      </c>
      <c r="M55" s="118" t="s">
        <v>325</v>
      </c>
      <c r="N55" s="118" t="s">
        <v>326</v>
      </c>
      <c r="O55" s="118" t="s">
        <v>327</v>
      </c>
      <c r="P55" s="118" t="s">
        <v>328</v>
      </c>
      <c r="Q55" s="118" t="s">
        <v>329</v>
      </c>
      <c r="R55" s="118" t="s">
        <v>330</v>
      </c>
      <c r="S55" s="118" t="s">
        <v>331</v>
      </c>
      <c r="T55" s="118" t="s">
        <v>332</v>
      </c>
      <c r="U55" s="118" t="s">
        <v>333</v>
      </c>
      <c r="V55" s="118" t="s">
        <v>334</v>
      </c>
      <c r="W55" s="118" t="s">
        <v>335</v>
      </c>
      <c r="X55" s="118" t="s">
        <v>336</v>
      </c>
      <c r="Y55" s="118" t="s">
        <v>337</v>
      </c>
      <c r="Z55" s="118" t="s">
        <v>338</v>
      </c>
      <c r="AA55" s="118" t="s">
        <v>339</v>
      </c>
      <c r="AB55" s="118" t="s">
        <v>340</v>
      </c>
      <c r="AC55" s="118" t="s">
        <v>341</v>
      </c>
      <c r="AD55" s="118" t="s">
        <v>342</v>
      </c>
      <c r="AE55" s="118" t="s">
        <v>343</v>
      </c>
      <c r="AF55" s="118" t="s">
        <v>344</v>
      </c>
      <c r="AG55" s="118" t="s">
        <v>345</v>
      </c>
      <c r="AH55" s="118" t="s">
        <v>346</v>
      </c>
      <c r="AI55" s="118" t="s">
        <v>347</v>
      </c>
      <c r="AJ55" s="118" t="s">
        <v>348</v>
      </c>
      <c r="AK55" s="118" t="s">
        <v>349</v>
      </c>
      <c r="AL55" s="118" t="s">
        <v>350</v>
      </c>
      <c r="AM55" s="118" t="s">
        <v>352</v>
      </c>
      <c r="AN55" s="118" t="s">
        <v>353</v>
      </c>
      <c r="AO55" s="118" t="s">
        <v>354</v>
      </c>
      <c r="AP55" s="118" t="s">
        <v>234</v>
      </c>
      <c r="AQ55" s="118" t="s">
        <v>355</v>
      </c>
      <c r="AR55" s="118" t="s">
        <v>356</v>
      </c>
      <c r="AS55" s="118" t="s">
        <v>358</v>
      </c>
      <c r="AT55" s="118" t="s">
        <v>359</v>
      </c>
      <c r="AU55" s="118" t="s">
        <v>360</v>
      </c>
      <c r="AV55" s="118" t="s">
        <v>361</v>
      </c>
      <c r="AW55" s="118" t="s">
        <v>362</v>
      </c>
      <c r="AX55" s="118" t="s">
        <v>363</v>
      </c>
      <c r="AY55" s="118" t="s">
        <v>364</v>
      </c>
      <c r="AZ55" s="118" t="s">
        <v>235</v>
      </c>
      <c r="BA55" s="118" t="s">
        <v>236</v>
      </c>
      <c r="BB55" s="118" t="s">
        <v>237</v>
      </c>
      <c r="BC55" s="118" t="s">
        <v>238</v>
      </c>
      <c r="BD55" s="118" t="s">
        <v>239</v>
      </c>
      <c r="BE55" s="118" t="s">
        <v>240</v>
      </c>
      <c r="BF55" s="118" t="s">
        <v>241</v>
      </c>
      <c r="BG55" s="158"/>
    </row>
    <row r="56" spans="2:59">
      <c r="B56" s="163"/>
      <c r="C56" s="117" t="s">
        <v>304</v>
      </c>
      <c r="D56" s="117" t="s">
        <v>406</v>
      </c>
      <c r="E56" s="117" t="s">
        <v>305</v>
      </c>
      <c r="F56" s="131" t="s">
        <v>306</v>
      </c>
      <c r="G56" s="131" t="s">
        <v>306</v>
      </c>
      <c r="H56" s="131" t="s">
        <v>306</v>
      </c>
      <c r="I56" s="131" t="s">
        <v>306</v>
      </c>
      <c r="J56" s="131" t="s">
        <v>308</v>
      </c>
      <c r="K56" s="131" t="s">
        <v>306</v>
      </c>
      <c r="L56" s="131" t="s">
        <v>306</v>
      </c>
      <c r="M56" s="131" t="s">
        <v>407</v>
      </c>
      <c r="N56" s="131" t="s">
        <v>407</v>
      </c>
      <c r="O56" s="131" t="s">
        <v>305</v>
      </c>
      <c r="P56" s="131" t="s">
        <v>408</v>
      </c>
      <c r="Q56" s="131" t="s">
        <v>306</v>
      </c>
      <c r="R56" s="131" t="s">
        <v>313</v>
      </c>
      <c r="S56" s="131" t="s">
        <v>308</v>
      </c>
      <c r="T56" s="131" t="s">
        <v>313</v>
      </c>
      <c r="U56" s="131" t="s">
        <v>308</v>
      </c>
      <c r="V56" s="131" t="s">
        <v>308</v>
      </c>
      <c r="W56" s="131" t="s">
        <v>306</v>
      </c>
      <c r="X56" s="131" t="s">
        <v>409</v>
      </c>
      <c r="Y56" s="131" t="s">
        <v>409</v>
      </c>
      <c r="Z56" s="131" t="s">
        <v>310</v>
      </c>
      <c r="AA56" s="131" t="s">
        <v>408</v>
      </c>
      <c r="AB56" s="131" t="s">
        <v>408</v>
      </c>
      <c r="AC56" s="131" t="s">
        <v>308</v>
      </c>
      <c r="AD56" s="131" t="s">
        <v>312</v>
      </c>
      <c r="AE56" s="131" t="s">
        <v>313</v>
      </c>
      <c r="AF56" s="131" t="s">
        <v>313</v>
      </c>
      <c r="AG56" s="131" t="s">
        <v>410</v>
      </c>
      <c r="AH56" s="131" t="s">
        <v>410</v>
      </c>
      <c r="AI56" s="131" t="s">
        <v>313</v>
      </c>
      <c r="AJ56" s="131" t="s">
        <v>313</v>
      </c>
      <c r="AK56" s="131" t="s">
        <v>410</v>
      </c>
      <c r="AL56" s="131" t="s">
        <v>410</v>
      </c>
      <c r="AM56" s="131" t="s">
        <v>306</v>
      </c>
      <c r="AN56" s="131" t="s">
        <v>306</v>
      </c>
      <c r="AO56" s="131" t="s">
        <v>306</v>
      </c>
      <c r="AP56" s="131" t="s">
        <v>310</v>
      </c>
      <c r="AQ56" s="131" t="s">
        <v>305</v>
      </c>
      <c r="AR56" s="131" t="s">
        <v>306</v>
      </c>
      <c r="AS56" s="131" t="s">
        <v>308</v>
      </c>
      <c r="AT56" s="131" t="s">
        <v>306</v>
      </c>
      <c r="AU56" s="131" t="s">
        <v>411</v>
      </c>
      <c r="AV56" s="131" t="s">
        <v>313</v>
      </c>
      <c r="AW56" s="131" t="s">
        <v>310</v>
      </c>
      <c r="AX56" s="131" t="s">
        <v>306</v>
      </c>
      <c r="AY56" s="131" t="s">
        <v>306</v>
      </c>
      <c r="AZ56" s="131" t="s">
        <v>317</v>
      </c>
      <c r="BA56" s="131" t="s">
        <v>318</v>
      </c>
      <c r="BB56" s="131" t="s">
        <v>320</v>
      </c>
      <c r="BC56" s="131" t="s">
        <v>320</v>
      </c>
      <c r="BD56" s="131" t="s">
        <v>318</v>
      </c>
      <c r="BE56" s="131" t="s">
        <v>320</v>
      </c>
      <c r="BF56" s="131" t="s">
        <v>320</v>
      </c>
      <c r="BG56" s="158"/>
    </row>
    <row r="57" spans="2:59" ht="15">
      <c r="B57" s="120" t="s">
        <v>242</v>
      </c>
      <c r="C57" s="142" t="s">
        <v>515</v>
      </c>
      <c r="D57" s="132" t="s">
        <v>270</v>
      </c>
      <c r="E57" s="132" t="s">
        <v>270</v>
      </c>
      <c r="F57" s="133" t="s">
        <v>286</v>
      </c>
      <c r="G57" s="132" t="s">
        <v>243</v>
      </c>
      <c r="H57" s="132" t="s">
        <v>243</v>
      </c>
      <c r="I57" s="135">
        <v>1</v>
      </c>
      <c r="J57" s="136">
        <v>0</v>
      </c>
      <c r="K57" s="132" t="s">
        <v>271</v>
      </c>
      <c r="L57" s="132" t="s">
        <v>271</v>
      </c>
      <c r="M57" s="132" t="s">
        <v>155</v>
      </c>
      <c r="N57" s="132" t="s">
        <v>155</v>
      </c>
      <c r="O57" s="132" t="s">
        <v>155</v>
      </c>
      <c r="P57" s="132" t="s">
        <v>155</v>
      </c>
      <c r="Q57" s="134" t="s">
        <v>412</v>
      </c>
      <c r="R57" s="132" t="s">
        <v>243</v>
      </c>
      <c r="S57" s="132" t="s">
        <v>243</v>
      </c>
      <c r="T57" s="132" t="s">
        <v>413</v>
      </c>
      <c r="U57" s="132" t="s">
        <v>414</v>
      </c>
      <c r="V57" s="132" t="s">
        <v>182</v>
      </c>
      <c r="W57" s="132" t="s">
        <v>182</v>
      </c>
      <c r="X57" s="132" t="s">
        <v>243</v>
      </c>
      <c r="Y57" s="132" t="s">
        <v>243</v>
      </c>
      <c r="Z57" s="132"/>
      <c r="AA57" s="135"/>
      <c r="AB57" s="135" t="s">
        <v>155</v>
      </c>
      <c r="AC57" s="135">
        <v>1</v>
      </c>
      <c r="AD57" s="135">
        <v>99999999</v>
      </c>
      <c r="AE57" s="132" t="s">
        <v>243</v>
      </c>
      <c r="AF57" s="132" t="s">
        <v>243</v>
      </c>
      <c r="AG57" s="132" t="s">
        <v>243</v>
      </c>
      <c r="AH57" s="132" t="s">
        <v>243</v>
      </c>
      <c r="AI57" s="135">
        <v>0</v>
      </c>
      <c r="AJ57" s="135">
        <v>0</v>
      </c>
      <c r="AK57" s="135">
        <v>0</v>
      </c>
      <c r="AL57" s="135">
        <v>0</v>
      </c>
      <c r="AM57" s="132" t="s">
        <v>182</v>
      </c>
      <c r="AN57" s="135">
        <v>0</v>
      </c>
      <c r="AO57" s="132" t="s">
        <v>243</v>
      </c>
      <c r="AP57" s="135">
        <v>1</v>
      </c>
      <c r="AQ57" s="136" t="s">
        <v>155</v>
      </c>
      <c r="AR57" s="136" t="s">
        <v>415</v>
      </c>
      <c r="AS57" s="136">
        <v>0</v>
      </c>
      <c r="AT57" s="136">
        <v>1</v>
      </c>
      <c r="AU57" s="136">
        <v>0</v>
      </c>
      <c r="AV57" s="136">
        <v>0</v>
      </c>
      <c r="AW57" s="136">
        <v>0</v>
      </c>
      <c r="AX57" s="136">
        <v>0</v>
      </c>
      <c r="AY57" s="136">
        <v>1</v>
      </c>
      <c r="AZ57" s="136">
        <v>0</v>
      </c>
      <c r="BA57" s="137">
        <v>29705</v>
      </c>
      <c r="BB57" s="136" t="s">
        <v>277</v>
      </c>
      <c r="BC57" s="136" t="s">
        <v>277</v>
      </c>
      <c r="BD57" s="137">
        <v>36413</v>
      </c>
      <c r="BE57" s="136" t="s">
        <v>277</v>
      </c>
      <c r="BF57" s="136" t="s">
        <v>277</v>
      </c>
      <c r="BG57" s="158"/>
    </row>
    <row r="58" spans="2:59" ht="15">
      <c r="B58" s="120" t="s">
        <v>242</v>
      </c>
      <c r="C58" s="142" t="s">
        <v>515</v>
      </c>
      <c r="D58" s="132" t="s">
        <v>270</v>
      </c>
      <c r="E58" s="142" t="s">
        <v>181</v>
      </c>
      <c r="F58" s="133" t="s">
        <v>184</v>
      </c>
      <c r="G58" s="132" t="s">
        <v>243</v>
      </c>
      <c r="H58" s="132" t="s">
        <v>243</v>
      </c>
      <c r="I58" s="135">
        <v>0</v>
      </c>
      <c r="J58" s="132">
        <v>30</v>
      </c>
      <c r="K58" s="143" t="s">
        <v>174</v>
      </c>
      <c r="L58" s="132" t="s">
        <v>271</v>
      </c>
      <c r="M58" s="132" t="s">
        <v>155</v>
      </c>
      <c r="N58" s="132" t="s">
        <v>155</v>
      </c>
      <c r="O58" s="132" t="s">
        <v>416</v>
      </c>
      <c r="P58" s="132" t="s">
        <v>155</v>
      </c>
      <c r="Q58" s="134" t="s">
        <v>417</v>
      </c>
      <c r="R58" s="132" t="s">
        <v>182</v>
      </c>
      <c r="S58" s="132" t="s">
        <v>243</v>
      </c>
      <c r="T58" s="132" t="s">
        <v>413</v>
      </c>
      <c r="U58" s="132" t="s">
        <v>414</v>
      </c>
      <c r="V58" s="132" t="s">
        <v>418</v>
      </c>
      <c r="W58" s="132" t="s">
        <v>182</v>
      </c>
      <c r="X58" s="132" t="s">
        <v>243</v>
      </c>
      <c r="Y58" s="132" t="s">
        <v>243</v>
      </c>
      <c r="Z58" s="132"/>
      <c r="AA58" s="135"/>
      <c r="AB58" s="135" t="s">
        <v>419</v>
      </c>
      <c r="AC58" s="138">
        <v>5000</v>
      </c>
      <c r="AD58" s="135">
        <v>99999999</v>
      </c>
      <c r="AE58" s="132" t="s">
        <v>243</v>
      </c>
      <c r="AF58" s="132" t="s">
        <v>271</v>
      </c>
      <c r="AG58" s="132" t="s">
        <v>243</v>
      </c>
      <c r="AH58" s="132" t="s">
        <v>243</v>
      </c>
      <c r="AI58" s="135">
        <v>0</v>
      </c>
      <c r="AJ58" s="135">
        <v>0</v>
      </c>
      <c r="AK58" s="135">
        <v>0</v>
      </c>
      <c r="AL58" s="135">
        <v>0</v>
      </c>
      <c r="AM58" s="132" t="s">
        <v>182</v>
      </c>
      <c r="AN58" s="135">
        <v>0</v>
      </c>
      <c r="AO58" s="132" t="s">
        <v>243</v>
      </c>
      <c r="AP58" s="135">
        <v>1</v>
      </c>
      <c r="AQ58" s="136">
        <v>1111</v>
      </c>
      <c r="AR58" s="136" t="s">
        <v>415</v>
      </c>
      <c r="AS58" s="136">
        <v>10</v>
      </c>
      <c r="AT58" s="136">
        <v>1</v>
      </c>
      <c r="AU58" s="136">
        <v>0</v>
      </c>
      <c r="AV58" s="136">
        <v>0</v>
      </c>
      <c r="AW58" s="136">
        <v>0</v>
      </c>
      <c r="AX58" s="136">
        <v>0</v>
      </c>
      <c r="AY58" s="136">
        <v>1</v>
      </c>
      <c r="AZ58" s="136">
        <v>0</v>
      </c>
      <c r="BA58" s="137">
        <v>40640.750486111108</v>
      </c>
      <c r="BB58" s="136">
        <v>470195</v>
      </c>
      <c r="BC58" s="136">
        <v>470195</v>
      </c>
      <c r="BD58" s="137">
        <v>45392.67769675926</v>
      </c>
      <c r="BE58" s="136">
        <v>363363</v>
      </c>
      <c r="BF58" s="136">
        <v>363363</v>
      </c>
      <c r="BG58" s="158"/>
    </row>
    <row r="59" spans="2:59" ht="14">
      <c r="B59" s="120" t="s">
        <v>242</v>
      </c>
      <c r="C59" s="142" t="s">
        <v>476</v>
      </c>
      <c r="D59" s="132" t="s">
        <v>270</v>
      </c>
      <c r="E59" s="132" t="s">
        <v>270</v>
      </c>
      <c r="F59" s="132" t="s">
        <v>286</v>
      </c>
      <c r="G59" s="132" t="s">
        <v>243</v>
      </c>
      <c r="H59" s="132" t="s">
        <v>243</v>
      </c>
      <c r="I59" s="132">
        <v>1</v>
      </c>
      <c r="J59" s="132">
        <v>0</v>
      </c>
      <c r="K59" s="132" t="s">
        <v>271</v>
      </c>
      <c r="L59" s="132" t="s">
        <v>271</v>
      </c>
      <c r="M59" s="132" t="s">
        <v>155</v>
      </c>
      <c r="N59" s="132" t="s">
        <v>155</v>
      </c>
      <c r="O59" s="132" t="s">
        <v>155</v>
      </c>
      <c r="P59" s="132" t="s">
        <v>155</v>
      </c>
      <c r="Q59" s="132" t="s">
        <v>412</v>
      </c>
      <c r="R59" s="132" t="s">
        <v>243</v>
      </c>
      <c r="S59" s="132" t="s">
        <v>243</v>
      </c>
      <c r="T59" s="132" t="s">
        <v>413</v>
      </c>
      <c r="U59" s="132" t="s">
        <v>414</v>
      </c>
      <c r="V59" s="132" t="s">
        <v>182</v>
      </c>
      <c r="W59" s="132" t="s">
        <v>182</v>
      </c>
      <c r="X59" s="132" t="s">
        <v>243</v>
      </c>
      <c r="Y59" s="132" t="s">
        <v>243</v>
      </c>
      <c r="Z59" s="132"/>
      <c r="AA59" s="132"/>
      <c r="AB59" s="132" t="s">
        <v>155</v>
      </c>
      <c r="AC59" s="132">
        <v>1</v>
      </c>
      <c r="AD59" s="132">
        <v>99999999</v>
      </c>
      <c r="AE59" s="132">
        <v>0</v>
      </c>
      <c r="AF59" s="132">
        <v>0</v>
      </c>
      <c r="AG59" s="132">
        <v>0</v>
      </c>
      <c r="AH59" s="132">
        <v>0</v>
      </c>
      <c r="AI59" s="132">
        <v>0</v>
      </c>
      <c r="AJ59" s="132">
        <v>0</v>
      </c>
      <c r="AK59" s="132">
        <v>0</v>
      </c>
      <c r="AL59" s="132">
        <v>0</v>
      </c>
      <c r="AM59" s="132">
        <v>1</v>
      </c>
      <c r="AN59" s="132">
        <v>0</v>
      </c>
      <c r="AO59" s="132">
        <v>0</v>
      </c>
      <c r="AP59" s="132">
        <v>1</v>
      </c>
      <c r="AQ59" s="132" t="s">
        <v>155</v>
      </c>
      <c r="AR59" s="132" t="s">
        <v>415</v>
      </c>
      <c r="AS59" s="132">
        <v>0</v>
      </c>
      <c r="AT59" s="132">
        <v>1</v>
      </c>
      <c r="AU59" s="132">
        <v>0</v>
      </c>
      <c r="AV59" s="132">
        <v>0</v>
      </c>
      <c r="AW59" s="132">
        <v>0</v>
      </c>
      <c r="AX59" s="132">
        <v>0</v>
      </c>
      <c r="AY59" s="132">
        <v>1</v>
      </c>
      <c r="AZ59" s="132">
        <v>0</v>
      </c>
      <c r="BA59" s="132">
        <v>29705</v>
      </c>
      <c r="BB59" s="132" t="s">
        <v>277</v>
      </c>
      <c r="BC59" s="132" t="s">
        <v>277</v>
      </c>
      <c r="BD59" s="132">
        <v>39993.705960648149</v>
      </c>
      <c r="BE59" s="132">
        <v>375901</v>
      </c>
      <c r="BF59" s="132">
        <v>375901</v>
      </c>
      <c r="BG59" s="158"/>
    </row>
    <row r="60" spans="2:59" ht="14">
      <c r="B60" s="120" t="s">
        <v>242</v>
      </c>
      <c r="C60" s="142" t="s">
        <v>490</v>
      </c>
      <c r="D60" s="132" t="s">
        <v>270</v>
      </c>
      <c r="E60" s="132" t="s">
        <v>270</v>
      </c>
      <c r="F60" s="132" t="s">
        <v>286</v>
      </c>
      <c r="G60" s="132" t="s">
        <v>243</v>
      </c>
      <c r="H60" s="132" t="s">
        <v>243</v>
      </c>
      <c r="I60" s="132">
        <v>1</v>
      </c>
      <c r="J60" s="132">
        <v>0</v>
      </c>
      <c r="K60" s="132" t="s">
        <v>271</v>
      </c>
      <c r="L60" s="132" t="s">
        <v>271</v>
      </c>
      <c r="M60" s="132" t="s">
        <v>155</v>
      </c>
      <c r="N60" s="132" t="s">
        <v>155</v>
      </c>
      <c r="O60" s="132" t="s">
        <v>155</v>
      </c>
      <c r="P60" s="132" t="s">
        <v>155</v>
      </c>
      <c r="Q60" s="132" t="s">
        <v>412</v>
      </c>
      <c r="R60" s="132" t="s">
        <v>243</v>
      </c>
      <c r="S60" s="132" t="s">
        <v>243</v>
      </c>
      <c r="T60" s="132" t="s">
        <v>413</v>
      </c>
      <c r="U60" s="132" t="s">
        <v>414</v>
      </c>
      <c r="V60" s="132" t="s">
        <v>182</v>
      </c>
      <c r="W60" s="132" t="s">
        <v>182</v>
      </c>
      <c r="X60" s="132" t="s">
        <v>243</v>
      </c>
      <c r="Y60" s="132" t="s">
        <v>243</v>
      </c>
      <c r="Z60" s="132"/>
      <c r="AA60" s="132"/>
      <c r="AB60" s="132" t="s">
        <v>155</v>
      </c>
      <c r="AC60" s="132">
        <v>1</v>
      </c>
      <c r="AD60" s="132">
        <v>99999999</v>
      </c>
      <c r="AE60" s="132">
        <v>0</v>
      </c>
      <c r="AF60" s="132">
        <v>0</v>
      </c>
      <c r="AG60" s="132">
        <v>0</v>
      </c>
      <c r="AH60" s="132">
        <v>0</v>
      </c>
      <c r="AI60" s="132">
        <v>0</v>
      </c>
      <c r="AJ60" s="132">
        <v>0</v>
      </c>
      <c r="AK60" s="132">
        <v>0</v>
      </c>
      <c r="AL60" s="132">
        <v>0</v>
      </c>
      <c r="AM60" s="132">
        <v>1</v>
      </c>
      <c r="AN60" s="132">
        <v>0</v>
      </c>
      <c r="AO60" s="132">
        <v>0</v>
      </c>
      <c r="AP60" s="132">
        <v>1</v>
      </c>
      <c r="AQ60" s="132" t="s">
        <v>155</v>
      </c>
      <c r="AR60" s="132" t="s">
        <v>415</v>
      </c>
      <c r="AS60" s="132">
        <v>0</v>
      </c>
      <c r="AT60" s="132">
        <v>1</v>
      </c>
      <c r="AU60" s="132">
        <v>0</v>
      </c>
      <c r="AV60" s="132">
        <v>0</v>
      </c>
      <c r="AW60" s="132">
        <v>0</v>
      </c>
      <c r="AX60" s="132">
        <v>0</v>
      </c>
      <c r="AY60" s="132">
        <v>1</v>
      </c>
      <c r="AZ60" s="132">
        <v>0</v>
      </c>
      <c r="BA60" s="132">
        <v>31819</v>
      </c>
      <c r="BB60" s="132" t="s">
        <v>277</v>
      </c>
      <c r="BC60" s="132" t="s">
        <v>277</v>
      </c>
      <c r="BD60" s="132">
        <v>45636.056898148148</v>
      </c>
      <c r="BE60" s="132" t="s">
        <v>474</v>
      </c>
      <c r="BF60" s="132" t="s">
        <v>474</v>
      </c>
      <c r="BG60" s="158"/>
    </row>
    <row r="61" spans="2:59">
      <c r="B61" s="163"/>
      <c r="BG61" s="158"/>
    </row>
    <row r="62" spans="2:59" ht="14.5" thickBot="1">
      <c r="B62" s="163"/>
      <c r="C62" s="164" t="s">
        <v>152</v>
      </c>
      <c r="BG62" s="158"/>
    </row>
    <row r="63" spans="2:59" ht="14.5" thickBot="1">
      <c r="B63" s="163"/>
      <c r="C63" s="233" t="s">
        <v>422</v>
      </c>
      <c r="D63" s="233" t="s">
        <v>423</v>
      </c>
      <c r="E63" s="233" t="s">
        <v>158</v>
      </c>
      <c r="F63" s="233" t="s">
        <v>424</v>
      </c>
      <c r="G63" s="233" t="s">
        <v>425</v>
      </c>
      <c r="H63" s="233" t="s">
        <v>426</v>
      </c>
      <c r="I63" s="233" t="s">
        <v>427</v>
      </c>
      <c r="J63" s="233" t="s">
        <v>428</v>
      </c>
      <c r="K63" s="233" t="s">
        <v>429</v>
      </c>
      <c r="L63" s="233" t="s">
        <v>430</v>
      </c>
      <c r="M63" s="233" t="s">
        <v>431</v>
      </c>
      <c r="P63" s="164"/>
      <c r="BG63" s="158"/>
    </row>
    <row r="64" spans="2:59" ht="14.5" thickBot="1">
      <c r="B64" s="163"/>
      <c r="C64" s="233">
        <v>-2</v>
      </c>
      <c r="D64" s="233">
        <v>0</v>
      </c>
      <c r="E64" s="233" t="s">
        <v>573</v>
      </c>
      <c r="F64" s="233" t="s">
        <v>644</v>
      </c>
      <c r="G64" s="233" t="s">
        <v>137</v>
      </c>
      <c r="H64" s="233" t="s">
        <v>155</v>
      </c>
      <c r="I64" s="233" t="s">
        <v>155</v>
      </c>
      <c r="J64" s="233" t="s">
        <v>155</v>
      </c>
      <c r="K64" s="233" t="s">
        <v>155</v>
      </c>
      <c r="L64" s="233">
        <v>0</v>
      </c>
      <c r="M64" s="233" t="s">
        <v>155</v>
      </c>
      <c r="P64" s="164"/>
      <c r="BG64" s="158"/>
    </row>
    <row r="65" spans="2:59" ht="13.5" thickBot="1">
      <c r="B65" s="163"/>
      <c r="BG65" s="158"/>
    </row>
    <row r="66" spans="2:59" ht="14" thickBot="1">
      <c r="B66" s="104" t="s">
        <v>440</v>
      </c>
      <c r="C66" s="105" t="s">
        <v>438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58"/>
    </row>
    <row r="67" spans="2:59" ht="14" thickBot="1">
      <c r="B67" s="140" t="s">
        <v>619</v>
      </c>
      <c r="C67" s="105" t="s">
        <v>447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58"/>
    </row>
    <row r="68" spans="2:59">
      <c r="B68" s="163"/>
      <c r="BG68" s="158"/>
    </row>
    <row r="69" spans="2:59" ht="13.5">
      <c r="B69" s="163"/>
      <c r="C69" s="161" t="s">
        <v>228</v>
      </c>
      <c r="BG69" s="158"/>
    </row>
    <row r="70" spans="2:59" ht="13.5">
      <c r="B70" s="163"/>
      <c r="C70" s="161" t="s">
        <v>441</v>
      </c>
      <c r="BG70" s="158"/>
    </row>
    <row r="71" spans="2:59">
      <c r="B71" s="163"/>
      <c r="BG71" s="158"/>
    </row>
    <row r="72" spans="2:59" ht="15">
      <c r="B72" s="163"/>
      <c r="C72" s="257" t="s">
        <v>268</v>
      </c>
      <c r="D72" s="258"/>
      <c r="E72" s="258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60"/>
      <c r="AA72" s="66"/>
      <c r="AB72" s="66"/>
      <c r="AC72" s="66"/>
      <c r="AD72" s="66"/>
      <c r="BG72" s="158"/>
    </row>
    <row r="73" spans="2:59" ht="15">
      <c r="B73" s="163"/>
      <c r="C73" s="127"/>
      <c r="D73" s="127"/>
      <c r="E73" s="127"/>
      <c r="F73" s="124" t="s">
        <v>168</v>
      </c>
      <c r="G73" s="124" t="s">
        <v>168</v>
      </c>
      <c r="H73" s="124" t="s">
        <v>168</v>
      </c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BG73" s="158"/>
    </row>
    <row r="74" spans="2:59">
      <c r="B74" s="163"/>
      <c r="C74" s="117" t="s">
        <v>171</v>
      </c>
      <c r="D74" s="117" t="s">
        <v>172</v>
      </c>
      <c r="E74" s="117" t="s">
        <v>173</v>
      </c>
      <c r="F74" s="119" t="s">
        <v>91</v>
      </c>
      <c r="G74" s="119" t="s">
        <v>67</v>
      </c>
      <c r="H74" s="119" t="s">
        <v>69</v>
      </c>
      <c r="I74" s="119" t="s">
        <v>289</v>
      </c>
      <c r="J74" s="119" t="s">
        <v>290</v>
      </c>
      <c r="K74" s="119" t="s">
        <v>291</v>
      </c>
      <c r="L74" s="119" t="s">
        <v>292</v>
      </c>
      <c r="M74" s="119" t="s">
        <v>293</v>
      </c>
      <c r="N74" s="119" t="s">
        <v>294</v>
      </c>
      <c r="O74" s="119" t="s">
        <v>295</v>
      </c>
      <c r="P74" s="119" t="s">
        <v>296</v>
      </c>
      <c r="Q74" s="119" t="s">
        <v>297</v>
      </c>
      <c r="R74" s="119" t="s">
        <v>298</v>
      </c>
      <c r="S74" s="119" t="s">
        <v>299</v>
      </c>
      <c r="T74" s="119" t="s">
        <v>300</v>
      </c>
      <c r="U74" s="119" t="s">
        <v>301</v>
      </c>
      <c r="V74" s="119" t="s">
        <v>302</v>
      </c>
      <c r="W74" s="119" t="s">
        <v>303</v>
      </c>
      <c r="X74" s="119" t="s">
        <v>229</v>
      </c>
      <c r="Y74" s="119" t="s">
        <v>230</v>
      </c>
      <c r="Z74" s="119" t="s">
        <v>231</v>
      </c>
      <c r="AA74" s="119" t="s">
        <v>232</v>
      </c>
      <c r="AB74" s="119" t="s">
        <v>150</v>
      </c>
      <c r="AC74" s="119" t="s">
        <v>151</v>
      </c>
      <c r="AD74" s="119" t="s">
        <v>233</v>
      </c>
      <c r="BG74" s="158"/>
    </row>
    <row r="75" spans="2:59">
      <c r="B75" s="163"/>
      <c r="C75" s="117" t="s">
        <v>205</v>
      </c>
      <c r="D75" s="117" t="s">
        <v>214</v>
      </c>
      <c r="E75" s="117" t="s">
        <v>222</v>
      </c>
      <c r="F75" s="118" t="s">
        <v>250</v>
      </c>
      <c r="G75" s="118" t="s">
        <v>251</v>
      </c>
      <c r="H75" s="118" t="s">
        <v>253</v>
      </c>
      <c r="I75" s="118" t="s">
        <v>252</v>
      </c>
      <c r="J75" s="118" t="s">
        <v>254</v>
      </c>
      <c r="K75" s="118" t="s">
        <v>255</v>
      </c>
      <c r="L75" s="118" t="s">
        <v>256</v>
      </c>
      <c r="M75" s="118" t="s">
        <v>257</v>
      </c>
      <c r="N75" s="118" t="s">
        <v>258</v>
      </c>
      <c r="O75" s="118" t="s">
        <v>259</v>
      </c>
      <c r="P75" s="118" t="s">
        <v>260</v>
      </c>
      <c r="Q75" s="118" t="s">
        <v>261</v>
      </c>
      <c r="R75" s="118" t="s">
        <v>262</v>
      </c>
      <c r="S75" s="118" t="s">
        <v>263</v>
      </c>
      <c r="T75" s="118" t="s">
        <v>264</v>
      </c>
      <c r="U75" s="118" t="s">
        <v>265</v>
      </c>
      <c r="V75" s="118" t="s">
        <v>266</v>
      </c>
      <c r="W75" s="118" t="s">
        <v>267</v>
      </c>
      <c r="X75" s="118" t="s">
        <v>235</v>
      </c>
      <c r="Y75" s="118" t="s">
        <v>236</v>
      </c>
      <c r="Z75" s="118" t="s">
        <v>237</v>
      </c>
      <c r="AA75" s="118" t="s">
        <v>238</v>
      </c>
      <c r="AB75" s="118" t="s">
        <v>239</v>
      </c>
      <c r="AC75" s="118" t="s">
        <v>240</v>
      </c>
      <c r="AD75" s="118" t="s">
        <v>241</v>
      </c>
      <c r="BG75" s="158"/>
    </row>
    <row r="76" spans="2:59">
      <c r="B76" s="163"/>
      <c r="C76" s="117" t="s">
        <v>304</v>
      </c>
      <c r="D76" s="117" t="s">
        <v>305</v>
      </c>
      <c r="E76" s="117" t="s">
        <v>305</v>
      </c>
      <c r="F76" s="119" t="s">
        <v>306</v>
      </c>
      <c r="G76" s="119" t="s">
        <v>306</v>
      </c>
      <c r="H76" s="119" t="s">
        <v>307</v>
      </c>
      <c r="I76" s="119" t="s">
        <v>306</v>
      </c>
      <c r="J76" s="119" t="s">
        <v>308</v>
      </c>
      <c r="K76" s="119" t="s">
        <v>309</v>
      </c>
      <c r="L76" s="118" t="s">
        <v>310</v>
      </c>
      <c r="M76" s="119" t="s">
        <v>310</v>
      </c>
      <c r="N76" s="119" t="s">
        <v>311</v>
      </c>
      <c r="O76" s="119" t="s">
        <v>306</v>
      </c>
      <c r="P76" s="119" t="s">
        <v>312</v>
      </c>
      <c r="Q76" s="119" t="s">
        <v>313</v>
      </c>
      <c r="R76" s="119" t="s">
        <v>312</v>
      </c>
      <c r="S76" s="119" t="s">
        <v>314</v>
      </c>
      <c r="T76" s="118" t="s">
        <v>315</v>
      </c>
      <c r="U76" s="119" t="s">
        <v>315</v>
      </c>
      <c r="V76" s="119" t="s">
        <v>316</v>
      </c>
      <c r="W76" s="119" t="s">
        <v>306</v>
      </c>
      <c r="X76" s="119" t="s">
        <v>317</v>
      </c>
      <c r="Y76" s="119" t="s">
        <v>319</v>
      </c>
      <c r="Z76" s="119" t="s">
        <v>320</v>
      </c>
      <c r="AA76" s="119" t="s">
        <v>320</v>
      </c>
      <c r="AB76" s="118" t="s">
        <v>318</v>
      </c>
      <c r="AC76" s="119" t="s">
        <v>320</v>
      </c>
      <c r="AD76" s="119" t="s">
        <v>320</v>
      </c>
      <c r="BG76" s="158"/>
    </row>
    <row r="77" spans="2:59" ht="14">
      <c r="B77" s="120" t="s">
        <v>242</v>
      </c>
      <c r="C77" s="121" t="s">
        <v>269</v>
      </c>
      <c r="D77" s="142" t="s">
        <v>460</v>
      </c>
      <c r="E77" s="143" t="s">
        <v>181</v>
      </c>
      <c r="F77" s="121" t="s">
        <v>286</v>
      </c>
      <c r="G77" s="121" t="s">
        <v>182</v>
      </c>
      <c r="H77" s="121" t="s">
        <v>183</v>
      </c>
      <c r="I77" s="116"/>
      <c r="J77" s="121" t="s">
        <v>272</v>
      </c>
      <c r="K77" s="121" t="s">
        <v>243</v>
      </c>
      <c r="L77" s="121" t="s">
        <v>155</v>
      </c>
      <c r="M77" s="121" t="s">
        <v>273</v>
      </c>
      <c r="N77" s="121" t="s">
        <v>155</v>
      </c>
      <c r="O77" s="121" t="s">
        <v>182</v>
      </c>
      <c r="P77" s="121" t="s">
        <v>155</v>
      </c>
      <c r="Q77" s="121" t="s">
        <v>274</v>
      </c>
      <c r="R77" s="121" t="s">
        <v>275</v>
      </c>
      <c r="S77" s="121" t="s">
        <v>155</v>
      </c>
      <c r="T77" s="121" t="s">
        <v>155</v>
      </c>
      <c r="U77" s="121" t="s">
        <v>155</v>
      </c>
      <c r="V77" s="121" t="s">
        <v>155</v>
      </c>
      <c r="W77" s="121" t="s">
        <v>155</v>
      </c>
      <c r="X77" s="121" t="s">
        <v>243</v>
      </c>
      <c r="Y77" s="121" t="s">
        <v>276</v>
      </c>
      <c r="Z77" s="121" t="s">
        <v>277</v>
      </c>
      <c r="AA77" s="121" t="s">
        <v>277</v>
      </c>
      <c r="AB77" s="121" t="s">
        <v>278</v>
      </c>
      <c r="AC77" s="121" t="s">
        <v>287</v>
      </c>
      <c r="AD77" s="121" t="s">
        <v>287</v>
      </c>
      <c r="BG77" s="158"/>
    </row>
    <row r="78" spans="2:59" ht="14">
      <c r="B78" s="122" t="s">
        <v>244</v>
      </c>
      <c r="C78" s="121" t="s">
        <v>269</v>
      </c>
      <c r="D78" s="121" t="s">
        <v>285</v>
      </c>
      <c r="E78" s="121" t="s">
        <v>285</v>
      </c>
      <c r="F78" s="121" t="s">
        <v>286</v>
      </c>
      <c r="G78" s="218" t="s">
        <v>626</v>
      </c>
      <c r="H78" s="121" t="s">
        <v>183</v>
      </c>
      <c r="I78" s="116"/>
      <c r="J78" s="121" t="s">
        <v>272</v>
      </c>
      <c r="K78" s="121" t="s">
        <v>243</v>
      </c>
      <c r="L78" s="121" t="s">
        <v>155</v>
      </c>
      <c r="M78" s="121" t="s">
        <v>273</v>
      </c>
      <c r="N78" s="121" t="s">
        <v>155</v>
      </c>
      <c r="O78" s="121" t="s">
        <v>182</v>
      </c>
      <c r="P78" s="121" t="s">
        <v>155</v>
      </c>
      <c r="Q78" s="121" t="s">
        <v>274</v>
      </c>
      <c r="R78" s="121" t="s">
        <v>275</v>
      </c>
      <c r="S78" s="121" t="s">
        <v>155</v>
      </c>
      <c r="T78" s="121" t="s">
        <v>155</v>
      </c>
      <c r="U78" s="121" t="s">
        <v>155</v>
      </c>
      <c r="V78" s="121" t="s">
        <v>155</v>
      </c>
      <c r="W78" s="121" t="s">
        <v>155</v>
      </c>
      <c r="X78" s="121" t="s">
        <v>243</v>
      </c>
      <c r="Y78" s="121" t="s">
        <v>276</v>
      </c>
      <c r="Z78" s="121" t="s">
        <v>277</v>
      </c>
      <c r="AA78" s="121" t="s">
        <v>277</v>
      </c>
      <c r="AB78" s="121" t="s">
        <v>278</v>
      </c>
      <c r="AC78" s="121" t="s">
        <v>287</v>
      </c>
      <c r="AD78" s="121" t="s">
        <v>287</v>
      </c>
      <c r="BG78" s="158"/>
    </row>
    <row r="79" spans="2:59" ht="14">
      <c r="B79" s="120" t="s">
        <v>242</v>
      </c>
      <c r="C79" s="132" t="s">
        <v>269</v>
      </c>
      <c r="D79" s="132" t="s">
        <v>285</v>
      </c>
      <c r="E79" s="142" t="s">
        <v>462</v>
      </c>
      <c r="F79" s="132" t="s">
        <v>286</v>
      </c>
      <c r="G79" s="132" t="s">
        <v>271</v>
      </c>
      <c r="H79" s="132" t="s">
        <v>182</v>
      </c>
      <c r="I79" s="132" t="s">
        <v>271</v>
      </c>
      <c r="J79" s="132" t="s">
        <v>496</v>
      </c>
      <c r="K79" s="132" t="s">
        <v>497</v>
      </c>
      <c r="L79" s="132" t="s">
        <v>155</v>
      </c>
      <c r="M79" s="132" t="s">
        <v>273</v>
      </c>
      <c r="N79" s="132" t="s">
        <v>155</v>
      </c>
      <c r="O79" s="132" t="s">
        <v>182</v>
      </c>
      <c r="P79" s="132" t="s">
        <v>155</v>
      </c>
      <c r="Q79" s="132" t="s">
        <v>274</v>
      </c>
      <c r="R79" s="132" t="s">
        <v>275</v>
      </c>
      <c r="S79" s="132" t="s">
        <v>155</v>
      </c>
      <c r="T79" s="132" t="s">
        <v>155</v>
      </c>
      <c r="U79" s="132" t="s">
        <v>155</v>
      </c>
      <c r="V79" s="132" t="s">
        <v>155</v>
      </c>
      <c r="W79" s="132" t="s">
        <v>155</v>
      </c>
      <c r="X79" s="132" t="s">
        <v>243</v>
      </c>
      <c r="Y79" s="132" t="s">
        <v>276</v>
      </c>
      <c r="Z79" s="132" t="s">
        <v>277</v>
      </c>
      <c r="AA79" s="132" t="s">
        <v>277</v>
      </c>
      <c r="AB79" s="132" t="s">
        <v>278</v>
      </c>
      <c r="AC79" s="132" t="s">
        <v>287</v>
      </c>
      <c r="AD79" s="132" t="s">
        <v>287</v>
      </c>
      <c r="BG79" s="158"/>
    </row>
    <row r="80" spans="2:59" ht="14">
      <c r="B80" s="120" t="s">
        <v>242</v>
      </c>
      <c r="C80" s="132" t="s">
        <v>269</v>
      </c>
      <c r="D80" s="132" t="s">
        <v>285</v>
      </c>
      <c r="E80" s="142" t="s">
        <v>503</v>
      </c>
      <c r="F80" s="132" t="s">
        <v>286</v>
      </c>
      <c r="G80" s="132" t="s">
        <v>446</v>
      </c>
      <c r="H80" s="132" t="s">
        <v>183</v>
      </c>
      <c r="I80" s="132"/>
      <c r="J80" s="132" t="s">
        <v>496</v>
      </c>
      <c r="K80" s="132" t="s">
        <v>497</v>
      </c>
      <c r="L80" s="132" t="s">
        <v>155</v>
      </c>
      <c r="M80" s="132" t="s">
        <v>273</v>
      </c>
      <c r="N80" s="132" t="s">
        <v>155</v>
      </c>
      <c r="O80" s="132" t="s">
        <v>182</v>
      </c>
      <c r="P80" s="132" t="s">
        <v>155</v>
      </c>
      <c r="Q80" s="132" t="s">
        <v>274</v>
      </c>
      <c r="R80" s="132" t="s">
        <v>275</v>
      </c>
      <c r="S80" s="132" t="s">
        <v>155</v>
      </c>
      <c r="T80" s="132" t="s">
        <v>155</v>
      </c>
      <c r="U80" s="132" t="s">
        <v>155</v>
      </c>
      <c r="V80" s="132" t="s">
        <v>155</v>
      </c>
      <c r="W80" s="132" t="s">
        <v>155</v>
      </c>
      <c r="X80" s="132" t="s">
        <v>243</v>
      </c>
      <c r="Y80" s="132" t="s">
        <v>276</v>
      </c>
      <c r="Z80" s="132" t="s">
        <v>277</v>
      </c>
      <c r="AA80" s="132" t="s">
        <v>277</v>
      </c>
      <c r="AB80" s="132" t="s">
        <v>278</v>
      </c>
      <c r="AC80" s="132" t="s">
        <v>287</v>
      </c>
      <c r="AD80" s="132" t="s">
        <v>287</v>
      </c>
      <c r="BG80" s="158"/>
    </row>
    <row r="81" spans="2:59">
      <c r="B81" s="163"/>
      <c r="BG81" s="158"/>
    </row>
    <row r="82" spans="2:59" ht="15">
      <c r="B82" s="163"/>
      <c r="C82" s="257" t="s">
        <v>321</v>
      </c>
      <c r="D82" s="258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  <c r="U82" s="90"/>
      <c r="V82" s="90"/>
      <c r="W82" s="90"/>
      <c r="X82" s="90"/>
      <c r="Y82" s="90"/>
      <c r="Z82" s="90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158"/>
    </row>
    <row r="83" spans="2:59" ht="15">
      <c r="B83" s="163"/>
      <c r="C83" s="127"/>
      <c r="D83" s="127"/>
      <c r="E83" s="127"/>
      <c r="F83" s="124" t="s">
        <v>168</v>
      </c>
      <c r="G83" s="124" t="s">
        <v>168</v>
      </c>
      <c r="H83" s="129" t="s">
        <v>168</v>
      </c>
      <c r="I83" s="124" t="s">
        <v>168</v>
      </c>
      <c r="J83" s="124" t="s">
        <v>168</v>
      </c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58"/>
    </row>
    <row r="84" spans="2:59" ht="25">
      <c r="B84" s="163"/>
      <c r="C84" s="117" t="s">
        <v>365</v>
      </c>
      <c r="D84" s="117" t="s">
        <v>420</v>
      </c>
      <c r="E84" s="117" t="s">
        <v>421</v>
      </c>
      <c r="F84" s="119" t="s">
        <v>96</v>
      </c>
      <c r="G84" s="119" t="s">
        <v>99</v>
      </c>
      <c r="H84" s="119" t="s">
        <v>130</v>
      </c>
      <c r="I84" s="119" t="s">
        <v>391</v>
      </c>
      <c r="J84" s="119" t="s">
        <v>127</v>
      </c>
      <c r="K84" s="119" t="s">
        <v>67</v>
      </c>
      <c r="L84" s="119" t="s">
        <v>288</v>
      </c>
      <c r="M84" s="119" t="s">
        <v>366</v>
      </c>
      <c r="N84" s="119" t="s">
        <v>367</v>
      </c>
      <c r="O84" s="119" t="s">
        <v>368</v>
      </c>
      <c r="P84" s="119" t="s">
        <v>369</v>
      </c>
      <c r="Q84" s="119" t="s">
        <v>370</v>
      </c>
      <c r="R84" s="119" t="s">
        <v>371</v>
      </c>
      <c r="S84" s="119" t="s">
        <v>372</v>
      </c>
      <c r="T84" s="119" t="s">
        <v>373</v>
      </c>
      <c r="U84" s="119" t="s">
        <v>374</v>
      </c>
      <c r="V84" s="119" t="s">
        <v>375</v>
      </c>
      <c r="W84" s="119" t="s">
        <v>376</v>
      </c>
      <c r="X84" s="119" t="s">
        <v>377</v>
      </c>
      <c r="Y84" s="119" t="s">
        <v>378</v>
      </c>
      <c r="Z84" s="119" t="s">
        <v>379</v>
      </c>
      <c r="AA84" s="119" t="s">
        <v>380</v>
      </c>
      <c r="AB84" s="119" t="s">
        <v>381</v>
      </c>
      <c r="AC84" s="119" t="s">
        <v>382</v>
      </c>
      <c r="AD84" s="119" t="s">
        <v>383</v>
      </c>
      <c r="AE84" s="119" t="s">
        <v>384</v>
      </c>
      <c r="AF84" s="119" t="s">
        <v>385</v>
      </c>
      <c r="AG84" s="119" t="s">
        <v>386</v>
      </c>
      <c r="AH84" s="119" t="s">
        <v>387</v>
      </c>
      <c r="AI84" s="119" t="s">
        <v>388</v>
      </c>
      <c r="AJ84" s="119" t="s">
        <v>390</v>
      </c>
      <c r="AK84" s="119" t="s">
        <v>389</v>
      </c>
      <c r="AL84" s="119" t="s">
        <v>398</v>
      </c>
      <c r="AM84" s="119" t="s">
        <v>392</v>
      </c>
      <c r="AN84" s="119" t="s">
        <v>393</v>
      </c>
      <c r="AO84" s="119" t="s">
        <v>394</v>
      </c>
      <c r="AP84" s="119" t="s">
        <v>395</v>
      </c>
      <c r="AQ84" s="119" t="s">
        <v>399</v>
      </c>
      <c r="AR84" s="119" t="s">
        <v>396</v>
      </c>
      <c r="AS84" s="119" t="s">
        <v>397</v>
      </c>
      <c r="AT84" s="119" t="s">
        <v>400</v>
      </c>
      <c r="AU84" s="119" t="s">
        <v>401</v>
      </c>
      <c r="AV84" s="119" t="s">
        <v>402</v>
      </c>
      <c r="AW84" s="119" t="s">
        <v>403</v>
      </c>
      <c r="AX84" s="119" t="s">
        <v>404</v>
      </c>
      <c r="AY84" s="119" t="s">
        <v>405</v>
      </c>
      <c r="AZ84" s="119" t="s">
        <v>229</v>
      </c>
      <c r="BA84" s="119" t="s">
        <v>230</v>
      </c>
      <c r="BB84" s="119" t="s">
        <v>231</v>
      </c>
      <c r="BC84" s="119" t="s">
        <v>232</v>
      </c>
      <c r="BD84" s="119" t="s">
        <v>150</v>
      </c>
      <c r="BE84" s="119" t="s">
        <v>151</v>
      </c>
      <c r="BF84" s="119" t="s">
        <v>233</v>
      </c>
      <c r="BG84" s="158"/>
    </row>
    <row r="85" spans="2:59">
      <c r="B85" s="163"/>
      <c r="C85" s="117" t="s">
        <v>205</v>
      </c>
      <c r="D85" s="117" t="s">
        <v>214</v>
      </c>
      <c r="E85" s="117" t="s">
        <v>222</v>
      </c>
      <c r="F85" s="118" t="s">
        <v>322</v>
      </c>
      <c r="G85" s="118" t="s">
        <v>323</v>
      </c>
      <c r="H85" s="118" t="s">
        <v>324</v>
      </c>
      <c r="I85" s="118" t="s">
        <v>351</v>
      </c>
      <c r="J85" s="118" t="s">
        <v>357</v>
      </c>
      <c r="K85" s="118" t="s">
        <v>251</v>
      </c>
      <c r="L85" s="118" t="s">
        <v>252</v>
      </c>
      <c r="M85" s="118" t="s">
        <v>325</v>
      </c>
      <c r="N85" s="118" t="s">
        <v>326</v>
      </c>
      <c r="O85" s="118" t="s">
        <v>327</v>
      </c>
      <c r="P85" s="118" t="s">
        <v>328</v>
      </c>
      <c r="Q85" s="118" t="s">
        <v>329</v>
      </c>
      <c r="R85" s="118" t="s">
        <v>330</v>
      </c>
      <c r="S85" s="118" t="s">
        <v>331</v>
      </c>
      <c r="T85" s="118" t="s">
        <v>332</v>
      </c>
      <c r="U85" s="118" t="s">
        <v>333</v>
      </c>
      <c r="V85" s="118" t="s">
        <v>334</v>
      </c>
      <c r="W85" s="118" t="s">
        <v>335</v>
      </c>
      <c r="X85" s="118" t="s">
        <v>336</v>
      </c>
      <c r="Y85" s="118" t="s">
        <v>337</v>
      </c>
      <c r="Z85" s="118" t="s">
        <v>338</v>
      </c>
      <c r="AA85" s="118" t="s">
        <v>339</v>
      </c>
      <c r="AB85" s="118" t="s">
        <v>340</v>
      </c>
      <c r="AC85" s="118" t="s">
        <v>341</v>
      </c>
      <c r="AD85" s="118" t="s">
        <v>342</v>
      </c>
      <c r="AE85" s="118" t="s">
        <v>343</v>
      </c>
      <c r="AF85" s="118" t="s">
        <v>344</v>
      </c>
      <c r="AG85" s="118" t="s">
        <v>345</v>
      </c>
      <c r="AH85" s="118" t="s">
        <v>346</v>
      </c>
      <c r="AI85" s="118" t="s">
        <v>347</v>
      </c>
      <c r="AJ85" s="118" t="s">
        <v>348</v>
      </c>
      <c r="AK85" s="118" t="s">
        <v>349</v>
      </c>
      <c r="AL85" s="118" t="s">
        <v>350</v>
      </c>
      <c r="AM85" s="118" t="s">
        <v>352</v>
      </c>
      <c r="AN85" s="118" t="s">
        <v>353</v>
      </c>
      <c r="AO85" s="118" t="s">
        <v>354</v>
      </c>
      <c r="AP85" s="118" t="s">
        <v>234</v>
      </c>
      <c r="AQ85" s="118" t="s">
        <v>355</v>
      </c>
      <c r="AR85" s="118" t="s">
        <v>356</v>
      </c>
      <c r="AS85" s="118" t="s">
        <v>358</v>
      </c>
      <c r="AT85" s="118" t="s">
        <v>359</v>
      </c>
      <c r="AU85" s="118" t="s">
        <v>360</v>
      </c>
      <c r="AV85" s="118" t="s">
        <v>361</v>
      </c>
      <c r="AW85" s="118" t="s">
        <v>362</v>
      </c>
      <c r="AX85" s="118" t="s">
        <v>363</v>
      </c>
      <c r="AY85" s="118" t="s">
        <v>364</v>
      </c>
      <c r="AZ85" s="118" t="s">
        <v>235</v>
      </c>
      <c r="BA85" s="118" t="s">
        <v>236</v>
      </c>
      <c r="BB85" s="118" t="s">
        <v>237</v>
      </c>
      <c r="BC85" s="118" t="s">
        <v>238</v>
      </c>
      <c r="BD85" s="118" t="s">
        <v>239</v>
      </c>
      <c r="BE85" s="118" t="s">
        <v>240</v>
      </c>
      <c r="BF85" s="118" t="s">
        <v>241</v>
      </c>
      <c r="BG85" s="158"/>
    </row>
    <row r="86" spans="2:59">
      <c r="B86" s="163"/>
      <c r="C86" s="117" t="s">
        <v>304</v>
      </c>
      <c r="D86" s="117" t="s">
        <v>406</v>
      </c>
      <c r="E86" s="117" t="s">
        <v>305</v>
      </c>
      <c r="F86" s="131" t="s">
        <v>306</v>
      </c>
      <c r="G86" s="131" t="s">
        <v>306</v>
      </c>
      <c r="H86" s="131" t="s">
        <v>306</v>
      </c>
      <c r="I86" s="131" t="s">
        <v>306</v>
      </c>
      <c r="J86" s="131" t="s">
        <v>308</v>
      </c>
      <c r="K86" s="131" t="s">
        <v>306</v>
      </c>
      <c r="L86" s="131" t="s">
        <v>306</v>
      </c>
      <c r="M86" s="131" t="s">
        <v>407</v>
      </c>
      <c r="N86" s="131" t="s">
        <v>407</v>
      </c>
      <c r="O86" s="131" t="s">
        <v>305</v>
      </c>
      <c r="P86" s="131" t="s">
        <v>408</v>
      </c>
      <c r="Q86" s="131" t="s">
        <v>306</v>
      </c>
      <c r="R86" s="131" t="s">
        <v>313</v>
      </c>
      <c r="S86" s="131" t="s">
        <v>308</v>
      </c>
      <c r="T86" s="131" t="s">
        <v>313</v>
      </c>
      <c r="U86" s="131" t="s">
        <v>308</v>
      </c>
      <c r="V86" s="131" t="s">
        <v>308</v>
      </c>
      <c r="W86" s="131" t="s">
        <v>306</v>
      </c>
      <c r="X86" s="131" t="s">
        <v>409</v>
      </c>
      <c r="Y86" s="131" t="s">
        <v>409</v>
      </c>
      <c r="Z86" s="131" t="s">
        <v>310</v>
      </c>
      <c r="AA86" s="131" t="s">
        <v>408</v>
      </c>
      <c r="AB86" s="131" t="s">
        <v>408</v>
      </c>
      <c r="AC86" s="131" t="s">
        <v>308</v>
      </c>
      <c r="AD86" s="131" t="s">
        <v>312</v>
      </c>
      <c r="AE86" s="131" t="s">
        <v>313</v>
      </c>
      <c r="AF86" s="131" t="s">
        <v>313</v>
      </c>
      <c r="AG86" s="131" t="s">
        <v>410</v>
      </c>
      <c r="AH86" s="131" t="s">
        <v>410</v>
      </c>
      <c r="AI86" s="131" t="s">
        <v>313</v>
      </c>
      <c r="AJ86" s="131" t="s">
        <v>313</v>
      </c>
      <c r="AK86" s="131" t="s">
        <v>410</v>
      </c>
      <c r="AL86" s="131" t="s">
        <v>410</v>
      </c>
      <c r="AM86" s="131" t="s">
        <v>306</v>
      </c>
      <c r="AN86" s="131" t="s">
        <v>306</v>
      </c>
      <c r="AO86" s="131" t="s">
        <v>306</v>
      </c>
      <c r="AP86" s="131" t="s">
        <v>310</v>
      </c>
      <c r="AQ86" s="131" t="s">
        <v>305</v>
      </c>
      <c r="AR86" s="131" t="s">
        <v>306</v>
      </c>
      <c r="AS86" s="131" t="s">
        <v>308</v>
      </c>
      <c r="AT86" s="131" t="s">
        <v>306</v>
      </c>
      <c r="AU86" s="131" t="s">
        <v>411</v>
      </c>
      <c r="AV86" s="131" t="s">
        <v>313</v>
      </c>
      <c r="AW86" s="131" t="s">
        <v>310</v>
      </c>
      <c r="AX86" s="131" t="s">
        <v>306</v>
      </c>
      <c r="AY86" s="131" t="s">
        <v>306</v>
      </c>
      <c r="AZ86" s="131" t="s">
        <v>317</v>
      </c>
      <c r="BA86" s="131" t="s">
        <v>318</v>
      </c>
      <c r="BB86" s="131" t="s">
        <v>320</v>
      </c>
      <c r="BC86" s="131" t="s">
        <v>320</v>
      </c>
      <c r="BD86" s="131" t="s">
        <v>318</v>
      </c>
      <c r="BE86" s="131" t="s">
        <v>320</v>
      </c>
      <c r="BF86" s="131" t="s">
        <v>320</v>
      </c>
      <c r="BG86" s="158"/>
    </row>
    <row r="87" spans="2:59" ht="15">
      <c r="B87" s="120" t="s">
        <v>242</v>
      </c>
      <c r="C87" s="132" t="s">
        <v>269</v>
      </c>
      <c r="D87" s="142" t="s">
        <v>460</v>
      </c>
      <c r="E87" s="132" t="s">
        <v>285</v>
      </c>
      <c r="F87" s="139" t="s">
        <v>286</v>
      </c>
      <c r="G87" s="132" t="s">
        <v>243</v>
      </c>
      <c r="H87" s="132" t="s">
        <v>243</v>
      </c>
      <c r="I87" s="135">
        <v>1</v>
      </c>
      <c r="J87" s="136">
        <v>0</v>
      </c>
      <c r="K87" s="132" t="s">
        <v>182</v>
      </c>
      <c r="L87" s="116"/>
      <c r="M87" s="132" t="s">
        <v>155</v>
      </c>
      <c r="N87" s="132" t="s">
        <v>155</v>
      </c>
      <c r="O87" s="132" t="s">
        <v>155</v>
      </c>
      <c r="P87" s="132" t="s">
        <v>155</v>
      </c>
      <c r="Q87" s="134" t="s">
        <v>412</v>
      </c>
      <c r="R87" s="132" t="s">
        <v>243</v>
      </c>
      <c r="S87" s="132" t="s">
        <v>243</v>
      </c>
      <c r="T87" s="132" t="s">
        <v>413</v>
      </c>
      <c r="U87" s="132" t="s">
        <v>414</v>
      </c>
      <c r="V87" s="132" t="s">
        <v>182</v>
      </c>
      <c r="W87" s="132" t="s">
        <v>182</v>
      </c>
      <c r="X87" s="132" t="s">
        <v>243</v>
      </c>
      <c r="Y87" s="132" t="s">
        <v>243</v>
      </c>
      <c r="Z87" s="132" t="s">
        <v>155</v>
      </c>
      <c r="AA87" s="135" t="s">
        <v>155</v>
      </c>
      <c r="AB87" s="135" t="s">
        <v>155</v>
      </c>
      <c r="AC87" s="135">
        <v>1</v>
      </c>
      <c r="AD87" s="135">
        <v>99999999</v>
      </c>
      <c r="AE87" s="132" t="s">
        <v>243</v>
      </c>
      <c r="AF87" s="132" t="s">
        <v>243</v>
      </c>
      <c r="AG87" s="132" t="s">
        <v>243</v>
      </c>
      <c r="AH87" s="132" t="s">
        <v>243</v>
      </c>
      <c r="AI87" s="135">
        <v>0</v>
      </c>
      <c r="AJ87" s="135">
        <v>0</v>
      </c>
      <c r="AK87" s="135">
        <v>0</v>
      </c>
      <c r="AL87" s="135">
        <v>0</v>
      </c>
      <c r="AM87" s="132" t="s">
        <v>182</v>
      </c>
      <c r="AN87" s="135">
        <v>0</v>
      </c>
      <c r="AO87" s="132" t="s">
        <v>243</v>
      </c>
      <c r="AP87" s="135">
        <v>1</v>
      </c>
      <c r="AQ87" s="136" t="s">
        <v>155</v>
      </c>
      <c r="AR87" s="136" t="s">
        <v>415</v>
      </c>
      <c r="AS87" s="136">
        <v>0</v>
      </c>
      <c r="AT87" s="136">
        <v>1</v>
      </c>
      <c r="AU87" s="136">
        <v>0</v>
      </c>
      <c r="AV87" s="136">
        <v>0</v>
      </c>
      <c r="AW87" s="136">
        <v>0</v>
      </c>
      <c r="AX87" s="136">
        <v>0</v>
      </c>
      <c r="AY87" s="136">
        <v>1</v>
      </c>
      <c r="AZ87" s="136">
        <v>0</v>
      </c>
      <c r="BA87" s="137">
        <v>29705</v>
      </c>
      <c r="BB87" s="136" t="s">
        <v>277</v>
      </c>
      <c r="BC87" s="136" t="s">
        <v>277</v>
      </c>
      <c r="BD87" s="137">
        <v>36413</v>
      </c>
      <c r="BE87" s="136" t="s">
        <v>277</v>
      </c>
      <c r="BF87" s="136" t="s">
        <v>277</v>
      </c>
      <c r="BG87" s="158"/>
    </row>
    <row r="88" spans="2:59" ht="14">
      <c r="B88" s="122" t="s">
        <v>244</v>
      </c>
      <c r="C88" s="132" t="s">
        <v>269</v>
      </c>
      <c r="D88" s="132" t="s">
        <v>285</v>
      </c>
      <c r="E88" s="132" t="s">
        <v>285</v>
      </c>
      <c r="F88" s="132" t="s">
        <v>184</v>
      </c>
      <c r="G88" s="132" t="s">
        <v>243</v>
      </c>
      <c r="H88" s="132" t="s">
        <v>243</v>
      </c>
      <c r="I88" s="132">
        <v>0</v>
      </c>
      <c r="J88" s="132">
        <v>30</v>
      </c>
      <c r="K88" s="132" t="s">
        <v>443</v>
      </c>
      <c r="L88" s="116"/>
      <c r="M88" s="132" t="s">
        <v>155</v>
      </c>
      <c r="N88" s="132" t="s">
        <v>155</v>
      </c>
      <c r="O88" s="132" t="s">
        <v>416</v>
      </c>
      <c r="P88" s="132" t="s">
        <v>155</v>
      </c>
      <c r="Q88" s="132" t="s">
        <v>417</v>
      </c>
      <c r="R88" s="132" t="s">
        <v>182</v>
      </c>
      <c r="S88" s="132" t="s">
        <v>243</v>
      </c>
      <c r="T88" s="132" t="s">
        <v>413</v>
      </c>
      <c r="U88" s="132" t="s">
        <v>414</v>
      </c>
      <c r="V88" s="132" t="s">
        <v>418</v>
      </c>
      <c r="W88" s="132" t="s">
        <v>182</v>
      </c>
      <c r="X88" s="132" t="s">
        <v>243</v>
      </c>
      <c r="Y88" s="132" t="s">
        <v>243</v>
      </c>
      <c r="Z88" s="132"/>
      <c r="AA88" s="132"/>
      <c r="AB88" s="132" t="s">
        <v>419</v>
      </c>
      <c r="AC88" s="132">
        <v>5000</v>
      </c>
      <c r="AD88" s="132">
        <v>99999999</v>
      </c>
      <c r="AE88" s="132" t="s">
        <v>243</v>
      </c>
      <c r="AF88" s="132" t="s">
        <v>271</v>
      </c>
      <c r="AG88" s="132" t="s">
        <v>243</v>
      </c>
      <c r="AH88" s="132" t="s">
        <v>243</v>
      </c>
      <c r="AI88" s="132">
        <v>0</v>
      </c>
      <c r="AJ88" s="132">
        <v>0</v>
      </c>
      <c r="AK88" s="132">
        <v>0</v>
      </c>
      <c r="AL88" s="132">
        <v>0</v>
      </c>
      <c r="AM88" s="132" t="s">
        <v>182</v>
      </c>
      <c r="AN88" s="132">
        <v>0</v>
      </c>
      <c r="AO88" s="132" t="s">
        <v>243</v>
      </c>
      <c r="AP88" s="132">
        <v>1</v>
      </c>
      <c r="AQ88" s="132">
        <v>1111</v>
      </c>
      <c r="AR88" s="132" t="s">
        <v>415</v>
      </c>
      <c r="AS88" s="132">
        <v>10</v>
      </c>
      <c r="AT88" s="132">
        <v>1</v>
      </c>
      <c r="AU88" s="132">
        <v>0</v>
      </c>
      <c r="AV88" s="132">
        <v>0</v>
      </c>
      <c r="AW88" s="132">
        <v>0</v>
      </c>
      <c r="AX88" s="132">
        <v>0</v>
      </c>
      <c r="AY88" s="132">
        <v>1</v>
      </c>
      <c r="AZ88" s="132">
        <v>0</v>
      </c>
      <c r="BA88" s="132">
        <v>40640.750486111108</v>
      </c>
      <c r="BB88" s="132">
        <v>470195</v>
      </c>
      <c r="BC88" s="132">
        <v>470195</v>
      </c>
      <c r="BD88" s="132">
        <v>45392.67769675926</v>
      </c>
      <c r="BE88" s="132">
        <v>363363</v>
      </c>
      <c r="BF88" s="132">
        <v>363363</v>
      </c>
      <c r="BG88" s="158"/>
    </row>
    <row r="89" spans="2:59" ht="14">
      <c r="B89" s="120" t="s">
        <v>242</v>
      </c>
      <c r="C89" s="132" t="s">
        <v>269</v>
      </c>
      <c r="D89" s="132" t="s">
        <v>285</v>
      </c>
      <c r="E89" s="142" t="s">
        <v>503</v>
      </c>
      <c r="F89" s="132" t="s">
        <v>184</v>
      </c>
      <c r="G89" s="132" t="s">
        <v>243</v>
      </c>
      <c r="H89" s="132" t="s">
        <v>243</v>
      </c>
      <c r="I89" s="132">
        <v>0</v>
      </c>
      <c r="J89" s="132">
        <v>30</v>
      </c>
      <c r="K89" s="132" t="s">
        <v>446</v>
      </c>
      <c r="L89" s="116"/>
      <c r="M89" s="132" t="s">
        <v>155</v>
      </c>
      <c r="N89" s="132" t="s">
        <v>155</v>
      </c>
      <c r="O89" s="132" t="s">
        <v>416</v>
      </c>
      <c r="P89" s="132" t="s">
        <v>155</v>
      </c>
      <c r="Q89" s="132" t="s">
        <v>417</v>
      </c>
      <c r="R89" s="132" t="s">
        <v>182</v>
      </c>
      <c r="S89" s="132" t="s">
        <v>497</v>
      </c>
      <c r="T89" s="132" t="s">
        <v>413</v>
      </c>
      <c r="U89" s="132" t="s">
        <v>498</v>
      </c>
      <c r="V89" s="132" t="s">
        <v>499</v>
      </c>
      <c r="W89" s="132" t="s">
        <v>182</v>
      </c>
      <c r="X89" s="132" t="s">
        <v>500</v>
      </c>
      <c r="Y89" s="132" t="s">
        <v>500</v>
      </c>
      <c r="Z89" s="132"/>
      <c r="AA89" s="132"/>
      <c r="AB89" s="132" t="s">
        <v>419</v>
      </c>
      <c r="AC89" s="132">
        <v>5000</v>
      </c>
      <c r="AD89" s="132">
        <v>99999999</v>
      </c>
      <c r="AE89" s="132">
        <v>0</v>
      </c>
      <c r="AF89" s="132">
        <v>2</v>
      </c>
      <c r="AG89" s="132">
        <v>0</v>
      </c>
      <c r="AH89" s="132">
        <v>0</v>
      </c>
      <c r="AI89" s="132">
        <v>0</v>
      </c>
      <c r="AJ89" s="132">
        <v>0</v>
      </c>
      <c r="AK89" s="132">
        <v>0</v>
      </c>
      <c r="AL89" s="132">
        <v>0</v>
      </c>
      <c r="AM89" s="132">
        <v>1</v>
      </c>
      <c r="AN89" s="132">
        <v>0</v>
      </c>
      <c r="AO89" s="132">
        <v>0</v>
      </c>
      <c r="AP89" s="132">
        <v>1</v>
      </c>
      <c r="AQ89" s="132">
        <v>1111</v>
      </c>
      <c r="AR89" s="132" t="s">
        <v>415</v>
      </c>
      <c r="AS89" s="132">
        <v>10</v>
      </c>
      <c r="AT89" s="132">
        <v>1</v>
      </c>
      <c r="AU89" s="132">
        <v>0</v>
      </c>
      <c r="AV89" s="132">
        <v>0</v>
      </c>
      <c r="AW89" s="132">
        <v>0</v>
      </c>
      <c r="AX89" s="132">
        <v>0</v>
      </c>
      <c r="AY89" s="132">
        <v>1</v>
      </c>
      <c r="AZ89" s="132">
        <v>0</v>
      </c>
      <c r="BA89" s="132">
        <v>40640.750486111108</v>
      </c>
      <c r="BB89" s="132">
        <v>470195</v>
      </c>
      <c r="BC89" s="132">
        <v>470195</v>
      </c>
      <c r="BD89" s="132">
        <v>45392.67769675926</v>
      </c>
      <c r="BE89" s="132">
        <v>363363</v>
      </c>
      <c r="BF89" s="132">
        <v>363363</v>
      </c>
      <c r="BG89" s="158"/>
    </row>
    <row r="90" spans="2:59" ht="14">
      <c r="B90" s="120" t="s">
        <v>242</v>
      </c>
      <c r="C90" s="132" t="s">
        <v>269</v>
      </c>
      <c r="D90" s="132" t="s">
        <v>285</v>
      </c>
      <c r="E90" s="142" t="s">
        <v>462</v>
      </c>
      <c r="F90" s="132" t="s">
        <v>184</v>
      </c>
      <c r="G90" s="132" t="s">
        <v>243</v>
      </c>
      <c r="H90" s="132" t="s">
        <v>243</v>
      </c>
      <c r="I90" s="132">
        <v>0</v>
      </c>
      <c r="J90" s="132">
        <v>30</v>
      </c>
      <c r="K90" s="132" t="s">
        <v>271</v>
      </c>
      <c r="L90" s="132" t="s">
        <v>271</v>
      </c>
      <c r="M90" s="132" t="s">
        <v>155</v>
      </c>
      <c r="N90" s="132" t="s">
        <v>155</v>
      </c>
      <c r="O90" s="132" t="s">
        <v>416</v>
      </c>
      <c r="P90" s="132" t="s">
        <v>155</v>
      </c>
      <c r="Q90" s="132" t="s">
        <v>417</v>
      </c>
      <c r="R90" s="132" t="s">
        <v>182</v>
      </c>
      <c r="S90" s="132" t="s">
        <v>497</v>
      </c>
      <c r="T90" s="132" t="s">
        <v>413</v>
      </c>
      <c r="U90" s="132" t="s">
        <v>498</v>
      </c>
      <c r="V90" s="132" t="s">
        <v>499</v>
      </c>
      <c r="W90" s="132" t="s">
        <v>182</v>
      </c>
      <c r="X90" s="132" t="s">
        <v>500</v>
      </c>
      <c r="Y90" s="132" t="s">
        <v>500</v>
      </c>
      <c r="Z90" s="132"/>
      <c r="AA90" s="132"/>
      <c r="AB90" s="132" t="s">
        <v>419</v>
      </c>
      <c r="AC90" s="132">
        <v>5000</v>
      </c>
      <c r="AD90" s="132">
        <v>99999999</v>
      </c>
      <c r="AE90" s="132">
        <v>0</v>
      </c>
      <c r="AF90" s="132">
        <v>2</v>
      </c>
      <c r="AG90" s="132">
        <v>0</v>
      </c>
      <c r="AH90" s="132">
        <v>0</v>
      </c>
      <c r="AI90" s="132">
        <v>0</v>
      </c>
      <c r="AJ90" s="132">
        <v>0</v>
      </c>
      <c r="AK90" s="132">
        <v>0</v>
      </c>
      <c r="AL90" s="132">
        <v>0</v>
      </c>
      <c r="AM90" s="132">
        <v>1</v>
      </c>
      <c r="AN90" s="132">
        <v>0</v>
      </c>
      <c r="AO90" s="132">
        <v>0</v>
      </c>
      <c r="AP90" s="132">
        <v>1</v>
      </c>
      <c r="AQ90" s="132">
        <v>1111</v>
      </c>
      <c r="AR90" s="132" t="s">
        <v>415</v>
      </c>
      <c r="AS90" s="132">
        <v>10</v>
      </c>
      <c r="AT90" s="132">
        <v>1</v>
      </c>
      <c r="AU90" s="132">
        <v>0</v>
      </c>
      <c r="AV90" s="132">
        <v>0</v>
      </c>
      <c r="AW90" s="132">
        <v>0</v>
      </c>
      <c r="AX90" s="132">
        <v>0</v>
      </c>
      <c r="AY90" s="132">
        <v>1</v>
      </c>
      <c r="AZ90" s="132">
        <v>0</v>
      </c>
      <c r="BA90" s="132">
        <v>40640.750486111108</v>
      </c>
      <c r="BB90" s="132">
        <v>470195</v>
      </c>
      <c r="BC90" s="132">
        <v>470195</v>
      </c>
      <c r="BD90" s="132">
        <v>45392.67769675926</v>
      </c>
      <c r="BE90" s="132">
        <v>363363</v>
      </c>
      <c r="BF90" s="132">
        <v>363363</v>
      </c>
      <c r="BG90" s="158"/>
    </row>
    <row r="91" spans="2:59">
      <c r="B91" s="163"/>
      <c r="BG91" s="158"/>
    </row>
    <row r="92" spans="2:59" ht="14.5" thickBot="1">
      <c r="B92" s="163"/>
      <c r="C92" s="164" t="s">
        <v>152</v>
      </c>
      <c r="BG92" s="158"/>
    </row>
    <row r="93" spans="2:59" ht="14.5" thickBot="1">
      <c r="B93" s="163"/>
      <c r="C93" s="233" t="s">
        <v>422</v>
      </c>
      <c r="D93" s="233" t="s">
        <v>423</v>
      </c>
      <c r="E93" s="233" t="s">
        <v>158</v>
      </c>
      <c r="F93" s="233" t="s">
        <v>424</v>
      </c>
      <c r="G93" s="233" t="s">
        <v>425</v>
      </c>
      <c r="H93" s="233" t="s">
        <v>426</v>
      </c>
      <c r="I93" s="233" t="s">
        <v>427</v>
      </c>
      <c r="J93" s="233" t="s">
        <v>428</v>
      </c>
      <c r="K93" s="233" t="s">
        <v>429</v>
      </c>
      <c r="L93" s="233" t="s">
        <v>430</v>
      </c>
      <c r="M93" s="233" t="s">
        <v>431</v>
      </c>
      <c r="BG93" s="158"/>
    </row>
    <row r="94" spans="2:59" ht="14.5" thickBot="1">
      <c r="B94" s="163"/>
      <c r="C94" s="233">
        <v>-2</v>
      </c>
      <c r="D94" s="233" t="s">
        <v>155</v>
      </c>
      <c r="E94" s="233" t="s">
        <v>575</v>
      </c>
      <c r="F94" s="233" t="s">
        <v>645</v>
      </c>
      <c r="G94" s="233" t="s">
        <v>137</v>
      </c>
      <c r="H94" s="233" t="s">
        <v>155</v>
      </c>
      <c r="I94" s="233" t="s">
        <v>155</v>
      </c>
      <c r="J94" s="233" t="s">
        <v>155</v>
      </c>
      <c r="K94" s="233" t="s">
        <v>155</v>
      </c>
      <c r="L94" s="233">
        <v>0</v>
      </c>
      <c r="M94" s="233" t="s">
        <v>155</v>
      </c>
      <c r="BG94" s="158"/>
    </row>
    <row r="95" spans="2:59" ht="13.5" thickBot="1">
      <c r="B95" s="163"/>
      <c r="BG95" s="158"/>
    </row>
    <row r="96" spans="2:59" ht="14" thickBot="1">
      <c r="B96" s="104" t="s">
        <v>448</v>
      </c>
      <c r="C96" s="105" t="s">
        <v>449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58"/>
    </row>
    <row r="97" spans="2:59" ht="14" thickBot="1">
      <c r="B97" s="140" t="s">
        <v>618</v>
      </c>
      <c r="C97" s="105" t="s">
        <v>447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58"/>
    </row>
    <row r="98" spans="2:59">
      <c r="B98" s="163"/>
      <c r="BG98" s="158"/>
    </row>
    <row r="99" spans="2:59" ht="13.5">
      <c r="B99" s="163"/>
      <c r="C99" s="161" t="s">
        <v>228</v>
      </c>
      <c r="BG99" s="158"/>
    </row>
    <row r="100" spans="2:59" ht="13.5">
      <c r="B100" s="163"/>
      <c r="C100" s="161" t="s">
        <v>450</v>
      </c>
      <c r="BG100" s="158"/>
    </row>
    <row r="101" spans="2:59">
      <c r="B101" s="163"/>
      <c r="BG101" s="158"/>
    </row>
    <row r="102" spans="2:59" ht="15">
      <c r="B102" s="163"/>
      <c r="C102" s="257" t="s">
        <v>268</v>
      </c>
      <c r="D102" s="258"/>
      <c r="E102" s="258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60"/>
      <c r="AA102" s="66"/>
      <c r="AB102" s="66"/>
      <c r="AC102" s="66"/>
      <c r="AD102" s="66"/>
      <c r="BG102" s="158"/>
    </row>
    <row r="103" spans="2:59" ht="15">
      <c r="B103" s="163"/>
      <c r="C103" s="127"/>
      <c r="D103" s="127"/>
      <c r="E103" s="127"/>
      <c r="F103" s="124" t="s">
        <v>168</v>
      </c>
      <c r="G103" s="124" t="s">
        <v>168</v>
      </c>
      <c r="H103" s="124" t="s">
        <v>168</v>
      </c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BG103" s="158"/>
    </row>
    <row r="104" spans="2:59">
      <c r="B104" s="163"/>
      <c r="C104" s="117" t="s">
        <v>171</v>
      </c>
      <c r="D104" s="117" t="s">
        <v>172</v>
      </c>
      <c r="E104" s="117" t="s">
        <v>173</v>
      </c>
      <c r="F104" s="119" t="s">
        <v>91</v>
      </c>
      <c r="G104" s="119" t="s">
        <v>627</v>
      </c>
      <c r="H104" s="119" t="s">
        <v>69</v>
      </c>
      <c r="I104" s="119" t="s">
        <v>289</v>
      </c>
      <c r="J104" s="119" t="s">
        <v>290</v>
      </c>
      <c r="K104" s="119" t="s">
        <v>291</v>
      </c>
      <c r="L104" s="119" t="s">
        <v>292</v>
      </c>
      <c r="M104" s="119" t="s">
        <v>293</v>
      </c>
      <c r="N104" s="119" t="s">
        <v>294</v>
      </c>
      <c r="O104" s="119" t="s">
        <v>295</v>
      </c>
      <c r="P104" s="119" t="s">
        <v>296</v>
      </c>
      <c r="Q104" s="119" t="s">
        <v>297</v>
      </c>
      <c r="R104" s="119" t="s">
        <v>298</v>
      </c>
      <c r="S104" s="119" t="s">
        <v>299</v>
      </c>
      <c r="T104" s="119" t="s">
        <v>300</v>
      </c>
      <c r="U104" s="119" t="s">
        <v>301</v>
      </c>
      <c r="V104" s="119" t="s">
        <v>302</v>
      </c>
      <c r="W104" s="119" t="s">
        <v>303</v>
      </c>
      <c r="X104" s="119" t="s">
        <v>229</v>
      </c>
      <c r="Y104" s="119" t="s">
        <v>230</v>
      </c>
      <c r="Z104" s="119" t="s">
        <v>231</v>
      </c>
      <c r="AA104" s="119" t="s">
        <v>232</v>
      </c>
      <c r="AB104" s="119" t="s">
        <v>150</v>
      </c>
      <c r="AC104" s="119" t="s">
        <v>151</v>
      </c>
      <c r="AD104" s="119" t="s">
        <v>233</v>
      </c>
      <c r="BG104" s="158"/>
    </row>
    <row r="105" spans="2:59">
      <c r="B105" s="163"/>
      <c r="C105" s="117" t="s">
        <v>205</v>
      </c>
      <c r="D105" s="117" t="s">
        <v>214</v>
      </c>
      <c r="E105" s="117" t="s">
        <v>222</v>
      </c>
      <c r="F105" s="118" t="s">
        <v>250</v>
      </c>
      <c r="G105" s="118" t="s">
        <v>251</v>
      </c>
      <c r="H105" s="118" t="s">
        <v>253</v>
      </c>
      <c r="I105" s="118" t="s">
        <v>252</v>
      </c>
      <c r="J105" s="118" t="s">
        <v>254</v>
      </c>
      <c r="K105" s="118" t="s">
        <v>255</v>
      </c>
      <c r="L105" s="118" t="s">
        <v>256</v>
      </c>
      <c r="M105" s="118" t="s">
        <v>257</v>
      </c>
      <c r="N105" s="118" t="s">
        <v>258</v>
      </c>
      <c r="O105" s="118" t="s">
        <v>259</v>
      </c>
      <c r="P105" s="118" t="s">
        <v>260</v>
      </c>
      <c r="Q105" s="118" t="s">
        <v>261</v>
      </c>
      <c r="R105" s="118" t="s">
        <v>262</v>
      </c>
      <c r="S105" s="118" t="s">
        <v>263</v>
      </c>
      <c r="T105" s="118" t="s">
        <v>264</v>
      </c>
      <c r="U105" s="118" t="s">
        <v>265</v>
      </c>
      <c r="V105" s="118" t="s">
        <v>266</v>
      </c>
      <c r="W105" s="118" t="s">
        <v>267</v>
      </c>
      <c r="X105" s="118" t="s">
        <v>235</v>
      </c>
      <c r="Y105" s="118" t="s">
        <v>236</v>
      </c>
      <c r="Z105" s="118" t="s">
        <v>237</v>
      </c>
      <c r="AA105" s="118" t="s">
        <v>238</v>
      </c>
      <c r="AB105" s="118" t="s">
        <v>239</v>
      </c>
      <c r="AC105" s="118" t="s">
        <v>240</v>
      </c>
      <c r="AD105" s="118" t="s">
        <v>241</v>
      </c>
      <c r="BG105" s="158"/>
    </row>
    <row r="106" spans="2:59">
      <c r="B106" s="163"/>
      <c r="C106" s="117" t="s">
        <v>304</v>
      </c>
      <c r="D106" s="117" t="s">
        <v>305</v>
      </c>
      <c r="E106" s="117" t="s">
        <v>305</v>
      </c>
      <c r="F106" s="119" t="s">
        <v>306</v>
      </c>
      <c r="G106" s="119" t="s">
        <v>306</v>
      </c>
      <c r="H106" s="119" t="s">
        <v>307</v>
      </c>
      <c r="I106" s="119" t="s">
        <v>306</v>
      </c>
      <c r="J106" s="119" t="s">
        <v>308</v>
      </c>
      <c r="K106" s="119" t="s">
        <v>309</v>
      </c>
      <c r="L106" s="118" t="s">
        <v>310</v>
      </c>
      <c r="M106" s="119" t="s">
        <v>310</v>
      </c>
      <c r="N106" s="119" t="s">
        <v>311</v>
      </c>
      <c r="O106" s="119" t="s">
        <v>306</v>
      </c>
      <c r="P106" s="119" t="s">
        <v>312</v>
      </c>
      <c r="Q106" s="119" t="s">
        <v>313</v>
      </c>
      <c r="R106" s="119" t="s">
        <v>312</v>
      </c>
      <c r="S106" s="119" t="s">
        <v>314</v>
      </c>
      <c r="T106" s="118" t="s">
        <v>315</v>
      </c>
      <c r="U106" s="119" t="s">
        <v>315</v>
      </c>
      <c r="V106" s="119" t="s">
        <v>316</v>
      </c>
      <c r="W106" s="119" t="s">
        <v>306</v>
      </c>
      <c r="X106" s="119" t="s">
        <v>317</v>
      </c>
      <c r="Y106" s="119" t="s">
        <v>319</v>
      </c>
      <c r="Z106" s="119" t="s">
        <v>320</v>
      </c>
      <c r="AA106" s="119" t="s">
        <v>320</v>
      </c>
      <c r="AB106" s="118" t="s">
        <v>318</v>
      </c>
      <c r="AC106" s="119" t="s">
        <v>320</v>
      </c>
      <c r="AD106" s="119" t="s">
        <v>320</v>
      </c>
      <c r="BG106" s="158"/>
    </row>
    <row r="107" spans="2:59" ht="14">
      <c r="B107" s="120" t="s">
        <v>242</v>
      </c>
      <c r="C107" s="132" t="s">
        <v>269</v>
      </c>
      <c r="D107" s="142" t="s">
        <v>181</v>
      </c>
      <c r="E107" s="132" t="s">
        <v>445</v>
      </c>
      <c r="F107" s="132" t="s">
        <v>286</v>
      </c>
      <c r="G107" s="132" t="s">
        <v>446</v>
      </c>
      <c r="H107" s="132" t="s">
        <v>183</v>
      </c>
      <c r="I107" s="116"/>
      <c r="J107" s="132" t="s">
        <v>496</v>
      </c>
      <c r="K107" s="132" t="s">
        <v>497</v>
      </c>
      <c r="L107" s="132" t="s">
        <v>155</v>
      </c>
      <c r="M107" s="132" t="s">
        <v>273</v>
      </c>
      <c r="N107" s="132" t="s">
        <v>155</v>
      </c>
      <c r="O107" s="132" t="s">
        <v>182</v>
      </c>
      <c r="P107" s="132" t="s">
        <v>155</v>
      </c>
      <c r="Q107" s="132" t="s">
        <v>274</v>
      </c>
      <c r="R107" s="132" t="s">
        <v>275</v>
      </c>
      <c r="S107" s="132" t="s">
        <v>155</v>
      </c>
      <c r="T107" s="132" t="s">
        <v>155</v>
      </c>
      <c r="U107" s="132" t="s">
        <v>155</v>
      </c>
      <c r="V107" s="132" t="s">
        <v>155</v>
      </c>
      <c r="W107" s="132" t="s">
        <v>155</v>
      </c>
      <c r="X107" s="132" t="s">
        <v>243</v>
      </c>
      <c r="Y107" s="132" t="s">
        <v>276</v>
      </c>
      <c r="Z107" s="132" t="s">
        <v>277</v>
      </c>
      <c r="AA107" s="132" t="s">
        <v>277</v>
      </c>
      <c r="AB107" s="132" t="s">
        <v>278</v>
      </c>
      <c r="AC107" s="132" t="s">
        <v>287</v>
      </c>
      <c r="AD107" s="132" t="s">
        <v>287</v>
      </c>
      <c r="BG107" s="158"/>
    </row>
    <row r="108" spans="2:59" ht="14">
      <c r="B108" s="120" t="s">
        <v>242</v>
      </c>
      <c r="C108" s="142" t="s">
        <v>511</v>
      </c>
      <c r="D108" s="132" t="s">
        <v>445</v>
      </c>
      <c r="E108" s="132" t="s">
        <v>445</v>
      </c>
      <c r="F108" s="132" t="s">
        <v>286</v>
      </c>
      <c r="G108" s="132" t="s">
        <v>446</v>
      </c>
      <c r="H108" s="132" t="s">
        <v>183</v>
      </c>
      <c r="I108" s="116"/>
      <c r="J108" s="132" t="s">
        <v>496</v>
      </c>
      <c r="K108" s="132" t="s">
        <v>497</v>
      </c>
      <c r="L108" s="132" t="s">
        <v>155</v>
      </c>
      <c r="M108" s="132" t="s">
        <v>273</v>
      </c>
      <c r="N108" s="132" t="s">
        <v>155</v>
      </c>
      <c r="O108" s="132" t="s">
        <v>182</v>
      </c>
      <c r="P108" s="132" t="s">
        <v>155</v>
      </c>
      <c r="Q108" s="132" t="s">
        <v>274</v>
      </c>
      <c r="R108" s="132" t="s">
        <v>275</v>
      </c>
      <c r="S108" s="132" t="s">
        <v>155</v>
      </c>
      <c r="T108" s="132" t="s">
        <v>155</v>
      </c>
      <c r="U108" s="132" t="s">
        <v>155</v>
      </c>
      <c r="V108" s="132" t="s">
        <v>155</v>
      </c>
      <c r="W108" s="132" t="s">
        <v>155</v>
      </c>
      <c r="X108" s="132" t="s">
        <v>243</v>
      </c>
      <c r="Y108" s="132" t="s">
        <v>276</v>
      </c>
      <c r="Z108" s="132" t="s">
        <v>277</v>
      </c>
      <c r="AA108" s="132" t="s">
        <v>277</v>
      </c>
      <c r="AB108" s="132" t="s">
        <v>278</v>
      </c>
      <c r="AC108" s="132" t="s">
        <v>287</v>
      </c>
      <c r="AD108" s="132" t="s">
        <v>287</v>
      </c>
      <c r="BG108" s="158"/>
    </row>
    <row r="109" spans="2:59" ht="14">
      <c r="B109" s="120" t="s">
        <v>242</v>
      </c>
      <c r="C109" s="132" t="s">
        <v>269</v>
      </c>
      <c r="D109" s="142" t="s">
        <v>462</v>
      </c>
      <c r="E109" s="132" t="s">
        <v>445</v>
      </c>
      <c r="F109" s="132" t="s">
        <v>286</v>
      </c>
      <c r="G109" s="132" t="s">
        <v>446</v>
      </c>
      <c r="H109" s="132" t="s">
        <v>183</v>
      </c>
      <c r="I109" s="116"/>
      <c r="J109" s="132" t="s">
        <v>496</v>
      </c>
      <c r="K109" s="132" t="s">
        <v>497</v>
      </c>
      <c r="L109" s="132" t="s">
        <v>155</v>
      </c>
      <c r="M109" s="132" t="s">
        <v>273</v>
      </c>
      <c r="N109" s="132" t="s">
        <v>155</v>
      </c>
      <c r="O109" s="132" t="s">
        <v>182</v>
      </c>
      <c r="P109" s="132" t="s">
        <v>155</v>
      </c>
      <c r="Q109" s="132" t="s">
        <v>274</v>
      </c>
      <c r="R109" s="132" t="s">
        <v>275</v>
      </c>
      <c r="S109" s="132" t="s">
        <v>155</v>
      </c>
      <c r="T109" s="132" t="s">
        <v>155</v>
      </c>
      <c r="U109" s="132" t="s">
        <v>155</v>
      </c>
      <c r="V109" s="132" t="s">
        <v>155</v>
      </c>
      <c r="W109" s="132" t="s">
        <v>155</v>
      </c>
      <c r="X109" s="132" t="s">
        <v>243</v>
      </c>
      <c r="Y109" s="132" t="s">
        <v>276</v>
      </c>
      <c r="Z109" s="132" t="s">
        <v>277</v>
      </c>
      <c r="AA109" s="132" t="s">
        <v>277</v>
      </c>
      <c r="AB109" s="132" t="s">
        <v>278</v>
      </c>
      <c r="AC109" s="132" t="s">
        <v>287</v>
      </c>
      <c r="AD109" s="132" t="s">
        <v>287</v>
      </c>
      <c r="BG109" s="158"/>
    </row>
    <row r="110" spans="2:59" ht="14">
      <c r="B110" s="122" t="s">
        <v>244</v>
      </c>
      <c r="C110" s="121" t="s">
        <v>269</v>
      </c>
      <c r="D110" s="121" t="s">
        <v>445</v>
      </c>
      <c r="E110" s="121" t="s">
        <v>445</v>
      </c>
      <c r="F110" s="121" t="s">
        <v>286</v>
      </c>
      <c r="G110" s="218" t="s">
        <v>446</v>
      </c>
      <c r="H110" s="121" t="s">
        <v>183</v>
      </c>
      <c r="I110" s="121"/>
      <c r="J110" s="121" t="s">
        <v>272</v>
      </c>
      <c r="K110" s="121" t="s">
        <v>243</v>
      </c>
      <c r="L110" s="121" t="s">
        <v>155</v>
      </c>
      <c r="M110" s="121" t="s">
        <v>273</v>
      </c>
      <c r="N110" s="121" t="s">
        <v>155</v>
      </c>
      <c r="O110" s="121" t="s">
        <v>182</v>
      </c>
      <c r="P110" s="121" t="s">
        <v>155</v>
      </c>
      <c r="Q110" s="121" t="s">
        <v>274</v>
      </c>
      <c r="R110" s="121" t="s">
        <v>275</v>
      </c>
      <c r="S110" s="121" t="s">
        <v>155</v>
      </c>
      <c r="T110" s="121" t="s">
        <v>155</v>
      </c>
      <c r="U110" s="121" t="s">
        <v>155</v>
      </c>
      <c r="V110" s="121" t="s">
        <v>155</v>
      </c>
      <c r="W110" s="121" t="s">
        <v>155</v>
      </c>
      <c r="X110" s="121" t="s">
        <v>243</v>
      </c>
      <c r="Y110" s="121" t="s">
        <v>276</v>
      </c>
      <c r="Z110" s="121" t="s">
        <v>277</v>
      </c>
      <c r="AA110" s="121" t="s">
        <v>277</v>
      </c>
      <c r="AB110" s="121" t="s">
        <v>278</v>
      </c>
      <c r="AC110" s="121" t="s">
        <v>287</v>
      </c>
      <c r="AD110" s="121" t="s">
        <v>287</v>
      </c>
      <c r="BG110" s="158"/>
    </row>
    <row r="111" spans="2:59">
      <c r="B111" s="163"/>
      <c r="BG111" s="158"/>
    </row>
    <row r="112" spans="2:59" ht="15">
      <c r="B112" s="163"/>
      <c r="C112" s="257" t="s">
        <v>321</v>
      </c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  <c r="U112" s="90"/>
      <c r="V112" s="90"/>
      <c r="W112" s="90"/>
      <c r="X112" s="90"/>
      <c r="Y112" s="90"/>
      <c r="Z112" s="90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158"/>
    </row>
    <row r="113" spans="2:59" ht="15">
      <c r="B113" s="163"/>
      <c r="C113" s="127"/>
      <c r="D113" s="127"/>
      <c r="E113" s="127"/>
      <c r="F113" s="124" t="s">
        <v>168</v>
      </c>
      <c r="G113" s="124" t="s">
        <v>168</v>
      </c>
      <c r="H113" s="129" t="s">
        <v>168</v>
      </c>
      <c r="I113" s="124" t="s">
        <v>168</v>
      </c>
      <c r="J113" s="124" t="s">
        <v>168</v>
      </c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58"/>
    </row>
    <row r="114" spans="2:59" ht="25">
      <c r="B114" s="163"/>
      <c r="C114" s="117" t="s">
        <v>365</v>
      </c>
      <c r="D114" s="117" t="s">
        <v>420</v>
      </c>
      <c r="E114" s="117" t="s">
        <v>421</v>
      </c>
      <c r="F114" s="119" t="s">
        <v>629</v>
      </c>
      <c r="G114" s="119" t="s">
        <v>99</v>
      </c>
      <c r="H114" s="119" t="s">
        <v>130</v>
      </c>
      <c r="I114" s="119" t="s">
        <v>391</v>
      </c>
      <c r="J114" s="119" t="s">
        <v>127</v>
      </c>
      <c r="K114" s="119" t="s">
        <v>67</v>
      </c>
      <c r="L114" s="119" t="s">
        <v>628</v>
      </c>
      <c r="M114" s="119" t="s">
        <v>366</v>
      </c>
      <c r="N114" s="119" t="s">
        <v>367</v>
      </c>
      <c r="O114" s="119" t="s">
        <v>368</v>
      </c>
      <c r="P114" s="119" t="s">
        <v>369</v>
      </c>
      <c r="Q114" s="119" t="s">
        <v>370</v>
      </c>
      <c r="R114" s="119" t="s">
        <v>371</v>
      </c>
      <c r="S114" s="119" t="s">
        <v>372</v>
      </c>
      <c r="T114" s="119" t="s">
        <v>373</v>
      </c>
      <c r="U114" s="119" t="s">
        <v>374</v>
      </c>
      <c r="V114" s="119" t="s">
        <v>375</v>
      </c>
      <c r="W114" s="119" t="s">
        <v>376</v>
      </c>
      <c r="X114" s="119" t="s">
        <v>377</v>
      </c>
      <c r="Y114" s="119" t="s">
        <v>378</v>
      </c>
      <c r="Z114" s="119" t="s">
        <v>379</v>
      </c>
      <c r="AA114" s="119" t="s">
        <v>380</v>
      </c>
      <c r="AB114" s="119" t="s">
        <v>381</v>
      </c>
      <c r="AC114" s="119" t="s">
        <v>382</v>
      </c>
      <c r="AD114" s="119" t="s">
        <v>383</v>
      </c>
      <c r="AE114" s="119" t="s">
        <v>384</v>
      </c>
      <c r="AF114" s="119" t="s">
        <v>385</v>
      </c>
      <c r="AG114" s="119" t="s">
        <v>386</v>
      </c>
      <c r="AH114" s="119" t="s">
        <v>387</v>
      </c>
      <c r="AI114" s="119" t="s">
        <v>388</v>
      </c>
      <c r="AJ114" s="119" t="s">
        <v>390</v>
      </c>
      <c r="AK114" s="119" t="s">
        <v>389</v>
      </c>
      <c r="AL114" s="119" t="s">
        <v>398</v>
      </c>
      <c r="AM114" s="119" t="s">
        <v>392</v>
      </c>
      <c r="AN114" s="119" t="s">
        <v>393</v>
      </c>
      <c r="AO114" s="119" t="s">
        <v>394</v>
      </c>
      <c r="AP114" s="119" t="s">
        <v>395</v>
      </c>
      <c r="AQ114" s="119" t="s">
        <v>399</v>
      </c>
      <c r="AR114" s="119" t="s">
        <v>396</v>
      </c>
      <c r="AS114" s="119" t="s">
        <v>397</v>
      </c>
      <c r="AT114" s="119" t="s">
        <v>400</v>
      </c>
      <c r="AU114" s="119" t="s">
        <v>401</v>
      </c>
      <c r="AV114" s="119" t="s">
        <v>402</v>
      </c>
      <c r="AW114" s="119" t="s">
        <v>403</v>
      </c>
      <c r="AX114" s="119" t="s">
        <v>404</v>
      </c>
      <c r="AY114" s="119" t="s">
        <v>405</v>
      </c>
      <c r="AZ114" s="119" t="s">
        <v>229</v>
      </c>
      <c r="BA114" s="119" t="s">
        <v>230</v>
      </c>
      <c r="BB114" s="119" t="s">
        <v>231</v>
      </c>
      <c r="BC114" s="119" t="s">
        <v>232</v>
      </c>
      <c r="BD114" s="119" t="s">
        <v>150</v>
      </c>
      <c r="BE114" s="119" t="s">
        <v>151</v>
      </c>
      <c r="BF114" s="119" t="s">
        <v>233</v>
      </c>
      <c r="BG114" s="158"/>
    </row>
    <row r="115" spans="2:59">
      <c r="B115" s="163"/>
      <c r="C115" s="117" t="s">
        <v>205</v>
      </c>
      <c r="D115" s="117" t="s">
        <v>214</v>
      </c>
      <c r="E115" s="117" t="s">
        <v>222</v>
      </c>
      <c r="F115" s="118" t="s">
        <v>322</v>
      </c>
      <c r="G115" s="118" t="s">
        <v>323</v>
      </c>
      <c r="H115" s="118" t="s">
        <v>324</v>
      </c>
      <c r="I115" s="118" t="s">
        <v>351</v>
      </c>
      <c r="J115" s="118" t="s">
        <v>357</v>
      </c>
      <c r="K115" s="118" t="s">
        <v>251</v>
      </c>
      <c r="L115" s="118" t="s">
        <v>252</v>
      </c>
      <c r="M115" s="118" t="s">
        <v>325</v>
      </c>
      <c r="N115" s="118" t="s">
        <v>326</v>
      </c>
      <c r="O115" s="118" t="s">
        <v>327</v>
      </c>
      <c r="P115" s="118" t="s">
        <v>328</v>
      </c>
      <c r="Q115" s="118" t="s">
        <v>329</v>
      </c>
      <c r="R115" s="118" t="s">
        <v>330</v>
      </c>
      <c r="S115" s="118" t="s">
        <v>331</v>
      </c>
      <c r="T115" s="118" t="s">
        <v>332</v>
      </c>
      <c r="U115" s="118" t="s">
        <v>333</v>
      </c>
      <c r="V115" s="118" t="s">
        <v>334</v>
      </c>
      <c r="W115" s="118" t="s">
        <v>335</v>
      </c>
      <c r="X115" s="118" t="s">
        <v>336</v>
      </c>
      <c r="Y115" s="118" t="s">
        <v>337</v>
      </c>
      <c r="Z115" s="118" t="s">
        <v>338</v>
      </c>
      <c r="AA115" s="118" t="s">
        <v>339</v>
      </c>
      <c r="AB115" s="118" t="s">
        <v>340</v>
      </c>
      <c r="AC115" s="118" t="s">
        <v>341</v>
      </c>
      <c r="AD115" s="118" t="s">
        <v>342</v>
      </c>
      <c r="AE115" s="118" t="s">
        <v>343</v>
      </c>
      <c r="AF115" s="118" t="s">
        <v>344</v>
      </c>
      <c r="AG115" s="118" t="s">
        <v>345</v>
      </c>
      <c r="AH115" s="118" t="s">
        <v>346</v>
      </c>
      <c r="AI115" s="118" t="s">
        <v>347</v>
      </c>
      <c r="AJ115" s="118" t="s">
        <v>348</v>
      </c>
      <c r="AK115" s="118" t="s">
        <v>349</v>
      </c>
      <c r="AL115" s="118" t="s">
        <v>350</v>
      </c>
      <c r="AM115" s="118" t="s">
        <v>352</v>
      </c>
      <c r="AN115" s="118" t="s">
        <v>353</v>
      </c>
      <c r="AO115" s="118" t="s">
        <v>354</v>
      </c>
      <c r="AP115" s="118" t="s">
        <v>234</v>
      </c>
      <c r="AQ115" s="118" t="s">
        <v>355</v>
      </c>
      <c r="AR115" s="118" t="s">
        <v>356</v>
      </c>
      <c r="AS115" s="118" t="s">
        <v>358</v>
      </c>
      <c r="AT115" s="118" t="s">
        <v>359</v>
      </c>
      <c r="AU115" s="118" t="s">
        <v>360</v>
      </c>
      <c r="AV115" s="118" t="s">
        <v>361</v>
      </c>
      <c r="AW115" s="118" t="s">
        <v>362</v>
      </c>
      <c r="AX115" s="118" t="s">
        <v>363</v>
      </c>
      <c r="AY115" s="118" t="s">
        <v>364</v>
      </c>
      <c r="AZ115" s="118" t="s">
        <v>235</v>
      </c>
      <c r="BA115" s="118" t="s">
        <v>236</v>
      </c>
      <c r="BB115" s="118" t="s">
        <v>237</v>
      </c>
      <c r="BC115" s="118" t="s">
        <v>238</v>
      </c>
      <c r="BD115" s="118" t="s">
        <v>239</v>
      </c>
      <c r="BE115" s="118" t="s">
        <v>240</v>
      </c>
      <c r="BF115" s="118" t="s">
        <v>241</v>
      </c>
      <c r="BG115" s="158"/>
    </row>
    <row r="116" spans="2:59">
      <c r="B116" s="163"/>
      <c r="C116" s="117" t="s">
        <v>304</v>
      </c>
      <c r="D116" s="117" t="s">
        <v>406</v>
      </c>
      <c r="E116" s="117" t="s">
        <v>305</v>
      </c>
      <c r="F116" s="131" t="s">
        <v>306</v>
      </c>
      <c r="G116" s="131" t="s">
        <v>306</v>
      </c>
      <c r="H116" s="131" t="s">
        <v>306</v>
      </c>
      <c r="I116" s="131" t="s">
        <v>306</v>
      </c>
      <c r="J116" s="131" t="s">
        <v>308</v>
      </c>
      <c r="K116" s="131" t="s">
        <v>306</v>
      </c>
      <c r="L116" s="131" t="s">
        <v>306</v>
      </c>
      <c r="M116" s="131" t="s">
        <v>407</v>
      </c>
      <c r="N116" s="131" t="s">
        <v>407</v>
      </c>
      <c r="O116" s="131" t="s">
        <v>305</v>
      </c>
      <c r="P116" s="131" t="s">
        <v>408</v>
      </c>
      <c r="Q116" s="131" t="s">
        <v>306</v>
      </c>
      <c r="R116" s="131" t="s">
        <v>313</v>
      </c>
      <c r="S116" s="131" t="s">
        <v>308</v>
      </c>
      <c r="T116" s="131" t="s">
        <v>313</v>
      </c>
      <c r="U116" s="131" t="s">
        <v>308</v>
      </c>
      <c r="V116" s="131" t="s">
        <v>308</v>
      </c>
      <c r="W116" s="131" t="s">
        <v>306</v>
      </c>
      <c r="X116" s="131" t="s">
        <v>409</v>
      </c>
      <c r="Y116" s="131" t="s">
        <v>409</v>
      </c>
      <c r="Z116" s="131" t="s">
        <v>310</v>
      </c>
      <c r="AA116" s="131" t="s">
        <v>408</v>
      </c>
      <c r="AB116" s="131" t="s">
        <v>408</v>
      </c>
      <c r="AC116" s="131" t="s">
        <v>308</v>
      </c>
      <c r="AD116" s="131" t="s">
        <v>312</v>
      </c>
      <c r="AE116" s="131" t="s">
        <v>313</v>
      </c>
      <c r="AF116" s="131" t="s">
        <v>313</v>
      </c>
      <c r="AG116" s="131" t="s">
        <v>410</v>
      </c>
      <c r="AH116" s="131" t="s">
        <v>410</v>
      </c>
      <c r="AI116" s="131" t="s">
        <v>313</v>
      </c>
      <c r="AJ116" s="131" t="s">
        <v>313</v>
      </c>
      <c r="AK116" s="131" t="s">
        <v>410</v>
      </c>
      <c r="AL116" s="131" t="s">
        <v>410</v>
      </c>
      <c r="AM116" s="131" t="s">
        <v>306</v>
      </c>
      <c r="AN116" s="131" t="s">
        <v>306</v>
      </c>
      <c r="AO116" s="131" t="s">
        <v>306</v>
      </c>
      <c r="AP116" s="131" t="s">
        <v>310</v>
      </c>
      <c r="AQ116" s="131" t="s">
        <v>305</v>
      </c>
      <c r="AR116" s="131" t="s">
        <v>306</v>
      </c>
      <c r="AS116" s="131" t="s">
        <v>308</v>
      </c>
      <c r="AT116" s="131" t="s">
        <v>306</v>
      </c>
      <c r="AU116" s="131" t="s">
        <v>411</v>
      </c>
      <c r="AV116" s="131" t="s">
        <v>313</v>
      </c>
      <c r="AW116" s="131" t="s">
        <v>310</v>
      </c>
      <c r="AX116" s="131" t="s">
        <v>306</v>
      </c>
      <c r="AY116" s="131" t="s">
        <v>306</v>
      </c>
      <c r="AZ116" s="131" t="s">
        <v>317</v>
      </c>
      <c r="BA116" s="131" t="s">
        <v>318</v>
      </c>
      <c r="BB116" s="131" t="s">
        <v>320</v>
      </c>
      <c r="BC116" s="131" t="s">
        <v>320</v>
      </c>
      <c r="BD116" s="131" t="s">
        <v>318</v>
      </c>
      <c r="BE116" s="131" t="s">
        <v>320</v>
      </c>
      <c r="BF116" s="131" t="s">
        <v>320</v>
      </c>
      <c r="BG116" s="158"/>
    </row>
    <row r="117" spans="2:59" ht="14">
      <c r="B117" s="120" t="s">
        <v>242</v>
      </c>
      <c r="C117" s="132" t="s">
        <v>269</v>
      </c>
      <c r="D117" s="142" t="s">
        <v>181</v>
      </c>
      <c r="E117" s="132" t="s">
        <v>445</v>
      </c>
      <c r="F117" s="132" t="s">
        <v>184</v>
      </c>
      <c r="G117" s="132" t="s">
        <v>243</v>
      </c>
      <c r="H117" s="132" t="s">
        <v>243</v>
      </c>
      <c r="I117" s="132">
        <v>0</v>
      </c>
      <c r="J117" s="132">
        <v>30</v>
      </c>
      <c r="K117" s="132" t="s">
        <v>446</v>
      </c>
      <c r="L117" s="116"/>
      <c r="M117" s="132" t="s">
        <v>155</v>
      </c>
      <c r="N117" s="132" t="s">
        <v>155</v>
      </c>
      <c r="O117" s="132" t="s">
        <v>416</v>
      </c>
      <c r="P117" s="132" t="s">
        <v>155</v>
      </c>
      <c r="Q117" s="132" t="s">
        <v>417</v>
      </c>
      <c r="R117" s="132" t="s">
        <v>182</v>
      </c>
      <c r="S117" s="132" t="s">
        <v>497</v>
      </c>
      <c r="T117" s="132" t="s">
        <v>413</v>
      </c>
      <c r="U117" s="132" t="s">
        <v>498</v>
      </c>
      <c r="V117" s="132" t="s">
        <v>499</v>
      </c>
      <c r="W117" s="132" t="s">
        <v>182</v>
      </c>
      <c r="X117" s="132" t="s">
        <v>500</v>
      </c>
      <c r="Y117" s="132" t="s">
        <v>500</v>
      </c>
      <c r="Z117" s="132"/>
      <c r="AA117" s="132"/>
      <c r="AB117" s="132" t="s">
        <v>419</v>
      </c>
      <c r="AC117" s="132">
        <v>5000</v>
      </c>
      <c r="AD117" s="132">
        <v>99999999</v>
      </c>
      <c r="AE117" s="132">
        <v>0</v>
      </c>
      <c r="AF117" s="132">
        <v>2</v>
      </c>
      <c r="AG117" s="132">
        <v>0</v>
      </c>
      <c r="AH117" s="132">
        <v>0</v>
      </c>
      <c r="AI117" s="132">
        <v>0</v>
      </c>
      <c r="AJ117" s="132">
        <v>0</v>
      </c>
      <c r="AK117" s="132">
        <v>0</v>
      </c>
      <c r="AL117" s="132">
        <v>0</v>
      </c>
      <c r="AM117" s="132">
        <v>1</v>
      </c>
      <c r="AN117" s="132">
        <v>0</v>
      </c>
      <c r="AO117" s="132">
        <v>0</v>
      </c>
      <c r="AP117" s="132">
        <v>1</v>
      </c>
      <c r="AQ117" s="132">
        <v>1111</v>
      </c>
      <c r="AR117" s="132" t="s">
        <v>415</v>
      </c>
      <c r="AS117" s="132">
        <v>10</v>
      </c>
      <c r="AT117" s="132">
        <v>1</v>
      </c>
      <c r="AU117" s="132">
        <v>0</v>
      </c>
      <c r="AV117" s="132">
        <v>0</v>
      </c>
      <c r="AW117" s="132">
        <v>0</v>
      </c>
      <c r="AX117" s="132">
        <v>0</v>
      </c>
      <c r="AY117" s="132">
        <v>1</v>
      </c>
      <c r="AZ117" s="132">
        <v>0</v>
      </c>
      <c r="BA117" s="132">
        <v>40640.750486111108</v>
      </c>
      <c r="BB117" s="132">
        <v>470195</v>
      </c>
      <c r="BC117" s="132">
        <v>470195</v>
      </c>
      <c r="BD117" s="132">
        <v>45392.67769675926</v>
      </c>
      <c r="BE117" s="132">
        <v>363363</v>
      </c>
      <c r="BF117" s="132">
        <v>363363</v>
      </c>
      <c r="BG117" s="158"/>
    </row>
    <row r="118" spans="2:59" ht="14">
      <c r="B118" s="120" t="s">
        <v>242</v>
      </c>
      <c r="C118" s="142" t="s">
        <v>511</v>
      </c>
      <c r="D118" s="132" t="s">
        <v>445</v>
      </c>
      <c r="E118" s="132" t="s">
        <v>445</v>
      </c>
      <c r="F118" s="132" t="s">
        <v>184</v>
      </c>
      <c r="G118" s="132" t="s">
        <v>243</v>
      </c>
      <c r="H118" s="132" t="s">
        <v>243</v>
      </c>
      <c r="I118" s="132" t="s">
        <v>243</v>
      </c>
      <c r="J118" s="132" t="s">
        <v>506</v>
      </c>
      <c r="K118" s="132" t="s">
        <v>446</v>
      </c>
      <c r="L118" s="116"/>
      <c r="M118" s="132" t="s">
        <v>155</v>
      </c>
      <c r="N118" s="132" t="s">
        <v>155</v>
      </c>
      <c r="O118" s="132" t="s">
        <v>416</v>
      </c>
      <c r="P118" s="132" t="s">
        <v>155</v>
      </c>
      <c r="Q118" s="132" t="s">
        <v>417</v>
      </c>
      <c r="R118" s="132" t="s">
        <v>182</v>
      </c>
      <c r="S118" s="132" t="s">
        <v>497</v>
      </c>
      <c r="T118" s="132" t="s">
        <v>413</v>
      </c>
      <c r="U118" s="132" t="s">
        <v>498</v>
      </c>
      <c r="V118" s="132" t="s">
        <v>499</v>
      </c>
      <c r="W118" s="132" t="s">
        <v>182</v>
      </c>
      <c r="X118" s="132" t="s">
        <v>500</v>
      </c>
      <c r="Y118" s="132" t="s">
        <v>500</v>
      </c>
      <c r="Z118" s="132"/>
      <c r="AA118" s="132"/>
      <c r="AB118" s="132" t="s">
        <v>419</v>
      </c>
      <c r="AC118" s="132" t="s">
        <v>499</v>
      </c>
      <c r="AD118" s="132" t="s">
        <v>504</v>
      </c>
      <c r="AE118" s="132" t="s">
        <v>243</v>
      </c>
      <c r="AF118" s="132" t="s">
        <v>271</v>
      </c>
      <c r="AG118" s="132" t="s">
        <v>243</v>
      </c>
      <c r="AH118" s="132" t="s">
        <v>243</v>
      </c>
      <c r="AI118" s="132" t="s">
        <v>243</v>
      </c>
      <c r="AJ118" s="132" t="s">
        <v>243</v>
      </c>
      <c r="AK118" s="132" t="s">
        <v>243</v>
      </c>
      <c r="AL118" s="132" t="s">
        <v>243</v>
      </c>
      <c r="AM118" s="132" t="s">
        <v>182</v>
      </c>
      <c r="AN118" s="132" t="s">
        <v>243</v>
      </c>
      <c r="AO118" s="132" t="s">
        <v>243</v>
      </c>
      <c r="AP118" s="132" t="s">
        <v>245</v>
      </c>
      <c r="AQ118" s="132" t="s">
        <v>505</v>
      </c>
      <c r="AR118" s="132" t="s">
        <v>415</v>
      </c>
      <c r="AS118" s="132" t="s">
        <v>507</v>
      </c>
      <c r="AT118" s="132" t="s">
        <v>182</v>
      </c>
      <c r="AU118" s="132" t="s">
        <v>497</v>
      </c>
      <c r="AV118" s="132" t="s">
        <v>243</v>
      </c>
      <c r="AW118" s="132" t="s">
        <v>273</v>
      </c>
      <c r="AX118" s="132" t="s">
        <v>243</v>
      </c>
      <c r="AY118" s="132" t="s">
        <v>182</v>
      </c>
      <c r="AZ118" s="132" t="s">
        <v>243</v>
      </c>
      <c r="BA118" s="132" t="s">
        <v>282</v>
      </c>
      <c r="BB118" s="132" t="s">
        <v>283</v>
      </c>
      <c r="BC118" s="132" t="s">
        <v>283</v>
      </c>
      <c r="BD118" s="132" t="s">
        <v>508</v>
      </c>
      <c r="BE118" s="132" t="s">
        <v>509</v>
      </c>
      <c r="BF118" s="132" t="s">
        <v>509</v>
      </c>
      <c r="BG118" s="158"/>
    </row>
    <row r="119" spans="2:59" ht="14">
      <c r="B119" s="120" t="s">
        <v>242</v>
      </c>
      <c r="C119" s="132" t="s">
        <v>269</v>
      </c>
      <c r="D119" s="142" t="s">
        <v>462</v>
      </c>
      <c r="E119" s="132" t="s">
        <v>445</v>
      </c>
      <c r="F119" s="132" t="s">
        <v>184</v>
      </c>
      <c r="G119" s="132" t="s">
        <v>243</v>
      </c>
      <c r="H119" s="132" t="s">
        <v>243</v>
      </c>
      <c r="I119" s="132" t="s">
        <v>243</v>
      </c>
      <c r="J119" s="132" t="s">
        <v>506</v>
      </c>
      <c r="K119" s="132" t="s">
        <v>446</v>
      </c>
      <c r="L119" s="116"/>
      <c r="M119" s="132" t="s">
        <v>155</v>
      </c>
      <c r="N119" s="132" t="s">
        <v>155</v>
      </c>
      <c r="O119" s="132" t="s">
        <v>416</v>
      </c>
      <c r="P119" s="132" t="s">
        <v>155</v>
      </c>
      <c r="Q119" s="132" t="s">
        <v>417</v>
      </c>
      <c r="R119" s="132" t="s">
        <v>182</v>
      </c>
      <c r="S119" s="132" t="s">
        <v>497</v>
      </c>
      <c r="T119" s="132" t="s">
        <v>413</v>
      </c>
      <c r="U119" s="132" t="s">
        <v>498</v>
      </c>
      <c r="V119" s="132" t="s">
        <v>499</v>
      </c>
      <c r="W119" s="132" t="s">
        <v>182</v>
      </c>
      <c r="X119" s="132" t="s">
        <v>500</v>
      </c>
      <c r="Y119" s="132" t="s">
        <v>500</v>
      </c>
      <c r="Z119" s="132"/>
      <c r="AA119" s="132"/>
      <c r="AB119" s="132" t="s">
        <v>419</v>
      </c>
      <c r="AC119" s="132" t="s">
        <v>499</v>
      </c>
      <c r="AD119" s="132" t="s">
        <v>504</v>
      </c>
      <c r="AE119" s="132" t="s">
        <v>243</v>
      </c>
      <c r="AF119" s="132" t="s">
        <v>271</v>
      </c>
      <c r="AG119" s="132" t="s">
        <v>243</v>
      </c>
      <c r="AH119" s="132" t="s">
        <v>243</v>
      </c>
      <c r="AI119" s="132" t="s">
        <v>243</v>
      </c>
      <c r="AJ119" s="132" t="s">
        <v>243</v>
      </c>
      <c r="AK119" s="132" t="s">
        <v>243</v>
      </c>
      <c r="AL119" s="132" t="s">
        <v>243</v>
      </c>
      <c r="AM119" s="132" t="s">
        <v>182</v>
      </c>
      <c r="AN119" s="132" t="s">
        <v>243</v>
      </c>
      <c r="AO119" s="132" t="s">
        <v>243</v>
      </c>
      <c r="AP119" s="132" t="s">
        <v>245</v>
      </c>
      <c r="AQ119" s="132" t="s">
        <v>505</v>
      </c>
      <c r="AR119" s="132" t="s">
        <v>415</v>
      </c>
      <c r="AS119" s="132" t="s">
        <v>507</v>
      </c>
      <c r="AT119" s="132" t="s">
        <v>182</v>
      </c>
      <c r="AU119" s="132" t="s">
        <v>497</v>
      </c>
      <c r="AV119" s="132" t="s">
        <v>243</v>
      </c>
      <c r="AW119" s="132" t="s">
        <v>273</v>
      </c>
      <c r="AX119" s="132" t="s">
        <v>243</v>
      </c>
      <c r="AY119" s="132" t="s">
        <v>182</v>
      </c>
      <c r="AZ119" s="132" t="s">
        <v>243</v>
      </c>
      <c r="BA119" s="132" t="s">
        <v>282</v>
      </c>
      <c r="BB119" s="132" t="s">
        <v>283</v>
      </c>
      <c r="BC119" s="132" t="s">
        <v>283</v>
      </c>
      <c r="BD119" s="132" t="s">
        <v>508</v>
      </c>
      <c r="BE119" s="132" t="s">
        <v>509</v>
      </c>
      <c r="BF119" s="132" t="s">
        <v>509</v>
      </c>
      <c r="BG119" s="158"/>
    </row>
    <row r="120" spans="2:59" ht="14">
      <c r="B120" s="122" t="s">
        <v>244</v>
      </c>
      <c r="C120" s="132" t="s">
        <v>269</v>
      </c>
      <c r="D120" s="132" t="s">
        <v>445</v>
      </c>
      <c r="E120" s="132" t="s">
        <v>445</v>
      </c>
      <c r="F120" s="132" t="s">
        <v>184</v>
      </c>
      <c r="G120" s="132" t="s">
        <v>243</v>
      </c>
      <c r="H120" s="132" t="s">
        <v>243</v>
      </c>
      <c r="I120" s="132">
        <v>0</v>
      </c>
      <c r="J120" s="132">
        <v>30</v>
      </c>
      <c r="K120" s="132" t="s">
        <v>446</v>
      </c>
      <c r="L120" s="132"/>
      <c r="M120" s="132" t="s">
        <v>155</v>
      </c>
      <c r="N120" s="132" t="s">
        <v>155</v>
      </c>
      <c r="O120" s="132" t="s">
        <v>416</v>
      </c>
      <c r="P120" s="132" t="s">
        <v>155</v>
      </c>
      <c r="Q120" s="132" t="s">
        <v>417</v>
      </c>
      <c r="R120" s="132" t="s">
        <v>182</v>
      </c>
      <c r="S120" s="132" t="s">
        <v>243</v>
      </c>
      <c r="T120" s="132" t="s">
        <v>413</v>
      </c>
      <c r="U120" s="132" t="s">
        <v>414</v>
      </c>
      <c r="V120" s="132" t="s">
        <v>418</v>
      </c>
      <c r="W120" s="132" t="s">
        <v>182</v>
      </c>
      <c r="X120" s="132" t="s">
        <v>243</v>
      </c>
      <c r="Y120" s="132" t="s">
        <v>243</v>
      </c>
      <c r="Z120" s="132"/>
      <c r="AA120" s="132"/>
      <c r="AB120" s="132" t="s">
        <v>419</v>
      </c>
      <c r="AC120" s="132">
        <v>5000</v>
      </c>
      <c r="AD120" s="132">
        <v>99999999</v>
      </c>
      <c r="AE120" s="132" t="s">
        <v>243</v>
      </c>
      <c r="AF120" s="132" t="s">
        <v>271</v>
      </c>
      <c r="AG120" s="132" t="s">
        <v>243</v>
      </c>
      <c r="AH120" s="132" t="s">
        <v>243</v>
      </c>
      <c r="AI120" s="132">
        <v>0</v>
      </c>
      <c r="AJ120" s="132">
        <v>0</v>
      </c>
      <c r="AK120" s="132">
        <v>0</v>
      </c>
      <c r="AL120" s="132">
        <v>0</v>
      </c>
      <c r="AM120" s="132" t="s">
        <v>182</v>
      </c>
      <c r="AN120" s="132">
        <v>0</v>
      </c>
      <c r="AO120" s="132" t="s">
        <v>243</v>
      </c>
      <c r="AP120" s="132">
        <v>1</v>
      </c>
      <c r="AQ120" s="132">
        <v>1111</v>
      </c>
      <c r="AR120" s="132" t="s">
        <v>415</v>
      </c>
      <c r="AS120" s="132">
        <v>10</v>
      </c>
      <c r="AT120" s="132">
        <v>1</v>
      </c>
      <c r="AU120" s="132">
        <v>0</v>
      </c>
      <c r="AV120" s="132">
        <v>0</v>
      </c>
      <c r="AW120" s="132">
        <v>0</v>
      </c>
      <c r="AX120" s="132">
        <v>0</v>
      </c>
      <c r="AY120" s="132">
        <v>1</v>
      </c>
      <c r="AZ120" s="132">
        <v>0</v>
      </c>
      <c r="BA120" s="132">
        <v>40640.750486111108</v>
      </c>
      <c r="BB120" s="132">
        <v>470195</v>
      </c>
      <c r="BC120" s="132">
        <v>470195</v>
      </c>
      <c r="BD120" s="132">
        <v>45392.67769675926</v>
      </c>
      <c r="BE120" s="132">
        <v>363363</v>
      </c>
      <c r="BF120" s="132">
        <v>363363</v>
      </c>
      <c r="BG120" s="158"/>
    </row>
    <row r="121" spans="2:59">
      <c r="B121" s="163"/>
      <c r="BG121" s="158"/>
    </row>
    <row r="122" spans="2:59" ht="14.5" thickBot="1">
      <c r="B122" s="163"/>
      <c r="C122" s="164" t="s">
        <v>152</v>
      </c>
      <c r="BG122" s="158"/>
    </row>
    <row r="123" spans="2:59" ht="14.5" thickBot="1">
      <c r="B123" s="163"/>
      <c r="C123" s="233" t="s">
        <v>422</v>
      </c>
      <c r="D123" s="233" t="s">
        <v>423</v>
      </c>
      <c r="E123" s="233" t="s">
        <v>158</v>
      </c>
      <c r="F123" s="233" t="s">
        <v>424</v>
      </c>
      <c r="G123" s="233" t="s">
        <v>425</v>
      </c>
      <c r="H123" s="233" t="s">
        <v>426</v>
      </c>
      <c r="I123" s="233" t="s">
        <v>427</v>
      </c>
      <c r="J123" s="233" t="s">
        <v>428</v>
      </c>
      <c r="K123" s="233" t="s">
        <v>429</v>
      </c>
      <c r="L123" s="233" t="s">
        <v>430</v>
      </c>
      <c r="M123" s="233" t="s">
        <v>431</v>
      </c>
      <c r="BG123" s="158"/>
    </row>
    <row r="124" spans="2:59" ht="14.5" thickBot="1">
      <c r="B124" s="163"/>
      <c r="C124" s="233">
        <v>-2</v>
      </c>
      <c r="D124" s="233" t="s">
        <v>155</v>
      </c>
      <c r="E124" s="233" t="s">
        <v>575</v>
      </c>
      <c r="F124" s="233" t="s">
        <v>645</v>
      </c>
      <c r="G124" s="233" t="s">
        <v>137</v>
      </c>
      <c r="H124" s="233" t="s">
        <v>155</v>
      </c>
      <c r="I124" s="233" t="s">
        <v>155</v>
      </c>
      <c r="J124" s="233" t="s">
        <v>155</v>
      </c>
      <c r="K124" s="233" t="s">
        <v>155</v>
      </c>
      <c r="L124" s="233">
        <v>0</v>
      </c>
      <c r="M124" s="233" t="s">
        <v>155</v>
      </c>
      <c r="BG124" s="158"/>
    </row>
    <row r="125" spans="2:59" ht="13.5" thickBot="1">
      <c r="B125" s="163"/>
      <c r="BG125" s="158"/>
    </row>
    <row r="126" spans="2:59" ht="14" thickBot="1">
      <c r="B126" s="104" t="s">
        <v>452</v>
      </c>
      <c r="C126" s="105" t="s">
        <v>451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58"/>
    </row>
    <row r="127" spans="2:59" ht="14" thickBot="1">
      <c r="B127" s="140" t="s">
        <v>620</v>
      </c>
      <c r="C127" s="105" t="s">
        <v>447</v>
      </c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58"/>
    </row>
    <row r="128" spans="2:59">
      <c r="B128" s="163"/>
      <c r="BG128" s="158"/>
    </row>
    <row r="129" spans="2:59" ht="13.5">
      <c r="B129" s="163"/>
      <c r="C129" s="161" t="s">
        <v>228</v>
      </c>
      <c r="BG129" s="158"/>
    </row>
    <row r="130" spans="2:59" ht="13.5">
      <c r="B130" s="163"/>
      <c r="C130" s="161" t="s">
        <v>453</v>
      </c>
      <c r="BG130" s="158"/>
    </row>
    <row r="131" spans="2:59">
      <c r="B131" s="163"/>
      <c r="BG131" s="158"/>
    </row>
    <row r="132" spans="2:59" ht="15">
      <c r="B132" s="163"/>
      <c r="C132" s="257" t="s">
        <v>268</v>
      </c>
      <c r="D132" s="258"/>
      <c r="E132" s="258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60"/>
      <c r="AA132" s="66"/>
      <c r="AB132" s="66"/>
      <c r="AC132" s="66"/>
      <c r="AD132" s="66"/>
      <c r="BG132" s="158"/>
    </row>
    <row r="133" spans="2:59" ht="15">
      <c r="B133" s="163"/>
      <c r="C133" s="127"/>
      <c r="D133" s="127"/>
      <c r="E133" s="127"/>
      <c r="F133" s="124" t="s">
        <v>168</v>
      </c>
      <c r="G133" s="124" t="s">
        <v>168</v>
      </c>
      <c r="H133" s="124"/>
      <c r="I133" s="124" t="s">
        <v>168</v>
      </c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BG133" s="158"/>
    </row>
    <row r="134" spans="2:59">
      <c r="B134" s="163"/>
      <c r="C134" s="117" t="s">
        <v>171</v>
      </c>
      <c r="D134" s="117" t="s">
        <v>172</v>
      </c>
      <c r="E134" s="117" t="s">
        <v>173</v>
      </c>
      <c r="F134" s="119" t="s">
        <v>91</v>
      </c>
      <c r="G134" s="119" t="s">
        <v>627</v>
      </c>
      <c r="H134" s="119" t="s">
        <v>289</v>
      </c>
      <c r="I134" s="119" t="s">
        <v>69</v>
      </c>
      <c r="J134" s="119" t="s">
        <v>290</v>
      </c>
      <c r="K134" s="119" t="s">
        <v>291</v>
      </c>
      <c r="L134" s="119" t="s">
        <v>292</v>
      </c>
      <c r="M134" s="119" t="s">
        <v>293</v>
      </c>
      <c r="N134" s="119" t="s">
        <v>294</v>
      </c>
      <c r="O134" s="119" t="s">
        <v>295</v>
      </c>
      <c r="P134" s="119" t="s">
        <v>296</v>
      </c>
      <c r="Q134" s="119" t="s">
        <v>297</v>
      </c>
      <c r="R134" s="119" t="s">
        <v>298</v>
      </c>
      <c r="S134" s="119" t="s">
        <v>299</v>
      </c>
      <c r="T134" s="119" t="s">
        <v>300</v>
      </c>
      <c r="U134" s="119" t="s">
        <v>301</v>
      </c>
      <c r="V134" s="119" t="s">
        <v>302</v>
      </c>
      <c r="W134" s="119" t="s">
        <v>303</v>
      </c>
      <c r="X134" s="119" t="s">
        <v>229</v>
      </c>
      <c r="Y134" s="119" t="s">
        <v>230</v>
      </c>
      <c r="Z134" s="119" t="s">
        <v>231</v>
      </c>
      <c r="AA134" s="119" t="s">
        <v>232</v>
      </c>
      <c r="AB134" s="119" t="s">
        <v>150</v>
      </c>
      <c r="AC134" s="119" t="s">
        <v>151</v>
      </c>
      <c r="AD134" s="119" t="s">
        <v>233</v>
      </c>
      <c r="BG134" s="158"/>
    </row>
    <row r="135" spans="2:59">
      <c r="B135" s="163"/>
      <c r="C135" s="117" t="s">
        <v>205</v>
      </c>
      <c r="D135" s="117" t="s">
        <v>214</v>
      </c>
      <c r="E135" s="117" t="s">
        <v>222</v>
      </c>
      <c r="F135" s="118" t="s">
        <v>250</v>
      </c>
      <c r="G135" s="118" t="s">
        <v>251</v>
      </c>
      <c r="H135" s="118" t="s">
        <v>252</v>
      </c>
      <c r="I135" s="118" t="s">
        <v>253</v>
      </c>
      <c r="J135" s="118" t="s">
        <v>254</v>
      </c>
      <c r="K135" s="118" t="s">
        <v>255</v>
      </c>
      <c r="L135" s="118" t="s">
        <v>256</v>
      </c>
      <c r="M135" s="118" t="s">
        <v>257</v>
      </c>
      <c r="N135" s="118" t="s">
        <v>258</v>
      </c>
      <c r="O135" s="118" t="s">
        <v>259</v>
      </c>
      <c r="P135" s="118" t="s">
        <v>260</v>
      </c>
      <c r="Q135" s="118" t="s">
        <v>261</v>
      </c>
      <c r="R135" s="118" t="s">
        <v>262</v>
      </c>
      <c r="S135" s="118" t="s">
        <v>263</v>
      </c>
      <c r="T135" s="118" t="s">
        <v>264</v>
      </c>
      <c r="U135" s="118" t="s">
        <v>265</v>
      </c>
      <c r="V135" s="118" t="s">
        <v>266</v>
      </c>
      <c r="W135" s="118" t="s">
        <v>267</v>
      </c>
      <c r="X135" s="118" t="s">
        <v>235</v>
      </c>
      <c r="Y135" s="118" t="s">
        <v>236</v>
      </c>
      <c r="Z135" s="118" t="s">
        <v>237</v>
      </c>
      <c r="AA135" s="118" t="s">
        <v>238</v>
      </c>
      <c r="AB135" s="118" t="s">
        <v>239</v>
      </c>
      <c r="AC135" s="118" t="s">
        <v>240</v>
      </c>
      <c r="AD135" s="118" t="s">
        <v>241</v>
      </c>
      <c r="BG135" s="158"/>
    </row>
    <row r="136" spans="2:59">
      <c r="B136" s="163"/>
      <c r="C136" s="117" t="s">
        <v>304</v>
      </c>
      <c r="D136" s="117" t="s">
        <v>305</v>
      </c>
      <c r="E136" s="117" t="s">
        <v>305</v>
      </c>
      <c r="F136" s="119" t="s">
        <v>306</v>
      </c>
      <c r="G136" s="119" t="s">
        <v>306</v>
      </c>
      <c r="H136" s="119" t="s">
        <v>306</v>
      </c>
      <c r="I136" s="119" t="s">
        <v>307</v>
      </c>
      <c r="J136" s="119" t="s">
        <v>308</v>
      </c>
      <c r="K136" s="119" t="s">
        <v>309</v>
      </c>
      <c r="L136" s="118" t="s">
        <v>310</v>
      </c>
      <c r="M136" s="119" t="s">
        <v>310</v>
      </c>
      <c r="N136" s="119" t="s">
        <v>311</v>
      </c>
      <c r="O136" s="119" t="s">
        <v>306</v>
      </c>
      <c r="P136" s="119" t="s">
        <v>312</v>
      </c>
      <c r="Q136" s="119" t="s">
        <v>313</v>
      </c>
      <c r="R136" s="119" t="s">
        <v>312</v>
      </c>
      <c r="S136" s="119" t="s">
        <v>314</v>
      </c>
      <c r="T136" s="118" t="s">
        <v>315</v>
      </c>
      <c r="U136" s="119" t="s">
        <v>315</v>
      </c>
      <c r="V136" s="119" t="s">
        <v>316</v>
      </c>
      <c r="W136" s="119" t="s">
        <v>306</v>
      </c>
      <c r="X136" s="119" t="s">
        <v>317</v>
      </c>
      <c r="Y136" s="119" t="s">
        <v>319</v>
      </c>
      <c r="Z136" s="119" t="s">
        <v>320</v>
      </c>
      <c r="AA136" s="119" t="s">
        <v>320</v>
      </c>
      <c r="AB136" s="118" t="s">
        <v>318</v>
      </c>
      <c r="AC136" s="119" t="s">
        <v>320</v>
      </c>
      <c r="AD136" s="119" t="s">
        <v>320</v>
      </c>
      <c r="BG136" s="158"/>
    </row>
    <row r="137" spans="2:59" ht="14">
      <c r="B137" s="120" t="s">
        <v>242</v>
      </c>
      <c r="C137" s="132" t="s">
        <v>269</v>
      </c>
      <c r="D137" s="142" t="s">
        <v>181</v>
      </c>
      <c r="E137" s="132" t="s">
        <v>444</v>
      </c>
      <c r="F137" s="132" t="s">
        <v>286</v>
      </c>
      <c r="G137" s="132" t="s">
        <v>271</v>
      </c>
      <c r="H137" s="132" t="s">
        <v>271</v>
      </c>
      <c r="I137" s="132" t="s">
        <v>182</v>
      </c>
      <c r="J137" s="132" t="s">
        <v>496</v>
      </c>
      <c r="K137" s="132" t="s">
        <v>497</v>
      </c>
      <c r="L137" s="132" t="s">
        <v>155</v>
      </c>
      <c r="M137" s="132" t="s">
        <v>273</v>
      </c>
      <c r="N137" s="132" t="s">
        <v>155</v>
      </c>
      <c r="O137" s="132" t="s">
        <v>182</v>
      </c>
      <c r="P137" s="132" t="s">
        <v>155</v>
      </c>
      <c r="Q137" s="132" t="s">
        <v>274</v>
      </c>
      <c r="R137" s="132" t="s">
        <v>275</v>
      </c>
      <c r="S137" s="132" t="s">
        <v>155</v>
      </c>
      <c r="T137" s="132" t="s">
        <v>155</v>
      </c>
      <c r="U137" s="132" t="s">
        <v>155</v>
      </c>
      <c r="V137" s="132" t="s">
        <v>155</v>
      </c>
      <c r="W137" s="132" t="s">
        <v>155</v>
      </c>
      <c r="X137" s="132" t="s">
        <v>243</v>
      </c>
      <c r="Y137" s="132" t="s">
        <v>276</v>
      </c>
      <c r="Z137" s="132" t="s">
        <v>277</v>
      </c>
      <c r="AA137" s="132" t="s">
        <v>277</v>
      </c>
      <c r="AB137" s="132" t="s">
        <v>278</v>
      </c>
      <c r="AC137" s="132" t="s">
        <v>287</v>
      </c>
      <c r="AD137" s="132" t="s">
        <v>287</v>
      </c>
      <c r="BG137" s="158"/>
    </row>
    <row r="138" spans="2:59" ht="14">
      <c r="B138" s="120" t="s">
        <v>242</v>
      </c>
      <c r="C138" s="132" t="s">
        <v>269</v>
      </c>
      <c r="D138" s="132" t="s">
        <v>444</v>
      </c>
      <c r="E138" s="142" t="s">
        <v>463</v>
      </c>
      <c r="F138" s="132" t="s">
        <v>286</v>
      </c>
      <c r="G138" s="132" t="s">
        <v>446</v>
      </c>
      <c r="H138" s="132"/>
      <c r="I138" s="132" t="s">
        <v>183</v>
      </c>
      <c r="J138" s="132" t="s">
        <v>496</v>
      </c>
      <c r="K138" s="132" t="s">
        <v>497</v>
      </c>
      <c r="L138" s="132" t="s">
        <v>155</v>
      </c>
      <c r="M138" s="132" t="s">
        <v>273</v>
      </c>
      <c r="N138" s="132" t="s">
        <v>155</v>
      </c>
      <c r="O138" s="132" t="s">
        <v>182</v>
      </c>
      <c r="P138" s="132" t="s">
        <v>155</v>
      </c>
      <c r="Q138" s="132" t="s">
        <v>274</v>
      </c>
      <c r="R138" s="132" t="s">
        <v>275</v>
      </c>
      <c r="S138" s="132" t="s">
        <v>155</v>
      </c>
      <c r="T138" s="132" t="s">
        <v>155</v>
      </c>
      <c r="U138" s="132" t="s">
        <v>155</v>
      </c>
      <c r="V138" s="132" t="s">
        <v>155</v>
      </c>
      <c r="W138" s="132" t="s">
        <v>155</v>
      </c>
      <c r="X138" s="132" t="s">
        <v>243</v>
      </c>
      <c r="Y138" s="132" t="s">
        <v>276</v>
      </c>
      <c r="Z138" s="132" t="s">
        <v>277</v>
      </c>
      <c r="AA138" s="132" t="s">
        <v>277</v>
      </c>
      <c r="AB138" s="132" t="s">
        <v>278</v>
      </c>
      <c r="AC138" s="132" t="s">
        <v>287</v>
      </c>
      <c r="AD138" s="132" t="s">
        <v>287</v>
      </c>
      <c r="BG138" s="158"/>
    </row>
    <row r="139" spans="2:59" ht="14">
      <c r="B139" s="120" t="s">
        <v>242</v>
      </c>
      <c r="C139" s="132" t="s">
        <v>269</v>
      </c>
      <c r="D139" s="132" t="s">
        <v>444</v>
      </c>
      <c r="E139" s="142" t="s">
        <v>181</v>
      </c>
      <c r="F139" s="132" t="s">
        <v>286</v>
      </c>
      <c r="G139" s="132" t="s">
        <v>271</v>
      </c>
      <c r="H139" s="132" t="s">
        <v>271</v>
      </c>
      <c r="I139" s="132" t="s">
        <v>182</v>
      </c>
      <c r="J139" s="132" t="s">
        <v>496</v>
      </c>
      <c r="K139" s="132" t="s">
        <v>497</v>
      </c>
      <c r="L139" s="132" t="s">
        <v>155</v>
      </c>
      <c r="M139" s="132" t="s">
        <v>273</v>
      </c>
      <c r="N139" s="132" t="s">
        <v>155</v>
      </c>
      <c r="O139" s="132" t="s">
        <v>182</v>
      </c>
      <c r="P139" s="132" t="s">
        <v>155</v>
      </c>
      <c r="Q139" s="132" t="s">
        <v>274</v>
      </c>
      <c r="R139" s="132" t="s">
        <v>275</v>
      </c>
      <c r="S139" s="132" t="s">
        <v>155</v>
      </c>
      <c r="T139" s="132" t="s">
        <v>155</v>
      </c>
      <c r="U139" s="132" t="s">
        <v>155</v>
      </c>
      <c r="V139" s="132" t="s">
        <v>155</v>
      </c>
      <c r="W139" s="132" t="s">
        <v>155</v>
      </c>
      <c r="X139" s="132" t="s">
        <v>243</v>
      </c>
      <c r="Y139" s="132" t="s">
        <v>276</v>
      </c>
      <c r="Z139" s="132" t="s">
        <v>277</v>
      </c>
      <c r="AA139" s="132" t="s">
        <v>277</v>
      </c>
      <c r="AB139" s="132" t="s">
        <v>278</v>
      </c>
      <c r="AC139" s="132" t="s">
        <v>287</v>
      </c>
      <c r="AD139" s="132" t="s">
        <v>287</v>
      </c>
      <c r="BG139" s="158"/>
    </row>
    <row r="140" spans="2:59" ht="14">
      <c r="B140" s="122" t="s">
        <v>244</v>
      </c>
      <c r="C140" s="121" t="s">
        <v>515</v>
      </c>
      <c r="D140" s="121" t="s">
        <v>444</v>
      </c>
      <c r="E140" s="121" t="s">
        <v>444</v>
      </c>
      <c r="F140" s="121" t="s">
        <v>286</v>
      </c>
      <c r="G140" s="121" t="s">
        <v>271</v>
      </c>
      <c r="H140" s="121" t="s">
        <v>271</v>
      </c>
      <c r="I140" s="218" t="s">
        <v>182</v>
      </c>
      <c r="J140" s="121" t="s">
        <v>272</v>
      </c>
      <c r="K140" s="121" t="s">
        <v>243</v>
      </c>
      <c r="L140" s="121" t="s">
        <v>155</v>
      </c>
      <c r="M140" s="121" t="s">
        <v>273</v>
      </c>
      <c r="N140" s="121" t="s">
        <v>155</v>
      </c>
      <c r="O140" s="121" t="s">
        <v>182</v>
      </c>
      <c r="P140" s="121" t="s">
        <v>155</v>
      </c>
      <c r="Q140" s="121" t="s">
        <v>274</v>
      </c>
      <c r="R140" s="121" t="s">
        <v>275</v>
      </c>
      <c r="S140" s="121" t="s">
        <v>155</v>
      </c>
      <c r="T140" s="121" t="s">
        <v>155</v>
      </c>
      <c r="U140" s="121" t="s">
        <v>155</v>
      </c>
      <c r="V140" s="121" t="s">
        <v>155</v>
      </c>
      <c r="W140" s="121" t="s">
        <v>155</v>
      </c>
      <c r="X140" s="121" t="s">
        <v>243</v>
      </c>
      <c r="Y140" s="121" t="s">
        <v>276</v>
      </c>
      <c r="Z140" s="121" t="s">
        <v>277</v>
      </c>
      <c r="AA140" s="121" t="s">
        <v>277</v>
      </c>
      <c r="AB140" s="121" t="s">
        <v>278</v>
      </c>
      <c r="AC140" s="121" t="s">
        <v>287</v>
      </c>
      <c r="AD140" s="121" t="s">
        <v>287</v>
      </c>
      <c r="BG140" s="158"/>
    </row>
    <row r="141" spans="2:59">
      <c r="B141" s="163"/>
      <c r="BG141" s="158"/>
    </row>
    <row r="142" spans="2:59" ht="15">
      <c r="B142" s="163"/>
      <c r="C142" s="257" t="s">
        <v>321</v>
      </c>
      <c r="D142" s="258"/>
      <c r="E142" s="258"/>
      <c r="F142" s="25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  <c r="U142" s="90"/>
      <c r="V142" s="90"/>
      <c r="W142" s="90"/>
      <c r="X142" s="90"/>
      <c r="Y142" s="90"/>
      <c r="Z142" s="90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158"/>
    </row>
    <row r="143" spans="2:59" ht="15">
      <c r="B143" s="163"/>
      <c r="C143" s="127"/>
      <c r="D143" s="127"/>
      <c r="E143" s="127"/>
      <c r="F143" s="124" t="s">
        <v>168</v>
      </c>
      <c r="G143" s="124" t="s">
        <v>168</v>
      </c>
      <c r="H143" s="129" t="s">
        <v>168</v>
      </c>
      <c r="I143" s="124" t="s">
        <v>168</v>
      </c>
      <c r="J143" s="124" t="s">
        <v>168</v>
      </c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58"/>
    </row>
    <row r="144" spans="2:59" ht="25">
      <c r="B144" s="163"/>
      <c r="C144" s="117" t="s">
        <v>365</v>
      </c>
      <c r="D144" s="117" t="s">
        <v>420</v>
      </c>
      <c r="E144" s="117" t="s">
        <v>421</v>
      </c>
      <c r="F144" s="119" t="s">
        <v>96</v>
      </c>
      <c r="G144" s="119" t="s">
        <v>99</v>
      </c>
      <c r="H144" s="119" t="s">
        <v>130</v>
      </c>
      <c r="I144" s="119" t="s">
        <v>391</v>
      </c>
      <c r="J144" s="119" t="s">
        <v>127</v>
      </c>
      <c r="K144" s="119" t="s">
        <v>67</v>
      </c>
      <c r="L144" s="119" t="s">
        <v>628</v>
      </c>
      <c r="M144" s="119" t="s">
        <v>366</v>
      </c>
      <c r="N144" s="119" t="s">
        <v>367</v>
      </c>
      <c r="O144" s="119" t="s">
        <v>368</v>
      </c>
      <c r="P144" s="119" t="s">
        <v>369</v>
      </c>
      <c r="Q144" s="119" t="s">
        <v>370</v>
      </c>
      <c r="R144" s="119" t="s">
        <v>371</v>
      </c>
      <c r="S144" s="119" t="s">
        <v>372</v>
      </c>
      <c r="T144" s="119" t="s">
        <v>373</v>
      </c>
      <c r="U144" s="119" t="s">
        <v>374</v>
      </c>
      <c r="V144" s="119" t="s">
        <v>375</v>
      </c>
      <c r="W144" s="119" t="s">
        <v>376</v>
      </c>
      <c r="X144" s="119" t="s">
        <v>377</v>
      </c>
      <c r="Y144" s="119" t="s">
        <v>378</v>
      </c>
      <c r="Z144" s="119" t="s">
        <v>379</v>
      </c>
      <c r="AA144" s="119" t="s">
        <v>380</v>
      </c>
      <c r="AB144" s="119" t="s">
        <v>381</v>
      </c>
      <c r="AC144" s="119" t="s">
        <v>382</v>
      </c>
      <c r="AD144" s="119" t="s">
        <v>383</v>
      </c>
      <c r="AE144" s="119" t="s">
        <v>384</v>
      </c>
      <c r="AF144" s="119" t="s">
        <v>385</v>
      </c>
      <c r="AG144" s="119" t="s">
        <v>386</v>
      </c>
      <c r="AH144" s="119" t="s">
        <v>387</v>
      </c>
      <c r="AI144" s="119" t="s">
        <v>388</v>
      </c>
      <c r="AJ144" s="119" t="s">
        <v>390</v>
      </c>
      <c r="AK144" s="119" t="s">
        <v>389</v>
      </c>
      <c r="AL144" s="119" t="s">
        <v>398</v>
      </c>
      <c r="AM144" s="119" t="s">
        <v>392</v>
      </c>
      <c r="AN144" s="119" t="s">
        <v>393</v>
      </c>
      <c r="AO144" s="119" t="s">
        <v>394</v>
      </c>
      <c r="AP144" s="119" t="s">
        <v>395</v>
      </c>
      <c r="AQ144" s="119" t="s">
        <v>399</v>
      </c>
      <c r="AR144" s="119" t="s">
        <v>396</v>
      </c>
      <c r="AS144" s="119" t="s">
        <v>397</v>
      </c>
      <c r="AT144" s="119" t="s">
        <v>400</v>
      </c>
      <c r="AU144" s="119" t="s">
        <v>401</v>
      </c>
      <c r="AV144" s="119" t="s">
        <v>402</v>
      </c>
      <c r="AW144" s="119" t="s">
        <v>403</v>
      </c>
      <c r="AX144" s="119" t="s">
        <v>404</v>
      </c>
      <c r="AY144" s="119" t="s">
        <v>405</v>
      </c>
      <c r="AZ144" s="119" t="s">
        <v>229</v>
      </c>
      <c r="BA144" s="119" t="s">
        <v>230</v>
      </c>
      <c r="BB144" s="119" t="s">
        <v>231</v>
      </c>
      <c r="BC144" s="119" t="s">
        <v>232</v>
      </c>
      <c r="BD144" s="119" t="s">
        <v>150</v>
      </c>
      <c r="BE144" s="119" t="s">
        <v>151</v>
      </c>
      <c r="BF144" s="119" t="s">
        <v>233</v>
      </c>
      <c r="BG144" s="158"/>
    </row>
    <row r="145" spans="2:59">
      <c r="B145" s="163"/>
      <c r="C145" s="117" t="s">
        <v>205</v>
      </c>
      <c r="D145" s="117" t="s">
        <v>214</v>
      </c>
      <c r="E145" s="117" t="s">
        <v>222</v>
      </c>
      <c r="F145" s="118" t="s">
        <v>322</v>
      </c>
      <c r="G145" s="118" t="s">
        <v>323</v>
      </c>
      <c r="H145" s="118" t="s">
        <v>324</v>
      </c>
      <c r="I145" s="118" t="s">
        <v>351</v>
      </c>
      <c r="J145" s="118" t="s">
        <v>357</v>
      </c>
      <c r="K145" s="118" t="s">
        <v>251</v>
      </c>
      <c r="L145" s="118" t="s">
        <v>252</v>
      </c>
      <c r="M145" s="118" t="s">
        <v>325</v>
      </c>
      <c r="N145" s="118" t="s">
        <v>326</v>
      </c>
      <c r="O145" s="118" t="s">
        <v>327</v>
      </c>
      <c r="P145" s="118" t="s">
        <v>328</v>
      </c>
      <c r="Q145" s="118" t="s">
        <v>329</v>
      </c>
      <c r="R145" s="118" t="s">
        <v>330</v>
      </c>
      <c r="S145" s="118" t="s">
        <v>331</v>
      </c>
      <c r="T145" s="118" t="s">
        <v>332</v>
      </c>
      <c r="U145" s="118" t="s">
        <v>333</v>
      </c>
      <c r="V145" s="118" t="s">
        <v>334</v>
      </c>
      <c r="W145" s="118" t="s">
        <v>335</v>
      </c>
      <c r="X145" s="118" t="s">
        <v>336</v>
      </c>
      <c r="Y145" s="118" t="s">
        <v>337</v>
      </c>
      <c r="Z145" s="118" t="s">
        <v>338</v>
      </c>
      <c r="AA145" s="118" t="s">
        <v>339</v>
      </c>
      <c r="AB145" s="118" t="s">
        <v>340</v>
      </c>
      <c r="AC145" s="118" t="s">
        <v>341</v>
      </c>
      <c r="AD145" s="118" t="s">
        <v>342</v>
      </c>
      <c r="AE145" s="118" t="s">
        <v>343</v>
      </c>
      <c r="AF145" s="118" t="s">
        <v>344</v>
      </c>
      <c r="AG145" s="118" t="s">
        <v>345</v>
      </c>
      <c r="AH145" s="118" t="s">
        <v>346</v>
      </c>
      <c r="AI145" s="118" t="s">
        <v>347</v>
      </c>
      <c r="AJ145" s="118" t="s">
        <v>348</v>
      </c>
      <c r="AK145" s="118" t="s">
        <v>349</v>
      </c>
      <c r="AL145" s="118" t="s">
        <v>350</v>
      </c>
      <c r="AM145" s="118" t="s">
        <v>352</v>
      </c>
      <c r="AN145" s="118" t="s">
        <v>353</v>
      </c>
      <c r="AO145" s="118" t="s">
        <v>354</v>
      </c>
      <c r="AP145" s="118" t="s">
        <v>234</v>
      </c>
      <c r="AQ145" s="118" t="s">
        <v>355</v>
      </c>
      <c r="AR145" s="118" t="s">
        <v>356</v>
      </c>
      <c r="AS145" s="118" t="s">
        <v>358</v>
      </c>
      <c r="AT145" s="118" t="s">
        <v>359</v>
      </c>
      <c r="AU145" s="118" t="s">
        <v>360</v>
      </c>
      <c r="AV145" s="118" t="s">
        <v>361</v>
      </c>
      <c r="AW145" s="118" t="s">
        <v>362</v>
      </c>
      <c r="AX145" s="118" t="s">
        <v>363</v>
      </c>
      <c r="AY145" s="118" t="s">
        <v>364</v>
      </c>
      <c r="AZ145" s="118" t="s">
        <v>235</v>
      </c>
      <c r="BA145" s="118" t="s">
        <v>236</v>
      </c>
      <c r="BB145" s="118" t="s">
        <v>237</v>
      </c>
      <c r="BC145" s="118" t="s">
        <v>238</v>
      </c>
      <c r="BD145" s="118" t="s">
        <v>239</v>
      </c>
      <c r="BE145" s="118" t="s">
        <v>240</v>
      </c>
      <c r="BF145" s="118" t="s">
        <v>241</v>
      </c>
      <c r="BG145" s="158"/>
    </row>
    <row r="146" spans="2:59">
      <c r="B146" s="163"/>
      <c r="C146" s="117" t="s">
        <v>304</v>
      </c>
      <c r="D146" s="117" t="s">
        <v>406</v>
      </c>
      <c r="E146" s="117" t="s">
        <v>305</v>
      </c>
      <c r="F146" s="131" t="s">
        <v>306</v>
      </c>
      <c r="G146" s="131" t="s">
        <v>306</v>
      </c>
      <c r="H146" s="131" t="s">
        <v>306</v>
      </c>
      <c r="I146" s="131" t="s">
        <v>306</v>
      </c>
      <c r="J146" s="131" t="s">
        <v>308</v>
      </c>
      <c r="K146" s="131" t="s">
        <v>306</v>
      </c>
      <c r="L146" s="131" t="s">
        <v>306</v>
      </c>
      <c r="M146" s="131" t="s">
        <v>407</v>
      </c>
      <c r="N146" s="131" t="s">
        <v>407</v>
      </c>
      <c r="O146" s="131" t="s">
        <v>305</v>
      </c>
      <c r="P146" s="131" t="s">
        <v>408</v>
      </c>
      <c r="Q146" s="131" t="s">
        <v>306</v>
      </c>
      <c r="R146" s="131" t="s">
        <v>313</v>
      </c>
      <c r="S146" s="131" t="s">
        <v>308</v>
      </c>
      <c r="T146" s="131" t="s">
        <v>313</v>
      </c>
      <c r="U146" s="131" t="s">
        <v>308</v>
      </c>
      <c r="V146" s="131" t="s">
        <v>308</v>
      </c>
      <c r="W146" s="131" t="s">
        <v>306</v>
      </c>
      <c r="X146" s="131" t="s">
        <v>409</v>
      </c>
      <c r="Y146" s="131" t="s">
        <v>409</v>
      </c>
      <c r="Z146" s="131" t="s">
        <v>310</v>
      </c>
      <c r="AA146" s="131" t="s">
        <v>408</v>
      </c>
      <c r="AB146" s="131" t="s">
        <v>408</v>
      </c>
      <c r="AC146" s="131" t="s">
        <v>308</v>
      </c>
      <c r="AD146" s="131" t="s">
        <v>312</v>
      </c>
      <c r="AE146" s="131" t="s">
        <v>313</v>
      </c>
      <c r="AF146" s="131" t="s">
        <v>313</v>
      </c>
      <c r="AG146" s="131" t="s">
        <v>410</v>
      </c>
      <c r="AH146" s="131" t="s">
        <v>410</v>
      </c>
      <c r="AI146" s="131" t="s">
        <v>313</v>
      </c>
      <c r="AJ146" s="131" t="s">
        <v>313</v>
      </c>
      <c r="AK146" s="131" t="s">
        <v>410</v>
      </c>
      <c r="AL146" s="131" t="s">
        <v>410</v>
      </c>
      <c r="AM146" s="131" t="s">
        <v>306</v>
      </c>
      <c r="AN146" s="131" t="s">
        <v>306</v>
      </c>
      <c r="AO146" s="131" t="s">
        <v>306</v>
      </c>
      <c r="AP146" s="131" t="s">
        <v>310</v>
      </c>
      <c r="AQ146" s="131" t="s">
        <v>305</v>
      </c>
      <c r="AR146" s="131" t="s">
        <v>306</v>
      </c>
      <c r="AS146" s="131" t="s">
        <v>308</v>
      </c>
      <c r="AT146" s="131" t="s">
        <v>306</v>
      </c>
      <c r="AU146" s="131" t="s">
        <v>411</v>
      </c>
      <c r="AV146" s="131" t="s">
        <v>313</v>
      </c>
      <c r="AW146" s="131" t="s">
        <v>310</v>
      </c>
      <c r="AX146" s="131" t="s">
        <v>306</v>
      </c>
      <c r="AY146" s="131" t="s">
        <v>306</v>
      </c>
      <c r="AZ146" s="131" t="s">
        <v>317</v>
      </c>
      <c r="BA146" s="131" t="s">
        <v>318</v>
      </c>
      <c r="BB146" s="131" t="s">
        <v>320</v>
      </c>
      <c r="BC146" s="131" t="s">
        <v>320</v>
      </c>
      <c r="BD146" s="131" t="s">
        <v>318</v>
      </c>
      <c r="BE146" s="131" t="s">
        <v>320</v>
      </c>
      <c r="BF146" s="131" t="s">
        <v>320</v>
      </c>
      <c r="BG146" s="158"/>
    </row>
    <row r="147" spans="2:59" ht="14">
      <c r="B147" s="120" t="s">
        <v>242</v>
      </c>
      <c r="C147" s="132" t="s">
        <v>269</v>
      </c>
      <c r="D147" s="142" t="s">
        <v>181</v>
      </c>
      <c r="E147" s="132" t="s">
        <v>444</v>
      </c>
      <c r="F147" s="132" t="s">
        <v>184</v>
      </c>
      <c r="G147" s="132" t="s">
        <v>243</v>
      </c>
      <c r="H147" s="132" t="s">
        <v>243</v>
      </c>
      <c r="I147" s="132">
        <v>0</v>
      </c>
      <c r="J147" s="132">
        <v>30</v>
      </c>
      <c r="K147" s="132" t="s">
        <v>271</v>
      </c>
      <c r="L147" s="132" t="s">
        <v>271</v>
      </c>
      <c r="M147" s="132" t="s">
        <v>155</v>
      </c>
      <c r="N147" s="132" t="s">
        <v>155</v>
      </c>
      <c r="O147" s="132" t="s">
        <v>416</v>
      </c>
      <c r="P147" s="132" t="s">
        <v>155</v>
      </c>
      <c r="Q147" s="132" t="s">
        <v>417</v>
      </c>
      <c r="R147" s="132" t="s">
        <v>182</v>
      </c>
      <c r="S147" s="132" t="s">
        <v>497</v>
      </c>
      <c r="T147" s="132" t="s">
        <v>413</v>
      </c>
      <c r="U147" s="132" t="s">
        <v>498</v>
      </c>
      <c r="V147" s="132" t="s">
        <v>499</v>
      </c>
      <c r="W147" s="132" t="s">
        <v>182</v>
      </c>
      <c r="X147" s="132" t="s">
        <v>500</v>
      </c>
      <c r="Y147" s="132" t="s">
        <v>500</v>
      </c>
      <c r="Z147" s="132"/>
      <c r="AA147" s="132"/>
      <c r="AB147" s="132" t="s">
        <v>419</v>
      </c>
      <c r="AC147" s="132">
        <v>5000</v>
      </c>
      <c r="AD147" s="132">
        <v>99999999</v>
      </c>
      <c r="AE147" s="132">
        <v>0</v>
      </c>
      <c r="AF147" s="132">
        <v>2</v>
      </c>
      <c r="AG147" s="132">
        <v>0</v>
      </c>
      <c r="AH147" s="132">
        <v>0</v>
      </c>
      <c r="AI147" s="132">
        <v>0</v>
      </c>
      <c r="AJ147" s="132">
        <v>0</v>
      </c>
      <c r="AK147" s="132">
        <v>0</v>
      </c>
      <c r="AL147" s="132">
        <v>0</v>
      </c>
      <c r="AM147" s="132">
        <v>1</v>
      </c>
      <c r="AN147" s="132">
        <v>0</v>
      </c>
      <c r="AO147" s="132">
        <v>0</v>
      </c>
      <c r="AP147" s="132">
        <v>1</v>
      </c>
      <c r="AQ147" s="132">
        <v>1111</v>
      </c>
      <c r="AR147" s="132" t="s">
        <v>415</v>
      </c>
      <c r="AS147" s="132">
        <v>10</v>
      </c>
      <c r="AT147" s="132">
        <v>1</v>
      </c>
      <c r="AU147" s="132">
        <v>0</v>
      </c>
      <c r="AV147" s="132">
        <v>0</v>
      </c>
      <c r="AW147" s="132">
        <v>0</v>
      </c>
      <c r="AX147" s="132">
        <v>0</v>
      </c>
      <c r="AY147" s="132">
        <v>1</v>
      </c>
      <c r="AZ147" s="132">
        <v>0</v>
      </c>
      <c r="BA147" s="132">
        <v>40640.750486111108</v>
      </c>
      <c r="BB147" s="132">
        <v>470195</v>
      </c>
      <c r="BC147" s="132">
        <v>470195</v>
      </c>
      <c r="BD147" s="132">
        <v>45392.67769675926</v>
      </c>
      <c r="BE147" s="132">
        <v>363363</v>
      </c>
      <c r="BF147" s="132">
        <v>363363</v>
      </c>
      <c r="BG147" s="158"/>
    </row>
    <row r="148" spans="2:59" ht="14">
      <c r="B148" s="120" t="s">
        <v>242</v>
      </c>
      <c r="C148" s="132" t="s">
        <v>269</v>
      </c>
      <c r="D148" s="132" t="s">
        <v>444</v>
      </c>
      <c r="E148" s="142" t="s">
        <v>181</v>
      </c>
      <c r="F148" s="132" t="s">
        <v>184</v>
      </c>
      <c r="G148" s="132" t="s">
        <v>243</v>
      </c>
      <c r="H148" s="132" t="s">
        <v>243</v>
      </c>
      <c r="I148" s="132" t="s">
        <v>243</v>
      </c>
      <c r="J148" s="132" t="s">
        <v>506</v>
      </c>
      <c r="K148" s="132" t="s">
        <v>271</v>
      </c>
      <c r="L148" s="132" t="s">
        <v>271</v>
      </c>
      <c r="M148" s="132" t="s">
        <v>155</v>
      </c>
      <c r="N148" s="132" t="s">
        <v>155</v>
      </c>
      <c r="O148" s="132" t="s">
        <v>416</v>
      </c>
      <c r="P148" s="132" t="s">
        <v>155</v>
      </c>
      <c r="Q148" s="132" t="s">
        <v>417</v>
      </c>
      <c r="R148" s="132" t="s">
        <v>182</v>
      </c>
      <c r="S148" s="132" t="s">
        <v>497</v>
      </c>
      <c r="T148" s="132" t="s">
        <v>413</v>
      </c>
      <c r="U148" s="132" t="s">
        <v>498</v>
      </c>
      <c r="V148" s="132" t="s">
        <v>499</v>
      </c>
      <c r="W148" s="132" t="s">
        <v>182</v>
      </c>
      <c r="X148" s="132" t="s">
        <v>500</v>
      </c>
      <c r="Y148" s="132" t="s">
        <v>500</v>
      </c>
      <c r="Z148" s="132"/>
      <c r="AA148" s="132"/>
      <c r="AB148" s="132" t="s">
        <v>419</v>
      </c>
      <c r="AC148" s="132" t="s">
        <v>499</v>
      </c>
      <c r="AD148" s="132" t="s">
        <v>504</v>
      </c>
      <c r="AE148" s="132" t="s">
        <v>243</v>
      </c>
      <c r="AF148" s="132" t="s">
        <v>271</v>
      </c>
      <c r="AG148" s="132" t="s">
        <v>243</v>
      </c>
      <c r="AH148" s="132" t="s">
        <v>243</v>
      </c>
      <c r="AI148" s="132" t="s">
        <v>243</v>
      </c>
      <c r="AJ148" s="132" t="s">
        <v>243</v>
      </c>
      <c r="AK148" s="132" t="s">
        <v>243</v>
      </c>
      <c r="AL148" s="132" t="s">
        <v>243</v>
      </c>
      <c r="AM148" s="132" t="s">
        <v>182</v>
      </c>
      <c r="AN148" s="132" t="s">
        <v>243</v>
      </c>
      <c r="AO148" s="132" t="s">
        <v>243</v>
      </c>
      <c r="AP148" s="132" t="s">
        <v>245</v>
      </c>
      <c r="AQ148" s="132" t="s">
        <v>505</v>
      </c>
      <c r="AR148" s="132" t="s">
        <v>415</v>
      </c>
      <c r="AS148" s="132" t="s">
        <v>507</v>
      </c>
      <c r="AT148" s="132" t="s">
        <v>182</v>
      </c>
      <c r="AU148" s="132" t="s">
        <v>497</v>
      </c>
      <c r="AV148" s="132" t="s">
        <v>243</v>
      </c>
      <c r="AW148" s="132" t="s">
        <v>273</v>
      </c>
      <c r="AX148" s="132" t="s">
        <v>243</v>
      </c>
      <c r="AY148" s="132" t="s">
        <v>182</v>
      </c>
      <c r="AZ148" s="132" t="s">
        <v>243</v>
      </c>
      <c r="BA148" s="132" t="s">
        <v>282</v>
      </c>
      <c r="BB148" s="132" t="s">
        <v>283</v>
      </c>
      <c r="BC148" s="132" t="s">
        <v>283</v>
      </c>
      <c r="BD148" s="132" t="s">
        <v>508</v>
      </c>
      <c r="BE148" s="132" t="s">
        <v>509</v>
      </c>
      <c r="BF148" s="132" t="s">
        <v>509</v>
      </c>
      <c r="BG148" s="158"/>
    </row>
    <row r="149" spans="2:59" ht="14">
      <c r="B149" s="120" t="s">
        <v>242</v>
      </c>
      <c r="C149" s="132" t="s">
        <v>269</v>
      </c>
      <c r="D149" s="132" t="s">
        <v>444</v>
      </c>
      <c r="E149" s="142" t="s">
        <v>463</v>
      </c>
      <c r="F149" s="132" t="s">
        <v>184</v>
      </c>
      <c r="G149" s="132" t="s">
        <v>243</v>
      </c>
      <c r="H149" s="132" t="s">
        <v>243</v>
      </c>
      <c r="I149" s="132" t="s">
        <v>243</v>
      </c>
      <c r="J149" s="132" t="s">
        <v>506</v>
      </c>
      <c r="K149" s="132" t="s">
        <v>446</v>
      </c>
      <c r="L149" s="132"/>
      <c r="M149" s="132" t="s">
        <v>155</v>
      </c>
      <c r="N149" s="132" t="s">
        <v>155</v>
      </c>
      <c r="O149" s="132" t="s">
        <v>416</v>
      </c>
      <c r="P149" s="132" t="s">
        <v>155</v>
      </c>
      <c r="Q149" s="132" t="s">
        <v>417</v>
      </c>
      <c r="R149" s="132" t="s">
        <v>182</v>
      </c>
      <c r="S149" s="132" t="s">
        <v>497</v>
      </c>
      <c r="T149" s="132" t="s">
        <v>413</v>
      </c>
      <c r="U149" s="132" t="s">
        <v>498</v>
      </c>
      <c r="V149" s="132" t="s">
        <v>499</v>
      </c>
      <c r="W149" s="132" t="s">
        <v>182</v>
      </c>
      <c r="X149" s="132" t="s">
        <v>500</v>
      </c>
      <c r="Y149" s="132" t="s">
        <v>500</v>
      </c>
      <c r="Z149" s="132"/>
      <c r="AA149" s="132"/>
      <c r="AB149" s="132" t="s">
        <v>419</v>
      </c>
      <c r="AC149" s="132" t="s">
        <v>499</v>
      </c>
      <c r="AD149" s="132" t="s">
        <v>504</v>
      </c>
      <c r="AE149" s="132" t="s">
        <v>243</v>
      </c>
      <c r="AF149" s="132" t="s">
        <v>271</v>
      </c>
      <c r="AG149" s="132" t="s">
        <v>243</v>
      </c>
      <c r="AH149" s="132" t="s">
        <v>243</v>
      </c>
      <c r="AI149" s="132" t="s">
        <v>243</v>
      </c>
      <c r="AJ149" s="132" t="s">
        <v>243</v>
      </c>
      <c r="AK149" s="132" t="s">
        <v>243</v>
      </c>
      <c r="AL149" s="132" t="s">
        <v>243</v>
      </c>
      <c r="AM149" s="132" t="s">
        <v>182</v>
      </c>
      <c r="AN149" s="132" t="s">
        <v>243</v>
      </c>
      <c r="AO149" s="132" t="s">
        <v>243</v>
      </c>
      <c r="AP149" s="132" t="s">
        <v>245</v>
      </c>
      <c r="AQ149" s="132" t="s">
        <v>505</v>
      </c>
      <c r="AR149" s="132" t="s">
        <v>415</v>
      </c>
      <c r="AS149" s="132" t="s">
        <v>507</v>
      </c>
      <c r="AT149" s="132" t="s">
        <v>182</v>
      </c>
      <c r="AU149" s="132" t="s">
        <v>497</v>
      </c>
      <c r="AV149" s="132" t="s">
        <v>243</v>
      </c>
      <c r="AW149" s="132" t="s">
        <v>273</v>
      </c>
      <c r="AX149" s="132" t="s">
        <v>243</v>
      </c>
      <c r="AY149" s="132" t="s">
        <v>182</v>
      </c>
      <c r="AZ149" s="132" t="s">
        <v>243</v>
      </c>
      <c r="BA149" s="132" t="s">
        <v>282</v>
      </c>
      <c r="BB149" s="132" t="s">
        <v>283</v>
      </c>
      <c r="BC149" s="132" t="s">
        <v>283</v>
      </c>
      <c r="BD149" s="132" t="s">
        <v>508</v>
      </c>
      <c r="BE149" s="132" t="s">
        <v>509</v>
      </c>
      <c r="BF149" s="132" t="s">
        <v>509</v>
      </c>
      <c r="BG149" s="158"/>
    </row>
    <row r="150" spans="2:59" ht="14">
      <c r="B150" s="122" t="s">
        <v>244</v>
      </c>
      <c r="C150" s="132" t="s">
        <v>269</v>
      </c>
      <c r="D150" s="132" t="s">
        <v>444</v>
      </c>
      <c r="E150" s="132" t="s">
        <v>444</v>
      </c>
      <c r="F150" s="132" t="s">
        <v>184</v>
      </c>
      <c r="G150" s="132" t="s">
        <v>243</v>
      </c>
      <c r="H150" s="132" t="s">
        <v>243</v>
      </c>
      <c r="I150" s="132">
        <v>0</v>
      </c>
      <c r="J150" s="132">
        <v>30</v>
      </c>
      <c r="K150" s="132" t="s">
        <v>271</v>
      </c>
      <c r="L150" s="132" t="s">
        <v>271</v>
      </c>
      <c r="M150" s="132" t="s">
        <v>155</v>
      </c>
      <c r="N150" s="132" t="s">
        <v>155</v>
      </c>
      <c r="O150" s="132" t="s">
        <v>416</v>
      </c>
      <c r="P150" s="132" t="s">
        <v>155</v>
      </c>
      <c r="Q150" s="132" t="s">
        <v>417</v>
      </c>
      <c r="R150" s="132" t="s">
        <v>182</v>
      </c>
      <c r="S150" s="132" t="s">
        <v>243</v>
      </c>
      <c r="T150" s="132" t="s">
        <v>413</v>
      </c>
      <c r="U150" s="132" t="s">
        <v>414</v>
      </c>
      <c r="V150" s="132" t="s">
        <v>418</v>
      </c>
      <c r="W150" s="132" t="s">
        <v>182</v>
      </c>
      <c r="X150" s="132" t="s">
        <v>243</v>
      </c>
      <c r="Y150" s="132" t="s">
        <v>243</v>
      </c>
      <c r="Z150" s="132"/>
      <c r="AA150" s="132"/>
      <c r="AB150" s="132" t="s">
        <v>419</v>
      </c>
      <c r="AC150" s="132">
        <v>5000</v>
      </c>
      <c r="AD150" s="132">
        <v>99999999</v>
      </c>
      <c r="AE150" s="132" t="s">
        <v>243</v>
      </c>
      <c r="AF150" s="132" t="s">
        <v>271</v>
      </c>
      <c r="AG150" s="132" t="s">
        <v>243</v>
      </c>
      <c r="AH150" s="132" t="s">
        <v>243</v>
      </c>
      <c r="AI150" s="132">
        <v>0</v>
      </c>
      <c r="AJ150" s="132">
        <v>0</v>
      </c>
      <c r="AK150" s="132">
        <v>0</v>
      </c>
      <c r="AL150" s="132">
        <v>0</v>
      </c>
      <c r="AM150" s="132" t="s">
        <v>182</v>
      </c>
      <c r="AN150" s="132">
        <v>0</v>
      </c>
      <c r="AO150" s="132" t="s">
        <v>243</v>
      </c>
      <c r="AP150" s="132">
        <v>1</v>
      </c>
      <c r="AQ150" s="132">
        <v>1111</v>
      </c>
      <c r="AR150" s="132" t="s">
        <v>415</v>
      </c>
      <c r="AS150" s="132">
        <v>10</v>
      </c>
      <c r="AT150" s="132">
        <v>1</v>
      </c>
      <c r="AU150" s="132">
        <v>0</v>
      </c>
      <c r="AV150" s="132">
        <v>0</v>
      </c>
      <c r="AW150" s="132">
        <v>0</v>
      </c>
      <c r="AX150" s="132">
        <v>0</v>
      </c>
      <c r="AY150" s="132">
        <v>1</v>
      </c>
      <c r="AZ150" s="132">
        <v>0</v>
      </c>
      <c r="BA150" s="132">
        <v>40640.750486111108</v>
      </c>
      <c r="BB150" s="132">
        <v>470195</v>
      </c>
      <c r="BC150" s="132">
        <v>470195</v>
      </c>
      <c r="BD150" s="132">
        <v>45392.67769675926</v>
      </c>
      <c r="BE150" s="132">
        <v>363363</v>
      </c>
      <c r="BF150" s="132">
        <v>363363</v>
      </c>
      <c r="BG150" s="158"/>
    </row>
    <row r="151" spans="2:59">
      <c r="B151" s="163"/>
      <c r="BG151" s="158"/>
    </row>
    <row r="152" spans="2:59" ht="14.5" thickBot="1">
      <c r="B152" s="163"/>
      <c r="C152" s="164" t="s">
        <v>152</v>
      </c>
      <c r="BG152" s="158"/>
    </row>
    <row r="153" spans="2:59" ht="14.5" thickBot="1">
      <c r="B153" s="163"/>
      <c r="C153" s="233" t="s">
        <v>422</v>
      </c>
      <c r="D153" s="233" t="s">
        <v>423</v>
      </c>
      <c r="E153" s="233" t="s">
        <v>158</v>
      </c>
      <c r="F153" s="233" t="s">
        <v>424</v>
      </c>
      <c r="G153" s="233" t="s">
        <v>425</v>
      </c>
      <c r="H153" s="233" t="s">
        <v>426</v>
      </c>
      <c r="I153" s="233" t="s">
        <v>427</v>
      </c>
      <c r="J153" s="233" t="s">
        <v>428</v>
      </c>
      <c r="K153" s="233" t="s">
        <v>429</v>
      </c>
      <c r="L153" s="233" t="s">
        <v>430</v>
      </c>
      <c r="M153" s="233" t="s">
        <v>431</v>
      </c>
      <c r="BG153" s="158"/>
    </row>
    <row r="154" spans="2:59" ht="14.5" thickBot="1">
      <c r="B154" s="163"/>
      <c r="C154" s="233">
        <v>-2</v>
      </c>
      <c r="D154" s="233" t="s">
        <v>155</v>
      </c>
      <c r="E154" s="233" t="s">
        <v>577</v>
      </c>
      <c r="F154" s="233" t="s">
        <v>646</v>
      </c>
      <c r="G154" s="233" t="s">
        <v>137</v>
      </c>
      <c r="H154" s="233" t="s">
        <v>155</v>
      </c>
      <c r="I154" s="233" t="s">
        <v>155</v>
      </c>
      <c r="J154" s="233" t="s">
        <v>155</v>
      </c>
      <c r="K154" s="233" t="s">
        <v>155</v>
      </c>
      <c r="L154" s="233">
        <v>0</v>
      </c>
      <c r="M154" s="233" t="s">
        <v>155</v>
      </c>
      <c r="BG154" s="158"/>
    </row>
    <row r="155" spans="2:59" ht="13.5" thickBot="1">
      <c r="B155" s="163"/>
      <c r="BG155" s="158"/>
    </row>
    <row r="156" spans="2:59" ht="14" thickBot="1">
      <c r="B156" s="104" t="s">
        <v>455</v>
      </c>
      <c r="C156" s="105" t="s">
        <v>456</v>
      </c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58"/>
    </row>
    <row r="157" spans="2:59" ht="14" thickBot="1">
      <c r="B157" s="140" t="s">
        <v>433</v>
      </c>
      <c r="C157" s="105" t="s">
        <v>227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58"/>
    </row>
    <row r="158" spans="2:59">
      <c r="B158" s="163"/>
      <c r="BG158" s="158"/>
    </row>
    <row r="159" spans="2:59" ht="13.5">
      <c r="B159" s="163"/>
      <c r="C159" s="161" t="s">
        <v>228</v>
      </c>
      <c r="BG159" s="158"/>
    </row>
    <row r="160" spans="2:59" ht="13.5">
      <c r="B160" s="163"/>
      <c r="C160" s="161" t="s">
        <v>632</v>
      </c>
      <c r="BG160" s="158"/>
    </row>
    <row r="161" spans="2:59">
      <c r="B161" s="163"/>
      <c r="BG161" s="158"/>
    </row>
    <row r="162" spans="2:59" ht="15">
      <c r="B162" s="163"/>
      <c r="C162" s="257" t="s">
        <v>268</v>
      </c>
      <c r="D162" s="258"/>
      <c r="E162" s="258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60"/>
      <c r="AA162" s="66"/>
      <c r="AB162" s="66"/>
      <c r="AC162" s="66"/>
      <c r="AD162" s="66"/>
      <c r="BG162" s="158"/>
    </row>
    <row r="163" spans="2:59" ht="15">
      <c r="B163" s="163"/>
      <c r="C163" s="127"/>
      <c r="D163" s="127"/>
      <c r="E163" s="127"/>
      <c r="F163" s="124" t="s">
        <v>168</v>
      </c>
      <c r="G163" s="124" t="s">
        <v>168</v>
      </c>
      <c r="H163" s="124" t="s">
        <v>168</v>
      </c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BG163" s="158"/>
    </row>
    <row r="164" spans="2:59">
      <c r="B164" s="163"/>
      <c r="C164" s="117" t="s">
        <v>171</v>
      </c>
      <c r="D164" s="117" t="s">
        <v>172</v>
      </c>
      <c r="E164" s="117" t="s">
        <v>173</v>
      </c>
      <c r="F164" s="119" t="s">
        <v>91</v>
      </c>
      <c r="G164" s="119" t="s">
        <v>67</v>
      </c>
      <c r="H164" s="119" t="s">
        <v>69</v>
      </c>
      <c r="I164" s="119" t="s">
        <v>289</v>
      </c>
      <c r="J164" s="119" t="s">
        <v>290</v>
      </c>
      <c r="K164" s="119" t="s">
        <v>291</v>
      </c>
      <c r="L164" s="119" t="s">
        <v>292</v>
      </c>
      <c r="M164" s="119" t="s">
        <v>293</v>
      </c>
      <c r="N164" s="119" t="s">
        <v>294</v>
      </c>
      <c r="O164" s="119" t="s">
        <v>295</v>
      </c>
      <c r="P164" s="119" t="s">
        <v>296</v>
      </c>
      <c r="Q164" s="119" t="s">
        <v>297</v>
      </c>
      <c r="R164" s="119" t="s">
        <v>298</v>
      </c>
      <c r="S164" s="119" t="s">
        <v>299</v>
      </c>
      <c r="T164" s="119" t="s">
        <v>300</v>
      </c>
      <c r="U164" s="119" t="s">
        <v>301</v>
      </c>
      <c r="V164" s="119" t="s">
        <v>302</v>
      </c>
      <c r="W164" s="119" t="s">
        <v>303</v>
      </c>
      <c r="X164" s="119" t="s">
        <v>229</v>
      </c>
      <c r="Y164" s="119" t="s">
        <v>230</v>
      </c>
      <c r="Z164" s="119" t="s">
        <v>231</v>
      </c>
      <c r="AA164" s="119" t="s">
        <v>232</v>
      </c>
      <c r="AB164" s="119" t="s">
        <v>150</v>
      </c>
      <c r="AC164" s="119" t="s">
        <v>151</v>
      </c>
      <c r="AD164" s="119" t="s">
        <v>233</v>
      </c>
      <c r="BG164" s="158"/>
    </row>
    <row r="165" spans="2:59">
      <c r="B165" s="163"/>
      <c r="C165" s="117" t="s">
        <v>205</v>
      </c>
      <c r="D165" s="117" t="s">
        <v>214</v>
      </c>
      <c r="E165" s="117" t="s">
        <v>222</v>
      </c>
      <c r="F165" s="118" t="s">
        <v>250</v>
      </c>
      <c r="G165" s="118" t="s">
        <v>251</v>
      </c>
      <c r="H165" s="118" t="s">
        <v>253</v>
      </c>
      <c r="I165" s="118" t="s">
        <v>252</v>
      </c>
      <c r="J165" s="118" t="s">
        <v>254</v>
      </c>
      <c r="K165" s="118" t="s">
        <v>255</v>
      </c>
      <c r="L165" s="118" t="s">
        <v>256</v>
      </c>
      <c r="M165" s="118" t="s">
        <v>257</v>
      </c>
      <c r="N165" s="118" t="s">
        <v>258</v>
      </c>
      <c r="O165" s="118" t="s">
        <v>259</v>
      </c>
      <c r="P165" s="118" t="s">
        <v>260</v>
      </c>
      <c r="Q165" s="118" t="s">
        <v>261</v>
      </c>
      <c r="R165" s="118" t="s">
        <v>262</v>
      </c>
      <c r="S165" s="118" t="s">
        <v>263</v>
      </c>
      <c r="T165" s="118" t="s">
        <v>264</v>
      </c>
      <c r="U165" s="118" t="s">
        <v>265</v>
      </c>
      <c r="V165" s="118" t="s">
        <v>266</v>
      </c>
      <c r="W165" s="118" t="s">
        <v>267</v>
      </c>
      <c r="X165" s="118" t="s">
        <v>235</v>
      </c>
      <c r="Y165" s="118" t="s">
        <v>236</v>
      </c>
      <c r="Z165" s="118" t="s">
        <v>237</v>
      </c>
      <c r="AA165" s="118" t="s">
        <v>238</v>
      </c>
      <c r="AB165" s="118" t="s">
        <v>239</v>
      </c>
      <c r="AC165" s="118" t="s">
        <v>240</v>
      </c>
      <c r="AD165" s="118" t="s">
        <v>241</v>
      </c>
      <c r="BG165" s="158"/>
    </row>
    <row r="166" spans="2:59">
      <c r="B166" s="163"/>
      <c r="C166" s="117" t="s">
        <v>304</v>
      </c>
      <c r="D166" s="117" t="s">
        <v>305</v>
      </c>
      <c r="E166" s="117" t="s">
        <v>305</v>
      </c>
      <c r="F166" s="119" t="s">
        <v>306</v>
      </c>
      <c r="G166" s="119" t="s">
        <v>306</v>
      </c>
      <c r="H166" s="119" t="s">
        <v>307</v>
      </c>
      <c r="I166" s="119" t="s">
        <v>306</v>
      </c>
      <c r="J166" s="119" t="s">
        <v>308</v>
      </c>
      <c r="K166" s="119" t="s">
        <v>309</v>
      </c>
      <c r="L166" s="118" t="s">
        <v>310</v>
      </c>
      <c r="M166" s="119" t="s">
        <v>310</v>
      </c>
      <c r="N166" s="119" t="s">
        <v>311</v>
      </c>
      <c r="O166" s="119" t="s">
        <v>306</v>
      </c>
      <c r="P166" s="119" t="s">
        <v>312</v>
      </c>
      <c r="Q166" s="119" t="s">
        <v>313</v>
      </c>
      <c r="R166" s="119" t="s">
        <v>312</v>
      </c>
      <c r="S166" s="119" t="s">
        <v>314</v>
      </c>
      <c r="T166" s="118" t="s">
        <v>315</v>
      </c>
      <c r="U166" s="119" t="s">
        <v>315</v>
      </c>
      <c r="V166" s="119" t="s">
        <v>316</v>
      </c>
      <c r="W166" s="119" t="s">
        <v>306</v>
      </c>
      <c r="X166" s="119" t="s">
        <v>317</v>
      </c>
      <c r="Y166" s="119" t="s">
        <v>319</v>
      </c>
      <c r="Z166" s="119" t="s">
        <v>320</v>
      </c>
      <c r="AA166" s="119" t="s">
        <v>320</v>
      </c>
      <c r="AB166" s="118" t="s">
        <v>318</v>
      </c>
      <c r="AC166" s="119" t="s">
        <v>320</v>
      </c>
      <c r="AD166" s="119" t="s">
        <v>320</v>
      </c>
      <c r="BG166" s="158"/>
    </row>
    <row r="167" spans="2:59" ht="25">
      <c r="B167" s="122" t="s">
        <v>244</v>
      </c>
      <c r="C167" s="121" t="s">
        <v>269</v>
      </c>
      <c r="D167" s="143" t="s">
        <v>461</v>
      </c>
      <c r="E167" s="143" t="s">
        <v>461</v>
      </c>
      <c r="F167" s="119" t="s">
        <v>182</v>
      </c>
      <c r="G167" s="119" t="s">
        <v>271</v>
      </c>
      <c r="H167" s="119" t="s">
        <v>183</v>
      </c>
      <c r="I167" s="119" t="s">
        <v>271</v>
      </c>
      <c r="J167" s="119" t="s">
        <v>272</v>
      </c>
      <c r="K167" s="119" t="s">
        <v>243</v>
      </c>
      <c r="L167" s="118" t="s">
        <v>155</v>
      </c>
      <c r="M167" s="119" t="s">
        <v>273</v>
      </c>
      <c r="N167" s="119"/>
      <c r="O167" s="119" t="s">
        <v>182</v>
      </c>
      <c r="P167" s="119" t="s">
        <v>155</v>
      </c>
      <c r="Q167" s="119" t="s">
        <v>274</v>
      </c>
      <c r="R167" s="119" t="s">
        <v>275</v>
      </c>
      <c r="S167" s="119"/>
      <c r="T167" s="118" t="s">
        <v>155</v>
      </c>
      <c r="U167" s="119" t="s">
        <v>155</v>
      </c>
      <c r="V167" s="119" t="s">
        <v>155</v>
      </c>
      <c r="W167" s="119"/>
      <c r="X167" s="119" t="s">
        <v>243</v>
      </c>
      <c r="Y167" s="119" t="s">
        <v>276</v>
      </c>
      <c r="Z167" s="119" t="s">
        <v>277</v>
      </c>
      <c r="AA167" s="119" t="s">
        <v>277</v>
      </c>
      <c r="AB167" s="118" t="s">
        <v>278</v>
      </c>
      <c r="AC167" s="119" t="s">
        <v>279</v>
      </c>
      <c r="AD167" s="119" t="s">
        <v>279</v>
      </c>
      <c r="BG167" s="158"/>
    </row>
    <row r="168" spans="2:59" ht="14">
      <c r="B168" s="120" t="s">
        <v>242</v>
      </c>
      <c r="C168" s="142" t="s">
        <v>476</v>
      </c>
      <c r="D168" s="121" t="s">
        <v>270</v>
      </c>
      <c r="E168" s="121" t="s">
        <v>270</v>
      </c>
      <c r="F168" s="121" t="s">
        <v>182</v>
      </c>
      <c r="G168" s="121" t="s">
        <v>271</v>
      </c>
      <c r="H168" s="121" t="s">
        <v>183</v>
      </c>
      <c r="I168" s="121" t="s">
        <v>271</v>
      </c>
      <c r="J168" s="121" t="s">
        <v>477</v>
      </c>
      <c r="K168" s="121" t="s">
        <v>243</v>
      </c>
      <c r="L168" s="121" t="s">
        <v>155</v>
      </c>
      <c r="M168" s="121" t="s">
        <v>273</v>
      </c>
      <c r="N168" s="121"/>
      <c r="O168" s="121" t="s">
        <v>182</v>
      </c>
      <c r="P168" s="121" t="s">
        <v>155</v>
      </c>
      <c r="Q168" s="121" t="s">
        <v>274</v>
      </c>
      <c r="R168" s="121" t="s">
        <v>478</v>
      </c>
      <c r="S168" s="121"/>
      <c r="T168" s="121" t="s">
        <v>479</v>
      </c>
      <c r="U168" s="121" t="s">
        <v>480</v>
      </c>
      <c r="V168" s="121" t="s">
        <v>481</v>
      </c>
      <c r="W168" s="121"/>
      <c r="X168" s="121" t="s">
        <v>243</v>
      </c>
      <c r="Y168" s="121" t="s">
        <v>276</v>
      </c>
      <c r="Z168" s="121" t="s">
        <v>277</v>
      </c>
      <c r="AA168" s="121" t="s">
        <v>277</v>
      </c>
      <c r="AB168" s="121" t="s">
        <v>482</v>
      </c>
      <c r="AC168" s="121">
        <v>375901</v>
      </c>
      <c r="AD168" s="121" t="s">
        <v>483</v>
      </c>
      <c r="BG168" s="158"/>
    </row>
    <row r="169" spans="2:59" ht="14">
      <c r="B169" s="120" t="s">
        <v>242</v>
      </c>
      <c r="C169" s="142" t="s">
        <v>490</v>
      </c>
      <c r="D169" s="132" t="s">
        <v>270</v>
      </c>
      <c r="E169" s="132" t="s">
        <v>270</v>
      </c>
      <c r="F169" s="132" t="s">
        <v>182</v>
      </c>
      <c r="G169" s="132" t="s">
        <v>271</v>
      </c>
      <c r="H169" s="132" t="s">
        <v>183</v>
      </c>
      <c r="I169" s="132" t="s">
        <v>271</v>
      </c>
      <c r="J169" s="132" t="s">
        <v>484</v>
      </c>
      <c r="K169" s="132" t="s">
        <v>243</v>
      </c>
      <c r="L169" s="132" t="s">
        <v>485</v>
      </c>
      <c r="M169" s="132" t="s">
        <v>273</v>
      </c>
      <c r="N169" s="132"/>
      <c r="O169" s="132" t="s">
        <v>271</v>
      </c>
      <c r="P169" s="132" t="s">
        <v>155</v>
      </c>
      <c r="Q169" s="132" t="s">
        <v>486</v>
      </c>
      <c r="R169" s="132" t="s">
        <v>275</v>
      </c>
      <c r="S169" s="132"/>
      <c r="T169" s="132" t="s">
        <v>155</v>
      </c>
      <c r="U169" s="132" t="s">
        <v>155</v>
      </c>
      <c r="V169" s="132" t="s">
        <v>155</v>
      </c>
      <c r="W169" s="132"/>
      <c r="X169" s="132" t="s">
        <v>243</v>
      </c>
      <c r="Y169" s="132" t="s">
        <v>487</v>
      </c>
      <c r="Z169" s="132" t="s">
        <v>277</v>
      </c>
      <c r="AA169" s="132" t="s">
        <v>277</v>
      </c>
      <c r="AB169" s="132" t="s">
        <v>488</v>
      </c>
      <c r="AC169" s="132" t="s">
        <v>489</v>
      </c>
      <c r="AD169" s="132" t="s">
        <v>489</v>
      </c>
      <c r="BG169" s="158"/>
    </row>
    <row r="170" spans="2:59" ht="25">
      <c r="B170" s="120" t="s">
        <v>242</v>
      </c>
      <c r="C170" s="121" t="s">
        <v>269</v>
      </c>
      <c r="D170" s="118" t="s">
        <v>270</v>
      </c>
      <c r="E170" s="142" t="s">
        <v>181</v>
      </c>
      <c r="F170" s="119" t="s">
        <v>182</v>
      </c>
      <c r="G170" s="132" t="s">
        <v>271</v>
      </c>
      <c r="H170" s="119" t="s">
        <v>183</v>
      </c>
      <c r="I170" s="132" t="s">
        <v>271</v>
      </c>
      <c r="J170" s="119" t="s">
        <v>183</v>
      </c>
      <c r="K170" s="119" t="s">
        <v>243</v>
      </c>
      <c r="L170" s="118" t="s">
        <v>280</v>
      </c>
      <c r="M170" s="119" t="s">
        <v>273</v>
      </c>
      <c r="N170" s="119"/>
      <c r="O170" s="119" t="s">
        <v>243</v>
      </c>
      <c r="P170" s="119" t="s">
        <v>155</v>
      </c>
      <c r="Q170" s="119" t="s">
        <v>183</v>
      </c>
      <c r="R170" s="119" t="s">
        <v>281</v>
      </c>
      <c r="S170" s="119"/>
      <c r="T170" s="118" t="s">
        <v>155</v>
      </c>
      <c r="U170" s="119" t="s">
        <v>155</v>
      </c>
      <c r="V170" s="119" t="s">
        <v>155</v>
      </c>
      <c r="W170" s="119"/>
      <c r="X170" s="119" t="s">
        <v>243</v>
      </c>
      <c r="Y170" s="119" t="s">
        <v>282</v>
      </c>
      <c r="Z170" s="119" t="s">
        <v>283</v>
      </c>
      <c r="AA170" s="119">
        <v>470195</v>
      </c>
      <c r="AB170" s="118" t="s">
        <v>282</v>
      </c>
      <c r="AC170" s="119">
        <v>470195</v>
      </c>
      <c r="AD170" s="119" t="s">
        <v>283</v>
      </c>
      <c r="BG170" s="158"/>
    </row>
    <row r="171" spans="2:59">
      <c r="B171" s="163"/>
      <c r="BG171" s="158"/>
    </row>
    <row r="172" spans="2:59" ht="15">
      <c r="B172" s="163"/>
      <c r="C172" s="257" t="s">
        <v>321</v>
      </c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  <c r="U172" s="90"/>
      <c r="V172" s="90"/>
      <c r="W172" s="90"/>
      <c r="X172" s="90"/>
      <c r="Y172" s="90"/>
      <c r="Z172" s="90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/>
      <c r="BF172" s="92"/>
      <c r="BG172" s="158"/>
    </row>
    <row r="173" spans="2:59" ht="15">
      <c r="B173" s="163"/>
      <c r="C173" s="127"/>
      <c r="D173" s="127"/>
      <c r="E173" s="127"/>
      <c r="F173" s="124" t="s">
        <v>168</v>
      </c>
      <c r="G173" s="124" t="s">
        <v>168</v>
      </c>
      <c r="H173" s="129" t="s">
        <v>168</v>
      </c>
      <c r="I173" s="124" t="s">
        <v>168</v>
      </c>
      <c r="J173" s="124" t="s">
        <v>168</v>
      </c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58"/>
    </row>
    <row r="174" spans="2:59" ht="25">
      <c r="B174" s="163"/>
      <c r="C174" s="117" t="s">
        <v>365</v>
      </c>
      <c r="D174" s="117" t="s">
        <v>420</v>
      </c>
      <c r="E174" s="117" t="s">
        <v>421</v>
      </c>
      <c r="F174" s="119" t="s">
        <v>96</v>
      </c>
      <c r="G174" s="119" t="s">
        <v>99</v>
      </c>
      <c r="H174" s="119" t="s">
        <v>130</v>
      </c>
      <c r="I174" s="119" t="s">
        <v>391</v>
      </c>
      <c r="J174" s="119" t="s">
        <v>127</v>
      </c>
      <c r="K174" s="119" t="s">
        <v>67</v>
      </c>
      <c r="L174" s="119" t="s">
        <v>288</v>
      </c>
      <c r="M174" s="119" t="s">
        <v>366</v>
      </c>
      <c r="N174" s="119" t="s">
        <v>367</v>
      </c>
      <c r="O174" s="119" t="s">
        <v>368</v>
      </c>
      <c r="P174" s="119" t="s">
        <v>369</v>
      </c>
      <c r="Q174" s="119" t="s">
        <v>370</v>
      </c>
      <c r="R174" s="119" t="s">
        <v>371</v>
      </c>
      <c r="S174" s="119" t="s">
        <v>372</v>
      </c>
      <c r="T174" s="119" t="s">
        <v>373</v>
      </c>
      <c r="U174" s="119" t="s">
        <v>374</v>
      </c>
      <c r="V174" s="119" t="s">
        <v>375</v>
      </c>
      <c r="W174" s="119" t="s">
        <v>376</v>
      </c>
      <c r="X174" s="119" t="s">
        <v>377</v>
      </c>
      <c r="Y174" s="119" t="s">
        <v>378</v>
      </c>
      <c r="Z174" s="119" t="s">
        <v>379</v>
      </c>
      <c r="AA174" s="119" t="s">
        <v>380</v>
      </c>
      <c r="AB174" s="119" t="s">
        <v>381</v>
      </c>
      <c r="AC174" s="119" t="s">
        <v>382</v>
      </c>
      <c r="AD174" s="119" t="s">
        <v>383</v>
      </c>
      <c r="AE174" s="119" t="s">
        <v>384</v>
      </c>
      <c r="AF174" s="119" t="s">
        <v>385</v>
      </c>
      <c r="AG174" s="119" t="s">
        <v>386</v>
      </c>
      <c r="AH174" s="119" t="s">
        <v>387</v>
      </c>
      <c r="AI174" s="119" t="s">
        <v>388</v>
      </c>
      <c r="AJ174" s="119" t="s">
        <v>390</v>
      </c>
      <c r="AK174" s="119" t="s">
        <v>389</v>
      </c>
      <c r="AL174" s="119" t="s">
        <v>398</v>
      </c>
      <c r="AM174" s="119" t="s">
        <v>392</v>
      </c>
      <c r="AN174" s="119" t="s">
        <v>393</v>
      </c>
      <c r="AO174" s="119" t="s">
        <v>394</v>
      </c>
      <c r="AP174" s="119" t="s">
        <v>395</v>
      </c>
      <c r="AQ174" s="119" t="s">
        <v>399</v>
      </c>
      <c r="AR174" s="119" t="s">
        <v>396</v>
      </c>
      <c r="AS174" s="119" t="s">
        <v>397</v>
      </c>
      <c r="AT174" s="119" t="s">
        <v>400</v>
      </c>
      <c r="AU174" s="119" t="s">
        <v>401</v>
      </c>
      <c r="AV174" s="119" t="s">
        <v>402</v>
      </c>
      <c r="AW174" s="119" t="s">
        <v>403</v>
      </c>
      <c r="AX174" s="119" t="s">
        <v>404</v>
      </c>
      <c r="AY174" s="119" t="s">
        <v>405</v>
      </c>
      <c r="AZ174" s="119" t="s">
        <v>229</v>
      </c>
      <c r="BA174" s="119" t="s">
        <v>230</v>
      </c>
      <c r="BB174" s="119" t="s">
        <v>231</v>
      </c>
      <c r="BC174" s="119" t="s">
        <v>232</v>
      </c>
      <c r="BD174" s="119" t="s">
        <v>150</v>
      </c>
      <c r="BE174" s="119" t="s">
        <v>151</v>
      </c>
      <c r="BF174" s="119" t="s">
        <v>233</v>
      </c>
      <c r="BG174" s="158"/>
    </row>
    <row r="175" spans="2:59">
      <c r="B175" s="163"/>
      <c r="C175" s="117" t="s">
        <v>205</v>
      </c>
      <c r="D175" s="117" t="s">
        <v>214</v>
      </c>
      <c r="E175" s="117" t="s">
        <v>222</v>
      </c>
      <c r="F175" s="118" t="s">
        <v>322</v>
      </c>
      <c r="G175" s="118" t="s">
        <v>323</v>
      </c>
      <c r="H175" s="118" t="s">
        <v>324</v>
      </c>
      <c r="I175" s="118" t="s">
        <v>351</v>
      </c>
      <c r="J175" s="118" t="s">
        <v>357</v>
      </c>
      <c r="K175" s="118" t="s">
        <v>251</v>
      </c>
      <c r="L175" s="118" t="s">
        <v>252</v>
      </c>
      <c r="M175" s="118" t="s">
        <v>325</v>
      </c>
      <c r="N175" s="118" t="s">
        <v>326</v>
      </c>
      <c r="O175" s="118" t="s">
        <v>327</v>
      </c>
      <c r="P175" s="118" t="s">
        <v>328</v>
      </c>
      <c r="Q175" s="118" t="s">
        <v>329</v>
      </c>
      <c r="R175" s="118" t="s">
        <v>330</v>
      </c>
      <c r="S175" s="118" t="s">
        <v>331</v>
      </c>
      <c r="T175" s="118" t="s">
        <v>332</v>
      </c>
      <c r="U175" s="118" t="s">
        <v>333</v>
      </c>
      <c r="V175" s="118" t="s">
        <v>334</v>
      </c>
      <c r="W175" s="118" t="s">
        <v>335</v>
      </c>
      <c r="X175" s="118" t="s">
        <v>336</v>
      </c>
      <c r="Y175" s="118" t="s">
        <v>337</v>
      </c>
      <c r="Z175" s="118" t="s">
        <v>338</v>
      </c>
      <c r="AA175" s="118" t="s">
        <v>339</v>
      </c>
      <c r="AB175" s="118" t="s">
        <v>340</v>
      </c>
      <c r="AC175" s="118" t="s">
        <v>341</v>
      </c>
      <c r="AD175" s="118" t="s">
        <v>342</v>
      </c>
      <c r="AE175" s="118" t="s">
        <v>343</v>
      </c>
      <c r="AF175" s="118" t="s">
        <v>344</v>
      </c>
      <c r="AG175" s="118" t="s">
        <v>345</v>
      </c>
      <c r="AH175" s="118" t="s">
        <v>346</v>
      </c>
      <c r="AI175" s="118" t="s">
        <v>347</v>
      </c>
      <c r="AJ175" s="118" t="s">
        <v>348</v>
      </c>
      <c r="AK175" s="118" t="s">
        <v>349</v>
      </c>
      <c r="AL175" s="118" t="s">
        <v>350</v>
      </c>
      <c r="AM175" s="118" t="s">
        <v>352</v>
      </c>
      <c r="AN175" s="118" t="s">
        <v>353</v>
      </c>
      <c r="AO175" s="118" t="s">
        <v>354</v>
      </c>
      <c r="AP175" s="118" t="s">
        <v>234</v>
      </c>
      <c r="AQ175" s="118" t="s">
        <v>355</v>
      </c>
      <c r="AR175" s="118" t="s">
        <v>356</v>
      </c>
      <c r="AS175" s="118" t="s">
        <v>358</v>
      </c>
      <c r="AT175" s="118" t="s">
        <v>359</v>
      </c>
      <c r="AU175" s="118" t="s">
        <v>360</v>
      </c>
      <c r="AV175" s="118" t="s">
        <v>361</v>
      </c>
      <c r="AW175" s="118" t="s">
        <v>362</v>
      </c>
      <c r="AX175" s="118" t="s">
        <v>363</v>
      </c>
      <c r="AY175" s="118" t="s">
        <v>364</v>
      </c>
      <c r="AZ175" s="118" t="s">
        <v>235</v>
      </c>
      <c r="BA175" s="118" t="s">
        <v>236</v>
      </c>
      <c r="BB175" s="118" t="s">
        <v>237</v>
      </c>
      <c r="BC175" s="118" t="s">
        <v>238</v>
      </c>
      <c r="BD175" s="118" t="s">
        <v>239</v>
      </c>
      <c r="BE175" s="118" t="s">
        <v>240</v>
      </c>
      <c r="BF175" s="118" t="s">
        <v>241</v>
      </c>
      <c r="BG175" s="158"/>
    </row>
    <row r="176" spans="2:59">
      <c r="B176" s="163"/>
      <c r="C176" s="117" t="s">
        <v>304</v>
      </c>
      <c r="D176" s="117" t="s">
        <v>406</v>
      </c>
      <c r="E176" s="117" t="s">
        <v>305</v>
      </c>
      <c r="F176" s="131" t="s">
        <v>306</v>
      </c>
      <c r="G176" s="131" t="s">
        <v>306</v>
      </c>
      <c r="H176" s="131" t="s">
        <v>306</v>
      </c>
      <c r="I176" s="131" t="s">
        <v>306</v>
      </c>
      <c r="J176" s="131" t="s">
        <v>308</v>
      </c>
      <c r="K176" s="131" t="s">
        <v>306</v>
      </c>
      <c r="L176" s="131" t="s">
        <v>306</v>
      </c>
      <c r="M176" s="131" t="s">
        <v>407</v>
      </c>
      <c r="N176" s="131" t="s">
        <v>407</v>
      </c>
      <c r="O176" s="131" t="s">
        <v>305</v>
      </c>
      <c r="P176" s="131" t="s">
        <v>408</v>
      </c>
      <c r="Q176" s="131" t="s">
        <v>306</v>
      </c>
      <c r="R176" s="131" t="s">
        <v>313</v>
      </c>
      <c r="S176" s="131" t="s">
        <v>308</v>
      </c>
      <c r="T176" s="131" t="s">
        <v>313</v>
      </c>
      <c r="U176" s="131" t="s">
        <v>308</v>
      </c>
      <c r="V176" s="131" t="s">
        <v>308</v>
      </c>
      <c r="W176" s="131" t="s">
        <v>306</v>
      </c>
      <c r="X176" s="131" t="s">
        <v>409</v>
      </c>
      <c r="Y176" s="131" t="s">
        <v>409</v>
      </c>
      <c r="Z176" s="131" t="s">
        <v>310</v>
      </c>
      <c r="AA176" s="131" t="s">
        <v>408</v>
      </c>
      <c r="AB176" s="131" t="s">
        <v>408</v>
      </c>
      <c r="AC176" s="131" t="s">
        <v>308</v>
      </c>
      <c r="AD176" s="131" t="s">
        <v>312</v>
      </c>
      <c r="AE176" s="131" t="s">
        <v>313</v>
      </c>
      <c r="AF176" s="131" t="s">
        <v>313</v>
      </c>
      <c r="AG176" s="131" t="s">
        <v>410</v>
      </c>
      <c r="AH176" s="131" t="s">
        <v>410</v>
      </c>
      <c r="AI176" s="131" t="s">
        <v>313</v>
      </c>
      <c r="AJ176" s="131" t="s">
        <v>313</v>
      </c>
      <c r="AK176" s="131" t="s">
        <v>410</v>
      </c>
      <c r="AL176" s="131" t="s">
        <v>410</v>
      </c>
      <c r="AM176" s="131" t="s">
        <v>306</v>
      </c>
      <c r="AN176" s="131" t="s">
        <v>306</v>
      </c>
      <c r="AO176" s="131" t="s">
        <v>306</v>
      </c>
      <c r="AP176" s="131" t="s">
        <v>310</v>
      </c>
      <c r="AQ176" s="131" t="s">
        <v>305</v>
      </c>
      <c r="AR176" s="131" t="s">
        <v>306</v>
      </c>
      <c r="AS176" s="131" t="s">
        <v>308</v>
      </c>
      <c r="AT176" s="131" t="s">
        <v>306</v>
      </c>
      <c r="AU176" s="131" t="s">
        <v>411</v>
      </c>
      <c r="AV176" s="131" t="s">
        <v>313</v>
      </c>
      <c r="AW176" s="131" t="s">
        <v>310</v>
      </c>
      <c r="AX176" s="131" t="s">
        <v>306</v>
      </c>
      <c r="AY176" s="131" t="s">
        <v>306</v>
      </c>
      <c r="AZ176" s="131" t="s">
        <v>317</v>
      </c>
      <c r="BA176" s="131" t="s">
        <v>318</v>
      </c>
      <c r="BB176" s="131" t="s">
        <v>320</v>
      </c>
      <c r="BC176" s="131" t="s">
        <v>320</v>
      </c>
      <c r="BD176" s="131" t="s">
        <v>318</v>
      </c>
      <c r="BE176" s="131" t="s">
        <v>320</v>
      </c>
      <c r="BF176" s="131" t="s">
        <v>320</v>
      </c>
      <c r="BG176" s="158"/>
    </row>
    <row r="177" spans="2:59" ht="15">
      <c r="B177" s="122" t="s">
        <v>244</v>
      </c>
      <c r="C177" s="132" t="s">
        <v>269</v>
      </c>
      <c r="D177" s="143" t="s">
        <v>461</v>
      </c>
      <c r="E177" s="143" t="s">
        <v>461</v>
      </c>
      <c r="F177" s="133" t="s">
        <v>286</v>
      </c>
      <c r="G177" s="132" t="s">
        <v>243</v>
      </c>
      <c r="H177" s="132" t="s">
        <v>243</v>
      </c>
      <c r="I177" s="135">
        <v>1</v>
      </c>
      <c r="J177" s="136">
        <v>0</v>
      </c>
      <c r="K177" s="132" t="s">
        <v>271</v>
      </c>
      <c r="L177" s="132" t="s">
        <v>271</v>
      </c>
      <c r="M177" s="132" t="s">
        <v>155</v>
      </c>
      <c r="N177" s="132" t="s">
        <v>155</v>
      </c>
      <c r="O177" s="132" t="s">
        <v>155</v>
      </c>
      <c r="P177" s="132" t="s">
        <v>155</v>
      </c>
      <c r="Q177" s="134" t="s">
        <v>412</v>
      </c>
      <c r="R177" s="132" t="s">
        <v>243</v>
      </c>
      <c r="S177" s="132" t="s">
        <v>243</v>
      </c>
      <c r="T177" s="132" t="s">
        <v>413</v>
      </c>
      <c r="U177" s="132" t="s">
        <v>414</v>
      </c>
      <c r="V177" s="132" t="s">
        <v>182</v>
      </c>
      <c r="W177" s="132" t="s">
        <v>182</v>
      </c>
      <c r="X177" s="132" t="s">
        <v>243</v>
      </c>
      <c r="Y177" s="132" t="s">
        <v>243</v>
      </c>
      <c r="Z177" s="132"/>
      <c r="AA177" s="135"/>
      <c r="AB177" s="135" t="s">
        <v>155</v>
      </c>
      <c r="AC177" s="135">
        <v>1</v>
      </c>
      <c r="AD177" s="135">
        <v>99999999</v>
      </c>
      <c r="AE177" s="132" t="s">
        <v>243</v>
      </c>
      <c r="AF177" s="132" t="s">
        <v>243</v>
      </c>
      <c r="AG177" s="132" t="s">
        <v>243</v>
      </c>
      <c r="AH177" s="132" t="s">
        <v>243</v>
      </c>
      <c r="AI177" s="135">
        <v>0</v>
      </c>
      <c r="AJ177" s="135">
        <v>0</v>
      </c>
      <c r="AK177" s="135">
        <v>0</v>
      </c>
      <c r="AL177" s="135">
        <v>0</v>
      </c>
      <c r="AM177" s="132" t="s">
        <v>182</v>
      </c>
      <c r="AN177" s="135">
        <v>0</v>
      </c>
      <c r="AO177" s="132" t="s">
        <v>243</v>
      </c>
      <c r="AP177" s="135">
        <v>1</v>
      </c>
      <c r="AQ177" s="136" t="s">
        <v>155</v>
      </c>
      <c r="AR177" s="136" t="s">
        <v>415</v>
      </c>
      <c r="AS177" s="136">
        <v>0</v>
      </c>
      <c r="AT177" s="136">
        <v>1</v>
      </c>
      <c r="AU177" s="136">
        <v>0</v>
      </c>
      <c r="AV177" s="136">
        <v>0</v>
      </c>
      <c r="AW177" s="136">
        <v>0</v>
      </c>
      <c r="AX177" s="136">
        <v>0</v>
      </c>
      <c r="AY177" s="136">
        <v>1</v>
      </c>
      <c r="AZ177" s="136">
        <v>0</v>
      </c>
      <c r="BA177" s="137">
        <v>29705</v>
      </c>
      <c r="BB177" s="136" t="s">
        <v>277</v>
      </c>
      <c r="BC177" s="136" t="s">
        <v>277</v>
      </c>
      <c r="BD177" s="137">
        <v>36413</v>
      </c>
      <c r="BE177" s="136" t="s">
        <v>277</v>
      </c>
      <c r="BF177" s="136" t="s">
        <v>277</v>
      </c>
      <c r="BG177" s="158"/>
    </row>
    <row r="178" spans="2:59" ht="14">
      <c r="B178" s="120" t="s">
        <v>242</v>
      </c>
      <c r="C178" s="142" t="s">
        <v>476</v>
      </c>
      <c r="D178" s="132" t="s">
        <v>270</v>
      </c>
      <c r="E178" s="132" t="s">
        <v>270</v>
      </c>
      <c r="F178" s="132" t="s">
        <v>286</v>
      </c>
      <c r="G178" s="132" t="s">
        <v>243</v>
      </c>
      <c r="H178" s="132" t="s">
        <v>243</v>
      </c>
      <c r="I178" s="132">
        <v>1</v>
      </c>
      <c r="J178" s="132">
        <v>0</v>
      </c>
      <c r="K178" s="132" t="s">
        <v>271</v>
      </c>
      <c r="L178" s="132" t="s">
        <v>271</v>
      </c>
      <c r="M178" s="132" t="s">
        <v>155</v>
      </c>
      <c r="N178" s="132" t="s">
        <v>155</v>
      </c>
      <c r="O178" s="132" t="s">
        <v>155</v>
      </c>
      <c r="P178" s="132" t="s">
        <v>155</v>
      </c>
      <c r="Q178" s="132" t="s">
        <v>412</v>
      </c>
      <c r="R178" s="132" t="s">
        <v>243</v>
      </c>
      <c r="S178" s="132" t="s">
        <v>243</v>
      </c>
      <c r="T178" s="132" t="s">
        <v>413</v>
      </c>
      <c r="U178" s="132" t="s">
        <v>414</v>
      </c>
      <c r="V178" s="132" t="s">
        <v>182</v>
      </c>
      <c r="W178" s="132" t="s">
        <v>182</v>
      </c>
      <c r="X178" s="132" t="s">
        <v>243</v>
      </c>
      <c r="Y178" s="132" t="s">
        <v>243</v>
      </c>
      <c r="Z178" s="132"/>
      <c r="AA178" s="132"/>
      <c r="AB178" s="132" t="s">
        <v>155</v>
      </c>
      <c r="AC178" s="132">
        <v>1</v>
      </c>
      <c r="AD178" s="132">
        <v>99999999</v>
      </c>
      <c r="AE178" s="132">
        <v>0</v>
      </c>
      <c r="AF178" s="132">
        <v>0</v>
      </c>
      <c r="AG178" s="132">
        <v>0</v>
      </c>
      <c r="AH178" s="132">
        <v>0</v>
      </c>
      <c r="AI178" s="132">
        <v>0</v>
      </c>
      <c r="AJ178" s="132">
        <v>0</v>
      </c>
      <c r="AK178" s="132">
        <v>0</v>
      </c>
      <c r="AL178" s="132">
        <v>0</v>
      </c>
      <c r="AM178" s="132">
        <v>1</v>
      </c>
      <c r="AN178" s="132">
        <v>0</v>
      </c>
      <c r="AO178" s="132">
        <v>0</v>
      </c>
      <c r="AP178" s="132">
        <v>1</v>
      </c>
      <c r="AQ178" s="132" t="s">
        <v>155</v>
      </c>
      <c r="AR178" s="132" t="s">
        <v>415</v>
      </c>
      <c r="AS178" s="132">
        <v>0</v>
      </c>
      <c r="AT178" s="132">
        <v>1</v>
      </c>
      <c r="AU178" s="132">
        <v>0</v>
      </c>
      <c r="AV178" s="132">
        <v>0</v>
      </c>
      <c r="AW178" s="132">
        <v>0</v>
      </c>
      <c r="AX178" s="132">
        <v>0</v>
      </c>
      <c r="AY178" s="132">
        <v>1</v>
      </c>
      <c r="AZ178" s="132">
        <v>0</v>
      </c>
      <c r="BA178" s="132">
        <v>29705</v>
      </c>
      <c r="BB178" s="132" t="s">
        <v>277</v>
      </c>
      <c r="BC178" s="132" t="s">
        <v>277</v>
      </c>
      <c r="BD178" s="132">
        <v>39993.705960648149</v>
      </c>
      <c r="BE178" s="132">
        <v>375901</v>
      </c>
      <c r="BF178" s="132">
        <v>375901</v>
      </c>
      <c r="BG178" s="158"/>
    </row>
    <row r="179" spans="2:59" ht="14">
      <c r="B179" s="120" t="s">
        <v>242</v>
      </c>
      <c r="C179" s="142" t="s">
        <v>490</v>
      </c>
      <c r="D179" s="132" t="s">
        <v>270</v>
      </c>
      <c r="E179" s="132" t="s">
        <v>270</v>
      </c>
      <c r="F179" s="132" t="s">
        <v>286</v>
      </c>
      <c r="G179" s="132" t="s">
        <v>243</v>
      </c>
      <c r="H179" s="132" t="s">
        <v>243</v>
      </c>
      <c r="I179" s="132">
        <v>1</v>
      </c>
      <c r="J179" s="132">
        <v>0</v>
      </c>
      <c r="K179" s="132" t="s">
        <v>271</v>
      </c>
      <c r="L179" s="132" t="s">
        <v>271</v>
      </c>
      <c r="M179" s="132" t="s">
        <v>155</v>
      </c>
      <c r="N179" s="132" t="s">
        <v>155</v>
      </c>
      <c r="O179" s="132" t="s">
        <v>155</v>
      </c>
      <c r="P179" s="132" t="s">
        <v>155</v>
      </c>
      <c r="Q179" s="132" t="s">
        <v>412</v>
      </c>
      <c r="R179" s="132" t="s">
        <v>243</v>
      </c>
      <c r="S179" s="132" t="s">
        <v>243</v>
      </c>
      <c r="T179" s="132" t="s">
        <v>413</v>
      </c>
      <c r="U179" s="132" t="s">
        <v>414</v>
      </c>
      <c r="V179" s="132" t="s">
        <v>182</v>
      </c>
      <c r="W179" s="132" t="s">
        <v>182</v>
      </c>
      <c r="X179" s="132" t="s">
        <v>243</v>
      </c>
      <c r="Y179" s="132" t="s">
        <v>243</v>
      </c>
      <c r="Z179" s="132"/>
      <c r="AA179" s="132"/>
      <c r="AB179" s="132" t="s">
        <v>155</v>
      </c>
      <c r="AC179" s="132">
        <v>1</v>
      </c>
      <c r="AD179" s="132">
        <v>99999999</v>
      </c>
      <c r="AE179" s="132">
        <v>0</v>
      </c>
      <c r="AF179" s="132">
        <v>0</v>
      </c>
      <c r="AG179" s="132">
        <v>0</v>
      </c>
      <c r="AH179" s="132">
        <v>0</v>
      </c>
      <c r="AI179" s="132">
        <v>0</v>
      </c>
      <c r="AJ179" s="132">
        <v>0</v>
      </c>
      <c r="AK179" s="132">
        <v>0</v>
      </c>
      <c r="AL179" s="132">
        <v>0</v>
      </c>
      <c r="AM179" s="132">
        <v>1</v>
      </c>
      <c r="AN179" s="132">
        <v>0</v>
      </c>
      <c r="AO179" s="132">
        <v>0</v>
      </c>
      <c r="AP179" s="132">
        <v>1</v>
      </c>
      <c r="AQ179" s="132" t="s">
        <v>155</v>
      </c>
      <c r="AR179" s="132" t="s">
        <v>415</v>
      </c>
      <c r="AS179" s="132">
        <v>0</v>
      </c>
      <c r="AT179" s="132">
        <v>1</v>
      </c>
      <c r="AU179" s="132">
        <v>0</v>
      </c>
      <c r="AV179" s="132">
        <v>0</v>
      </c>
      <c r="AW179" s="132">
        <v>0</v>
      </c>
      <c r="AX179" s="132">
        <v>0</v>
      </c>
      <c r="AY179" s="132">
        <v>1</v>
      </c>
      <c r="AZ179" s="132">
        <v>0</v>
      </c>
      <c r="BA179" s="132">
        <v>31819</v>
      </c>
      <c r="BB179" s="132" t="s">
        <v>277</v>
      </c>
      <c r="BC179" s="132" t="s">
        <v>277</v>
      </c>
      <c r="BD179" s="132">
        <v>45636.056898148148</v>
      </c>
      <c r="BE179" s="132" t="s">
        <v>474</v>
      </c>
      <c r="BF179" s="132" t="s">
        <v>474</v>
      </c>
      <c r="BG179" s="158"/>
    </row>
    <row r="180" spans="2:59" ht="15">
      <c r="B180" s="120" t="s">
        <v>242</v>
      </c>
      <c r="C180" s="132" t="s">
        <v>269</v>
      </c>
      <c r="D180" s="132" t="s">
        <v>270</v>
      </c>
      <c r="E180" s="142" t="s">
        <v>181</v>
      </c>
      <c r="F180" s="133" t="s">
        <v>184</v>
      </c>
      <c r="G180" s="132" t="s">
        <v>243</v>
      </c>
      <c r="H180" s="132" t="s">
        <v>243</v>
      </c>
      <c r="I180" s="135">
        <v>0</v>
      </c>
      <c r="J180" s="118">
        <v>30</v>
      </c>
      <c r="K180" s="132" t="s">
        <v>271</v>
      </c>
      <c r="L180" s="132" t="s">
        <v>271</v>
      </c>
      <c r="M180" s="132" t="s">
        <v>155</v>
      </c>
      <c r="N180" s="132" t="s">
        <v>155</v>
      </c>
      <c r="O180" s="132" t="s">
        <v>416</v>
      </c>
      <c r="P180" s="132" t="s">
        <v>155</v>
      </c>
      <c r="Q180" s="134" t="s">
        <v>417</v>
      </c>
      <c r="R180" s="132" t="s">
        <v>182</v>
      </c>
      <c r="S180" s="132" t="s">
        <v>243</v>
      </c>
      <c r="T180" s="132" t="s">
        <v>413</v>
      </c>
      <c r="U180" s="132" t="s">
        <v>414</v>
      </c>
      <c r="V180" s="132" t="s">
        <v>418</v>
      </c>
      <c r="W180" s="132" t="s">
        <v>182</v>
      </c>
      <c r="X180" s="132" t="s">
        <v>243</v>
      </c>
      <c r="Y180" s="132" t="s">
        <v>243</v>
      </c>
      <c r="Z180" s="132"/>
      <c r="AA180" s="135"/>
      <c r="AB180" s="135" t="s">
        <v>419</v>
      </c>
      <c r="AC180" s="138">
        <v>5000</v>
      </c>
      <c r="AD180" s="135">
        <v>99999999</v>
      </c>
      <c r="AE180" s="132" t="s">
        <v>243</v>
      </c>
      <c r="AF180" s="132" t="s">
        <v>271</v>
      </c>
      <c r="AG180" s="132" t="s">
        <v>243</v>
      </c>
      <c r="AH180" s="132" t="s">
        <v>243</v>
      </c>
      <c r="AI180" s="135">
        <v>0</v>
      </c>
      <c r="AJ180" s="135">
        <v>0</v>
      </c>
      <c r="AK180" s="135">
        <v>0</v>
      </c>
      <c r="AL180" s="135">
        <v>0</v>
      </c>
      <c r="AM180" s="132" t="s">
        <v>182</v>
      </c>
      <c r="AN180" s="135">
        <v>0</v>
      </c>
      <c r="AO180" s="132" t="s">
        <v>243</v>
      </c>
      <c r="AP180" s="135">
        <v>1</v>
      </c>
      <c r="AQ180" s="136">
        <v>1111</v>
      </c>
      <c r="AR180" s="136" t="s">
        <v>415</v>
      </c>
      <c r="AS180" s="136">
        <v>10</v>
      </c>
      <c r="AT180" s="136">
        <v>1</v>
      </c>
      <c r="AU180" s="136">
        <v>0</v>
      </c>
      <c r="AV180" s="136">
        <v>0</v>
      </c>
      <c r="AW180" s="136">
        <v>0</v>
      </c>
      <c r="AX180" s="136">
        <v>0</v>
      </c>
      <c r="AY180" s="136">
        <v>1</v>
      </c>
      <c r="AZ180" s="136">
        <v>0</v>
      </c>
      <c r="BA180" s="137">
        <v>40640.750486111108</v>
      </c>
      <c r="BB180" s="136">
        <v>470195</v>
      </c>
      <c r="BC180" s="136">
        <v>470195</v>
      </c>
      <c r="BD180" s="137">
        <v>45392.67769675926</v>
      </c>
      <c r="BE180" s="136">
        <v>363363</v>
      </c>
      <c r="BF180" s="136">
        <v>363363</v>
      </c>
      <c r="BG180" s="158"/>
    </row>
    <row r="181" spans="2:59">
      <c r="B181" s="163"/>
      <c r="BG181" s="158"/>
    </row>
    <row r="182" spans="2:59" ht="14.5" thickBot="1">
      <c r="B182" s="163"/>
      <c r="C182" s="164" t="s">
        <v>152</v>
      </c>
      <c r="BG182" s="158"/>
    </row>
    <row r="183" spans="2:59" ht="14.5" thickBot="1">
      <c r="B183" s="163"/>
      <c r="C183" s="233" t="s">
        <v>422</v>
      </c>
      <c r="D183" s="233" t="s">
        <v>423</v>
      </c>
      <c r="E183" s="233" t="s">
        <v>158</v>
      </c>
      <c r="F183" s="233" t="s">
        <v>424</v>
      </c>
      <c r="G183" s="233" t="s">
        <v>425</v>
      </c>
      <c r="H183" s="233" t="s">
        <v>426</v>
      </c>
      <c r="I183" s="233" t="s">
        <v>427</v>
      </c>
      <c r="J183" s="233" t="s">
        <v>428</v>
      </c>
      <c r="K183" s="233" t="s">
        <v>429</v>
      </c>
      <c r="L183" s="233" t="s">
        <v>430</v>
      </c>
      <c r="M183" s="233" t="s">
        <v>431</v>
      </c>
      <c r="BG183" s="158"/>
    </row>
    <row r="184" spans="2:59" ht="14.5" thickBot="1">
      <c r="B184" s="163"/>
      <c r="C184" s="233">
        <v>0</v>
      </c>
      <c r="D184" s="233">
        <v>0</v>
      </c>
      <c r="E184" s="233">
        <v>0</v>
      </c>
      <c r="F184" s="233" t="s">
        <v>432</v>
      </c>
      <c r="G184" s="233" t="s">
        <v>432</v>
      </c>
      <c r="H184" s="233">
        <v>2</v>
      </c>
      <c r="I184" s="233">
        <v>4</v>
      </c>
      <c r="J184" s="233">
        <v>3</v>
      </c>
      <c r="K184" s="233">
        <v>1</v>
      </c>
      <c r="L184" s="233">
        <v>0</v>
      </c>
      <c r="M184" s="233">
        <v>0</v>
      </c>
      <c r="BG184" s="158"/>
    </row>
    <row r="185" spans="2:59" ht="13.5" thickBot="1">
      <c r="B185" s="163"/>
      <c r="BG185" s="158"/>
    </row>
    <row r="186" spans="2:59" ht="14" thickBot="1">
      <c r="B186" s="104" t="s">
        <v>469</v>
      </c>
      <c r="C186" s="105" t="s">
        <v>467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58"/>
    </row>
    <row r="187" spans="2:59" ht="14" thickBot="1">
      <c r="B187" s="140" t="s">
        <v>433</v>
      </c>
      <c r="C187" s="105" t="s">
        <v>227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58"/>
    </row>
    <row r="188" spans="2:59">
      <c r="B188" s="163"/>
      <c r="BG188" s="158"/>
    </row>
    <row r="189" spans="2:59" ht="13.5">
      <c r="B189" s="163"/>
      <c r="C189" s="161" t="s">
        <v>228</v>
      </c>
      <c r="BG189" s="158"/>
    </row>
    <row r="190" spans="2:59" ht="13.5">
      <c r="B190" s="163"/>
      <c r="C190" s="161" t="s">
        <v>468</v>
      </c>
      <c r="BG190" s="158"/>
    </row>
    <row r="191" spans="2:59">
      <c r="B191" s="163"/>
      <c r="BG191" s="158"/>
    </row>
    <row r="192" spans="2:59" ht="15">
      <c r="B192" s="163"/>
      <c r="C192" s="257" t="s">
        <v>268</v>
      </c>
      <c r="D192" s="258"/>
      <c r="E192" s="258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60"/>
      <c r="AA192" s="66"/>
      <c r="AB192" s="66"/>
      <c r="AC192" s="66"/>
      <c r="AD192" s="66"/>
      <c r="BG192" s="158"/>
    </row>
    <row r="193" spans="2:59" ht="15">
      <c r="B193" s="163"/>
      <c r="C193" s="127"/>
      <c r="D193" s="127"/>
      <c r="E193" s="127"/>
      <c r="F193" s="124" t="s">
        <v>168</v>
      </c>
      <c r="G193" s="124" t="s">
        <v>168</v>
      </c>
      <c r="H193" s="124" t="s">
        <v>168</v>
      </c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BG193" s="158"/>
    </row>
    <row r="194" spans="2:59">
      <c r="B194" s="163"/>
      <c r="C194" s="117" t="s">
        <v>171</v>
      </c>
      <c r="D194" s="117" t="s">
        <v>172</v>
      </c>
      <c r="E194" s="117" t="s">
        <v>173</v>
      </c>
      <c r="F194" s="119" t="s">
        <v>91</v>
      </c>
      <c r="G194" s="119" t="s">
        <v>67</v>
      </c>
      <c r="H194" s="119" t="s">
        <v>69</v>
      </c>
      <c r="I194" s="119" t="s">
        <v>289</v>
      </c>
      <c r="J194" s="119" t="s">
        <v>290</v>
      </c>
      <c r="K194" s="119" t="s">
        <v>291</v>
      </c>
      <c r="L194" s="119" t="s">
        <v>292</v>
      </c>
      <c r="M194" s="119" t="s">
        <v>293</v>
      </c>
      <c r="N194" s="119" t="s">
        <v>294</v>
      </c>
      <c r="O194" s="119" t="s">
        <v>295</v>
      </c>
      <c r="P194" s="119" t="s">
        <v>296</v>
      </c>
      <c r="Q194" s="119" t="s">
        <v>297</v>
      </c>
      <c r="R194" s="119" t="s">
        <v>298</v>
      </c>
      <c r="S194" s="119" t="s">
        <v>299</v>
      </c>
      <c r="T194" s="119" t="s">
        <v>300</v>
      </c>
      <c r="U194" s="119" t="s">
        <v>301</v>
      </c>
      <c r="V194" s="119" t="s">
        <v>302</v>
      </c>
      <c r="W194" s="119" t="s">
        <v>303</v>
      </c>
      <c r="X194" s="119" t="s">
        <v>229</v>
      </c>
      <c r="Y194" s="119" t="s">
        <v>230</v>
      </c>
      <c r="Z194" s="119" t="s">
        <v>231</v>
      </c>
      <c r="AA194" s="119" t="s">
        <v>232</v>
      </c>
      <c r="AB194" s="119" t="s">
        <v>150</v>
      </c>
      <c r="AC194" s="119" t="s">
        <v>151</v>
      </c>
      <c r="AD194" s="119" t="s">
        <v>233</v>
      </c>
      <c r="BG194" s="158"/>
    </row>
    <row r="195" spans="2:59">
      <c r="B195" s="163"/>
      <c r="C195" s="117" t="s">
        <v>205</v>
      </c>
      <c r="D195" s="117" t="s">
        <v>214</v>
      </c>
      <c r="E195" s="117" t="s">
        <v>222</v>
      </c>
      <c r="F195" s="118" t="s">
        <v>250</v>
      </c>
      <c r="G195" s="118" t="s">
        <v>251</v>
      </c>
      <c r="H195" s="118" t="s">
        <v>253</v>
      </c>
      <c r="I195" s="118" t="s">
        <v>252</v>
      </c>
      <c r="J195" s="118" t="s">
        <v>254</v>
      </c>
      <c r="K195" s="118" t="s">
        <v>255</v>
      </c>
      <c r="L195" s="118" t="s">
        <v>256</v>
      </c>
      <c r="M195" s="118" t="s">
        <v>257</v>
      </c>
      <c r="N195" s="118" t="s">
        <v>258</v>
      </c>
      <c r="O195" s="118" t="s">
        <v>259</v>
      </c>
      <c r="P195" s="118" t="s">
        <v>260</v>
      </c>
      <c r="Q195" s="118" t="s">
        <v>261</v>
      </c>
      <c r="R195" s="118" t="s">
        <v>262</v>
      </c>
      <c r="S195" s="118" t="s">
        <v>263</v>
      </c>
      <c r="T195" s="118" t="s">
        <v>264</v>
      </c>
      <c r="U195" s="118" t="s">
        <v>265</v>
      </c>
      <c r="V195" s="118" t="s">
        <v>266</v>
      </c>
      <c r="W195" s="118" t="s">
        <v>267</v>
      </c>
      <c r="X195" s="118" t="s">
        <v>235</v>
      </c>
      <c r="Y195" s="118" t="s">
        <v>236</v>
      </c>
      <c r="Z195" s="118" t="s">
        <v>237</v>
      </c>
      <c r="AA195" s="118" t="s">
        <v>238</v>
      </c>
      <c r="AB195" s="118" t="s">
        <v>239</v>
      </c>
      <c r="AC195" s="118" t="s">
        <v>240</v>
      </c>
      <c r="AD195" s="118" t="s">
        <v>241</v>
      </c>
      <c r="BG195" s="158"/>
    </row>
    <row r="196" spans="2:59">
      <c r="B196" s="163"/>
      <c r="C196" s="117" t="s">
        <v>304</v>
      </c>
      <c r="D196" s="117" t="s">
        <v>305</v>
      </c>
      <c r="E196" s="117" t="s">
        <v>305</v>
      </c>
      <c r="F196" s="119" t="s">
        <v>306</v>
      </c>
      <c r="G196" s="119" t="s">
        <v>306</v>
      </c>
      <c r="H196" s="119" t="s">
        <v>307</v>
      </c>
      <c r="I196" s="119" t="s">
        <v>306</v>
      </c>
      <c r="J196" s="119" t="s">
        <v>308</v>
      </c>
      <c r="K196" s="119" t="s">
        <v>309</v>
      </c>
      <c r="L196" s="118" t="s">
        <v>310</v>
      </c>
      <c r="M196" s="119" t="s">
        <v>310</v>
      </c>
      <c r="N196" s="119" t="s">
        <v>311</v>
      </c>
      <c r="O196" s="119" t="s">
        <v>306</v>
      </c>
      <c r="P196" s="119" t="s">
        <v>312</v>
      </c>
      <c r="Q196" s="119" t="s">
        <v>313</v>
      </c>
      <c r="R196" s="119" t="s">
        <v>312</v>
      </c>
      <c r="S196" s="119" t="s">
        <v>314</v>
      </c>
      <c r="T196" s="118" t="s">
        <v>315</v>
      </c>
      <c r="U196" s="119" t="s">
        <v>315</v>
      </c>
      <c r="V196" s="119" t="s">
        <v>316</v>
      </c>
      <c r="W196" s="119" t="s">
        <v>306</v>
      </c>
      <c r="X196" s="119" t="s">
        <v>317</v>
      </c>
      <c r="Y196" s="119" t="s">
        <v>319</v>
      </c>
      <c r="Z196" s="119" t="s">
        <v>320</v>
      </c>
      <c r="AA196" s="119" t="s">
        <v>320</v>
      </c>
      <c r="AB196" s="118" t="s">
        <v>318</v>
      </c>
      <c r="AC196" s="119" t="s">
        <v>320</v>
      </c>
      <c r="AD196" s="119" t="s">
        <v>320</v>
      </c>
      <c r="BG196" s="158"/>
    </row>
    <row r="197" spans="2:59" ht="25">
      <c r="B197" s="122" t="s">
        <v>244</v>
      </c>
      <c r="C197" s="121" t="s">
        <v>269</v>
      </c>
      <c r="D197" s="143" t="s">
        <v>461</v>
      </c>
      <c r="E197" s="143" t="s">
        <v>461</v>
      </c>
      <c r="F197" s="119" t="s">
        <v>182</v>
      </c>
      <c r="G197" s="119" t="s">
        <v>271</v>
      </c>
      <c r="H197" s="119" t="s">
        <v>183</v>
      </c>
      <c r="I197" s="119" t="s">
        <v>271</v>
      </c>
      <c r="J197" s="119" t="s">
        <v>272</v>
      </c>
      <c r="K197" s="119" t="s">
        <v>243</v>
      </c>
      <c r="L197" s="118" t="s">
        <v>155</v>
      </c>
      <c r="M197" s="119" t="s">
        <v>273</v>
      </c>
      <c r="N197" s="119"/>
      <c r="O197" s="119" t="s">
        <v>182</v>
      </c>
      <c r="P197" s="119" t="s">
        <v>155</v>
      </c>
      <c r="Q197" s="119" t="s">
        <v>274</v>
      </c>
      <c r="R197" s="119" t="s">
        <v>275</v>
      </c>
      <c r="S197" s="119"/>
      <c r="T197" s="118" t="s">
        <v>155</v>
      </c>
      <c r="U197" s="119" t="s">
        <v>155</v>
      </c>
      <c r="V197" s="119" t="s">
        <v>155</v>
      </c>
      <c r="W197" s="119"/>
      <c r="X197" s="119" t="s">
        <v>243</v>
      </c>
      <c r="Y197" s="119" t="s">
        <v>276</v>
      </c>
      <c r="Z197" s="119" t="s">
        <v>277</v>
      </c>
      <c r="AA197" s="119" t="s">
        <v>277</v>
      </c>
      <c r="AB197" s="118" t="s">
        <v>278</v>
      </c>
      <c r="AC197" s="119" t="s">
        <v>279</v>
      </c>
      <c r="AD197" s="119" t="s">
        <v>279</v>
      </c>
      <c r="BG197" s="158"/>
    </row>
    <row r="198" spans="2:59" ht="14">
      <c r="B198" s="120" t="s">
        <v>242</v>
      </c>
      <c r="C198" s="142" t="s">
        <v>476</v>
      </c>
      <c r="D198" s="121" t="s">
        <v>270</v>
      </c>
      <c r="E198" s="121" t="s">
        <v>270</v>
      </c>
      <c r="F198" s="121" t="s">
        <v>182</v>
      </c>
      <c r="G198" s="121" t="s">
        <v>271</v>
      </c>
      <c r="H198" s="121" t="s">
        <v>183</v>
      </c>
      <c r="I198" s="121" t="s">
        <v>271</v>
      </c>
      <c r="J198" s="121" t="s">
        <v>477</v>
      </c>
      <c r="K198" s="121" t="s">
        <v>243</v>
      </c>
      <c r="L198" s="121" t="s">
        <v>155</v>
      </c>
      <c r="M198" s="121" t="s">
        <v>273</v>
      </c>
      <c r="N198" s="121"/>
      <c r="O198" s="121" t="s">
        <v>182</v>
      </c>
      <c r="P198" s="121" t="s">
        <v>155</v>
      </c>
      <c r="Q198" s="121" t="s">
        <v>274</v>
      </c>
      <c r="R198" s="121" t="s">
        <v>478</v>
      </c>
      <c r="S198" s="121"/>
      <c r="T198" s="121" t="s">
        <v>479</v>
      </c>
      <c r="U198" s="121" t="s">
        <v>480</v>
      </c>
      <c r="V198" s="121" t="s">
        <v>481</v>
      </c>
      <c r="W198" s="121"/>
      <c r="X198" s="121" t="s">
        <v>243</v>
      </c>
      <c r="Y198" s="121" t="s">
        <v>276</v>
      </c>
      <c r="Z198" s="121" t="s">
        <v>277</v>
      </c>
      <c r="AA198" s="121" t="s">
        <v>277</v>
      </c>
      <c r="AB198" s="121" t="s">
        <v>482</v>
      </c>
      <c r="AC198" s="121">
        <v>375901</v>
      </c>
      <c r="AD198" s="121" t="s">
        <v>483</v>
      </c>
      <c r="BG198" s="158"/>
    </row>
    <row r="199" spans="2:59" ht="14">
      <c r="B199" s="120" t="s">
        <v>242</v>
      </c>
      <c r="C199" s="142" t="s">
        <v>490</v>
      </c>
      <c r="D199" s="132" t="s">
        <v>270</v>
      </c>
      <c r="E199" s="132" t="s">
        <v>270</v>
      </c>
      <c r="F199" s="132" t="s">
        <v>182</v>
      </c>
      <c r="G199" s="132" t="s">
        <v>271</v>
      </c>
      <c r="H199" s="132" t="s">
        <v>183</v>
      </c>
      <c r="I199" s="132" t="s">
        <v>271</v>
      </c>
      <c r="J199" s="132" t="s">
        <v>484</v>
      </c>
      <c r="K199" s="132" t="s">
        <v>243</v>
      </c>
      <c r="L199" s="132" t="s">
        <v>485</v>
      </c>
      <c r="M199" s="132" t="s">
        <v>273</v>
      </c>
      <c r="N199" s="132"/>
      <c r="O199" s="132" t="s">
        <v>271</v>
      </c>
      <c r="P199" s="132" t="s">
        <v>155</v>
      </c>
      <c r="Q199" s="132" t="s">
        <v>486</v>
      </c>
      <c r="R199" s="132" t="s">
        <v>275</v>
      </c>
      <c r="S199" s="132"/>
      <c r="T199" s="132" t="s">
        <v>155</v>
      </c>
      <c r="U199" s="132" t="s">
        <v>155</v>
      </c>
      <c r="V199" s="132" t="s">
        <v>155</v>
      </c>
      <c r="W199" s="132"/>
      <c r="X199" s="132" t="s">
        <v>243</v>
      </c>
      <c r="Y199" s="132" t="s">
        <v>487</v>
      </c>
      <c r="Z199" s="132" t="s">
        <v>277</v>
      </c>
      <c r="AA199" s="132" t="s">
        <v>277</v>
      </c>
      <c r="AB199" s="132" t="s">
        <v>488</v>
      </c>
      <c r="AC199" s="132" t="s">
        <v>489</v>
      </c>
      <c r="AD199" s="132" t="s">
        <v>489</v>
      </c>
      <c r="BG199" s="158"/>
    </row>
    <row r="200" spans="2:59" ht="25">
      <c r="B200" s="120" t="s">
        <v>242</v>
      </c>
      <c r="C200" s="121" t="s">
        <v>269</v>
      </c>
      <c r="D200" s="118" t="s">
        <v>270</v>
      </c>
      <c r="E200" s="142" t="s">
        <v>181</v>
      </c>
      <c r="F200" s="119" t="s">
        <v>182</v>
      </c>
      <c r="G200" s="132" t="s">
        <v>271</v>
      </c>
      <c r="H200" s="119" t="s">
        <v>183</v>
      </c>
      <c r="I200" s="132" t="s">
        <v>271</v>
      </c>
      <c r="J200" s="119" t="s">
        <v>183</v>
      </c>
      <c r="K200" s="119" t="s">
        <v>243</v>
      </c>
      <c r="L200" s="118" t="s">
        <v>280</v>
      </c>
      <c r="M200" s="119" t="s">
        <v>273</v>
      </c>
      <c r="N200" s="119"/>
      <c r="O200" s="119" t="s">
        <v>243</v>
      </c>
      <c r="P200" s="119" t="s">
        <v>155</v>
      </c>
      <c r="Q200" s="119" t="s">
        <v>183</v>
      </c>
      <c r="R200" s="119" t="s">
        <v>281</v>
      </c>
      <c r="S200" s="119"/>
      <c r="T200" s="118" t="s">
        <v>155</v>
      </c>
      <c r="U200" s="119" t="s">
        <v>155</v>
      </c>
      <c r="V200" s="119" t="s">
        <v>155</v>
      </c>
      <c r="W200" s="119"/>
      <c r="X200" s="119" t="s">
        <v>243</v>
      </c>
      <c r="Y200" s="119" t="s">
        <v>282</v>
      </c>
      <c r="Z200" s="119" t="s">
        <v>283</v>
      </c>
      <c r="AA200" s="119">
        <v>470195</v>
      </c>
      <c r="AB200" s="118" t="s">
        <v>282</v>
      </c>
      <c r="AC200" s="119">
        <v>470195</v>
      </c>
      <c r="AD200" s="119" t="s">
        <v>283</v>
      </c>
      <c r="BG200" s="158"/>
    </row>
    <row r="201" spans="2:59">
      <c r="B201" s="163"/>
      <c r="BG201" s="158"/>
    </row>
    <row r="202" spans="2:59" ht="15">
      <c r="B202" s="163"/>
      <c r="C202" s="257" t="s">
        <v>321</v>
      </c>
      <c r="D202" s="25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  <c r="Q202" s="258"/>
      <c r="R202" s="258"/>
      <c r="S202" s="258"/>
      <c r="T202" s="258"/>
      <c r="U202" s="90"/>
      <c r="V202" s="90"/>
      <c r="W202" s="90"/>
      <c r="X202" s="90"/>
      <c r="Y202" s="90"/>
      <c r="Z202" s="90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  <c r="BA202" s="92"/>
      <c r="BB202" s="92"/>
      <c r="BC202" s="92"/>
      <c r="BD202" s="92"/>
      <c r="BE202" s="92"/>
      <c r="BF202" s="92"/>
      <c r="BG202" s="158"/>
    </row>
    <row r="203" spans="2:59" ht="15">
      <c r="B203" s="163"/>
      <c r="C203" s="127"/>
      <c r="D203" s="127"/>
      <c r="E203" s="127"/>
      <c r="F203" s="124" t="s">
        <v>168</v>
      </c>
      <c r="G203" s="124" t="s">
        <v>168</v>
      </c>
      <c r="H203" s="129" t="s">
        <v>168</v>
      </c>
      <c r="I203" s="124" t="s">
        <v>168</v>
      </c>
      <c r="J203" s="124" t="s">
        <v>168</v>
      </c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58"/>
    </row>
    <row r="204" spans="2:59" ht="25">
      <c r="B204" s="163"/>
      <c r="C204" s="117" t="s">
        <v>365</v>
      </c>
      <c r="D204" s="117" t="s">
        <v>420</v>
      </c>
      <c r="E204" s="117" t="s">
        <v>421</v>
      </c>
      <c r="F204" s="119" t="s">
        <v>96</v>
      </c>
      <c r="G204" s="119" t="s">
        <v>99</v>
      </c>
      <c r="H204" s="119" t="s">
        <v>130</v>
      </c>
      <c r="I204" s="119" t="s">
        <v>391</v>
      </c>
      <c r="J204" s="119" t="s">
        <v>127</v>
      </c>
      <c r="K204" s="119" t="s">
        <v>67</v>
      </c>
      <c r="L204" s="119" t="s">
        <v>288</v>
      </c>
      <c r="M204" s="119" t="s">
        <v>366</v>
      </c>
      <c r="N204" s="119" t="s">
        <v>367</v>
      </c>
      <c r="O204" s="119" t="s">
        <v>368</v>
      </c>
      <c r="P204" s="119" t="s">
        <v>369</v>
      </c>
      <c r="Q204" s="119" t="s">
        <v>370</v>
      </c>
      <c r="R204" s="119" t="s">
        <v>371</v>
      </c>
      <c r="S204" s="119" t="s">
        <v>372</v>
      </c>
      <c r="T204" s="119" t="s">
        <v>373</v>
      </c>
      <c r="U204" s="119" t="s">
        <v>374</v>
      </c>
      <c r="V204" s="119" t="s">
        <v>375</v>
      </c>
      <c r="W204" s="119" t="s">
        <v>376</v>
      </c>
      <c r="X204" s="119" t="s">
        <v>377</v>
      </c>
      <c r="Y204" s="119" t="s">
        <v>378</v>
      </c>
      <c r="Z204" s="119" t="s">
        <v>379</v>
      </c>
      <c r="AA204" s="119" t="s">
        <v>380</v>
      </c>
      <c r="AB204" s="119" t="s">
        <v>381</v>
      </c>
      <c r="AC204" s="119" t="s">
        <v>382</v>
      </c>
      <c r="AD204" s="119" t="s">
        <v>383</v>
      </c>
      <c r="AE204" s="119" t="s">
        <v>384</v>
      </c>
      <c r="AF204" s="119" t="s">
        <v>385</v>
      </c>
      <c r="AG204" s="119" t="s">
        <v>386</v>
      </c>
      <c r="AH204" s="119" t="s">
        <v>387</v>
      </c>
      <c r="AI204" s="119" t="s">
        <v>388</v>
      </c>
      <c r="AJ204" s="119" t="s">
        <v>390</v>
      </c>
      <c r="AK204" s="119" t="s">
        <v>389</v>
      </c>
      <c r="AL204" s="119" t="s">
        <v>398</v>
      </c>
      <c r="AM204" s="119" t="s">
        <v>392</v>
      </c>
      <c r="AN204" s="119" t="s">
        <v>393</v>
      </c>
      <c r="AO204" s="119" t="s">
        <v>394</v>
      </c>
      <c r="AP204" s="119" t="s">
        <v>395</v>
      </c>
      <c r="AQ204" s="119" t="s">
        <v>399</v>
      </c>
      <c r="AR204" s="119" t="s">
        <v>396</v>
      </c>
      <c r="AS204" s="119" t="s">
        <v>397</v>
      </c>
      <c r="AT204" s="119" t="s">
        <v>400</v>
      </c>
      <c r="AU204" s="119" t="s">
        <v>401</v>
      </c>
      <c r="AV204" s="119" t="s">
        <v>402</v>
      </c>
      <c r="AW204" s="119" t="s">
        <v>403</v>
      </c>
      <c r="AX204" s="119" t="s">
        <v>404</v>
      </c>
      <c r="AY204" s="119" t="s">
        <v>405</v>
      </c>
      <c r="AZ204" s="119" t="s">
        <v>229</v>
      </c>
      <c r="BA204" s="119" t="s">
        <v>230</v>
      </c>
      <c r="BB204" s="119" t="s">
        <v>231</v>
      </c>
      <c r="BC204" s="119" t="s">
        <v>232</v>
      </c>
      <c r="BD204" s="119" t="s">
        <v>150</v>
      </c>
      <c r="BE204" s="119" t="s">
        <v>151</v>
      </c>
      <c r="BF204" s="119" t="s">
        <v>233</v>
      </c>
      <c r="BG204" s="158"/>
    </row>
    <row r="205" spans="2:59">
      <c r="B205" s="163"/>
      <c r="C205" s="117" t="s">
        <v>205</v>
      </c>
      <c r="D205" s="117" t="s">
        <v>214</v>
      </c>
      <c r="E205" s="117" t="s">
        <v>222</v>
      </c>
      <c r="F205" s="118" t="s">
        <v>322</v>
      </c>
      <c r="G205" s="118" t="s">
        <v>323</v>
      </c>
      <c r="H205" s="118" t="s">
        <v>324</v>
      </c>
      <c r="I205" s="118" t="s">
        <v>351</v>
      </c>
      <c r="J205" s="118" t="s">
        <v>357</v>
      </c>
      <c r="K205" s="118" t="s">
        <v>251</v>
      </c>
      <c r="L205" s="118" t="s">
        <v>252</v>
      </c>
      <c r="M205" s="118" t="s">
        <v>325</v>
      </c>
      <c r="N205" s="118" t="s">
        <v>326</v>
      </c>
      <c r="O205" s="118" t="s">
        <v>327</v>
      </c>
      <c r="P205" s="118" t="s">
        <v>328</v>
      </c>
      <c r="Q205" s="118" t="s">
        <v>329</v>
      </c>
      <c r="R205" s="118" t="s">
        <v>330</v>
      </c>
      <c r="S205" s="118" t="s">
        <v>331</v>
      </c>
      <c r="T205" s="118" t="s">
        <v>332</v>
      </c>
      <c r="U205" s="118" t="s">
        <v>333</v>
      </c>
      <c r="V205" s="118" t="s">
        <v>334</v>
      </c>
      <c r="W205" s="118" t="s">
        <v>335</v>
      </c>
      <c r="X205" s="118" t="s">
        <v>336</v>
      </c>
      <c r="Y205" s="118" t="s">
        <v>337</v>
      </c>
      <c r="Z205" s="118" t="s">
        <v>338</v>
      </c>
      <c r="AA205" s="118" t="s">
        <v>339</v>
      </c>
      <c r="AB205" s="118" t="s">
        <v>340</v>
      </c>
      <c r="AC205" s="118" t="s">
        <v>341</v>
      </c>
      <c r="AD205" s="118" t="s">
        <v>342</v>
      </c>
      <c r="AE205" s="118" t="s">
        <v>343</v>
      </c>
      <c r="AF205" s="118" t="s">
        <v>344</v>
      </c>
      <c r="AG205" s="118" t="s">
        <v>345</v>
      </c>
      <c r="AH205" s="118" t="s">
        <v>346</v>
      </c>
      <c r="AI205" s="118" t="s">
        <v>347</v>
      </c>
      <c r="AJ205" s="118" t="s">
        <v>348</v>
      </c>
      <c r="AK205" s="118" t="s">
        <v>349</v>
      </c>
      <c r="AL205" s="118" t="s">
        <v>350</v>
      </c>
      <c r="AM205" s="118" t="s">
        <v>352</v>
      </c>
      <c r="AN205" s="118" t="s">
        <v>353</v>
      </c>
      <c r="AO205" s="118" t="s">
        <v>354</v>
      </c>
      <c r="AP205" s="118" t="s">
        <v>234</v>
      </c>
      <c r="AQ205" s="118" t="s">
        <v>355</v>
      </c>
      <c r="AR205" s="118" t="s">
        <v>356</v>
      </c>
      <c r="AS205" s="118" t="s">
        <v>358</v>
      </c>
      <c r="AT205" s="118" t="s">
        <v>359</v>
      </c>
      <c r="AU205" s="118" t="s">
        <v>360</v>
      </c>
      <c r="AV205" s="118" t="s">
        <v>361</v>
      </c>
      <c r="AW205" s="118" t="s">
        <v>362</v>
      </c>
      <c r="AX205" s="118" t="s">
        <v>363</v>
      </c>
      <c r="AY205" s="118" t="s">
        <v>364</v>
      </c>
      <c r="AZ205" s="118" t="s">
        <v>235</v>
      </c>
      <c r="BA205" s="118" t="s">
        <v>236</v>
      </c>
      <c r="BB205" s="118" t="s">
        <v>237</v>
      </c>
      <c r="BC205" s="118" t="s">
        <v>238</v>
      </c>
      <c r="BD205" s="118" t="s">
        <v>239</v>
      </c>
      <c r="BE205" s="118" t="s">
        <v>240</v>
      </c>
      <c r="BF205" s="118" t="s">
        <v>241</v>
      </c>
      <c r="BG205" s="158"/>
    </row>
    <row r="206" spans="2:59">
      <c r="B206" s="163"/>
      <c r="C206" s="117" t="s">
        <v>304</v>
      </c>
      <c r="D206" s="117" t="s">
        <v>406</v>
      </c>
      <c r="E206" s="117" t="s">
        <v>305</v>
      </c>
      <c r="F206" s="131" t="s">
        <v>306</v>
      </c>
      <c r="G206" s="131" t="s">
        <v>306</v>
      </c>
      <c r="H206" s="131" t="s">
        <v>306</v>
      </c>
      <c r="I206" s="131" t="s">
        <v>306</v>
      </c>
      <c r="J206" s="131" t="s">
        <v>308</v>
      </c>
      <c r="K206" s="131" t="s">
        <v>306</v>
      </c>
      <c r="L206" s="131" t="s">
        <v>306</v>
      </c>
      <c r="M206" s="131" t="s">
        <v>407</v>
      </c>
      <c r="N206" s="131" t="s">
        <v>407</v>
      </c>
      <c r="O206" s="131" t="s">
        <v>305</v>
      </c>
      <c r="P206" s="131" t="s">
        <v>408</v>
      </c>
      <c r="Q206" s="131" t="s">
        <v>306</v>
      </c>
      <c r="R206" s="131" t="s">
        <v>313</v>
      </c>
      <c r="S206" s="131" t="s">
        <v>308</v>
      </c>
      <c r="T206" s="131" t="s">
        <v>313</v>
      </c>
      <c r="U206" s="131" t="s">
        <v>308</v>
      </c>
      <c r="V206" s="131" t="s">
        <v>308</v>
      </c>
      <c r="W206" s="131" t="s">
        <v>306</v>
      </c>
      <c r="X206" s="131" t="s">
        <v>409</v>
      </c>
      <c r="Y206" s="131" t="s">
        <v>409</v>
      </c>
      <c r="Z206" s="131" t="s">
        <v>310</v>
      </c>
      <c r="AA206" s="131" t="s">
        <v>408</v>
      </c>
      <c r="AB206" s="131" t="s">
        <v>408</v>
      </c>
      <c r="AC206" s="131" t="s">
        <v>308</v>
      </c>
      <c r="AD206" s="131" t="s">
        <v>312</v>
      </c>
      <c r="AE206" s="131" t="s">
        <v>313</v>
      </c>
      <c r="AF206" s="131" t="s">
        <v>313</v>
      </c>
      <c r="AG206" s="131" t="s">
        <v>410</v>
      </c>
      <c r="AH206" s="131" t="s">
        <v>410</v>
      </c>
      <c r="AI206" s="131" t="s">
        <v>313</v>
      </c>
      <c r="AJ206" s="131" t="s">
        <v>313</v>
      </c>
      <c r="AK206" s="131" t="s">
        <v>410</v>
      </c>
      <c r="AL206" s="131" t="s">
        <v>410</v>
      </c>
      <c r="AM206" s="131" t="s">
        <v>306</v>
      </c>
      <c r="AN206" s="131" t="s">
        <v>306</v>
      </c>
      <c r="AO206" s="131" t="s">
        <v>306</v>
      </c>
      <c r="AP206" s="131" t="s">
        <v>310</v>
      </c>
      <c r="AQ206" s="131" t="s">
        <v>305</v>
      </c>
      <c r="AR206" s="131" t="s">
        <v>306</v>
      </c>
      <c r="AS206" s="131" t="s">
        <v>308</v>
      </c>
      <c r="AT206" s="131" t="s">
        <v>306</v>
      </c>
      <c r="AU206" s="131" t="s">
        <v>411</v>
      </c>
      <c r="AV206" s="131" t="s">
        <v>313</v>
      </c>
      <c r="AW206" s="131" t="s">
        <v>310</v>
      </c>
      <c r="AX206" s="131" t="s">
        <v>306</v>
      </c>
      <c r="AY206" s="131" t="s">
        <v>306</v>
      </c>
      <c r="AZ206" s="131" t="s">
        <v>317</v>
      </c>
      <c r="BA206" s="131" t="s">
        <v>318</v>
      </c>
      <c r="BB206" s="131" t="s">
        <v>320</v>
      </c>
      <c r="BC206" s="131" t="s">
        <v>320</v>
      </c>
      <c r="BD206" s="131" t="s">
        <v>318</v>
      </c>
      <c r="BE206" s="131" t="s">
        <v>320</v>
      </c>
      <c r="BF206" s="131" t="s">
        <v>320</v>
      </c>
      <c r="BG206" s="158"/>
    </row>
    <row r="207" spans="2:59" ht="15">
      <c r="B207" s="122" t="s">
        <v>244</v>
      </c>
      <c r="C207" s="132" t="s">
        <v>269</v>
      </c>
      <c r="D207" s="143" t="s">
        <v>461</v>
      </c>
      <c r="E207" s="143" t="s">
        <v>461</v>
      </c>
      <c r="F207" s="133" t="s">
        <v>286</v>
      </c>
      <c r="G207" s="132" t="s">
        <v>243</v>
      </c>
      <c r="H207" s="132" t="s">
        <v>243</v>
      </c>
      <c r="I207" s="135">
        <v>1</v>
      </c>
      <c r="J207" s="136">
        <v>0</v>
      </c>
      <c r="K207" s="132" t="s">
        <v>271</v>
      </c>
      <c r="L207" s="132" t="s">
        <v>271</v>
      </c>
      <c r="M207" s="132" t="s">
        <v>155</v>
      </c>
      <c r="N207" s="132" t="s">
        <v>155</v>
      </c>
      <c r="O207" s="132" t="s">
        <v>155</v>
      </c>
      <c r="P207" s="132" t="s">
        <v>155</v>
      </c>
      <c r="Q207" s="134" t="s">
        <v>412</v>
      </c>
      <c r="R207" s="132" t="s">
        <v>243</v>
      </c>
      <c r="S207" s="132" t="s">
        <v>243</v>
      </c>
      <c r="T207" s="132" t="s">
        <v>413</v>
      </c>
      <c r="U207" s="132" t="s">
        <v>414</v>
      </c>
      <c r="V207" s="132" t="s">
        <v>182</v>
      </c>
      <c r="W207" s="132" t="s">
        <v>182</v>
      </c>
      <c r="X207" s="132" t="s">
        <v>243</v>
      </c>
      <c r="Y207" s="132" t="s">
        <v>243</v>
      </c>
      <c r="Z207" s="132"/>
      <c r="AA207" s="135"/>
      <c r="AB207" s="135" t="s">
        <v>155</v>
      </c>
      <c r="AC207" s="135">
        <v>1</v>
      </c>
      <c r="AD207" s="135">
        <v>99999999</v>
      </c>
      <c r="AE207" s="132" t="s">
        <v>243</v>
      </c>
      <c r="AF207" s="132" t="s">
        <v>243</v>
      </c>
      <c r="AG207" s="132" t="s">
        <v>243</v>
      </c>
      <c r="AH207" s="132" t="s">
        <v>243</v>
      </c>
      <c r="AI207" s="135">
        <v>0</v>
      </c>
      <c r="AJ207" s="135">
        <v>0</v>
      </c>
      <c r="AK207" s="135">
        <v>0</v>
      </c>
      <c r="AL207" s="135">
        <v>0</v>
      </c>
      <c r="AM207" s="132" t="s">
        <v>182</v>
      </c>
      <c r="AN207" s="135">
        <v>0</v>
      </c>
      <c r="AO207" s="132" t="s">
        <v>243</v>
      </c>
      <c r="AP207" s="135">
        <v>1</v>
      </c>
      <c r="AQ207" s="136" t="s">
        <v>155</v>
      </c>
      <c r="AR207" s="136" t="s">
        <v>415</v>
      </c>
      <c r="AS207" s="136">
        <v>0</v>
      </c>
      <c r="AT207" s="136">
        <v>1</v>
      </c>
      <c r="AU207" s="136">
        <v>0</v>
      </c>
      <c r="AV207" s="136">
        <v>0</v>
      </c>
      <c r="AW207" s="136">
        <v>0</v>
      </c>
      <c r="AX207" s="136">
        <v>0</v>
      </c>
      <c r="AY207" s="136">
        <v>1</v>
      </c>
      <c r="AZ207" s="136">
        <v>0</v>
      </c>
      <c r="BA207" s="137">
        <v>29705</v>
      </c>
      <c r="BB207" s="136" t="s">
        <v>277</v>
      </c>
      <c r="BC207" s="136" t="s">
        <v>277</v>
      </c>
      <c r="BD207" s="137">
        <v>36413</v>
      </c>
      <c r="BE207" s="136" t="s">
        <v>277</v>
      </c>
      <c r="BF207" s="136" t="s">
        <v>277</v>
      </c>
      <c r="BG207" s="158"/>
    </row>
    <row r="208" spans="2:59" ht="14">
      <c r="B208" s="120" t="s">
        <v>242</v>
      </c>
      <c r="C208" s="142" t="s">
        <v>476</v>
      </c>
      <c r="D208" s="132" t="s">
        <v>270</v>
      </c>
      <c r="E208" s="132" t="s">
        <v>270</v>
      </c>
      <c r="F208" s="132" t="s">
        <v>286</v>
      </c>
      <c r="G208" s="132" t="s">
        <v>243</v>
      </c>
      <c r="H208" s="132" t="s">
        <v>243</v>
      </c>
      <c r="I208" s="132">
        <v>1</v>
      </c>
      <c r="J208" s="132">
        <v>0</v>
      </c>
      <c r="K208" s="132" t="s">
        <v>271</v>
      </c>
      <c r="L208" s="132" t="s">
        <v>271</v>
      </c>
      <c r="M208" s="132" t="s">
        <v>155</v>
      </c>
      <c r="N208" s="132" t="s">
        <v>155</v>
      </c>
      <c r="O208" s="132" t="s">
        <v>155</v>
      </c>
      <c r="P208" s="132" t="s">
        <v>155</v>
      </c>
      <c r="Q208" s="132" t="s">
        <v>412</v>
      </c>
      <c r="R208" s="132" t="s">
        <v>243</v>
      </c>
      <c r="S208" s="132" t="s">
        <v>243</v>
      </c>
      <c r="T208" s="132" t="s">
        <v>413</v>
      </c>
      <c r="U208" s="132" t="s">
        <v>414</v>
      </c>
      <c r="V208" s="132" t="s">
        <v>182</v>
      </c>
      <c r="W208" s="132" t="s">
        <v>182</v>
      </c>
      <c r="X208" s="132" t="s">
        <v>243</v>
      </c>
      <c r="Y208" s="132" t="s">
        <v>243</v>
      </c>
      <c r="Z208" s="132"/>
      <c r="AA208" s="132"/>
      <c r="AB208" s="132" t="s">
        <v>155</v>
      </c>
      <c r="AC208" s="132">
        <v>1</v>
      </c>
      <c r="AD208" s="132">
        <v>99999999</v>
      </c>
      <c r="AE208" s="132">
        <v>0</v>
      </c>
      <c r="AF208" s="132">
        <v>0</v>
      </c>
      <c r="AG208" s="132">
        <v>0</v>
      </c>
      <c r="AH208" s="132">
        <v>0</v>
      </c>
      <c r="AI208" s="132">
        <v>0</v>
      </c>
      <c r="AJ208" s="132">
        <v>0</v>
      </c>
      <c r="AK208" s="132">
        <v>0</v>
      </c>
      <c r="AL208" s="132">
        <v>0</v>
      </c>
      <c r="AM208" s="132">
        <v>1</v>
      </c>
      <c r="AN208" s="132">
        <v>0</v>
      </c>
      <c r="AO208" s="132">
        <v>0</v>
      </c>
      <c r="AP208" s="132">
        <v>1</v>
      </c>
      <c r="AQ208" s="132" t="s">
        <v>155</v>
      </c>
      <c r="AR208" s="132" t="s">
        <v>415</v>
      </c>
      <c r="AS208" s="132">
        <v>0</v>
      </c>
      <c r="AT208" s="132">
        <v>1</v>
      </c>
      <c r="AU208" s="132">
        <v>0</v>
      </c>
      <c r="AV208" s="132">
        <v>0</v>
      </c>
      <c r="AW208" s="132">
        <v>0</v>
      </c>
      <c r="AX208" s="132">
        <v>0</v>
      </c>
      <c r="AY208" s="132">
        <v>1</v>
      </c>
      <c r="AZ208" s="132">
        <v>0</v>
      </c>
      <c r="BA208" s="132">
        <v>29705</v>
      </c>
      <c r="BB208" s="132" t="s">
        <v>277</v>
      </c>
      <c r="BC208" s="132" t="s">
        <v>277</v>
      </c>
      <c r="BD208" s="132">
        <v>39993.705960648149</v>
      </c>
      <c r="BE208" s="132">
        <v>375901</v>
      </c>
      <c r="BF208" s="132">
        <v>375901</v>
      </c>
      <c r="BG208" s="158"/>
    </row>
    <row r="209" spans="2:59" ht="14">
      <c r="B209" s="120" t="s">
        <v>242</v>
      </c>
      <c r="C209" s="142" t="s">
        <v>490</v>
      </c>
      <c r="D209" s="132" t="s">
        <v>270</v>
      </c>
      <c r="E209" s="132" t="s">
        <v>270</v>
      </c>
      <c r="F209" s="132" t="s">
        <v>286</v>
      </c>
      <c r="G209" s="132" t="s">
        <v>243</v>
      </c>
      <c r="H209" s="132" t="s">
        <v>243</v>
      </c>
      <c r="I209" s="132">
        <v>1</v>
      </c>
      <c r="J209" s="132">
        <v>0</v>
      </c>
      <c r="K209" s="132" t="s">
        <v>271</v>
      </c>
      <c r="L209" s="132" t="s">
        <v>271</v>
      </c>
      <c r="M209" s="132" t="s">
        <v>155</v>
      </c>
      <c r="N209" s="132" t="s">
        <v>155</v>
      </c>
      <c r="O209" s="132" t="s">
        <v>155</v>
      </c>
      <c r="P209" s="132" t="s">
        <v>155</v>
      </c>
      <c r="Q209" s="132" t="s">
        <v>412</v>
      </c>
      <c r="R209" s="132" t="s">
        <v>243</v>
      </c>
      <c r="S209" s="132" t="s">
        <v>243</v>
      </c>
      <c r="T209" s="132" t="s">
        <v>413</v>
      </c>
      <c r="U209" s="132" t="s">
        <v>414</v>
      </c>
      <c r="V209" s="132" t="s">
        <v>182</v>
      </c>
      <c r="W209" s="132" t="s">
        <v>182</v>
      </c>
      <c r="X209" s="132" t="s">
        <v>243</v>
      </c>
      <c r="Y209" s="132" t="s">
        <v>243</v>
      </c>
      <c r="Z209" s="132"/>
      <c r="AA209" s="132"/>
      <c r="AB209" s="132" t="s">
        <v>155</v>
      </c>
      <c r="AC209" s="132">
        <v>1</v>
      </c>
      <c r="AD209" s="132">
        <v>99999999</v>
      </c>
      <c r="AE209" s="132">
        <v>0</v>
      </c>
      <c r="AF209" s="132">
        <v>0</v>
      </c>
      <c r="AG209" s="132">
        <v>0</v>
      </c>
      <c r="AH209" s="132">
        <v>0</v>
      </c>
      <c r="AI209" s="132">
        <v>0</v>
      </c>
      <c r="AJ209" s="132">
        <v>0</v>
      </c>
      <c r="AK209" s="132">
        <v>0</v>
      </c>
      <c r="AL209" s="132">
        <v>0</v>
      </c>
      <c r="AM209" s="132">
        <v>1</v>
      </c>
      <c r="AN209" s="132">
        <v>0</v>
      </c>
      <c r="AO209" s="132">
        <v>0</v>
      </c>
      <c r="AP209" s="132">
        <v>1</v>
      </c>
      <c r="AQ209" s="132" t="s">
        <v>155</v>
      </c>
      <c r="AR209" s="132" t="s">
        <v>415</v>
      </c>
      <c r="AS209" s="132">
        <v>0</v>
      </c>
      <c r="AT209" s="132">
        <v>1</v>
      </c>
      <c r="AU209" s="132">
        <v>0</v>
      </c>
      <c r="AV209" s="132">
        <v>0</v>
      </c>
      <c r="AW209" s="132">
        <v>0</v>
      </c>
      <c r="AX209" s="132">
        <v>0</v>
      </c>
      <c r="AY209" s="132">
        <v>1</v>
      </c>
      <c r="AZ209" s="132">
        <v>0</v>
      </c>
      <c r="BA209" s="132">
        <v>31819</v>
      </c>
      <c r="BB209" s="132" t="s">
        <v>277</v>
      </c>
      <c r="BC209" s="132" t="s">
        <v>277</v>
      </c>
      <c r="BD209" s="132">
        <v>45636.056898148148</v>
      </c>
      <c r="BE209" s="132" t="s">
        <v>474</v>
      </c>
      <c r="BF209" s="132" t="s">
        <v>474</v>
      </c>
      <c r="BG209" s="158"/>
    </row>
    <row r="210" spans="2:59" ht="15">
      <c r="B210" s="120" t="s">
        <v>242</v>
      </c>
      <c r="C210" s="132" t="s">
        <v>269</v>
      </c>
      <c r="D210" s="132" t="s">
        <v>270</v>
      </c>
      <c r="E210" s="142" t="s">
        <v>181</v>
      </c>
      <c r="F210" s="133" t="s">
        <v>184</v>
      </c>
      <c r="G210" s="132" t="s">
        <v>243</v>
      </c>
      <c r="H210" s="132" t="s">
        <v>243</v>
      </c>
      <c r="I210" s="135">
        <v>0</v>
      </c>
      <c r="J210" s="132">
        <v>30</v>
      </c>
      <c r="K210" s="132" t="s">
        <v>271</v>
      </c>
      <c r="L210" s="132" t="s">
        <v>271</v>
      </c>
      <c r="M210" s="132" t="s">
        <v>155</v>
      </c>
      <c r="N210" s="132" t="s">
        <v>155</v>
      </c>
      <c r="O210" s="132" t="s">
        <v>416</v>
      </c>
      <c r="P210" s="132" t="s">
        <v>155</v>
      </c>
      <c r="Q210" s="134" t="s">
        <v>417</v>
      </c>
      <c r="R210" s="132" t="s">
        <v>182</v>
      </c>
      <c r="S210" s="132" t="s">
        <v>243</v>
      </c>
      <c r="T210" s="132" t="s">
        <v>413</v>
      </c>
      <c r="U210" s="132" t="s">
        <v>414</v>
      </c>
      <c r="V210" s="132" t="s">
        <v>418</v>
      </c>
      <c r="W210" s="132" t="s">
        <v>182</v>
      </c>
      <c r="X210" s="132" t="s">
        <v>243</v>
      </c>
      <c r="Y210" s="132" t="s">
        <v>243</v>
      </c>
      <c r="Z210" s="132"/>
      <c r="AA210" s="135"/>
      <c r="AB210" s="135" t="s">
        <v>419</v>
      </c>
      <c r="AC210" s="138">
        <v>5000</v>
      </c>
      <c r="AD210" s="135">
        <v>99999999</v>
      </c>
      <c r="AE210" s="132" t="s">
        <v>243</v>
      </c>
      <c r="AF210" s="132" t="s">
        <v>271</v>
      </c>
      <c r="AG210" s="132" t="s">
        <v>243</v>
      </c>
      <c r="AH210" s="132" t="s">
        <v>243</v>
      </c>
      <c r="AI210" s="135">
        <v>0</v>
      </c>
      <c r="AJ210" s="135">
        <v>0</v>
      </c>
      <c r="AK210" s="135">
        <v>0</v>
      </c>
      <c r="AL210" s="135">
        <v>0</v>
      </c>
      <c r="AM210" s="132" t="s">
        <v>182</v>
      </c>
      <c r="AN210" s="135">
        <v>0</v>
      </c>
      <c r="AO210" s="132" t="s">
        <v>243</v>
      </c>
      <c r="AP210" s="135">
        <v>1</v>
      </c>
      <c r="AQ210" s="136">
        <v>1111</v>
      </c>
      <c r="AR210" s="136" t="s">
        <v>415</v>
      </c>
      <c r="AS210" s="136">
        <v>10</v>
      </c>
      <c r="AT210" s="136">
        <v>1</v>
      </c>
      <c r="AU210" s="136">
        <v>0</v>
      </c>
      <c r="AV210" s="136">
        <v>0</v>
      </c>
      <c r="AW210" s="136">
        <v>0</v>
      </c>
      <c r="AX210" s="136">
        <v>0</v>
      </c>
      <c r="AY210" s="136">
        <v>1</v>
      </c>
      <c r="AZ210" s="136">
        <v>0</v>
      </c>
      <c r="BA210" s="137">
        <v>40640.750486111108</v>
      </c>
      <c r="BB210" s="136">
        <v>470195</v>
      </c>
      <c r="BC210" s="136">
        <v>470195</v>
      </c>
      <c r="BD210" s="137">
        <v>45392.67769675926</v>
      </c>
      <c r="BE210" s="136">
        <v>363363</v>
      </c>
      <c r="BF210" s="136">
        <v>363363</v>
      </c>
      <c r="BG210" s="158"/>
    </row>
    <row r="211" spans="2:59">
      <c r="B211" s="163"/>
      <c r="BG211" s="158"/>
    </row>
    <row r="212" spans="2:59" ht="14.5" thickBot="1">
      <c r="B212" s="163"/>
      <c r="C212" s="164" t="s">
        <v>152</v>
      </c>
      <c r="BG212" s="158"/>
    </row>
    <row r="213" spans="2:59" ht="14.5" thickBot="1">
      <c r="B213" s="163"/>
      <c r="C213" s="233" t="s">
        <v>422</v>
      </c>
      <c r="D213" s="233" t="s">
        <v>423</v>
      </c>
      <c r="E213" s="233" t="s">
        <v>158</v>
      </c>
      <c r="F213" s="233" t="s">
        <v>424</v>
      </c>
      <c r="G213" s="233" t="s">
        <v>425</v>
      </c>
      <c r="H213" s="233" t="s">
        <v>426</v>
      </c>
      <c r="I213" s="233" t="s">
        <v>427</v>
      </c>
      <c r="J213" s="233" t="s">
        <v>428</v>
      </c>
      <c r="K213" s="233" t="s">
        <v>429</v>
      </c>
      <c r="L213" s="233" t="s">
        <v>430</v>
      </c>
      <c r="M213" s="233" t="s">
        <v>431</v>
      </c>
      <c r="BG213" s="158"/>
    </row>
    <row r="214" spans="2:59" ht="14.5" thickBot="1">
      <c r="B214" s="163"/>
      <c r="C214" s="233">
        <v>0</v>
      </c>
      <c r="D214" s="233">
        <v>0</v>
      </c>
      <c r="E214" s="233">
        <v>0</v>
      </c>
      <c r="F214" s="233" t="s">
        <v>432</v>
      </c>
      <c r="G214" s="233" t="s">
        <v>432</v>
      </c>
      <c r="H214" s="233">
        <v>2</v>
      </c>
      <c r="I214" s="233">
        <v>4</v>
      </c>
      <c r="J214" s="233">
        <v>3</v>
      </c>
      <c r="K214" s="233">
        <v>1</v>
      </c>
      <c r="L214" s="233">
        <v>0</v>
      </c>
      <c r="M214" s="233">
        <v>0</v>
      </c>
      <c r="BG214" s="158"/>
    </row>
    <row r="215" spans="2:59" ht="13.5" thickBot="1">
      <c r="B215" s="163"/>
      <c r="BG215" s="158"/>
    </row>
    <row r="216" spans="2:59" ht="14" thickBot="1">
      <c r="B216" s="104" t="s">
        <v>470</v>
      </c>
      <c r="C216" s="105" t="s">
        <v>471</v>
      </c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58"/>
    </row>
    <row r="217" spans="2:59" ht="14" thickBot="1">
      <c r="B217" s="140" t="s">
        <v>433</v>
      </c>
      <c r="C217" s="105" t="s">
        <v>227</v>
      </c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58"/>
    </row>
    <row r="218" spans="2:59">
      <c r="B218" s="163"/>
      <c r="BG218" s="158"/>
    </row>
    <row r="219" spans="2:59" ht="13.5">
      <c r="B219" s="163"/>
      <c r="C219" s="161" t="s">
        <v>228</v>
      </c>
      <c r="BG219" s="158"/>
    </row>
    <row r="220" spans="2:59" ht="13.5">
      <c r="B220" s="163"/>
      <c r="C220" s="161" t="s">
        <v>554</v>
      </c>
      <c r="BG220" s="158"/>
    </row>
    <row r="221" spans="2:59">
      <c r="B221" s="163"/>
      <c r="BG221" s="158"/>
    </row>
    <row r="222" spans="2:59" ht="15">
      <c r="B222" s="163"/>
      <c r="C222" s="257" t="s">
        <v>268</v>
      </c>
      <c r="D222" s="258"/>
      <c r="E222" s="258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60"/>
      <c r="AA222" s="66"/>
      <c r="AB222" s="66"/>
      <c r="AC222" s="66"/>
      <c r="AD222" s="66"/>
      <c r="BG222" s="158"/>
    </row>
    <row r="223" spans="2:59" ht="15">
      <c r="B223" s="163"/>
      <c r="C223" s="127"/>
      <c r="D223" s="127"/>
      <c r="E223" s="127"/>
      <c r="F223" s="124" t="s">
        <v>168</v>
      </c>
      <c r="G223" s="124" t="s">
        <v>168</v>
      </c>
      <c r="H223" s="124" t="s">
        <v>168</v>
      </c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BG223" s="158"/>
    </row>
    <row r="224" spans="2:59">
      <c r="B224" s="163"/>
      <c r="C224" s="117" t="s">
        <v>171</v>
      </c>
      <c r="D224" s="117" t="s">
        <v>172</v>
      </c>
      <c r="E224" s="117" t="s">
        <v>173</v>
      </c>
      <c r="F224" s="119" t="s">
        <v>91</v>
      </c>
      <c r="G224" s="119" t="s">
        <v>67</v>
      </c>
      <c r="H224" s="119" t="s">
        <v>69</v>
      </c>
      <c r="I224" s="119" t="s">
        <v>289</v>
      </c>
      <c r="J224" s="119" t="s">
        <v>290</v>
      </c>
      <c r="K224" s="119" t="s">
        <v>291</v>
      </c>
      <c r="L224" s="119" t="s">
        <v>292</v>
      </c>
      <c r="M224" s="119" t="s">
        <v>293</v>
      </c>
      <c r="N224" s="119" t="s">
        <v>294</v>
      </c>
      <c r="O224" s="119" t="s">
        <v>295</v>
      </c>
      <c r="P224" s="119" t="s">
        <v>296</v>
      </c>
      <c r="Q224" s="119" t="s">
        <v>297</v>
      </c>
      <c r="R224" s="119" t="s">
        <v>298</v>
      </c>
      <c r="S224" s="119" t="s">
        <v>299</v>
      </c>
      <c r="T224" s="119" t="s">
        <v>300</v>
      </c>
      <c r="U224" s="119" t="s">
        <v>301</v>
      </c>
      <c r="V224" s="119" t="s">
        <v>302</v>
      </c>
      <c r="W224" s="119" t="s">
        <v>303</v>
      </c>
      <c r="X224" s="119" t="s">
        <v>229</v>
      </c>
      <c r="Y224" s="119" t="s">
        <v>230</v>
      </c>
      <c r="Z224" s="119" t="s">
        <v>231</v>
      </c>
      <c r="AA224" s="119" t="s">
        <v>232</v>
      </c>
      <c r="AB224" s="119" t="s">
        <v>150</v>
      </c>
      <c r="AC224" s="119" t="s">
        <v>151</v>
      </c>
      <c r="AD224" s="119" t="s">
        <v>233</v>
      </c>
      <c r="BG224" s="158"/>
    </row>
    <row r="225" spans="2:59">
      <c r="B225" s="163"/>
      <c r="C225" s="117" t="s">
        <v>205</v>
      </c>
      <c r="D225" s="117" t="s">
        <v>214</v>
      </c>
      <c r="E225" s="117" t="s">
        <v>222</v>
      </c>
      <c r="F225" s="118" t="s">
        <v>250</v>
      </c>
      <c r="G225" s="118" t="s">
        <v>251</v>
      </c>
      <c r="H225" s="118" t="s">
        <v>253</v>
      </c>
      <c r="I225" s="118" t="s">
        <v>252</v>
      </c>
      <c r="J225" s="118" t="s">
        <v>254</v>
      </c>
      <c r="K225" s="118" t="s">
        <v>255</v>
      </c>
      <c r="L225" s="118" t="s">
        <v>256</v>
      </c>
      <c r="M225" s="118" t="s">
        <v>257</v>
      </c>
      <c r="N225" s="118" t="s">
        <v>258</v>
      </c>
      <c r="O225" s="118" t="s">
        <v>259</v>
      </c>
      <c r="P225" s="118" t="s">
        <v>260</v>
      </c>
      <c r="Q225" s="118" t="s">
        <v>261</v>
      </c>
      <c r="R225" s="118" t="s">
        <v>262</v>
      </c>
      <c r="S225" s="118" t="s">
        <v>263</v>
      </c>
      <c r="T225" s="118" t="s">
        <v>264</v>
      </c>
      <c r="U225" s="118" t="s">
        <v>265</v>
      </c>
      <c r="V225" s="118" t="s">
        <v>266</v>
      </c>
      <c r="W225" s="118" t="s">
        <v>267</v>
      </c>
      <c r="X225" s="118" t="s">
        <v>235</v>
      </c>
      <c r="Y225" s="118" t="s">
        <v>236</v>
      </c>
      <c r="Z225" s="118" t="s">
        <v>237</v>
      </c>
      <c r="AA225" s="118" t="s">
        <v>238</v>
      </c>
      <c r="AB225" s="118" t="s">
        <v>239</v>
      </c>
      <c r="AC225" s="118" t="s">
        <v>240</v>
      </c>
      <c r="AD225" s="118" t="s">
        <v>241</v>
      </c>
      <c r="BG225" s="158"/>
    </row>
    <row r="226" spans="2:59">
      <c r="B226" s="163"/>
      <c r="C226" s="117" t="s">
        <v>304</v>
      </c>
      <c r="D226" s="117" t="s">
        <v>305</v>
      </c>
      <c r="E226" s="117" t="s">
        <v>305</v>
      </c>
      <c r="F226" s="119" t="s">
        <v>306</v>
      </c>
      <c r="G226" s="119" t="s">
        <v>306</v>
      </c>
      <c r="H226" s="119" t="s">
        <v>307</v>
      </c>
      <c r="I226" s="119" t="s">
        <v>306</v>
      </c>
      <c r="J226" s="119" t="s">
        <v>308</v>
      </c>
      <c r="K226" s="119" t="s">
        <v>309</v>
      </c>
      <c r="L226" s="118" t="s">
        <v>310</v>
      </c>
      <c r="M226" s="119" t="s">
        <v>310</v>
      </c>
      <c r="N226" s="119" t="s">
        <v>311</v>
      </c>
      <c r="O226" s="119" t="s">
        <v>306</v>
      </c>
      <c r="P226" s="119" t="s">
        <v>312</v>
      </c>
      <c r="Q226" s="119" t="s">
        <v>313</v>
      </c>
      <c r="R226" s="119" t="s">
        <v>312</v>
      </c>
      <c r="S226" s="119" t="s">
        <v>314</v>
      </c>
      <c r="T226" s="118" t="s">
        <v>315</v>
      </c>
      <c r="U226" s="119" t="s">
        <v>315</v>
      </c>
      <c r="V226" s="119" t="s">
        <v>316</v>
      </c>
      <c r="W226" s="119" t="s">
        <v>306</v>
      </c>
      <c r="X226" s="119" t="s">
        <v>317</v>
      </c>
      <c r="Y226" s="119" t="s">
        <v>319</v>
      </c>
      <c r="Z226" s="119" t="s">
        <v>320</v>
      </c>
      <c r="AA226" s="119" t="s">
        <v>320</v>
      </c>
      <c r="AB226" s="118" t="s">
        <v>318</v>
      </c>
      <c r="AC226" s="119" t="s">
        <v>320</v>
      </c>
      <c r="AD226" s="119" t="s">
        <v>320</v>
      </c>
      <c r="BG226" s="158"/>
    </row>
    <row r="227" spans="2:59" ht="14">
      <c r="B227" s="122" t="s">
        <v>244</v>
      </c>
      <c r="C227" s="132" t="s">
        <v>516</v>
      </c>
      <c r="D227" s="132" t="s">
        <v>461</v>
      </c>
      <c r="E227" s="132" t="s">
        <v>461</v>
      </c>
      <c r="F227" s="132" t="s">
        <v>182</v>
      </c>
      <c r="G227" s="132" t="s">
        <v>182</v>
      </c>
      <c r="H227" s="132" t="s">
        <v>183</v>
      </c>
      <c r="I227" s="225" t="s">
        <v>432</v>
      </c>
      <c r="J227" s="132" t="s">
        <v>183</v>
      </c>
      <c r="K227" s="132" t="s">
        <v>243</v>
      </c>
      <c r="L227" s="132" t="s">
        <v>280</v>
      </c>
      <c r="M227" s="132" t="s">
        <v>273</v>
      </c>
      <c r="N227" s="132"/>
      <c r="O227" s="132" t="s">
        <v>243</v>
      </c>
      <c r="P227" s="132" t="s">
        <v>155</v>
      </c>
      <c r="Q227" s="132" t="s">
        <v>183</v>
      </c>
      <c r="R227" s="132" t="s">
        <v>281</v>
      </c>
      <c r="S227" s="132"/>
      <c r="T227" s="132" t="s">
        <v>155</v>
      </c>
      <c r="U227" s="132" t="s">
        <v>155</v>
      </c>
      <c r="V227" s="132" t="s">
        <v>155</v>
      </c>
      <c r="W227" s="132"/>
      <c r="X227" s="132" t="s">
        <v>243</v>
      </c>
      <c r="Y227" s="132">
        <v>40640.750486111108</v>
      </c>
      <c r="Z227" s="132">
        <v>470195</v>
      </c>
      <c r="AA227" s="132">
        <v>470195</v>
      </c>
      <c r="AB227" s="132">
        <v>40640.750486111108</v>
      </c>
      <c r="AC227" s="132">
        <v>470195</v>
      </c>
      <c r="AD227" s="132">
        <v>470195</v>
      </c>
      <c r="BG227" s="158"/>
    </row>
    <row r="228" spans="2:59" ht="14">
      <c r="B228" s="120" t="s">
        <v>242</v>
      </c>
      <c r="C228" s="142" t="s">
        <v>476</v>
      </c>
      <c r="D228" s="121" t="s">
        <v>270</v>
      </c>
      <c r="E228" s="121" t="s">
        <v>270</v>
      </c>
      <c r="F228" s="121" t="s">
        <v>182</v>
      </c>
      <c r="G228" s="121" t="s">
        <v>271</v>
      </c>
      <c r="H228" s="121" t="s">
        <v>183</v>
      </c>
      <c r="I228" s="121" t="s">
        <v>271</v>
      </c>
      <c r="J228" s="121" t="s">
        <v>477</v>
      </c>
      <c r="K228" s="121" t="s">
        <v>243</v>
      </c>
      <c r="L228" s="121" t="s">
        <v>155</v>
      </c>
      <c r="M228" s="121" t="s">
        <v>273</v>
      </c>
      <c r="N228" s="121"/>
      <c r="O228" s="121" t="s">
        <v>182</v>
      </c>
      <c r="P228" s="121" t="s">
        <v>155</v>
      </c>
      <c r="Q228" s="121" t="s">
        <v>274</v>
      </c>
      <c r="R228" s="121" t="s">
        <v>478</v>
      </c>
      <c r="S228" s="121"/>
      <c r="T228" s="121" t="s">
        <v>479</v>
      </c>
      <c r="U228" s="121" t="s">
        <v>480</v>
      </c>
      <c r="V228" s="121" t="s">
        <v>481</v>
      </c>
      <c r="W228" s="121"/>
      <c r="X228" s="121" t="s">
        <v>243</v>
      </c>
      <c r="Y228" s="121" t="s">
        <v>276</v>
      </c>
      <c r="Z228" s="121" t="s">
        <v>277</v>
      </c>
      <c r="AA228" s="121" t="s">
        <v>277</v>
      </c>
      <c r="AB228" s="121" t="s">
        <v>482</v>
      </c>
      <c r="AC228" s="121">
        <v>375901</v>
      </c>
      <c r="AD228" s="121" t="s">
        <v>483</v>
      </c>
      <c r="BG228" s="158"/>
    </row>
    <row r="229" spans="2:59" ht="14">
      <c r="B229" s="120" t="s">
        <v>242</v>
      </c>
      <c r="C229" s="142" t="s">
        <v>490</v>
      </c>
      <c r="D229" s="132" t="s">
        <v>270</v>
      </c>
      <c r="E229" s="132" t="s">
        <v>270</v>
      </c>
      <c r="F229" s="132" t="s">
        <v>182</v>
      </c>
      <c r="G229" s="132" t="s">
        <v>271</v>
      </c>
      <c r="H229" s="132" t="s">
        <v>183</v>
      </c>
      <c r="I229" s="132" t="s">
        <v>271</v>
      </c>
      <c r="J229" s="132" t="s">
        <v>484</v>
      </c>
      <c r="K229" s="132" t="s">
        <v>243</v>
      </c>
      <c r="L229" s="132" t="s">
        <v>485</v>
      </c>
      <c r="M229" s="132" t="s">
        <v>273</v>
      </c>
      <c r="N229" s="132"/>
      <c r="O229" s="132" t="s">
        <v>271</v>
      </c>
      <c r="P229" s="132" t="s">
        <v>155</v>
      </c>
      <c r="Q229" s="132" t="s">
        <v>486</v>
      </c>
      <c r="R229" s="132" t="s">
        <v>275</v>
      </c>
      <c r="S229" s="132"/>
      <c r="T229" s="132" t="s">
        <v>155</v>
      </c>
      <c r="U229" s="132" t="s">
        <v>155</v>
      </c>
      <c r="V229" s="132" t="s">
        <v>155</v>
      </c>
      <c r="W229" s="132"/>
      <c r="X229" s="132" t="s">
        <v>243</v>
      </c>
      <c r="Y229" s="132" t="s">
        <v>487</v>
      </c>
      <c r="Z229" s="132" t="s">
        <v>277</v>
      </c>
      <c r="AA229" s="132" t="s">
        <v>277</v>
      </c>
      <c r="AB229" s="132" t="s">
        <v>488</v>
      </c>
      <c r="AC229" s="132" t="s">
        <v>489</v>
      </c>
      <c r="AD229" s="132" t="s">
        <v>489</v>
      </c>
      <c r="BG229" s="158"/>
    </row>
    <row r="230" spans="2:59" ht="25">
      <c r="B230" s="120" t="s">
        <v>242</v>
      </c>
      <c r="C230" s="142" t="s">
        <v>515</v>
      </c>
      <c r="D230" s="118" t="s">
        <v>270</v>
      </c>
      <c r="E230" s="119" t="s">
        <v>270</v>
      </c>
      <c r="F230" s="119" t="s">
        <v>182</v>
      </c>
      <c r="G230" s="119" t="s">
        <v>271</v>
      </c>
      <c r="H230" s="119" t="s">
        <v>183</v>
      </c>
      <c r="I230" s="119" t="s">
        <v>271</v>
      </c>
      <c r="J230" s="119" t="s">
        <v>272</v>
      </c>
      <c r="K230" s="119" t="s">
        <v>243</v>
      </c>
      <c r="L230" s="118" t="s">
        <v>155</v>
      </c>
      <c r="M230" s="119" t="s">
        <v>273</v>
      </c>
      <c r="N230" s="119"/>
      <c r="O230" s="119" t="s">
        <v>182</v>
      </c>
      <c r="P230" s="119" t="s">
        <v>155</v>
      </c>
      <c r="Q230" s="119" t="s">
        <v>274</v>
      </c>
      <c r="R230" s="119" t="s">
        <v>275</v>
      </c>
      <c r="S230" s="119"/>
      <c r="T230" s="118" t="s">
        <v>155</v>
      </c>
      <c r="U230" s="119" t="s">
        <v>155</v>
      </c>
      <c r="V230" s="119" t="s">
        <v>155</v>
      </c>
      <c r="W230" s="119"/>
      <c r="X230" s="119" t="s">
        <v>243</v>
      </c>
      <c r="Y230" s="119" t="s">
        <v>276</v>
      </c>
      <c r="Z230" s="119" t="s">
        <v>277</v>
      </c>
      <c r="AA230" s="119" t="s">
        <v>277</v>
      </c>
      <c r="AB230" s="118" t="s">
        <v>278</v>
      </c>
      <c r="AC230" s="119" t="s">
        <v>279</v>
      </c>
      <c r="AD230" s="119" t="s">
        <v>279</v>
      </c>
      <c r="BG230" s="158"/>
    </row>
    <row r="231" spans="2:59">
      <c r="B231" s="163"/>
      <c r="BG231" s="158"/>
    </row>
    <row r="232" spans="2:59" ht="15">
      <c r="B232" s="163"/>
      <c r="C232" s="257" t="s">
        <v>321</v>
      </c>
      <c r="D232" s="258"/>
      <c r="E232" s="258"/>
      <c r="F232" s="258"/>
      <c r="G232" s="258"/>
      <c r="H232" s="258"/>
      <c r="I232" s="258"/>
      <c r="J232" s="258"/>
      <c r="K232" s="258"/>
      <c r="L232" s="258"/>
      <c r="M232" s="258"/>
      <c r="N232" s="258"/>
      <c r="O232" s="258"/>
      <c r="P232" s="258"/>
      <c r="Q232" s="258"/>
      <c r="R232" s="258"/>
      <c r="S232" s="258"/>
      <c r="T232" s="258"/>
      <c r="U232" s="90"/>
      <c r="V232" s="90"/>
      <c r="W232" s="90"/>
      <c r="X232" s="90"/>
      <c r="Y232" s="90"/>
      <c r="Z232" s="90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  <c r="BA232" s="92"/>
      <c r="BB232" s="92"/>
      <c r="BC232" s="92"/>
      <c r="BD232" s="92"/>
      <c r="BE232" s="92"/>
      <c r="BF232" s="92"/>
      <c r="BG232" s="158"/>
    </row>
    <row r="233" spans="2:59" ht="15">
      <c r="B233" s="163"/>
      <c r="C233" s="127"/>
      <c r="D233" s="127"/>
      <c r="E233" s="127"/>
      <c r="F233" s="124" t="s">
        <v>168</v>
      </c>
      <c r="G233" s="124" t="s">
        <v>168</v>
      </c>
      <c r="H233" s="129" t="s">
        <v>168</v>
      </c>
      <c r="I233" s="124" t="s">
        <v>168</v>
      </c>
      <c r="J233" s="124" t="s">
        <v>168</v>
      </c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30"/>
      <c r="AB233" s="130"/>
      <c r="AC233" s="130"/>
      <c r="AD233" s="130"/>
      <c r="AE233" s="130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30"/>
      <c r="AT233" s="130"/>
      <c r="AU233" s="130"/>
      <c r="AV233" s="130"/>
      <c r="AW233" s="130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58"/>
    </row>
    <row r="234" spans="2:59" ht="25">
      <c r="B234" s="163"/>
      <c r="C234" s="117" t="s">
        <v>365</v>
      </c>
      <c r="D234" s="117" t="s">
        <v>420</v>
      </c>
      <c r="E234" s="117" t="s">
        <v>421</v>
      </c>
      <c r="F234" s="119" t="s">
        <v>96</v>
      </c>
      <c r="G234" s="119" t="s">
        <v>99</v>
      </c>
      <c r="H234" s="119" t="s">
        <v>130</v>
      </c>
      <c r="I234" s="119" t="s">
        <v>391</v>
      </c>
      <c r="J234" s="119" t="s">
        <v>127</v>
      </c>
      <c r="K234" s="119" t="s">
        <v>67</v>
      </c>
      <c r="L234" s="119" t="s">
        <v>288</v>
      </c>
      <c r="M234" s="119" t="s">
        <v>366</v>
      </c>
      <c r="N234" s="119" t="s">
        <v>367</v>
      </c>
      <c r="O234" s="119" t="s">
        <v>368</v>
      </c>
      <c r="P234" s="119" t="s">
        <v>369</v>
      </c>
      <c r="Q234" s="119" t="s">
        <v>370</v>
      </c>
      <c r="R234" s="119" t="s">
        <v>371</v>
      </c>
      <c r="S234" s="119" t="s">
        <v>372</v>
      </c>
      <c r="T234" s="119" t="s">
        <v>373</v>
      </c>
      <c r="U234" s="119" t="s">
        <v>374</v>
      </c>
      <c r="V234" s="119" t="s">
        <v>375</v>
      </c>
      <c r="W234" s="119" t="s">
        <v>376</v>
      </c>
      <c r="X234" s="119" t="s">
        <v>377</v>
      </c>
      <c r="Y234" s="119" t="s">
        <v>378</v>
      </c>
      <c r="Z234" s="119" t="s">
        <v>379</v>
      </c>
      <c r="AA234" s="119" t="s">
        <v>380</v>
      </c>
      <c r="AB234" s="119" t="s">
        <v>381</v>
      </c>
      <c r="AC234" s="119" t="s">
        <v>382</v>
      </c>
      <c r="AD234" s="119" t="s">
        <v>383</v>
      </c>
      <c r="AE234" s="119" t="s">
        <v>384</v>
      </c>
      <c r="AF234" s="119" t="s">
        <v>385</v>
      </c>
      <c r="AG234" s="119" t="s">
        <v>386</v>
      </c>
      <c r="AH234" s="119" t="s">
        <v>387</v>
      </c>
      <c r="AI234" s="119" t="s">
        <v>388</v>
      </c>
      <c r="AJ234" s="119" t="s">
        <v>390</v>
      </c>
      <c r="AK234" s="119" t="s">
        <v>389</v>
      </c>
      <c r="AL234" s="119" t="s">
        <v>398</v>
      </c>
      <c r="AM234" s="119" t="s">
        <v>392</v>
      </c>
      <c r="AN234" s="119" t="s">
        <v>393</v>
      </c>
      <c r="AO234" s="119" t="s">
        <v>394</v>
      </c>
      <c r="AP234" s="119" t="s">
        <v>395</v>
      </c>
      <c r="AQ234" s="119" t="s">
        <v>399</v>
      </c>
      <c r="AR234" s="119" t="s">
        <v>396</v>
      </c>
      <c r="AS234" s="119" t="s">
        <v>397</v>
      </c>
      <c r="AT234" s="119" t="s">
        <v>400</v>
      </c>
      <c r="AU234" s="119" t="s">
        <v>401</v>
      </c>
      <c r="AV234" s="119" t="s">
        <v>402</v>
      </c>
      <c r="AW234" s="119" t="s">
        <v>403</v>
      </c>
      <c r="AX234" s="119" t="s">
        <v>404</v>
      </c>
      <c r="AY234" s="119" t="s">
        <v>405</v>
      </c>
      <c r="AZ234" s="119" t="s">
        <v>229</v>
      </c>
      <c r="BA234" s="119" t="s">
        <v>230</v>
      </c>
      <c r="BB234" s="119" t="s">
        <v>231</v>
      </c>
      <c r="BC234" s="119" t="s">
        <v>232</v>
      </c>
      <c r="BD234" s="119" t="s">
        <v>150</v>
      </c>
      <c r="BE234" s="119" t="s">
        <v>151</v>
      </c>
      <c r="BF234" s="119" t="s">
        <v>233</v>
      </c>
      <c r="BG234" s="158"/>
    </row>
    <row r="235" spans="2:59">
      <c r="B235" s="163"/>
      <c r="C235" s="117" t="s">
        <v>205</v>
      </c>
      <c r="D235" s="117" t="s">
        <v>214</v>
      </c>
      <c r="E235" s="117" t="s">
        <v>222</v>
      </c>
      <c r="F235" s="118" t="s">
        <v>322</v>
      </c>
      <c r="G235" s="118" t="s">
        <v>323</v>
      </c>
      <c r="H235" s="118" t="s">
        <v>324</v>
      </c>
      <c r="I235" s="118" t="s">
        <v>351</v>
      </c>
      <c r="J235" s="118" t="s">
        <v>357</v>
      </c>
      <c r="K235" s="118" t="s">
        <v>251</v>
      </c>
      <c r="L235" s="118" t="s">
        <v>252</v>
      </c>
      <c r="M235" s="118" t="s">
        <v>325</v>
      </c>
      <c r="N235" s="118" t="s">
        <v>326</v>
      </c>
      <c r="O235" s="118" t="s">
        <v>327</v>
      </c>
      <c r="P235" s="118" t="s">
        <v>328</v>
      </c>
      <c r="Q235" s="118" t="s">
        <v>329</v>
      </c>
      <c r="R235" s="118" t="s">
        <v>330</v>
      </c>
      <c r="S235" s="118" t="s">
        <v>331</v>
      </c>
      <c r="T235" s="118" t="s">
        <v>332</v>
      </c>
      <c r="U235" s="118" t="s">
        <v>333</v>
      </c>
      <c r="V235" s="118" t="s">
        <v>334</v>
      </c>
      <c r="W235" s="118" t="s">
        <v>335</v>
      </c>
      <c r="X235" s="118" t="s">
        <v>336</v>
      </c>
      <c r="Y235" s="118" t="s">
        <v>337</v>
      </c>
      <c r="Z235" s="118" t="s">
        <v>338</v>
      </c>
      <c r="AA235" s="118" t="s">
        <v>339</v>
      </c>
      <c r="AB235" s="118" t="s">
        <v>340</v>
      </c>
      <c r="AC235" s="118" t="s">
        <v>341</v>
      </c>
      <c r="AD235" s="118" t="s">
        <v>342</v>
      </c>
      <c r="AE235" s="118" t="s">
        <v>343</v>
      </c>
      <c r="AF235" s="118" t="s">
        <v>344</v>
      </c>
      <c r="AG235" s="118" t="s">
        <v>345</v>
      </c>
      <c r="AH235" s="118" t="s">
        <v>346</v>
      </c>
      <c r="AI235" s="118" t="s">
        <v>347</v>
      </c>
      <c r="AJ235" s="118" t="s">
        <v>348</v>
      </c>
      <c r="AK235" s="118" t="s">
        <v>349</v>
      </c>
      <c r="AL235" s="118" t="s">
        <v>350</v>
      </c>
      <c r="AM235" s="118" t="s">
        <v>352</v>
      </c>
      <c r="AN235" s="118" t="s">
        <v>353</v>
      </c>
      <c r="AO235" s="118" t="s">
        <v>354</v>
      </c>
      <c r="AP235" s="118" t="s">
        <v>234</v>
      </c>
      <c r="AQ235" s="118" t="s">
        <v>355</v>
      </c>
      <c r="AR235" s="118" t="s">
        <v>356</v>
      </c>
      <c r="AS235" s="118" t="s">
        <v>358</v>
      </c>
      <c r="AT235" s="118" t="s">
        <v>359</v>
      </c>
      <c r="AU235" s="118" t="s">
        <v>360</v>
      </c>
      <c r="AV235" s="118" t="s">
        <v>361</v>
      </c>
      <c r="AW235" s="118" t="s">
        <v>362</v>
      </c>
      <c r="AX235" s="118" t="s">
        <v>363</v>
      </c>
      <c r="AY235" s="118" t="s">
        <v>364</v>
      </c>
      <c r="AZ235" s="118" t="s">
        <v>235</v>
      </c>
      <c r="BA235" s="118" t="s">
        <v>236</v>
      </c>
      <c r="BB235" s="118" t="s">
        <v>237</v>
      </c>
      <c r="BC235" s="118" t="s">
        <v>238</v>
      </c>
      <c r="BD235" s="118" t="s">
        <v>239</v>
      </c>
      <c r="BE235" s="118" t="s">
        <v>240</v>
      </c>
      <c r="BF235" s="118" t="s">
        <v>241</v>
      </c>
      <c r="BG235" s="158"/>
    </row>
    <row r="236" spans="2:59">
      <c r="B236" s="163"/>
      <c r="C236" s="117" t="s">
        <v>304</v>
      </c>
      <c r="D236" s="117" t="s">
        <v>406</v>
      </c>
      <c r="E236" s="117" t="s">
        <v>305</v>
      </c>
      <c r="F236" s="131" t="s">
        <v>306</v>
      </c>
      <c r="G236" s="131" t="s">
        <v>306</v>
      </c>
      <c r="H236" s="131" t="s">
        <v>306</v>
      </c>
      <c r="I236" s="131" t="s">
        <v>306</v>
      </c>
      <c r="J236" s="131" t="s">
        <v>308</v>
      </c>
      <c r="K236" s="131" t="s">
        <v>306</v>
      </c>
      <c r="L236" s="131" t="s">
        <v>306</v>
      </c>
      <c r="M236" s="131" t="s">
        <v>407</v>
      </c>
      <c r="N236" s="131" t="s">
        <v>407</v>
      </c>
      <c r="O236" s="131" t="s">
        <v>305</v>
      </c>
      <c r="P236" s="131" t="s">
        <v>408</v>
      </c>
      <c r="Q236" s="131" t="s">
        <v>306</v>
      </c>
      <c r="R236" s="131" t="s">
        <v>313</v>
      </c>
      <c r="S236" s="131" t="s">
        <v>308</v>
      </c>
      <c r="T236" s="131" t="s">
        <v>313</v>
      </c>
      <c r="U236" s="131" t="s">
        <v>308</v>
      </c>
      <c r="V236" s="131" t="s">
        <v>308</v>
      </c>
      <c r="W236" s="131" t="s">
        <v>306</v>
      </c>
      <c r="X236" s="131" t="s">
        <v>409</v>
      </c>
      <c r="Y236" s="131" t="s">
        <v>409</v>
      </c>
      <c r="Z236" s="131" t="s">
        <v>310</v>
      </c>
      <c r="AA236" s="131" t="s">
        <v>408</v>
      </c>
      <c r="AB236" s="131" t="s">
        <v>408</v>
      </c>
      <c r="AC236" s="131" t="s">
        <v>308</v>
      </c>
      <c r="AD236" s="131" t="s">
        <v>312</v>
      </c>
      <c r="AE236" s="131" t="s">
        <v>313</v>
      </c>
      <c r="AF236" s="131" t="s">
        <v>313</v>
      </c>
      <c r="AG236" s="131" t="s">
        <v>410</v>
      </c>
      <c r="AH236" s="131" t="s">
        <v>410</v>
      </c>
      <c r="AI236" s="131" t="s">
        <v>313</v>
      </c>
      <c r="AJ236" s="131" t="s">
        <v>313</v>
      </c>
      <c r="AK236" s="131" t="s">
        <v>410</v>
      </c>
      <c r="AL236" s="131" t="s">
        <v>410</v>
      </c>
      <c r="AM236" s="131" t="s">
        <v>306</v>
      </c>
      <c r="AN236" s="131" t="s">
        <v>306</v>
      </c>
      <c r="AO236" s="131" t="s">
        <v>306</v>
      </c>
      <c r="AP236" s="131" t="s">
        <v>310</v>
      </c>
      <c r="AQ236" s="131" t="s">
        <v>305</v>
      </c>
      <c r="AR236" s="131" t="s">
        <v>306</v>
      </c>
      <c r="AS236" s="131" t="s">
        <v>308</v>
      </c>
      <c r="AT236" s="131" t="s">
        <v>306</v>
      </c>
      <c r="AU236" s="131" t="s">
        <v>411</v>
      </c>
      <c r="AV236" s="131" t="s">
        <v>313</v>
      </c>
      <c r="AW236" s="131" t="s">
        <v>310</v>
      </c>
      <c r="AX236" s="131" t="s">
        <v>306</v>
      </c>
      <c r="AY236" s="131" t="s">
        <v>306</v>
      </c>
      <c r="AZ236" s="131" t="s">
        <v>317</v>
      </c>
      <c r="BA236" s="131" t="s">
        <v>318</v>
      </c>
      <c r="BB236" s="131" t="s">
        <v>320</v>
      </c>
      <c r="BC236" s="131" t="s">
        <v>320</v>
      </c>
      <c r="BD236" s="131" t="s">
        <v>318</v>
      </c>
      <c r="BE236" s="131" t="s">
        <v>320</v>
      </c>
      <c r="BF236" s="131" t="s">
        <v>320</v>
      </c>
      <c r="BG236" s="158"/>
    </row>
    <row r="237" spans="2:59" ht="14">
      <c r="B237" s="122" t="s">
        <v>244</v>
      </c>
      <c r="C237" s="132" t="s">
        <v>516</v>
      </c>
      <c r="D237" s="132" t="s">
        <v>461</v>
      </c>
      <c r="E237" s="132" t="s">
        <v>461</v>
      </c>
      <c r="F237" s="132" t="s">
        <v>271</v>
      </c>
      <c r="G237" s="132" t="s">
        <v>182</v>
      </c>
      <c r="H237" s="132" t="s">
        <v>243</v>
      </c>
      <c r="I237" s="132">
        <v>0</v>
      </c>
      <c r="J237" s="132">
        <v>30</v>
      </c>
      <c r="K237" s="132" t="s">
        <v>182</v>
      </c>
      <c r="L237" s="225" t="s">
        <v>432</v>
      </c>
      <c r="M237" s="132" t="s">
        <v>155</v>
      </c>
      <c r="N237" s="132" t="s">
        <v>155</v>
      </c>
      <c r="O237" s="132" t="s">
        <v>416</v>
      </c>
      <c r="P237" s="132" t="s">
        <v>155</v>
      </c>
      <c r="Q237" s="132" t="s">
        <v>417</v>
      </c>
      <c r="R237" s="132" t="s">
        <v>182</v>
      </c>
      <c r="S237" s="132" t="s">
        <v>243</v>
      </c>
      <c r="T237" s="132" t="s">
        <v>413</v>
      </c>
      <c r="U237" s="132" t="s">
        <v>414</v>
      </c>
      <c r="V237" s="132" t="s">
        <v>418</v>
      </c>
      <c r="W237" s="132" t="s">
        <v>182</v>
      </c>
      <c r="X237" s="132" t="s">
        <v>243</v>
      </c>
      <c r="Y237" s="132" t="s">
        <v>243</v>
      </c>
      <c r="Z237" s="132"/>
      <c r="AA237" s="132"/>
      <c r="AB237" s="132" t="s">
        <v>419</v>
      </c>
      <c r="AC237" s="132">
        <v>5000</v>
      </c>
      <c r="AD237" s="132">
        <v>99999999</v>
      </c>
      <c r="AE237" s="132">
        <v>0</v>
      </c>
      <c r="AF237" s="132">
        <v>2</v>
      </c>
      <c r="AG237" s="132">
        <v>0</v>
      </c>
      <c r="AH237" s="132">
        <v>0</v>
      </c>
      <c r="AI237" s="132">
        <v>0</v>
      </c>
      <c r="AJ237" s="132">
        <v>0</v>
      </c>
      <c r="AK237" s="132">
        <v>0</v>
      </c>
      <c r="AL237" s="132">
        <v>0</v>
      </c>
      <c r="AM237" s="132">
        <v>1</v>
      </c>
      <c r="AN237" s="132">
        <v>0</v>
      </c>
      <c r="AO237" s="132">
        <v>0</v>
      </c>
      <c r="AP237" s="132">
        <v>1</v>
      </c>
      <c r="AQ237" s="132">
        <v>1111</v>
      </c>
      <c r="AR237" s="132" t="s">
        <v>415</v>
      </c>
      <c r="AS237" s="132">
        <v>10</v>
      </c>
      <c r="AT237" s="132">
        <v>1</v>
      </c>
      <c r="AU237" s="132">
        <v>0</v>
      </c>
      <c r="AV237" s="132">
        <v>0</v>
      </c>
      <c r="AW237" s="132">
        <v>0</v>
      </c>
      <c r="AX237" s="132">
        <v>0</v>
      </c>
      <c r="AY237" s="132">
        <v>1</v>
      </c>
      <c r="AZ237" s="132">
        <v>0</v>
      </c>
      <c r="BA237" s="132">
        <v>40640.750486111108</v>
      </c>
      <c r="BB237" s="132">
        <v>470195</v>
      </c>
      <c r="BC237" s="132">
        <v>470195</v>
      </c>
      <c r="BD237" s="132">
        <v>45392.67769675926</v>
      </c>
      <c r="BE237" s="132">
        <v>363363</v>
      </c>
      <c r="BF237" s="132">
        <v>363363</v>
      </c>
      <c r="BG237" s="158"/>
    </row>
    <row r="238" spans="2:59" ht="14">
      <c r="B238" s="120" t="s">
        <v>242</v>
      </c>
      <c r="C238" s="142" t="s">
        <v>476</v>
      </c>
      <c r="D238" s="143" t="s">
        <v>461</v>
      </c>
      <c r="E238" s="143" t="s">
        <v>461</v>
      </c>
      <c r="F238" s="132" t="s">
        <v>286</v>
      </c>
      <c r="G238" s="132" t="s">
        <v>243</v>
      </c>
      <c r="H238" s="132" t="s">
        <v>243</v>
      </c>
      <c r="I238" s="132">
        <v>1</v>
      </c>
      <c r="J238" s="132">
        <v>0</v>
      </c>
      <c r="K238" s="132" t="s">
        <v>271</v>
      </c>
      <c r="L238" s="132" t="s">
        <v>271</v>
      </c>
      <c r="M238" s="132" t="s">
        <v>155</v>
      </c>
      <c r="N238" s="132" t="s">
        <v>155</v>
      </c>
      <c r="O238" s="132" t="s">
        <v>155</v>
      </c>
      <c r="P238" s="132" t="s">
        <v>155</v>
      </c>
      <c r="Q238" s="132" t="s">
        <v>412</v>
      </c>
      <c r="R238" s="132" t="s">
        <v>243</v>
      </c>
      <c r="S238" s="132" t="s">
        <v>243</v>
      </c>
      <c r="T238" s="132" t="s">
        <v>413</v>
      </c>
      <c r="U238" s="132" t="s">
        <v>414</v>
      </c>
      <c r="V238" s="132" t="s">
        <v>182</v>
      </c>
      <c r="W238" s="132" t="s">
        <v>182</v>
      </c>
      <c r="X238" s="132" t="s">
        <v>243</v>
      </c>
      <c r="Y238" s="132" t="s">
        <v>243</v>
      </c>
      <c r="Z238" s="132"/>
      <c r="AA238" s="132"/>
      <c r="AB238" s="132" t="s">
        <v>155</v>
      </c>
      <c r="AC238" s="132">
        <v>1</v>
      </c>
      <c r="AD238" s="132">
        <v>99999999</v>
      </c>
      <c r="AE238" s="132">
        <v>0</v>
      </c>
      <c r="AF238" s="132">
        <v>0</v>
      </c>
      <c r="AG238" s="132">
        <v>0</v>
      </c>
      <c r="AH238" s="132">
        <v>0</v>
      </c>
      <c r="AI238" s="132">
        <v>0</v>
      </c>
      <c r="AJ238" s="132">
        <v>0</v>
      </c>
      <c r="AK238" s="132">
        <v>0</v>
      </c>
      <c r="AL238" s="132">
        <v>0</v>
      </c>
      <c r="AM238" s="132">
        <v>1</v>
      </c>
      <c r="AN238" s="132">
        <v>0</v>
      </c>
      <c r="AO238" s="132">
        <v>0</v>
      </c>
      <c r="AP238" s="132">
        <v>1</v>
      </c>
      <c r="AQ238" s="132" t="s">
        <v>155</v>
      </c>
      <c r="AR238" s="132" t="s">
        <v>415</v>
      </c>
      <c r="AS238" s="132">
        <v>0</v>
      </c>
      <c r="AT238" s="132">
        <v>1</v>
      </c>
      <c r="AU238" s="132">
        <v>0</v>
      </c>
      <c r="AV238" s="132">
        <v>0</v>
      </c>
      <c r="AW238" s="132">
        <v>0</v>
      </c>
      <c r="AX238" s="132">
        <v>0</v>
      </c>
      <c r="AY238" s="132">
        <v>1</v>
      </c>
      <c r="AZ238" s="132">
        <v>0</v>
      </c>
      <c r="BA238" s="132">
        <v>29705</v>
      </c>
      <c r="BB238" s="132" t="s">
        <v>277</v>
      </c>
      <c r="BC238" s="132" t="s">
        <v>277</v>
      </c>
      <c r="BD238" s="132">
        <v>39993.705960648149</v>
      </c>
      <c r="BE238" s="132">
        <v>375901</v>
      </c>
      <c r="BF238" s="132">
        <v>375901</v>
      </c>
      <c r="BG238" s="158"/>
    </row>
    <row r="239" spans="2:59" ht="14">
      <c r="B239" s="120" t="s">
        <v>242</v>
      </c>
      <c r="C239" s="142" t="s">
        <v>490</v>
      </c>
      <c r="D239" s="143" t="s">
        <v>461</v>
      </c>
      <c r="E239" s="143" t="s">
        <v>461</v>
      </c>
      <c r="F239" s="132" t="s">
        <v>286</v>
      </c>
      <c r="G239" s="132" t="s">
        <v>243</v>
      </c>
      <c r="H239" s="132" t="s">
        <v>243</v>
      </c>
      <c r="I239" s="132">
        <v>1</v>
      </c>
      <c r="J239" s="132">
        <v>0</v>
      </c>
      <c r="K239" s="132" t="s">
        <v>271</v>
      </c>
      <c r="L239" s="132" t="s">
        <v>271</v>
      </c>
      <c r="M239" s="132" t="s">
        <v>155</v>
      </c>
      <c r="N239" s="132" t="s">
        <v>155</v>
      </c>
      <c r="O239" s="132" t="s">
        <v>155</v>
      </c>
      <c r="P239" s="132" t="s">
        <v>155</v>
      </c>
      <c r="Q239" s="132" t="s">
        <v>412</v>
      </c>
      <c r="R239" s="132" t="s">
        <v>243</v>
      </c>
      <c r="S239" s="132" t="s">
        <v>243</v>
      </c>
      <c r="T239" s="132" t="s">
        <v>413</v>
      </c>
      <c r="U239" s="132" t="s">
        <v>414</v>
      </c>
      <c r="V239" s="132" t="s">
        <v>182</v>
      </c>
      <c r="W239" s="132" t="s">
        <v>182</v>
      </c>
      <c r="X239" s="132" t="s">
        <v>243</v>
      </c>
      <c r="Y239" s="132" t="s">
        <v>243</v>
      </c>
      <c r="Z239" s="132"/>
      <c r="AA239" s="132"/>
      <c r="AB239" s="132" t="s">
        <v>155</v>
      </c>
      <c r="AC239" s="132">
        <v>1</v>
      </c>
      <c r="AD239" s="132">
        <v>99999999</v>
      </c>
      <c r="AE239" s="132">
        <v>0</v>
      </c>
      <c r="AF239" s="132">
        <v>0</v>
      </c>
      <c r="AG239" s="132">
        <v>0</v>
      </c>
      <c r="AH239" s="132">
        <v>0</v>
      </c>
      <c r="AI239" s="132">
        <v>0</v>
      </c>
      <c r="AJ239" s="132">
        <v>0</v>
      </c>
      <c r="AK239" s="132">
        <v>0</v>
      </c>
      <c r="AL239" s="132">
        <v>0</v>
      </c>
      <c r="AM239" s="132">
        <v>1</v>
      </c>
      <c r="AN239" s="132">
        <v>0</v>
      </c>
      <c r="AO239" s="132">
        <v>0</v>
      </c>
      <c r="AP239" s="132">
        <v>1</v>
      </c>
      <c r="AQ239" s="132" t="s">
        <v>155</v>
      </c>
      <c r="AR239" s="132" t="s">
        <v>415</v>
      </c>
      <c r="AS239" s="132">
        <v>0</v>
      </c>
      <c r="AT239" s="132">
        <v>1</v>
      </c>
      <c r="AU239" s="132">
        <v>0</v>
      </c>
      <c r="AV239" s="132">
        <v>0</v>
      </c>
      <c r="AW239" s="132">
        <v>0</v>
      </c>
      <c r="AX239" s="132">
        <v>0</v>
      </c>
      <c r="AY239" s="132">
        <v>1</v>
      </c>
      <c r="AZ239" s="132">
        <v>0</v>
      </c>
      <c r="BA239" s="132">
        <v>31819</v>
      </c>
      <c r="BB239" s="132" t="s">
        <v>277</v>
      </c>
      <c r="BC239" s="132" t="s">
        <v>277</v>
      </c>
      <c r="BD239" s="132">
        <v>45636.056898148148</v>
      </c>
      <c r="BE239" s="132" t="s">
        <v>474</v>
      </c>
      <c r="BF239" s="132" t="s">
        <v>474</v>
      </c>
      <c r="BG239" s="158"/>
    </row>
    <row r="240" spans="2:59" ht="15">
      <c r="B240" s="120" t="s">
        <v>242</v>
      </c>
      <c r="C240" s="142" t="s">
        <v>515</v>
      </c>
      <c r="D240" s="132" t="s">
        <v>270</v>
      </c>
      <c r="E240" s="132" t="s">
        <v>270</v>
      </c>
      <c r="F240" s="133" t="s">
        <v>286</v>
      </c>
      <c r="G240" s="132" t="s">
        <v>243</v>
      </c>
      <c r="H240" s="132" t="s">
        <v>243</v>
      </c>
      <c r="I240" s="135">
        <v>1</v>
      </c>
      <c r="J240" s="136">
        <v>0</v>
      </c>
      <c r="K240" s="132" t="s">
        <v>271</v>
      </c>
      <c r="L240" s="132" t="s">
        <v>271</v>
      </c>
      <c r="M240" s="132" t="s">
        <v>155</v>
      </c>
      <c r="N240" s="132" t="s">
        <v>155</v>
      </c>
      <c r="O240" s="132" t="s">
        <v>155</v>
      </c>
      <c r="P240" s="132" t="s">
        <v>155</v>
      </c>
      <c r="Q240" s="134" t="s">
        <v>412</v>
      </c>
      <c r="R240" s="132" t="s">
        <v>243</v>
      </c>
      <c r="S240" s="132" t="s">
        <v>243</v>
      </c>
      <c r="T240" s="132" t="s">
        <v>413</v>
      </c>
      <c r="U240" s="132" t="s">
        <v>414</v>
      </c>
      <c r="V240" s="132" t="s">
        <v>182</v>
      </c>
      <c r="W240" s="132" t="s">
        <v>182</v>
      </c>
      <c r="X240" s="132" t="s">
        <v>243</v>
      </c>
      <c r="Y240" s="132" t="s">
        <v>243</v>
      </c>
      <c r="Z240" s="132"/>
      <c r="AA240" s="135"/>
      <c r="AB240" s="135" t="s">
        <v>155</v>
      </c>
      <c r="AC240" s="135">
        <v>1</v>
      </c>
      <c r="AD240" s="135">
        <v>99999999</v>
      </c>
      <c r="AE240" s="132" t="s">
        <v>243</v>
      </c>
      <c r="AF240" s="132" t="s">
        <v>243</v>
      </c>
      <c r="AG240" s="132" t="s">
        <v>243</v>
      </c>
      <c r="AH240" s="132" t="s">
        <v>243</v>
      </c>
      <c r="AI240" s="135">
        <v>0</v>
      </c>
      <c r="AJ240" s="135">
        <v>0</v>
      </c>
      <c r="AK240" s="135">
        <v>0</v>
      </c>
      <c r="AL240" s="135">
        <v>0</v>
      </c>
      <c r="AM240" s="132" t="s">
        <v>182</v>
      </c>
      <c r="AN240" s="135">
        <v>0</v>
      </c>
      <c r="AO240" s="132" t="s">
        <v>243</v>
      </c>
      <c r="AP240" s="135">
        <v>1</v>
      </c>
      <c r="AQ240" s="136" t="s">
        <v>155</v>
      </c>
      <c r="AR240" s="136" t="s">
        <v>415</v>
      </c>
      <c r="AS240" s="136">
        <v>0</v>
      </c>
      <c r="AT240" s="136">
        <v>1</v>
      </c>
      <c r="AU240" s="136">
        <v>0</v>
      </c>
      <c r="AV240" s="136">
        <v>0</v>
      </c>
      <c r="AW240" s="136">
        <v>0</v>
      </c>
      <c r="AX240" s="136">
        <v>0</v>
      </c>
      <c r="AY240" s="136">
        <v>1</v>
      </c>
      <c r="AZ240" s="136">
        <v>0</v>
      </c>
      <c r="BA240" s="137">
        <v>29705</v>
      </c>
      <c r="BB240" s="136" t="s">
        <v>277</v>
      </c>
      <c r="BC240" s="136" t="s">
        <v>277</v>
      </c>
      <c r="BD240" s="137">
        <v>36413</v>
      </c>
      <c r="BE240" s="136" t="s">
        <v>277</v>
      </c>
      <c r="BF240" s="136" t="s">
        <v>277</v>
      </c>
      <c r="BG240" s="158"/>
    </row>
    <row r="241" spans="2:59">
      <c r="B241" s="163"/>
      <c r="BG241" s="158"/>
    </row>
    <row r="242" spans="2:59" ht="14.5" thickBot="1">
      <c r="B242" s="163"/>
      <c r="C242" s="164" t="s">
        <v>152</v>
      </c>
      <c r="BG242" s="158"/>
    </row>
    <row r="243" spans="2:59" ht="14.5" thickBot="1">
      <c r="B243" s="163"/>
      <c r="C243" s="233" t="s">
        <v>422</v>
      </c>
      <c r="D243" s="233" t="s">
        <v>423</v>
      </c>
      <c r="E243" s="233" t="s">
        <v>158</v>
      </c>
      <c r="F243" s="233" t="s">
        <v>424</v>
      </c>
      <c r="G243" s="233" t="s">
        <v>425</v>
      </c>
      <c r="H243" s="233" t="s">
        <v>426</v>
      </c>
      <c r="I243" s="233" t="s">
        <v>427</v>
      </c>
      <c r="J243" s="233" t="s">
        <v>428</v>
      </c>
      <c r="K243" s="233" t="s">
        <v>429</v>
      </c>
      <c r="L243" s="233" t="s">
        <v>430</v>
      </c>
      <c r="M243" s="233" t="s">
        <v>431</v>
      </c>
      <c r="BG243" s="158"/>
    </row>
    <row r="244" spans="2:59" ht="14.5" thickBot="1">
      <c r="B244" s="163"/>
      <c r="C244" s="233">
        <v>0</v>
      </c>
      <c r="D244" s="233">
        <v>0</v>
      </c>
      <c r="E244" s="233">
        <v>0</v>
      </c>
      <c r="F244" s="233" t="s">
        <v>432</v>
      </c>
      <c r="G244" s="233" t="s">
        <v>432</v>
      </c>
      <c r="H244" s="233">
        <v>1</v>
      </c>
      <c r="I244" s="233">
        <v>4</v>
      </c>
      <c r="J244" s="233">
        <v>2</v>
      </c>
      <c r="K244" s="233">
        <v>0</v>
      </c>
      <c r="L244" s="233">
        <v>30</v>
      </c>
      <c r="M244" s="233">
        <v>0</v>
      </c>
      <c r="BG244" s="158"/>
    </row>
    <row r="245" spans="2:59" ht="14.5" thickBot="1">
      <c r="B245" s="163"/>
      <c r="C245" s="164"/>
      <c r="D245" s="164"/>
      <c r="E245" s="164"/>
      <c r="F245" s="164"/>
      <c r="G245" s="164"/>
      <c r="H245" s="164"/>
      <c r="I245" s="164"/>
      <c r="J245" s="164"/>
      <c r="M245" s="164"/>
      <c r="N245" s="164"/>
      <c r="O245" s="164"/>
      <c r="BG245" s="158"/>
    </row>
    <row r="246" spans="2:59" ht="14" thickBot="1">
      <c r="B246" s="104" t="s">
        <v>492</v>
      </c>
      <c r="C246" s="105" t="s">
        <v>491</v>
      </c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58"/>
    </row>
    <row r="247" spans="2:59" ht="14" thickBot="1">
      <c r="B247" s="140" t="s">
        <v>433</v>
      </c>
      <c r="C247" s="105" t="s">
        <v>227</v>
      </c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58"/>
    </row>
    <row r="248" spans="2:59" ht="14">
      <c r="B248" s="163"/>
      <c r="C248" s="164"/>
      <c r="D248" s="164"/>
      <c r="E248" s="164"/>
      <c r="F248" s="164"/>
      <c r="G248" s="164"/>
      <c r="H248" s="164"/>
      <c r="I248" s="164"/>
      <c r="J248" s="164"/>
      <c r="M248" s="164"/>
      <c r="N248" s="164"/>
      <c r="O248" s="164"/>
      <c r="BG248" s="158"/>
    </row>
    <row r="249" spans="2:59" ht="14">
      <c r="B249" s="163"/>
      <c r="C249" s="161" t="s">
        <v>228</v>
      </c>
      <c r="D249" s="164"/>
      <c r="E249" s="164"/>
      <c r="F249" s="164"/>
      <c r="G249" s="164"/>
      <c r="H249" s="164"/>
      <c r="I249" s="164"/>
      <c r="J249" s="164"/>
      <c r="M249" s="164"/>
      <c r="N249" s="164"/>
      <c r="O249" s="164"/>
      <c r="BG249" s="158"/>
    </row>
    <row r="250" spans="2:59" ht="14">
      <c r="B250" s="163"/>
      <c r="C250" s="161" t="s">
        <v>493</v>
      </c>
      <c r="D250" s="164"/>
      <c r="E250" s="164"/>
      <c r="F250" s="164"/>
      <c r="G250" s="164"/>
      <c r="H250" s="164"/>
      <c r="I250" s="164"/>
      <c r="J250" s="164"/>
      <c r="M250" s="164"/>
      <c r="N250" s="164"/>
      <c r="O250" s="164"/>
      <c r="BG250" s="158"/>
    </row>
    <row r="251" spans="2:59" ht="14">
      <c r="B251" s="163"/>
      <c r="C251" s="164"/>
      <c r="D251" s="164"/>
      <c r="E251" s="164"/>
      <c r="F251" s="164"/>
      <c r="G251" s="164"/>
      <c r="H251" s="164"/>
      <c r="I251" s="164"/>
      <c r="J251" s="164"/>
      <c r="M251" s="164"/>
      <c r="N251" s="164"/>
      <c r="O251" s="164"/>
      <c r="BG251" s="158"/>
    </row>
    <row r="252" spans="2:59" ht="15">
      <c r="B252" s="163"/>
      <c r="C252" s="257" t="s">
        <v>268</v>
      </c>
      <c r="D252" s="258"/>
      <c r="E252" s="258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60"/>
      <c r="AA252" s="66"/>
      <c r="AB252" s="66"/>
      <c r="AC252" s="66"/>
      <c r="AD252" s="66"/>
      <c r="BG252" s="158"/>
    </row>
    <row r="253" spans="2:59" ht="15">
      <c r="B253" s="163"/>
      <c r="C253" s="127"/>
      <c r="D253" s="127"/>
      <c r="E253" s="127"/>
      <c r="F253" s="124" t="s">
        <v>168</v>
      </c>
      <c r="G253" s="124" t="s">
        <v>168</v>
      </c>
      <c r="H253" s="124" t="s">
        <v>168</v>
      </c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BG253" s="158"/>
    </row>
    <row r="254" spans="2:59">
      <c r="B254" s="163"/>
      <c r="C254" s="117" t="s">
        <v>171</v>
      </c>
      <c r="D254" s="117" t="s">
        <v>172</v>
      </c>
      <c r="E254" s="117" t="s">
        <v>173</v>
      </c>
      <c r="F254" s="119" t="s">
        <v>91</v>
      </c>
      <c r="G254" s="119" t="s">
        <v>67</v>
      </c>
      <c r="H254" s="119" t="s">
        <v>69</v>
      </c>
      <c r="I254" s="119" t="s">
        <v>289</v>
      </c>
      <c r="J254" s="119" t="s">
        <v>290</v>
      </c>
      <c r="K254" s="119" t="s">
        <v>291</v>
      </c>
      <c r="L254" s="119" t="s">
        <v>292</v>
      </c>
      <c r="M254" s="119" t="s">
        <v>293</v>
      </c>
      <c r="N254" s="119" t="s">
        <v>294</v>
      </c>
      <c r="O254" s="119" t="s">
        <v>295</v>
      </c>
      <c r="P254" s="119" t="s">
        <v>296</v>
      </c>
      <c r="Q254" s="119" t="s">
        <v>297</v>
      </c>
      <c r="R254" s="119" t="s">
        <v>298</v>
      </c>
      <c r="S254" s="119" t="s">
        <v>299</v>
      </c>
      <c r="T254" s="119" t="s">
        <v>300</v>
      </c>
      <c r="U254" s="119" t="s">
        <v>301</v>
      </c>
      <c r="V254" s="119" t="s">
        <v>302</v>
      </c>
      <c r="W254" s="119" t="s">
        <v>303</v>
      </c>
      <c r="X254" s="119" t="s">
        <v>229</v>
      </c>
      <c r="Y254" s="119" t="s">
        <v>230</v>
      </c>
      <c r="Z254" s="119" t="s">
        <v>231</v>
      </c>
      <c r="AA254" s="119" t="s">
        <v>232</v>
      </c>
      <c r="AB254" s="119" t="s">
        <v>150</v>
      </c>
      <c r="AC254" s="119" t="s">
        <v>151</v>
      </c>
      <c r="AD254" s="119" t="s">
        <v>233</v>
      </c>
      <c r="BG254" s="158"/>
    </row>
    <row r="255" spans="2:59">
      <c r="B255" s="163"/>
      <c r="C255" s="117" t="s">
        <v>205</v>
      </c>
      <c r="D255" s="117" t="s">
        <v>214</v>
      </c>
      <c r="E255" s="117" t="s">
        <v>222</v>
      </c>
      <c r="F255" s="118" t="s">
        <v>250</v>
      </c>
      <c r="G255" s="118" t="s">
        <v>251</v>
      </c>
      <c r="H255" s="118" t="s">
        <v>253</v>
      </c>
      <c r="I255" s="118" t="s">
        <v>252</v>
      </c>
      <c r="J255" s="118" t="s">
        <v>254</v>
      </c>
      <c r="K255" s="118" t="s">
        <v>255</v>
      </c>
      <c r="L255" s="118" t="s">
        <v>256</v>
      </c>
      <c r="M255" s="118" t="s">
        <v>257</v>
      </c>
      <c r="N255" s="118" t="s">
        <v>258</v>
      </c>
      <c r="O255" s="118" t="s">
        <v>259</v>
      </c>
      <c r="P255" s="118" t="s">
        <v>260</v>
      </c>
      <c r="Q255" s="118" t="s">
        <v>261</v>
      </c>
      <c r="R255" s="118" t="s">
        <v>262</v>
      </c>
      <c r="S255" s="118" t="s">
        <v>263</v>
      </c>
      <c r="T255" s="118" t="s">
        <v>264</v>
      </c>
      <c r="U255" s="118" t="s">
        <v>265</v>
      </c>
      <c r="V255" s="118" t="s">
        <v>266</v>
      </c>
      <c r="W255" s="118" t="s">
        <v>267</v>
      </c>
      <c r="X255" s="118" t="s">
        <v>235</v>
      </c>
      <c r="Y255" s="118" t="s">
        <v>236</v>
      </c>
      <c r="Z255" s="118" t="s">
        <v>237</v>
      </c>
      <c r="AA255" s="118" t="s">
        <v>238</v>
      </c>
      <c r="AB255" s="118" t="s">
        <v>239</v>
      </c>
      <c r="AC255" s="118" t="s">
        <v>240</v>
      </c>
      <c r="AD255" s="118" t="s">
        <v>241</v>
      </c>
      <c r="BG255" s="158"/>
    </row>
    <row r="256" spans="2:59">
      <c r="B256" s="163"/>
      <c r="C256" s="117" t="s">
        <v>304</v>
      </c>
      <c r="D256" s="117" t="s">
        <v>305</v>
      </c>
      <c r="E256" s="117" t="s">
        <v>305</v>
      </c>
      <c r="F256" s="119" t="s">
        <v>306</v>
      </c>
      <c r="G256" s="119" t="s">
        <v>306</v>
      </c>
      <c r="H256" s="119" t="s">
        <v>307</v>
      </c>
      <c r="I256" s="119" t="s">
        <v>306</v>
      </c>
      <c r="J256" s="119" t="s">
        <v>308</v>
      </c>
      <c r="K256" s="119" t="s">
        <v>309</v>
      </c>
      <c r="L256" s="118" t="s">
        <v>310</v>
      </c>
      <c r="M256" s="119" t="s">
        <v>310</v>
      </c>
      <c r="N256" s="119" t="s">
        <v>311</v>
      </c>
      <c r="O256" s="119" t="s">
        <v>306</v>
      </c>
      <c r="P256" s="119" t="s">
        <v>312</v>
      </c>
      <c r="Q256" s="119" t="s">
        <v>313</v>
      </c>
      <c r="R256" s="119" t="s">
        <v>312</v>
      </c>
      <c r="S256" s="119" t="s">
        <v>314</v>
      </c>
      <c r="T256" s="118" t="s">
        <v>315</v>
      </c>
      <c r="U256" s="119" t="s">
        <v>315</v>
      </c>
      <c r="V256" s="119" t="s">
        <v>316</v>
      </c>
      <c r="W256" s="119" t="s">
        <v>306</v>
      </c>
      <c r="X256" s="119" t="s">
        <v>317</v>
      </c>
      <c r="Y256" s="119" t="s">
        <v>319</v>
      </c>
      <c r="Z256" s="119" t="s">
        <v>320</v>
      </c>
      <c r="AA256" s="119" t="s">
        <v>320</v>
      </c>
      <c r="AB256" s="118" t="s">
        <v>318</v>
      </c>
      <c r="AC256" s="119" t="s">
        <v>320</v>
      </c>
      <c r="AD256" s="119" t="s">
        <v>320</v>
      </c>
      <c r="BG256" s="158"/>
    </row>
    <row r="257" spans="2:59" ht="25">
      <c r="B257" s="122" t="s">
        <v>244</v>
      </c>
      <c r="C257" s="121" t="s">
        <v>269</v>
      </c>
      <c r="D257" s="143" t="s">
        <v>461</v>
      </c>
      <c r="E257" s="143" t="s">
        <v>461</v>
      </c>
      <c r="F257" s="119" t="s">
        <v>182</v>
      </c>
      <c r="G257" s="119" t="s">
        <v>271</v>
      </c>
      <c r="H257" s="119" t="s">
        <v>183</v>
      </c>
      <c r="I257" s="119" t="s">
        <v>271</v>
      </c>
      <c r="J257" s="119" t="s">
        <v>272</v>
      </c>
      <c r="K257" s="119" t="s">
        <v>243</v>
      </c>
      <c r="L257" s="118" t="s">
        <v>155</v>
      </c>
      <c r="M257" s="119" t="s">
        <v>273</v>
      </c>
      <c r="N257" s="119"/>
      <c r="O257" s="119" t="s">
        <v>182</v>
      </c>
      <c r="P257" s="119" t="s">
        <v>155</v>
      </c>
      <c r="Q257" s="119" t="s">
        <v>274</v>
      </c>
      <c r="R257" s="119" t="s">
        <v>275</v>
      </c>
      <c r="S257" s="119"/>
      <c r="T257" s="118" t="s">
        <v>155</v>
      </c>
      <c r="U257" s="119" t="s">
        <v>155</v>
      </c>
      <c r="V257" s="119" t="s">
        <v>155</v>
      </c>
      <c r="W257" s="119"/>
      <c r="X257" s="119" t="s">
        <v>243</v>
      </c>
      <c r="Y257" s="119" t="s">
        <v>276</v>
      </c>
      <c r="Z257" s="119" t="s">
        <v>277</v>
      </c>
      <c r="AA257" s="119" t="s">
        <v>277</v>
      </c>
      <c r="AB257" s="118" t="s">
        <v>278</v>
      </c>
      <c r="AC257" s="119" t="s">
        <v>279</v>
      </c>
      <c r="AD257" s="119" t="s">
        <v>279</v>
      </c>
      <c r="BG257" s="158"/>
    </row>
    <row r="258" spans="2:59" ht="25">
      <c r="B258" s="120" t="s">
        <v>242</v>
      </c>
      <c r="C258" s="121" t="s">
        <v>269</v>
      </c>
      <c r="D258" s="143" t="s">
        <v>461</v>
      </c>
      <c r="E258" s="142" t="s">
        <v>181</v>
      </c>
      <c r="F258" s="119" t="s">
        <v>182</v>
      </c>
      <c r="G258" s="132" t="s">
        <v>271</v>
      </c>
      <c r="H258" s="119" t="s">
        <v>183</v>
      </c>
      <c r="I258" s="132" t="s">
        <v>271</v>
      </c>
      <c r="J258" s="119" t="s">
        <v>183</v>
      </c>
      <c r="K258" s="119" t="s">
        <v>243</v>
      </c>
      <c r="L258" s="118" t="s">
        <v>280</v>
      </c>
      <c r="M258" s="119" t="s">
        <v>273</v>
      </c>
      <c r="N258" s="119"/>
      <c r="O258" s="119" t="s">
        <v>243</v>
      </c>
      <c r="P258" s="119" t="s">
        <v>155</v>
      </c>
      <c r="Q258" s="119" t="s">
        <v>183</v>
      </c>
      <c r="R258" s="119" t="s">
        <v>281</v>
      </c>
      <c r="S258" s="119"/>
      <c r="T258" s="118" t="s">
        <v>155</v>
      </c>
      <c r="U258" s="119" t="s">
        <v>155</v>
      </c>
      <c r="V258" s="119" t="s">
        <v>155</v>
      </c>
      <c r="W258" s="119"/>
      <c r="X258" s="119" t="s">
        <v>243</v>
      </c>
      <c r="Y258" s="119" t="s">
        <v>282</v>
      </c>
      <c r="Z258" s="119" t="s">
        <v>283</v>
      </c>
      <c r="AA258" s="119">
        <v>470195</v>
      </c>
      <c r="AB258" s="118" t="s">
        <v>282</v>
      </c>
      <c r="AC258" s="119">
        <v>470195</v>
      </c>
      <c r="AD258" s="119" t="s">
        <v>283</v>
      </c>
      <c r="BG258" s="158"/>
    </row>
    <row r="259" spans="2:59" ht="14">
      <c r="B259" s="120" t="s">
        <v>242</v>
      </c>
      <c r="C259" s="142" t="s">
        <v>476</v>
      </c>
      <c r="D259" s="121" t="s">
        <v>270</v>
      </c>
      <c r="E259" s="121" t="s">
        <v>270</v>
      </c>
      <c r="F259" s="121" t="s">
        <v>182</v>
      </c>
      <c r="G259" s="121" t="s">
        <v>271</v>
      </c>
      <c r="H259" s="121" t="s">
        <v>183</v>
      </c>
      <c r="I259" s="121" t="s">
        <v>271</v>
      </c>
      <c r="J259" s="121" t="s">
        <v>477</v>
      </c>
      <c r="K259" s="121" t="s">
        <v>243</v>
      </c>
      <c r="L259" s="121" t="s">
        <v>155</v>
      </c>
      <c r="M259" s="121" t="s">
        <v>273</v>
      </c>
      <c r="N259" s="121"/>
      <c r="O259" s="121" t="s">
        <v>182</v>
      </c>
      <c r="P259" s="121" t="s">
        <v>155</v>
      </c>
      <c r="Q259" s="121" t="s">
        <v>274</v>
      </c>
      <c r="R259" s="121" t="s">
        <v>478</v>
      </c>
      <c r="S259" s="121"/>
      <c r="T259" s="121" t="s">
        <v>479</v>
      </c>
      <c r="U259" s="121" t="s">
        <v>480</v>
      </c>
      <c r="V259" s="121" t="s">
        <v>481</v>
      </c>
      <c r="W259" s="121"/>
      <c r="X259" s="121" t="s">
        <v>243</v>
      </c>
      <c r="Y259" s="121" t="s">
        <v>276</v>
      </c>
      <c r="Z259" s="121" t="s">
        <v>277</v>
      </c>
      <c r="AA259" s="121" t="s">
        <v>277</v>
      </c>
      <c r="AB259" s="121" t="s">
        <v>482</v>
      </c>
      <c r="AC259" s="121">
        <v>375901</v>
      </c>
      <c r="AD259" s="121" t="s">
        <v>483</v>
      </c>
      <c r="BG259" s="158"/>
    </row>
    <row r="260" spans="2:59" ht="14">
      <c r="B260" s="120" t="s">
        <v>242</v>
      </c>
      <c r="C260" s="142" t="s">
        <v>490</v>
      </c>
      <c r="D260" s="121" t="s">
        <v>270</v>
      </c>
      <c r="E260" s="121" t="s">
        <v>270</v>
      </c>
      <c r="F260" s="121" t="s">
        <v>182</v>
      </c>
      <c r="G260" s="121" t="s">
        <v>271</v>
      </c>
      <c r="H260" s="121" t="s">
        <v>183</v>
      </c>
      <c r="I260" s="121" t="s">
        <v>271</v>
      </c>
      <c r="J260" s="121" t="s">
        <v>484</v>
      </c>
      <c r="K260" s="121" t="s">
        <v>243</v>
      </c>
      <c r="L260" s="121" t="s">
        <v>485</v>
      </c>
      <c r="M260" s="121" t="s">
        <v>273</v>
      </c>
      <c r="N260" s="121"/>
      <c r="O260" s="121" t="s">
        <v>271</v>
      </c>
      <c r="P260" s="121" t="s">
        <v>155</v>
      </c>
      <c r="Q260" s="121" t="s">
        <v>486</v>
      </c>
      <c r="R260" s="121" t="s">
        <v>275</v>
      </c>
      <c r="S260" s="121"/>
      <c r="T260" s="121" t="s">
        <v>155</v>
      </c>
      <c r="U260" s="121" t="s">
        <v>155</v>
      </c>
      <c r="V260" s="121" t="s">
        <v>155</v>
      </c>
      <c r="W260" s="121"/>
      <c r="X260" s="121" t="s">
        <v>243</v>
      </c>
      <c r="Y260" s="121" t="s">
        <v>487</v>
      </c>
      <c r="Z260" s="121" t="s">
        <v>277</v>
      </c>
      <c r="AA260" s="121" t="s">
        <v>277</v>
      </c>
      <c r="AB260" s="121" t="s">
        <v>488</v>
      </c>
      <c r="AC260" s="121" t="s">
        <v>489</v>
      </c>
      <c r="AD260" s="121" t="s">
        <v>489</v>
      </c>
      <c r="BG260" s="158"/>
    </row>
    <row r="261" spans="2:59">
      <c r="B261" s="163"/>
      <c r="BG261" s="158"/>
    </row>
    <row r="262" spans="2:59" ht="15">
      <c r="B262" s="163"/>
      <c r="C262" s="257" t="s">
        <v>321</v>
      </c>
      <c r="D262" s="25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  <c r="R262" s="258"/>
      <c r="S262" s="258"/>
      <c r="T262" s="258"/>
      <c r="U262" s="90"/>
      <c r="V262" s="90"/>
      <c r="W262" s="90"/>
      <c r="X262" s="90"/>
      <c r="Y262" s="90"/>
      <c r="Z262" s="90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92"/>
      <c r="BC262" s="92"/>
      <c r="BD262" s="92"/>
      <c r="BE262" s="92"/>
      <c r="BF262" s="92"/>
      <c r="BG262" s="158"/>
    </row>
    <row r="263" spans="2:59" ht="15">
      <c r="B263" s="163"/>
      <c r="C263" s="127"/>
      <c r="D263" s="127"/>
      <c r="E263" s="127"/>
      <c r="F263" s="124" t="s">
        <v>168</v>
      </c>
      <c r="G263" s="124" t="s">
        <v>168</v>
      </c>
      <c r="H263" s="129" t="s">
        <v>168</v>
      </c>
      <c r="I263" s="124" t="s">
        <v>168</v>
      </c>
      <c r="J263" s="124" t="s">
        <v>168</v>
      </c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30"/>
      <c r="AB263" s="130"/>
      <c r="AC263" s="130"/>
      <c r="AD263" s="130"/>
      <c r="AE263" s="130"/>
      <c r="AF263" s="130"/>
      <c r="AG263" s="130"/>
      <c r="AH263" s="130"/>
      <c r="AI263" s="130"/>
      <c r="AJ263" s="130"/>
      <c r="AK263" s="130"/>
      <c r="AL263" s="130"/>
      <c r="AM263" s="130"/>
      <c r="AN263" s="130"/>
      <c r="AO263" s="130"/>
      <c r="AP263" s="130"/>
      <c r="AQ263" s="130"/>
      <c r="AR263" s="130"/>
      <c r="AS263" s="130"/>
      <c r="AT263" s="130"/>
      <c r="AU263" s="130"/>
      <c r="AV263" s="130"/>
      <c r="AW263" s="130"/>
      <c r="AX263" s="130"/>
      <c r="AY263" s="130"/>
      <c r="AZ263" s="130"/>
      <c r="BA263" s="130"/>
      <c r="BB263" s="130"/>
      <c r="BC263" s="130"/>
      <c r="BD263" s="130"/>
      <c r="BE263" s="130"/>
      <c r="BF263" s="130"/>
      <c r="BG263" s="158"/>
    </row>
    <row r="264" spans="2:59" ht="25">
      <c r="B264" s="163"/>
      <c r="C264" s="117" t="s">
        <v>365</v>
      </c>
      <c r="D264" s="117" t="s">
        <v>420</v>
      </c>
      <c r="E264" s="117" t="s">
        <v>421</v>
      </c>
      <c r="F264" s="119" t="s">
        <v>96</v>
      </c>
      <c r="G264" s="119" t="s">
        <v>99</v>
      </c>
      <c r="H264" s="119" t="s">
        <v>130</v>
      </c>
      <c r="I264" s="119" t="s">
        <v>391</v>
      </c>
      <c r="J264" s="119" t="s">
        <v>127</v>
      </c>
      <c r="K264" s="119" t="s">
        <v>67</v>
      </c>
      <c r="L264" s="119" t="s">
        <v>288</v>
      </c>
      <c r="M264" s="119" t="s">
        <v>366</v>
      </c>
      <c r="N264" s="119" t="s">
        <v>367</v>
      </c>
      <c r="O264" s="119" t="s">
        <v>368</v>
      </c>
      <c r="P264" s="119" t="s">
        <v>369</v>
      </c>
      <c r="Q264" s="119" t="s">
        <v>370</v>
      </c>
      <c r="R264" s="119" t="s">
        <v>371</v>
      </c>
      <c r="S264" s="119" t="s">
        <v>372</v>
      </c>
      <c r="T264" s="119" t="s">
        <v>373</v>
      </c>
      <c r="U264" s="119" t="s">
        <v>374</v>
      </c>
      <c r="V264" s="119" t="s">
        <v>375</v>
      </c>
      <c r="W264" s="119" t="s">
        <v>376</v>
      </c>
      <c r="X264" s="119" t="s">
        <v>377</v>
      </c>
      <c r="Y264" s="119" t="s">
        <v>378</v>
      </c>
      <c r="Z264" s="119" t="s">
        <v>379</v>
      </c>
      <c r="AA264" s="119" t="s">
        <v>380</v>
      </c>
      <c r="AB264" s="119" t="s">
        <v>381</v>
      </c>
      <c r="AC264" s="119" t="s">
        <v>382</v>
      </c>
      <c r="AD264" s="119" t="s">
        <v>383</v>
      </c>
      <c r="AE264" s="119" t="s">
        <v>384</v>
      </c>
      <c r="AF264" s="119" t="s">
        <v>385</v>
      </c>
      <c r="AG264" s="119" t="s">
        <v>386</v>
      </c>
      <c r="AH264" s="119" t="s">
        <v>387</v>
      </c>
      <c r="AI264" s="119" t="s">
        <v>388</v>
      </c>
      <c r="AJ264" s="119" t="s">
        <v>390</v>
      </c>
      <c r="AK264" s="119" t="s">
        <v>389</v>
      </c>
      <c r="AL264" s="119" t="s">
        <v>398</v>
      </c>
      <c r="AM264" s="119" t="s">
        <v>392</v>
      </c>
      <c r="AN264" s="119" t="s">
        <v>393</v>
      </c>
      <c r="AO264" s="119" t="s">
        <v>394</v>
      </c>
      <c r="AP264" s="119" t="s">
        <v>395</v>
      </c>
      <c r="AQ264" s="119" t="s">
        <v>399</v>
      </c>
      <c r="AR264" s="119" t="s">
        <v>396</v>
      </c>
      <c r="AS264" s="119" t="s">
        <v>397</v>
      </c>
      <c r="AT264" s="119" t="s">
        <v>400</v>
      </c>
      <c r="AU264" s="119" t="s">
        <v>401</v>
      </c>
      <c r="AV264" s="119" t="s">
        <v>402</v>
      </c>
      <c r="AW264" s="119" t="s">
        <v>403</v>
      </c>
      <c r="AX264" s="119" t="s">
        <v>404</v>
      </c>
      <c r="AY264" s="119" t="s">
        <v>405</v>
      </c>
      <c r="AZ264" s="119" t="s">
        <v>229</v>
      </c>
      <c r="BA264" s="119" t="s">
        <v>230</v>
      </c>
      <c r="BB264" s="119" t="s">
        <v>231</v>
      </c>
      <c r="BC264" s="119" t="s">
        <v>232</v>
      </c>
      <c r="BD264" s="119" t="s">
        <v>150</v>
      </c>
      <c r="BE264" s="119" t="s">
        <v>151</v>
      </c>
      <c r="BF264" s="119" t="s">
        <v>233</v>
      </c>
      <c r="BG264" s="158"/>
    </row>
    <row r="265" spans="2:59">
      <c r="B265" s="163"/>
      <c r="C265" s="117" t="s">
        <v>205</v>
      </c>
      <c r="D265" s="117" t="s">
        <v>214</v>
      </c>
      <c r="E265" s="117" t="s">
        <v>222</v>
      </c>
      <c r="F265" s="118" t="s">
        <v>322</v>
      </c>
      <c r="G265" s="118" t="s">
        <v>323</v>
      </c>
      <c r="H265" s="118" t="s">
        <v>324</v>
      </c>
      <c r="I265" s="118" t="s">
        <v>351</v>
      </c>
      <c r="J265" s="118" t="s">
        <v>357</v>
      </c>
      <c r="K265" s="118" t="s">
        <v>251</v>
      </c>
      <c r="L265" s="118" t="s">
        <v>252</v>
      </c>
      <c r="M265" s="118" t="s">
        <v>325</v>
      </c>
      <c r="N265" s="118" t="s">
        <v>326</v>
      </c>
      <c r="O265" s="118" t="s">
        <v>327</v>
      </c>
      <c r="P265" s="118" t="s">
        <v>328</v>
      </c>
      <c r="Q265" s="118" t="s">
        <v>329</v>
      </c>
      <c r="R265" s="118" t="s">
        <v>330</v>
      </c>
      <c r="S265" s="118" t="s">
        <v>331</v>
      </c>
      <c r="T265" s="118" t="s">
        <v>332</v>
      </c>
      <c r="U265" s="118" t="s">
        <v>333</v>
      </c>
      <c r="V265" s="118" t="s">
        <v>334</v>
      </c>
      <c r="W265" s="118" t="s">
        <v>335</v>
      </c>
      <c r="X265" s="118" t="s">
        <v>336</v>
      </c>
      <c r="Y265" s="118" t="s">
        <v>337</v>
      </c>
      <c r="Z265" s="118" t="s">
        <v>338</v>
      </c>
      <c r="AA265" s="118" t="s">
        <v>339</v>
      </c>
      <c r="AB265" s="118" t="s">
        <v>340</v>
      </c>
      <c r="AC265" s="118" t="s">
        <v>341</v>
      </c>
      <c r="AD265" s="118" t="s">
        <v>342</v>
      </c>
      <c r="AE265" s="118" t="s">
        <v>343</v>
      </c>
      <c r="AF265" s="118" t="s">
        <v>344</v>
      </c>
      <c r="AG265" s="118" t="s">
        <v>345</v>
      </c>
      <c r="AH265" s="118" t="s">
        <v>346</v>
      </c>
      <c r="AI265" s="118" t="s">
        <v>347</v>
      </c>
      <c r="AJ265" s="118" t="s">
        <v>348</v>
      </c>
      <c r="AK265" s="118" t="s">
        <v>349</v>
      </c>
      <c r="AL265" s="118" t="s">
        <v>350</v>
      </c>
      <c r="AM265" s="118" t="s">
        <v>352</v>
      </c>
      <c r="AN265" s="118" t="s">
        <v>353</v>
      </c>
      <c r="AO265" s="118" t="s">
        <v>354</v>
      </c>
      <c r="AP265" s="118" t="s">
        <v>234</v>
      </c>
      <c r="AQ265" s="118" t="s">
        <v>355</v>
      </c>
      <c r="AR265" s="118" t="s">
        <v>356</v>
      </c>
      <c r="AS265" s="118" t="s">
        <v>358</v>
      </c>
      <c r="AT265" s="118" t="s">
        <v>359</v>
      </c>
      <c r="AU265" s="118" t="s">
        <v>360</v>
      </c>
      <c r="AV265" s="118" t="s">
        <v>361</v>
      </c>
      <c r="AW265" s="118" t="s">
        <v>362</v>
      </c>
      <c r="AX265" s="118" t="s">
        <v>363</v>
      </c>
      <c r="AY265" s="118" t="s">
        <v>364</v>
      </c>
      <c r="AZ265" s="118" t="s">
        <v>235</v>
      </c>
      <c r="BA265" s="118" t="s">
        <v>236</v>
      </c>
      <c r="BB265" s="118" t="s">
        <v>237</v>
      </c>
      <c r="BC265" s="118" t="s">
        <v>238</v>
      </c>
      <c r="BD265" s="118" t="s">
        <v>239</v>
      </c>
      <c r="BE265" s="118" t="s">
        <v>240</v>
      </c>
      <c r="BF265" s="118" t="s">
        <v>241</v>
      </c>
      <c r="BG265" s="158"/>
    </row>
    <row r="266" spans="2:59">
      <c r="B266" s="163"/>
      <c r="C266" s="117" t="s">
        <v>304</v>
      </c>
      <c r="D266" s="117" t="s">
        <v>406</v>
      </c>
      <c r="E266" s="117" t="s">
        <v>305</v>
      </c>
      <c r="F266" s="131" t="s">
        <v>306</v>
      </c>
      <c r="G266" s="131" t="s">
        <v>306</v>
      </c>
      <c r="H266" s="131" t="s">
        <v>306</v>
      </c>
      <c r="I266" s="131" t="s">
        <v>306</v>
      </c>
      <c r="J266" s="131" t="s">
        <v>308</v>
      </c>
      <c r="K266" s="131" t="s">
        <v>306</v>
      </c>
      <c r="L266" s="131" t="s">
        <v>306</v>
      </c>
      <c r="M266" s="131" t="s">
        <v>407</v>
      </c>
      <c r="N266" s="131" t="s">
        <v>407</v>
      </c>
      <c r="O266" s="131" t="s">
        <v>305</v>
      </c>
      <c r="P266" s="131" t="s">
        <v>408</v>
      </c>
      <c r="Q266" s="131" t="s">
        <v>306</v>
      </c>
      <c r="R266" s="131" t="s">
        <v>313</v>
      </c>
      <c r="S266" s="131" t="s">
        <v>308</v>
      </c>
      <c r="T266" s="131" t="s">
        <v>313</v>
      </c>
      <c r="U266" s="131" t="s">
        <v>308</v>
      </c>
      <c r="V266" s="131" t="s">
        <v>308</v>
      </c>
      <c r="W266" s="131" t="s">
        <v>306</v>
      </c>
      <c r="X266" s="131" t="s">
        <v>409</v>
      </c>
      <c r="Y266" s="131" t="s">
        <v>409</v>
      </c>
      <c r="Z266" s="131" t="s">
        <v>310</v>
      </c>
      <c r="AA266" s="131" t="s">
        <v>408</v>
      </c>
      <c r="AB266" s="131" t="s">
        <v>408</v>
      </c>
      <c r="AC266" s="131" t="s">
        <v>308</v>
      </c>
      <c r="AD266" s="131" t="s">
        <v>312</v>
      </c>
      <c r="AE266" s="131" t="s">
        <v>313</v>
      </c>
      <c r="AF266" s="131" t="s">
        <v>313</v>
      </c>
      <c r="AG266" s="131" t="s">
        <v>410</v>
      </c>
      <c r="AH266" s="131" t="s">
        <v>410</v>
      </c>
      <c r="AI266" s="131" t="s">
        <v>313</v>
      </c>
      <c r="AJ266" s="131" t="s">
        <v>313</v>
      </c>
      <c r="AK266" s="131" t="s">
        <v>410</v>
      </c>
      <c r="AL266" s="131" t="s">
        <v>410</v>
      </c>
      <c r="AM266" s="131" t="s">
        <v>306</v>
      </c>
      <c r="AN266" s="131" t="s">
        <v>306</v>
      </c>
      <c r="AO266" s="131" t="s">
        <v>306</v>
      </c>
      <c r="AP266" s="131" t="s">
        <v>310</v>
      </c>
      <c r="AQ266" s="131" t="s">
        <v>305</v>
      </c>
      <c r="AR266" s="131" t="s">
        <v>306</v>
      </c>
      <c r="AS266" s="131" t="s">
        <v>308</v>
      </c>
      <c r="AT266" s="131" t="s">
        <v>306</v>
      </c>
      <c r="AU266" s="131" t="s">
        <v>411</v>
      </c>
      <c r="AV266" s="131" t="s">
        <v>313</v>
      </c>
      <c r="AW266" s="131" t="s">
        <v>310</v>
      </c>
      <c r="AX266" s="131" t="s">
        <v>306</v>
      </c>
      <c r="AY266" s="131" t="s">
        <v>306</v>
      </c>
      <c r="AZ266" s="131" t="s">
        <v>317</v>
      </c>
      <c r="BA266" s="131" t="s">
        <v>318</v>
      </c>
      <c r="BB266" s="131" t="s">
        <v>320</v>
      </c>
      <c r="BC266" s="131" t="s">
        <v>320</v>
      </c>
      <c r="BD266" s="131" t="s">
        <v>318</v>
      </c>
      <c r="BE266" s="131" t="s">
        <v>320</v>
      </c>
      <c r="BF266" s="131" t="s">
        <v>320</v>
      </c>
      <c r="BG266" s="158"/>
    </row>
    <row r="267" spans="2:59" ht="15">
      <c r="B267" s="122" t="s">
        <v>244</v>
      </c>
      <c r="C267" s="132" t="s">
        <v>269</v>
      </c>
      <c r="D267" s="143" t="s">
        <v>461</v>
      </c>
      <c r="E267" s="143" t="s">
        <v>461</v>
      </c>
      <c r="F267" s="133" t="s">
        <v>286</v>
      </c>
      <c r="G267" s="132" t="s">
        <v>243</v>
      </c>
      <c r="H267" s="132" t="s">
        <v>243</v>
      </c>
      <c r="I267" s="135">
        <v>1</v>
      </c>
      <c r="J267" s="136">
        <v>0</v>
      </c>
      <c r="K267" s="132" t="s">
        <v>271</v>
      </c>
      <c r="L267" s="132" t="s">
        <v>271</v>
      </c>
      <c r="M267" s="132" t="s">
        <v>155</v>
      </c>
      <c r="N267" s="132" t="s">
        <v>155</v>
      </c>
      <c r="O267" s="132" t="s">
        <v>155</v>
      </c>
      <c r="P267" s="132" t="s">
        <v>155</v>
      </c>
      <c r="Q267" s="134" t="s">
        <v>412</v>
      </c>
      <c r="R267" s="132" t="s">
        <v>243</v>
      </c>
      <c r="S267" s="132" t="s">
        <v>243</v>
      </c>
      <c r="T267" s="132" t="s">
        <v>413</v>
      </c>
      <c r="U267" s="132" t="s">
        <v>414</v>
      </c>
      <c r="V267" s="132" t="s">
        <v>182</v>
      </c>
      <c r="W267" s="132" t="s">
        <v>182</v>
      </c>
      <c r="X267" s="132" t="s">
        <v>243</v>
      </c>
      <c r="Y267" s="132" t="s">
        <v>243</v>
      </c>
      <c r="Z267" s="132"/>
      <c r="AA267" s="135"/>
      <c r="AB267" s="135" t="s">
        <v>155</v>
      </c>
      <c r="AC267" s="135">
        <v>1</v>
      </c>
      <c r="AD267" s="135">
        <v>99999999</v>
      </c>
      <c r="AE267" s="132" t="s">
        <v>243</v>
      </c>
      <c r="AF267" s="132" t="s">
        <v>243</v>
      </c>
      <c r="AG267" s="132" t="s">
        <v>243</v>
      </c>
      <c r="AH267" s="132" t="s">
        <v>243</v>
      </c>
      <c r="AI267" s="135">
        <v>0</v>
      </c>
      <c r="AJ267" s="135">
        <v>0</v>
      </c>
      <c r="AK267" s="135">
        <v>0</v>
      </c>
      <c r="AL267" s="135">
        <v>0</v>
      </c>
      <c r="AM267" s="132" t="s">
        <v>182</v>
      </c>
      <c r="AN267" s="135">
        <v>0</v>
      </c>
      <c r="AO267" s="132" t="s">
        <v>243</v>
      </c>
      <c r="AP267" s="135">
        <v>1</v>
      </c>
      <c r="AQ267" s="136" t="s">
        <v>155</v>
      </c>
      <c r="AR267" s="136" t="s">
        <v>415</v>
      </c>
      <c r="AS267" s="136">
        <v>0</v>
      </c>
      <c r="AT267" s="136">
        <v>1</v>
      </c>
      <c r="AU267" s="136">
        <v>0</v>
      </c>
      <c r="AV267" s="136">
        <v>0</v>
      </c>
      <c r="AW267" s="136">
        <v>0</v>
      </c>
      <c r="AX267" s="136">
        <v>0</v>
      </c>
      <c r="AY267" s="136">
        <v>1</v>
      </c>
      <c r="AZ267" s="136">
        <v>0</v>
      </c>
      <c r="BA267" s="137">
        <v>29705</v>
      </c>
      <c r="BB267" s="136" t="s">
        <v>277</v>
      </c>
      <c r="BC267" s="136" t="s">
        <v>277</v>
      </c>
      <c r="BD267" s="137">
        <v>36413</v>
      </c>
      <c r="BE267" s="136" t="s">
        <v>277</v>
      </c>
      <c r="BF267" s="136" t="s">
        <v>277</v>
      </c>
      <c r="BG267" s="158"/>
    </row>
    <row r="268" spans="2:59" ht="15">
      <c r="B268" s="120" t="s">
        <v>242</v>
      </c>
      <c r="C268" s="132" t="s">
        <v>269</v>
      </c>
      <c r="D268" s="143" t="s">
        <v>461</v>
      </c>
      <c r="E268" s="142" t="s">
        <v>181</v>
      </c>
      <c r="F268" s="133" t="s">
        <v>184</v>
      </c>
      <c r="G268" s="132" t="s">
        <v>243</v>
      </c>
      <c r="H268" s="132" t="s">
        <v>243</v>
      </c>
      <c r="I268" s="135">
        <v>0</v>
      </c>
      <c r="J268" s="136">
        <v>30</v>
      </c>
      <c r="K268" s="132" t="s">
        <v>271</v>
      </c>
      <c r="L268" s="132" t="s">
        <v>271</v>
      </c>
      <c r="M268" s="132" t="s">
        <v>155</v>
      </c>
      <c r="N268" s="132" t="s">
        <v>155</v>
      </c>
      <c r="O268" s="132" t="s">
        <v>416</v>
      </c>
      <c r="P268" s="132" t="s">
        <v>155</v>
      </c>
      <c r="Q268" s="134" t="s">
        <v>417</v>
      </c>
      <c r="R268" s="132" t="s">
        <v>182</v>
      </c>
      <c r="S268" s="132" t="s">
        <v>243</v>
      </c>
      <c r="T268" s="132" t="s">
        <v>413</v>
      </c>
      <c r="U268" s="132" t="s">
        <v>414</v>
      </c>
      <c r="V268" s="132" t="s">
        <v>418</v>
      </c>
      <c r="W268" s="132" t="s">
        <v>182</v>
      </c>
      <c r="X268" s="132" t="s">
        <v>243</v>
      </c>
      <c r="Y268" s="132" t="s">
        <v>243</v>
      </c>
      <c r="Z268" s="132"/>
      <c r="AA268" s="135"/>
      <c r="AB268" s="135" t="s">
        <v>419</v>
      </c>
      <c r="AC268" s="138">
        <v>5000</v>
      </c>
      <c r="AD268" s="135">
        <v>99999999</v>
      </c>
      <c r="AE268" s="132" t="s">
        <v>243</v>
      </c>
      <c r="AF268" s="132" t="s">
        <v>271</v>
      </c>
      <c r="AG268" s="132" t="s">
        <v>243</v>
      </c>
      <c r="AH268" s="132" t="s">
        <v>243</v>
      </c>
      <c r="AI268" s="135">
        <v>0</v>
      </c>
      <c r="AJ268" s="135">
        <v>0</v>
      </c>
      <c r="AK268" s="135">
        <v>0</v>
      </c>
      <c r="AL268" s="135">
        <v>0</v>
      </c>
      <c r="AM268" s="132" t="s">
        <v>182</v>
      </c>
      <c r="AN268" s="135">
        <v>0</v>
      </c>
      <c r="AO268" s="132" t="s">
        <v>243</v>
      </c>
      <c r="AP268" s="135">
        <v>1</v>
      </c>
      <c r="AQ268" s="136">
        <v>1111</v>
      </c>
      <c r="AR268" s="136" t="s">
        <v>415</v>
      </c>
      <c r="AS268" s="136">
        <v>10</v>
      </c>
      <c r="AT268" s="136">
        <v>1</v>
      </c>
      <c r="AU268" s="136">
        <v>0</v>
      </c>
      <c r="AV268" s="136">
        <v>0</v>
      </c>
      <c r="AW268" s="136">
        <v>0</v>
      </c>
      <c r="AX268" s="136">
        <v>0</v>
      </c>
      <c r="AY268" s="136">
        <v>1</v>
      </c>
      <c r="AZ268" s="136">
        <v>0</v>
      </c>
      <c r="BA268" s="137">
        <v>40640.750486111108</v>
      </c>
      <c r="BB268" s="136">
        <v>470195</v>
      </c>
      <c r="BC268" s="136">
        <v>470195</v>
      </c>
      <c r="BD268" s="137">
        <v>45392.67769675926</v>
      </c>
      <c r="BE268" s="136">
        <v>363363</v>
      </c>
      <c r="BF268" s="136">
        <v>363363</v>
      </c>
      <c r="BG268" s="158"/>
    </row>
    <row r="269" spans="2:59" ht="14">
      <c r="B269" s="120" t="s">
        <v>242</v>
      </c>
      <c r="C269" s="142" t="s">
        <v>476</v>
      </c>
      <c r="D269" s="132" t="s">
        <v>270</v>
      </c>
      <c r="E269" s="132" t="s">
        <v>270</v>
      </c>
      <c r="F269" s="132" t="s">
        <v>286</v>
      </c>
      <c r="G269" s="132" t="s">
        <v>243</v>
      </c>
      <c r="H269" s="132" t="s">
        <v>243</v>
      </c>
      <c r="I269" s="132">
        <v>1</v>
      </c>
      <c r="J269" s="132">
        <v>0</v>
      </c>
      <c r="K269" s="132" t="s">
        <v>271</v>
      </c>
      <c r="L269" s="132" t="s">
        <v>271</v>
      </c>
      <c r="M269" s="132" t="s">
        <v>155</v>
      </c>
      <c r="N269" s="132" t="s">
        <v>155</v>
      </c>
      <c r="O269" s="132" t="s">
        <v>155</v>
      </c>
      <c r="P269" s="132" t="s">
        <v>155</v>
      </c>
      <c r="Q269" s="132" t="s">
        <v>412</v>
      </c>
      <c r="R269" s="132" t="s">
        <v>243</v>
      </c>
      <c r="S269" s="132" t="s">
        <v>243</v>
      </c>
      <c r="T269" s="132" t="s">
        <v>413</v>
      </c>
      <c r="U269" s="132" t="s">
        <v>414</v>
      </c>
      <c r="V269" s="132" t="s">
        <v>182</v>
      </c>
      <c r="W269" s="132" t="s">
        <v>182</v>
      </c>
      <c r="X269" s="132" t="s">
        <v>243</v>
      </c>
      <c r="Y269" s="132" t="s">
        <v>243</v>
      </c>
      <c r="Z269" s="132"/>
      <c r="AA269" s="132"/>
      <c r="AB269" s="132" t="s">
        <v>155</v>
      </c>
      <c r="AC269" s="132">
        <v>1</v>
      </c>
      <c r="AD269" s="132">
        <v>99999999</v>
      </c>
      <c r="AE269" s="132">
        <v>0</v>
      </c>
      <c r="AF269" s="132">
        <v>0</v>
      </c>
      <c r="AG269" s="132">
        <v>0</v>
      </c>
      <c r="AH269" s="132">
        <v>0</v>
      </c>
      <c r="AI269" s="132">
        <v>0</v>
      </c>
      <c r="AJ269" s="132">
        <v>0</v>
      </c>
      <c r="AK269" s="132">
        <v>0</v>
      </c>
      <c r="AL269" s="132">
        <v>0</v>
      </c>
      <c r="AM269" s="132">
        <v>1</v>
      </c>
      <c r="AN269" s="132">
        <v>0</v>
      </c>
      <c r="AO269" s="132">
        <v>0</v>
      </c>
      <c r="AP269" s="132">
        <v>1</v>
      </c>
      <c r="AQ269" s="132" t="s">
        <v>155</v>
      </c>
      <c r="AR269" s="132" t="s">
        <v>415</v>
      </c>
      <c r="AS269" s="132">
        <v>0</v>
      </c>
      <c r="AT269" s="132">
        <v>1</v>
      </c>
      <c r="AU269" s="132">
        <v>0</v>
      </c>
      <c r="AV269" s="132">
        <v>0</v>
      </c>
      <c r="AW269" s="132">
        <v>0</v>
      </c>
      <c r="AX269" s="132">
        <v>0</v>
      </c>
      <c r="AY269" s="132">
        <v>1</v>
      </c>
      <c r="AZ269" s="132">
        <v>0</v>
      </c>
      <c r="BA269" s="132">
        <v>29705</v>
      </c>
      <c r="BB269" s="132" t="s">
        <v>277</v>
      </c>
      <c r="BC269" s="132" t="s">
        <v>277</v>
      </c>
      <c r="BD269" s="132">
        <v>39993.705960648149</v>
      </c>
      <c r="BE269" s="132">
        <v>375901</v>
      </c>
      <c r="BF269" s="132">
        <v>375901</v>
      </c>
      <c r="BG269" s="158"/>
    </row>
    <row r="270" spans="2:59" ht="14">
      <c r="B270" s="120" t="s">
        <v>242</v>
      </c>
      <c r="C270" s="142" t="s">
        <v>490</v>
      </c>
      <c r="D270" s="132" t="s">
        <v>270</v>
      </c>
      <c r="E270" s="132" t="s">
        <v>270</v>
      </c>
      <c r="F270" s="132" t="s">
        <v>286</v>
      </c>
      <c r="G270" s="132" t="s">
        <v>243</v>
      </c>
      <c r="H270" s="132" t="s">
        <v>243</v>
      </c>
      <c r="I270" s="132">
        <v>1</v>
      </c>
      <c r="J270" s="132">
        <v>0</v>
      </c>
      <c r="K270" s="132" t="s">
        <v>271</v>
      </c>
      <c r="L270" s="132" t="s">
        <v>271</v>
      </c>
      <c r="M270" s="132" t="s">
        <v>155</v>
      </c>
      <c r="N270" s="132" t="s">
        <v>155</v>
      </c>
      <c r="O270" s="132" t="s">
        <v>155</v>
      </c>
      <c r="P270" s="132" t="s">
        <v>155</v>
      </c>
      <c r="Q270" s="132" t="s">
        <v>412</v>
      </c>
      <c r="R270" s="132" t="s">
        <v>243</v>
      </c>
      <c r="S270" s="132" t="s">
        <v>243</v>
      </c>
      <c r="T270" s="132" t="s">
        <v>413</v>
      </c>
      <c r="U270" s="132" t="s">
        <v>414</v>
      </c>
      <c r="V270" s="132" t="s">
        <v>182</v>
      </c>
      <c r="W270" s="132" t="s">
        <v>182</v>
      </c>
      <c r="X270" s="132" t="s">
        <v>243</v>
      </c>
      <c r="Y270" s="132" t="s">
        <v>243</v>
      </c>
      <c r="Z270" s="132"/>
      <c r="AA270" s="132"/>
      <c r="AB270" s="132" t="s">
        <v>155</v>
      </c>
      <c r="AC270" s="132">
        <v>1</v>
      </c>
      <c r="AD270" s="132">
        <v>99999999</v>
      </c>
      <c r="AE270" s="132">
        <v>0</v>
      </c>
      <c r="AF270" s="132">
        <v>0</v>
      </c>
      <c r="AG270" s="132">
        <v>0</v>
      </c>
      <c r="AH270" s="132">
        <v>0</v>
      </c>
      <c r="AI270" s="132">
        <v>0</v>
      </c>
      <c r="AJ270" s="132">
        <v>0</v>
      </c>
      <c r="AK270" s="132">
        <v>0</v>
      </c>
      <c r="AL270" s="132">
        <v>0</v>
      </c>
      <c r="AM270" s="132">
        <v>1</v>
      </c>
      <c r="AN270" s="132">
        <v>0</v>
      </c>
      <c r="AO270" s="132">
        <v>0</v>
      </c>
      <c r="AP270" s="132">
        <v>1</v>
      </c>
      <c r="AQ270" s="132" t="s">
        <v>155</v>
      </c>
      <c r="AR270" s="132" t="s">
        <v>415</v>
      </c>
      <c r="AS270" s="132">
        <v>0</v>
      </c>
      <c r="AT270" s="132">
        <v>1</v>
      </c>
      <c r="AU270" s="132">
        <v>0</v>
      </c>
      <c r="AV270" s="132">
        <v>0</v>
      </c>
      <c r="AW270" s="132">
        <v>0</v>
      </c>
      <c r="AX270" s="132">
        <v>0</v>
      </c>
      <c r="AY270" s="132">
        <v>1</v>
      </c>
      <c r="AZ270" s="132">
        <v>0</v>
      </c>
      <c r="BA270" s="132">
        <v>31819</v>
      </c>
      <c r="BB270" s="132" t="s">
        <v>277</v>
      </c>
      <c r="BC270" s="132" t="s">
        <v>277</v>
      </c>
      <c r="BD270" s="132">
        <v>45636.056898148148</v>
      </c>
      <c r="BE270" s="132" t="s">
        <v>474</v>
      </c>
      <c r="BF270" s="132" t="s">
        <v>474</v>
      </c>
      <c r="BG270" s="158"/>
    </row>
    <row r="271" spans="2:59">
      <c r="B271" s="163"/>
      <c r="BG271" s="158"/>
    </row>
    <row r="272" spans="2:59" ht="14.5" thickBot="1">
      <c r="B272" s="163"/>
      <c r="C272" s="164" t="s">
        <v>152</v>
      </c>
      <c r="BG272" s="158"/>
    </row>
    <row r="273" spans="1:59" ht="14.5" thickBot="1">
      <c r="B273" s="163"/>
      <c r="C273" s="233" t="s">
        <v>422</v>
      </c>
      <c r="D273" s="233" t="s">
        <v>423</v>
      </c>
      <c r="E273" s="233" t="s">
        <v>158</v>
      </c>
      <c r="F273" s="233" t="s">
        <v>424</v>
      </c>
      <c r="G273" s="233" t="s">
        <v>425</v>
      </c>
      <c r="H273" s="233" t="s">
        <v>426</v>
      </c>
      <c r="I273" s="233" t="s">
        <v>427</v>
      </c>
      <c r="J273" s="233" t="s">
        <v>428</v>
      </c>
      <c r="K273" s="233" t="s">
        <v>429</v>
      </c>
      <c r="L273" s="233" t="s">
        <v>430</v>
      </c>
      <c r="M273" s="233" t="s">
        <v>431</v>
      </c>
      <c r="BG273" s="158"/>
    </row>
    <row r="274" spans="1:59" ht="14.5" thickBot="1">
      <c r="B274" s="163"/>
      <c r="C274" s="233">
        <v>0</v>
      </c>
      <c r="D274" s="233">
        <v>0</v>
      </c>
      <c r="E274" s="233">
        <v>0</v>
      </c>
      <c r="F274" s="233" t="s">
        <v>432</v>
      </c>
      <c r="G274" s="233" t="s">
        <v>432</v>
      </c>
      <c r="H274" s="233">
        <v>2</v>
      </c>
      <c r="I274" s="233">
        <v>4</v>
      </c>
      <c r="J274" s="233">
        <v>3</v>
      </c>
      <c r="K274" s="233">
        <v>1</v>
      </c>
      <c r="L274" s="233">
        <v>0</v>
      </c>
      <c r="M274" s="233">
        <v>0</v>
      </c>
      <c r="BG274" s="158"/>
    </row>
    <row r="275" spans="1:59" ht="14.5" thickBot="1">
      <c r="B275" s="163"/>
      <c r="C275" s="164"/>
      <c r="D275" s="164"/>
      <c r="E275" s="164"/>
      <c r="F275" s="164"/>
      <c r="G275" s="164"/>
      <c r="H275" s="164"/>
      <c r="I275" s="164"/>
      <c r="J275" s="164"/>
      <c r="M275" s="164"/>
      <c r="N275" s="164"/>
      <c r="O275" s="164"/>
      <c r="BG275" s="158"/>
    </row>
    <row r="276" spans="1:59" ht="14" thickBot="1">
      <c r="B276" s="104" t="s">
        <v>494</v>
      </c>
      <c r="C276" s="105" t="s">
        <v>495</v>
      </c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58"/>
    </row>
    <row r="277" spans="1:59" ht="14" thickBot="1">
      <c r="B277" s="140" t="s">
        <v>433</v>
      </c>
      <c r="C277" s="105" t="s">
        <v>227</v>
      </c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58"/>
    </row>
    <row r="278" spans="1:59" ht="14">
      <c r="B278" s="163"/>
      <c r="C278" s="164"/>
      <c r="D278" s="164"/>
      <c r="E278" s="164"/>
      <c r="F278" s="164"/>
      <c r="G278" s="164"/>
      <c r="H278" s="164"/>
      <c r="I278" s="164"/>
      <c r="J278" s="164"/>
      <c r="M278" s="164"/>
      <c r="N278" s="164"/>
      <c r="O278" s="164"/>
      <c r="BG278" s="158"/>
    </row>
    <row r="279" spans="1:59" ht="14">
      <c r="B279" s="163"/>
      <c r="C279" s="161" t="s">
        <v>228</v>
      </c>
      <c r="D279" s="164"/>
      <c r="E279" s="164"/>
      <c r="F279" s="164"/>
      <c r="G279" s="164"/>
      <c r="H279" s="164"/>
      <c r="I279" s="164"/>
      <c r="J279" s="164"/>
      <c r="M279" s="164"/>
      <c r="N279" s="164"/>
      <c r="O279" s="164"/>
      <c r="BG279" s="158"/>
    </row>
    <row r="280" spans="1:59" ht="14">
      <c r="B280" s="163"/>
      <c r="C280" s="161" t="s">
        <v>517</v>
      </c>
      <c r="D280" s="164"/>
      <c r="E280" s="164"/>
      <c r="F280" s="164"/>
      <c r="G280" s="164"/>
      <c r="H280" s="164"/>
      <c r="I280" s="164"/>
      <c r="J280" s="164"/>
      <c r="M280" s="164"/>
      <c r="N280" s="164"/>
      <c r="O280" s="164"/>
      <c r="BG280" s="158"/>
    </row>
    <row r="281" spans="1:59" ht="14">
      <c r="B281" s="163"/>
      <c r="C281" s="164"/>
      <c r="D281" s="164"/>
      <c r="E281" s="164"/>
      <c r="F281" s="164"/>
      <c r="G281" s="164"/>
      <c r="H281" s="164"/>
      <c r="I281" s="164"/>
      <c r="J281" s="164"/>
      <c r="M281" s="164"/>
      <c r="N281" s="164"/>
      <c r="O281" s="164"/>
      <c r="BG281" s="158"/>
    </row>
    <row r="282" spans="1:59" s="27" customFormat="1" ht="19.5" customHeight="1">
      <c r="B282" s="167"/>
      <c r="C282" s="125" t="s">
        <v>268</v>
      </c>
      <c r="D282" s="126"/>
      <c r="E282" s="12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7"/>
      <c r="Y282" s="66"/>
      <c r="Z282" s="66"/>
      <c r="AA282" s="66"/>
      <c r="AB282" s="66"/>
      <c r="AC282" s="66"/>
      <c r="AD282" s="111"/>
      <c r="AH282" s="108"/>
      <c r="AJ282" s="67"/>
      <c r="AK282" s="67"/>
      <c r="AL282" s="67"/>
      <c r="AM282" s="67"/>
      <c r="AN282" s="68"/>
      <c r="AO282" s="68"/>
      <c r="AP282" s="68"/>
      <c r="BG282" s="94"/>
    </row>
    <row r="283" spans="1:59" s="70" customFormat="1" ht="16.5" customHeight="1">
      <c r="A283" s="98"/>
      <c r="B283" s="168"/>
      <c r="C283" s="127"/>
      <c r="D283" s="127"/>
      <c r="E283" s="127"/>
      <c r="F283" s="124" t="s">
        <v>168</v>
      </c>
      <c r="G283" s="124" t="s">
        <v>168</v>
      </c>
      <c r="H283" s="124" t="s">
        <v>168</v>
      </c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H283" s="109"/>
      <c r="AI283" s="69"/>
      <c r="AJ283" s="69"/>
      <c r="AK283" s="69"/>
      <c r="AL283" s="69"/>
      <c r="AM283" s="69"/>
      <c r="BG283" s="169"/>
    </row>
    <row r="284" spans="1:59" s="76" customFormat="1" ht="92" customHeight="1">
      <c r="A284" s="71"/>
      <c r="B284" s="170"/>
      <c r="C284" s="117" t="s">
        <v>171</v>
      </c>
      <c r="D284" s="117" t="s">
        <v>172</v>
      </c>
      <c r="E284" s="117" t="s">
        <v>173</v>
      </c>
      <c r="F284" s="119" t="s">
        <v>91</v>
      </c>
      <c r="G284" s="119" t="s">
        <v>627</v>
      </c>
      <c r="H284" s="119" t="s">
        <v>69</v>
      </c>
      <c r="I284" s="119" t="s">
        <v>289</v>
      </c>
      <c r="J284" s="119" t="s">
        <v>290</v>
      </c>
      <c r="K284" s="119" t="s">
        <v>291</v>
      </c>
      <c r="L284" s="119" t="s">
        <v>292</v>
      </c>
      <c r="M284" s="119" t="s">
        <v>293</v>
      </c>
      <c r="N284" s="119" t="s">
        <v>294</v>
      </c>
      <c r="O284" s="119" t="s">
        <v>295</v>
      </c>
      <c r="P284" s="119" t="s">
        <v>296</v>
      </c>
      <c r="Q284" s="119" t="s">
        <v>297</v>
      </c>
      <c r="R284" s="119" t="s">
        <v>298</v>
      </c>
      <c r="S284" s="119" t="s">
        <v>299</v>
      </c>
      <c r="T284" s="119" t="s">
        <v>300</v>
      </c>
      <c r="U284" s="119" t="s">
        <v>301</v>
      </c>
      <c r="V284" s="119" t="s">
        <v>302</v>
      </c>
      <c r="W284" s="119" t="s">
        <v>303</v>
      </c>
      <c r="X284" s="119" t="s">
        <v>229</v>
      </c>
      <c r="Y284" s="119" t="s">
        <v>230</v>
      </c>
      <c r="Z284" s="119" t="s">
        <v>231</v>
      </c>
      <c r="AA284" s="119" t="s">
        <v>232</v>
      </c>
      <c r="AB284" s="119" t="s">
        <v>150</v>
      </c>
      <c r="AC284" s="119" t="s">
        <v>151</v>
      </c>
      <c r="AD284" s="119" t="s">
        <v>233</v>
      </c>
      <c r="AH284" s="110"/>
      <c r="AI284" s="67"/>
      <c r="AJ284" s="74"/>
      <c r="AK284" s="74"/>
      <c r="AL284" s="74"/>
      <c r="AM284" s="74"/>
      <c r="AN284" s="75"/>
      <c r="AO284" s="75"/>
      <c r="AP284" s="75"/>
      <c r="BG284" s="171"/>
    </row>
    <row r="285" spans="1:59" s="76" customFormat="1" ht="15">
      <c r="A285" s="71"/>
      <c r="B285" s="170"/>
      <c r="C285" s="117" t="s">
        <v>205</v>
      </c>
      <c r="D285" s="117" t="s">
        <v>214</v>
      </c>
      <c r="E285" s="117" t="s">
        <v>222</v>
      </c>
      <c r="F285" s="118" t="s">
        <v>250</v>
      </c>
      <c r="G285" s="118" t="s">
        <v>251</v>
      </c>
      <c r="H285" s="118" t="s">
        <v>253</v>
      </c>
      <c r="I285" s="118" t="s">
        <v>252</v>
      </c>
      <c r="J285" s="118" t="s">
        <v>254</v>
      </c>
      <c r="K285" s="118" t="s">
        <v>255</v>
      </c>
      <c r="L285" s="118" t="s">
        <v>256</v>
      </c>
      <c r="M285" s="118" t="s">
        <v>257</v>
      </c>
      <c r="N285" s="118" t="s">
        <v>258</v>
      </c>
      <c r="O285" s="118" t="s">
        <v>259</v>
      </c>
      <c r="P285" s="118" t="s">
        <v>260</v>
      </c>
      <c r="Q285" s="118" t="s">
        <v>261</v>
      </c>
      <c r="R285" s="118" t="s">
        <v>262</v>
      </c>
      <c r="S285" s="118" t="s">
        <v>263</v>
      </c>
      <c r="T285" s="118" t="s">
        <v>264</v>
      </c>
      <c r="U285" s="118" t="s">
        <v>265</v>
      </c>
      <c r="V285" s="118" t="s">
        <v>266</v>
      </c>
      <c r="W285" s="118" t="s">
        <v>267</v>
      </c>
      <c r="X285" s="118" t="s">
        <v>235</v>
      </c>
      <c r="Y285" s="118" t="s">
        <v>236</v>
      </c>
      <c r="Z285" s="118" t="s">
        <v>237</v>
      </c>
      <c r="AA285" s="118" t="s">
        <v>238</v>
      </c>
      <c r="AB285" s="118" t="s">
        <v>239</v>
      </c>
      <c r="AC285" s="118" t="s">
        <v>240</v>
      </c>
      <c r="AD285" s="118" t="s">
        <v>241</v>
      </c>
      <c r="AH285" s="110"/>
      <c r="AI285" s="67"/>
      <c r="AJ285" s="74"/>
      <c r="AK285" s="74"/>
      <c r="AL285" s="74"/>
      <c r="AM285" s="74"/>
      <c r="AN285" s="75"/>
      <c r="AO285" s="75"/>
      <c r="AP285" s="75"/>
      <c r="BG285" s="171"/>
    </row>
    <row r="286" spans="1:59" s="68" customFormat="1" ht="13.5" customHeight="1">
      <c r="A286" s="77"/>
      <c r="B286" s="172"/>
      <c r="C286" s="117" t="s">
        <v>304</v>
      </c>
      <c r="D286" s="117" t="s">
        <v>305</v>
      </c>
      <c r="E286" s="117" t="s">
        <v>305</v>
      </c>
      <c r="F286" s="119" t="s">
        <v>306</v>
      </c>
      <c r="G286" s="119" t="s">
        <v>306</v>
      </c>
      <c r="H286" s="119" t="s">
        <v>307</v>
      </c>
      <c r="I286" s="119" t="s">
        <v>306</v>
      </c>
      <c r="J286" s="119" t="s">
        <v>308</v>
      </c>
      <c r="K286" s="119" t="s">
        <v>309</v>
      </c>
      <c r="L286" s="118" t="s">
        <v>310</v>
      </c>
      <c r="M286" s="119" t="s">
        <v>310</v>
      </c>
      <c r="N286" s="119" t="s">
        <v>311</v>
      </c>
      <c r="O286" s="119" t="s">
        <v>306</v>
      </c>
      <c r="P286" s="119" t="s">
        <v>312</v>
      </c>
      <c r="Q286" s="119" t="s">
        <v>313</v>
      </c>
      <c r="R286" s="119" t="s">
        <v>312</v>
      </c>
      <c r="S286" s="119" t="s">
        <v>314</v>
      </c>
      <c r="T286" s="118" t="s">
        <v>315</v>
      </c>
      <c r="U286" s="119" t="s">
        <v>315</v>
      </c>
      <c r="V286" s="119" t="s">
        <v>316</v>
      </c>
      <c r="W286" s="119" t="s">
        <v>306</v>
      </c>
      <c r="X286" s="119" t="s">
        <v>317</v>
      </c>
      <c r="Y286" s="119" t="s">
        <v>319</v>
      </c>
      <c r="Z286" s="119" t="s">
        <v>320</v>
      </c>
      <c r="AA286" s="119" t="s">
        <v>320</v>
      </c>
      <c r="AB286" s="118" t="s">
        <v>318</v>
      </c>
      <c r="AC286" s="119" t="s">
        <v>320</v>
      </c>
      <c r="AD286" s="119" t="s">
        <v>320</v>
      </c>
      <c r="AH286" s="108"/>
      <c r="AI286" s="67"/>
      <c r="AJ286" s="67"/>
      <c r="AK286" s="67"/>
      <c r="AL286" s="67"/>
      <c r="AM286" s="67"/>
      <c r="BG286" s="173"/>
    </row>
    <row r="287" spans="1:59" s="27" customFormat="1" ht="13.5" customHeight="1">
      <c r="A287" s="80"/>
      <c r="B287" s="120" t="s">
        <v>242</v>
      </c>
      <c r="C287" s="121" t="s">
        <v>269</v>
      </c>
      <c r="D287" s="118" t="s">
        <v>270</v>
      </c>
      <c r="E287" s="142" t="s">
        <v>461</v>
      </c>
      <c r="F287" s="119" t="s">
        <v>182</v>
      </c>
      <c r="G287" s="119" t="s">
        <v>271</v>
      </c>
      <c r="H287" s="119" t="s">
        <v>183</v>
      </c>
      <c r="I287" s="119" t="s">
        <v>271</v>
      </c>
      <c r="J287" s="119" t="s">
        <v>272</v>
      </c>
      <c r="K287" s="119" t="s">
        <v>243</v>
      </c>
      <c r="L287" s="118" t="s">
        <v>155</v>
      </c>
      <c r="M287" s="119" t="s">
        <v>273</v>
      </c>
      <c r="N287" s="119"/>
      <c r="O287" s="119" t="s">
        <v>182</v>
      </c>
      <c r="P287" s="119" t="s">
        <v>155</v>
      </c>
      <c r="Q287" s="119" t="s">
        <v>274</v>
      </c>
      <c r="R287" s="119" t="s">
        <v>275</v>
      </c>
      <c r="S287" s="119"/>
      <c r="T287" s="118" t="s">
        <v>155</v>
      </c>
      <c r="U287" s="119" t="s">
        <v>155</v>
      </c>
      <c r="V287" s="119" t="s">
        <v>155</v>
      </c>
      <c r="W287" s="119"/>
      <c r="X287" s="119" t="s">
        <v>243</v>
      </c>
      <c r="Y287" s="119" t="s">
        <v>276</v>
      </c>
      <c r="Z287" s="119" t="s">
        <v>277</v>
      </c>
      <c r="AA287" s="119" t="s">
        <v>277</v>
      </c>
      <c r="AB287" s="118" t="s">
        <v>278</v>
      </c>
      <c r="AC287" s="119" t="s">
        <v>279</v>
      </c>
      <c r="AD287" s="119" t="s">
        <v>279</v>
      </c>
      <c r="AH287" s="108"/>
      <c r="AI287" s="67"/>
      <c r="AJ287" s="67"/>
      <c r="AK287" s="83"/>
      <c r="AL287" s="67"/>
      <c r="AM287" s="67"/>
      <c r="AN287" s="68"/>
      <c r="AO287" s="68"/>
      <c r="AP287" s="68"/>
      <c r="BG287" s="94"/>
    </row>
    <row r="288" spans="1:59" s="27" customFormat="1" ht="13.5" customHeight="1">
      <c r="A288" s="84"/>
      <c r="B288" s="122" t="s">
        <v>244</v>
      </c>
      <c r="C288" s="121" t="s">
        <v>269</v>
      </c>
      <c r="D288" s="118" t="s">
        <v>270</v>
      </c>
      <c r="E288" s="119" t="s">
        <v>181</v>
      </c>
      <c r="F288" s="119" t="s">
        <v>182</v>
      </c>
      <c r="G288" s="132" t="s">
        <v>271</v>
      </c>
      <c r="H288" s="119" t="s">
        <v>183</v>
      </c>
      <c r="I288" s="132" t="s">
        <v>271</v>
      </c>
      <c r="J288" s="119" t="s">
        <v>183</v>
      </c>
      <c r="K288" s="119" t="s">
        <v>243</v>
      </c>
      <c r="L288" s="118" t="s">
        <v>280</v>
      </c>
      <c r="M288" s="119" t="s">
        <v>273</v>
      </c>
      <c r="N288" s="119"/>
      <c r="O288" s="119" t="s">
        <v>243</v>
      </c>
      <c r="P288" s="119" t="s">
        <v>155</v>
      </c>
      <c r="Q288" s="119" t="s">
        <v>183</v>
      </c>
      <c r="R288" s="119" t="s">
        <v>281</v>
      </c>
      <c r="S288" s="119"/>
      <c r="T288" s="118" t="s">
        <v>155</v>
      </c>
      <c r="U288" s="119" t="s">
        <v>155</v>
      </c>
      <c r="V288" s="119" t="s">
        <v>155</v>
      </c>
      <c r="W288" s="119"/>
      <c r="X288" s="119" t="s">
        <v>243</v>
      </c>
      <c r="Y288" s="119" t="s">
        <v>282</v>
      </c>
      <c r="Z288" s="119" t="s">
        <v>283</v>
      </c>
      <c r="AA288" s="119">
        <v>470195</v>
      </c>
      <c r="AB288" s="118" t="s">
        <v>282</v>
      </c>
      <c r="AC288" s="119">
        <v>470195</v>
      </c>
      <c r="AD288" s="119" t="s">
        <v>283</v>
      </c>
      <c r="AH288" s="108"/>
      <c r="AI288" s="67"/>
      <c r="AJ288" s="61"/>
      <c r="AK288" s="83"/>
      <c r="AL288" s="67"/>
      <c r="AM288" s="67"/>
      <c r="AN288" s="68"/>
      <c r="AO288" s="68"/>
      <c r="AP288" s="68"/>
      <c r="BG288" s="94"/>
    </row>
    <row r="289" spans="1:59" s="27" customFormat="1" ht="13.5" customHeight="1">
      <c r="A289" s="85"/>
      <c r="B289" s="120" t="s">
        <v>242</v>
      </c>
      <c r="C289" s="121" t="s">
        <v>269</v>
      </c>
      <c r="D289" s="142" t="s">
        <v>181</v>
      </c>
      <c r="E289" s="121" t="s">
        <v>285</v>
      </c>
      <c r="F289" s="121" t="s">
        <v>286</v>
      </c>
      <c r="G289" s="121" t="s">
        <v>443</v>
      </c>
      <c r="H289" s="121" t="s">
        <v>183</v>
      </c>
      <c r="I289" s="224" t="s">
        <v>432</v>
      </c>
      <c r="J289" s="121" t="s">
        <v>272</v>
      </c>
      <c r="K289" s="121" t="s">
        <v>243</v>
      </c>
      <c r="L289" s="121" t="s">
        <v>155</v>
      </c>
      <c r="M289" s="121" t="s">
        <v>273</v>
      </c>
      <c r="N289" s="121" t="s">
        <v>155</v>
      </c>
      <c r="O289" s="121" t="s">
        <v>182</v>
      </c>
      <c r="P289" s="121" t="s">
        <v>155</v>
      </c>
      <c r="Q289" s="121" t="s">
        <v>274</v>
      </c>
      <c r="R289" s="121" t="s">
        <v>275</v>
      </c>
      <c r="S289" s="121" t="s">
        <v>155</v>
      </c>
      <c r="T289" s="121" t="s">
        <v>155</v>
      </c>
      <c r="U289" s="121" t="s">
        <v>155</v>
      </c>
      <c r="V289" s="121" t="s">
        <v>155</v>
      </c>
      <c r="W289" s="121" t="s">
        <v>155</v>
      </c>
      <c r="X289" s="121" t="s">
        <v>243</v>
      </c>
      <c r="Y289" s="121" t="s">
        <v>276</v>
      </c>
      <c r="Z289" s="121" t="s">
        <v>277</v>
      </c>
      <c r="AA289" s="121" t="s">
        <v>277</v>
      </c>
      <c r="AB289" s="121" t="s">
        <v>278</v>
      </c>
      <c r="AC289" s="121" t="s">
        <v>287</v>
      </c>
      <c r="AD289" s="121" t="s">
        <v>287</v>
      </c>
      <c r="AH289" s="108"/>
      <c r="AI289" s="67"/>
      <c r="AJ289" s="61"/>
      <c r="AK289" s="83"/>
      <c r="AL289" s="67"/>
      <c r="AM289" s="67"/>
      <c r="AN289" s="68"/>
      <c r="AO289" s="68"/>
      <c r="AP289" s="68"/>
      <c r="BG289" s="94"/>
    </row>
    <row r="290" spans="1:59" s="27" customFormat="1" ht="13.5" customHeight="1">
      <c r="A290" s="85"/>
      <c r="B290" s="120" t="s">
        <v>242</v>
      </c>
      <c r="C290" s="121" t="s">
        <v>269</v>
      </c>
      <c r="D290" s="142" t="s">
        <v>460</v>
      </c>
      <c r="E290" s="121" t="s">
        <v>285</v>
      </c>
      <c r="F290" s="121" t="s">
        <v>286</v>
      </c>
      <c r="G290" s="121" t="s">
        <v>182</v>
      </c>
      <c r="H290" s="121" t="s">
        <v>183</v>
      </c>
      <c r="I290" s="224" t="s">
        <v>432</v>
      </c>
      <c r="J290" s="121" t="s">
        <v>272</v>
      </c>
      <c r="K290" s="121" t="s">
        <v>243</v>
      </c>
      <c r="L290" s="121" t="s">
        <v>155</v>
      </c>
      <c r="M290" s="121" t="s">
        <v>273</v>
      </c>
      <c r="N290" s="121" t="s">
        <v>155</v>
      </c>
      <c r="O290" s="121" t="s">
        <v>182</v>
      </c>
      <c r="P290" s="121" t="s">
        <v>155</v>
      </c>
      <c r="Q290" s="121" t="s">
        <v>274</v>
      </c>
      <c r="R290" s="121" t="s">
        <v>275</v>
      </c>
      <c r="S290" s="121" t="s">
        <v>155</v>
      </c>
      <c r="T290" s="121" t="s">
        <v>155</v>
      </c>
      <c r="U290" s="121" t="s">
        <v>155</v>
      </c>
      <c r="V290" s="121" t="s">
        <v>155</v>
      </c>
      <c r="W290" s="121" t="s">
        <v>155</v>
      </c>
      <c r="X290" s="121" t="s">
        <v>243</v>
      </c>
      <c r="Y290" s="121" t="s">
        <v>276</v>
      </c>
      <c r="Z290" s="121" t="s">
        <v>277</v>
      </c>
      <c r="AA290" s="121" t="s">
        <v>277</v>
      </c>
      <c r="AB290" s="121" t="s">
        <v>278</v>
      </c>
      <c r="AC290" s="121" t="s">
        <v>287</v>
      </c>
      <c r="AD290" s="121" t="s">
        <v>287</v>
      </c>
      <c r="AH290" s="108"/>
      <c r="AI290" s="67"/>
      <c r="AJ290" s="61"/>
      <c r="AK290" s="83"/>
      <c r="AL290" s="67"/>
      <c r="AM290" s="67"/>
      <c r="AN290" s="68"/>
      <c r="AO290" s="68"/>
      <c r="AP290" s="68"/>
      <c r="BG290" s="94"/>
    </row>
    <row r="291" spans="1:59" ht="14">
      <c r="B291" s="163"/>
      <c r="C291" s="164"/>
      <c r="D291" s="164"/>
      <c r="E291" s="164"/>
      <c r="F291" s="164"/>
      <c r="G291" s="164"/>
      <c r="H291" s="164"/>
      <c r="I291" s="164"/>
      <c r="J291" s="164"/>
      <c r="M291" s="164"/>
      <c r="N291" s="164"/>
      <c r="O291" s="164"/>
      <c r="BG291" s="158"/>
    </row>
    <row r="292" spans="1:59" ht="15">
      <c r="B292" s="163"/>
      <c r="C292" s="257" t="s">
        <v>321</v>
      </c>
      <c r="D292" s="258"/>
      <c r="E292" s="258"/>
      <c r="F292" s="258"/>
      <c r="G292" s="258"/>
      <c r="H292" s="258"/>
      <c r="I292" s="258"/>
      <c r="J292" s="258"/>
      <c r="K292" s="258"/>
      <c r="L292" s="258"/>
      <c r="M292" s="258"/>
      <c r="N292" s="258"/>
      <c r="O292" s="258"/>
      <c r="P292" s="258"/>
      <c r="Q292" s="258"/>
      <c r="R292" s="258"/>
      <c r="S292" s="258"/>
      <c r="T292" s="258"/>
      <c r="U292" s="90"/>
      <c r="V292" s="90"/>
      <c r="W292" s="90"/>
      <c r="X292" s="90"/>
      <c r="Y292" s="90"/>
      <c r="Z292" s="90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2"/>
      <c r="AQ292" s="92"/>
      <c r="AR292" s="92"/>
      <c r="AS292" s="92"/>
      <c r="AT292" s="92"/>
      <c r="AU292" s="92"/>
      <c r="AV292" s="92"/>
      <c r="AW292" s="92"/>
      <c r="AX292" s="92"/>
      <c r="AY292" s="92"/>
      <c r="AZ292" s="92"/>
      <c r="BA292" s="92"/>
      <c r="BB292" s="92"/>
      <c r="BC292" s="92"/>
      <c r="BD292" s="92"/>
      <c r="BE292" s="92"/>
      <c r="BF292" s="92"/>
      <c r="BG292" s="158"/>
    </row>
    <row r="293" spans="1:59" ht="15">
      <c r="B293" s="163"/>
      <c r="C293" s="127"/>
      <c r="D293" s="127"/>
      <c r="E293" s="127"/>
      <c r="F293" s="124" t="s">
        <v>168</v>
      </c>
      <c r="G293" s="124" t="s">
        <v>168</v>
      </c>
      <c r="H293" s="129" t="s">
        <v>168</v>
      </c>
      <c r="I293" s="124" t="s">
        <v>168</v>
      </c>
      <c r="J293" s="124" t="s">
        <v>168</v>
      </c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30"/>
      <c r="AB293" s="130"/>
      <c r="AC293" s="130"/>
      <c r="AD293" s="130"/>
      <c r="AE293" s="130"/>
      <c r="AF293" s="130"/>
      <c r="AG293" s="130"/>
      <c r="AH293" s="130"/>
      <c r="AI293" s="130"/>
      <c r="AJ293" s="130"/>
      <c r="AK293" s="130"/>
      <c r="AL293" s="130"/>
      <c r="AM293" s="130"/>
      <c r="AN293" s="130"/>
      <c r="AO293" s="130"/>
      <c r="AP293" s="130"/>
      <c r="AQ293" s="130"/>
      <c r="AR293" s="130"/>
      <c r="AS293" s="130"/>
      <c r="AT293" s="130"/>
      <c r="AU293" s="130"/>
      <c r="AV293" s="130"/>
      <c r="AW293" s="130"/>
      <c r="AX293" s="130"/>
      <c r="AY293" s="130"/>
      <c r="AZ293" s="130"/>
      <c r="BA293" s="130"/>
      <c r="BB293" s="130"/>
      <c r="BC293" s="130"/>
      <c r="BD293" s="130"/>
      <c r="BE293" s="130"/>
      <c r="BF293" s="130"/>
      <c r="BG293" s="158"/>
    </row>
    <row r="294" spans="1:59" ht="25">
      <c r="B294" s="163"/>
      <c r="C294" s="117" t="s">
        <v>365</v>
      </c>
      <c r="D294" s="117" t="s">
        <v>420</v>
      </c>
      <c r="E294" s="117" t="s">
        <v>421</v>
      </c>
      <c r="F294" s="119" t="s">
        <v>96</v>
      </c>
      <c r="G294" s="119" t="s">
        <v>99</v>
      </c>
      <c r="H294" s="119" t="s">
        <v>130</v>
      </c>
      <c r="I294" s="119" t="s">
        <v>391</v>
      </c>
      <c r="J294" s="119" t="s">
        <v>127</v>
      </c>
      <c r="K294" s="119" t="s">
        <v>67</v>
      </c>
      <c r="L294" s="119" t="s">
        <v>288</v>
      </c>
      <c r="M294" s="119" t="s">
        <v>366</v>
      </c>
      <c r="N294" s="119" t="s">
        <v>367</v>
      </c>
      <c r="O294" s="119" t="s">
        <v>368</v>
      </c>
      <c r="P294" s="119" t="s">
        <v>369</v>
      </c>
      <c r="Q294" s="119" t="s">
        <v>370</v>
      </c>
      <c r="R294" s="119" t="s">
        <v>371</v>
      </c>
      <c r="S294" s="119" t="s">
        <v>372</v>
      </c>
      <c r="T294" s="119" t="s">
        <v>373</v>
      </c>
      <c r="U294" s="119" t="s">
        <v>374</v>
      </c>
      <c r="V294" s="119" t="s">
        <v>375</v>
      </c>
      <c r="W294" s="119" t="s">
        <v>376</v>
      </c>
      <c r="X294" s="119" t="s">
        <v>377</v>
      </c>
      <c r="Y294" s="119" t="s">
        <v>378</v>
      </c>
      <c r="Z294" s="119" t="s">
        <v>379</v>
      </c>
      <c r="AA294" s="119" t="s">
        <v>380</v>
      </c>
      <c r="AB294" s="119" t="s">
        <v>381</v>
      </c>
      <c r="AC294" s="119" t="s">
        <v>382</v>
      </c>
      <c r="AD294" s="119" t="s">
        <v>383</v>
      </c>
      <c r="AE294" s="119" t="s">
        <v>384</v>
      </c>
      <c r="AF294" s="119" t="s">
        <v>385</v>
      </c>
      <c r="AG294" s="119" t="s">
        <v>386</v>
      </c>
      <c r="AH294" s="119" t="s">
        <v>387</v>
      </c>
      <c r="AI294" s="119" t="s">
        <v>388</v>
      </c>
      <c r="AJ294" s="119" t="s">
        <v>390</v>
      </c>
      <c r="AK294" s="119" t="s">
        <v>389</v>
      </c>
      <c r="AL294" s="119" t="s">
        <v>398</v>
      </c>
      <c r="AM294" s="119" t="s">
        <v>392</v>
      </c>
      <c r="AN294" s="119" t="s">
        <v>393</v>
      </c>
      <c r="AO294" s="119" t="s">
        <v>394</v>
      </c>
      <c r="AP294" s="119" t="s">
        <v>395</v>
      </c>
      <c r="AQ294" s="119" t="s">
        <v>399</v>
      </c>
      <c r="AR294" s="119" t="s">
        <v>396</v>
      </c>
      <c r="AS294" s="119" t="s">
        <v>397</v>
      </c>
      <c r="AT294" s="119" t="s">
        <v>400</v>
      </c>
      <c r="AU294" s="119" t="s">
        <v>401</v>
      </c>
      <c r="AV294" s="119" t="s">
        <v>402</v>
      </c>
      <c r="AW294" s="119" t="s">
        <v>403</v>
      </c>
      <c r="AX294" s="119" t="s">
        <v>404</v>
      </c>
      <c r="AY294" s="119" t="s">
        <v>405</v>
      </c>
      <c r="AZ294" s="119" t="s">
        <v>229</v>
      </c>
      <c r="BA294" s="119" t="s">
        <v>230</v>
      </c>
      <c r="BB294" s="119" t="s">
        <v>231</v>
      </c>
      <c r="BC294" s="119" t="s">
        <v>232</v>
      </c>
      <c r="BD294" s="119" t="s">
        <v>150</v>
      </c>
      <c r="BE294" s="119" t="s">
        <v>151</v>
      </c>
      <c r="BF294" s="119" t="s">
        <v>233</v>
      </c>
      <c r="BG294" s="158"/>
    </row>
    <row r="295" spans="1:59">
      <c r="B295" s="163"/>
      <c r="C295" s="117" t="s">
        <v>205</v>
      </c>
      <c r="D295" s="117" t="s">
        <v>214</v>
      </c>
      <c r="E295" s="117" t="s">
        <v>222</v>
      </c>
      <c r="F295" s="118" t="s">
        <v>322</v>
      </c>
      <c r="G295" s="118" t="s">
        <v>323</v>
      </c>
      <c r="H295" s="118" t="s">
        <v>324</v>
      </c>
      <c r="I295" s="118" t="s">
        <v>351</v>
      </c>
      <c r="J295" s="118" t="s">
        <v>357</v>
      </c>
      <c r="K295" s="118" t="s">
        <v>251</v>
      </c>
      <c r="L295" s="118" t="s">
        <v>252</v>
      </c>
      <c r="M295" s="118" t="s">
        <v>325</v>
      </c>
      <c r="N295" s="118" t="s">
        <v>326</v>
      </c>
      <c r="O295" s="118" t="s">
        <v>327</v>
      </c>
      <c r="P295" s="118" t="s">
        <v>328</v>
      </c>
      <c r="Q295" s="118" t="s">
        <v>329</v>
      </c>
      <c r="R295" s="118" t="s">
        <v>330</v>
      </c>
      <c r="S295" s="118" t="s">
        <v>331</v>
      </c>
      <c r="T295" s="118" t="s">
        <v>332</v>
      </c>
      <c r="U295" s="118" t="s">
        <v>333</v>
      </c>
      <c r="V295" s="118" t="s">
        <v>334</v>
      </c>
      <c r="W295" s="118" t="s">
        <v>335</v>
      </c>
      <c r="X295" s="118" t="s">
        <v>336</v>
      </c>
      <c r="Y295" s="118" t="s">
        <v>337</v>
      </c>
      <c r="Z295" s="118" t="s">
        <v>338</v>
      </c>
      <c r="AA295" s="118" t="s">
        <v>339</v>
      </c>
      <c r="AB295" s="118" t="s">
        <v>340</v>
      </c>
      <c r="AC295" s="118" t="s">
        <v>341</v>
      </c>
      <c r="AD295" s="118" t="s">
        <v>342</v>
      </c>
      <c r="AE295" s="118" t="s">
        <v>343</v>
      </c>
      <c r="AF295" s="118" t="s">
        <v>344</v>
      </c>
      <c r="AG295" s="118" t="s">
        <v>345</v>
      </c>
      <c r="AH295" s="118" t="s">
        <v>346</v>
      </c>
      <c r="AI295" s="118" t="s">
        <v>347</v>
      </c>
      <c r="AJ295" s="118" t="s">
        <v>348</v>
      </c>
      <c r="AK295" s="118" t="s">
        <v>349</v>
      </c>
      <c r="AL295" s="118" t="s">
        <v>350</v>
      </c>
      <c r="AM295" s="118" t="s">
        <v>352</v>
      </c>
      <c r="AN295" s="118" t="s">
        <v>353</v>
      </c>
      <c r="AO295" s="118" t="s">
        <v>354</v>
      </c>
      <c r="AP295" s="118" t="s">
        <v>234</v>
      </c>
      <c r="AQ295" s="118" t="s">
        <v>355</v>
      </c>
      <c r="AR295" s="118" t="s">
        <v>356</v>
      </c>
      <c r="AS295" s="118" t="s">
        <v>358</v>
      </c>
      <c r="AT295" s="118" t="s">
        <v>359</v>
      </c>
      <c r="AU295" s="118" t="s">
        <v>360</v>
      </c>
      <c r="AV295" s="118" t="s">
        <v>361</v>
      </c>
      <c r="AW295" s="118" t="s">
        <v>362</v>
      </c>
      <c r="AX295" s="118" t="s">
        <v>363</v>
      </c>
      <c r="AY295" s="118" t="s">
        <v>364</v>
      </c>
      <c r="AZ295" s="118" t="s">
        <v>235</v>
      </c>
      <c r="BA295" s="118" t="s">
        <v>236</v>
      </c>
      <c r="BB295" s="118" t="s">
        <v>237</v>
      </c>
      <c r="BC295" s="118" t="s">
        <v>238</v>
      </c>
      <c r="BD295" s="118" t="s">
        <v>239</v>
      </c>
      <c r="BE295" s="118" t="s">
        <v>240</v>
      </c>
      <c r="BF295" s="118" t="s">
        <v>241</v>
      </c>
      <c r="BG295" s="158"/>
    </row>
    <row r="296" spans="1:59">
      <c r="B296" s="163"/>
      <c r="C296" s="117" t="s">
        <v>304</v>
      </c>
      <c r="D296" s="117" t="s">
        <v>406</v>
      </c>
      <c r="E296" s="117" t="s">
        <v>305</v>
      </c>
      <c r="F296" s="131" t="s">
        <v>306</v>
      </c>
      <c r="G296" s="131" t="s">
        <v>306</v>
      </c>
      <c r="H296" s="131" t="s">
        <v>306</v>
      </c>
      <c r="I296" s="131" t="s">
        <v>306</v>
      </c>
      <c r="J296" s="131" t="s">
        <v>308</v>
      </c>
      <c r="K296" s="131" t="s">
        <v>306</v>
      </c>
      <c r="L296" s="131" t="s">
        <v>306</v>
      </c>
      <c r="M296" s="131" t="s">
        <v>407</v>
      </c>
      <c r="N296" s="131" t="s">
        <v>407</v>
      </c>
      <c r="O296" s="131" t="s">
        <v>305</v>
      </c>
      <c r="P296" s="131" t="s">
        <v>408</v>
      </c>
      <c r="Q296" s="131" t="s">
        <v>306</v>
      </c>
      <c r="R296" s="131" t="s">
        <v>313</v>
      </c>
      <c r="S296" s="131" t="s">
        <v>308</v>
      </c>
      <c r="T296" s="131" t="s">
        <v>313</v>
      </c>
      <c r="U296" s="131" t="s">
        <v>308</v>
      </c>
      <c r="V296" s="131" t="s">
        <v>308</v>
      </c>
      <c r="W296" s="131" t="s">
        <v>306</v>
      </c>
      <c r="X296" s="131" t="s">
        <v>409</v>
      </c>
      <c r="Y296" s="131" t="s">
        <v>409</v>
      </c>
      <c r="Z296" s="131" t="s">
        <v>310</v>
      </c>
      <c r="AA296" s="131" t="s">
        <v>408</v>
      </c>
      <c r="AB296" s="131" t="s">
        <v>408</v>
      </c>
      <c r="AC296" s="131" t="s">
        <v>308</v>
      </c>
      <c r="AD296" s="131" t="s">
        <v>312</v>
      </c>
      <c r="AE296" s="131" t="s">
        <v>313</v>
      </c>
      <c r="AF296" s="131" t="s">
        <v>313</v>
      </c>
      <c r="AG296" s="131" t="s">
        <v>410</v>
      </c>
      <c r="AH296" s="131" t="s">
        <v>410</v>
      </c>
      <c r="AI296" s="131" t="s">
        <v>313</v>
      </c>
      <c r="AJ296" s="131" t="s">
        <v>313</v>
      </c>
      <c r="AK296" s="131" t="s">
        <v>410</v>
      </c>
      <c r="AL296" s="131" t="s">
        <v>410</v>
      </c>
      <c r="AM296" s="131" t="s">
        <v>306</v>
      </c>
      <c r="AN296" s="131" t="s">
        <v>306</v>
      </c>
      <c r="AO296" s="131" t="s">
        <v>306</v>
      </c>
      <c r="AP296" s="131" t="s">
        <v>310</v>
      </c>
      <c r="AQ296" s="131" t="s">
        <v>305</v>
      </c>
      <c r="AR296" s="131" t="s">
        <v>306</v>
      </c>
      <c r="AS296" s="131" t="s">
        <v>308</v>
      </c>
      <c r="AT296" s="131" t="s">
        <v>306</v>
      </c>
      <c r="AU296" s="131" t="s">
        <v>411</v>
      </c>
      <c r="AV296" s="131" t="s">
        <v>313</v>
      </c>
      <c r="AW296" s="131" t="s">
        <v>310</v>
      </c>
      <c r="AX296" s="131" t="s">
        <v>306</v>
      </c>
      <c r="AY296" s="131" t="s">
        <v>306</v>
      </c>
      <c r="AZ296" s="131" t="s">
        <v>317</v>
      </c>
      <c r="BA296" s="131" t="s">
        <v>318</v>
      </c>
      <c r="BB296" s="131" t="s">
        <v>320</v>
      </c>
      <c r="BC296" s="131" t="s">
        <v>320</v>
      </c>
      <c r="BD296" s="131" t="s">
        <v>318</v>
      </c>
      <c r="BE296" s="131" t="s">
        <v>320</v>
      </c>
      <c r="BF296" s="131" t="s">
        <v>320</v>
      </c>
      <c r="BG296" s="158"/>
    </row>
    <row r="297" spans="1:59" ht="15">
      <c r="B297" s="120" t="s">
        <v>242</v>
      </c>
      <c r="C297" s="132" t="s">
        <v>269</v>
      </c>
      <c r="D297" s="143" t="s">
        <v>461</v>
      </c>
      <c r="E297" s="142" t="s">
        <v>461</v>
      </c>
      <c r="F297" s="133" t="s">
        <v>286</v>
      </c>
      <c r="G297" s="132" t="s">
        <v>243</v>
      </c>
      <c r="H297" s="132" t="s">
        <v>243</v>
      </c>
      <c r="I297" s="135">
        <v>1</v>
      </c>
      <c r="J297" s="136">
        <v>0</v>
      </c>
      <c r="K297" s="132" t="s">
        <v>271</v>
      </c>
      <c r="L297" s="132" t="s">
        <v>271</v>
      </c>
      <c r="M297" s="132" t="s">
        <v>155</v>
      </c>
      <c r="N297" s="132" t="s">
        <v>155</v>
      </c>
      <c r="O297" s="132" t="s">
        <v>155</v>
      </c>
      <c r="P297" s="132" t="s">
        <v>155</v>
      </c>
      <c r="Q297" s="134" t="s">
        <v>412</v>
      </c>
      <c r="R297" s="132" t="s">
        <v>243</v>
      </c>
      <c r="S297" s="132" t="s">
        <v>243</v>
      </c>
      <c r="T297" s="132" t="s">
        <v>413</v>
      </c>
      <c r="U297" s="132" t="s">
        <v>414</v>
      </c>
      <c r="V297" s="132" t="s">
        <v>182</v>
      </c>
      <c r="W297" s="132" t="s">
        <v>182</v>
      </c>
      <c r="X297" s="132" t="s">
        <v>243</v>
      </c>
      <c r="Y297" s="132" t="s">
        <v>243</v>
      </c>
      <c r="Z297" s="132"/>
      <c r="AA297" s="135"/>
      <c r="AB297" s="135" t="s">
        <v>155</v>
      </c>
      <c r="AC297" s="135">
        <v>1</v>
      </c>
      <c r="AD297" s="135">
        <v>99999999</v>
      </c>
      <c r="AE297" s="132" t="s">
        <v>243</v>
      </c>
      <c r="AF297" s="132" t="s">
        <v>243</v>
      </c>
      <c r="AG297" s="132" t="s">
        <v>243</v>
      </c>
      <c r="AH297" s="132" t="s">
        <v>243</v>
      </c>
      <c r="AI297" s="135">
        <v>0</v>
      </c>
      <c r="AJ297" s="135">
        <v>0</v>
      </c>
      <c r="AK297" s="135">
        <v>0</v>
      </c>
      <c r="AL297" s="135">
        <v>0</v>
      </c>
      <c r="AM297" s="132" t="s">
        <v>182</v>
      </c>
      <c r="AN297" s="135">
        <v>0</v>
      </c>
      <c r="AO297" s="132" t="s">
        <v>243</v>
      </c>
      <c r="AP297" s="135">
        <v>1</v>
      </c>
      <c r="AQ297" s="136" t="s">
        <v>155</v>
      </c>
      <c r="AR297" s="136" t="s">
        <v>415</v>
      </c>
      <c r="AS297" s="136">
        <v>0</v>
      </c>
      <c r="AT297" s="136">
        <v>1</v>
      </c>
      <c r="AU297" s="136">
        <v>0</v>
      </c>
      <c r="AV297" s="136">
        <v>0</v>
      </c>
      <c r="AW297" s="136">
        <v>0</v>
      </c>
      <c r="AX297" s="136">
        <v>0</v>
      </c>
      <c r="AY297" s="136">
        <v>1</v>
      </c>
      <c r="AZ297" s="136">
        <v>0</v>
      </c>
      <c r="BA297" s="137">
        <v>29705</v>
      </c>
      <c r="BB297" s="136" t="s">
        <v>277</v>
      </c>
      <c r="BC297" s="136" t="s">
        <v>277</v>
      </c>
      <c r="BD297" s="137">
        <v>36413</v>
      </c>
      <c r="BE297" s="136" t="s">
        <v>277</v>
      </c>
      <c r="BF297" s="136" t="s">
        <v>277</v>
      </c>
      <c r="BG297" s="158"/>
    </row>
    <row r="298" spans="1:59" ht="15">
      <c r="B298" s="122" t="s">
        <v>244</v>
      </c>
      <c r="C298" s="132" t="s">
        <v>269</v>
      </c>
      <c r="D298" s="143" t="s">
        <v>461</v>
      </c>
      <c r="E298" s="143" t="s">
        <v>181</v>
      </c>
      <c r="F298" s="133" t="s">
        <v>184</v>
      </c>
      <c r="G298" s="132" t="s">
        <v>243</v>
      </c>
      <c r="H298" s="132" t="s">
        <v>243</v>
      </c>
      <c r="I298" s="135">
        <v>0</v>
      </c>
      <c r="J298" s="136">
        <v>30</v>
      </c>
      <c r="K298" s="132" t="s">
        <v>271</v>
      </c>
      <c r="L298" s="132" t="s">
        <v>271</v>
      </c>
      <c r="M298" s="132" t="s">
        <v>155</v>
      </c>
      <c r="N298" s="132" t="s">
        <v>155</v>
      </c>
      <c r="O298" s="132" t="s">
        <v>416</v>
      </c>
      <c r="P298" s="132" t="s">
        <v>155</v>
      </c>
      <c r="Q298" s="134" t="s">
        <v>417</v>
      </c>
      <c r="R298" s="132" t="s">
        <v>182</v>
      </c>
      <c r="S298" s="132" t="s">
        <v>243</v>
      </c>
      <c r="T298" s="132" t="s">
        <v>413</v>
      </c>
      <c r="U298" s="132" t="s">
        <v>414</v>
      </c>
      <c r="V298" s="132" t="s">
        <v>418</v>
      </c>
      <c r="W298" s="132" t="s">
        <v>182</v>
      </c>
      <c r="X298" s="132" t="s">
        <v>243</v>
      </c>
      <c r="Y298" s="132" t="s">
        <v>243</v>
      </c>
      <c r="Z298" s="132"/>
      <c r="AA298" s="135"/>
      <c r="AB298" s="135" t="s">
        <v>419</v>
      </c>
      <c r="AC298" s="138">
        <v>5000</v>
      </c>
      <c r="AD298" s="135">
        <v>99999999</v>
      </c>
      <c r="AE298" s="132" t="s">
        <v>243</v>
      </c>
      <c r="AF298" s="132" t="s">
        <v>271</v>
      </c>
      <c r="AG298" s="132" t="s">
        <v>243</v>
      </c>
      <c r="AH298" s="132" t="s">
        <v>243</v>
      </c>
      <c r="AI298" s="135">
        <v>0</v>
      </c>
      <c r="AJ298" s="135">
        <v>0</v>
      </c>
      <c r="AK298" s="135">
        <v>0</v>
      </c>
      <c r="AL298" s="135">
        <v>0</v>
      </c>
      <c r="AM298" s="132" t="s">
        <v>182</v>
      </c>
      <c r="AN298" s="135">
        <v>0</v>
      </c>
      <c r="AO298" s="132" t="s">
        <v>243</v>
      </c>
      <c r="AP298" s="135">
        <v>1</v>
      </c>
      <c r="AQ298" s="136">
        <v>1111</v>
      </c>
      <c r="AR298" s="136" t="s">
        <v>415</v>
      </c>
      <c r="AS298" s="136">
        <v>10</v>
      </c>
      <c r="AT298" s="136">
        <v>1</v>
      </c>
      <c r="AU298" s="136">
        <v>0</v>
      </c>
      <c r="AV298" s="136">
        <v>0</v>
      </c>
      <c r="AW298" s="136">
        <v>0</v>
      </c>
      <c r="AX298" s="136">
        <v>0</v>
      </c>
      <c r="AY298" s="136">
        <v>1</v>
      </c>
      <c r="AZ298" s="136">
        <v>0</v>
      </c>
      <c r="BA298" s="137">
        <v>40640.750486111108</v>
      </c>
      <c r="BB298" s="136">
        <v>470195</v>
      </c>
      <c r="BC298" s="136">
        <v>470195</v>
      </c>
      <c r="BD298" s="137">
        <v>45392.67769675926</v>
      </c>
      <c r="BE298" s="136">
        <v>363363</v>
      </c>
      <c r="BF298" s="136">
        <v>363363</v>
      </c>
      <c r="BG298" s="158"/>
    </row>
    <row r="299" spans="1:59" ht="15">
      <c r="B299" s="120" t="s">
        <v>242</v>
      </c>
      <c r="C299" s="132" t="s">
        <v>269</v>
      </c>
      <c r="D299" s="142" t="s">
        <v>460</v>
      </c>
      <c r="E299" s="143" t="s">
        <v>181</v>
      </c>
      <c r="F299" s="139" t="s">
        <v>286</v>
      </c>
      <c r="G299" s="132" t="s">
        <v>243</v>
      </c>
      <c r="H299" s="132" t="s">
        <v>243</v>
      </c>
      <c r="I299" s="135">
        <v>1</v>
      </c>
      <c r="J299" s="136">
        <v>0</v>
      </c>
      <c r="K299" s="132" t="s">
        <v>182</v>
      </c>
      <c r="L299" s="225" t="s">
        <v>432</v>
      </c>
      <c r="M299" s="132" t="s">
        <v>155</v>
      </c>
      <c r="N299" s="132" t="s">
        <v>155</v>
      </c>
      <c r="O299" s="132" t="s">
        <v>155</v>
      </c>
      <c r="P299" s="132" t="s">
        <v>155</v>
      </c>
      <c r="Q299" s="134" t="s">
        <v>412</v>
      </c>
      <c r="R299" s="132" t="s">
        <v>243</v>
      </c>
      <c r="S299" s="132" t="s">
        <v>243</v>
      </c>
      <c r="T299" s="132" t="s">
        <v>413</v>
      </c>
      <c r="U299" s="132" t="s">
        <v>414</v>
      </c>
      <c r="V299" s="132" t="s">
        <v>182</v>
      </c>
      <c r="W299" s="132" t="s">
        <v>182</v>
      </c>
      <c r="X299" s="132" t="s">
        <v>243</v>
      </c>
      <c r="Y299" s="132" t="s">
        <v>243</v>
      </c>
      <c r="Z299" s="132" t="s">
        <v>155</v>
      </c>
      <c r="AA299" s="135" t="s">
        <v>155</v>
      </c>
      <c r="AB299" s="135" t="s">
        <v>155</v>
      </c>
      <c r="AC299" s="135">
        <v>1</v>
      </c>
      <c r="AD299" s="135">
        <v>99999999</v>
      </c>
      <c r="AE299" s="132" t="s">
        <v>243</v>
      </c>
      <c r="AF299" s="132" t="s">
        <v>243</v>
      </c>
      <c r="AG299" s="132" t="s">
        <v>243</v>
      </c>
      <c r="AH299" s="132" t="s">
        <v>243</v>
      </c>
      <c r="AI299" s="135">
        <v>0</v>
      </c>
      <c r="AJ299" s="135">
        <v>0</v>
      </c>
      <c r="AK299" s="135">
        <v>0</v>
      </c>
      <c r="AL299" s="135">
        <v>0</v>
      </c>
      <c r="AM299" s="132" t="s">
        <v>182</v>
      </c>
      <c r="AN299" s="135">
        <v>0</v>
      </c>
      <c r="AO299" s="132" t="s">
        <v>243</v>
      </c>
      <c r="AP299" s="135">
        <v>1</v>
      </c>
      <c r="AQ299" s="136" t="s">
        <v>155</v>
      </c>
      <c r="AR299" s="136" t="s">
        <v>415</v>
      </c>
      <c r="AS299" s="136">
        <v>0</v>
      </c>
      <c r="AT299" s="136">
        <v>1</v>
      </c>
      <c r="AU299" s="136">
        <v>0</v>
      </c>
      <c r="AV299" s="136">
        <v>0</v>
      </c>
      <c r="AW299" s="136">
        <v>0</v>
      </c>
      <c r="AX299" s="136">
        <v>0</v>
      </c>
      <c r="AY299" s="136">
        <v>1</v>
      </c>
      <c r="AZ299" s="136">
        <v>0</v>
      </c>
      <c r="BA299" s="137">
        <v>29705</v>
      </c>
      <c r="BB299" s="136" t="s">
        <v>277</v>
      </c>
      <c r="BC299" s="136" t="s">
        <v>277</v>
      </c>
      <c r="BD299" s="137">
        <v>36413</v>
      </c>
      <c r="BE299" s="136" t="s">
        <v>277</v>
      </c>
      <c r="BF299" s="136" t="s">
        <v>277</v>
      </c>
      <c r="BG299" s="158"/>
    </row>
    <row r="300" spans="1:59" ht="14">
      <c r="B300" s="120" t="s">
        <v>242</v>
      </c>
      <c r="C300" s="132" t="s">
        <v>269</v>
      </c>
      <c r="D300" s="142" t="s">
        <v>181</v>
      </c>
      <c r="E300" s="132" t="s">
        <v>285</v>
      </c>
      <c r="F300" s="132" t="s">
        <v>184</v>
      </c>
      <c r="G300" s="132" t="s">
        <v>243</v>
      </c>
      <c r="H300" s="132" t="s">
        <v>243</v>
      </c>
      <c r="I300" s="132">
        <v>0</v>
      </c>
      <c r="J300" s="132">
        <v>30</v>
      </c>
      <c r="K300" s="132" t="s">
        <v>443</v>
      </c>
      <c r="L300" s="225" t="s">
        <v>432</v>
      </c>
      <c r="M300" s="132" t="s">
        <v>155</v>
      </c>
      <c r="N300" s="132" t="s">
        <v>155</v>
      </c>
      <c r="O300" s="132" t="s">
        <v>416</v>
      </c>
      <c r="P300" s="132" t="s">
        <v>155</v>
      </c>
      <c r="Q300" s="132" t="s">
        <v>417</v>
      </c>
      <c r="R300" s="132" t="s">
        <v>182</v>
      </c>
      <c r="S300" s="132" t="s">
        <v>243</v>
      </c>
      <c r="T300" s="132" t="s">
        <v>413</v>
      </c>
      <c r="U300" s="132" t="s">
        <v>414</v>
      </c>
      <c r="V300" s="132" t="s">
        <v>418</v>
      </c>
      <c r="W300" s="132" t="s">
        <v>182</v>
      </c>
      <c r="X300" s="132" t="s">
        <v>243</v>
      </c>
      <c r="Y300" s="132" t="s">
        <v>243</v>
      </c>
      <c r="Z300" s="132"/>
      <c r="AA300" s="132"/>
      <c r="AB300" s="132" t="s">
        <v>419</v>
      </c>
      <c r="AC300" s="132">
        <v>5000</v>
      </c>
      <c r="AD300" s="132">
        <v>99999999</v>
      </c>
      <c r="AE300" s="132" t="s">
        <v>243</v>
      </c>
      <c r="AF300" s="132" t="s">
        <v>271</v>
      </c>
      <c r="AG300" s="132" t="s">
        <v>243</v>
      </c>
      <c r="AH300" s="132" t="s">
        <v>243</v>
      </c>
      <c r="AI300" s="132">
        <v>0</v>
      </c>
      <c r="AJ300" s="132">
        <v>0</v>
      </c>
      <c r="AK300" s="132">
        <v>0</v>
      </c>
      <c r="AL300" s="132">
        <v>0</v>
      </c>
      <c r="AM300" s="132" t="s">
        <v>182</v>
      </c>
      <c r="AN300" s="132">
        <v>0</v>
      </c>
      <c r="AO300" s="132" t="s">
        <v>243</v>
      </c>
      <c r="AP300" s="132">
        <v>1</v>
      </c>
      <c r="AQ300" s="132">
        <v>1111</v>
      </c>
      <c r="AR300" s="132" t="s">
        <v>415</v>
      </c>
      <c r="AS300" s="132">
        <v>10</v>
      </c>
      <c r="AT300" s="132">
        <v>1</v>
      </c>
      <c r="AU300" s="132">
        <v>0</v>
      </c>
      <c r="AV300" s="132">
        <v>0</v>
      </c>
      <c r="AW300" s="132">
        <v>0</v>
      </c>
      <c r="AX300" s="132">
        <v>0</v>
      </c>
      <c r="AY300" s="132">
        <v>1</v>
      </c>
      <c r="AZ300" s="132">
        <v>0</v>
      </c>
      <c r="BA300" s="132">
        <v>40640.750486111108</v>
      </c>
      <c r="BB300" s="132">
        <v>470195</v>
      </c>
      <c r="BC300" s="132">
        <v>470195</v>
      </c>
      <c r="BD300" s="132">
        <v>45392.67769675926</v>
      </c>
      <c r="BE300" s="132">
        <v>363363</v>
      </c>
      <c r="BF300" s="132">
        <v>363363</v>
      </c>
      <c r="BG300" s="158"/>
    </row>
    <row r="301" spans="1:59" ht="14">
      <c r="B301" s="163"/>
      <c r="C301" s="164"/>
      <c r="D301" s="164"/>
      <c r="E301" s="164"/>
      <c r="F301" s="164"/>
      <c r="G301" s="164"/>
      <c r="H301" s="164"/>
      <c r="I301" s="164"/>
      <c r="J301" s="164"/>
      <c r="M301" s="164"/>
      <c r="N301" s="164"/>
      <c r="O301" s="164"/>
      <c r="BG301" s="158"/>
    </row>
    <row r="302" spans="1:59" ht="14.5" thickBot="1">
      <c r="B302" s="163"/>
      <c r="C302" s="164" t="s">
        <v>152</v>
      </c>
      <c r="D302" s="164"/>
      <c r="E302" s="164"/>
      <c r="F302" s="164"/>
      <c r="G302" s="164"/>
      <c r="H302" s="164"/>
      <c r="I302" s="164"/>
      <c r="J302" s="164"/>
      <c r="M302" s="164"/>
      <c r="N302" s="164"/>
      <c r="O302" s="164"/>
      <c r="BG302" s="158"/>
    </row>
    <row r="303" spans="1:59" ht="14.5" thickBot="1">
      <c r="B303" s="163"/>
      <c r="C303" s="233" t="s">
        <v>422</v>
      </c>
      <c r="D303" s="233" t="s">
        <v>423</v>
      </c>
      <c r="E303" s="233" t="s">
        <v>158</v>
      </c>
      <c r="F303" s="233" t="s">
        <v>424</v>
      </c>
      <c r="G303" s="233" t="s">
        <v>425</v>
      </c>
      <c r="H303" s="233" t="s">
        <v>426</v>
      </c>
      <c r="I303" s="233" t="s">
        <v>427</v>
      </c>
      <c r="J303" s="233" t="s">
        <v>428</v>
      </c>
      <c r="K303" s="233" t="s">
        <v>429</v>
      </c>
      <c r="L303" s="233" t="s">
        <v>430</v>
      </c>
      <c r="M303" s="233" t="s">
        <v>431</v>
      </c>
      <c r="BG303" s="158"/>
    </row>
    <row r="304" spans="1:59" ht="14.5" thickBot="1">
      <c r="B304" s="163"/>
      <c r="C304" s="233">
        <v>0</v>
      </c>
      <c r="D304" s="233">
        <v>0</v>
      </c>
      <c r="E304" s="233">
        <v>0</v>
      </c>
      <c r="F304" s="233" t="s">
        <v>432</v>
      </c>
      <c r="G304" s="233" t="s">
        <v>432</v>
      </c>
      <c r="H304" s="233">
        <v>1</v>
      </c>
      <c r="I304" s="233">
        <v>4</v>
      </c>
      <c r="J304" s="233">
        <v>5</v>
      </c>
      <c r="K304" s="233">
        <v>0</v>
      </c>
      <c r="L304" s="233">
        <v>30</v>
      </c>
      <c r="M304" s="233">
        <v>0</v>
      </c>
      <c r="BG304" s="158"/>
    </row>
    <row r="305" spans="1:59" ht="14.5" thickBot="1">
      <c r="B305" s="163"/>
      <c r="C305" s="164"/>
      <c r="D305" s="164"/>
      <c r="E305" s="164"/>
      <c r="F305" s="164"/>
      <c r="G305" s="164"/>
      <c r="H305" s="164"/>
      <c r="I305" s="164"/>
      <c r="J305" s="164"/>
      <c r="M305" s="164"/>
      <c r="N305" s="164"/>
      <c r="O305" s="164"/>
      <c r="BG305" s="158"/>
    </row>
    <row r="306" spans="1:59" ht="14" thickBot="1">
      <c r="B306" s="104" t="s">
        <v>521</v>
      </c>
      <c r="C306" s="105" t="s">
        <v>520</v>
      </c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58"/>
    </row>
    <row r="307" spans="1:59" ht="14" thickBot="1">
      <c r="B307" s="140" t="s">
        <v>433</v>
      </c>
      <c r="C307" s="105" t="s">
        <v>227</v>
      </c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58"/>
    </row>
    <row r="308" spans="1:59" ht="14">
      <c r="B308" s="163"/>
      <c r="C308" s="164"/>
      <c r="D308" s="164"/>
      <c r="E308" s="164"/>
      <c r="F308" s="164"/>
      <c r="G308" s="164"/>
      <c r="H308" s="164"/>
      <c r="I308" s="164"/>
      <c r="J308" s="164"/>
      <c r="M308" s="164"/>
      <c r="N308" s="164"/>
      <c r="O308" s="164"/>
      <c r="BG308" s="158"/>
    </row>
    <row r="309" spans="1:59" ht="14">
      <c r="B309" s="163"/>
      <c r="C309" s="161" t="s">
        <v>228</v>
      </c>
      <c r="D309" s="164"/>
      <c r="E309" s="164"/>
      <c r="F309" s="164"/>
      <c r="G309" s="164"/>
      <c r="H309" s="164"/>
      <c r="I309" s="164"/>
      <c r="J309" s="164"/>
      <c r="M309" s="164"/>
      <c r="N309" s="164"/>
      <c r="O309" s="164"/>
      <c r="BG309" s="158"/>
    </row>
    <row r="310" spans="1:59" ht="14">
      <c r="B310" s="163"/>
      <c r="C310" s="161" t="s">
        <v>522</v>
      </c>
      <c r="D310" s="164"/>
      <c r="E310" s="164"/>
      <c r="F310" s="164"/>
      <c r="G310" s="164"/>
      <c r="H310" s="164"/>
      <c r="I310" s="164"/>
      <c r="J310" s="164"/>
      <c r="M310" s="164"/>
      <c r="N310" s="164"/>
      <c r="O310" s="164"/>
      <c r="BG310" s="158"/>
    </row>
    <row r="311" spans="1:59" ht="14">
      <c r="B311" s="163"/>
      <c r="C311" s="164"/>
      <c r="D311" s="164"/>
      <c r="E311" s="164"/>
      <c r="F311" s="164"/>
      <c r="G311" s="164"/>
      <c r="H311" s="164"/>
      <c r="I311" s="164"/>
      <c r="J311" s="164"/>
      <c r="M311" s="164"/>
      <c r="N311" s="164"/>
      <c r="O311" s="164"/>
      <c r="BG311" s="158"/>
    </row>
    <row r="312" spans="1:59" s="27" customFormat="1" ht="19.5" customHeight="1">
      <c r="B312" s="167"/>
      <c r="C312" s="125" t="s">
        <v>268</v>
      </c>
      <c r="D312" s="126"/>
      <c r="E312" s="12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7"/>
      <c r="Y312" s="66"/>
      <c r="Z312" s="66"/>
      <c r="AA312" s="66"/>
      <c r="AB312" s="66"/>
      <c r="AC312" s="66"/>
      <c r="AD312" s="111"/>
      <c r="AH312" s="108"/>
      <c r="AJ312" s="67"/>
      <c r="AK312" s="67"/>
      <c r="AL312" s="67"/>
      <c r="AM312" s="67"/>
      <c r="AN312" s="68"/>
      <c r="AO312" s="68"/>
      <c r="AP312" s="68"/>
      <c r="BG312" s="94"/>
    </row>
    <row r="313" spans="1:59" s="70" customFormat="1" ht="16.5" customHeight="1">
      <c r="A313" s="98"/>
      <c r="B313" s="168"/>
      <c r="C313" s="127"/>
      <c r="D313" s="127"/>
      <c r="E313" s="127"/>
      <c r="F313" s="124" t="s">
        <v>168</v>
      </c>
      <c r="G313" s="124" t="s">
        <v>168</v>
      </c>
      <c r="H313" s="124" t="s">
        <v>168</v>
      </c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H313" s="109"/>
      <c r="AI313" s="69"/>
      <c r="AJ313" s="69"/>
      <c r="AK313" s="69"/>
      <c r="AL313" s="69"/>
      <c r="AM313" s="69"/>
      <c r="BG313" s="169"/>
    </row>
    <row r="314" spans="1:59" s="76" customFormat="1" ht="92" customHeight="1">
      <c r="A314" s="71"/>
      <c r="B314" s="170"/>
      <c r="C314" s="117" t="s">
        <v>171</v>
      </c>
      <c r="D314" s="117" t="s">
        <v>172</v>
      </c>
      <c r="E314" s="117" t="s">
        <v>173</v>
      </c>
      <c r="F314" s="119" t="s">
        <v>91</v>
      </c>
      <c r="G314" s="119" t="s">
        <v>67</v>
      </c>
      <c r="H314" s="119" t="s">
        <v>69</v>
      </c>
      <c r="I314" s="119" t="s">
        <v>289</v>
      </c>
      <c r="J314" s="119" t="s">
        <v>290</v>
      </c>
      <c r="K314" s="119" t="s">
        <v>291</v>
      </c>
      <c r="L314" s="119" t="s">
        <v>292</v>
      </c>
      <c r="M314" s="119" t="s">
        <v>293</v>
      </c>
      <c r="N314" s="119" t="s">
        <v>294</v>
      </c>
      <c r="O314" s="119" t="s">
        <v>295</v>
      </c>
      <c r="P314" s="119" t="s">
        <v>296</v>
      </c>
      <c r="Q314" s="119" t="s">
        <v>297</v>
      </c>
      <c r="R314" s="119" t="s">
        <v>298</v>
      </c>
      <c r="S314" s="119" t="s">
        <v>299</v>
      </c>
      <c r="T314" s="119" t="s">
        <v>300</v>
      </c>
      <c r="U314" s="119" t="s">
        <v>301</v>
      </c>
      <c r="V314" s="119" t="s">
        <v>302</v>
      </c>
      <c r="W314" s="119" t="s">
        <v>303</v>
      </c>
      <c r="X314" s="119" t="s">
        <v>229</v>
      </c>
      <c r="Y314" s="119" t="s">
        <v>230</v>
      </c>
      <c r="Z314" s="119" t="s">
        <v>231</v>
      </c>
      <c r="AA314" s="119" t="s">
        <v>232</v>
      </c>
      <c r="AB314" s="119" t="s">
        <v>150</v>
      </c>
      <c r="AC314" s="119" t="s">
        <v>151</v>
      </c>
      <c r="AD314" s="119" t="s">
        <v>233</v>
      </c>
      <c r="AH314" s="110"/>
      <c r="AI314" s="67"/>
      <c r="AJ314" s="74"/>
      <c r="AK314" s="74"/>
      <c r="AL314" s="74"/>
      <c r="AM314" s="74"/>
      <c r="AN314" s="75"/>
      <c r="AO314" s="75"/>
      <c r="AP314" s="75"/>
      <c r="BG314" s="171"/>
    </row>
    <row r="315" spans="1:59" s="76" customFormat="1" ht="15">
      <c r="A315" s="71"/>
      <c r="B315" s="170"/>
      <c r="C315" s="117" t="s">
        <v>205</v>
      </c>
      <c r="D315" s="117" t="s">
        <v>214</v>
      </c>
      <c r="E315" s="117" t="s">
        <v>222</v>
      </c>
      <c r="F315" s="118" t="s">
        <v>250</v>
      </c>
      <c r="G315" s="118" t="s">
        <v>251</v>
      </c>
      <c r="H315" s="118" t="s">
        <v>253</v>
      </c>
      <c r="I315" s="118" t="s">
        <v>252</v>
      </c>
      <c r="J315" s="118" t="s">
        <v>254</v>
      </c>
      <c r="K315" s="118" t="s">
        <v>255</v>
      </c>
      <c r="L315" s="118" t="s">
        <v>256</v>
      </c>
      <c r="M315" s="118" t="s">
        <v>257</v>
      </c>
      <c r="N315" s="118" t="s">
        <v>258</v>
      </c>
      <c r="O315" s="118" t="s">
        <v>259</v>
      </c>
      <c r="P315" s="118" t="s">
        <v>260</v>
      </c>
      <c r="Q315" s="118" t="s">
        <v>261</v>
      </c>
      <c r="R315" s="118" t="s">
        <v>262</v>
      </c>
      <c r="S315" s="118" t="s">
        <v>263</v>
      </c>
      <c r="T315" s="118" t="s">
        <v>264</v>
      </c>
      <c r="U315" s="118" t="s">
        <v>265</v>
      </c>
      <c r="V315" s="118" t="s">
        <v>266</v>
      </c>
      <c r="W315" s="118" t="s">
        <v>267</v>
      </c>
      <c r="X315" s="118" t="s">
        <v>235</v>
      </c>
      <c r="Y315" s="118" t="s">
        <v>236</v>
      </c>
      <c r="Z315" s="118" t="s">
        <v>237</v>
      </c>
      <c r="AA315" s="118" t="s">
        <v>238</v>
      </c>
      <c r="AB315" s="118" t="s">
        <v>239</v>
      </c>
      <c r="AC315" s="118" t="s">
        <v>240</v>
      </c>
      <c r="AD315" s="118" t="s">
        <v>241</v>
      </c>
      <c r="AH315" s="110"/>
      <c r="AI315" s="67"/>
      <c r="AJ315" s="74"/>
      <c r="AK315" s="74"/>
      <c r="AL315" s="74"/>
      <c r="AM315" s="74"/>
      <c r="AN315" s="75"/>
      <c r="AO315" s="75"/>
      <c r="AP315" s="75"/>
      <c r="BG315" s="171"/>
    </row>
    <row r="316" spans="1:59" s="68" customFormat="1" ht="13.5" customHeight="1">
      <c r="A316" s="77"/>
      <c r="B316" s="172"/>
      <c r="C316" s="117" t="s">
        <v>304</v>
      </c>
      <c r="D316" s="117" t="s">
        <v>305</v>
      </c>
      <c r="E316" s="117" t="s">
        <v>305</v>
      </c>
      <c r="F316" s="119" t="s">
        <v>306</v>
      </c>
      <c r="G316" s="119" t="s">
        <v>306</v>
      </c>
      <c r="H316" s="119" t="s">
        <v>307</v>
      </c>
      <c r="I316" s="119" t="s">
        <v>306</v>
      </c>
      <c r="J316" s="119" t="s">
        <v>308</v>
      </c>
      <c r="K316" s="119" t="s">
        <v>309</v>
      </c>
      <c r="L316" s="118" t="s">
        <v>310</v>
      </c>
      <c r="M316" s="119" t="s">
        <v>310</v>
      </c>
      <c r="N316" s="119" t="s">
        <v>311</v>
      </c>
      <c r="O316" s="119" t="s">
        <v>306</v>
      </c>
      <c r="P316" s="119" t="s">
        <v>312</v>
      </c>
      <c r="Q316" s="119" t="s">
        <v>313</v>
      </c>
      <c r="R316" s="119" t="s">
        <v>312</v>
      </c>
      <c r="S316" s="119" t="s">
        <v>314</v>
      </c>
      <c r="T316" s="118" t="s">
        <v>315</v>
      </c>
      <c r="U316" s="119" t="s">
        <v>315</v>
      </c>
      <c r="V316" s="119" t="s">
        <v>316</v>
      </c>
      <c r="W316" s="119" t="s">
        <v>306</v>
      </c>
      <c r="X316" s="119" t="s">
        <v>317</v>
      </c>
      <c r="Y316" s="119" t="s">
        <v>319</v>
      </c>
      <c r="Z316" s="119" t="s">
        <v>320</v>
      </c>
      <c r="AA316" s="119" t="s">
        <v>320</v>
      </c>
      <c r="AB316" s="118" t="s">
        <v>318</v>
      </c>
      <c r="AC316" s="119" t="s">
        <v>320</v>
      </c>
      <c r="AD316" s="119" t="s">
        <v>320</v>
      </c>
      <c r="AH316" s="108"/>
      <c r="AI316" s="67"/>
      <c r="AJ316" s="67"/>
      <c r="AK316" s="67"/>
      <c r="AL316" s="67"/>
      <c r="AM316" s="67"/>
      <c r="BG316" s="173"/>
    </row>
    <row r="317" spans="1:59" s="27" customFormat="1" ht="13.5" customHeight="1">
      <c r="A317" s="80"/>
      <c r="B317" s="120" t="s">
        <v>242</v>
      </c>
      <c r="C317" s="121" t="s">
        <v>269</v>
      </c>
      <c r="D317" s="118" t="s">
        <v>270</v>
      </c>
      <c r="E317" s="142" t="s">
        <v>461</v>
      </c>
      <c r="F317" s="119" t="s">
        <v>182</v>
      </c>
      <c r="G317" s="119" t="s">
        <v>271</v>
      </c>
      <c r="H317" s="119" t="s">
        <v>183</v>
      </c>
      <c r="I317" s="119" t="s">
        <v>271</v>
      </c>
      <c r="J317" s="119" t="s">
        <v>272</v>
      </c>
      <c r="K317" s="119" t="s">
        <v>243</v>
      </c>
      <c r="L317" s="118" t="s">
        <v>155</v>
      </c>
      <c r="M317" s="119" t="s">
        <v>273</v>
      </c>
      <c r="N317" s="119"/>
      <c r="O317" s="119" t="s">
        <v>182</v>
      </c>
      <c r="P317" s="119" t="s">
        <v>155</v>
      </c>
      <c r="Q317" s="119" t="s">
        <v>274</v>
      </c>
      <c r="R317" s="119" t="s">
        <v>275</v>
      </c>
      <c r="S317" s="119"/>
      <c r="T317" s="118" t="s">
        <v>155</v>
      </c>
      <c r="U317" s="119" t="s">
        <v>155</v>
      </c>
      <c r="V317" s="119" t="s">
        <v>155</v>
      </c>
      <c r="W317" s="119"/>
      <c r="X317" s="119" t="s">
        <v>243</v>
      </c>
      <c r="Y317" s="119" t="s">
        <v>276</v>
      </c>
      <c r="Z317" s="119" t="s">
        <v>277</v>
      </c>
      <c r="AA317" s="119" t="s">
        <v>277</v>
      </c>
      <c r="AB317" s="118" t="s">
        <v>278</v>
      </c>
      <c r="AC317" s="119" t="s">
        <v>279</v>
      </c>
      <c r="AD317" s="119" t="s">
        <v>279</v>
      </c>
      <c r="AH317" s="108"/>
      <c r="AI317" s="67"/>
      <c r="AJ317" s="67"/>
      <c r="AK317" s="83"/>
      <c r="AL317" s="67"/>
      <c r="AM317" s="67"/>
      <c r="AN317" s="68"/>
      <c r="AO317" s="68"/>
      <c r="AP317" s="68"/>
      <c r="BG317" s="94"/>
    </row>
    <row r="318" spans="1:59" s="27" customFormat="1" ht="13.5" customHeight="1">
      <c r="A318" s="84"/>
      <c r="B318" s="122" t="s">
        <v>244</v>
      </c>
      <c r="C318" s="121" t="s">
        <v>269</v>
      </c>
      <c r="D318" s="118" t="s">
        <v>270</v>
      </c>
      <c r="E318" s="119" t="s">
        <v>181</v>
      </c>
      <c r="F318" s="119" t="s">
        <v>182</v>
      </c>
      <c r="G318" s="132" t="s">
        <v>271</v>
      </c>
      <c r="H318" s="119" t="s">
        <v>183</v>
      </c>
      <c r="I318" s="132" t="s">
        <v>271</v>
      </c>
      <c r="J318" s="119" t="s">
        <v>183</v>
      </c>
      <c r="K318" s="119" t="s">
        <v>243</v>
      </c>
      <c r="L318" s="118" t="s">
        <v>280</v>
      </c>
      <c r="M318" s="119" t="s">
        <v>273</v>
      </c>
      <c r="N318" s="119"/>
      <c r="O318" s="119" t="s">
        <v>243</v>
      </c>
      <c r="P318" s="119" t="s">
        <v>155</v>
      </c>
      <c r="Q318" s="119" t="s">
        <v>183</v>
      </c>
      <c r="R318" s="119" t="s">
        <v>281</v>
      </c>
      <c r="S318" s="119"/>
      <c r="T318" s="118" t="s">
        <v>155</v>
      </c>
      <c r="U318" s="119" t="s">
        <v>155</v>
      </c>
      <c r="V318" s="119" t="s">
        <v>155</v>
      </c>
      <c r="W318" s="119"/>
      <c r="X318" s="119" t="s">
        <v>243</v>
      </c>
      <c r="Y318" s="119" t="s">
        <v>282</v>
      </c>
      <c r="Z318" s="119" t="s">
        <v>283</v>
      </c>
      <c r="AA318" s="119">
        <v>470195</v>
      </c>
      <c r="AB318" s="118" t="s">
        <v>282</v>
      </c>
      <c r="AC318" s="119">
        <v>470195</v>
      </c>
      <c r="AD318" s="119" t="s">
        <v>283</v>
      </c>
      <c r="AH318" s="108"/>
      <c r="AI318" s="67"/>
      <c r="AJ318" s="61"/>
      <c r="AK318" s="83"/>
      <c r="AL318" s="67"/>
      <c r="AM318" s="67"/>
      <c r="AN318" s="68"/>
      <c r="AO318" s="68"/>
      <c r="AP318" s="68"/>
      <c r="BG318" s="94"/>
    </row>
    <row r="319" spans="1:59" s="27" customFormat="1" ht="13.5" customHeight="1">
      <c r="A319" s="85"/>
      <c r="B319" s="120" t="s">
        <v>242</v>
      </c>
      <c r="C319" s="121" t="s">
        <v>269</v>
      </c>
      <c r="D319" s="142" t="s">
        <v>181</v>
      </c>
      <c r="E319" s="121" t="s">
        <v>285</v>
      </c>
      <c r="F319" s="121" t="s">
        <v>286</v>
      </c>
      <c r="G319" s="121" t="s">
        <v>443</v>
      </c>
      <c r="H319" s="121" t="s">
        <v>183</v>
      </c>
      <c r="I319" s="224" t="s">
        <v>432</v>
      </c>
      <c r="J319" s="121" t="s">
        <v>272</v>
      </c>
      <c r="K319" s="121" t="s">
        <v>243</v>
      </c>
      <c r="L319" s="121" t="s">
        <v>155</v>
      </c>
      <c r="M319" s="121" t="s">
        <v>273</v>
      </c>
      <c r="N319" s="121" t="s">
        <v>155</v>
      </c>
      <c r="O319" s="121" t="s">
        <v>182</v>
      </c>
      <c r="P319" s="121" t="s">
        <v>155</v>
      </c>
      <c r="Q319" s="121" t="s">
        <v>274</v>
      </c>
      <c r="R319" s="121" t="s">
        <v>275</v>
      </c>
      <c r="S319" s="121" t="s">
        <v>155</v>
      </c>
      <c r="T319" s="121" t="s">
        <v>155</v>
      </c>
      <c r="U319" s="121" t="s">
        <v>155</v>
      </c>
      <c r="V319" s="121" t="s">
        <v>155</v>
      </c>
      <c r="W319" s="121" t="s">
        <v>155</v>
      </c>
      <c r="X319" s="121" t="s">
        <v>243</v>
      </c>
      <c r="Y319" s="121" t="s">
        <v>276</v>
      </c>
      <c r="Z319" s="121" t="s">
        <v>277</v>
      </c>
      <c r="AA319" s="121" t="s">
        <v>277</v>
      </c>
      <c r="AB319" s="121" t="s">
        <v>278</v>
      </c>
      <c r="AC319" s="121" t="s">
        <v>287</v>
      </c>
      <c r="AD319" s="121" t="s">
        <v>287</v>
      </c>
      <c r="AH319" s="108"/>
      <c r="AI319" s="67"/>
      <c r="AJ319" s="61"/>
      <c r="AK319" s="83"/>
      <c r="AL319" s="67"/>
      <c r="AM319" s="67"/>
      <c r="AN319" s="68"/>
      <c r="AO319" s="68"/>
      <c r="AP319" s="68"/>
      <c r="BG319" s="94"/>
    </row>
    <row r="320" spans="1:59" s="27" customFormat="1" ht="13.5" customHeight="1">
      <c r="A320" s="85"/>
      <c r="B320" s="120" t="s">
        <v>242</v>
      </c>
      <c r="C320" s="121" t="s">
        <v>269</v>
      </c>
      <c r="D320" s="142" t="s">
        <v>460</v>
      </c>
      <c r="E320" s="121" t="s">
        <v>285</v>
      </c>
      <c r="F320" s="121" t="s">
        <v>286</v>
      </c>
      <c r="G320" s="121" t="s">
        <v>182</v>
      </c>
      <c r="H320" s="121" t="s">
        <v>183</v>
      </c>
      <c r="I320" s="224" t="s">
        <v>432</v>
      </c>
      <c r="J320" s="121" t="s">
        <v>272</v>
      </c>
      <c r="K320" s="121" t="s">
        <v>243</v>
      </c>
      <c r="L320" s="121" t="s">
        <v>155</v>
      </c>
      <c r="M320" s="121" t="s">
        <v>273</v>
      </c>
      <c r="N320" s="121" t="s">
        <v>155</v>
      </c>
      <c r="O320" s="121" t="s">
        <v>182</v>
      </c>
      <c r="P320" s="121" t="s">
        <v>155</v>
      </c>
      <c r="Q320" s="121" t="s">
        <v>274</v>
      </c>
      <c r="R320" s="121" t="s">
        <v>275</v>
      </c>
      <c r="S320" s="121" t="s">
        <v>155</v>
      </c>
      <c r="T320" s="121" t="s">
        <v>155</v>
      </c>
      <c r="U320" s="121" t="s">
        <v>155</v>
      </c>
      <c r="V320" s="121" t="s">
        <v>155</v>
      </c>
      <c r="W320" s="121" t="s">
        <v>155</v>
      </c>
      <c r="X320" s="121" t="s">
        <v>243</v>
      </c>
      <c r="Y320" s="121" t="s">
        <v>276</v>
      </c>
      <c r="Z320" s="121" t="s">
        <v>277</v>
      </c>
      <c r="AA320" s="121" t="s">
        <v>277</v>
      </c>
      <c r="AB320" s="121" t="s">
        <v>278</v>
      </c>
      <c r="AC320" s="121" t="s">
        <v>287</v>
      </c>
      <c r="AD320" s="121" t="s">
        <v>287</v>
      </c>
      <c r="AH320" s="108"/>
      <c r="AI320" s="67"/>
      <c r="AJ320" s="61"/>
      <c r="AK320" s="83"/>
      <c r="AL320" s="67"/>
      <c r="AM320" s="67"/>
      <c r="AN320" s="68"/>
      <c r="AO320" s="68"/>
      <c r="AP320" s="68"/>
      <c r="BG320" s="94"/>
    </row>
    <row r="321" spans="2:59" ht="14">
      <c r="B321" s="163"/>
      <c r="C321" s="164"/>
      <c r="D321" s="164"/>
      <c r="E321" s="164"/>
      <c r="F321" s="164"/>
      <c r="G321" s="164"/>
      <c r="H321" s="164"/>
      <c r="I321" s="164"/>
      <c r="J321" s="164"/>
      <c r="M321" s="164"/>
      <c r="N321" s="164"/>
      <c r="O321" s="164"/>
      <c r="BG321" s="158"/>
    </row>
    <row r="322" spans="2:59" ht="15">
      <c r="B322" s="163"/>
      <c r="C322" s="257" t="s">
        <v>321</v>
      </c>
      <c r="D322" s="258"/>
      <c r="E322" s="258"/>
      <c r="F322" s="258"/>
      <c r="G322" s="258"/>
      <c r="H322" s="258"/>
      <c r="I322" s="258"/>
      <c r="J322" s="258"/>
      <c r="K322" s="258"/>
      <c r="L322" s="258"/>
      <c r="M322" s="258"/>
      <c r="N322" s="258"/>
      <c r="O322" s="258"/>
      <c r="P322" s="258"/>
      <c r="Q322" s="258"/>
      <c r="R322" s="258"/>
      <c r="S322" s="258"/>
      <c r="T322" s="258"/>
      <c r="U322" s="90"/>
      <c r="V322" s="90"/>
      <c r="W322" s="90"/>
      <c r="X322" s="90"/>
      <c r="Y322" s="90"/>
      <c r="Z322" s="90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2"/>
      <c r="AQ322" s="92"/>
      <c r="AR322" s="92"/>
      <c r="AS322" s="92"/>
      <c r="AT322" s="92"/>
      <c r="AU322" s="92"/>
      <c r="AV322" s="92"/>
      <c r="AW322" s="92"/>
      <c r="AX322" s="92"/>
      <c r="AY322" s="92"/>
      <c r="AZ322" s="92"/>
      <c r="BA322" s="92"/>
      <c r="BB322" s="92"/>
      <c r="BC322" s="92"/>
      <c r="BD322" s="92"/>
      <c r="BE322" s="92"/>
      <c r="BF322" s="92"/>
      <c r="BG322" s="158"/>
    </row>
    <row r="323" spans="2:59" ht="15">
      <c r="B323" s="163"/>
      <c r="C323" s="127"/>
      <c r="D323" s="127"/>
      <c r="E323" s="127"/>
      <c r="F323" s="124" t="s">
        <v>168</v>
      </c>
      <c r="G323" s="124" t="s">
        <v>168</v>
      </c>
      <c r="H323" s="129" t="s">
        <v>168</v>
      </c>
      <c r="I323" s="124" t="s">
        <v>168</v>
      </c>
      <c r="J323" s="124" t="s">
        <v>168</v>
      </c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30"/>
      <c r="AB323" s="130"/>
      <c r="AC323" s="130"/>
      <c r="AD323" s="130"/>
      <c r="AE323" s="130"/>
      <c r="AF323" s="130"/>
      <c r="AG323" s="130"/>
      <c r="AH323" s="130"/>
      <c r="AI323" s="130"/>
      <c r="AJ323" s="130"/>
      <c r="AK323" s="130"/>
      <c r="AL323" s="130"/>
      <c r="AM323" s="130"/>
      <c r="AN323" s="130"/>
      <c r="AO323" s="130"/>
      <c r="AP323" s="130"/>
      <c r="AQ323" s="130"/>
      <c r="AR323" s="130"/>
      <c r="AS323" s="130"/>
      <c r="AT323" s="130"/>
      <c r="AU323" s="130"/>
      <c r="AV323" s="130"/>
      <c r="AW323" s="130"/>
      <c r="AX323" s="130"/>
      <c r="AY323" s="130"/>
      <c r="AZ323" s="130"/>
      <c r="BA323" s="130"/>
      <c r="BB323" s="130"/>
      <c r="BC323" s="130"/>
      <c r="BD323" s="130"/>
      <c r="BE323" s="130"/>
      <c r="BF323" s="130"/>
      <c r="BG323" s="158"/>
    </row>
    <row r="324" spans="2:59" ht="25">
      <c r="B324" s="163"/>
      <c r="C324" s="117" t="s">
        <v>365</v>
      </c>
      <c r="D324" s="117" t="s">
        <v>420</v>
      </c>
      <c r="E324" s="117" t="s">
        <v>421</v>
      </c>
      <c r="F324" s="119" t="s">
        <v>96</v>
      </c>
      <c r="G324" s="119" t="s">
        <v>99</v>
      </c>
      <c r="H324" s="119" t="s">
        <v>130</v>
      </c>
      <c r="I324" s="119" t="s">
        <v>391</v>
      </c>
      <c r="J324" s="119" t="s">
        <v>127</v>
      </c>
      <c r="K324" s="119" t="s">
        <v>67</v>
      </c>
      <c r="L324" s="119" t="s">
        <v>288</v>
      </c>
      <c r="M324" s="119" t="s">
        <v>366</v>
      </c>
      <c r="N324" s="119" t="s">
        <v>367</v>
      </c>
      <c r="O324" s="119" t="s">
        <v>368</v>
      </c>
      <c r="P324" s="119" t="s">
        <v>369</v>
      </c>
      <c r="Q324" s="119" t="s">
        <v>370</v>
      </c>
      <c r="R324" s="119" t="s">
        <v>371</v>
      </c>
      <c r="S324" s="119" t="s">
        <v>372</v>
      </c>
      <c r="T324" s="119" t="s">
        <v>373</v>
      </c>
      <c r="U324" s="119" t="s">
        <v>374</v>
      </c>
      <c r="V324" s="119" t="s">
        <v>375</v>
      </c>
      <c r="W324" s="119" t="s">
        <v>376</v>
      </c>
      <c r="X324" s="119" t="s">
        <v>377</v>
      </c>
      <c r="Y324" s="119" t="s">
        <v>378</v>
      </c>
      <c r="Z324" s="119" t="s">
        <v>379</v>
      </c>
      <c r="AA324" s="119" t="s">
        <v>380</v>
      </c>
      <c r="AB324" s="119" t="s">
        <v>381</v>
      </c>
      <c r="AC324" s="119" t="s">
        <v>382</v>
      </c>
      <c r="AD324" s="119" t="s">
        <v>383</v>
      </c>
      <c r="AE324" s="119" t="s">
        <v>384</v>
      </c>
      <c r="AF324" s="119" t="s">
        <v>385</v>
      </c>
      <c r="AG324" s="119" t="s">
        <v>386</v>
      </c>
      <c r="AH324" s="119" t="s">
        <v>387</v>
      </c>
      <c r="AI324" s="119" t="s">
        <v>388</v>
      </c>
      <c r="AJ324" s="119" t="s">
        <v>390</v>
      </c>
      <c r="AK324" s="119" t="s">
        <v>389</v>
      </c>
      <c r="AL324" s="119" t="s">
        <v>398</v>
      </c>
      <c r="AM324" s="119" t="s">
        <v>392</v>
      </c>
      <c r="AN324" s="119" t="s">
        <v>393</v>
      </c>
      <c r="AO324" s="119" t="s">
        <v>394</v>
      </c>
      <c r="AP324" s="119" t="s">
        <v>395</v>
      </c>
      <c r="AQ324" s="119" t="s">
        <v>399</v>
      </c>
      <c r="AR324" s="119" t="s">
        <v>396</v>
      </c>
      <c r="AS324" s="119" t="s">
        <v>397</v>
      </c>
      <c r="AT324" s="119" t="s">
        <v>400</v>
      </c>
      <c r="AU324" s="119" t="s">
        <v>401</v>
      </c>
      <c r="AV324" s="119" t="s">
        <v>402</v>
      </c>
      <c r="AW324" s="119" t="s">
        <v>403</v>
      </c>
      <c r="AX324" s="119" t="s">
        <v>404</v>
      </c>
      <c r="AY324" s="119" t="s">
        <v>405</v>
      </c>
      <c r="AZ324" s="119" t="s">
        <v>229</v>
      </c>
      <c r="BA324" s="119" t="s">
        <v>230</v>
      </c>
      <c r="BB324" s="119" t="s">
        <v>231</v>
      </c>
      <c r="BC324" s="119" t="s">
        <v>232</v>
      </c>
      <c r="BD324" s="119" t="s">
        <v>150</v>
      </c>
      <c r="BE324" s="119" t="s">
        <v>151</v>
      </c>
      <c r="BF324" s="119" t="s">
        <v>233</v>
      </c>
      <c r="BG324" s="158"/>
    </row>
    <row r="325" spans="2:59">
      <c r="B325" s="163"/>
      <c r="C325" s="117" t="s">
        <v>205</v>
      </c>
      <c r="D325" s="117" t="s">
        <v>214</v>
      </c>
      <c r="E325" s="117" t="s">
        <v>222</v>
      </c>
      <c r="F325" s="118" t="s">
        <v>322</v>
      </c>
      <c r="G325" s="118" t="s">
        <v>323</v>
      </c>
      <c r="H325" s="118" t="s">
        <v>324</v>
      </c>
      <c r="I325" s="118" t="s">
        <v>351</v>
      </c>
      <c r="J325" s="118" t="s">
        <v>357</v>
      </c>
      <c r="K325" s="118" t="s">
        <v>251</v>
      </c>
      <c r="L325" s="118" t="s">
        <v>252</v>
      </c>
      <c r="M325" s="118" t="s">
        <v>325</v>
      </c>
      <c r="N325" s="118" t="s">
        <v>326</v>
      </c>
      <c r="O325" s="118" t="s">
        <v>327</v>
      </c>
      <c r="P325" s="118" t="s">
        <v>328</v>
      </c>
      <c r="Q325" s="118" t="s">
        <v>329</v>
      </c>
      <c r="R325" s="118" t="s">
        <v>330</v>
      </c>
      <c r="S325" s="118" t="s">
        <v>331</v>
      </c>
      <c r="T325" s="118" t="s">
        <v>332</v>
      </c>
      <c r="U325" s="118" t="s">
        <v>333</v>
      </c>
      <c r="V325" s="118" t="s">
        <v>334</v>
      </c>
      <c r="W325" s="118" t="s">
        <v>335</v>
      </c>
      <c r="X325" s="118" t="s">
        <v>336</v>
      </c>
      <c r="Y325" s="118" t="s">
        <v>337</v>
      </c>
      <c r="Z325" s="118" t="s">
        <v>338</v>
      </c>
      <c r="AA325" s="118" t="s">
        <v>339</v>
      </c>
      <c r="AB325" s="118" t="s">
        <v>340</v>
      </c>
      <c r="AC325" s="118" t="s">
        <v>341</v>
      </c>
      <c r="AD325" s="118" t="s">
        <v>342</v>
      </c>
      <c r="AE325" s="118" t="s">
        <v>343</v>
      </c>
      <c r="AF325" s="118" t="s">
        <v>344</v>
      </c>
      <c r="AG325" s="118" t="s">
        <v>345</v>
      </c>
      <c r="AH325" s="118" t="s">
        <v>346</v>
      </c>
      <c r="AI325" s="118" t="s">
        <v>347</v>
      </c>
      <c r="AJ325" s="118" t="s">
        <v>348</v>
      </c>
      <c r="AK325" s="118" t="s">
        <v>349</v>
      </c>
      <c r="AL325" s="118" t="s">
        <v>350</v>
      </c>
      <c r="AM325" s="118" t="s">
        <v>352</v>
      </c>
      <c r="AN325" s="118" t="s">
        <v>353</v>
      </c>
      <c r="AO325" s="118" t="s">
        <v>354</v>
      </c>
      <c r="AP325" s="118" t="s">
        <v>234</v>
      </c>
      <c r="AQ325" s="118" t="s">
        <v>355</v>
      </c>
      <c r="AR325" s="118" t="s">
        <v>356</v>
      </c>
      <c r="AS325" s="118" t="s">
        <v>358</v>
      </c>
      <c r="AT325" s="118" t="s">
        <v>359</v>
      </c>
      <c r="AU325" s="118" t="s">
        <v>360</v>
      </c>
      <c r="AV325" s="118" t="s">
        <v>361</v>
      </c>
      <c r="AW325" s="118" t="s">
        <v>362</v>
      </c>
      <c r="AX325" s="118" t="s">
        <v>363</v>
      </c>
      <c r="AY325" s="118" t="s">
        <v>364</v>
      </c>
      <c r="AZ325" s="118" t="s">
        <v>235</v>
      </c>
      <c r="BA325" s="118" t="s">
        <v>236</v>
      </c>
      <c r="BB325" s="118" t="s">
        <v>237</v>
      </c>
      <c r="BC325" s="118" t="s">
        <v>238</v>
      </c>
      <c r="BD325" s="118" t="s">
        <v>239</v>
      </c>
      <c r="BE325" s="118" t="s">
        <v>240</v>
      </c>
      <c r="BF325" s="118" t="s">
        <v>241</v>
      </c>
      <c r="BG325" s="158"/>
    </row>
    <row r="326" spans="2:59">
      <c r="B326" s="163"/>
      <c r="C326" s="117" t="s">
        <v>304</v>
      </c>
      <c r="D326" s="117" t="s">
        <v>406</v>
      </c>
      <c r="E326" s="117" t="s">
        <v>305</v>
      </c>
      <c r="F326" s="131" t="s">
        <v>306</v>
      </c>
      <c r="G326" s="131" t="s">
        <v>306</v>
      </c>
      <c r="H326" s="131" t="s">
        <v>306</v>
      </c>
      <c r="I326" s="131" t="s">
        <v>306</v>
      </c>
      <c r="J326" s="131" t="s">
        <v>308</v>
      </c>
      <c r="K326" s="131" t="s">
        <v>306</v>
      </c>
      <c r="L326" s="131" t="s">
        <v>306</v>
      </c>
      <c r="M326" s="131" t="s">
        <v>407</v>
      </c>
      <c r="N326" s="131" t="s">
        <v>407</v>
      </c>
      <c r="O326" s="131" t="s">
        <v>305</v>
      </c>
      <c r="P326" s="131" t="s">
        <v>408</v>
      </c>
      <c r="Q326" s="131" t="s">
        <v>306</v>
      </c>
      <c r="R326" s="131" t="s">
        <v>313</v>
      </c>
      <c r="S326" s="131" t="s">
        <v>308</v>
      </c>
      <c r="T326" s="131" t="s">
        <v>313</v>
      </c>
      <c r="U326" s="131" t="s">
        <v>308</v>
      </c>
      <c r="V326" s="131" t="s">
        <v>308</v>
      </c>
      <c r="W326" s="131" t="s">
        <v>306</v>
      </c>
      <c r="X326" s="131" t="s">
        <v>409</v>
      </c>
      <c r="Y326" s="131" t="s">
        <v>409</v>
      </c>
      <c r="Z326" s="131" t="s">
        <v>310</v>
      </c>
      <c r="AA326" s="131" t="s">
        <v>408</v>
      </c>
      <c r="AB326" s="131" t="s">
        <v>408</v>
      </c>
      <c r="AC326" s="131" t="s">
        <v>308</v>
      </c>
      <c r="AD326" s="131" t="s">
        <v>312</v>
      </c>
      <c r="AE326" s="131" t="s">
        <v>313</v>
      </c>
      <c r="AF326" s="131" t="s">
        <v>313</v>
      </c>
      <c r="AG326" s="131" t="s">
        <v>410</v>
      </c>
      <c r="AH326" s="131" t="s">
        <v>410</v>
      </c>
      <c r="AI326" s="131" t="s">
        <v>313</v>
      </c>
      <c r="AJ326" s="131" t="s">
        <v>313</v>
      </c>
      <c r="AK326" s="131" t="s">
        <v>410</v>
      </c>
      <c r="AL326" s="131" t="s">
        <v>410</v>
      </c>
      <c r="AM326" s="131" t="s">
        <v>306</v>
      </c>
      <c r="AN326" s="131" t="s">
        <v>306</v>
      </c>
      <c r="AO326" s="131" t="s">
        <v>306</v>
      </c>
      <c r="AP326" s="131" t="s">
        <v>310</v>
      </c>
      <c r="AQ326" s="131" t="s">
        <v>305</v>
      </c>
      <c r="AR326" s="131" t="s">
        <v>306</v>
      </c>
      <c r="AS326" s="131" t="s">
        <v>308</v>
      </c>
      <c r="AT326" s="131" t="s">
        <v>306</v>
      </c>
      <c r="AU326" s="131" t="s">
        <v>411</v>
      </c>
      <c r="AV326" s="131" t="s">
        <v>313</v>
      </c>
      <c r="AW326" s="131" t="s">
        <v>310</v>
      </c>
      <c r="AX326" s="131" t="s">
        <v>306</v>
      </c>
      <c r="AY326" s="131" t="s">
        <v>306</v>
      </c>
      <c r="AZ326" s="131" t="s">
        <v>317</v>
      </c>
      <c r="BA326" s="131" t="s">
        <v>318</v>
      </c>
      <c r="BB326" s="131" t="s">
        <v>320</v>
      </c>
      <c r="BC326" s="131" t="s">
        <v>320</v>
      </c>
      <c r="BD326" s="131" t="s">
        <v>318</v>
      </c>
      <c r="BE326" s="131" t="s">
        <v>320</v>
      </c>
      <c r="BF326" s="131" t="s">
        <v>320</v>
      </c>
      <c r="BG326" s="158"/>
    </row>
    <row r="327" spans="2:59" ht="15">
      <c r="B327" s="120" t="s">
        <v>242</v>
      </c>
      <c r="C327" s="132" t="s">
        <v>269</v>
      </c>
      <c r="D327" s="143" t="s">
        <v>461</v>
      </c>
      <c r="E327" s="142" t="s">
        <v>461</v>
      </c>
      <c r="F327" s="133" t="s">
        <v>286</v>
      </c>
      <c r="G327" s="132" t="s">
        <v>243</v>
      </c>
      <c r="H327" s="132" t="s">
        <v>243</v>
      </c>
      <c r="I327" s="135">
        <v>1</v>
      </c>
      <c r="J327" s="136">
        <v>0</v>
      </c>
      <c r="K327" s="132" t="s">
        <v>271</v>
      </c>
      <c r="L327" s="132" t="s">
        <v>271</v>
      </c>
      <c r="M327" s="132" t="s">
        <v>155</v>
      </c>
      <c r="N327" s="132" t="s">
        <v>155</v>
      </c>
      <c r="O327" s="132" t="s">
        <v>155</v>
      </c>
      <c r="P327" s="132" t="s">
        <v>155</v>
      </c>
      <c r="Q327" s="134" t="s">
        <v>412</v>
      </c>
      <c r="R327" s="132" t="s">
        <v>243</v>
      </c>
      <c r="S327" s="132" t="s">
        <v>243</v>
      </c>
      <c r="T327" s="132" t="s">
        <v>413</v>
      </c>
      <c r="U327" s="132" t="s">
        <v>414</v>
      </c>
      <c r="V327" s="132" t="s">
        <v>182</v>
      </c>
      <c r="W327" s="132" t="s">
        <v>182</v>
      </c>
      <c r="X327" s="132" t="s">
        <v>243</v>
      </c>
      <c r="Y327" s="132" t="s">
        <v>243</v>
      </c>
      <c r="Z327" s="132"/>
      <c r="AA327" s="135"/>
      <c r="AB327" s="135" t="s">
        <v>155</v>
      </c>
      <c r="AC327" s="135">
        <v>1</v>
      </c>
      <c r="AD327" s="135">
        <v>99999999</v>
      </c>
      <c r="AE327" s="132" t="s">
        <v>243</v>
      </c>
      <c r="AF327" s="132" t="s">
        <v>243</v>
      </c>
      <c r="AG327" s="132" t="s">
        <v>243</v>
      </c>
      <c r="AH327" s="132" t="s">
        <v>243</v>
      </c>
      <c r="AI327" s="135">
        <v>0</v>
      </c>
      <c r="AJ327" s="135">
        <v>0</v>
      </c>
      <c r="AK327" s="135">
        <v>0</v>
      </c>
      <c r="AL327" s="135">
        <v>0</v>
      </c>
      <c r="AM327" s="132" t="s">
        <v>182</v>
      </c>
      <c r="AN327" s="135">
        <v>0</v>
      </c>
      <c r="AO327" s="132" t="s">
        <v>243</v>
      </c>
      <c r="AP327" s="135">
        <v>1</v>
      </c>
      <c r="AQ327" s="136" t="s">
        <v>155</v>
      </c>
      <c r="AR327" s="136" t="s">
        <v>415</v>
      </c>
      <c r="AS327" s="136">
        <v>0</v>
      </c>
      <c r="AT327" s="136">
        <v>1</v>
      </c>
      <c r="AU327" s="136">
        <v>0</v>
      </c>
      <c r="AV327" s="136">
        <v>0</v>
      </c>
      <c r="AW327" s="136">
        <v>0</v>
      </c>
      <c r="AX327" s="136">
        <v>0</v>
      </c>
      <c r="AY327" s="136">
        <v>1</v>
      </c>
      <c r="AZ327" s="136">
        <v>0</v>
      </c>
      <c r="BA327" s="137">
        <v>29705</v>
      </c>
      <c r="BB327" s="136" t="s">
        <v>277</v>
      </c>
      <c r="BC327" s="136" t="s">
        <v>277</v>
      </c>
      <c r="BD327" s="137">
        <v>36413</v>
      </c>
      <c r="BE327" s="136" t="s">
        <v>277</v>
      </c>
      <c r="BF327" s="136" t="s">
        <v>277</v>
      </c>
      <c r="BG327" s="158"/>
    </row>
    <row r="328" spans="2:59" ht="15">
      <c r="B328" s="122" t="s">
        <v>244</v>
      </c>
      <c r="C328" s="132" t="s">
        <v>269</v>
      </c>
      <c r="D328" s="143" t="s">
        <v>461</v>
      </c>
      <c r="E328" s="143" t="s">
        <v>181</v>
      </c>
      <c r="F328" s="133" t="s">
        <v>184</v>
      </c>
      <c r="G328" s="132" t="s">
        <v>243</v>
      </c>
      <c r="H328" s="132" t="s">
        <v>243</v>
      </c>
      <c r="I328" s="135">
        <v>0</v>
      </c>
      <c r="J328" s="136">
        <v>30</v>
      </c>
      <c r="K328" s="132" t="s">
        <v>271</v>
      </c>
      <c r="L328" s="132" t="s">
        <v>271</v>
      </c>
      <c r="M328" s="132" t="s">
        <v>155</v>
      </c>
      <c r="N328" s="132" t="s">
        <v>155</v>
      </c>
      <c r="O328" s="132" t="s">
        <v>416</v>
      </c>
      <c r="P328" s="132" t="s">
        <v>155</v>
      </c>
      <c r="Q328" s="134" t="s">
        <v>417</v>
      </c>
      <c r="R328" s="132" t="s">
        <v>182</v>
      </c>
      <c r="S328" s="132" t="s">
        <v>243</v>
      </c>
      <c r="T328" s="132" t="s">
        <v>413</v>
      </c>
      <c r="U328" s="132" t="s">
        <v>414</v>
      </c>
      <c r="V328" s="132" t="s">
        <v>418</v>
      </c>
      <c r="W328" s="132" t="s">
        <v>182</v>
      </c>
      <c r="X328" s="132" t="s">
        <v>243</v>
      </c>
      <c r="Y328" s="132" t="s">
        <v>243</v>
      </c>
      <c r="Z328" s="132"/>
      <c r="AA328" s="135"/>
      <c r="AB328" s="135" t="s">
        <v>419</v>
      </c>
      <c r="AC328" s="138">
        <v>5000</v>
      </c>
      <c r="AD328" s="135">
        <v>99999999</v>
      </c>
      <c r="AE328" s="132" t="s">
        <v>243</v>
      </c>
      <c r="AF328" s="132" t="s">
        <v>271</v>
      </c>
      <c r="AG328" s="132" t="s">
        <v>243</v>
      </c>
      <c r="AH328" s="132" t="s">
        <v>243</v>
      </c>
      <c r="AI328" s="135">
        <v>0</v>
      </c>
      <c r="AJ328" s="135">
        <v>0</v>
      </c>
      <c r="AK328" s="135">
        <v>0</v>
      </c>
      <c r="AL328" s="135">
        <v>0</v>
      </c>
      <c r="AM328" s="132" t="s">
        <v>182</v>
      </c>
      <c r="AN328" s="135">
        <v>0</v>
      </c>
      <c r="AO328" s="132" t="s">
        <v>243</v>
      </c>
      <c r="AP328" s="135">
        <v>1</v>
      </c>
      <c r="AQ328" s="136">
        <v>1111</v>
      </c>
      <c r="AR328" s="136" t="s">
        <v>415</v>
      </c>
      <c r="AS328" s="136">
        <v>10</v>
      </c>
      <c r="AT328" s="136">
        <v>1</v>
      </c>
      <c r="AU328" s="136">
        <v>0</v>
      </c>
      <c r="AV328" s="136">
        <v>0</v>
      </c>
      <c r="AW328" s="136">
        <v>0</v>
      </c>
      <c r="AX328" s="136">
        <v>0</v>
      </c>
      <c r="AY328" s="136">
        <v>1</v>
      </c>
      <c r="AZ328" s="136">
        <v>0</v>
      </c>
      <c r="BA328" s="137">
        <v>40640.750486111108</v>
      </c>
      <c r="BB328" s="136">
        <v>470195</v>
      </c>
      <c r="BC328" s="136">
        <v>470195</v>
      </c>
      <c r="BD328" s="137">
        <v>45392.67769675926</v>
      </c>
      <c r="BE328" s="136">
        <v>363363</v>
      </c>
      <c r="BF328" s="136">
        <v>363363</v>
      </c>
      <c r="BG328" s="158"/>
    </row>
    <row r="329" spans="2:59" ht="15">
      <c r="B329" s="120" t="s">
        <v>242</v>
      </c>
      <c r="C329" s="132" t="s">
        <v>269</v>
      </c>
      <c r="D329" s="142" t="s">
        <v>460</v>
      </c>
      <c r="E329" s="143" t="s">
        <v>181</v>
      </c>
      <c r="F329" s="139" t="s">
        <v>286</v>
      </c>
      <c r="G329" s="132" t="s">
        <v>243</v>
      </c>
      <c r="H329" s="132" t="s">
        <v>243</v>
      </c>
      <c r="I329" s="135">
        <v>1</v>
      </c>
      <c r="J329" s="136">
        <v>0</v>
      </c>
      <c r="K329" s="132" t="s">
        <v>182</v>
      </c>
      <c r="L329" s="225" t="s">
        <v>432</v>
      </c>
      <c r="M329" s="132" t="s">
        <v>155</v>
      </c>
      <c r="N329" s="132" t="s">
        <v>155</v>
      </c>
      <c r="O329" s="132" t="s">
        <v>155</v>
      </c>
      <c r="P329" s="132" t="s">
        <v>155</v>
      </c>
      <c r="Q329" s="134" t="s">
        <v>412</v>
      </c>
      <c r="R329" s="132" t="s">
        <v>243</v>
      </c>
      <c r="S329" s="132" t="s">
        <v>243</v>
      </c>
      <c r="T329" s="132" t="s">
        <v>413</v>
      </c>
      <c r="U329" s="132" t="s">
        <v>414</v>
      </c>
      <c r="V329" s="132" t="s">
        <v>182</v>
      </c>
      <c r="W329" s="132" t="s">
        <v>182</v>
      </c>
      <c r="X329" s="132" t="s">
        <v>243</v>
      </c>
      <c r="Y329" s="132" t="s">
        <v>243</v>
      </c>
      <c r="Z329" s="132" t="s">
        <v>155</v>
      </c>
      <c r="AA329" s="135" t="s">
        <v>155</v>
      </c>
      <c r="AB329" s="135" t="s">
        <v>155</v>
      </c>
      <c r="AC329" s="135">
        <v>1</v>
      </c>
      <c r="AD329" s="135">
        <v>99999999</v>
      </c>
      <c r="AE329" s="132" t="s">
        <v>243</v>
      </c>
      <c r="AF329" s="132" t="s">
        <v>243</v>
      </c>
      <c r="AG329" s="132" t="s">
        <v>243</v>
      </c>
      <c r="AH329" s="132" t="s">
        <v>243</v>
      </c>
      <c r="AI329" s="135">
        <v>0</v>
      </c>
      <c r="AJ329" s="135">
        <v>0</v>
      </c>
      <c r="AK329" s="135">
        <v>0</v>
      </c>
      <c r="AL329" s="135">
        <v>0</v>
      </c>
      <c r="AM329" s="132" t="s">
        <v>182</v>
      </c>
      <c r="AN329" s="135">
        <v>0</v>
      </c>
      <c r="AO329" s="132" t="s">
        <v>243</v>
      </c>
      <c r="AP329" s="135">
        <v>1</v>
      </c>
      <c r="AQ329" s="136" t="s">
        <v>155</v>
      </c>
      <c r="AR329" s="136" t="s">
        <v>415</v>
      </c>
      <c r="AS329" s="136">
        <v>0</v>
      </c>
      <c r="AT329" s="136">
        <v>1</v>
      </c>
      <c r="AU329" s="136">
        <v>0</v>
      </c>
      <c r="AV329" s="136">
        <v>0</v>
      </c>
      <c r="AW329" s="136">
        <v>0</v>
      </c>
      <c r="AX329" s="136">
        <v>0</v>
      </c>
      <c r="AY329" s="136">
        <v>1</v>
      </c>
      <c r="AZ329" s="136">
        <v>0</v>
      </c>
      <c r="BA329" s="137">
        <v>29705</v>
      </c>
      <c r="BB329" s="136" t="s">
        <v>277</v>
      </c>
      <c r="BC329" s="136" t="s">
        <v>277</v>
      </c>
      <c r="BD329" s="137">
        <v>36413</v>
      </c>
      <c r="BE329" s="136" t="s">
        <v>277</v>
      </c>
      <c r="BF329" s="136" t="s">
        <v>277</v>
      </c>
      <c r="BG329" s="158"/>
    </row>
    <row r="330" spans="2:59" ht="14">
      <c r="B330" s="120" t="s">
        <v>242</v>
      </c>
      <c r="C330" s="132" t="s">
        <v>269</v>
      </c>
      <c r="D330" s="142" t="s">
        <v>181</v>
      </c>
      <c r="E330" s="132" t="s">
        <v>285</v>
      </c>
      <c r="F330" s="132" t="s">
        <v>184</v>
      </c>
      <c r="G330" s="132" t="s">
        <v>243</v>
      </c>
      <c r="H330" s="132" t="s">
        <v>243</v>
      </c>
      <c r="I330" s="132">
        <v>0</v>
      </c>
      <c r="J330" s="132">
        <v>30</v>
      </c>
      <c r="K330" s="132" t="s">
        <v>443</v>
      </c>
      <c r="L330" s="225" t="s">
        <v>432</v>
      </c>
      <c r="M330" s="132" t="s">
        <v>155</v>
      </c>
      <c r="N330" s="132" t="s">
        <v>155</v>
      </c>
      <c r="O330" s="132" t="s">
        <v>416</v>
      </c>
      <c r="P330" s="132" t="s">
        <v>155</v>
      </c>
      <c r="Q330" s="132" t="s">
        <v>417</v>
      </c>
      <c r="R330" s="132" t="s">
        <v>182</v>
      </c>
      <c r="S330" s="132" t="s">
        <v>243</v>
      </c>
      <c r="T330" s="132" t="s">
        <v>413</v>
      </c>
      <c r="U330" s="132" t="s">
        <v>414</v>
      </c>
      <c r="V330" s="132" t="s">
        <v>418</v>
      </c>
      <c r="W330" s="132" t="s">
        <v>182</v>
      </c>
      <c r="X330" s="132" t="s">
        <v>243</v>
      </c>
      <c r="Y330" s="132" t="s">
        <v>243</v>
      </c>
      <c r="Z330" s="132"/>
      <c r="AA330" s="132"/>
      <c r="AB330" s="132" t="s">
        <v>419</v>
      </c>
      <c r="AC330" s="132">
        <v>5000</v>
      </c>
      <c r="AD330" s="132">
        <v>99999999</v>
      </c>
      <c r="AE330" s="132" t="s">
        <v>243</v>
      </c>
      <c r="AF330" s="132" t="s">
        <v>271</v>
      </c>
      <c r="AG330" s="132" t="s">
        <v>243</v>
      </c>
      <c r="AH330" s="132" t="s">
        <v>243</v>
      </c>
      <c r="AI330" s="132">
        <v>0</v>
      </c>
      <c r="AJ330" s="132">
        <v>0</v>
      </c>
      <c r="AK330" s="132">
        <v>0</v>
      </c>
      <c r="AL330" s="132">
        <v>0</v>
      </c>
      <c r="AM330" s="132" t="s">
        <v>182</v>
      </c>
      <c r="AN330" s="132">
        <v>0</v>
      </c>
      <c r="AO330" s="132" t="s">
        <v>243</v>
      </c>
      <c r="AP330" s="132">
        <v>1</v>
      </c>
      <c r="AQ330" s="132">
        <v>1111</v>
      </c>
      <c r="AR330" s="132" t="s">
        <v>415</v>
      </c>
      <c r="AS330" s="132">
        <v>10</v>
      </c>
      <c r="AT330" s="132">
        <v>1</v>
      </c>
      <c r="AU330" s="132">
        <v>0</v>
      </c>
      <c r="AV330" s="132">
        <v>0</v>
      </c>
      <c r="AW330" s="132">
        <v>0</v>
      </c>
      <c r="AX330" s="132">
        <v>0</v>
      </c>
      <c r="AY330" s="132">
        <v>1</v>
      </c>
      <c r="AZ330" s="132">
        <v>0</v>
      </c>
      <c r="BA330" s="132">
        <v>40640.750486111108</v>
      </c>
      <c r="BB330" s="132">
        <v>470195</v>
      </c>
      <c r="BC330" s="132">
        <v>470195</v>
      </c>
      <c r="BD330" s="132">
        <v>45392.67769675926</v>
      </c>
      <c r="BE330" s="132">
        <v>363363</v>
      </c>
      <c r="BF330" s="132">
        <v>363363</v>
      </c>
      <c r="BG330" s="158"/>
    </row>
    <row r="331" spans="2:59" ht="14">
      <c r="B331" s="163"/>
      <c r="C331" s="164"/>
      <c r="D331" s="164"/>
      <c r="E331" s="164"/>
      <c r="F331" s="164"/>
      <c r="G331" s="164"/>
      <c r="H331" s="164"/>
      <c r="I331" s="164"/>
      <c r="J331" s="164"/>
      <c r="M331" s="164"/>
      <c r="N331" s="164"/>
      <c r="O331" s="164"/>
      <c r="BG331" s="158"/>
    </row>
    <row r="332" spans="2:59" ht="14.5" thickBot="1">
      <c r="B332" s="163"/>
      <c r="C332" s="164" t="s">
        <v>152</v>
      </c>
      <c r="D332" s="164"/>
      <c r="E332" s="164"/>
      <c r="F332" s="164"/>
      <c r="G332" s="164"/>
      <c r="H332" s="164"/>
      <c r="I332" s="164"/>
      <c r="J332" s="164"/>
      <c r="M332" s="164"/>
      <c r="N332" s="164"/>
      <c r="O332" s="164"/>
      <c r="BG332" s="158"/>
    </row>
    <row r="333" spans="2:59" ht="14.5" thickBot="1">
      <c r="B333" s="163"/>
      <c r="C333" s="233" t="s">
        <v>422</v>
      </c>
      <c r="D333" s="233" t="s">
        <v>423</v>
      </c>
      <c r="E333" s="233" t="s">
        <v>158</v>
      </c>
      <c r="F333" s="233" t="s">
        <v>424</v>
      </c>
      <c r="G333" s="233" t="s">
        <v>425</v>
      </c>
      <c r="H333" s="233" t="s">
        <v>426</v>
      </c>
      <c r="I333" s="233" t="s">
        <v>427</v>
      </c>
      <c r="J333" s="233" t="s">
        <v>428</v>
      </c>
      <c r="K333" s="233" t="s">
        <v>429</v>
      </c>
      <c r="L333" s="233" t="s">
        <v>430</v>
      </c>
      <c r="M333" s="233" t="s">
        <v>431</v>
      </c>
      <c r="BG333" s="158"/>
    </row>
    <row r="334" spans="2:59" ht="14.5" thickBot="1">
      <c r="B334" s="163"/>
      <c r="C334" s="233">
        <v>0</v>
      </c>
      <c r="D334" s="233">
        <v>0</v>
      </c>
      <c r="E334" s="233">
        <v>0</v>
      </c>
      <c r="F334" s="233" t="s">
        <v>432</v>
      </c>
      <c r="G334" s="233" t="s">
        <v>432</v>
      </c>
      <c r="H334" s="233">
        <v>1</v>
      </c>
      <c r="I334" s="233">
        <v>4</v>
      </c>
      <c r="J334" s="233">
        <v>5</v>
      </c>
      <c r="K334" s="233">
        <v>0</v>
      </c>
      <c r="L334" s="233">
        <v>30</v>
      </c>
      <c r="M334" s="233">
        <v>0</v>
      </c>
      <c r="BG334" s="158"/>
    </row>
    <row r="335" spans="2:59" ht="14.5" thickBot="1">
      <c r="B335" s="163"/>
      <c r="C335" s="164"/>
      <c r="D335" s="164"/>
      <c r="E335" s="164"/>
      <c r="F335" s="164"/>
      <c r="G335" s="164"/>
      <c r="H335" s="164"/>
      <c r="I335" s="164"/>
      <c r="J335" s="164"/>
      <c r="M335" s="164"/>
      <c r="N335" s="164"/>
      <c r="O335" s="164"/>
      <c r="BG335" s="158"/>
    </row>
    <row r="336" spans="2:59" ht="14" thickBot="1">
      <c r="B336" s="104" t="s">
        <v>524</v>
      </c>
      <c r="C336" s="105" t="s">
        <v>523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58"/>
    </row>
    <row r="337" spans="1:59" ht="14" thickBot="1">
      <c r="B337" s="140" t="s">
        <v>433</v>
      </c>
      <c r="C337" s="105" t="s">
        <v>227</v>
      </c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58"/>
    </row>
    <row r="338" spans="1:59" ht="14">
      <c r="B338" s="163"/>
      <c r="C338" s="164"/>
      <c r="D338" s="164"/>
      <c r="E338" s="164"/>
      <c r="F338" s="164"/>
      <c r="G338" s="164"/>
      <c r="H338" s="164"/>
      <c r="I338" s="164"/>
      <c r="J338" s="164"/>
      <c r="M338" s="164"/>
      <c r="N338" s="164"/>
      <c r="O338" s="164"/>
      <c r="BG338" s="158"/>
    </row>
    <row r="339" spans="1:59" ht="14">
      <c r="B339" s="163"/>
      <c r="C339" s="161" t="s">
        <v>228</v>
      </c>
      <c r="D339" s="164"/>
      <c r="E339" s="164"/>
      <c r="F339" s="164"/>
      <c r="G339" s="164"/>
      <c r="H339" s="164"/>
      <c r="I339" s="164"/>
      <c r="J339" s="164"/>
      <c r="M339" s="164"/>
      <c r="N339" s="164"/>
      <c r="O339" s="164"/>
      <c r="BG339" s="158"/>
    </row>
    <row r="340" spans="1:59" ht="14">
      <c r="B340" s="163"/>
      <c r="C340" s="161" t="s">
        <v>525</v>
      </c>
      <c r="D340" s="164"/>
      <c r="E340" s="164"/>
      <c r="F340" s="164"/>
      <c r="G340" s="164"/>
      <c r="H340" s="164"/>
      <c r="I340" s="164"/>
      <c r="J340" s="164"/>
      <c r="M340" s="164"/>
      <c r="N340" s="164"/>
      <c r="O340" s="164"/>
      <c r="BG340" s="158"/>
    </row>
    <row r="341" spans="1:59" ht="21.5" customHeight="1">
      <c r="B341" s="163"/>
      <c r="C341" s="164"/>
      <c r="D341" s="164"/>
      <c r="E341" s="164"/>
      <c r="F341" s="164"/>
      <c r="G341" s="164"/>
      <c r="H341" s="164"/>
      <c r="I341" s="164"/>
      <c r="J341" s="164"/>
      <c r="M341" s="164"/>
      <c r="N341" s="164"/>
      <c r="O341" s="164"/>
      <c r="BG341" s="158"/>
    </row>
    <row r="342" spans="1:59" s="27" customFormat="1" ht="19.5" customHeight="1">
      <c r="B342" s="167"/>
      <c r="C342" s="125" t="s">
        <v>268</v>
      </c>
      <c r="D342" s="126"/>
      <c r="E342" s="12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7"/>
      <c r="Y342" s="66"/>
      <c r="Z342" s="66"/>
      <c r="AA342" s="66"/>
      <c r="AB342" s="66"/>
      <c r="AC342" s="66"/>
      <c r="AD342" s="111"/>
      <c r="AH342" s="108"/>
      <c r="AJ342" s="67"/>
      <c r="AK342" s="67"/>
      <c r="AL342" s="67"/>
      <c r="AM342" s="67"/>
      <c r="AN342" s="68"/>
      <c r="AO342" s="68"/>
      <c r="AP342" s="68"/>
      <c r="BG342" s="94"/>
    </row>
    <row r="343" spans="1:59" s="70" customFormat="1" ht="16.5" customHeight="1">
      <c r="A343" s="98"/>
      <c r="B343" s="168"/>
      <c r="C343" s="127"/>
      <c r="D343" s="127"/>
      <c r="E343" s="127"/>
      <c r="F343" s="124" t="s">
        <v>168</v>
      </c>
      <c r="G343" s="124" t="s">
        <v>168</v>
      </c>
      <c r="H343" s="124" t="s">
        <v>168</v>
      </c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H343" s="109"/>
      <c r="AI343" s="69"/>
      <c r="AJ343" s="69"/>
      <c r="AK343" s="69"/>
      <c r="AL343" s="69"/>
      <c r="AM343" s="69"/>
      <c r="BG343" s="169"/>
    </row>
    <row r="344" spans="1:59" s="76" customFormat="1" ht="92" customHeight="1">
      <c r="A344" s="71"/>
      <c r="B344" s="170"/>
      <c r="C344" s="117" t="s">
        <v>171</v>
      </c>
      <c r="D344" s="117" t="s">
        <v>172</v>
      </c>
      <c r="E344" s="117" t="s">
        <v>173</v>
      </c>
      <c r="F344" s="119" t="s">
        <v>91</v>
      </c>
      <c r="G344" s="119" t="s">
        <v>67</v>
      </c>
      <c r="H344" s="119" t="s">
        <v>69</v>
      </c>
      <c r="I344" s="119" t="s">
        <v>289</v>
      </c>
      <c r="J344" s="119" t="s">
        <v>290</v>
      </c>
      <c r="K344" s="119" t="s">
        <v>291</v>
      </c>
      <c r="L344" s="119" t="s">
        <v>292</v>
      </c>
      <c r="M344" s="119" t="s">
        <v>293</v>
      </c>
      <c r="N344" s="119" t="s">
        <v>294</v>
      </c>
      <c r="O344" s="119" t="s">
        <v>295</v>
      </c>
      <c r="P344" s="119" t="s">
        <v>296</v>
      </c>
      <c r="Q344" s="119" t="s">
        <v>297</v>
      </c>
      <c r="R344" s="119" t="s">
        <v>298</v>
      </c>
      <c r="S344" s="119" t="s">
        <v>299</v>
      </c>
      <c r="T344" s="119" t="s">
        <v>300</v>
      </c>
      <c r="U344" s="119" t="s">
        <v>301</v>
      </c>
      <c r="V344" s="119" t="s">
        <v>302</v>
      </c>
      <c r="W344" s="119" t="s">
        <v>303</v>
      </c>
      <c r="X344" s="119" t="s">
        <v>229</v>
      </c>
      <c r="Y344" s="119" t="s">
        <v>230</v>
      </c>
      <c r="Z344" s="119" t="s">
        <v>231</v>
      </c>
      <c r="AA344" s="119" t="s">
        <v>232</v>
      </c>
      <c r="AB344" s="119" t="s">
        <v>150</v>
      </c>
      <c r="AC344" s="119" t="s">
        <v>151</v>
      </c>
      <c r="AD344" s="119" t="s">
        <v>233</v>
      </c>
      <c r="AH344" s="110"/>
      <c r="AI344" s="67"/>
      <c r="AJ344" s="74"/>
      <c r="AK344" s="74"/>
      <c r="AL344" s="74"/>
      <c r="AM344" s="74"/>
      <c r="AN344" s="75"/>
      <c r="AO344" s="75"/>
      <c r="AP344" s="75"/>
      <c r="BG344" s="171"/>
    </row>
    <row r="345" spans="1:59" s="76" customFormat="1" ht="15">
      <c r="A345" s="71"/>
      <c r="B345" s="170"/>
      <c r="C345" s="117" t="s">
        <v>205</v>
      </c>
      <c r="D345" s="117" t="s">
        <v>214</v>
      </c>
      <c r="E345" s="117" t="s">
        <v>222</v>
      </c>
      <c r="F345" s="118" t="s">
        <v>250</v>
      </c>
      <c r="G345" s="118" t="s">
        <v>251</v>
      </c>
      <c r="H345" s="118" t="s">
        <v>253</v>
      </c>
      <c r="I345" s="118" t="s">
        <v>252</v>
      </c>
      <c r="J345" s="118" t="s">
        <v>254</v>
      </c>
      <c r="K345" s="118" t="s">
        <v>255</v>
      </c>
      <c r="L345" s="118" t="s">
        <v>256</v>
      </c>
      <c r="M345" s="118" t="s">
        <v>257</v>
      </c>
      <c r="N345" s="118" t="s">
        <v>258</v>
      </c>
      <c r="O345" s="118" t="s">
        <v>259</v>
      </c>
      <c r="P345" s="118" t="s">
        <v>260</v>
      </c>
      <c r="Q345" s="118" t="s">
        <v>261</v>
      </c>
      <c r="R345" s="118" t="s">
        <v>262</v>
      </c>
      <c r="S345" s="118" t="s">
        <v>263</v>
      </c>
      <c r="T345" s="118" t="s">
        <v>264</v>
      </c>
      <c r="U345" s="118" t="s">
        <v>265</v>
      </c>
      <c r="V345" s="118" t="s">
        <v>266</v>
      </c>
      <c r="W345" s="118" t="s">
        <v>267</v>
      </c>
      <c r="X345" s="118" t="s">
        <v>235</v>
      </c>
      <c r="Y345" s="118" t="s">
        <v>236</v>
      </c>
      <c r="Z345" s="118" t="s">
        <v>237</v>
      </c>
      <c r="AA345" s="118" t="s">
        <v>238</v>
      </c>
      <c r="AB345" s="118" t="s">
        <v>239</v>
      </c>
      <c r="AC345" s="118" t="s">
        <v>240</v>
      </c>
      <c r="AD345" s="118" t="s">
        <v>241</v>
      </c>
      <c r="AH345" s="110"/>
      <c r="AI345" s="67"/>
      <c r="AJ345" s="74"/>
      <c r="AK345" s="74"/>
      <c r="AL345" s="74"/>
      <c r="AM345" s="74"/>
      <c r="AN345" s="75"/>
      <c r="AO345" s="75"/>
      <c r="AP345" s="75"/>
      <c r="BG345" s="171"/>
    </row>
    <row r="346" spans="1:59" s="68" customFormat="1" ht="13.5" customHeight="1">
      <c r="A346" s="77"/>
      <c r="B346" s="172"/>
      <c r="C346" s="117" t="s">
        <v>304</v>
      </c>
      <c r="D346" s="117" t="s">
        <v>305</v>
      </c>
      <c r="E346" s="117" t="s">
        <v>305</v>
      </c>
      <c r="F346" s="119" t="s">
        <v>306</v>
      </c>
      <c r="G346" s="119" t="s">
        <v>306</v>
      </c>
      <c r="H346" s="119" t="s">
        <v>307</v>
      </c>
      <c r="I346" s="119" t="s">
        <v>306</v>
      </c>
      <c r="J346" s="119" t="s">
        <v>308</v>
      </c>
      <c r="K346" s="119" t="s">
        <v>309</v>
      </c>
      <c r="L346" s="118" t="s">
        <v>310</v>
      </c>
      <c r="M346" s="119" t="s">
        <v>310</v>
      </c>
      <c r="N346" s="119" t="s">
        <v>311</v>
      </c>
      <c r="O346" s="119" t="s">
        <v>306</v>
      </c>
      <c r="P346" s="119" t="s">
        <v>312</v>
      </c>
      <c r="Q346" s="119" t="s">
        <v>313</v>
      </c>
      <c r="R346" s="119" t="s">
        <v>312</v>
      </c>
      <c r="S346" s="119" t="s">
        <v>314</v>
      </c>
      <c r="T346" s="118" t="s">
        <v>315</v>
      </c>
      <c r="U346" s="119" t="s">
        <v>315</v>
      </c>
      <c r="V346" s="119" t="s">
        <v>316</v>
      </c>
      <c r="W346" s="119" t="s">
        <v>306</v>
      </c>
      <c r="X346" s="119" t="s">
        <v>317</v>
      </c>
      <c r="Y346" s="119" t="s">
        <v>319</v>
      </c>
      <c r="Z346" s="119" t="s">
        <v>320</v>
      </c>
      <c r="AA346" s="119" t="s">
        <v>320</v>
      </c>
      <c r="AB346" s="118" t="s">
        <v>318</v>
      </c>
      <c r="AC346" s="119" t="s">
        <v>320</v>
      </c>
      <c r="AD346" s="119" t="s">
        <v>320</v>
      </c>
      <c r="AH346" s="108"/>
      <c r="AI346" s="67"/>
      <c r="AJ346" s="67"/>
      <c r="AK346" s="67"/>
      <c r="AL346" s="67"/>
      <c r="AM346" s="67"/>
      <c r="BG346" s="173"/>
    </row>
    <row r="347" spans="1:59" s="27" customFormat="1" ht="13.5" customHeight="1">
      <c r="A347" s="80"/>
      <c r="B347" s="120" t="s">
        <v>242</v>
      </c>
      <c r="C347" s="121" t="s">
        <v>269</v>
      </c>
      <c r="D347" s="118" t="s">
        <v>270</v>
      </c>
      <c r="E347" s="142" t="s">
        <v>461</v>
      </c>
      <c r="F347" s="119" t="s">
        <v>182</v>
      </c>
      <c r="G347" s="119" t="s">
        <v>271</v>
      </c>
      <c r="H347" s="119" t="s">
        <v>183</v>
      </c>
      <c r="I347" s="119" t="s">
        <v>271</v>
      </c>
      <c r="J347" s="119" t="s">
        <v>272</v>
      </c>
      <c r="K347" s="119" t="s">
        <v>243</v>
      </c>
      <c r="L347" s="118" t="s">
        <v>155</v>
      </c>
      <c r="M347" s="119" t="s">
        <v>273</v>
      </c>
      <c r="N347" s="119"/>
      <c r="O347" s="119" t="s">
        <v>182</v>
      </c>
      <c r="P347" s="119" t="s">
        <v>155</v>
      </c>
      <c r="Q347" s="119" t="s">
        <v>274</v>
      </c>
      <c r="R347" s="119" t="s">
        <v>275</v>
      </c>
      <c r="S347" s="119"/>
      <c r="T347" s="118" t="s">
        <v>155</v>
      </c>
      <c r="U347" s="119" t="s">
        <v>155</v>
      </c>
      <c r="V347" s="119" t="s">
        <v>155</v>
      </c>
      <c r="W347" s="119"/>
      <c r="X347" s="119" t="s">
        <v>243</v>
      </c>
      <c r="Y347" s="119" t="s">
        <v>276</v>
      </c>
      <c r="Z347" s="119" t="s">
        <v>277</v>
      </c>
      <c r="AA347" s="119" t="s">
        <v>277</v>
      </c>
      <c r="AB347" s="118" t="s">
        <v>278</v>
      </c>
      <c r="AC347" s="119" t="s">
        <v>279</v>
      </c>
      <c r="AD347" s="119" t="s">
        <v>279</v>
      </c>
      <c r="AH347" s="108"/>
      <c r="AI347" s="67"/>
      <c r="AJ347" s="67"/>
      <c r="AK347" s="83"/>
      <c r="AL347" s="67"/>
      <c r="AM347" s="67"/>
      <c r="AN347" s="68"/>
      <c r="AO347" s="68"/>
      <c r="AP347" s="68"/>
      <c r="BG347" s="94"/>
    </row>
    <row r="348" spans="1:59" s="27" customFormat="1" ht="13.5" customHeight="1">
      <c r="A348" s="84"/>
      <c r="B348" s="122" t="s">
        <v>244</v>
      </c>
      <c r="C348" s="121" t="s">
        <v>269</v>
      </c>
      <c r="D348" s="118" t="s">
        <v>270</v>
      </c>
      <c r="E348" s="119" t="s">
        <v>181</v>
      </c>
      <c r="F348" s="119" t="s">
        <v>182</v>
      </c>
      <c r="G348" s="132" t="s">
        <v>271</v>
      </c>
      <c r="H348" s="119" t="s">
        <v>183</v>
      </c>
      <c r="I348" s="132" t="s">
        <v>271</v>
      </c>
      <c r="J348" s="119" t="s">
        <v>183</v>
      </c>
      <c r="K348" s="119" t="s">
        <v>243</v>
      </c>
      <c r="L348" s="118" t="s">
        <v>280</v>
      </c>
      <c r="M348" s="119" t="s">
        <v>273</v>
      </c>
      <c r="N348" s="119"/>
      <c r="O348" s="119" t="s">
        <v>243</v>
      </c>
      <c r="P348" s="119" t="s">
        <v>155</v>
      </c>
      <c r="Q348" s="119" t="s">
        <v>183</v>
      </c>
      <c r="R348" s="119" t="s">
        <v>281</v>
      </c>
      <c r="S348" s="119"/>
      <c r="T348" s="118" t="s">
        <v>155</v>
      </c>
      <c r="U348" s="119" t="s">
        <v>155</v>
      </c>
      <c r="V348" s="119" t="s">
        <v>155</v>
      </c>
      <c r="W348" s="119"/>
      <c r="X348" s="119" t="s">
        <v>243</v>
      </c>
      <c r="Y348" s="119" t="s">
        <v>282</v>
      </c>
      <c r="Z348" s="119" t="s">
        <v>283</v>
      </c>
      <c r="AA348" s="119">
        <v>470195</v>
      </c>
      <c r="AB348" s="118" t="s">
        <v>282</v>
      </c>
      <c r="AC348" s="119">
        <v>470195</v>
      </c>
      <c r="AD348" s="119" t="s">
        <v>283</v>
      </c>
      <c r="AH348" s="108"/>
      <c r="AI348" s="67"/>
      <c r="AJ348" s="61"/>
      <c r="AK348" s="83"/>
      <c r="AL348" s="67"/>
      <c r="AM348" s="67"/>
      <c r="AN348" s="68"/>
      <c r="AO348" s="68"/>
      <c r="AP348" s="68"/>
      <c r="BG348" s="94"/>
    </row>
    <row r="349" spans="1:59" s="27" customFormat="1" ht="13.5" customHeight="1">
      <c r="A349" s="85"/>
      <c r="B349" s="120" t="s">
        <v>242</v>
      </c>
      <c r="C349" s="121" t="s">
        <v>269</v>
      </c>
      <c r="D349" s="142" t="s">
        <v>181</v>
      </c>
      <c r="E349" s="121" t="s">
        <v>285</v>
      </c>
      <c r="F349" s="121" t="s">
        <v>286</v>
      </c>
      <c r="G349" s="121" t="s">
        <v>443</v>
      </c>
      <c r="H349" s="121" t="s">
        <v>183</v>
      </c>
      <c r="I349" s="132"/>
      <c r="J349" s="121" t="s">
        <v>272</v>
      </c>
      <c r="K349" s="121" t="s">
        <v>243</v>
      </c>
      <c r="L349" s="121" t="s">
        <v>155</v>
      </c>
      <c r="M349" s="121" t="s">
        <v>273</v>
      </c>
      <c r="N349" s="121" t="s">
        <v>155</v>
      </c>
      <c r="O349" s="121" t="s">
        <v>182</v>
      </c>
      <c r="P349" s="121" t="s">
        <v>155</v>
      </c>
      <c r="Q349" s="121" t="s">
        <v>274</v>
      </c>
      <c r="R349" s="121" t="s">
        <v>275</v>
      </c>
      <c r="S349" s="121" t="s">
        <v>155</v>
      </c>
      <c r="T349" s="121" t="s">
        <v>155</v>
      </c>
      <c r="U349" s="121" t="s">
        <v>155</v>
      </c>
      <c r="V349" s="121" t="s">
        <v>155</v>
      </c>
      <c r="W349" s="121" t="s">
        <v>155</v>
      </c>
      <c r="X349" s="121" t="s">
        <v>243</v>
      </c>
      <c r="Y349" s="121" t="s">
        <v>276</v>
      </c>
      <c r="Z349" s="121" t="s">
        <v>277</v>
      </c>
      <c r="AA349" s="121" t="s">
        <v>277</v>
      </c>
      <c r="AB349" s="121" t="s">
        <v>278</v>
      </c>
      <c r="AC349" s="121" t="s">
        <v>287</v>
      </c>
      <c r="AD349" s="121" t="s">
        <v>287</v>
      </c>
      <c r="AH349" s="108"/>
      <c r="AI349" s="67"/>
      <c r="AJ349" s="61"/>
      <c r="AK349" s="83"/>
      <c r="AL349" s="67"/>
      <c r="AM349" s="67"/>
      <c r="AN349" s="68"/>
      <c r="AO349" s="68"/>
      <c r="AP349" s="68"/>
      <c r="BG349" s="94"/>
    </row>
    <row r="350" spans="1:59" s="27" customFormat="1" ht="13.5" customHeight="1">
      <c r="A350" s="85"/>
      <c r="B350" s="120" t="s">
        <v>242</v>
      </c>
      <c r="C350" s="121" t="s">
        <v>269</v>
      </c>
      <c r="D350" s="142" t="s">
        <v>460</v>
      </c>
      <c r="E350" s="121" t="s">
        <v>285</v>
      </c>
      <c r="F350" s="121" t="s">
        <v>286</v>
      </c>
      <c r="G350" s="121" t="s">
        <v>182</v>
      </c>
      <c r="H350" s="121" t="s">
        <v>183</v>
      </c>
      <c r="I350" s="132"/>
      <c r="J350" s="121" t="s">
        <v>272</v>
      </c>
      <c r="K350" s="121" t="s">
        <v>243</v>
      </c>
      <c r="L350" s="121" t="s">
        <v>155</v>
      </c>
      <c r="M350" s="121" t="s">
        <v>273</v>
      </c>
      <c r="N350" s="121" t="s">
        <v>155</v>
      </c>
      <c r="O350" s="121" t="s">
        <v>182</v>
      </c>
      <c r="P350" s="121" t="s">
        <v>155</v>
      </c>
      <c r="Q350" s="121" t="s">
        <v>274</v>
      </c>
      <c r="R350" s="121" t="s">
        <v>275</v>
      </c>
      <c r="S350" s="121" t="s">
        <v>155</v>
      </c>
      <c r="T350" s="121" t="s">
        <v>155</v>
      </c>
      <c r="U350" s="121" t="s">
        <v>155</v>
      </c>
      <c r="V350" s="121" t="s">
        <v>155</v>
      </c>
      <c r="W350" s="121" t="s">
        <v>155</v>
      </c>
      <c r="X350" s="121" t="s">
        <v>243</v>
      </c>
      <c r="Y350" s="121" t="s">
        <v>276</v>
      </c>
      <c r="Z350" s="121" t="s">
        <v>277</v>
      </c>
      <c r="AA350" s="121" t="s">
        <v>277</v>
      </c>
      <c r="AB350" s="121" t="s">
        <v>278</v>
      </c>
      <c r="AC350" s="121" t="s">
        <v>287</v>
      </c>
      <c r="AD350" s="121" t="s">
        <v>287</v>
      </c>
      <c r="AH350" s="108"/>
      <c r="AI350" s="67"/>
      <c r="AJ350" s="61"/>
      <c r="AK350" s="83"/>
      <c r="AL350" s="67"/>
      <c r="AM350" s="67"/>
      <c r="AN350" s="68"/>
      <c r="AO350" s="68"/>
      <c r="AP350" s="68"/>
      <c r="BG350" s="94"/>
    </row>
    <row r="351" spans="1:59" ht="14">
      <c r="B351" s="163"/>
      <c r="C351" s="164"/>
      <c r="D351" s="164"/>
      <c r="E351" s="164"/>
      <c r="F351" s="164"/>
      <c r="G351" s="164"/>
      <c r="H351" s="164"/>
      <c r="I351" s="164"/>
      <c r="J351" s="164"/>
      <c r="M351" s="164"/>
      <c r="N351" s="164"/>
      <c r="O351" s="164"/>
      <c r="BG351" s="158"/>
    </row>
    <row r="352" spans="1:59" ht="15">
      <c r="B352" s="163"/>
      <c r="C352" s="257" t="s">
        <v>321</v>
      </c>
      <c r="D352" s="258"/>
      <c r="E352" s="258"/>
      <c r="F352" s="258"/>
      <c r="G352" s="258"/>
      <c r="H352" s="258"/>
      <c r="I352" s="258"/>
      <c r="J352" s="258"/>
      <c r="K352" s="258"/>
      <c r="L352" s="258"/>
      <c r="M352" s="258"/>
      <c r="N352" s="258"/>
      <c r="O352" s="258"/>
      <c r="P352" s="258"/>
      <c r="Q352" s="258"/>
      <c r="R352" s="258"/>
      <c r="S352" s="258"/>
      <c r="T352" s="258"/>
      <c r="U352" s="90"/>
      <c r="V352" s="90"/>
      <c r="W352" s="90"/>
      <c r="X352" s="90"/>
      <c r="Y352" s="90"/>
      <c r="Z352" s="90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2"/>
      <c r="AQ352" s="92"/>
      <c r="AR352" s="92"/>
      <c r="AS352" s="92"/>
      <c r="AT352" s="92"/>
      <c r="AU352" s="92"/>
      <c r="AV352" s="92"/>
      <c r="AW352" s="92"/>
      <c r="AX352" s="92"/>
      <c r="AY352" s="92"/>
      <c r="AZ352" s="92"/>
      <c r="BA352" s="92"/>
      <c r="BB352" s="92"/>
      <c r="BC352" s="92"/>
      <c r="BD352" s="92"/>
      <c r="BE352" s="92"/>
      <c r="BF352" s="92"/>
      <c r="BG352" s="158"/>
    </row>
    <row r="353" spans="2:59" ht="15">
      <c r="B353" s="163"/>
      <c r="C353" s="127"/>
      <c r="D353" s="127"/>
      <c r="E353" s="127"/>
      <c r="F353" s="124" t="s">
        <v>168</v>
      </c>
      <c r="G353" s="124" t="s">
        <v>168</v>
      </c>
      <c r="H353" s="129" t="s">
        <v>168</v>
      </c>
      <c r="I353" s="124" t="s">
        <v>168</v>
      </c>
      <c r="J353" s="124" t="s">
        <v>168</v>
      </c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30"/>
      <c r="AB353" s="130"/>
      <c r="AC353" s="130"/>
      <c r="AD353" s="130"/>
      <c r="AE353" s="130"/>
      <c r="AF353" s="130"/>
      <c r="AG353" s="130"/>
      <c r="AH353" s="130"/>
      <c r="AI353" s="130"/>
      <c r="AJ353" s="130"/>
      <c r="AK353" s="130"/>
      <c r="AL353" s="130"/>
      <c r="AM353" s="130"/>
      <c r="AN353" s="130"/>
      <c r="AO353" s="130"/>
      <c r="AP353" s="130"/>
      <c r="AQ353" s="130"/>
      <c r="AR353" s="130"/>
      <c r="AS353" s="130"/>
      <c r="AT353" s="130"/>
      <c r="AU353" s="130"/>
      <c r="AV353" s="130"/>
      <c r="AW353" s="130"/>
      <c r="AX353" s="130"/>
      <c r="AY353" s="130"/>
      <c r="AZ353" s="130"/>
      <c r="BA353" s="130"/>
      <c r="BB353" s="130"/>
      <c r="BC353" s="130"/>
      <c r="BD353" s="130"/>
      <c r="BE353" s="130"/>
      <c r="BF353" s="130"/>
      <c r="BG353" s="158"/>
    </row>
    <row r="354" spans="2:59" ht="25">
      <c r="B354" s="163"/>
      <c r="C354" s="117" t="s">
        <v>365</v>
      </c>
      <c r="D354" s="117" t="s">
        <v>420</v>
      </c>
      <c r="E354" s="117" t="s">
        <v>421</v>
      </c>
      <c r="F354" s="119" t="s">
        <v>96</v>
      </c>
      <c r="G354" s="119" t="s">
        <v>99</v>
      </c>
      <c r="H354" s="119" t="s">
        <v>130</v>
      </c>
      <c r="I354" s="119" t="s">
        <v>391</v>
      </c>
      <c r="J354" s="119" t="s">
        <v>127</v>
      </c>
      <c r="K354" s="119" t="s">
        <v>67</v>
      </c>
      <c r="L354" s="119" t="s">
        <v>288</v>
      </c>
      <c r="M354" s="119" t="s">
        <v>366</v>
      </c>
      <c r="N354" s="119" t="s">
        <v>367</v>
      </c>
      <c r="O354" s="119" t="s">
        <v>368</v>
      </c>
      <c r="P354" s="119" t="s">
        <v>369</v>
      </c>
      <c r="Q354" s="119" t="s">
        <v>370</v>
      </c>
      <c r="R354" s="119" t="s">
        <v>371</v>
      </c>
      <c r="S354" s="119" t="s">
        <v>372</v>
      </c>
      <c r="T354" s="119" t="s">
        <v>373</v>
      </c>
      <c r="U354" s="119" t="s">
        <v>374</v>
      </c>
      <c r="V354" s="119" t="s">
        <v>375</v>
      </c>
      <c r="W354" s="119" t="s">
        <v>376</v>
      </c>
      <c r="X354" s="119" t="s">
        <v>377</v>
      </c>
      <c r="Y354" s="119" t="s">
        <v>378</v>
      </c>
      <c r="Z354" s="119" t="s">
        <v>379</v>
      </c>
      <c r="AA354" s="119" t="s">
        <v>380</v>
      </c>
      <c r="AB354" s="119" t="s">
        <v>381</v>
      </c>
      <c r="AC354" s="119" t="s">
        <v>382</v>
      </c>
      <c r="AD354" s="119" t="s">
        <v>383</v>
      </c>
      <c r="AE354" s="119" t="s">
        <v>384</v>
      </c>
      <c r="AF354" s="119" t="s">
        <v>385</v>
      </c>
      <c r="AG354" s="119" t="s">
        <v>386</v>
      </c>
      <c r="AH354" s="119" t="s">
        <v>387</v>
      </c>
      <c r="AI354" s="119" t="s">
        <v>388</v>
      </c>
      <c r="AJ354" s="119" t="s">
        <v>390</v>
      </c>
      <c r="AK354" s="119" t="s">
        <v>389</v>
      </c>
      <c r="AL354" s="119" t="s">
        <v>398</v>
      </c>
      <c r="AM354" s="119" t="s">
        <v>392</v>
      </c>
      <c r="AN354" s="119" t="s">
        <v>393</v>
      </c>
      <c r="AO354" s="119" t="s">
        <v>394</v>
      </c>
      <c r="AP354" s="119" t="s">
        <v>395</v>
      </c>
      <c r="AQ354" s="119" t="s">
        <v>399</v>
      </c>
      <c r="AR354" s="119" t="s">
        <v>396</v>
      </c>
      <c r="AS354" s="119" t="s">
        <v>397</v>
      </c>
      <c r="AT354" s="119" t="s">
        <v>400</v>
      </c>
      <c r="AU354" s="119" t="s">
        <v>401</v>
      </c>
      <c r="AV354" s="119" t="s">
        <v>402</v>
      </c>
      <c r="AW354" s="119" t="s">
        <v>403</v>
      </c>
      <c r="AX354" s="119" t="s">
        <v>404</v>
      </c>
      <c r="AY354" s="119" t="s">
        <v>405</v>
      </c>
      <c r="AZ354" s="119" t="s">
        <v>229</v>
      </c>
      <c r="BA354" s="119" t="s">
        <v>230</v>
      </c>
      <c r="BB354" s="119" t="s">
        <v>231</v>
      </c>
      <c r="BC354" s="119" t="s">
        <v>232</v>
      </c>
      <c r="BD354" s="119" t="s">
        <v>150</v>
      </c>
      <c r="BE354" s="119" t="s">
        <v>151</v>
      </c>
      <c r="BF354" s="119" t="s">
        <v>233</v>
      </c>
      <c r="BG354" s="158"/>
    </row>
    <row r="355" spans="2:59">
      <c r="B355" s="163"/>
      <c r="C355" s="117" t="s">
        <v>205</v>
      </c>
      <c r="D355" s="117" t="s">
        <v>214</v>
      </c>
      <c r="E355" s="117" t="s">
        <v>222</v>
      </c>
      <c r="F355" s="118" t="s">
        <v>322</v>
      </c>
      <c r="G355" s="118" t="s">
        <v>323</v>
      </c>
      <c r="H355" s="118" t="s">
        <v>324</v>
      </c>
      <c r="I355" s="118" t="s">
        <v>351</v>
      </c>
      <c r="J355" s="118" t="s">
        <v>357</v>
      </c>
      <c r="K355" s="118" t="s">
        <v>251</v>
      </c>
      <c r="L355" s="118" t="s">
        <v>252</v>
      </c>
      <c r="M355" s="118" t="s">
        <v>325</v>
      </c>
      <c r="N355" s="118" t="s">
        <v>326</v>
      </c>
      <c r="O355" s="118" t="s">
        <v>327</v>
      </c>
      <c r="P355" s="118" t="s">
        <v>328</v>
      </c>
      <c r="Q355" s="118" t="s">
        <v>329</v>
      </c>
      <c r="R355" s="118" t="s">
        <v>330</v>
      </c>
      <c r="S355" s="118" t="s">
        <v>331</v>
      </c>
      <c r="T355" s="118" t="s">
        <v>332</v>
      </c>
      <c r="U355" s="118" t="s">
        <v>333</v>
      </c>
      <c r="V355" s="118" t="s">
        <v>334</v>
      </c>
      <c r="W355" s="118" t="s">
        <v>335</v>
      </c>
      <c r="X355" s="118" t="s">
        <v>336</v>
      </c>
      <c r="Y355" s="118" t="s">
        <v>337</v>
      </c>
      <c r="Z355" s="118" t="s">
        <v>338</v>
      </c>
      <c r="AA355" s="118" t="s">
        <v>339</v>
      </c>
      <c r="AB355" s="118" t="s">
        <v>340</v>
      </c>
      <c r="AC355" s="118" t="s">
        <v>341</v>
      </c>
      <c r="AD355" s="118" t="s">
        <v>342</v>
      </c>
      <c r="AE355" s="118" t="s">
        <v>343</v>
      </c>
      <c r="AF355" s="118" t="s">
        <v>344</v>
      </c>
      <c r="AG355" s="118" t="s">
        <v>345</v>
      </c>
      <c r="AH355" s="118" t="s">
        <v>346</v>
      </c>
      <c r="AI355" s="118" t="s">
        <v>347</v>
      </c>
      <c r="AJ355" s="118" t="s">
        <v>348</v>
      </c>
      <c r="AK355" s="118" t="s">
        <v>349</v>
      </c>
      <c r="AL355" s="118" t="s">
        <v>350</v>
      </c>
      <c r="AM355" s="118" t="s">
        <v>352</v>
      </c>
      <c r="AN355" s="118" t="s">
        <v>353</v>
      </c>
      <c r="AO355" s="118" t="s">
        <v>354</v>
      </c>
      <c r="AP355" s="118" t="s">
        <v>234</v>
      </c>
      <c r="AQ355" s="118" t="s">
        <v>355</v>
      </c>
      <c r="AR355" s="118" t="s">
        <v>356</v>
      </c>
      <c r="AS355" s="118" t="s">
        <v>358</v>
      </c>
      <c r="AT355" s="118" t="s">
        <v>359</v>
      </c>
      <c r="AU355" s="118" t="s">
        <v>360</v>
      </c>
      <c r="AV355" s="118" t="s">
        <v>361</v>
      </c>
      <c r="AW355" s="118" t="s">
        <v>362</v>
      </c>
      <c r="AX355" s="118" t="s">
        <v>363</v>
      </c>
      <c r="AY355" s="118" t="s">
        <v>364</v>
      </c>
      <c r="AZ355" s="118" t="s">
        <v>235</v>
      </c>
      <c r="BA355" s="118" t="s">
        <v>236</v>
      </c>
      <c r="BB355" s="118" t="s">
        <v>237</v>
      </c>
      <c r="BC355" s="118" t="s">
        <v>238</v>
      </c>
      <c r="BD355" s="118" t="s">
        <v>239</v>
      </c>
      <c r="BE355" s="118" t="s">
        <v>240</v>
      </c>
      <c r="BF355" s="118" t="s">
        <v>241</v>
      </c>
      <c r="BG355" s="158"/>
    </row>
    <row r="356" spans="2:59">
      <c r="B356" s="163"/>
      <c r="C356" s="117" t="s">
        <v>304</v>
      </c>
      <c r="D356" s="117" t="s">
        <v>406</v>
      </c>
      <c r="E356" s="117" t="s">
        <v>305</v>
      </c>
      <c r="F356" s="131" t="s">
        <v>306</v>
      </c>
      <c r="G356" s="131" t="s">
        <v>306</v>
      </c>
      <c r="H356" s="131" t="s">
        <v>306</v>
      </c>
      <c r="I356" s="131" t="s">
        <v>306</v>
      </c>
      <c r="J356" s="131" t="s">
        <v>308</v>
      </c>
      <c r="K356" s="131" t="s">
        <v>306</v>
      </c>
      <c r="L356" s="131" t="s">
        <v>306</v>
      </c>
      <c r="M356" s="131" t="s">
        <v>407</v>
      </c>
      <c r="N356" s="131" t="s">
        <v>407</v>
      </c>
      <c r="O356" s="131" t="s">
        <v>305</v>
      </c>
      <c r="P356" s="131" t="s">
        <v>408</v>
      </c>
      <c r="Q356" s="131" t="s">
        <v>306</v>
      </c>
      <c r="R356" s="131" t="s">
        <v>313</v>
      </c>
      <c r="S356" s="131" t="s">
        <v>308</v>
      </c>
      <c r="T356" s="131" t="s">
        <v>313</v>
      </c>
      <c r="U356" s="131" t="s">
        <v>308</v>
      </c>
      <c r="V356" s="131" t="s">
        <v>308</v>
      </c>
      <c r="W356" s="131" t="s">
        <v>306</v>
      </c>
      <c r="X356" s="131" t="s">
        <v>409</v>
      </c>
      <c r="Y356" s="131" t="s">
        <v>409</v>
      </c>
      <c r="Z356" s="131" t="s">
        <v>310</v>
      </c>
      <c r="AA356" s="131" t="s">
        <v>408</v>
      </c>
      <c r="AB356" s="131" t="s">
        <v>408</v>
      </c>
      <c r="AC356" s="131" t="s">
        <v>308</v>
      </c>
      <c r="AD356" s="131" t="s">
        <v>312</v>
      </c>
      <c r="AE356" s="131" t="s">
        <v>313</v>
      </c>
      <c r="AF356" s="131" t="s">
        <v>313</v>
      </c>
      <c r="AG356" s="131" t="s">
        <v>410</v>
      </c>
      <c r="AH356" s="131" t="s">
        <v>410</v>
      </c>
      <c r="AI356" s="131" t="s">
        <v>313</v>
      </c>
      <c r="AJ356" s="131" t="s">
        <v>313</v>
      </c>
      <c r="AK356" s="131" t="s">
        <v>410</v>
      </c>
      <c r="AL356" s="131" t="s">
        <v>410</v>
      </c>
      <c r="AM356" s="131" t="s">
        <v>306</v>
      </c>
      <c r="AN356" s="131" t="s">
        <v>306</v>
      </c>
      <c r="AO356" s="131" t="s">
        <v>306</v>
      </c>
      <c r="AP356" s="131" t="s">
        <v>310</v>
      </c>
      <c r="AQ356" s="131" t="s">
        <v>305</v>
      </c>
      <c r="AR356" s="131" t="s">
        <v>306</v>
      </c>
      <c r="AS356" s="131" t="s">
        <v>308</v>
      </c>
      <c r="AT356" s="131" t="s">
        <v>306</v>
      </c>
      <c r="AU356" s="131" t="s">
        <v>411</v>
      </c>
      <c r="AV356" s="131" t="s">
        <v>313</v>
      </c>
      <c r="AW356" s="131" t="s">
        <v>310</v>
      </c>
      <c r="AX356" s="131" t="s">
        <v>306</v>
      </c>
      <c r="AY356" s="131" t="s">
        <v>306</v>
      </c>
      <c r="AZ356" s="131" t="s">
        <v>317</v>
      </c>
      <c r="BA356" s="131" t="s">
        <v>318</v>
      </c>
      <c r="BB356" s="131" t="s">
        <v>320</v>
      </c>
      <c r="BC356" s="131" t="s">
        <v>320</v>
      </c>
      <c r="BD356" s="131" t="s">
        <v>318</v>
      </c>
      <c r="BE356" s="131" t="s">
        <v>320</v>
      </c>
      <c r="BF356" s="131" t="s">
        <v>320</v>
      </c>
      <c r="BG356" s="158"/>
    </row>
    <row r="357" spans="2:59" ht="15">
      <c r="B357" s="120" t="s">
        <v>242</v>
      </c>
      <c r="C357" s="132" t="s">
        <v>269</v>
      </c>
      <c r="D357" s="143" t="s">
        <v>461</v>
      </c>
      <c r="E357" s="142" t="s">
        <v>461</v>
      </c>
      <c r="F357" s="133" t="s">
        <v>286</v>
      </c>
      <c r="G357" s="132" t="s">
        <v>243</v>
      </c>
      <c r="H357" s="132" t="s">
        <v>243</v>
      </c>
      <c r="I357" s="135">
        <v>1</v>
      </c>
      <c r="J357" s="136">
        <v>0</v>
      </c>
      <c r="K357" s="132" t="s">
        <v>271</v>
      </c>
      <c r="L357" s="132" t="s">
        <v>271</v>
      </c>
      <c r="M357" s="132" t="s">
        <v>155</v>
      </c>
      <c r="N357" s="132" t="s">
        <v>155</v>
      </c>
      <c r="O357" s="132" t="s">
        <v>155</v>
      </c>
      <c r="P357" s="132" t="s">
        <v>155</v>
      </c>
      <c r="Q357" s="134" t="s">
        <v>412</v>
      </c>
      <c r="R357" s="132" t="s">
        <v>243</v>
      </c>
      <c r="S357" s="132" t="s">
        <v>243</v>
      </c>
      <c r="T357" s="132" t="s">
        <v>413</v>
      </c>
      <c r="U357" s="132" t="s">
        <v>414</v>
      </c>
      <c r="V357" s="132" t="s">
        <v>182</v>
      </c>
      <c r="W357" s="132" t="s">
        <v>182</v>
      </c>
      <c r="X357" s="132" t="s">
        <v>243</v>
      </c>
      <c r="Y357" s="132" t="s">
        <v>243</v>
      </c>
      <c r="Z357" s="132"/>
      <c r="AA357" s="135"/>
      <c r="AB357" s="135" t="s">
        <v>155</v>
      </c>
      <c r="AC357" s="135">
        <v>1</v>
      </c>
      <c r="AD357" s="135">
        <v>99999999</v>
      </c>
      <c r="AE357" s="132" t="s">
        <v>243</v>
      </c>
      <c r="AF357" s="132" t="s">
        <v>243</v>
      </c>
      <c r="AG357" s="132" t="s">
        <v>243</v>
      </c>
      <c r="AH357" s="132" t="s">
        <v>243</v>
      </c>
      <c r="AI357" s="135">
        <v>0</v>
      </c>
      <c r="AJ357" s="135">
        <v>0</v>
      </c>
      <c r="AK357" s="135">
        <v>0</v>
      </c>
      <c r="AL357" s="135">
        <v>0</v>
      </c>
      <c r="AM357" s="132" t="s">
        <v>182</v>
      </c>
      <c r="AN357" s="135">
        <v>0</v>
      </c>
      <c r="AO357" s="132" t="s">
        <v>243</v>
      </c>
      <c r="AP357" s="135">
        <v>1</v>
      </c>
      <c r="AQ357" s="136" t="s">
        <v>155</v>
      </c>
      <c r="AR357" s="136" t="s">
        <v>415</v>
      </c>
      <c r="AS357" s="136">
        <v>0</v>
      </c>
      <c r="AT357" s="136">
        <v>1</v>
      </c>
      <c r="AU357" s="136">
        <v>0</v>
      </c>
      <c r="AV357" s="136">
        <v>0</v>
      </c>
      <c r="AW357" s="136">
        <v>0</v>
      </c>
      <c r="AX357" s="136">
        <v>0</v>
      </c>
      <c r="AY357" s="136">
        <v>1</v>
      </c>
      <c r="AZ357" s="136">
        <v>0</v>
      </c>
      <c r="BA357" s="137">
        <v>29705</v>
      </c>
      <c r="BB357" s="136" t="s">
        <v>277</v>
      </c>
      <c r="BC357" s="136" t="s">
        <v>277</v>
      </c>
      <c r="BD357" s="137">
        <v>36413</v>
      </c>
      <c r="BE357" s="136" t="s">
        <v>277</v>
      </c>
      <c r="BF357" s="136" t="s">
        <v>277</v>
      </c>
      <c r="BG357" s="158"/>
    </row>
    <row r="358" spans="2:59" ht="15">
      <c r="B358" s="122" t="s">
        <v>244</v>
      </c>
      <c r="C358" s="132" t="s">
        <v>269</v>
      </c>
      <c r="D358" s="143" t="s">
        <v>461</v>
      </c>
      <c r="E358" s="143" t="s">
        <v>181</v>
      </c>
      <c r="F358" s="133" t="s">
        <v>184</v>
      </c>
      <c r="G358" s="132" t="s">
        <v>243</v>
      </c>
      <c r="H358" s="132" t="s">
        <v>243</v>
      </c>
      <c r="I358" s="135">
        <v>0</v>
      </c>
      <c r="J358" s="136">
        <v>30</v>
      </c>
      <c r="K358" s="132" t="s">
        <v>271</v>
      </c>
      <c r="L358" s="132" t="s">
        <v>271</v>
      </c>
      <c r="M358" s="132" t="s">
        <v>155</v>
      </c>
      <c r="N358" s="132" t="s">
        <v>155</v>
      </c>
      <c r="O358" s="132" t="s">
        <v>416</v>
      </c>
      <c r="P358" s="132" t="s">
        <v>155</v>
      </c>
      <c r="Q358" s="134" t="s">
        <v>417</v>
      </c>
      <c r="R358" s="132" t="s">
        <v>182</v>
      </c>
      <c r="S358" s="132" t="s">
        <v>243</v>
      </c>
      <c r="T358" s="132" t="s">
        <v>413</v>
      </c>
      <c r="U358" s="132" t="s">
        <v>414</v>
      </c>
      <c r="V358" s="132" t="s">
        <v>418</v>
      </c>
      <c r="W358" s="132" t="s">
        <v>182</v>
      </c>
      <c r="X358" s="132" t="s">
        <v>243</v>
      </c>
      <c r="Y358" s="132" t="s">
        <v>243</v>
      </c>
      <c r="Z358" s="132"/>
      <c r="AA358" s="135"/>
      <c r="AB358" s="135" t="s">
        <v>419</v>
      </c>
      <c r="AC358" s="138">
        <v>5000</v>
      </c>
      <c r="AD358" s="135">
        <v>99999999</v>
      </c>
      <c r="AE358" s="132" t="s">
        <v>243</v>
      </c>
      <c r="AF358" s="132" t="s">
        <v>271</v>
      </c>
      <c r="AG358" s="132" t="s">
        <v>243</v>
      </c>
      <c r="AH358" s="132" t="s">
        <v>243</v>
      </c>
      <c r="AI358" s="135">
        <v>0</v>
      </c>
      <c r="AJ358" s="135">
        <v>0</v>
      </c>
      <c r="AK358" s="135">
        <v>0</v>
      </c>
      <c r="AL358" s="135">
        <v>0</v>
      </c>
      <c r="AM358" s="132" t="s">
        <v>182</v>
      </c>
      <c r="AN358" s="135">
        <v>0</v>
      </c>
      <c r="AO358" s="132" t="s">
        <v>243</v>
      </c>
      <c r="AP358" s="135">
        <v>1</v>
      </c>
      <c r="AQ358" s="136">
        <v>1111</v>
      </c>
      <c r="AR358" s="136" t="s">
        <v>415</v>
      </c>
      <c r="AS358" s="136">
        <v>10</v>
      </c>
      <c r="AT358" s="136">
        <v>1</v>
      </c>
      <c r="AU358" s="136">
        <v>0</v>
      </c>
      <c r="AV358" s="136">
        <v>0</v>
      </c>
      <c r="AW358" s="136">
        <v>0</v>
      </c>
      <c r="AX358" s="136">
        <v>0</v>
      </c>
      <c r="AY358" s="136">
        <v>1</v>
      </c>
      <c r="AZ358" s="136">
        <v>0</v>
      </c>
      <c r="BA358" s="137">
        <v>40640.750486111108</v>
      </c>
      <c r="BB358" s="136">
        <v>470195</v>
      </c>
      <c r="BC358" s="136">
        <v>470195</v>
      </c>
      <c r="BD358" s="137">
        <v>45392.67769675926</v>
      </c>
      <c r="BE358" s="136">
        <v>363363</v>
      </c>
      <c r="BF358" s="136">
        <v>363363</v>
      </c>
      <c r="BG358" s="158"/>
    </row>
    <row r="359" spans="2:59" ht="15">
      <c r="B359" s="120" t="s">
        <v>242</v>
      </c>
      <c r="C359" s="132" t="s">
        <v>269</v>
      </c>
      <c r="D359" s="142" t="s">
        <v>460</v>
      </c>
      <c r="E359" s="143" t="s">
        <v>181</v>
      </c>
      <c r="F359" s="139" t="s">
        <v>286</v>
      </c>
      <c r="G359" s="132" t="s">
        <v>243</v>
      </c>
      <c r="H359" s="132" t="s">
        <v>243</v>
      </c>
      <c r="I359" s="135">
        <v>1</v>
      </c>
      <c r="J359" s="136">
        <v>0</v>
      </c>
      <c r="K359" s="132" t="s">
        <v>182</v>
      </c>
      <c r="L359" s="132"/>
      <c r="M359" s="132" t="s">
        <v>155</v>
      </c>
      <c r="N359" s="132" t="s">
        <v>155</v>
      </c>
      <c r="O359" s="132" t="s">
        <v>155</v>
      </c>
      <c r="P359" s="132" t="s">
        <v>155</v>
      </c>
      <c r="Q359" s="134" t="s">
        <v>412</v>
      </c>
      <c r="R359" s="132" t="s">
        <v>243</v>
      </c>
      <c r="S359" s="132" t="s">
        <v>243</v>
      </c>
      <c r="T359" s="132" t="s">
        <v>413</v>
      </c>
      <c r="U359" s="132" t="s">
        <v>414</v>
      </c>
      <c r="V359" s="132" t="s">
        <v>182</v>
      </c>
      <c r="W359" s="132" t="s">
        <v>182</v>
      </c>
      <c r="X359" s="132" t="s">
        <v>243</v>
      </c>
      <c r="Y359" s="132" t="s">
        <v>243</v>
      </c>
      <c r="Z359" s="132" t="s">
        <v>155</v>
      </c>
      <c r="AA359" s="135" t="s">
        <v>155</v>
      </c>
      <c r="AB359" s="135" t="s">
        <v>155</v>
      </c>
      <c r="AC359" s="135">
        <v>1</v>
      </c>
      <c r="AD359" s="135">
        <v>99999999</v>
      </c>
      <c r="AE359" s="132" t="s">
        <v>243</v>
      </c>
      <c r="AF359" s="132" t="s">
        <v>243</v>
      </c>
      <c r="AG359" s="132" t="s">
        <v>243</v>
      </c>
      <c r="AH359" s="132" t="s">
        <v>243</v>
      </c>
      <c r="AI359" s="135">
        <v>0</v>
      </c>
      <c r="AJ359" s="135">
        <v>0</v>
      </c>
      <c r="AK359" s="135">
        <v>0</v>
      </c>
      <c r="AL359" s="135">
        <v>0</v>
      </c>
      <c r="AM359" s="132" t="s">
        <v>182</v>
      </c>
      <c r="AN359" s="135">
        <v>0</v>
      </c>
      <c r="AO359" s="132" t="s">
        <v>243</v>
      </c>
      <c r="AP359" s="135">
        <v>1</v>
      </c>
      <c r="AQ359" s="136" t="s">
        <v>155</v>
      </c>
      <c r="AR359" s="136" t="s">
        <v>415</v>
      </c>
      <c r="AS359" s="136">
        <v>0</v>
      </c>
      <c r="AT359" s="136">
        <v>1</v>
      </c>
      <c r="AU359" s="136">
        <v>0</v>
      </c>
      <c r="AV359" s="136">
        <v>0</v>
      </c>
      <c r="AW359" s="136">
        <v>0</v>
      </c>
      <c r="AX359" s="136">
        <v>0</v>
      </c>
      <c r="AY359" s="136">
        <v>1</v>
      </c>
      <c r="AZ359" s="136">
        <v>0</v>
      </c>
      <c r="BA359" s="137">
        <v>29705</v>
      </c>
      <c r="BB359" s="136" t="s">
        <v>277</v>
      </c>
      <c r="BC359" s="136" t="s">
        <v>277</v>
      </c>
      <c r="BD359" s="137">
        <v>36413</v>
      </c>
      <c r="BE359" s="136" t="s">
        <v>277</v>
      </c>
      <c r="BF359" s="136" t="s">
        <v>277</v>
      </c>
      <c r="BG359" s="158"/>
    </row>
    <row r="360" spans="2:59" ht="14">
      <c r="B360" s="120" t="s">
        <v>242</v>
      </c>
      <c r="C360" s="132" t="s">
        <v>269</v>
      </c>
      <c r="D360" s="142" t="s">
        <v>181</v>
      </c>
      <c r="E360" s="132" t="s">
        <v>285</v>
      </c>
      <c r="F360" s="132" t="s">
        <v>184</v>
      </c>
      <c r="G360" s="132" t="s">
        <v>243</v>
      </c>
      <c r="H360" s="132" t="s">
        <v>243</v>
      </c>
      <c r="I360" s="132">
        <v>0</v>
      </c>
      <c r="J360" s="132">
        <v>30</v>
      </c>
      <c r="K360" s="132" t="s">
        <v>443</v>
      </c>
      <c r="L360" s="132"/>
      <c r="M360" s="132" t="s">
        <v>155</v>
      </c>
      <c r="N360" s="132" t="s">
        <v>155</v>
      </c>
      <c r="O360" s="132" t="s">
        <v>416</v>
      </c>
      <c r="P360" s="132" t="s">
        <v>155</v>
      </c>
      <c r="Q360" s="132" t="s">
        <v>417</v>
      </c>
      <c r="R360" s="132" t="s">
        <v>182</v>
      </c>
      <c r="S360" s="132" t="s">
        <v>243</v>
      </c>
      <c r="T360" s="132" t="s">
        <v>413</v>
      </c>
      <c r="U360" s="132" t="s">
        <v>414</v>
      </c>
      <c r="V360" s="132" t="s">
        <v>418</v>
      </c>
      <c r="W360" s="132" t="s">
        <v>182</v>
      </c>
      <c r="X360" s="132" t="s">
        <v>243</v>
      </c>
      <c r="Y360" s="132" t="s">
        <v>243</v>
      </c>
      <c r="Z360" s="132"/>
      <c r="AA360" s="132"/>
      <c r="AB360" s="132" t="s">
        <v>419</v>
      </c>
      <c r="AC360" s="132">
        <v>5000</v>
      </c>
      <c r="AD360" s="132">
        <v>99999999</v>
      </c>
      <c r="AE360" s="132" t="s">
        <v>243</v>
      </c>
      <c r="AF360" s="132" t="s">
        <v>271</v>
      </c>
      <c r="AG360" s="132" t="s">
        <v>243</v>
      </c>
      <c r="AH360" s="132" t="s">
        <v>243</v>
      </c>
      <c r="AI360" s="132">
        <v>0</v>
      </c>
      <c r="AJ360" s="132">
        <v>0</v>
      </c>
      <c r="AK360" s="132">
        <v>0</v>
      </c>
      <c r="AL360" s="132">
        <v>0</v>
      </c>
      <c r="AM360" s="132" t="s">
        <v>182</v>
      </c>
      <c r="AN360" s="132">
        <v>0</v>
      </c>
      <c r="AO360" s="132" t="s">
        <v>243</v>
      </c>
      <c r="AP360" s="132">
        <v>1</v>
      </c>
      <c r="AQ360" s="132">
        <v>1111</v>
      </c>
      <c r="AR360" s="132" t="s">
        <v>415</v>
      </c>
      <c r="AS360" s="132">
        <v>10</v>
      </c>
      <c r="AT360" s="132">
        <v>1</v>
      </c>
      <c r="AU360" s="132">
        <v>0</v>
      </c>
      <c r="AV360" s="132">
        <v>0</v>
      </c>
      <c r="AW360" s="132">
        <v>0</v>
      </c>
      <c r="AX360" s="132">
        <v>0</v>
      </c>
      <c r="AY360" s="132">
        <v>1</v>
      </c>
      <c r="AZ360" s="132">
        <v>0</v>
      </c>
      <c r="BA360" s="132">
        <v>40640.750486111108</v>
      </c>
      <c r="BB360" s="132">
        <v>470195</v>
      </c>
      <c r="BC360" s="132">
        <v>470195</v>
      </c>
      <c r="BD360" s="132">
        <v>45392.67769675926</v>
      </c>
      <c r="BE360" s="132">
        <v>363363</v>
      </c>
      <c r="BF360" s="132">
        <v>363363</v>
      </c>
      <c r="BG360" s="158"/>
    </row>
    <row r="361" spans="2:59" ht="14">
      <c r="B361" s="163"/>
      <c r="C361" s="164"/>
      <c r="D361" s="164"/>
      <c r="E361" s="164"/>
      <c r="F361" s="164"/>
      <c r="G361" s="164"/>
      <c r="H361" s="164"/>
      <c r="I361" s="164"/>
      <c r="J361" s="164"/>
      <c r="M361" s="164"/>
      <c r="N361" s="164"/>
      <c r="O361" s="164"/>
      <c r="BG361" s="158"/>
    </row>
    <row r="362" spans="2:59" ht="14.5" thickBot="1">
      <c r="B362" s="163"/>
      <c r="C362" s="164" t="s">
        <v>152</v>
      </c>
      <c r="D362" s="164"/>
      <c r="E362" s="164"/>
      <c r="F362" s="164"/>
      <c r="G362" s="164"/>
      <c r="H362" s="164"/>
      <c r="I362" s="164"/>
      <c r="J362" s="164"/>
      <c r="M362" s="164"/>
      <c r="N362" s="164"/>
      <c r="O362" s="164"/>
      <c r="BG362" s="158"/>
    </row>
    <row r="363" spans="2:59" ht="14.5" thickBot="1">
      <c r="B363" s="163"/>
      <c r="C363" s="233" t="s">
        <v>422</v>
      </c>
      <c r="D363" s="233" t="s">
        <v>423</v>
      </c>
      <c r="E363" s="233" t="s">
        <v>158</v>
      </c>
      <c r="F363" s="233" t="s">
        <v>424</v>
      </c>
      <c r="G363" s="233" t="s">
        <v>425</v>
      </c>
      <c r="H363" s="233" t="s">
        <v>426</v>
      </c>
      <c r="I363" s="233" t="s">
        <v>427</v>
      </c>
      <c r="J363" s="233" t="s">
        <v>428</v>
      </c>
      <c r="K363" s="233" t="s">
        <v>429</v>
      </c>
      <c r="L363" s="233" t="s">
        <v>430</v>
      </c>
      <c r="M363" s="233" t="s">
        <v>431</v>
      </c>
      <c r="BG363" s="158"/>
    </row>
    <row r="364" spans="2:59" ht="14.5" thickBot="1">
      <c r="B364" s="163"/>
      <c r="C364" s="233">
        <v>0</v>
      </c>
      <c r="D364" s="233">
        <v>0</v>
      </c>
      <c r="E364" s="233">
        <v>0</v>
      </c>
      <c r="F364" s="233" t="s">
        <v>432</v>
      </c>
      <c r="G364" s="233" t="s">
        <v>432</v>
      </c>
      <c r="H364" s="233">
        <v>1</v>
      </c>
      <c r="I364" s="233">
        <v>4</v>
      </c>
      <c r="J364" s="233">
        <v>5</v>
      </c>
      <c r="K364" s="233">
        <v>0</v>
      </c>
      <c r="L364" s="233">
        <v>30</v>
      </c>
      <c r="M364" s="233">
        <v>0</v>
      </c>
      <c r="BG364" s="158"/>
    </row>
    <row r="365" spans="2:59" ht="14.5" thickBot="1">
      <c r="B365" s="163"/>
      <c r="C365" s="164"/>
      <c r="D365" s="164"/>
      <c r="E365" s="164"/>
      <c r="F365" s="164"/>
      <c r="G365" s="164"/>
      <c r="H365" s="164"/>
      <c r="I365" s="164"/>
      <c r="J365" s="164"/>
      <c r="M365" s="164"/>
      <c r="N365" s="164"/>
      <c r="O365" s="164"/>
      <c r="BG365" s="158"/>
    </row>
    <row r="366" spans="2:59" ht="14" thickBot="1">
      <c r="B366" s="104" t="s">
        <v>527</v>
      </c>
      <c r="C366" s="105" t="s">
        <v>526</v>
      </c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58"/>
    </row>
    <row r="367" spans="2:59" ht="14" thickBot="1">
      <c r="B367" s="140" t="s">
        <v>433</v>
      </c>
      <c r="C367" s="105" t="s">
        <v>227</v>
      </c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58"/>
    </row>
    <row r="368" spans="2:59" ht="14">
      <c r="B368" s="163"/>
      <c r="C368" s="164"/>
      <c r="D368" s="164"/>
      <c r="E368" s="164"/>
      <c r="F368" s="164"/>
      <c r="G368" s="164"/>
      <c r="H368" s="164"/>
      <c r="I368" s="164"/>
      <c r="J368" s="164"/>
      <c r="M368" s="164"/>
      <c r="N368" s="164"/>
      <c r="O368" s="164"/>
      <c r="BG368" s="158"/>
    </row>
    <row r="369" spans="1:59" ht="14">
      <c r="B369" s="163"/>
      <c r="C369" s="161" t="s">
        <v>228</v>
      </c>
      <c r="D369" s="164"/>
      <c r="E369" s="164"/>
      <c r="F369" s="164"/>
      <c r="G369" s="164"/>
      <c r="H369" s="164"/>
      <c r="I369" s="164"/>
      <c r="J369" s="164"/>
      <c r="M369" s="164"/>
      <c r="N369" s="164"/>
      <c r="O369" s="164"/>
      <c r="BG369" s="158"/>
    </row>
    <row r="370" spans="1:59" ht="14">
      <c r="B370" s="163"/>
      <c r="C370" s="164" t="s">
        <v>553</v>
      </c>
      <c r="D370" s="164"/>
      <c r="E370" s="164"/>
      <c r="F370" s="164"/>
      <c r="G370" s="164"/>
      <c r="H370" s="164"/>
      <c r="I370" s="164"/>
      <c r="J370" s="164"/>
      <c r="M370" s="164"/>
      <c r="N370" s="164"/>
      <c r="O370" s="164"/>
      <c r="BG370" s="158"/>
    </row>
    <row r="371" spans="1:59" ht="14">
      <c r="B371" s="163"/>
      <c r="C371" s="164"/>
      <c r="D371" s="164"/>
      <c r="E371" s="164"/>
      <c r="F371" s="164"/>
      <c r="G371" s="164"/>
      <c r="H371" s="164"/>
      <c r="I371" s="164"/>
      <c r="J371" s="164"/>
      <c r="M371" s="164"/>
      <c r="N371" s="164"/>
      <c r="O371" s="164"/>
      <c r="BG371" s="158"/>
    </row>
    <row r="372" spans="1:59" s="27" customFormat="1" ht="19.5" customHeight="1">
      <c r="B372" s="167"/>
      <c r="C372" s="125" t="s">
        <v>268</v>
      </c>
      <c r="D372" s="126"/>
      <c r="E372" s="12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7"/>
      <c r="Y372" s="66"/>
      <c r="Z372" s="66"/>
      <c r="AA372" s="66"/>
      <c r="AB372" s="66"/>
      <c r="AC372" s="66"/>
      <c r="AD372" s="111"/>
      <c r="AH372" s="108"/>
      <c r="AJ372" s="67"/>
      <c r="AK372" s="67"/>
      <c r="AL372" s="67"/>
      <c r="AM372" s="67"/>
      <c r="AN372" s="68"/>
      <c r="AO372" s="68"/>
      <c r="AP372" s="68"/>
      <c r="BG372" s="94"/>
    </row>
    <row r="373" spans="1:59" s="70" customFormat="1" ht="16.5" customHeight="1">
      <c r="A373" s="98"/>
      <c r="B373" s="168"/>
      <c r="C373" s="127"/>
      <c r="D373" s="127"/>
      <c r="E373" s="127"/>
      <c r="F373" s="124" t="s">
        <v>168</v>
      </c>
      <c r="G373" s="124" t="s">
        <v>168</v>
      </c>
      <c r="H373" s="124" t="s">
        <v>168</v>
      </c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H373" s="109"/>
      <c r="AI373" s="69"/>
      <c r="AJ373" s="69"/>
      <c r="AK373" s="69"/>
      <c r="AL373" s="69"/>
      <c r="AM373" s="69"/>
      <c r="BG373" s="169"/>
    </row>
    <row r="374" spans="1:59" s="76" customFormat="1" ht="92" customHeight="1">
      <c r="A374" s="71"/>
      <c r="B374" s="170"/>
      <c r="C374" s="117" t="s">
        <v>171</v>
      </c>
      <c r="D374" s="117" t="s">
        <v>172</v>
      </c>
      <c r="E374" s="117" t="s">
        <v>173</v>
      </c>
      <c r="F374" s="119" t="s">
        <v>91</v>
      </c>
      <c r="G374" s="119" t="s">
        <v>67</v>
      </c>
      <c r="H374" s="119" t="s">
        <v>69</v>
      </c>
      <c r="I374" s="119" t="s">
        <v>289</v>
      </c>
      <c r="J374" s="119" t="s">
        <v>290</v>
      </c>
      <c r="K374" s="119" t="s">
        <v>291</v>
      </c>
      <c r="L374" s="119" t="s">
        <v>292</v>
      </c>
      <c r="M374" s="119" t="s">
        <v>293</v>
      </c>
      <c r="N374" s="119" t="s">
        <v>294</v>
      </c>
      <c r="O374" s="119" t="s">
        <v>295</v>
      </c>
      <c r="P374" s="119" t="s">
        <v>296</v>
      </c>
      <c r="Q374" s="119" t="s">
        <v>297</v>
      </c>
      <c r="R374" s="119" t="s">
        <v>298</v>
      </c>
      <c r="S374" s="119" t="s">
        <v>299</v>
      </c>
      <c r="T374" s="119" t="s">
        <v>300</v>
      </c>
      <c r="U374" s="119" t="s">
        <v>301</v>
      </c>
      <c r="V374" s="119" t="s">
        <v>302</v>
      </c>
      <c r="W374" s="119" t="s">
        <v>303</v>
      </c>
      <c r="X374" s="119" t="s">
        <v>229</v>
      </c>
      <c r="Y374" s="119" t="s">
        <v>230</v>
      </c>
      <c r="Z374" s="119" t="s">
        <v>231</v>
      </c>
      <c r="AA374" s="119" t="s">
        <v>232</v>
      </c>
      <c r="AB374" s="119" t="s">
        <v>150</v>
      </c>
      <c r="AC374" s="119" t="s">
        <v>151</v>
      </c>
      <c r="AD374" s="119" t="s">
        <v>233</v>
      </c>
      <c r="AH374" s="110"/>
      <c r="AI374" s="67"/>
      <c r="AJ374" s="74"/>
      <c r="AK374" s="74"/>
      <c r="AL374" s="74"/>
      <c r="AM374" s="74"/>
      <c r="AN374" s="75"/>
      <c r="AO374" s="75"/>
      <c r="AP374" s="75"/>
      <c r="BG374" s="171"/>
    </row>
    <row r="375" spans="1:59" s="76" customFormat="1" ht="15">
      <c r="A375" s="71"/>
      <c r="B375" s="170"/>
      <c r="C375" s="117" t="s">
        <v>205</v>
      </c>
      <c r="D375" s="117" t="s">
        <v>214</v>
      </c>
      <c r="E375" s="117" t="s">
        <v>222</v>
      </c>
      <c r="F375" s="118" t="s">
        <v>250</v>
      </c>
      <c r="G375" s="118" t="s">
        <v>251</v>
      </c>
      <c r="H375" s="118" t="s">
        <v>253</v>
      </c>
      <c r="I375" s="118" t="s">
        <v>252</v>
      </c>
      <c r="J375" s="118" t="s">
        <v>254</v>
      </c>
      <c r="K375" s="118" t="s">
        <v>255</v>
      </c>
      <c r="L375" s="118" t="s">
        <v>256</v>
      </c>
      <c r="M375" s="118" t="s">
        <v>257</v>
      </c>
      <c r="N375" s="118" t="s">
        <v>258</v>
      </c>
      <c r="O375" s="118" t="s">
        <v>259</v>
      </c>
      <c r="P375" s="118" t="s">
        <v>260</v>
      </c>
      <c r="Q375" s="118" t="s">
        <v>261</v>
      </c>
      <c r="R375" s="118" t="s">
        <v>262</v>
      </c>
      <c r="S375" s="118" t="s">
        <v>263</v>
      </c>
      <c r="T375" s="118" t="s">
        <v>264</v>
      </c>
      <c r="U375" s="118" t="s">
        <v>265</v>
      </c>
      <c r="V375" s="118" t="s">
        <v>266</v>
      </c>
      <c r="W375" s="118" t="s">
        <v>267</v>
      </c>
      <c r="X375" s="118" t="s">
        <v>235</v>
      </c>
      <c r="Y375" s="118" t="s">
        <v>236</v>
      </c>
      <c r="Z375" s="118" t="s">
        <v>237</v>
      </c>
      <c r="AA375" s="118" t="s">
        <v>238</v>
      </c>
      <c r="AB375" s="118" t="s">
        <v>239</v>
      </c>
      <c r="AC375" s="118" t="s">
        <v>240</v>
      </c>
      <c r="AD375" s="118" t="s">
        <v>241</v>
      </c>
      <c r="AH375" s="110"/>
      <c r="AI375" s="67"/>
      <c r="AJ375" s="74"/>
      <c r="AK375" s="74"/>
      <c r="AL375" s="74"/>
      <c r="AM375" s="74"/>
      <c r="AN375" s="75"/>
      <c r="AO375" s="75"/>
      <c r="AP375" s="75"/>
      <c r="BG375" s="171"/>
    </row>
    <row r="376" spans="1:59" s="68" customFormat="1" ht="13.5" customHeight="1">
      <c r="A376" s="77"/>
      <c r="B376" s="172"/>
      <c r="C376" s="117" t="s">
        <v>304</v>
      </c>
      <c r="D376" s="117" t="s">
        <v>305</v>
      </c>
      <c r="E376" s="117" t="s">
        <v>305</v>
      </c>
      <c r="F376" s="119" t="s">
        <v>306</v>
      </c>
      <c r="G376" s="119" t="s">
        <v>306</v>
      </c>
      <c r="H376" s="119" t="s">
        <v>307</v>
      </c>
      <c r="I376" s="119" t="s">
        <v>306</v>
      </c>
      <c r="J376" s="119" t="s">
        <v>308</v>
      </c>
      <c r="K376" s="119" t="s">
        <v>309</v>
      </c>
      <c r="L376" s="118" t="s">
        <v>310</v>
      </c>
      <c r="M376" s="119" t="s">
        <v>310</v>
      </c>
      <c r="N376" s="119" t="s">
        <v>311</v>
      </c>
      <c r="O376" s="119" t="s">
        <v>306</v>
      </c>
      <c r="P376" s="119" t="s">
        <v>312</v>
      </c>
      <c r="Q376" s="119" t="s">
        <v>313</v>
      </c>
      <c r="R376" s="119" t="s">
        <v>312</v>
      </c>
      <c r="S376" s="119" t="s">
        <v>314</v>
      </c>
      <c r="T376" s="118" t="s">
        <v>315</v>
      </c>
      <c r="U376" s="119" t="s">
        <v>315</v>
      </c>
      <c r="V376" s="119" t="s">
        <v>316</v>
      </c>
      <c r="W376" s="119" t="s">
        <v>306</v>
      </c>
      <c r="X376" s="119" t="s">
        <v>317</v>
      </c>
      <c r="Y376" s="119" t="s">
        <v>319</v>
      </c>
      <c r="Z376" s="119" t="s">
        <v>320</v>
      </c>
      <c r="AA376" s="119" t="s">
        <v>320</v>
      </c>
      <c r="AB376" s="118" t="s">
        <v>318</v>
      </c>
      <c r="AC376" s="119" t="s">
        <v>320</v>
      </c>
      <c r="AD376" s="119" t="s">
        <v>320</v>
      </c>
      <c r="AH376" s="108"/>
      <c r="AI376" s="67"/>
      <c r="AJ376" s="67"/>
      <c r="AK376" s="67"/>
      <c r="AL376" s="67"/>
      <c r="AM376" s="67"/>
      <c r="BG376" s="173"/>
    </row>
    <row r="377" spans="1:59" s="27" customFormat="1" ht="13.5" customHeight="1">
      <c r="A377" s="80"/>
      <c r="B377" s="120" t="s">
        <v>242</v>
      </c>
      <c r="C377" s="142" t="s">
        <v>515</v>
      </c>
      <c r="D377" s="118" t="s">
        <v>270</v>
      </c>
      <c r="E377" s="143" t="s">
        <v>461</v>
      </c>
      <c r="F377" s="119" t="s">
        <v>182</v>
      </c>
      <c r="G377" s="119" t="s">
        <v>271</v>
      </c>
      <c r="H377" s="119" t="s">
        <v>183</v>
      </c>
      <c r="I377" s="119" t="s">
        <v>271</v>
      </c>
      <c r="J377" s="119" t="s">
        <v>272</v>
      </c>
      <c r="K377" s="119" t="s">
        <v>243</v>
      </c>
      <c r="L377" s="118" t="s">
        <v>155</v>
      </c>
      <c r="M377" s="119" t="s">
        <v>273</v>
      </c>
      <c r="N377" s="119"/>
      <c r="O377" s="119" t="s">
        <v>182</v>
      </c>
      <c r="P377" s="119" t="s">
        <v>155</v>
      </c>
      <c r="Q377" s="119" t="s">
        <v>274</v>
      </c>
      <c r="R377" s="119" t="s">
        <v>275</v>
      </c>
      <c r="S377" s="119"/>
      <c r="T377" s="118" t="s">
        <v>155</v>
      </c>
      <c r="U377" s="119" t="s">
        <v>155</v>
      </c>
      <c r="V377" s="119" t="s">
        <v>155</v>
      </c>
      <c r="W377" s="119"/>
      <c r="X377" s="119" t="s">
        <v>243</v>
      </c>
      <c r="Y377" s="119" t="s">
        <v>276</v>
      </c>
      <c r="Z377" s="119" t="s">
        <v>277</v>
      </c>
      <c r="AA377" s="119" t="s">
        <v>277</v>
      </c>
      <c r="AB377" s="118" t="s">
        <v>278</v>
      </c>
      <c r="AC377" s="119" t="s">
        <v>279</v>
      </c>
      <c r="AD377" s="119" t="s">
        <v>279</v>
      </c>
      <c r="AH377" s="108"/>
      <c r="AI377" s="67"/>
      <c r="AJ377" s="67"/>
      <c r="AK377" s="83"/>
      <c r="AL377" s="67"/>
      <c r="AM377" s="67"/>
      <c r="AN377" s="68"/>
      <c r="AO377" s="68"/>
      <c r="AP377" s="68"/>
      <c r="BG377" s="94"/>
    </row>
    <row r="378" spans="1:59" s="27" customFormat="1" ht="13.5" customHeight="1">
      <c r="A378" s="84"/>
      <c r="B378" s="122" t="s">
        <v>244</v>
      </c>
      <c r="C378" s="121" t="s">
        <v>516</v>
      </c>
      <c r="D378" s="118" t="s">
        <v>270</v>
      </c>
      <c r="E378" s="119" t="s">
        <v>461</v>
      </c>
      <c r="F378" s="119" t="s">
        <v>182</v>
      </c>
      <c r="G378" s="119" t="s">
        <v>182</v>
      </c>
      <c r="H378" s="119" t="s">
        <v>183</v>
      </c>
      <c r="I378" s="132"/>
      <c r="J378" s="119" t="s">
        <v>183</v>
      </c>
      <c r="K378" s="119" t="s">
        <v>243</v>
      </c>
      <c r="L378" s="118" t="s">
        <v>280</v>
      </c>
      <c r="M378" s="119" t="s">
        <v>273</v>
      </c>
      <c r="N378" s="119"/>
      <c r="O378" s="119" t="s">
        <v>243</v>
      </c>
      <c r="P378" s="119" t="s">
        <v>155</v>
      </c>
      <c r="Q378" s="119" t="s">
        <v>183</v>
      </c>
      <c r="R378" s="119" t="s">
        <v>281</v>
      </c>
      <c r="S378" s="119"/>
      <c r="T378" s="118" t="s">
        <v>155</v>
      </c>
      <c r="U378" s="119" t="s">
        <v>155</v>
      </c>
      <c r="V378" s="119" t="s">
        <v>155</v>
      </c>
      <c r="W378" s="119"/>
      <c r="X378" s="119" t="s">
        <v>243</v>
      </c>
      <c r="Y378" s="119" t="s">
        <v>282</v>
      </c>
      <c r="Z378" s="119" t="s">
        <v>283</v>
      </c>
      <c r="AA378" s="119">
        <v>470195</v>
      </c>
      <c r="AB378" s="118" t="s">
        <v>282</v>
      </c>
      <c r="AC378" s="119">
        <v>470195</v>
      </c>
      <c r="AD378" s="119" t="s">
        <v>283</v>
      </c>
      <c r="AH378" s="108"/>
      <c r="AI378" s="67"/>
      <c r="AJ378" s="61"/>
      <c r="AK378" s="83"/>
      <c r="AL378" s="67"/>
      <c r="AM378" s="67"/>
      <c r="AN378" s="68"/>
      <c r="AO378" s="68"/>
      <c r="AP378" s="68"/>
      <c r="BG378" s="94"/>
    </row>
    <row r="379" spans="1:59" s="27" customFormat="1" ht="13.5" customHeight="1">
      <c r="A379" s="85"/>
      <c r="B379" s="120" t="s">
        <v>242</v>
      </c>
      <c r="C379" s="142" t="s">
        <v>476</v>
      </c>
      <c r="D379" s="121" t="s">
        <v>270</v>
      </c>
      <c r="E379" s="121" t="s">
        <v>270</v>
      </c>
      <c r="F379" s="121" t="s">
        <v>182</v>
      </c>
      <c r="G379" s="121" t="s">
        <v>271</v>
      </c>
      <c r="H379" s="121" t="s">
        <v>183</v>
      </c>
      <c r="I379" s="121" t="s">
        <v>271</v>
      </c>
      <c r="J379" s="121" t="s">
        <v>477</v>
      </c>
      <c r="K379" s="121" t="s">
        <v>243</v>
      </c>
      <c r="L379" s="121" t="s">
        <v>155</v>
      </c>
      <c r="M379" s="121" t="s">
        <v>273</v>
      </c>
      <c r="N379" s="121"/>
      <c r="O379" s="121" t="s">
        <v>182</v>
      </c>
      <c r="P379" s="121" t="s">
        <v>155</v>
      </c>
      <c r="Q379" s="121" t="s">
        <v>274</v>
      </c>
      <c r="R379" s="121" t="s">
        <v>478</v>
      </c>
      <c r="S379" s="121"/>
      <c r="T379" s="121" t="s">
        <v>479</v>
      </c>
      <c r="U379" s="121" t="s">
        <v>480</v>
      </c>
      <c r="V379" s="121" t="s">
        <v>481</v>
      </c>
      <c r="W379" s="121"/>
      <c r="X379" s="121" t="s">
        <v>243</v>
      </c>
      <c r="Y379" s="121" t="s">
        <v>276</v>
      </c>
      <c r="Z379" s="121" t="s">
        <v>277</v>
      </c>
      <c r="AA379" s="121" t="s">
        <v>277</v>
      </c>
      <c r="AB379" s="121" t="s">
        <v>482</v>
      </c>
      <c r="AC379" s="121">
        <v>375901</v>
      </c>
      <c r="AD379" s="121" t="s">
        <v>483</v>
      </c>
      <c r="AH379" s="108"/>
      <c r="AI379" s="67"/>
      <c r="AJ379" s="61"/>
      <c r="AK379" s="83"/>
      <c r="AL379" s="67"/>
      <c r="AM379" s="67"/>
      <c r="AN379" s="68"/>
      <c r="AO379" s="68"/>
      <c r="AP379" s="68"/>
      <c r="BG379" s="94"/>
    </row>
    <row r="380" spans="1:59" s="27" customFormat="1" ht="13.5" customHeight="1">
      <c r="A380" s="85"/>
      <c r="B380" s="120" t="s">
        <v>242</v>
      </c>
      <c r="C380" s="142" t="s">
        <v>490</v>
      </c>
      <c r="D380" s="132" t="s">
        <v>270</v>
      </c>
      <c r="E380" s="132" t="s">
        <v>270</v>
      </c>
      <c r="F380" s="132" t="s">
        <v>182</v>
      </c>
      <c r="G380" s="132" t="s">
        <v>271</v>
      </c>
      <c r="H380" s="132" t="s">
        <v>183</v>
      </c>
      <c r="I380" s="132" t="s">
        <v>271</v>
      </c>
      <c r="J380" s="132" t="s">
        <v>484</v>
      </c>
      <c r="K380" s="132" t="s">
        <v>243</v>
      </c>
      <c r="L380" s="132" t="s">
        <v>485</v>
      </c>
      <c r="M380" s="132" t="s">
        <v>273</v>
      </c>
      <c r="N380" s="132"/>
      <c r="O380" s="132" t="s">
        <v>271</v>
      </c>
      <c r="P380" s="132" t="s">
        <v>155</v>
      </c>
      <c r="Q380" s="132" t="s">
        <v>486</v>
      </c>
      <c r="R380" s="132" t="s">
        <v>275</v>
      </c>
      <c r="S380" s="132"/>
      <c r="T380" s="132" t="s">
        <v>155</v>
      </c>
      <c r="U380" s="132" t="s">
        <v>155</v>
      </c>
      <c r="V380" s="132" t="s">
        <v>155</v>
      </c>
      <c r="W380" s="132"/>
      <c r="X380" s="132" t="s">
        <v>243</v>
      </c>
      <c r="Y380" s="132" t="s">
        <v>487</v>
      </c>
      <c r="Z380" s="132" t="s">
        <v>277</v>
      </c>
      <c r="AA380" s="132" t="s">
        <v>277</v>
      </c>
      <c r="AB380" s="132" t="s">
        <v>488</v>
      </c>
      <c r="AC380" s="132" t="s">
        <v>489</v>
      </c>
      <c r="AD380" s="132" t="s">
        <v>489</v>
      </c>
      <c r="AH380" s="108"/>
      <c r="AI380" s="67"/>
      <c r="AJ380" s="61"/>
      <c r="AK380" s="83"/>
      <c r="AL380" s="67"/>
      <c r="AM380" s="67"/>
      <c r="AN380" s="68"/>
      <c r="AO380" s="68"/>
      <c r="AP380" s="68"/>
      <c r="BG380" s="94"/>
    </row>
    <row r="381" spans="1:59" ht="14">
      <c r="B381" s="163"/>
      <c r="C381" s="164"/>
      <c r="D381" s="164"/>
      <c r="E381" s="164"/>
      <c r="F381" s="164"/>
      <c r="G381" s="164"/>
      <c r="H381" s="164"/>
      <c r="I381" s="164"/>
      <c r="J381" s="164"/>
      <c r="M381" s="164"/>
      <c r="N381" s="164"/>
      <c r="O381" s="164"/>
      <c r="BG381" s="158"/>
    </row>
    <row r="382" spans="1:59" ht="15">
      <c r="B382" s="163"/>
      <c r="C382" s="257" t="s">
        <v>321</v>
      </c>
      <c r="D382" s="258"/>
      <c r="E382" s="258"/>
      <c r="F382" s="258"/>
      <c r="G382" s="258"/>
      <c r="H382" s="258"/>
      <c r="I382" s="258"/>
      <c r="J382" s="258"/>
      <c r="K382" s="258"/>
      <c r="L382" s="258"/>
      <c r="M382" s="258"/>
      <c r="N382" s="258"/>
      <c r="O382" s="258"/>
      <c r="P382" s="258"/>
      <c r="Q382" s="258"/>
      <c r="R382" s="258"/>
      <c r="S382" s="258"/>
      <c r="T382" s="258"/>
      <c r="U382" s="90"/>
      <c r="V382" s="90"/>
      <c r="W382" s="90"/>
      <c r="X382" s="90"/>
      <c r="Y382" s="90"/>
      <c r="Z382" s="90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2"/>
      <c r="AQ382" s="92"/>
      <c r="AR382" s="92"/>
      <c r="AS382" s="92"/>
      <c r="AT382" s="92"/>
      <c r="AU382" s="92"/>
      <c r="AV382" s="92"/>
      <c r="AW382" s="92"/>
      <c r="AX382" s="92"/>
      <c r="AY382" s="92"/>
      <c r="AZ382" s="92"/>
      <c r="BA382" s="92"/>
      <c r="BB382" s="92"/>
      <c r="BC382" s="92"/>
      <c r="BD382" s="92"/>
      <c r="BE382" s="92"/>
      <c r="BF382" s="92"/>
      <c r="BG382" s="158"/>
    </row>
    <row r="383" spans="1:59" ht="15">
      <c r="B383" s="163"/>
      <c r="C383" s="127"/>
      <c r="D383" s="127"/>
      <c r="E383" s="127"/>
      <c r="F383" s="124" t="s">
        <v>168</v>
      </c>
      <c r="G383" s="124" t="s">
        <v>168</v>
      </c>
      <c r="H383" s="129" t="s">
        <v>168</v>
      </c>
      <c r="I383" s="124" t="s">
        <v>168</v>
      </c>
      <c r="J383" s="124" t="s">
        <v>168</v>
      </c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30"/>
      <c r="AB383" s="130"/>
      <c r="AC383" s="130"/>
      <c r="AD383" s="130"/>
      <c r="AE383" s="130"/>
      <c r="AF383" s="130"/>
      <c r="AG383" s="130"/>
      <c r="AH383" s="130"/>
      <c r="AI383" s="130"/>
      <c r="AJ383" s="130"/>
      <c r="AK383" s="130"/>
      <c r="AL383" s="130"/>
      <c r="AM383" s="130"/>
      <c r="AN383" s="130"/>
      <c r="AO383" s="130"/>
      <c r="AP383" s="130"/>
      <c r="AQ383" s="130"/>
      <c r="AR383" s="130"/>
      <c r="AS383" s="130"/>
      <c r="AT383" s="130"/>
      <c r="AU383" s="130"/>
      <c r="AV383" s="130"/>
      <c r="AW383" s="130"/>
      <c r="AX383" s="130"/>
      <c r="AY383" s="130"/>
      <c r="AZ383" s="130"/>
      <c r="BA383" s="130"/>
      <c r="BB383" s="130"/>
      <c r="BC383" s="130"/>
      <c r="BD383" s="130"/>
      <c r="BE383" s="130"/>
      <c r="BF383" s="130"/>
      <c r="BG383" s="158"/>
    </row>
    <row r="384" spans="1:59" ht="25">
      <c r="B384" s="163"/>
      <c r="C384" s="117" t="s">
        <v>365</v>
      </c>
      <c r="D384" s="117" t="s">
        <v>420</v>
      </c>
      <c r="E384" s="117" t="s">
        <v>421</v>
      </c>
      <c r="F384" s="119" t="s">
        <v>96</v>
      </c>
      <c r="G384" s="119" t="s">
        <v>99</v>
      </c>
      <c r="H384" s="119" t="s">
        <v>130</v>
      </c>
      <c r="I384" s="119" t="s">
        <v>391</v>
      </c>
      <c r="J384" s="119" t="s">
        <v>127</v>
      </c>
      <c r="K384" s="119" t="s">
        <v>67</v>
      </c>
      <c r="L384" s="119" t="s">
        <v>288</v>
      </c>
      <c r="M384" s="119" t="s">
        <v>366</v>
      </c>
      <c r="N384" s="119" t="s">
        <v>367</v>
      </c>
      <c r="O384" s="119" t="s">
        <v>368</v>
      </c>
      <c r="P384" s="119" t="s">
        <v>369</v>
      </c>
      <c r="Q384" s="119" t="s">
        <v>370</v>
      </c>
      <c r="R384" s="119" t="s">
        <v>371</v>
      </c>
      <c r="S384" s="119" t="s">
        <v>372</v>
      </c>
      <c r="T384" s="119" t="s">
        <v>373</v>
      </c>
      <c r="U384" s="119" t="s">
        <v>374</v>
      </c>
      <c r="V384" s="119" t="s">
        <v>375</v>
      </c>
      <c r="W384" s="119" t="s">
        <v>376</v>
      </c>
      <c r="X384" s="119" t="s">
        <v>377</v>
      </c>
      <c r="Y384" s="119" t="s">
        <v>378</v>
      </c>
      <c r="Z384" s="119" t="s">
        <v>379</v>
      </c>
      <c r="AA384" s="119" t="s">
        <v>380</v>
      </c>
      <c r="AB384" s="119" t="s">
        <v>381</v>
      </c>
      <c r="AC384" s="119" t="s">
        <v>382</v>
      </c>
      <c r="AD384" s="119" t="s">
        <v>383</v>
      </c>
      <c r="AE384" s="119" t="s">
        <v>384</v>
      </c>
      <c r="AF384" s="119" t="s">
        <v>385</v>
      </c>
      <c r="AG384" s="119" t="s">
        <v>386</v>
      </c>
      <c r="AH384" s="119" t="s">
        <v>387</v>
      </c>
      <c r="AI384" s="119" t="s">
        <v>388</v>
      </c>
      <c r="AJ384" s="119" t="s">
        <v>390</v>
      </c>
      <c r="AK384" s="119" t="s">
        <v>389</v>
      </c>
      <c r="AL384" s="119" t="s">
        <v>398</v>
      </c>
      <c r="AM384" s="119" t="s">
        <v>392</v>
      </c>
      <c r="AN384" s="119" t="s">
        <v>393</v>
      </c>
      <c r="AO384" s="119" t="s">
        <v>394</v>
      </c>
      <c r="AP384" s="119" t="s">
        <v>395</v>
      </c>
      <c r="AQ384" s="119" t="s">
        <v>399</v>
      </c>
      <c r="AR384" s="119" t="s">
        <v>396</v>
      </c>
      <c r="AS384" s="119" t="s">
        <v>397</v>
      </c>
      <c r="AT384" s="119" t="s">
        <v>400</v>
      </c>
      <c r="AU384" s="119" t="s">
        <v>401</v>
      </c>
      <c r="AV384" s="119" t="s">
        <v>402</v>
      </c>
      <c r="AW384" s="119" t="s">
        <v>403</v>
      </c>
      <c r="AX384" s="119" t="s">
        <v>404</v>
      </c>
      <c r="AY384" s="119" t="s">
        <v>405</v>
      </c>
      <c r="AZ384" s="119" t="s">
        <v>229</v>
      </c>
      <c r="BA384" s="119" t="s">
        <v>230</v>
      </c>
      <c r="BB384" s="119" t="s">
        <v>231</v>
      </c>
      <c r="BC384" s="119" t="s">
        <v>232</v>
      </c>
      <c r="BD384" s="119" t="s">
        <v>150</v>
      </c>
      <c r="BE384" s="119" t="s">
        <v>151</v>
      </c>
      <c r="BF384" s="119" t="s">
        <v>233</v>
      </c>
      <c r="BG384" s="158"/>
    </row>
    <row r="385" spans="2:59">
      <c r="B385" s="163"/>
      <c r="C385" s="117" t="s">
        <v>205</v>
      </c>
      <c r="D385" s="117" t="s">
        <v>214</v>
      </c>
      <c r="E385" s="117" t="s">
        <v>222</v>
      </c>
      <c r="F385" s="118" t="s">
        <v>322</v>
      </c>
      <c r="G385" s="118" t="s">
        <v>323</v>
      </c>
      <c r="H385" s="118" t="s">
        <v>324</v>
      </c>
      <c r="I385" s="118" t="s">
        <v>351</v>
      </c>
      <c r="J385" s="118" t="s">
        <v>357</v>
      </c>
      <c r="K385" s="118" t="s">
        <v>251</v>
      </c>
      <c r="L385" s="118" t="s">
        <v>252</v>
      </c>
      <c r="M385" s="118" t="s">
        <v>325</v>
      </c>
      <c r="N385" s="118" t="s">
        <v>326</v>
      </c>
      <c r="O385" s="118" t="s">
        <v>327</v>
      </c>
      <c r="P385" s="118" t="s">
        <v>328</v>
      </c>
      <c r="Q385" s="118" t="s">
        <v>329</v>
      </c>
      <c r="R385" s="118" t="s">
        <v>330</v>
      </c>
      <c r="S385" s="118" t="s">
        <v>331</v>
      </c>
      <c r="T385" s="118" t="s">
        <v>332</v>
      </c>
      <c r="U385" s="118" t="s">
        <v>333</v>
      </c>
      <c r="V385" s="118" t="s">
        <v>334</v>
      </c>
      <c r="W385" s="118" t="s">
        <v>335</v>
      </c>
      <c r="X385" s="118" t="s">
        <v>336</v>
      </c>
      <c r="Y385" s="118" t="s">
        <v>337</v>
      </c>
      <c r="Z385" s="118" t="s">
        <v>338</v>
      </c>
      <c r="AA385" s="118" t="s">
        <v>339</v>
      </c>
      <c r="AB385" s="118" t="s">
        <v>340</v>
      </c>
      <c r="AC385" s="118" t="s">
        <v>341</v>
      </c>
      <c r="AD385" s="118" t="s">
        <v>342</v>
      </c>
      <c r="AE385" s="118" t="s">
        <v>343</v>
      </c>
      <c r="AF385" s="118" t="s">
        <v>344</v>
      </c>
      <c r="AG385" s="118" t="s">
        <v>345</v>
      </c>
      <c r="AH385" s="118" t="s">
        <v>346</v>
      </c>
      <c r="AI385" s="118" t="s">
        <v>347</v>
      </c>
      <c r="AJ385" s="118" t="s">
        <v>348</v>
      </c>
      <c r="AK385" s="118" t="s">
        <v>349</v>
      </c>
      <c r="AL385" s="118" t="s">
        <v>350</v>
      </c>
      <c r="AM385" s="118" t="s">
        <v>352</v>
      </c>
      <c r="AN385" s="118" t="s">
        <v>353</v>
      </c>
      <c r="AO385" s="118" t="s">
        <v>354</v>
      </c>
      <c r="AP385" s="118" t="s">
        <v>234</v>
      </c>
      <c r="AQ385" s="118" t="s">
        <v>355</v>
      </c>
      <c r="AR385" s="118" t="s">
        <v>356</v>
      </c>
      <c r="AS385" s="118" t="s">
        <v>358</v>
      </c>
      <c r="AT385" s="118" t="s">
        <v>359</v>
      </c>
      <c r="AU385" s="118" t="s">
        <v>360</v>
      </c>
      <c r="AV385" s="118" t="s">
        <v>361</v>
      </c>
      <c r="AW385" s="118" t="s">
        <v>362</v>
      </c>
      <c r="AX385" s="118" t="s">
        <v>363</v>
      </c>
      <c r="AY385" s="118" t="s">
        <v>364</v>
      </c>
      <c r="AZ385" s="118" t="s">
        <v>235</v>
      </c>
      <c r="BA385" s="118" t="s">
        <v>236</v>
      </c>
      <c r="BB385" s="118" t="s">
        <v>237</v>
      </c>
      <c r="BC385" s="118" t="s">
        <v>238</v>
      </c>
      <c r="BD385" s="118" t="s">
        <v>239</v>
      </c>
      <c r="BE385" s="118" t="s">
        <v>240</v>
      </c>
      <c r="BF385" s="118" t="s">
        <v>241</v>
      </c>
      <c r="BG385" s="158"/>
    </row>
    <row r="386" spans="2:59">
      <c r="B386" s="163"/>
      <c r="C386" s="117" t="s">
        <v>304</v>
      </c>
      <c r="D386" s="117" t="s">
        <v>406</v>
      </c>
      <c r="E386" s="117" t="s">
        <v>305</v>
      </c>
      <c r="F386" s="131" t="s">
        <v>306</v>
      </c>
      <c r="G386" s="131" t="s">
        <v>306</v>
      </c>
      <c r="H386" s="131" t="s">
        <v>306</v>
      </c>
      <c r="I386" s="131" t="s">
        <v>306</v>
      </c>
      <c r="J386" s="131" t="s">
        <v>308</v>
      </c>
      <c r="K386" s="131" t="s">
        <v>306</v>
      </c>
      <c r="L386" s="131" t="s">
        <v>306</v>
      </c>
      <c r="M386" s="131" t="s">
        <v>407</v>
      </c>
      <c r="N386" s="131" t="s">
        <v>407</v>
      </c>
      <c r="O386" s="131" t="s">
        <v>305</v>
      </c>
      <c r="P386" s="131" t="s">
        <v>408</v>
      </c>
      <c r="Q386" s="131" t="s">
        <v>306</v>
      </c>
      <c r="R386" s="131" t="s">
        <v>313</v>
      </c>
      <c r="S386" s="131" t="s">
        <v>308</v>
      </c>
      <c r="T386" s="131" t="s">
        <v>313</v>
      </c>
      <c r="U386" s="131" t="s">
        <v>308</v>
      </c>
      <c r="V386" s="131" t="s">
        <v>308</v>
      </c>
      <c r="W386" s="131" t="s">
        <v>306</v>
      </c>
      <c r="X386" s="131" t="s">
        <v>409</v>
      </c>
      <c r="Y386" s="131" t="s">
        <v>409</v>
      </c>
      <c r="Z386" s="131" t="s">
        <v>310</v>
      </c>
      <c r="AA386" s="131" t="s">
        <v>408</v>
      </c>
      <c r="AB386" s="131" t="s">
        <v>408</v>
      </c>
      <c r="AC386" s="131" t="s">
        <v>308</v>
      </c>
      <c r="AD386" s="131" t="s">
        <v>312</v>
      </c>
      <c r="AE386" s="131" t="s">
        <v>313</v>
      </c>
      <c r="AF386" s="131" t="s">
        <v>313</v>
      </c>
      <c r="AG386" s="131" t="s">
        <v>410</v>
      </c>
      <c r="AH386" s="131" t="s">
        <v>410</v>
      </c>
      <c r="AI386" s="131" t="s">
        <v>313</v>
      </c>
      <c r="AJ386" s="131" t="s">
        <v>313</v>
      </c>
      <c r="AK386" s="131" t="s">
        <v>410</v>
      </c>
      <c r="AL386" s="131" t="s">
        <v>410</v>
      </c>
      <c r="AM386" s="131" t="s">
        <v>306</v>
      </c>
      <c r="AN386" s="131" t="s">
        <v>306</v>
      </c>
      <c r="AO386" s="131" t="s">
        <v>306</v>
      </c>
      <c r="AP386" s="131" t="s">
        <v>310</v>
      </c>
      <c r="AQ386" s="131" t="s">
        <v>305</v>
      </c>
      <c r="AR386" s="131" t="s">
        <v>306</v>
      </c>
      <c r="AS386" s="131" t="s">
        <v>308</v>
      </c>
      <c r="AT386" s="131" t="s">
        <v>306</v>
      </c>
      <c r="AU386" s="131" t="s">
        <v>411</v>
      </c>
      <c r="AV386" s="131" t="s">
        <v>313</v>
      </c>
      <c r="AW386" s="131" t="s">
        <v>310</v>
      </c>
      <c r="AX386" s="131" t="s">
        <v>306</v>
      </c>
      <c r="AY386" s="131" t="s">
        <v>306</v>
      </c>
      <c r="AZ386" s="131" t="s">
        <v>317</v>
      </c>
      <c r="BA386" s="131" t="s">
        <v>318</v>
      </c>
      <c r="BB386" s="131" t="s">
        <v>320</v>
      </c>
      <c r="BC386" s="131" t="s">
        <v>320</v>
      </c>
      <c r="BD386" s="131" t="s">
        <v>318</v>
      </c>
      <c r="BE386" s="131" t="s">
        <v>320</v>
      </c>
      <c r="BF386" s="131" t="s">
        <v>320</v>
      </c>
      <c r="BG386" s="158"/>
    </row>
    <row r="387" spans="2:59" ht="15">
      <c r="B387" s="120" t="s">
        <v>242</v>
      </c>
      <c r="C387" s="142" t="s">
        <v>515</v>
      </c>
      <c r="D387" s="143" t="s">
        <v>461</v>
      </c>
      <c r="E387" s="143" t="s">
        <v>461</v>
      </c>
      <c r="F387" s="133" t="s">
        <v>286</v>
      </c>
      <c r="G387" s="132" t="s">
        <v>243</v>
      </c>
      <c r="H387" s="132" t="s">
        <v>243</v>
      </c>
      <c r="I387" s="135">
        <v>1</v>
      </c>
      <c r="J387" s="136">
        <v>0</v>
      </c>
      <c r="K387" s="132" t="s">
        <v>271</v>
      </c>
      <c r="L387" s="132" t="s">
        <v>271</v>
      </c>
      <c r="M387" s="132" t="s">
        <v>155</v>
      </c>
      <c r="N387" s="132" t="s">
        <v>155</v>
      </c>
      <c r="O387" s="132" t="s">
        <v>155</v>
      </c>
      <c r="P387" s="132" t="s">
        <v>155</v>
      </c>
      <c r="Q387" s="134" t="s">
        <v>412</v>
      </c>
      <c r="R387" s="132" t="s">
        <v>243</v>
      </c>
      <c r="S387" s="132" t="s">
        <v>243</v>
      </c>
      <c r="T387" s="132" t="s">
        <v>413</v>
      </c>
      <c r="U387" s="132" t="s">
        <v>414</v>
      </c>
      <c r="V387" s="132" t="s">
        <v>182</v>
      </c>
      <c r="W387" s="132" t="s">
        <v>182</v>
      </c>
      <c r="X387" s="132" t="s">
        <v>243</v>
      </c>
      <c r="Y387" s="132" t="s">
        <v>243</v>
      </c>
      <c r="Z387" s="132"/>
      <c r="AA387" s="135"/>
      <c r="AB387" s="135" t="s">
        <v>155</v>
      </c>
      <c r="AC387" s="135">
        <v>1</v>
      </c>
      <c r="AD387" s="135">
        <v>99999999</v>
      </c>
      <c r="AE387" s="132" t="s">
        <v>243</v>
      </c>
      <c r="AF387" s="132" t="s">
        <v>243</v>
      </c>
      <c r="AG387" s="132" t="s">
        <v>243</v>
      </c>
      <c r="AH387" s="132" t="s">
        <v>243</v>
      </c>
      <c r="AI387" s="135">
        <v>0</v>
      </c>
      <c r="AJ387" s="135">
        <v>0</v>
      </c>
      <c r="AK387" s="135">
        <v>0</v>
      </c>
      <c r="AL387" s="135">
        <v>0</v>
      </c>
      <c r="AM387" s="132" t="s">
        <v>182</v>
      </c>
      <c r="AN387" s="135">
        <v>0</v>
      </c>
      <c r="AO387" s="132" t="s">
        <v>243</v>
      </c>
      <c r="AP387" s="135">
        <v>1</v>
      </c>
      <c r="AQ387" s="136" t="s">
        <v>155</v>
      </c>
      <c r="AR387" s="136" t="s">
        <v>415</v>
      </c>
      <c r="AS387" s="136">
        <v>0</v>
      </c>
      <c r="AT387" s="136">
        <v>1</v>
      </c>
      <c r="AU387" s="136">
        <v>0</v>
      </c>
      <c r="AV387" s="136">
        <v>0</v>
      </c>
      <c r="AW387" s="136">
        <v>0</v>
      </c>
      <c r="AX387" s="136">
        <v>0</v>
      </c>
      <c r="AY387" s="136">
        <v>1</v>
      </c>
      <c r="AZ387" s="136">
        <v>0</v>
      </c>
      <c r="BA387" s="137">
        <v>29705</v>
      </c>
      <c r="BB387" s="136" t="s">
        <v>277</v>
      </c>
      <c r="BC387" s="136" t="s">
        <v>277</v>
      </c>
      <c r="BD387" s="137">
        <v>36413</v>
      </c>
      <c r="BE387" s="136" t="s">
        <v>277</v>
      </c>
      <c r="BF387" s="136" t="s">
        <v>277</v>
      </c>
      <c r="BG387" s="158"/>
    </row>
    <row r="388" spans="2:59" ht="15">
      <c r="B388" s="122" t="s">
        <v>244</v>
      </c>
      <c r="C388" s="132" t="s">
        <v>516</v>
      </c>
      <c r="D388" s="143" t="s">
        <v>461</v>
      </c>
      <c r="E388" s="143" t="s">
        <v>461</v>
      </c>
      <c r="F388" s="133" t="s">
        <v>184</v>
      </c>
      <c r="G388" s="132" t="s">
        <v>243</v>
      </c>
      <c r="H388" s="132" t="s">
        <v>243</v>
      </c>
      <c r="I388" s="135">
        <v>0</v>
      </c>
      <c r="J388" s="136">
        <v>30</v>
      </c>
      <c r="K388" s="119" t="s">
        <v>182</v>
      </c>
      <c r="L388" s="225" t="s">
        <v>432</v>
      </c>
      <c r="M388" s="132" t="s">
        <v>155</v>
      </c>
      <c r="N388" s="132" t="s">
        <v>155</v>
      </c>
      <c r="O388" s="132" t="s">
        <v>416</v>
      </c>
      <c r="P388" s="132" t="s">
        <v>155</v>
      </c>
      <c r="Q388" s="134" t="s">
        <v>417</v>
      </c>
      <c r="R388" s="132" t="s">
        <v>182</v>
      </c>
      <c r="S388" s="132" t="s">
        <v>243</v>
      </c>
      <c r="T388" s="132" t="s">
        <v>413</v>
      </c>
      <c r="U388" s="132" t="s">
        <v>414</v>
      </c>
      <c r="V388" s="132" t="s">
        <v>418</v>
      </c>
      <c r="W388" s="132" t="s">
        <v>182</v>
      </c>
      <c r="X388" s="132" t="s">
        <v>243</v>
      </c>
      <c r="Y388" s="132" t="s">
        <v>243</v>
      </c>
      <c r="Z388" s="132"/>
      <c r="AA388" s="135"/>
      <c r="AB388" s="135" t="s">
        <v>419</v>
      </c>
      <c r="AC388" s="138">
        <v>5000</v>
      </c>
      <c r="AD388" s="135">
        <v>99999999</v>
      </c>
      <c r="AE388" s="132" t="s">
        <v>243</v>
      </c>
      <c r="AF388" s="132" t="s">
        <v>271</v>
      </c>
      <c r="AG388" s="132" t="s">
        <v>243</v>
      </c>
      <c r="AH388" s="132" t="s">
        <v>243</v>
      </c>
      <c r="AI388" s="135">
        <v>0</v>
      </c>
      <c r="AJ388" s="135">
        <v>0</v>
      </c>
      <c r="AK388" s="135">
        <v>0</v>
      </c>
      <c r="AL388" s="135">
        <v>0</v>
      </c>
      <c r="AM388" s="132" t="s">
        <v>182</v>
      </c>
      <c r="AN388" s="135">
        <v>0</v>
      </c>
      <c r="AO388" s="132" t="s">
        <v>243</v>
      </c>
      <c r="AP388" s="135">
        <v>1</v>
      </c>
      <c r="AQ388" s="136">
        <v>1111</v>
      </c>
      <c r="AR388" s="136" t="s">
        <v>415</v>
      </c>
      <c r="AS388" s="136">
        <v>10</v>
      </c>
      <c r="AT388" s="136">
        <v>1</v>
      </c>
      <c r="AU388" s="136">
        <v>0</v>
      </c>
      <c r="AV388" s="136">
        <v>0</v>
      </c>
      <c r="AW388" s="136">
        <v>0</v>
      </c>
      <c r="AX388" s="136">
        <v>0</v>
      </c>
      <c r="AY388" s="136">
        <v>1</v>
      </c>
      <c r="AZ388" s="136">
        <v>0</v>
      </c>
      <c r="BA388" s="137">
        <v>40640.750486111108</v>
      </c>
      <c r="BB388" s="136">
        <v>470195</v>
      </c>
      <c r="BC388" s="136">
        <v>470195</v>
      </c>
      <c r="BD388" s="137">
        <v>45392.67769675926</v>
      </c>
      <c r="BE388" s="136">
        <v>363363</v>
      </c>
      <c r="BF388" s="136">
        <v>363363</v>
      </c>
      <c r="BG388" s="158"/>
    </row>
    <row r="389" spans="2:59" ht="14">
      <c r="B389" s="120" t="s">
        <v>242</v>
      </c>
      <c r="C389" s="142" t="s">
        <v>476</v>
      </c>
      <c r="D389" s="132" t="s">
        <v>461</v>
      </c>
      <c r="E389" s="132" t="s">
        <v>270</v>
      </c>
      <c r="F389" s="132" t="s">
        <v>286</v>
      </c>
      <c r="G389" s="132" t="s">
        <v>243</v>
      </c>
      <c r="H389" s="132" t="s">
        <v>243</v>
      </c>
      <c r="I389" s="132">
        <v>1</v>
      </c>
      <c r="J389" s="132">
        <v>0</v>
      </c>
      <c r="K389" s="132" t="s">
        <v>271</v>
      </c>
      <c r="L389" s="132" t="s">
        <v>271</v>
      </c>
      <c r="M389" s="132" t="s">
        <v>155</v>
      </c>
      <c r="N389" s="132" t="s">
        <v>155</v>
      </c>
      <c r="O389" s="132" t="s">
        <v>155</v>
      </c>
      <c r="P389" s="132" t="s">
        <v>155</v>
      </c>
      <c r="Q389" s="132" t="s">
        <v>412</v>
      </c>
      <c r="R389" s="132" t="s">
        <v>243</v>
      </c>
      <c r="S389" s="132" t="s">
        <v>243</v>
      </c>
      <c r="T389" s="132" t="s">
        <v>413</v>
      </c>
      <c r="U389" s="132" t="s">
        <v>414</v>
      </c>
      <c r="V389" s="132" t="s">
        <v>182</v>
      </c>
      <c r="W389" s="132" t="s">
        <v>182</v>
      </c>
      <c r="X389" s="132" t="s">
        <v>243</v>
      </c>
      <c r="Y389" s="132" t="s">
        <v>243</v>
      </c>
      <c r="Z389" s="132"/>
      <c r="AA389" s="132"/>
      <c r="AB389" s="132" t="s">
        <v>155</v>
      </c>
      <c r="AC389" s="132">
        <v>1</v>
      </c>
      <c r="AD389" s="132">
        <v>99999999</v>
      </c>
      <c r="AE389" s="132">
        <v>0</v>
      </c>
      <c r="AF389" s="132">
        <v>0</v>
      </c>
      <c r="AG389" s="132">
        <v>0</v>
      </c>
      <c r="AH389" s="132">
        <v>0</v>
      </c>
      <c r="AI389" s="132">
        <v>0</v>
      </c>
      <c r="AJ389" s="132">
        <v>0</v>
      </c>
      <c r="AK389" s="132">
        <v>0</v>
      </c>
      <c r="AL389" s="132">
        <v>0</v>
      </c>
      <c r="AM389" s="132">
        <v>1</v>
      </c>
      <c r="AN389" s="132">
        <v>0</v>
      </c>
      <c r="AO389" s="132">
        <v>0</v>
      </c>
      <c r="AP389" s="132">
        <v>1</v>
      </c>
      <c r="AQ389" s="132" t="s">
        <v>155</v>
      </c>
      <c r="AR389" s="132" t="s">
        <v>415</v>
      </c>
      <c r="AS389" s="132">
        <v>0</v>
      </c>
      <c r="AT389" s="132">
        <v>1</v>
      </c>
      <c r="AU389" s="132">
        <v>0</v>
      </c>
      <c r="AV389" s="132">
        <v>0</v>
      </c>
      <c r="AW389" s="132">
        <v>0</v>
      </c>
      <c r="AX389" s="132">
        <v>0</v>
      </c>
      <c r="AY389" s="132">
        <v>1</v>
      </c>
      <c r="AZ389" s="132">
        <v>0</v>
      </c>
      <c r="BA389" s="132">
        <v>29705</v>
      </c>
      <c r="BB389" s="132" t="s">
        <v>277</v>
      </c>
      <c r="BC389" s="132" t="s">
        <v>277</v>
      </c>
      <c r="BD389" s="132">
        <v>39993.705960648149</v>
      </c>
      <c r="BE389" s="132">
        <v>375901</v>
      </c>
      <c r="BF389" s="132">
        <v>375901</v>
      </c>
      <c r="BG389" s="158"/>
    </row>
    <row r="390" spans="2:59" ht="14">
      <c r="B390" s="120" t="s">
        <v>242</v>
      </c>
      <c r="C390" s="142" t="s">
        <v>490</v>
      </c>
      <c r="D390" s="132" t="s">
        <v>270</v>
      </c>
      <c r="E390" s="132" t="s">
        <v>270</v>
      </c>
      <c r="F390" s="132" t="s">
        <v>286</v>
      </c>
      <c r="G390" s="132" t="s">
        <v>243</v>
      </c>
      <c r="H390" s="132" t="s">
        <v>243</v>
      </c>
      <c r="I390" s="132">
        <v>1</v>
      </c>
      <c r="J390" s="132">
        <v>0</v>
      </c>
      <c r="K390" s="132" t="s">
        <v>271</v>
      </c>
      <c r="L390" s="132" t="s">
        <v>271</v>
      </c>
      <c r="M390" s="132" t="s">
        <v>155</v>
      </c>
      <c r="N390" s="132" t="s">
        <v>155</v>
      </c>
      <c r="O390" s="132" t="s">
        <v>155</v>
      </c>
      <c r="P390" s="132" t="s">
        <v>155</v>
      </c>
      <c r="Q390" s="132" t="s">
        <v>412</v>
      </c>
      <c r="R390" s="132" t="s">
        <v>243</v>
      </c>
      <c r="S390" s="132" t="s">
        <v>243</v>
      </c>
      <c r="T390" s="132" t="s">
        <v>413</v>
      </c>
      <c r="U390" s="132" t="s">
        <v>414</v>
      </c>
      <c r="V390" s="132" t="s">
        <v>182</v>
      </c>
      <c r="W390" s="132" t="s">
        <v>182</v>
      </c>
      <c r="X390" s="132" t="s">
        <v>243</v>
      </c>
      <c r="Y390" s="132" t="s">
        <v>243</v>
      </c>
      <c r="Z390" s="132"/>
      <c r="AA390" s="132"/>
      <c r="AB390" s="132" t="s">
        <v>155</v>
      </c>
      <c r="AC390" s="132">
        <v>1</v>
      </c>
      <c r="AD390" s="132">
        <v>99999999</v>
      </c>
      <c r="AE390" s="132">
        <v>0</v>
      </c>
      <c r="AF390" s="132">
        <v>0</v>
      </c>
      <c r="AG390" s="132">
        <v>0</v>
      </c>
      <c r="AH390" s="132">
        <v>0</v>
      </c>
      <c r="AI390" s="132">
        <v>0</v>
      </c>
      <c r="AJ390" s="132">
        <v>0</v>
      </c>
      <c r="AK390" s="132">
        <v>0</v>
      </c>
      <c r="AL390" s="132">
        <v>0</v>
      </c>
      <c r="AM390" s="132">
        <v>1</v>
      </c>
      <c r="AN390" s="132">
        <v>0</v>
      </c>
      <c r="AO390" s="132">
        <v>0</v>
      </c>
      <c r="AP390" s="132">
        <v>1</v>
      </c>
      <c r="AQ390" s="132" t="s">
        <v>155</v>
      </c>
      <c r="AR390" s="132" t="s">
        <v>415</v>
      </c>
      <c r="AS390" s="132">
        <v>0</v>
      </c>
      <c r="AT390" s="132">
        <v>1</v>
      </c>
      <c r="AU390" s="132">
        <v>0</v>
      </c>
      <c r="AV390" s="132">
        <v>0</v>
      </c>
      <c r="AW390" s="132">
        <v>0</v>
      </c>
      <c r="AX390" s="132">
        <v>0</v>
      </c>
      <c r="AY390" s="132">
        <v>1</v>
      </c>
      <c r="AZ390" s="132">
        <v>0</v>
      </c>
      <c r="BA390" s="132">
        <v>31819</v>
      </c>
      <c r="BB390" s="132" t="s">
        <v>277</v>
      </c>
      <c r="BC390" s="132" t="s">
        <v>277</v>
      </c>
      <c r="BD390" s="132">
        <v>45636.056898148148</v>
      </c>
      <c r="BE390" s="132" t="s">
        <v>474</v>
      </c>
      <c r="BF390" s="132" t="s">
        <v>474</v>
      </c>
      <c r="BG390" s="158"/>
    </row>
    <row r="391" spans="2:59" ht="14">
      <c r="B391" s="163"/>
      <c r="C391" s="164"/>
      <c r="D391" s="164"/>
      <c r="E391" s="164"/>
      <c r="F391" s="164"/>
      <c r="G391" s="164"/>
      <c r="H391" s="164"/>
      <c r="I391" s="164"/>
      <c r="J391" s="164"/>
      <c r="M391" s="164"/>
      <c r="N391" s="164"/>
      <c r="O391" s="164"/>
      <c r="BG391" s="158"/>
    </row>
    <row r="392" spans="2:59" ht="14.5" thickBot="1">
      <c r="B392" s="163"/>
      <c r="C392" s="164" t="s">
        <v>152</v>
      </c>
      <c r="D392" s="164"/>
      <c r="E392" s="164"/>
      <c r="F392" s="164"/>
      <c r="G392" s="164"/>
      <c r="H392" s="164"/>
      <c r="I392" s="164"/>
      <c r="J392" s="164"/>
      <c r="M392" s="164"/>
      <c r="N392" s="164"/>
      <c r="O392" s="164"/>
      <c r="BG392" s="158"/>
    </row>
    <row r="393" spans="2:59" ht="14.5" thickBot="1">
      <c r="B393" s="163"/>
      <c r="C393" s="233" t="s">
        <v>422</v>
      </c>
      <c r="D393" s="233" t="s">
        <v>423</v>
      </c>
      <c r="E393" s="233" t="s">
        <v>158</v>
      </c>
      <c r="F393" s="233" t="s">
        <v>424</v>
      </c>
      <c r="G393" s="233" t="s">
        <v>425</v>
      </c>
      <c r="H393" s="233" t="s">
        <v>426</v>
      </c>
      <c r="I393" s="233" t="s">
        <v>427</v>
      </c>
      <c r="J393" s="233" t="s">
        <v>428</v>
      </c>
      <c r="K393" s="233" t="s">
        <v>429</v>
      </c>
      <c r="L393" s="233" t="s">
        <v>430</v>
      </c>
      <c r="M393" s="233" t="s">
        <v>431</v>
      </c>
      <c r="BG393" s="158"/>
    </row>
    <row r="394" spans="2:59" ht="14.5" thickBot="1">
      <c r="B394" s="163"/>
      <c r="C394" s="233">
        <v>0</v>
      </c>
      <c r="D394" s="233">
        <v>0</v>
      </c>
      <c r="E394" s="233">
        <v>0</v>
      </c>
      <c r="F394" s="233" t="s">
        <v>432</v>
      </c>
      <c r="G394" s="233" t="s">
        <v>432</v>
      </c>
      <c r="H394" s="233">
        <v>1</v>
      </c>
      <c r="I394" s="233">
        <v>4</v>
      </c>
      <c r="J394" s="233">
        <v>2</v>
      </c>
      <c r="K394" s="233">
        <v>0</v>
      </c>
      <c r="L394" s="233">
        <v>30</v>
      </c>
      <c r="M394" s="233">
        <v>0</v>
      </c>
      <c r="BG394" s="158"/>
    </row>
    <row r="395" spans="2:59" ht="14.5" thickBot="1">
      <c r="B395" s="163"/>
      <c r="C395" s="164"/>
      <c r="D395" s="164"/>
      <c r="E395" s="164"/>
      <c r="F395" s="164"/>
      <c r="G395" s="164"/>
      <c r="H395" s="164"/>
      <c r="I395" s="164"/>
      <c r="J395" s="164"/>
      <c r="M395" s="164"/>
      <c r="N395" s="164"/>
      <c r="O395" s="164"/>
      <c r="BG395" s="158"/>
    </row>
    <row r="396" spans="2:59" ht="14" thickBot="1">
      <c r="B396" s="104" t="s">
        <v>528</v>
      </c>
      <c r="C396" s="105" t="s">
        <v>529</v>
      </c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05"/>
      <c r="BG396" s="158"/>
    </row>
    <row r="397" spans="2:59" ht="14" thickBot="1">
      <c r="B397" s="140" t="s">
        <v>433</v>
      </c>
      <c r="C397" s="105" t="s">
        <v>227</v>
      </c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  <c r="BF397" s="105"/>
      <c r="BG397" s="158"/>
    </row>
    <row r="398" spans="2:59" ht="14">
      <c r="B398" s="163"/>
      <c r="C398" s="164"/>
      <c r="D398" s="164"/>
      <c r="E398" s="164"/>
      <c r="F398" s="164"/>
      <c r="G398" s="164"/>
      <c r="H398" s="164"/>
      <c r="I398" s="164"/>
      <c r="J398" s="164"/>
      <c r="M398" s="164"/>
      <c r="N398" s="164"/>
      <c r="O398" s="164"/>
      <c r="BG398" s="158"/>
    </row>
    <row r="399" spans="2:59" ht="14">
      <c r="B399" s="163"/>
      <c r="C399" s="161" t="s">
        <v>228</v>
      </c>
      <c r="D399" s="164"/>
      <c r="E399" s="164"/>
      <c r="F399" s="164"/>
      <c r="G399" s="164"/>
      <c r="H399" s="164"/>
      <c r="I399" s="164"/>
      <c r="J399" s="164"/>
      <c r="M399" s="164"/>
      <c r="N399" s="164"/>
      <c r="O399" s="164"/>
      <c r="BG399" s="158"/>
    </row>
    <row r="400" spans="2:59" ht="14">
      <c r="B400" s="163"/>
      <c r="C400" s="161" t="s">
        <v>530</v>
      </c>
      <c r="D400" s="164"/>
      <c r="E400" s="164"/>
      <c r="F400" s="164"/>
      <c r="G400" s="164"/>
      <c r="H400" s="164"/>
      <c r="I400" s="164"/>
      <c r="J400" s="164"/>
      <c r="M400" s="164"/>
      <c r="N400" s="164"/>
      <c r="O400" s="164"/>
      <c r="BG400" s="158"/>
    </row>
    <row r="401" spans="1:59" ht="14">
      <c r="B401" s="163"/>
      <c r="C401" s="164"/>
      <c r="D401" s="164"/>
      <c r="E401" s="164"/>
      <c r="F401" s="164"/>
      <c r="G401" s="164"/>
      <c r="H401" s="164"/>
      <c r="I401" s="164"/>
      <c r="J401" s="164"/>
      <c r="M401" s="164"/>
      <c r="N401" s="164"/>
      <c r="O401" s="164"/>
      <c r="BG401" s="158"/>
    </row>
    <row r="402" spans="1:59" s="27" customFormat="1" ht="19.5" customHeight="1">
      <c r="B402" s="167"/>
      <c r="C402" s="125" t="s">
        <v>268</v>
      </c>
      <c r="D402" s="126"/>
      <c r="E402" s="12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7"/>
      <c r="Y402" s="66"/>
      <c r="Z402" s="66"/>
      <c r="AA402" s="66"/>
      <c r="AB402" s="66"/>
      <c r="AC402" s="66"/>
      <c r="AD402" s="111"/>
      <c r="AH402" s="108"/>
      <c r="AJ402" s="67"/>
      <c r="AK402" s="67"/>
      <c r="AL402" s="67"/>
      <c r="AM402" s="67"/>
      <c r="AN402" s="68"/>
      <c r="AO402" s="68"/>
      <c r="AP402" s="68"/>
      <c r="BG402" s="94"/>
    </row>
    <row r="403" spans="1:59" s="70" customFormat="1" ht="16.5" customHeight="1">
      <c r="A403" s="98"/>
      <c r="B403" s="168"/>
      <c r="C403" s="127"/>
      <c r="D403" s="127"/>
      <c r="E403" s="127"/>
      <c r="F403" s="124" t="s">
        <v>168</v>
      </c>
      <c r="G403" s="124" t="s">
        <v>168</v>
      </c>
      <c r="H403" s="124" t="s">
        <v>168</v>
      </c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H403" s="109"/>
      <c r="AI403" s="69"/>
      <c r="AJ403" s="69"/>
      <c r="AK403" s="69"/>
      <c r="AL403" s="69"/>
      <c r="AM403" s="69"/>
      <c r="BG403" s="169"/>
    </row>
    <row r="404" spans="1:59" s="76" customFormat="1" ht="92" customHeight="1">
      <c r="A404" s="71"/>
      <c r="B404" s="170"/>
      <c r="C404" s="117" t="s">
        <v>171</v>
      </c>
      <c r="D404" s="117" t="s">
        <v>172</v>
      </c>
      <c r="E404" s="117" t="s">
        <v>173</v>
      </c>
      <c r="F404" s="119" t="s">
        <v>91</v>
      </c>
      <c r="G404" s="119" t="s">
        <v>67</v>
      </c>
      <c r="H404" s="119" t="s">
        <v>69</v>
      </c>
      <c r="I404" s="119" t="s">
        <v>289</v>
      </c>
      <c r="J404" s="119" t="s">
        <v>290</v>
      </c>
      <c r="K404" s="119" t="s">
        <v>291</v>
      </c>
      <c r="L404" s="119" t="s">
        <v>292</v>
      </c>
      <c r="M404" s="119" t="s">
        <v>293</v>
      </c>
      <c r="N404" s="119" t="s">
        <v>294</v>
      </c>
      <c r="O404" s="119" t="s">
        <v>295</v>
      </c>
      <c r="P404" s="119" t="s">
        <v>296</v>
      </c>
      <c r="Q404" s="119" t="s">
        <v>297</v>
      </c>
      <c r="R404" s="119" t="s">
        <v>298</v>
      </c>
      <c r="S404" s="119" t="s">
        <v>299</v>
      </c>
      <c r="T404" s="119" t="s">
        <v>300</v>
      </c>
      <c r="U404" s="119" t="s">
        <v>301</v>
      </c>
      <c r="V404" s="119" t="s">
        <v>302</v>
      </c>
      <c r="W404" s="119" t="s">
        <v>303</v>
      </c>
      <c r="X404" s="119" t="s">
        <v>229</v>
      </c>
      <c r="Y404" s="119" t="s">
        <v>230</v>
      </c>
      <c r="Z404" s="119" t="s">
        <v>231</v>
      </c>
      <c r="AA404" s="119" t="s">
        <v>232</v>
      </c>
      <c r="AB404" s="119" t="s">
        <v>150</v>
      </c>
      <c r="AC404" s="119" t="s">
        <v>151</v>
      </c>
      <c r="AD404" s="119" t="s">
        <v>233</v>
      </c>
      <c r="AH404" s="110"/>
      <c r="AI404" s="67"/>
      <c r="AJ404" s="74"/>
      <c r="AK404" s="74"/>
      <c r="AL404" s="74"/>
      <c r="AM404" s="74"/>
      <c r="AN404" s="75"/>
      <c r="AO404" s="75"/>
      <c r="AP404" s="75"/>
      <c r="BG404" s="171"/>
    </row>
    <row r="405" spans="1:59" s="76" customFormat="1" ht="15">
      <c r="A405" s="71"/>
      <c r="B405" s="170"/>
      <c r="C405" s="117" t="s">
        <v>205</v>
      </c>
      <c r="D405" s="117" t="s">
        <v>214</v>
      </c>
      <c r="E405" s="117" t="s">
        <v>222</v>
      </c>
      <c r="F405" s="118" t="s">
        <v>250</v>
      </c>
      <c r="G405" s="118" t="s">
        <v>251</v>
      </c>
      <c r="H405" s="118" t="s">
        <v>253</v>
      </c>
      <c r="I405" s="118" t="s">
        <v>252</v>
      </c>
      <c r="J405" s="118" t="s">
        <v>254</v>
      </c>
      <c r="K405" s="118" t="s">
        <v>255</v>
      </c>
      <c r="L405" s="118" t="s">
        <v>256</v>
      </c>
      <c r="M405" s="118" t="s">
        <v>257</v>
      </c>
      <c r="N405" s="118" t="s">
        <v>258</v>
      </c>
      <c r="O405" s="118" t="s">
        <v>259</v>
      </c>
      <c r="P405" s="118" t="s">
        <v>260</v>
      </c>
      <c r="Q405" s="118" t="s">
        <v>261</v>
      </c>
      <c r="R405" s="118" t="s">
        <v>262</v>
      </c>
      <c r="S405" s="118" t="s">
        <v>263</v>
      </c>
      <c r="T405" s="118" t="s">
        <v>264</v>
      </c>
      <c r="U405" s="118" t="s">
        <v>265</v>
      </c>
      <c r="V405" s="118" t="s">
        <v>266</v>
      </c>
      <c r="W405" s="118" t="s">
        <v>267</v>
      </c>
      <c r="X405" s="118" t="s">
        <v>235</v>
      </c>
      <c r="Y405" s="118" t="s">
        <v>236</v>
      </c>
      <c r="Z405" s="118" t="s">
        <v>237</v>
      </c>
      <c r="AA405" s="118" t="s">
        <v>238</v>
      </c>
      <c r="AB405" s="118" t="s">
        <v>239</v>
      </c>
      <c r="AC405" s="118" t="s">
        <v>240</v>
      </c>
      <c r="AD405" s="118" t="s">
        <v>241</v>
      </c>
      <c r="AH405" s="110"/>
      <c r="AI405" s="67"/>
      <c r="AJ405" s="74"/>
      <c r="AK405" s="74"/>
      <c r="AL405" s="74"/>
      <c r="AM405" s="74"/>
      <c r="AN405" s="75"/>
      <c r="AO405" s="75"/>
      <c r="AP405" s="75"/>
      <c r="BG405" s="171"/>
    </row>
    <row r="406" spans="1:59" s="68" customFormat="1" ht="13.5" customHeight="1">
      <c r="A406" s="77"/>
      <c r="B406" s="172"/>
      <c r="C406" s="117" t="s">
        <v>304</v>
      </c>
      <c r="D406" s="117" t="s">
        <v>305</v>
      </c>
      <c r="E406" s="117" t="s">
        <v>305</v>
      </c>
      <c r="F406" s="119" t="s">
        <v>306</v>
      </c>
      <c r="G406" s="119" t="s">
        <v>306</v>
      </c>
      <c r="H406" s="119" t="s">
        <v>307</v>
      </c>
      <c r="I406" s="119" t="s">
        <v>306</v>
      </c>
      <c r="J406" s="119" t="s">
        <v>308</v>
      </c>
      <c r="K406" s="119" t="s">
        <v>309</v>
      </c>
      <c r="L406" s="118" t="s">
        <v>310</v>
      </c>
      <c r="M406" s="119" t="s">
        <v>310</v>
      </c>
      <c r="N406" s="119" t="s">
        <v>311</v>
      </c>
      <c r="O406" s="119" t="s">
        <v>306</v>
      </c>
      <c r="P406" s="119" t="s">
        <v>312</v>
      </c>
      <c r="Q406" s="119" t="s">
        <v>313</v>
      </c>
      <c r="R406" s="119" t="s">
        <v>312</v>
      </c>
      <c r="S406" s="119" t="s">
        <v>314</v>
      </c>
      <c r="T406" s="118" t="s">
        <v>315</v>
      </c>
      <c r="U406" s="119" t="s">
        <v>315</v>
      </c>
      <c r="V406" s="119" t="s">
        <v>316</v>
      </c>
      <c r="W406" s="119" t="s">
        <v>306</v>
      </c>
      <c r="X406" s="119" t="s">
        <v>317</v>
      </c>
      <c r="Y406" s="119" t="s">
        <v>319</v>
      </c>
      <c r="Z406" s="119" t="s">
        <v>320</v>
      </c>
      <c r="AA406" s="119" t="s">
        <v>320</v>
      </c>
      <c r="AB406" s="118" t="s">
        <v>318</v>
      </c>
      <c r="AC406" s="119" t="s">
        <v>320</v>
      </c>
      <c r="AD406" s="119" t="s">
        <v>320</v>
      </c>
      <c r="AH406" s="108"/>
      <c r="AI406" s="67"/>
      <c r="AJ406" s="67"/>
      <c r="AK406" s="67"/>
      <c r="AL406" s="67"/>
      <c r="AM406" s="67"/>
      <c r="BG406" s="173"/>
    </row>
    <row r="407" spans="1:59" s="27" customFormat="1" ht="13.5" customHeight="1">
      <c r="A407" s="80"/>
      <c r="B407" s="120" t="s">
        <v>242</v>
      </c>
      <c r="C407" s="142" t="s">
        <v>515</v>
      </c>
      <c r="D407" s="118" t="s">
        <v>270</v>
      </c>
      <c r="E407" s="143" t="s">
        <v>461</v>
      </c>
      <c r="F407" s="119" t="s">
        <v>182</v>
      </c>
      <c r="G407" s="119" t="s">
        <v>271</v>
      </c>
      <c r="H407" s="119" t="s">
        <v>183</v>
      </c>
      <c r="I407" s="119" t="s">
        <v>271</v>
      </c>
      <c r="J407" s="119" t="s">
        <v>272</v>
      </c>
      <c r="K407" s="119" t="s">
        <v>243</v>
      </c>
      <c r="L407" s="118" t="s">
        <v>155</v>
      </c>
      <c r="M407" s="119" t="s">
        <v>273</v>
      </c>
      <c r="N407" s="119"/>
      <c r="O407" s="119" t="s">
        <v>182</v>
      </c>
      <c r="P407" s="119" t="s">
        <v>155</v>
      </c>
      <c r="Q407" s="119" t="s">
        <v>274</v>
      </c>
      <c r="R407" s="119" t="s">
        <v>275</v>
      </c>
      <c r="S407" s="119"/>
      <c r="T407" s="118" t="s">
        <v>155</v>
      </c>
      <c r="U407" s="119" t="s">
        <v>155</v>
      </c>
      <c r="V407" s="119" t="s">
        <v>155</v>
      </c>
      <c r="W407" s="119"/>
      <c r="X407" s="119" t="s">
        <v>243</v>
      </c>
      <c r="Y407" s="119" t="s">
        <v>276</v>
      </c>
      <c r="Z407" s="119" t="s">
        <v>277</v>
      </c>
      <c r="AA407" s="119" t="s">
        <v>277</v>
      </c>
      <c r="AB407" s="118" t="s">
        <v>278</v>
      </c>
      <c r="AC407" s="119" t="s">
        <v>279</v>
      </c>
      <c r="AD407" s="119" t="s">
        <v>279</v>
      </c>
      <c r="AH407" s="108"/>
      <c r="AI407" s="67"/>
      <c r="AJ407" s="67"/>
      <c r="AK407" s="83"/>
      <c r="AL407" s="67"/>
      <c r="AM407" s="67"/>
      <c r="AN407" s="68"/>
      <c r="AO407" s="68"/>
      <c r="AP407" s="68"/>
      <c r="BG407" s="94"/>
    </row>
    <row r="408" spans="1:59" s="27" customFormat="1" ht="13.5" customHeight="1">
      <c r="A408" s="84"/>
      <c r="B408" s="122" t="s">
        <v>244</v>
      </c>
      <c r="C408" s="121" t="s">
        <v>516</v>
      </c>
      <c r="D408" s="118" t="s">
        <v>270</v>
      </c>
      <c r="E408" s="119" t="s">
        <v>461</v>
      </c>
      <c r="F408" s="119" t="s">
        <v>182</v>
      </c>
      <c r="G408" s="119" t="s">
        <v>182</v>
      </c>
      <c r="H408" s="119" t="s">
        <v>183</v>
      </c>
      <c r="I408" s="132"/>
      <c r="J408" s="119" t="s">
        <v>183</v>
      </c>
      <c r="K408" s="119" t="s">
        <v>243</v>
      </c>
      <c r="L408" s="118" t="s">
        <v>280</v>
      </c>
      <c r="M408" s="119" t="s">
        <v>273</v>
      </c>
      <c r="N408" s="119"/>
      <c r="O408" s="119" t="s">
        <v>243</v>
      </c>
      <c r="P408" s="119" t="s">
        <v>155</v>
      </c>
      <c r="Q408" s="119" t="s">
        <v>183</v>
      </c>
      <c r="R408" s="119" t="s">
        <v>281</v>
      </c>
      <c r="S408" s="119"/>
      <c r="T408" s="118" t="s">
        <v>155</v>
      </c>
      <c r="U408" s="119" t="s">
        <v>155</v>
      </c>
      <c r="V408" s="119" t="s">
        <v>155</v>
      </c>
      <c r="W408" s="119"/>
      <c r="X408" s="119" t="s">
        <v>243</v>
      </c>
      <c r="Y408" s="119" t="s">
        <v>282</v>
      </c>
      <c r="Z408" s="119" t="s">
        <v>283</v>
      </c>
      <c r="AA408" s="119">
        <v>470195</v>
      </c>
      <c r="AB408" s="118" t="s">
        <v>282</v>
      </c>
      <c r="AC408" s="119">
        <v>470195</v>
      </c>
      <c r="AD408" s="119" t="s">
        <v>283</v>
      </c>
      <c r="AH408" s="108"/>
      <c r="AI408" s="67"/>
      <c r="AJ408" s="61"/>
      <c r="AK408" s="83"/>
      <c r="AL408" s="67"/>
      <c r="AM408" s="67"/>
      <c r="AN408" s="68"/>
      <c r="AO408" s="68"/>
      <c r="AP408" s="68"/>
      <c r="BG408" s="94"/>
    </row>
    <row r="409" spans="1:59" s="27" customFormat="1" ht="13.5" customHeight="1">
      <c r="A409" s="85"/>
      <c r="B409" s="120" t="s">
        <v>242</v>
      </c>
      <c r="C409" s="142" t="s">
        <v>476</v>
      </c>
      <c r="D409" s="121" t="s">
        <v>270</v>
      </c>
      <c r="E409" s="121" t="s">
        <v>270</v>
      </c>
      <c r="F409" s="121" t="s">
        <v>182</v>
      </c>
      <c r="G409" s="121" t="s">
        <v>271</v>
      </c>
      <c r="H409" s="121" t="s">
        <v>183</v>
      </c>
      <c r="I409" s="121" t="s">
        <v>271</v>
      </c>
      <c r="J409" s="121" t="s">
        <v>477</v>
      </c>
      <c r="K409" s="121" t="s">
        <v>243</v>
      </c>
      <c r="L409" s="121" t="s">
        <v>155</v>
      </c>
      <c r="M409" s="121" t="s">
        <v>273</v>
      </c>
      <c r="N409" s="121"/>
      <c r="O409" s="121" t="s">
        <v>182</v>
      </c>
      <c r="P409" s="121" t="s">
        <v>155</v>
      </c>
      <c r="Q409" s="121" t="s">
        <v>274</v>
      </c>
      <c r="R409" s="121" t="s">
        <v>478</v>
      </c>
      <c r="S409" s="121"/>
      <c r="T409" s="121" t="s">
        <v>479</v>
      </c>
      <c r="U409" s="121" t="s">
        <v>480</v>
      </c>
      <c r="V409" s="121" t="s">
        <v>481</v>
      </c>
      <c r="W409" s="121"/>
      <c r="X409" s="121" t="s">
        <v>243</v>
      </c>
      <c r="Y409" s="121" t="s">
        <v>276</v>
      </c>
      <c r="Z409" s="121" t="s">
        <v>277</v>
      </c>
      <c r="AA409" s="121" t="s">
        <v>277</v>
      </c>
      <c r="AB409" s="121" t="s">
        <v>482</v>
      </c>
      <c r="AC409" s="121">
        <v>375901</v>
      </c>
      <c r="AD409" s="121" t="s">
        <v>483</v>
      </c>
      <c r="AH409" s="108"/>
      <c r="AI409" s="67"/>
      <c r="AJ409" s="61"/>
      <c r="AK409" s="83"/>
      <c r="AL409" s="67"/>
      <c r="AM409" s="67"/>
      <c r="AN409" s="68"/>
      <c r="AO409" s="68"/>
      <c r="AP409" s="68"/>
      <c r="BG409" s="94"/>
    </row>
    <row r="410" spans="1:59" s="27" customFormat="1" ht="13.5" customHeight="1">
      <c r="A410" s="85"/>
      <c r="B410" s="120" t="s">
        <v>242</v>
      </c>
      <c r="C410" s="142" t="s">
        <v>490</v>
      </c>
      <c r="D410" s="132" t="s">
        <v>270</v>
      </c>
      <c r="E410" s="132" t="s">
        <v>270</v>
      </c>
      <c r="F410" s="132" t="s">
        <v>182</v>
      </c>
      <c r="G410" s="132" t="s">
        <v>271</v>
      </c>
      <c r="H410" s="132" t="s">
        <v>183</v>
      </c>
      <c r="I410" s="132" t="s">
        <v>271</v>
      </c>
      <c r="J410" s="132" t="s">
        <v>484</v>
      </c>
      <c r="K410" s="132" t="s">
        <v>243</v>
      </c>
      <c r="L410" s="132" t="s">
        <v>485</v>
      </c>
      <c r="M410" s="132" t="s">
        <v>273</v>
      </c>
      <c r="N410" s="132"/>
      <c r="O410" s="132" t="s">
        <v>271</v>
      </c>
      <c r="P410" s="132" t="s">
        <v>155</v>
      </c>
      <c r="Q410" s="132" t="s">
        <v>486</v>
      </c>
      <c r="R410" s="132" t="s">
        <v>275</v>
      </c>
      <c r="S410" s="132"/>
      <c r="T410" s="132" t="s">
        <v>155</v>
      </c>
      <c r="U410" s="132" t="s">
        <v>155</v>
      </c>
      <c r="V410" s="132" t="s">
        <v>155</v>
      </c>
      <c r="W410" s="132"/>
      <c r="X410" s="132" t="s">
        <v>243</v>
      </c>
      <c r="Y410" s="132" t="s">
        <v>487</v>
      </c>
      <c r="Z410" s="132" t="s">
        <v>277</v>
      </c>
      <c r="AA410" s="132" t="s">
        <v>277</v>
      </c>
      <c r="AB410" s="132" t="s">
        <v>488</v>
      </c>
      <c r="AC410" s="132" t="s">
        <v>489</v>
      </c>
      <c r="AD410" s="132" t="s">
        <v>489</v>
      </c>
      <c r="AH410" s="108"/>
      <c r="AI410" s="67"/>
      <c r="AJ410" s="61"/>
      <c r="AK410" s="83"/>
      <c r="AL410" s="67"/>
      <c r="AM410" s="67"/>
      <c r="AN410" s="68"/>
      <c r="AO410" s="68"/>
      <c r="AP410" s="68"/>
      <c r="BG410" s="94"/>
    </row>
    <row r="411" spans="1:59" ht="14">
      <c r="B411" s="163"/>
      <c r="C411" s="164"/>
      <c r="D411" s="164"/>
      <c r="E411" s="164"/>
      <c r="F411" s="164"/>
      <c r="G411" s="164"/>
      <c r="H411" s="164"/>
      <c r="I411" s="164"/>
      <c r="J411" s="164"/>
      <c r="M411" s="164"/>
      <c r="N411" s="164"/>
      <c r="O411" s="164"/>
      <c r="BG411" s="158"/>
    </row>
    <row r="412" spans="1:59" ht="15">
      <c r="B412" s="163"/>
      <c r="C412" s="257" t="s">
        <v>321</v>
      </c>
      <c r="D412" s="258"/>
      <c r="E412" s="258"/>
      <c r="F412" s="258"/>
      <c r="G412" s="258"/>
      <c r="H412" s="258"/>
      <c r="I412" s="258"/>
      <c r="J412" s="258"/>
      <c r="K412" s="258"/>
      <c r="L412" s="258"/>
      <c r="M412" s="258"/>
      <c r="N412" s="258"/>
      <c r="O412" s="258"/>
      <c r="P412" s="258"/>
      <c r="Q412" s="258"/>
      <c r="R412" s="258"/>
      <c r="S412" s="258"/>
      <c r="T412" s="258"/>
      <c r="U412" s="90"/>
      <c r="V412" s="90"/>
      <c r="W412" s="90"/>
      <c r="X412" s="90"/>
      <c r="Y412" s="90"/>
      <c r="Z412" s="90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2"/>
      <c r="AQ412" s="92"/>
      <c r="AR412" s="92"/>
      <c r="AS412" s="92"/>
      <c r="AT412" s="92"/>
      <c r="AU412" s="92"/>
      <c r="AV412" s="92"/>
      <c r="AW412" s="92"/>
      <c r="AX412" s="92"/>
      <c r="AY412" s="92"/>
      <c r="AZ412" s="92"/>
      <c r="BA412" s="92"/>
      <c r="BB412" s="92"/>
      <c r="BC412" s="92"/>
      <c r="BD412" s="92"/>
      <c r="BE412" s="92"/>
      <c r="BF412" s="92"/>
      <c r="BG412" s="158"/>
    </row>
    <row r="413" spans="1:59" ht="15">
      <c r="B413" s="163"/>
      <c r="C413" s="127"/>
      <c r="D413" s="127"/>
      <c r="E413" s="127"/>
      <c r="F413" s="124" t="s">
        <v>168</v>
      </c>
      <c r="G413" s="124" t="s">
        <v>168</v>
      </c>
      <c r="H413" s="129" t="s">
        <v>168</v>
      </c>
      <c r="I413" s="124" t="s">
        <v>168</v>
      </c>
      <c r="J413" s="124" t="s">
        <v>168</v>
      </c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30"/>
      <c r="AB413" s="130"/>
      <c r="AC413" s="130"/>
      <c r="AD413" s="130"/>
      <c r="AE413" s="130"/>
      <c r="AF413" s="130"/>
      <c r="AG413" s="130"/>
      <c r="AH413" s="130"/>
      <c r="AI413" s="130"/>
      <c r="AJ413" s="130"/>
      <c r="AK413" s="130"/>
      <c r="AL413" s="130"/>
      <c r="AM413" s="130"/>
      <c r="AN413" s="130"/>
      <c r="AO413" s="130"/>
      <c r="AP413" s="130"/>
      <c r="AQ413" s="130"/>
      <c r="AR413" s="130"/>
      <c r="AS413" s="130"/>
      <c r="AT413" s="130"/>
      <c r="AU413" s="130"/>
      <c r="AV413" s="130"/>
      <c r="AW413" s="130"/>
      <c r="AX413" s="130"/>
      <c r="AY413" s="130"/>
      <c r="AZ413" s="130"/>
      <c r="BA413" s="130"/>
      <c r="BB413" s="130"/>
      <c r="BC413" s="130"/>
      <c r="BD413" s="130"/>
      <c r="BE413" s="130"/>
      <c r="BF413" s="130"/>
      <c r="BG413" s="158"/>
    </row>
    <row r="414" spans="1:59" ht="25">
      <c r="B414" s="163"/>
      <c r="C414" s="117" t="s">
        <v>365</v>
      </c>
      <c r="D414" s="117" t="s">
        <v>420</v>
      </c>
      <c r="E414" s="117" t="s">
        <v>421</v>
      </c>
      <c r="F414" s="119" t="s">
        <v>96</v>
      </c>
      <c r="G414" s="119" t="s">
        <v>99</v>
      </c>
      <c r="H414" s="119" t="s">
        <v>130</v>
      </c>
      <c r="I414" s="119" t="s">
        <v>391</v>
      </c>
      <c r="J414" s="119" t="s">
        <v>127</v>
      </c>
      <c r="K414" s="119" t="s">
        <v>67</v>
      </c>
      <c r="L414" s="119" t="s">
        <v>288</v>
      </c>
      <c r="M414" s="119" t="s">
        <v>366</v>
      </c>
      <c r="N414" s="119" t="s">
        <v>367</v>
      </c>
      <c r="O414" s="119" t="s">
        <v>368</v>
      </c>
      <c r="P414" s="119" t="s">
        <v>369</v>
      </c>
      <c r="Q414" s="119" t="s">
        <v>370</v>
      </c>
      <c r="R414" s="119" t="s">
        <v>371</v>
      </c>
      <c r="S414" s="119" t="s">
        <v>372</v>
      </c>
      <c r="T414" s="119" t="s">
        <v>373</v>
      </c>
      <c r="U414" s="119" t="s">
        <v>374</v>
      </c>
      <c r="V414" s="119" t="s">
        <v>375</v>
      </c>
      <c r="W414" s="119" t="s">
        <v>376</v>
      </c>
      <c r="X414" s="119" t="s">
        <v>377</v>
      </c>
      <c r="Y414" s="119" t="s">
        <v>378</v>
      </c>
      <c r="Z414" s="119" t="s">
        <v>379</v>
      </c>
      <c r="AA414" s="119" t="s">
        <v>380</v>
      </c>
      <c r="AB414" s="119" t="s">
        <v>381</v>
      </c>
      <c r="AC414" s="119" t="s">
        <v>382</v>
      </c>
      <c r="AD414" s="119" t="s">
        <v>383</v>
      </c>
      <c r="AE414" s="119" t="s">
        <v>384</v>
      </c>
      <c r="AF414" s="119" t="s">
        <v>385</v>
      </c>
      <c r="AG414" s="119" t="s">
        <v>386</v>
      </c>
      <c r="AH414" s="119" t="s">
        <v>387</v>
      </c>
      <c r="AI414" s="119" t="s">
        <v>388</v>
      </c>
      <c r="AJ414" s="119" t="s">
        <v>390</v>
      </c>
      <c r="AK414" s="119" t="s">
        <v>389</v>
      </c>
      <c r="AL414" s="119" t="s">
        <v>398</v>
      </c>
      <c r="AM414" s="119" t="s">
        <v>392</v>
      </c>
      <c r="AN414" s="119" t="s">
        <v>393</v>
      </c>
      <c r="AO414" s="119" t="s">
        <v>394</v>
      </c>
      <c r="AP414" s="119" t="s">
        <v>395</v>
      </c>
      <c r="AQ414" s="119" t="s">
        <v>399</v>
      </c>
      <c r="AR414" s="119" t="s">
        <v>396</v>
      </c>
      <c r="AS414" s="119" t="s">
        <v>397</v>
      </c>
      <c r="AT414" s="119" t="s">
        <v>400</v>
      </c>
      <c r="AU414" s="119" t="s">
        <v>401</v>
      </c>
      <c r="AV414" s="119" t="s">
        <v>402</v>
      </c>
      <c r="AW414" s="119" t="s">
        <v>403</v>
      </c>
      <c r="AX414" s="119" t="s">
        <v>404</v>
      </c>
      <c r="AY414" s="119" t="s">
        <v>405</v>
      </c>
      <c r="AZ414" s="119" t="s">
        <v>229</v>
      </c>
      <c r="BA414" s="119" t="s">
        <v>230</v>
      </c>
      <c r="BB414" s="119" t="s">
        <v>231</v>
      </c>
      <c r="BC414" s="119" t="s">
        <v>232</v>
      </c>
      <c r="BD414" s="119" t="s">
        <v>150</v>
      </c>
      <c r="BE414" s="119" t="s">
        <v>151</v>
      </c>
      <c r="BF414" s="119" t="s">
        <v>233</v>
      </c>
      <c r="BG414" s="158"/>
    </row>
    <row r="415" spans="1:59">
      <c r="B415" s="163"/>
      <c r="C415" s="117" t="s">
        <v>205</v>
      </c>
      <c r="D415" s="117" t="s">
        <v>214</v>
      </c>
      <c r="E415" s="117" t="s">
        <v>222</v>
      </c>
      <c r="F415" s="118" t="s">
        <v>322</v>
      </c>
      <c r="G415" s="118" t="s">
        <v>323</v>
      </c>
      <c r="H415" s="118" t="s">
        <v>324</v>
      </c>
      <c r="I415" s="118" t="s">
        <v>351</v>
      </c>
      <c r="J415" s="118" t="s">
        <v>357</v>
      </c>
      <c r="K415" s="118" t="s">
        <v>251</v>
      </c>
      <c r="L415" s="118" t="s">
        <v>252</v>
      </c>
      <c r="M415" s="118" t="s">
        <v>325</v>
      </c>
      <c r="N415" s="118" t="s">
        <v>326</v>
      </c>
      <c r="O415" s="118" t="s">
        <v>327</v>
      </c>
      <c r="P415" s="118" t="s">
        <v>328</v>
      </c>
      <c r="Q415" s="118" t="s">
        <v>329</v>
      </c>
      <c r="R415" s="118" t="s">
        <v>330</v>
      </c>
      <c r="S415" s="118" t="s">
        <v>331</v>
      </c>
      <c r="T415" s="118" t="s">
        <v>332</v>
      </c>
      <c r="U415" s="118" t="s">
        <v>333</v>
      </c>
      <c r="V415" s="118" t="s">
        <v>334</v>
      </c>
      <c r="W415" s="118" t="s">
        <v>335</v>
      </c>
      <c r="X415" s="118" t="s">
        <v>336</v>
      </c>
      <c r="Y415" s="118" t="s">
        <v>337</v>
      </c>
      <c r="Z415" s="118" t="s">
        <v>338</v>
      </c>
      <c r="AA415" s="118" t="s">
        <v>339</v>
      </c>
      <c r="AB415" s="118" t="s">
        <v>340</v>
      </c>
      <c r="AC415" s="118" t="s">
        <v>341</v>
      </c>
      <c r="AD415" s="118" t="s">
        <v>342</v>
      </c>
      <c r="AE415" s="118" t="s">
        <v>343</v>
      </c>
      <c r="AF415" s="118" t="s">
        <v>344</v>
      </c>
      <c r="AG415" s="118" t="s">
        <v>345</v>
      </c>
      <c r="AH415" s="118" t="s">
        <v>346</v>
      </c>
      <c r="AI415" s="118" t="s">
        <v>347</v>
      </c>
      <c r="AJ415" s="118" t="s">
        <v>348</v>
      </c>
      <c r="AK415" s="118" t="s">
        <v>349</v>
      </c>
      <c r="AL415" s="118" t="s">
        <v>350</v>
      </c>
      <c r="AM415" s="118" t="s">
        <v>352</v>
      </c>
      <c r="AN415" s="118" t="s">
        <v>353</v>
      </c>
      <c r="AO415" s="118" t="s">
        <v>354</v>
      </c>
      <c r="AP415" s="118" t="s">
        <v>234</v>
      </c>
      <c r="AQ415" s="118" t="s">
        <v>355</v>
      </c>
      <c r="AR415" s="118" t="s">
        <v>356</v>
      </c>
      <c r="AS415" s="118" t="s">
        <v>358</v>
      </c>
      <c r="AT415" s="118" t="s">
        <v>359</v>
      </c>
      <c r="AU415" s="118" t="s">
        <v>360</v>
      </c>
      <c r="AV415" s="118" t="s">
        <v>361</v>
      </c>
      <c r="AW415" s="118" t="s">
        <v>362</v>
      </c>
      <c r="AX415" s="118" t="s">
        <v>363</v>
      </c>
      <c r="AY415" s="118" t="s">
        <v>364</v>
      </c>
      <c r="AZ415" s="118" t="s">
        <v>235</v>
      </c>
      <c r="BA415" s="118" t="s">
        <v>236</v>
      </c>
      <c r="BB415" s="118" t="s">
        <v>237</v>
      </c>
      <c r="BC415" s="118" t="s">
        <v>238</v>
      </c>
      <c r="BD415" s="118" t="s">
        <v>239</v>
      </c>
      <c r="BE415" s="118" t="s">
        <v>240</v>
      </c>
      <c r="BF415" s="118" t="s">
        <v>241</v>
      </c>
      <c r="BG415" s="158"/>
    </row>
    <row r="416" spans="1:59">
      <c r="B416" s="163"/>
      <c r="C416" s="117" t="s">
        <v>304</v>
      </c>
      <c r="D416" s="117" t="s">
        <v>406</v>
      </c>
      <c r="E416" s="117" t="s">
        <v>305</v>
      </c>
      <c r="F416" s="131" t="s">
        <v>306</v>
      </c>
      <c r="G416" s="131" t="s">
        <v>306</v>
      </c>
      <c r="H416" s="131" t="s">
        <v>306</v>
      </c>
      <c r="I416" s="131" t="s">
        <v>306</v>
      </c>
      <c r="J416" s="131" t="s">
        <v>308</v>
      </c>
      <c r="K416" s="131" t="s">
        <v>306</v>
      </c>
      <c r="L416" s="131" t="s">
        <v>306</v>
      </c>
      <c r="M416" s="131" t="s">
        <v>407</v>
      </c>
      <c r="N416" s="131" t="s">
        <v>407</v>
      </c>
      <c r="O416" s="131" t="s">
        <v>305</v>
      </c>
      <c r="P416" s="131" t="s">
        <v>408</v>
      </c>
      <c r="Q416" s="131" t="s">
        <v>306</v>
      </c>
      <c r="R416" s="131" t="s">
        <v>313</v>
      </c>
      <c r="S416" s="131" t="s">
        <v>308</v>
      </c>
      <c r="T416" s="131" t="s">
        <v>313</v>
      </c>
      <c r="U416" s="131" t="s">
        <v>308</v>
      </c>
      <c r="V416" s="131" t="s">
        <v>308</v>
      </c>
      <c r="W416" s="131" t="s">
        <v>306</v>
      </c>
      <c r="X416" s="131" t="s">
        <v>409</v>
      </c>
      <c r="Y416" s="131" t="s">
        <v>409</v>
      </c>
      <c r="Z416" s="131" t="s">
        <v>310</v>
      </c>
      <c r="AA416" s="131" t="s">
        <v>408</v>
      </c>
      <c r="AB416" s="131" t="s">
        <v>408</v>
      </c>
      <c r="AC416" s="131" t="s">
        <v>308</v>
      </c>
      <c r="AD416" s="131" t="s">
        <v>312</v>
      </c>
      <c r="AE416" s="131" t="s">
        <v>313</v>
      </c>
      <c r="AF416" s="131" t="s">
        <v>313</v>
      </c>
      <c r="AG416" s="131" t="s">
        <v>410</v>
      </c>
      <c r="AH416" s="131" t="s">
        <v>410</v>
      </c>
      <c r="AI416" s="131" t="s">
        <v>313</v>
      </c>
      <c r="AJ416" s="131" t="s">
        <v>313</v>
      </c>
      <c r="AK416" s="131" t="s">
        <v>410</v>
      </c>
      <c r="AL416" s="131" t="s">
        <v>410</v>
      </c>
      <c r="AM416" s="131" t="s">
        <v>306</v>
      </c>
      <c r="AN416" s="131" t="s">
        <v>306</v>
      </c>
      <c r="AO416" s="131" t="s">
        <v>306</v>
      </c>
      <c r="AP416" s="131" t="s">
        <v>310</v>
      </c>
      <c r="AQ416" s="131" t="s">
        <v>305</v>
      </c>
      <c r="AR416" s="131" t="s">
        <v>306</v>
      </c>
      <c r="AS416" s="131" t="s">
        <v>308</v>
      </c>
      <c r="AT416" s="131" t="s">
        <v>306</v>
      </c>
      <c r="AU416" s="131" t="s">
        <v>411</v>
      </c>
      <c r="AV416" s="131" t="s">
        <v>313</v>
      </c>
      <c r="AW416" s="131" t="s">
        <v>310</v>
      </c>
      <c r="AX416" s="131" t="s">
        <v>306</v>
      </c>
      <c r="AY416" s="131" t="s">
        <v>306</v>
      </c>
      <c r="AZ416" s="131" t="s">
        <v>317</v>
      </c>
      <c r="BA416" s="131" t="s">
        <v>318</v>
      </c>
      <c r="BB416" s="131" t="s">
        <v>320</v>
      </c>
      <c r="BC416" s="131" t="s">
        <v>320</v>
      </c>
      <c r="BD416" s="131" t="s">
        <v>318</v>
      </c>
      <c r="BE416" s="131" t="s">
        <v>320</v>
      </c>
      <c r="BF416" s="131" t="s">
        <v>320</v>
      </c>
      <c r="BG416" s="158"/>
    </row>
    <row r="417" spans="2:59" ht="15">
      <c r="B417" s="120" t="s">
        <v>242</v>
      </c>
      <c r="C417" s="142" t="s">
        <v>515</v>
      </c>
      <c r="D417" s="143" t="s">
        <v>461</v>
      </c>
      <c r="E417" s="143" t="s">
        <v>461</v>
      </c>
      <c r="F417" s="133" t="s">
        <v>286</v>
      </c>
      <c r="G417" s="132" t="s">
        <v>243</v>
      </c>
      <c r="H417" s="132" t="s">
        <v>243</v>
      </c>
      <c r="I417" s="135">
        <v>1</v>
      </c>
      <c r="J417" s="136">
        <v>0</v>
      </c>
      <c r="K417" s="132" t="s">
        <v>271</v>
      </c>
      <c r="L417" s="132" t="s">
        <v>271</v>
      </c>
      <c r="M417" s="132" t="s">
        <v>155</v>
      </c>
      <c r="N417" s="132" t="s">
        <v>155</v>
      </c>
      <c r="O417" s="132" t="s">
        <v>155</v>
      </c>
      <c r="P417" s="132" t="s">
        <v>155</v>
      </c>
      <c r="Q417" s="134" t="s">
        <v>412</v>
      </c>
      <c r="R417" s="132" t="s">
        <v>243</v>
      </c>
      <c r="S417" s="132" t="s">
        <v>243</v>
      </c>
      <c r="T417" s="132" t="s">
        <v>413</v>
      </c>
      <c r="U417" s="132" t="s">
        <v>414</v>
      </c>
      <c r="V417" s="132" t="s">
        <v>182</v>
      </c>
      <c r="W417" s="132" t="s">
        <v>182</v>
      </c>
      <c r="X417" s="132" t="s">
        <v>243</v>
      </c>
      <c r="Y417" s="132" t="s">
        <v>243</v>
      </c>
      <c r="Z417" s="132"/>
      <c r="AA417" s="135"/>
      <c r="AB417" s="135" t="s">
        <v>155</v>
      </c>
      <c r="AC417" s="135">
        <v>1</v>
      </c>
      <c r="AD417" s="135">
        <v>99999999</v>
      </c>
      <c r="AE417" s="132" t="s">
        <v>243</v>
      </c>
      <c r="AF417" s="132" t="s">
        <v>243</v>
      </c>
      <c r="AG417" s="132" t="s">
        <v>243</v>
      </c>
      <c r="AH417" s="132" t="s">
        <v>243</v>
      </c>
      <c r="AI417" s="135">
        <v>0</v>
      </c>
      <c r="AJ417" s="135">
        <v>0</v>
      </c>
      <c r="AK417" s="135">
        <v>0</v>
      </c>
      <c r="AL417" s="135">
        <v>0</v>
      </c>
      <c r="AM417" s="132" t="s">
        <v>182</v>
      </c>
      <c r="AN417" s="135">
        <v>0</v>
      </c>
      <c r="AO417" s="132" t="s">
        <v>243</v>
      </c>
      <c r="AP417" s="135">
        <v>1</v>
      </c>
      <c r="AQ417" s="136" t="s">
        <v>155</v>
      </c>
      <c r="AR417" s="136" t="s">
        <v>415</v>
      </c>
      <c r="AS417" s="136">
        <v>0</v>
      </c>
      <c r="AT417" s="136">
        <v>1</v>
      </c>
      <c r="AU417" s="136">
        <v>0</v>
      </c>
      <c r="AV417" s="136">
        <v>0</v>
      </c>
      <c r="AW417" s="136">
        <v>0</v>
      </c>
      <c r="AX417" s="136">
        <v>0</v>
      </c>
      <c r="AY417" s="136">
        <v>1</v>
      </c>
      <c r="AZ417" s="136">
        <v>0</v>
      </c>
      <c r="BA417" s="137">
        <v>29705</v>
      </c>
      <c r="BB417" s="136" t="s">
        <v>277</v>
      </c>
      <c r="BC417" s="136" t="s">
        <v>277</v>
      </c>
      <c r="BD417" s="137">
        <v>36413</v>
      </c>
      <c r="BE417" s="136" t="s">
        <v>277</v>
      </c>
      <c r="BF417" s="136" t="s">
        <v>277</v>
      </c>
      <c r="BG417" s="158"/>
    </row>
    <row r="418" spans="2:59" ht="15">
      <c r="B418" s="122" t="s">
        <v>244</v>
      </c>
      <c r="C418" s="132" t="s">
        <v>516</v>
      </c>
      <c r="D418" s="143" t="s">
        <v>461</v>
      </c>
      <c r="E418" s="143" t="s">
        <v>461</v>
      </c>
      <c r="F418" s="133" t="s">
        <v>184</v>
      </c>
      <c r="G418" s="132" t="s">
        <v>243</v>
      </c>
      <c r="H418" s="132" t="s">
        <v>243</v>
      </c>
      <c r="I418" s="135">
        <v>0</v>
      </c>
      <c r="J418" s="136">
        <v>30</v>
      </c>
      <c r="K418" s="119" t="s">
        <v>182</v>
      </c>
      <c r="L418" s="132"/>
      <c r="M418" s="132" t="s">
        <v>155</v>
      </c>
      <c r="N418" s="132" t="s">
        <v>155</v>
      </c>
      <c r="O418" s="132" t="s">
        <v>416</v>
      </c>
      <c r="P418" s="132" t="s">
        <v>155</v>
      </c>
      <c r="Q418" s="134" t="s">
        <v>417</v>
      </c>
      <c r="R418" s="132" t="s">
        <v>182</v>
      </c>
      <c r="S418" s="132" t="s">
        <v>243</v>
      </c>
      <c r="T418" s="132" t="s">
        <v>413</v>
      </c>
      <c r="U418" s="132" t="s">
        <v>414</v>
      </c>
      <c r="V418" s="132" t="s">
        <v>418</v>
      </c>
      <c r="W418" s="132" t="s">
        <v>182</v>
      </c>
      <c r="X418" s="132" t="s">
        <v>243</v>
      </c>
      <c r="Y418" s="132" t="s">
        <v>243</v>
      </c>
      <c r="Z418" s="132"/>
      <c r="AA418" s="135"/>
      <c r="AB418" s="135" t="s">
        <v>419</v>
      </c>
      <c r="AC418" s="138">
        <v>5000</v>
      </c>
      <c r="AD418" s="135">
        <v>99999999</v>
      </c>
      <c r="AE418" s="132" t="s">
        <v>243</v>
      </c>
      <c r="AF418" s="132" t="s">
        <v>271</v>
      </c>
      <c r="AG418" s="132" t="s">
        <v>243</v>
      </c>
      <c r="AH418" s="132" t="s">
        <v>243</v>
      </c>
      <c r="AI418" s="135">
        <v>0</v>
      </c>
      <c r="AJ418" s="135">
        <v>0</v>
      </c>
      <c r="AK418" s="135">
        <v>0</v>
      </c>
      <c r="AL418" s="135">
        <v>0</v>
      </c>
      <c r="AM418" s="132" t="s">
        <v>182</v>
      </c>
      <c r="AN418" s="135">
        <v>0</v>
      </c>
      <c r="AO418" s="132" t="s">
        <v>243</v>
      </c>
      <c r="AP418" s="135">
        <v>1</v>
      </c>
      <c r="AQ418" s="136">
        <v>1111</v>
      </c>
      <c r="AR418" s="136" t="s">
        <v>415</v>
      </c>
      <c r="AS418" s="136">
        <v>10</v>
      </c>
      <c r="AT418" s="136">
        <v>1</v>
      </c>
      <c r="AU418" s="136">
        <v>0</v>
      </c>
      <c r="AV418" s="136">
        <v>0</v>
      </c>
      <c r="AW418" s="136">
        <v>0</v>
      </c>
      <c r="AX418" s="136">
        <v>0</v>
      </c>
      <c r="AY418" s="136">
        <v>1</v>
      </c>
      <c r="AZ418" s="136">
        <v>0</v>
      </c>
      <c r="BA418" s="137">
        <v>40640.750486111108</v>
      </c>
      <c r="BB418" s="136">
        <v>470195</v>
      </c>
      <c r="BC418" s="136">
        <v>470195</v>
      </c>
      <c r="BD418" s="137">
        <v>45392.67769675926</v>
      </c>
      <c r="BE418" s="136">
        <v>363363</v>
      </c>
      <c r="BF418" s="136">
        <v>363363</v>
      </c>
      <c r="BG418" s="158"/>
    </row>
    <row r="419" spans="2:59" ht="14">
      <c r="B419" s="120" t="s">
        <v>242</v>
      </c>
      <c r="C419" s="142" t="s">
        <v>476</v>
      </c>
      <c r="D419" s="132" t="s">
        <v>461</v>
      </c>
      <c r="E419" s="132" t="s">
        <v>270</v>
      </c>
      <c r="F419" s="132" t="s">
        <v>286</v>
      </c>
      <c r="G419" s="132" t="s">
        <v>243</v>
      </c>
      <c r="H419" s="132" t="s">
        <v>243</v>
      </c>
      <c r="I419" s="132">
        <v>1</v>
      </c>
      <c r="J419" s="132">
        <v>0</v>
      </c>
      <c r="K419" s="132" t="s">
        <v>271</v>
      </c>
      <c r="L419" s="132" t="s">
        <v>271</v>
      </c>
      <c r="M419" s="132" t="s">
        <v>155</v>
      </c>
      <c r="N419" s="132" t="s">
        <v>155</v>
      </c>
      <c r="O419" s="132" t="s">
        <v>155</v>
      </c>
      <c r="P419" s="132" t="s">
        <v>155</v>
      </c>
      <c r="Q419" s="132" t="s">
        <v>412</v>
      </c>
      <c r="R419" s="132" t="s">
        <v>243</v>
      </c>
      <c r="S419" s="132" t="s">
        <v>243</v>
      </c>
      <c r="T419" s="132" t="s">
        <v>413</v>
      </c>
      <c r="U419" s="132" t="s">
        <v>414</v>
      </c>
      <c r="V419" s="132" t="s">
        <v>182</v>
      </c>
      <c r="W419" s="132" t="s">
        <v>182</v>
      </c>
      <c r="X419" s="132" t="s">
        <v>243</v>
      </c>
      <c r="Y419" s="132" t="s">
        <v>243</v>
      </c>
      <c r="Z419" s="132"/>
      <c r="AA419" s="132"/>
      <c r="AB419" s="132" t="s">
        <v>155</v>
      </c>
      <c r="AC419" s="132">
        <v>1</v>
      </c>
      <c r="AD419" s="132">
        <v>99999999</v>
      </c>
      <c r="AE419" s="132">
        <v>0</v>
      </c>
      <c r="AF419" s="132">
        <v>0</v>
      </c>
      <c r="AG419" s="132">
        <v>0</v>
      </c>
      <c r="AH419" s="132">
        <v>0</v>
      </c>
      <c r="AI419" s="132">
        <v>0</v>
      </c>
      <c r="AJ419" s="132">
        <v>0</v>
      </c>
      <c r="AK419" s="132">
        <v>0</v>
      </c>
      <c r="AL419" s="132">
        <v>0</v>
      </c>
      <c r="AM419" s="132">
        <v>1</v>
      </c>
      <c r="AN419" s="132">
        <v>0</v>
      </c>
      <c r="AO419" s="132">
        <v>0</v>
      </c>
      <c r="AP419" s="132">
        <v>1</v>
      </c>
      <c r="AQ419" s="132" t="s">
        <v>155</v>
      </c>
      <c r="AR419" s="132" t="s">
        <v>415</v>
      </c>
      <c r="AS419" s="132">
        <v>0</v>
      </c>
      <c r="AT419" s="132">
        <v>1</v>
      </c>
      <c r="AU419" s="132">
        <v>0</v>
      </c>
      <c r="AV419" s="132">
        <v>0</v>
      </c>
      <c r="AW419" s="132">
        <v>0</v>
      </c>
      <c r="AX419" s="132">
        <v>0</v>
      </c>
      <c r="AY419" s="132">
        <v>1</v>
      </c>
      <c r="AZ419" s="132">
        <v>0</v>
      </c>
      <c r="BA419" s="132">
        <v>29705</v>
      </c>
      <c r="BB419" s="132" t="s">
        <v>277</v>
      </c>
      <c r="BC419" s="132" t="s">
        <v>277</v>
      </c>
      <c r="BD419" s="132">
        <v>39993.705960648149</v>
      </c>
      <c r="BE419" s="132">
        <v>375901</v>
      </c>
      <c r="BF419" s="132">
        <v>375901</v>
      </c>
      <c r="BG419" s="158"/>
    </row>
    <row r="420" spans="2:59" ht="14">
      <c r="B420" s="120" t="s">
        <v>242</v>
      </c>
      <c r="C420" s="142" t="s">
        <v>490</v>
      </c>
      <c r="D420" s="132" t="s">
        <v>270</v>
      </c>
      <c r="E420" s="132" t="s">
        <v>270</v>
      </c>
      <c r="F420" s="132" t="s">
        <v>286</v>
      </c>
      <c r="G420" s="132" t="s">
        <v>243</v>
      </c>
      <c r="H420" s="132" t="s">
        <v>243</v>
      </c>
      <c r="I420" s="132">
        <v>1</v>
      </c>
      <c r="J420" s="132">
        <v>0</v>
      </c>
      <c r="K420" s="132" t="s">
        <v>271</v>
      </c>
      <c r="L420" s="132" t="s">
        <v>271</v>
      </c>
      <c r="M420" s="132" t="s">
        <v>155</v>
      </c>
      <c r="N420" s="132" t="s">
        <v>155</v>
      </c>
      <c r="O420" s="132" t="s">
        <v>155</v>
      </c>
      <c r="P420" s="132" t="s">
        <v>155</v>
      </c>
      <c r="Q420" s="132" t="s">
        <v>412</v>
      </c>
      <c r="R420" s="132" t="s">
        <v>243</v>
      </c>
      <c r="S420" s="132" t="s">
        <v>243</v>
      </c>
      <c r="T420" s="132" t="s">
        <v>413</v>
      </c>
      <c r="U420" s="132" t="s">
        <v>414</v>
      </c>
      <c r="V420" s="132" t="s">
        <v>182</v>
      </c>
      <c r="W420" s="132" t="s">
        <v>182</v>
      </c>
      <c r="X420" s="132" t="s">
        <v>243</v>
      </c>
      <c r="Y420" s="132" t="s">
        <v>243</v>
      </c>
      <c r="Z420" s="132"/>
      <c r="AA420" s="132"/>
      <c r="AB420" s="132" t="s">
        <v>155</v>
      </c>
      <c r="AC420" s="132">
        <v>1</v>
      </c>
      <c r="AD420" s="132">
        <v>99999999</v>
      </c>
      <c r="AE420" s="132">
        <v>0</v>
      </c>
      <c r="AF420" s="132">
        <v>0</v>
      </c>
      <c r="AG420" s="132">
        <v>0</v>
      </c>
      <c r="AH420" s="132">
        <v>0</v>
      </c>
      <c r="AI420" s="132">
        <v>0</v>
      </c>
      <c r="AJ420" s="132">
        <v>0</v>
      </c>
      <c r="AK420" s="132">
        <v>0</v>
      </c>
      <c r="AL420" s="132">
        <v>0</v>
      </c>
      <c r="AM420" s="132">
        <v>1</v>
      </c>
      <c r="AN420" s="132">
        <v>0</v>
      </c>
      <c r="AO420" s="132">
        <v>0</v>
      </c>
      <c r="AP420" s="132">
        <v>1</v>
      </c>
      <c r="AQ420" s="132" t="s">
        <v>155</v>
      </c>
      <c r="AR420" s="132" t="s">
        <v>415</v>
      </c>
      <c r="AS420" s="132">
        <v>0</v>
      </c>
      <c r="AT420" s="132">
        <v>1</v>
      </c>
      <c r="AU420" s="132">
        <v>0</v>
      </c>
      <c r="AV420" s="132">
        <v>0</v>
      </c>
      <c r="AW420" s="132">
        <v>0</v>
      </c>
      <c r="AX420" s="132">
        <v>0</v>
      </c>
      <c r="AY420" s="132">
        <v>1</v>
      </c>
      <c r="AZ420" s="132">
        <v>0</v>
      </c>
      <c r="BA420" s="132">
        <v>31819</v>
      </c>
      <c r="BB420" s="132" t="s">
        <v>277</v>
      </c>
      <c r="BC420" s="132" t="s">
        <v>277</v>
      </c>
      <c r="BD420" s="132">
        <v>45636.056898148148</v>
      </c>
      <c r="BE420" s="132" t="s">
        <v>474</v>
      </c>
      <c r="BF420" s="132" t="s">
        <v>474</v>
      </c>
      <c r="BG420" s="158"/>
    </row>
    <row r="421" spans="2:59" ht="14">
      <c r="B421" s="163"/>
      <c r="C421" s="164"/>
      <c r="D421" s="164"/>
      <c r="E421" s="164"/>
      <c r="F421" s="164"/>
      <c r="G421" s="164"/>
      <c r="H421" s="164"/>
      <c r="I421" s="164"/>
      <c r="J421" s="164"/>
      <c r="M421" s="164"/>
      <c r="N421" s="164"/>
      <c r="O421" s="164"/>
      <c r="BG421" s="158"/>
    </row>
    <row r="422" spans="2:59" ht="14.5" thickBot="1">
      <c r="B422" s="163"/>
      <c r="C422" s="164" t="s">
        <v>152</v>
      </c>
      <c r="D422" s="164"/>
      <c r="E422" s="164"/>
      <c r="F422" s="164"/>
      <c r="G422" s="164"/>
      <c r="H422" s="164"/>
      <c r="I422" s="164"/>
      <c r="J422" s="164"/>
      <c r="M422" s="164"/>
      <c r="N422" s="164"/>
      <c r="O422" s="164"/>
      <c r="BG422" s="158"/>
    </row>
    <row r="423" spans="2:59" ht="14.5" thickBot="1">
      <c r="B423" s="163"/>
      <c r="C423" s="233" t="s">
        <v>422</v>
      </c>
      <c r="D423" s="233" t="s">
        <v>423</v>
      </c>
      <c r="E423" s="233" t="s">
        <v>158</v>
      </c>
      <c r="F423" s="233" t="s">
        <v>424</v>
      </c>
      <c r="G423" s="233" t="s">
        <v>425</v>
      </c>
      <c r="H423" s="233" t="s">
        <v>426</v>
      </c>
      <c r="I423" s="233" t="s">
        <v>427</v>
      </c>
      <c r="J423" s="233" t="s">
        <v>428</v>
      </c>
      <c r="K423" s="233" t="s">
        <v>429</v>
      </c>
      <c r="L423" s="233" t="s">
        <v>430</v>
      </c>
      <c r="M423" s="233" t="s">
        <v>431</v>
      </c>
      <c r="BG423" s="158"/>
    </row>
    <row r="424" spans="2:59" ht="14.5" thickBot="1">
      <c r="B424" s="163"/>
      <c r="C424" s="233">
        <v>0</v>
      </c>
      <c r="D424" s="233">
        <v>0</v>
      </c>
      <c r="E424" s="233">
        <v>0</v>
      </c>
      <c r="F424" s="233" t="s">
        <v>432</v>
      </c>
      <c r="G424" s="233" t="s">
        <v>432</v>
      </c>
      <c r="H424" s="233">
        <v>1</v>
      </c>
      <c r="I424" s="233">
        <v>4</v>
      </c>
      <c r="J424" s="233">
        <v>2</v>
      </c>
      <c r="K424" s="233">
        <v>0</v>
      </c>
      <c r="L424" s="233">
        <v>30</v>
      </c>
      <c r="M424" s="233">
        <v>0</v>
      </c>
      <c r="BG424" s="158"/>
    </row>
    <row r="425" spans="2:59" ht="14.5" thickBot="1">
      <c r="B425" s="163"/>
      <c r="C425" s="164"/>
      <c r="D425" s="164"/>
      <c r="E425" s="164"/>
      <c r="F425" s="164"/>
      <c r="G425" s="164"/>
      <c r="H425" s="164"/>
      <c r="I425" s="164"/>
      <c r="J425" s="164"/>
      <c r="M425" s="164"/>
      <c r="N425" s="164"/>
      <c r="O425" s="164"/>
      <c r="BG425" s="158"/>
    </row>
    <row r="426" spans="2:59" ht="14" thickBot="1">
      <c r="B426" s="104" t="s">
        <v>531</v>
      </c>
      <c r="C426" s="105" t="s">
        <v>532</v>
      </c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  <c r="BF426" s="105"/>
      <c r="BG426" s="158"/>
    </row>
    <row r="427" spans="2:59" ht="14" thickBot="1">
      <c r="B427" s="140" t="s">
        <v>433</v>
      </c>
      <c r="C427" s="105" t="s">
        <v>227</v>
      </c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  <c r="BF427" s="105"/>
      <c r="BG427" s="158"/>
    </row>
    <row r="428" spans="2:59" ht="14">
      <c r="B428" s="163"/>
      <c r="C428" s="164"/>
      <c r="D428" s="164"/>
      <c r="E428" s="164"/>
      <c r="F428" s="164"/>
      <c r="G428" s="164"/>
      <c r="H428" s="164"/>
      <c r="I428" s="164"/>
      <c r="J428" s="164"/>
      <c r="M428" s="164"/>
      <c r="N428" s="164"/>
      <c r="O428" s="164"/>
      <c r="BG428" s="158"/>
    </row>
    <row r="429" spans="2:59" ht="14">
      <c r="B429" s="163"/>
      <c r="C429" s="161" t="s">
        <v>228</v>
      </c>
      <c r="D429" s="164"/>
      <c r="E429" s="164"/>
      <c r="F429" s="164"/>
      <c r="G429" s="164"/>
      <c r="H429" s="164"/>
      <c r="I429" s="164"/>
      <c r="J429" s="164"/>
      <c r="M429" s="164"/>
      <c r="N429" s="164"/>
      <c r="O429" s="164"/>
      <c r="BG429" s="158"/>
    </row>
    <row r="430" spans="2:59" ht="14">
      <c r="B430" s="163"/>
      <c r="C430" s="161" t="s">
        <v>536</v>
      </c>
      <c r="D430" s="164"/>
      <c r="E430" s="164"/>
      <c r="F430" s="164"/>
      <c r="G430" s="164"/>
      <c r="H430" s="164"/>
      <c r="I430" s="164"/>
      <c r="J430" s="164"/>
      <c r="M430" s="164"/>
      <c r="N430" s="164"/>
      <c r="O430" s="164"/>
      <c r="BG430" s="158"/>
    </row>
    <row r="431" spans="2:59" ht="14">
      <c r="B431" s="163"/>
      <c r="C431" s="164"/>
      <c r="D431" s="164"/>
      <c r="E431" s="164"/>
      <c r="F431" s="164"/>
      <c r="G431" s="164"/>
      <c r="H431" s="164"/>
      <c r="I431" s="164"/>
      <c r="J431" s="164"/>
      <c r="M431" s="164"/>
      <c r="N431" s="164"/>
      <c r="O431" s="164"/>
      <c r="BG431" s="158"/>
    </row>
    <row r="432" spans="2:59" s="27" customFormat="1" ht="19.5" customHeight="1">
      <c r="B432" s="167"/>
      <c r="C432" s="125" t="s">
        <v>268</v>
      </c>
      <c r="D432" s="126"/>
      <c r="E432" s="12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7"/>
      <c r="Y432" s="66"/>
      <c r="Z432" s="66"/>
      <c r="AA432" s="66"/>
      <c r="AB432" s="66"/>
      <c r="AC432" s="66"/>
      <c r="AD432" s="111"/>
      <c r="AH432" s="108"/>
      <c r="AJ432" s="67"/>
      <c r="AK432" s="67"/>
      <c r="AL432" s="67"/>
      <c r="AM432" s="67"/>
      <c r="AN432" s="68"/>
      <c r="AO432" s="68"/>
      <c r="AP432" s="68"/>
      <c r="BG432" s="94"/>
    </row>
    <row r="433" spans="1:59" s="70" customFormat="1" ht="16.5" customHeight="1">
      <c r="A433" s="98"/>
      <c r="B433" s="168"/>
      <c r="C433" s="127"/>
      <c r="D433" s="127"/>
      <c r="E433" s="127"/>
      <c r="F433" s="124" t="s">
        <v>168</v>
      </c>
      <c r="G433" s="124" t="s">
        <v>168</v>
      </c>
      <c r="H433" s="124" t="s">
        <v>168</v>
      </c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H433" s="109"/>
      <c r="AI433" s="69"/>
      <c r="AJ433" s="69"/>
      <c r="AK433" s="69"/>
      <c r="AL433" s="69"/>
      <c r="AM433" s="69"/>
      <c r="BG433" s="169"/>
    </row>
    <row r="434" spans="1:59" s="76" customFormat="1" ht="92" customHeight="1">
      <c r="A434" s="71"/>
      <c r="B434" s="170"/>
      <c r="C434" s="117" t="s">
        <v>171</v>
      </c>
      <c r="D434" s="117" t="s">
        <v>172</v>
      </c>
      <c r="E434" s="117" t="s">
        <v>173</v>
      </c>
      <c r="F434" s="119" t="s">
        <v>91</v>
      </c>
      <c r="G434" s="119" t="s">
        <v>67</v>
      </c>
      <c r="H434" s="119" t="s">
        <v>69</v>
      </c>
      <c r="I434" s="119" t="s">
        <v>289</v>
      </c>
      <c r="J434" s="119" t="s">
        <v>290</v>
      </c>
      <c r="K434" s="119" t="s">
        <v>291</v>
      </c>
      <c r="L434" s="119" t="s">
        <v>292</v>
      </c>
      <c r="M434" s="119" t="s">
        <v>293</v>
      </c>
      <c r="N434" s="119" t="s">
        <v>294</v>
      </c>
      <c r="O434" s="119" t="s">
        <v>295</v>
      </c>
      <c r="P434" s="119" t="s">
        <v>296</v>
      </c>
      <c r="Q434" s="119" t="s">
        <v>297</v>
      </c>
      <c r="R434" s="119" t="s">
        <v>298</v>
      </c>
      <c r="S434" s="119" t="s">
        <v>299</v>
      </c>
      <c r="T434" s="119" t="s">
        <v>300</v>
      </c>
      <c r="U434" s="119" t="s">
        <v>301</v>
      </c>
      <c r="V434" s="119" t="s">
        <v>302</v>
      </c>
      <c r="W434" s="119" t="s">
        <v>303</v>
      </c>
      <c r="X434" s="119" t="s">
        <v>229</v>
      </c>
      <c r="Y434" s="119" t="s">
        <v>230</v>
      </c>
      <c r="Z434" s="119" t="s">
        <v>231</v>
      </c>
      <c r="AA434" s="119" t="s">
        <v>232</v>
      </c>
      <c r="AB434" s="119" t="s">
        <v>150</v>
      </c>
      <c r="AC434" s="119" t="s">
        <v>151</v>
      </c>
      <c r="AD434" s="119" t="s">
        <v>233</v>
      </c>
      <c r="AH434" s="110"/>
      <c r="AI434" s="67"/>
      <c r="AJ434" s="74"/>
      <c r="AK434" s="74"/>
      <c r="AL434" s="74"/>
      <c r="AM434" s="74"/>
      <c r="AN434" s="75"/>
      <c r="AO434" s="75"/>
      <c r="AP434" s="75"/>
      <c r="BG434" s="171"/>
    </row>
    <row r="435" spans="1:59" s="76" customFormat="1" ht="15">
      <c r="A435" s="71"/>
      <c r="B435" s="170"/>
      <c r="C435" s="117" t="s">
        <v>205</v>
      </c>
      <c r="D435" s="117" t="s">
        <v>214</v>
      </c>
      <c r="E435" s="117" t="s">
        <v>222</v>
      </c>
      <c r="F435" s="118" t="s">
        <v>250</v>
      </c>
      <c r="G435" s="118" t="s">
        <v>251</v>
      </c>
      <c r="H435" s="118" t="s">
        <v>253</v>
      </c>
      <c r="I435" s="118" t="s">
        <v>252</v>
      </c>
      <c r="J435" s="118" t="s">
        <v>254</v>
      </c>
      <c r="K435" s="118" t="s">
        <v>255</v>
      </c>
      <c r="L435" s="118" t="s">
        <v>256</v>
      </c>
      <c r="M435" s="118" t="s">
        <v>257</v>
      </c>
      <c r="N435" s="118" t="s">
        <v>258</v>
      </c>
      <c r="O435" s="118" t="s">
        <v>259</v>
      </c>
      <c r="P435" s="118" t="s">
        <v>260</v>
      </c>
      <c r="Q435" s="118" t="s">
        <v>261</v>
      </c>
      <c r="R435" s="118" t="s">
        <v>262</v>
      </c>
      <c r="S435" s="118" t="s">
        <v>263</v>
      </c>
      <c r="T435" s="118" t="s">
        <v>264</v>
      </c>
      <c r="U435" s="118" t="s">
        <v>265</v>
      </c>
      <c r="V435" s="118" t="s">
        <v>266</v>
      </c>
      <c r="W435" s="118" t="s">
        <v>267</v>
      </c>
      <c r="X435" s="118" t="s">
        <v>235</v>
      </c>
      <c r="Y435" s="118" t="s">
        <v>236</v>
      </c>
      <c r="Z435" s="118" t="s">
        <v>237</v>
      </c>
      <c r="AA435" s="118" t="s">
        <v>238</v>
      </c>
      <c r="AB435" s="118" t="s">
        <v>239</v>
      </c>
      <c r="AC435" s="118" t="s">
        <v>240</v>
      </c>
      <c r="AD435" s="118" t="s">
        <v>241</v>
      </c>
      <c r="AH435" s="110"/>
      <c r="AI435" s="67"/>
      <c r="AJ435" s="74"/>
      <c r="AK435" s="74"/>
      <c r="AL435" s="74"/>
      <c r="AM435" s="74"/>
      <c r="AN435" s="75"/>
      <c r="AO435" s="75"/>
      <c r="AP435" s="75"/>
      <c r="BG435" s="171"/>
    </row>
    <row r="436" spans="1:59" s="68" customFormat="1" ht="13.5" customHeight="1">
      <c r="A436" s="77"/>
      <c r="B436" s="172"/>
      <c r="C436" s="117" t="s">
        <v>304</v>
      </c>
      <c r="D436" s="117" t="s">
        <v>305</v>
      </c>
      <c r="E436" s="117" t="s">
        <v>305</v>
      </c>
      <c r="F436" s="119" t="s">
        <v>306</v>
      </c>
      <c r="G436" s="119" t="s">
        <v>306</v>
      </c>
      <c r="H436" s="119" t="s">
        <v>307</v>
      </c>
      <c r="I436" s="119" t="s">
        <v>306</v>
      </c>
      <c r="J436" s="119" t="s">
        <v>308</v>
      </c>
      <c r="K436" s="119" t="s">
        <v>309</v>
      </c>
      <c r="L436" s="118" t="s">
        <v>310</v>
      </c>
      <c r="M436" s="119" t="s">
        <v>310</v>
      </c>
      <c r="N436" s="119" t="s">
        <v>311</v>
      </c>
      <c r="O436" s="119" t="s">
        <v>306</v>
      </c>
      <c r="P436" s="119" t="s">
        <v>312</v>
      </c>
      <c r="Q436" s="119" t="s">
        <v>313</v>
      </c>
      <c r="R436" s="119" t="s">
        <v>312</v>
      </c>
      <c r="S436" s="119" t="s">
        <v>314</v>
      </c>
      <c r="T436" s="118" t="s">
        <v>315</v>
      </c>
      <c r="U436" s="119" t="s">
        <v>315</v>
      </c>
      <c r="V436" s="119" t="s">
        <v>316</v>
      </c>
      <c r="W436" s="119" t="s">
        <v>306</v>
      </c>
      <c r="X436" s="119" t="s">
        <v>317</v>
      </c>
      <c r="Y436" s="119" t="s">
        <v>319</v>
      </c>
      <c r="Z436" s="119" t="s">
        <v>320</v>
      </c>
      <c r="AA436" s="119" t="s">
        <v>320</v>
      </c>
      <c r="AB436" s="118" t="s">
        <v>318</v>
      </c>
      <c r="AC436" s="119" t="s">
        <v>320</v>
      </c>
      <c r="AD436" s="119" t="s">
        <v>320</v>
      </c>
      <c r="AH436" s="108"/>
      <c r="AI436" s="67"/>
      <c r="AJ436" s="67"/>
      <c r="AK436" s="67"/>
      <c r="AL436" s="67"/>
      <c r="AM436" s="67"/>
      <c r="BG436" s="173"/>
    </row>
    <row r="437" spans="1:59" s="27" customFormat="1" ht="13.5" customHeight="1">
      <c r="A437" s="80"/>
      <c r="B437" s="120" t="s">
        <v>242</v>
      </c>
      <c r="C437" s="121" t="s">
        <v>269</v>
      </c>
      <c r="D437" s="142" t="s">
        <v>461</v>
      </c>
      <c r="E437" s="119" t="s">
        <v>181</v>
      </c>
      <c r="F437" s="119" t="s">
        <v>182</v>
      </c>
      <c r="G437" s="132" t="s">
        <v>271</v>
      </c>
      <c r="H437" s="119" t="s">
        <v>183</v>
      </c>
      <c r="I437" s="132" t="s">
        <v>271</v>
      </c>
      <c r="J437" s="119" t="s">
        <v>183</v>
      </c>
      <c r="K437" s="119" t="s">
        <v>243</v>
      </c>
      <c r="L437" s="118" t="s">
        <v>280</v>
      </c>
      <c r="M437" s="119" t="s">
        <v>273</v>
      </c>
      <c r="N437" s="119"/>
      <c r="O437" s="119" t="s">
        <v>243</v>
      </c>
      <c r="P437" s="119" t="s">
        <v>155</v>
      </c>
      <c r="Q437" s="119" t="s">
        <v>183</v>
      </c>
      <c r="R437" s="119" t="s">
        <v>281</v>
      </c>
      <c r="S437" s="119"/>
      <c r="T437" s="118" t="s">
        <v>155</v>
      </c>
      <c r="U437" s="119" t="s">
        <v>155</v>
      </c>
      <c r="V437" s="119" t="s">
        <v>155</v>
      </c>
      <c r="W437" s="119"/>
      <c r="X437" s="119" t="s">
        <v>243</v>
      </c>
      <c r="Y437" s="119" t="s">
        <v>282</v>
      </c>
      <c r="Z437" s="119" t="s">
        <v>283</v>
      </c>
      <c r="AA437" s="119">
        <v>470195</v>
      </c>
      <c r="AB437" s="118" t="s">
        <v>282</v>
      </c>
      <c r="AC437" s="119">
        <v>470195</v>
      </c>
      <c r="AD437" s="119" t="s">
        <v>283</v>
      </c>
      <c r="AH437" s="108"/>
      <c r="AI437" s="67"/>
      <c r="AJ437" s="67"/>
      <c r="AK437" s="83"/>
      <c r="AL437" s="67"/>
      <c r="AM437" s="67"/>
      <c r="AN437" s="68"/>
      <c r="AO437" s="68"/>
      <c r="AP437" s="68"/>
      <c r="BG437" s="94"/>
    </row>
    <row r="438" spans="1:59" s="27" customFormat="1" ht="13.5" customHeight="1">
      <c r="A438" s="84"/>
      <c r="B438" s="122" t="s">
        <v>244</v>
      </c>
      <c r="C438" s="132" t="s">
        <v>269</v>
      </c>
      <c r="D438" s="132" t="s">
        <v>533</v>
      </c>
      <c r="E438" s="132" t="s">
        <v>285</v>
      </c>
      <c r="F438" s="132" t="s">
        <v>286</v>
      </c>
      <c r="G438" s="132" t="s">
        <v>534</v>
      </c>
      <c r="H438" s="132" t="s">
        <v>183</v>
      </c>
      <c r="I438" s="132"/>
      <c r="J438" s="132" t="s">
        <v>496</v>
      </c>
      <c r="K438" s="132" t="s">
        <v>497</v>
      </c>
      <c r="L438" s="132" t="s">
        <v>155</v>
      </c>
      <c r="M438" s="132" t="s">
        <v>273</v>
      </c>
      <c r="N438" s="132" t="s">
        <v>155</v>
      </c>
      <c r="O438" s="132" t="s">
        <v>182</v>
      </c>
      <c r="P438" s="132" t="s">
        <v>155</v>
      </c>
      <c r="Q438" s="132" t="s">
        <v>274</v>
      </c>
      <c r="R438" s="132" t="s">
        <v>275</v>
      </c>
      <c r="S438" s="132" t="s">
        <v>155</v>
      </c>
      <c r="T438" s="132" t="s">
        <v>155</v>
      </c>
      <c r="U438" s="132" t="s">
        <v>155</v>
      </c>
      <c r="V438" s="132" t="s">
        <v>155</v>
      </c>
      <c r="W438" s="132" t="s">
        <v>155</v>
      </c>
      <c r="X438" s="132" t="s">
        <v>243</v>
      </c>
      <c r="Y438" s="132" t="s">
        <v>276</v>
      </c>
      <c r="Z438" s="132" t="s">
        <v>277</v>
      </c>
      <c r="AA438" s="132" t="s">
        <v>277</v>
      </c>
      <c r="AB438" s="132" t="s">
        <v>278</v>
      </c>
      <c r="AC438" s="132" t="s">
        <v>287</v>
      </c>
      <c r="AD438" s="132" t="s">
        <v>287</v>
      </c>
      <c r="AH438" s="108"/>
      <c r="AI438" s="67"/>
      <c r="AJ438" s="61"/>
      <c r="AK438" s="83"/>
      <c r="AL438" s="67"/>
      <c r="AM438" s="67"/>
      <c r="AN438" s="68"/>
      <c r="AO438" s="68"/>
      <c r="AP438" s="68"/>
      <c r="BG438" s="94"/>
    </row>
    <row r="439" spans="1:59" s="27" customFormat="1" ht="13.5" customHeight="1">
      <c r="A439" s="85"/>
      <c r="B439" s="120" t="s">
        <v>242</v>
      </c>
      <c r="C439" s="121" t="s">
        <v>269</v>
      </c>
      <c r="D439" s="142" t="s">
        <v>181</v>
      </c>
      <c r="E439" s="121" t="s">
        <v>285</v>
      </c>
      <c r="F439" s="121" t="s">
        <v>286</v>
      </c>
      <c r="G439" s="121" t="s">
        <v>443</v>
      </c>
      <c r="H439" s="121" t="s">
        <v>183</v>
      </c>
      <c r="I439" s="132"/>
      <c r="J439" s="121" t="s">
        <v>272</v>
      </c>
      <c r="K439" s="121" t="s">
        <v>243</v>
      </c>
      <c r="L439" s="121" t="s">
        <v>155</v>
      </c>
      <c r="M439" s="121" t="s">
        <v>273</v>
      </c>
      <c r="N439" s="121" t="s">
        <v>155</v>
      </c>
      <c r="O439" s="121" t="s">
        <v>182</v>
      </c>
      <c r="P439" s="121" t="s">
        <v>155</v>
      </c>
      <c r="Q439" s="121" t="s">
        <v>274</v>
      </c>
      <c r="R439" s="121" t="s">
        <v>275</v>
      </c>
      <c r="S439" s="121" t="s">
        <v>155</v>
      </c>
      <c r="T439" s="121" t="s">
        <v>155</v>
      </c>
      <c r="U439" s="121" t="s">
        <v>155</v>
      </c>
      <c r="V439" s="121" t="s">
        <v>155</v>
      </c>
      <c r="W439" s="121" t="s">
        <v>155</v>
      </c>
      <c r="X439" s="121" t="s">
        <v>243</v>
      </c>
      <c r="Y439" s="121" t="s">
        <v>276</v>
      </c>
      <c r="Z439" s="121" t="s">
        <v>277</v>
      </c>
      <c r="AA439" s="121" t="s">
        <v>277</v>
      </c>
      <c r="AB439" s="121" t="s">
        <v>278</v>
      </c>
      <c r="AC439" s="121" t="s">
        <v>287</v>
      </c>
      <c r="AD439" s="121" t="s">
        <v>287</v>
      </c>
      <c r="AH439" s="108"/>
      <c r="AI439" s="67"/>
      <c r="AJ439" s="61"/>
      <c r="AK439" s="83"/>
      <c r="AL439" s="67"/>
      <c r="AM439" s="67"/>
      <c r="AN439" s="68"/>
      <c r="AO439" s="68"/>
      <c r="AP439" s="68"/>
      <c r="BG439" s="94"/>
    </row>
    <row r="440" spans="1:59" s="27" customFormat="1" ht="13.5" customHeight="1">
      <c r="A440" s="85"/>
      <c r="B440" s="120" t="s">
        <v>242</v>
      </c>
      <c r="C440" s="121" t="s">
        <v>269</v>
      </c>
      <c r="D440" s="142" t="s">
        <v>460</v>
      </c>
      <c r="E440" s="121" t="s">
        <v>285</v>
      </c>
      <c r="F440" s="121" t="s">
        <v>286</v>
      </c>
      <c r="G440" s="121" t="s">
        <v>182</v>
      </c>
      <c r="H440" s="121" t="s">
        <v>183</v>
      </c>
      <c r="I440" s="132"/>
      <c r="J440" s="121" t="s">
        <v>272</v>
      </c>
      <c r="K440" s="121" t="s">
        <v>243</v>
      </c>
      <c r="L440" s="121" t="s">
        <v>155</v>
      </c>
      <c r="M440" s="121" t="s">
        <v>273</v>
      </c>
      <c r="N440" s="121" t="s">
        <v>155</v>
      </c>
      <c r="O440" s="121" t="s">
        <v>182</v>
      </c>
      <c r="P440" s="121" t="s">
        <v>155</v>
      </c>
      <c r="Q440" s="121" t="s">
        <v>274</v>
      </c>
      <c r="R440" s="121" t="s">
        <v>275</v>
      </c>
      <c r="S440" s="121" t="s">
        <v>155</v>
      </c>
      <c r="T440" s="121" t="s">
        <v>155</v>
      </c>
      <c r="U440" s="121" t="s">
        <v>155</v>
      </c>
      <c r="V440" s="121" t="s">
        <v>155</v>
      </c>
      <c r="W440" s="121" t="s">
        <v>155</v>
      </c>
      <c r="X440" s="121" t="s">
        <v>243</v>
      </c>
      <c r="Y440" s="121" t="s">
        <v>276</v>
      </c>
      <c r="Z440" s="121" t="s">
        <v>277</v>
      </c>
      <c r="AA440" s="121" t="s">
        <v>277</v>
      </c>
      <c r="AB440" s="121" t="s">
        <v>278</v>
      </c>
      <c r="AC440" s="121" t="s">
        <v>287</v>
      </c>
      <c r="AD440" s="121" t="s">
        <v>287</v>
      </c>
      <c r="AH440" s="108"/>
      <c r="AI440" s="67"/>
      <c r="AJ440" s="61"/>
      <c r="AK440" s="83"/>
      <c r="AL440" s="67"/>
      <c r="AM440" s="67"/>
      <c r="AN440" s="68"/>
      <c r="AO440" s="68"/>
      <c r="AP440" s="68"/>
      <c r="BG440" s="94"/>
    </row>
    <row r="441" spans="1:59" ht="14">
      <c r="B441" s="163"/>
      <c r="C441" s="164"/>
      <c r="D441" s="164"/>
      <c r="E441" s="164"/>
      <c r="F441" s="164"/>
      <c r="G441" s="164"/>
      <c r="H441" s="164"/>
      <c r="I441" s="164"/>
      <c r="J441" s="164"/>
      <c r="M441" s="164"/>
      <c r="N441" s="164"/>
      <c r="O441" s="164"/>
      <c r="BG441" s="158"/>
    </row>
    <row r="442" spans="1:59" ht="15">
      <c r="B442" s="163"/>
      <c r="C442" s="257" t="s">
        <v>321</v>
      </c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258"/>
      <c r="Q442" s="258"/>
      <c r="R442" s="258"/>
      <c r="S442" s="258"/>
      <c r="T442" s="258"/>
      <c r="U442" s="90"/>
      <c r="V442" s="90"/>
      <c r="W442" s="90"/>
      <c r="X442" s="90"/>
      <c r="Y442" s="90"/>
      <c r="Z442" s="90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2"/>
      <c r="AQ442" s="92"/>
      <c r="AR442" s="92"/>
      <c r="AS442" s="92"/>
      <c r="AT442" s="92"/>
      <c r="AU442" s="92"/>
      <c r="AV442" s="92"/>
      <c r="AW442" s="92"/>
      <c r="AX442" s="92"/>
      <c r="AY442" s="92"/>
      <c r="AZ442" s="92"/>
      <c r="BA442" s="92"/>
      <c r="BB442" s="92"/>
      <c r="BC442" s="92"/>
      <c r="BD442" s="92"/>
      <c r="BE442" s="92"/>
      <c r="BF442" s="92"/>
      <c r="BG442" s="158"/>
    </row>
    <row r="443" spans="1:59" ht="15">
      <c r="B443" s="163"/>
      <c r="C443" s="127"/>
      <c r="D443" s="127"/>
      <c r="E443" s="127"/>
      <c r="F443" s="124" t="s">
        <v>168</v>
      </c>
      <c r="G443" s="124" t="s">
        <v>168</v>
      </c>
      <c r="H443" s="129" t="s">
        <v>168</v>
      </c>
      <c r="I443" s="124" t="s">
        <v>168</v>
      </c>
      <c r="J443" s="124" t="s">
        <v>168</v>
      </c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30"/>
      <c r="AB443" s="130"/>
      <c r="AC443" s="130"/>
      <c r="AD443" s="130"/>
      <c r="AE443" s="130"/>
      <c r="AF443" s="130"/>
      <c r="AG443" s="130"/>
      <c r="AH443" s="130"/>
      <c r="AI443" s="130"/>
      <c r="AJ443" s="130"/>
      <c r="AK443" s="130"/>
      <c r="AL443" s="130"/>
      <c r="AM443" s="130"/>
      <c r="AN443" s="130"/>
      <c r="AO443" s="130"/>
      <c r="AP443" s="130"/>
      <c r="AQ443" s="130"/>
      <c r="AR443" s="130"/>
      <c r="AS443" s="130"/>
      <c r="AT443" s="130"/>
      <c r="AU443" s="130"/>
      <c r="AV443" s="130"/>
      <c r="AW443" s="130"/>
      <c r="AX443" s="130"/>
      <c r="AY443" s="130"/>
      <c r="AZ443" s="130"/>
      <c r="BA443" s="130"/>
      <c r="BB443" s="130"/>
      <c r="BC443" s="130"/>
      <c r="BD443" s="130"/>
      <c r="BE443" s="130"/>
      <c r="BF443" s="130"/>
      <c r="BG443" s="158"/>
    </row>
    <row r="444" spans="1:59" ht="25">
      <c r="B444" s="163"/>
      <c r="C444" s="117" t="s">
        <v>365</v>
      </c>
      <c r="D444" s="117" t="s">
        <v>420</v>
      </c>
      <c r="E444" s="117" t="s">
        <v>421</v>
      </c>
      <c r="F444" s="119" t="s">
        <v>96</v>
      </c>
      <c r="G444" s="119" t="s">
        <v>99</v>
      </c>
      <c r="H444" s="119" t="s">
        <v>130</v>
      </c>
      <c r="I444" s="119" t="s">
        <v>391</v>
      </c>
      <c r="J444" s="119" t="s">
        <v>127</v>
      </c>
      <c r="K444" s="119" t="s">
        <v>67</v>
      </c>
      <c r="L444" s="119" t="s">
        <v>288</v>
      </c>
      <c r="M444" s="119" t="s">
        <v>366</v>
      </c>
      <c r="N444" s="119" t="s">
        <v>367</v>
      </c>
      <c r="O444" s="119" t="s">
        <v>368</v>
      </c>
      <c r="P444" s="119" t="s">
        <v>369</v>
      </c>
      <c r="Q444" s="119" t="s">
        <v>370</v>
      </c>
      <c r="R444" s="119" t="s">
        <v>371</v>
      </c>
      <c r="S444" s="119" t="s">
        <v>372</v>
      </c>
      <c r="T444" s="119" t="s">
        <v>373</v>
      </c>
      <c r="U444" s="119" t="s">
        <v>374</v>
      </c>
      <c r="V444" s="119" t="s">
        <v>375</v>
      </c>
      <c r="W444" s="119" t="s">
        <v>376</v>
      </c>
      <c r="X444" s="119" t="s">
        <v>377</v>
      </c>
      <c r="Y444" s="119" t="s">
        <v>378</v>
      </c>
      <c r="Z444" s="119" t="s">
        <v>379</v>
      </c>
      <c r="AA444" s="119" t="s">
        <v>380</v>
      </c>
      <c r="AB444" s="119" t="s">
        <v>381</v>
      </c>
      <c r="AC444" s="119" t="s">
        <v>382</v>
      </c>
      <c r="AD444" s="119" t="s">
        <v>383</v>
      </c>
      <c r="AE444" s="119" t="s">
        <v>384</v>
      </c>
      <c r="AF444" s="119" t="s">
        <v>385</v>
      </c>
      <c r="AG444" s="119" t="s">
        <v>386</v>
      </c>
      <c r="AH444" s="119" t="s">
        <v>387</v>
      </c>
      <c r="AI444" s="119" t="s">
        <v>388</v>
      </c>
      <c r="AJ444" s="119" t="s">
        <v>390</v>
      </c>
      <c r="AK444" s="119" t="s">
        <v>389</v>
      </c>
      <c r="AL444" s="119" t="s">
        <v>398</v>
      </c>
      <c r="AM444" s="119" t="s">
        <v>392</v>
      </c>
      <c r="AN444" s="119" t="s">
        <v>393</v>
      </c>
      <c r="AO444" s="119" t="s">
        <v>394</v>
      </c>
      <c r="AP444" s="119" t="s">
        <v>395</v>
      </c>
      <c r="AQ444" s="119" t="s">
        <v>399</v>
      </c>
      <c r="AR444" s="119" t="s">
        <v>396</v>
      </c>
      <c r="AS444" s="119" t="s">
        <v>397</v>
      </c>
      <c r="AT444" s="119" t="s">
        <v>400</v>
      </c>
      <c r="AU444" s="119" t="s">
        <v>401</v>
      </c>
      <c r="AV444" s="119" t="s">
        <v>402</v>
      </c>
      <c r="AW444" s="119" t="s">
        <v>403</v>
      </c>
      <c r="AX444" s="119" t="s">
        <v>404</v>
      </c>
      <c r="AY444" s="119" t="s">
        <v>405</v>
      </c>
      <c r="AZ444" s="119" t="s">
        <v>229</v>
      </c>
      <c r="BA444" s="119" t="s">
        <v>230</v>
      </c>
      <c r="BB444" s="119" t="s">
        <v>231</v>
      </c>
      <c r="BC444" s="119" t="s">
        <v>232</v>
      </c>
      <c r="BD444" s="119" t="s">
        <v>150</v>
      </c>
      <c r="BE444" s="119" t="s">
        <v>151</v>
      </c>
      <c r="BF444" s="119" t="s">
        <v>233</v>
      </c>
      <c r="BG444" s="158"/>
    </row>
    <row r="445" spans="1:59">
      <c r="B445" s="163"/>
      <c r="C445" s="117" t="s">
        <v>205</v>
      </c>
      <c r="D445" s="117" t="s">
        <v>214</v>
      </c>
      <c r="E445" s="117" t="s">
        <v>222</v>
      </c>
      <c r="F445" s="118" t="s">
        <v>322</v>
      </c>
      <c r="G445" s="118" t="s">
        <v>323</v>
      </c>
      <c r="H445" s="118" t="s">
        <v>324</v>
      </c>
      <c r="I445" s="118" t="s">
        <v>351</v>
      </c>
      <c r="J445" s="118" t="s">
        <v>357</v>
      </c>
      <c r="K445" s="118" t="s">
        <v>251</v>
      </c>
      <c r="L445" s="118" t="s">
        <v>252</v>
      </c>
      <c r="M445" s="118" t="s">
        <v>325</v>
      </c>
      <c r="N445" s="118" t="s">
        <v>326</v>
      </c>
      <c r="O445" s="118" t="s">
        <v>327</v>
      </c>
      <c r="P445" s="118" t="s">
        <v>328</v>
      </c>
      <c r="Q445" s="118" t="s">
        <v>329</v>
      </c>
      <c r="R445" s="118" t="s">
        <v>330</v>
      </c>
      <c r="S445" s="118" t="s">
        <v>331</v>
      </c>
      <c r="T445" s="118" t="s">
        <v>332</v>
      </c>
      <c r="U445" s="118" t="s">
        <v>333</v>
      </c>
      <c r="V445" s="118" t="s">
        <v>334</v>
      </c>
      <c r="W445" s="118" t="s">
        <v>335</v>
      </c>
      <c r="X445" s="118" t="s">
        <v>336</v>
      </c>
      <c r="Y445" s="118" t="s">
        <v>337</v>
      </c>
      <c r="Z445" s="118" t="s">
        <v>338</v>
      </c>
      <c r="AA445" s="118" t="s">
        <v>339</v>
      </c>
      <c r="AB445" s="118" t="s">
        <v>340</v>
      </c>
      <c r="AC445" s="118" t="s">
        <v>341</v>
      </c>
      <c r="AD445" s="118" t="s">
        <v>342</v>
      </c>
      <c r="AE445" s="118" t="s">
        <v>343</v>
      </c>
      <c r="AF445" s="118" t="s">
        <v>344</v>
      </c>
      <c r="AG445" s="118" t="s">
        <v>345</v>
      </c>
      <c r="AH445" s="118" t="s">
        <v>346</v>
      </c>
      <c r="AI445" s="118" t="s">
        <v>347</v>
      </c>
      <c r="AJ445" s="118" t="s">
        <v>348</v>
      </c>
      <c r="AK445" s="118" t="s">
        <v>349</v>
      </c>
      <c r="AL445" s="118" t="s">
        <v>350</v>
      </c>
      <c r="AM445" s="118" t="s">
        <v>352</v>
      </c>
      <c r="AN445" s="118" t="s">
        <v>353</v>
      </c>
      <c r="AO445" s="118" t="s">
        <v>354</v>
      </c>
      <c r="AP445" s="118" t="s">
        <v>234</v>
      </c>
      <c r="AQ445" s="118" t="s">
        <v>355</v>
      </c>
      <c r="AR445" s="118" t="s">
        <v>356</v>
      </c>
      <c r="AS445" s="118" t="s">
        <v>358</v>
      </c>
      <c r="AT445" s="118" t="s">
        <v>359</v>
      </c>
      <c r="AU445" s="118" t="s">
        <v>360</v>
      </c>
      <c r="AV445" s="118" t="s">
        <v>361</v>
      </c>
      <c r="AW445" s="118" t="s">
        <v>362</v>
      </c>
      <c r="AX445" s="118" t="s">
        <v>363</v>
      </c>
      <c r="AY445" s="118" t="s">
        <v>364</v>
      </c>
      <c r="AZ445" s="118" t="s">
        <v>235</v>
      </c>
      <c r="BA445" s="118" t="s">
        <v>236</v>
      </c>
      <c r="BB445" s="118" t="s">
        <v>237</v>
      </c>
      <c r="BC445" s="118" t="s">
        <v>238</v>
      </c>
      <c r="BD445" s="118" t="s">
        <v>239</v>
      </c>
      <c r="BE445" s="118" t="s">
        <v>240</v>
      </c>
      <c r="BF445" s="118" t="s">
        <v>241</v>
      </c>
      <c r="BG445" s="158"/>
    </row>
    <row r="446" spans="1:59">
      <c r="B446" s="163"/>
      <c r="C446" s="117" t="s">
        <v>304</v>
      </c>
      <c r="D446" s="117" t="s">
        <v>406</v>
      </c>
      <c r="E446" s="117" t="s">
        <v>305</v>
      </c>
      <c r="F446" s="131" t="s">
        <v>306</v>
      </c>
      <c r="G446" s="131" t="s">
        <v>306</v>
      </c>
      <c r="H446" s="131" t="s">
        <v>306</v>
      </c>
      <c r="I446" s="131" t="s">
        <v>306</v>
      </c>
      <c r="J446" s="131" t="s">
        <v>308</v>
      </c>
      <c r="K446" s="131" t="s">
        <v>306</v>
      </c>
      <c r="L446" s="131" t="s">
        <v>306</v>
      </c>
      <c r="M446" s="131" t="s">
        <v>407</v>
      </c>
      <c r="N446" s="131" t="s">
        <v>407</v>
      </c>
      <c r="O446" s="131" t="s">
        <v>305</v>
      </c>
      <c r="P446" s="131" t="s">
        <v>408</v>
      </c>
      <c r="Q446" s="131" t="s">
        <v>306</v>
      </c>
      <c r="R446" s="131" t="s">
        <v>313</v>
      </c>
      <c r="S446" s="131" t="s">
        <v>308</v>
      </c>
      <c r="T446" s="131" t="s">
        <v>313</v>
      </c>
      <c r="U446" s="131" t="s">
        <v>308</v>
      </c>
      <c r="V446" s="131" t="s">
        <v>308</v>
      </c>
      <c r="W446" s="131" t="s">
        <v>306</v>
      </c>
      <c r="X446" s="131" t="s">
        <v>409</v>
      </c>
      <c r="Y446" s="131" t="s">
        <v>409</v>
      </c>
      <c r="Z446" s="131" t="s">
        <v>310</v>
      </c>
      <c r="AA446" s="131" t="s">
        <v>408</v>
      </c>
      <c r="AB446" s="131" t="s">
        <v>408</v>
      </c>
      <c r="AC446" s="131" t="s">
        <v>308</v>
      </c>
      <c r="AD446" s="131" t="s">
        <v>312</v>
      </c>
      <c r="AE446" s="131" t="s">
        <v>313</v>
      </c>
      <c r="AF446" s="131" t="s">
        <v>313</v>
      </c>
      <c r="AG446" s="131" t="s">
        <v>410</v>
      </c>
      <c r="AH446" s="131" t="s">
        <v>410</v>
      </c>
      <c r="AI446" s="131" t="s">
        <v>313</v>
      </c>
      <c r="AJ446" s="131" t="s">
        <v>313</v>
      </c>
      <c r="AK446" s="131" t="s">
        <v>410</v>
      </c>
      <c r="AL446" s="131" t="s">
        <v>410</v>
      </c>
      <c r="AM446" s="131" t="s">
        <v>306</v>
      </c>
      <c r="AN446" s="131" t="s">
        <v>306</v>
      </c>
      <c r="AO446" s="131" t="s">
        <v>306</v>
      </c>
      <c r="AP446" s="131" t="s">
        <v>310</v>
      </c>
      <c r="AQ446" s="131" t="s">
        <v>305</v>
      </c>
      <c r="AR446" s="131" t="s">
        <v>306</v>
      </c>
      <c r="AS446" s="131" t="s">
        <v>308</v>
      </c>
      <c r="AT446" s="131" t="s">
        <v>306</v>
      </c>
      <c r="AU446" s="131" t="s">
        <v>411</v>
      </c>
      <c r="AV446" s="131" t="s">
        <v>313</v>
      </c>
      <c r="AW446" s="131" t="s">
        <v>310</v>
      </c>
      <c r="AX446" s="131" t="s">
        <v>306</v>
      </c>
      <c r="AY446" s="131" t="s">
        <v>306</v>
      </c>
      <c r="AZ446" s="131" t="s">
        <v>317</v>
      </c>
      <c r="BA446" s="131" t="s">
        <v>318</v>
      </c>
      <c r="BB446" s="131" t="s">
        <v>320</v>
      </c>
      <c r="BC446" s="131" t="s">
        <v>320</v>
      </c>
      <c r="BD446" s="131" t="s">
        <v>318</v>
      </c>
      <c r="BE446" s="131" t="s">
        <v>320</v>
      </c>
      <c r="BF446" s="131" t="s">
        <v>320</v>
      </c>
      <c r="BG446" s="158"/>
    </row>
    <row r="447" spans="1:59" ht="15">
      <c r="B447" s="120" t="s">
        <v>242</v>
      </c>
      <c r="C447" s="132" t="s">
        <v>269</v>
      </c>
      <c r="D447" s="142" t="s">
        <v>461</v>
      </c>
      <c r="E447" s="132" t="s">
        <v>181</v>
      </c>
      <c r="F447" s="133" t="s">
        <v>184</v>
      </c>
      <c r="G447" s="132" t="s">
        <v>243</v>
      </c>
      <c r="H447" s="132" t="s">
        <v>243</v>
      </c>
      <c r="I447" s="135">
        <v>0</v>
      </c>
      <c r="J447" s="136">
        <v>30</v>
      </c>
      <c r="K447" s="132" t="s">
        <v>271</v>
      </c>
      <c r="L447" s="132" t="s">
        <v>271</v>
      </c>
      <c r="M447" s="132" t="s">
        <v>155</v>
      </c>
      <c r="N447" s="132" t="s">
        <v>155</v>
      </c>
      <c r="O447" s="132" t="s">
        <v>416</v>
      </c>
      <c r="P447" s="132" t="s">
        <v>155</v>
      </c>
      <c r="Q447" s="134" t="s">
        <v>417</v>
      </c>
      <c r="R447" s="132" t="s">
        <v>182</v>
      </c>
      <c r="S447" s="132" t="s">
        <v>243</v>
      </c>
      <c r="T447" s="132" t="s">
        <v>413</v>
      </c>
      <c r="U447" s="132" t="s">
        <v>414</v>
      </c>
      <c r="V447" s="132" t="s">
        <v>418</v>
      </c>
      <c r="W447" s="132" t="s">
        <v>182</v>
      </c>
      <c r="X447" s="132" t="s">
        <v>243</v>
      </c>
      <c r="Y447" s="132" t="s">
        <v>243</v>
      </c>
      <c r="Z447" s="132"/>
      <c r="AA447" s="135"/>
      <c r="AB447" s="135" t="s">
        <v>419</v>
      </c>
      <c r="AC447" s="138">
        <v>5000</v>
      </c>
      <c r="AD447" s="135">
        <v>99999999</v>
      </c>
      <c r="AE447" s="132" t="s">
        <v>243</v>
      </c>
      <c r="AF447" s="132" t="s">
        <v>271</v>
      </c>
      <c r="AG447" s="132" t="s">
        <v>243</v>
      </c>
      <c r="AH447" s="132" t="s">
        <v>243</v>
      </c>
      <c r="AI447" s="135">
        <v>0</v>
      </c>
      <c r="AJ447" s="135">
        <v>0</v>
      </c>
      <c r="AK447" s="135">
        <v>0</v>
      </c>
      <c r="AL447" s="135">
        <v>0</v>
      </c>
      <c r="AM447" s="132" t="s">
        <v>182</v>
      </c>
      <c r="AN447" s="135">
        <v>0</v>
      </c>
      <c r="AO447" s="132" t="s">
        <v>243</v>
      </c>
      <c r="AP447" s="135">
        <v>1</v>
      </c>
      <c r="AQ447" s="136">
        <v>1111</v>
      </c>
      <c r="AR447" s="136" t="s">
        <v>415</v>
      </c>
      <c r="AS447" s="136">
        <v>10</v>
      </c>
      <c r="AT447" s="136">
        <v>1</v>
      </c>
      <c r="AU447" s="136">
        <v>0</v>
      </c>
      <c r="AV447" s="136">
        <v>0</v>
      </c>
      <c r="AW447" s="136">
        <v>0</v>
      </c>
      <c r="AX447" s="136">
        <v>0</v>
      </c>
      <c r="AY447" s="136">
        <v>1</v>
      </c>
      <c r="AZ447" s="136">
        <v>0</v>
      </c>
      <c r="BA447" s="137">
        <v>40640.750486111108</v>
      </c>
      <c r="BB447" s="136">
        <v>470195</v>
      </c>
      <c r="BC447" s="136">
        <v>470195</v>
      </c>
      <c r="BD447" s="137">
        <v>45392.67769675926</v>
      </c>
      <c r="BE447" s="136">
        <v>363363</v>
      </c>
      <c r="BF447" s="136">
        <v>363363</v>
      </c>
      <c r="BG447" s="158"/>
    </row>
    <row r="448" spans="1:59" ht="14">
      <c r="B448" s="122" t="s">
        <v>244</v>
      </c>
      <c r="C448" s="132" t="s">
        <v>269</v>
      </c>
      <c r="D448" s="132" t="s">
        <v>533</v>
      </c>
      <c r="E448" s="132" t="s">
        <v>285</v>
      </c>
      <c r="F448" s="132" t="s">
        <v>184</v>
      </c>
      <c r="G448" s="132" t="s">
        <v>243</v>
      </c>
      <c r="H448" s="132" t="s">
        <v>243</v>
      </c>
      <c r="I448" s="132">
        <v>0</v>
      </c>
      <c r="J448" s="132">
        <v>30</v>
      </c>
      <c r="K448" s="132" t="s">
        <v>534</v>
      </c>
      <c r="L448" s="225" t="s">
        <v>432</v>
      </c>
      <c r="M448" s="132" t="s">
        <v>155</v>
      </c>
      <c r="N448" s="132" t="s">
        <v>155</v>
      </c>
      <c r="O448" s="132" t="s">
        <v>416</v>
      </c>
      <c r="P448" s="132" t="s">
        <v>155</v>
      </c>
      <c r="Q448" s="132" t="s">
        <v>417</v>
      </c>
      <c r="R448" s="132" t="s">
        <v>182</v>
      </c>
      <c r="S448" s="132" t="s">
        <v>497</v>
      </c>
      <c r="T448" s="132" t="s">
        <v>413</v>
      </c>
      <c r="U448" s="132" t="s">
        <v>498</v>
      </c>
      <c r="V448" s="132" t="s">
        <v>499</v>
      </c>
      <c r="W448" s="132" t="s">
        <v>182</v>
      </c>
      <c r="X448" s="132" t="s">
        <v>500</v>
      </c>
      <c r="Y448" s="132" t="s">
        <v>500</v>
      </c>
      <c r="Z448" s="132"/>
      <c r="AA448" s="132"/>
      <c r="AB448" s="132" t="s">
        <v>419</v>
      </c>
      <c r="AC448" s="132">
        <v>5000</v>
      </c>
      <c r="AD448" s="132">
        <v>99999999</v>
      </c>
      <c r="AE448" s="132">
        <v>0</v>
      </c>
      <c r="AF448" s="132">
        <v>2</v>
      </c>
      <c r="AG448" s="132">
        <v>0</v>
      </c>
      <c r="AH448" s="132">
        <v>0</v>
      </c>
      <c r="AI448" s="132">
        <v>0</v>
      </c>
      <c r="AJ448" s="132">
        <v>0</v>
      </c>
      <c r="AK448" s="132">
        <v>0</v>
      </c>
      <c r="AL448" s="132">
        <v>0</v>
      </c>
      <c r="AM448" s="132">
        <v>1</v>
      </c>
      <c r="AN448" s="132">
        <v>0</v>
      </c>
      <c r="AO448" s="132">
        <v>0</v>
      </c>
      <c r="AP448" s="132">
        <v>1</v>
      </c>
      <c r="AQ448" s="132">
        <v>1111</v>
      </c>
      <c r="AR448" s="132" t="s">
        <v>415</v>
      </c>
      <c r="AS448" s="132">
        <v>10</v>
      </c>
      <c r="AT448" s="132">
        <v>1</v>
      </c>
      <c r="AU448" s="132">
        <v>0</v>
      </c>
      <c r="AV448" s="132">
        <v>0</v>
      </c>
      <c r="AW448" s="132">
        <v>0</v>
      </c>
      <c r="AX448" s="132">
        <v>0</v>
      </c>
      <c r="AY448" s="132">
        <v>1</v>
      </c>
      <c r="AZ448" s="132">
        <v>0</v>
      </c>
      <c r="BA448" s="132">
        <v>40640.750486111108</v>
      </c>
      <c r="BB448" s="132">
        <v>470195</v>
      </c>
      <c r="BC448" s="132">
        <v>470195</v>
      </c>
      <c r="BD448" s="132">
        <v>45392.67769675926</v>
      </c>
      <c r="BE448" s="132">
        <v>363363</v>
      </c>
      <c r="BF448" s="132">
        <v>363363</v>
      </c>
      <c r="BG448" s="158"/>
    </row>
    <row r="449" spans="2:59" ht="15">
      <c r="B449" s="120" t="s">
        <v>242</v>
      </c>
      <c r="C449" s="132" t="s">
        <v>269</v>
      </c>
      <c r="D449" s="142" t="s">
        <v>460</v>
      </c>
      <c r="E449" s="143" t="s">
        <v>181</v>
      </c>
      <c r="F449" s="139" t="s">
        <v>286</v>
      </c>
      <c r="G449" s="132" t="s">
        <v>243</v>
      </c>
      <c r="H449" s="132" t="s">
        <v>243</v>
      </c>
      <c r="I449" s="135">
        <v>1</v>
      </c>
      <c r="J449" s="136">
        <v>0</v>
      </c>
      <c r="K449" s="132" t="s">
        <v>182</v>
      </c>
      <c r="L449" s="225" t="s">
        <v>432</v>
      </c>
      <c r="M449" s="132" t="s">
        <v>155</v>
      </c>
      <c r="N449" s="132" t="s">
        <v>155</v>
      </c>
      <c r="O449" s="132" t="s">
        <v>155</v>
      </c>
      <c r="P449" s="132" t="s">
        <v>155</v>
      </c>
      <c r="Q449" s="134" t="s">
        <v>412</v>
      </c>
      <c r="R449" s="132" t="s">
        <v>243</v>
      </c>
      <c r="S449" s="132" t="s">
        <v>243</v>
      </c>
      <c r="T449" s="132" t="s">
        <v>413</v>
      </c>
      <c r="U449" s="132" t="s">
        <v>414</v>
      </c>
      <c r="V449" s="132" t="s">
        <v>182</v>
      </c>
      <c r="W449" s="132" t="s">
        <v>182</v>
      </c>
      <c r="X449" s="132" t="s">
        <v>243</v>
      </c>
      <c r="Y449" s="132" t="s">
        <v>243</v>
      </c>
      <c r="Z449" s="132" t="s">
        <v>155</v>
      </c>
      <c r="AA449" s="135" t="s">
        <v>155</v>
      </c>
      <c r="AB449" s="135" t="s">
        <v>155</v>
      </c>
      <c r="AC449" s="135">
        <v>1</v>
      </c>
      <c r="AD449" s="135">
        <v>99999999</v>
      </c>
      <c r="AE449" s="132" t="s">
        <v>243</v>
      </c>
      <c r="AF449" s="132" t="s">
        <v>243</v>
      </c>
      <c r="AG449" s="132" t="s">
        <v>243</v>
      </c>
      <c r="AH449" s="132" t="s">
        <v>243</v>
      </c>
      <c r="AI449" s="135">
        <v>0</v>
      </c>
      <c r="AJ449" s="135">
        <v>0</v>
      </c>
      <c r="AK449" s="135">
        <v>0</v>
      </c>
      <c r="AL449" s="135">
        <v>0</v>
      </c>
      <c r="AM449" s="132" t="s">
        <v>182</v>
      </c>
      <c r="AN449" s="135">
        <v>0</v>
      </c>
      <c r="AO449" s="132" t="s">
        <v>243</v>
      </c>
      <c r="AP449" s="135">
        <v>1</v>
      </c>
      <c r="AQ449" s="136" t="s">
        <v>155</v>
      </c>
      <c r="AR449" s="136" t="s">
        <v>415</v>
      </c>
      <c r="AS449" s="136">
        <v>0</v>
      </c>
      <c r="AT449" s="136">
        <v>1</v>
      </c>
      <c r="AU449" s="136">
        <v>0</v>
      </c>
      <c r="AV449" s="136">
        <v>0</v>
      </c>
      <c r="AW449" s="136">
        <v>0</v>
      </c>
      <c r="AX449" s="136">
        <v>0</v>
      </c>
      <c r="AY449" s="136">
        <v>1</v>
      </c>
      <c r="AZ449" s="136">
        <v>0</v>
      </c>
      <c r="BA449" s="137">
        <v>29705</v>
      </c>
      <c r="BB449" s="136" t="s">
        <v>277</v>
      </c>
      <c r="BC449" s="136" t="s">
        <v>277</v>
      </c>
      <c r="BD449" s="137">
        <v>36413</v>
      </c>
      <c r="BE449" s="136" t="s">
        <v>277</v>
      </c>
      <c r="BF449" s="136" t="s">
        <v>277</v>
      </c>
      <c r="BG449" s="158"/>
    </row>
    <row r="450" spans="2:59" ht="14">
      <c r="B450" s="120" t="s">
        <v>242</v>
      </c>
      <c r="C450" s="132" t="s">
        <v>269</v>
      </c>
      <c r="D450" s="142" t="s">
        <v>181</v>
      </c>
      <c r="E450" s="132" t="s">
        <v>285</v>
      </c>
      <c r="F450" s="132" t="s">
        <v>184</v>
      </c>
      <c r="G450" s="132" t="s">
        <v>243</v>
      </c>
      <c r="H450" s="132" t="s">
        <v>243</v>
      </c>
      <c r="I450" s="132">
        <v>0</v>
      </c>
      <c r="J450" s="132">
        <v>30</v>
      </c>
      <c r="K450" s="132" t="s">
        <v>443</v>
      </c>
      <c r="L450" s="225" t="s">
        <v>432</v>
      </c>
      <c r="M450" s="132" t="s">
        <v>155</v>
      </c>
      <c r="N450" s="132" t="s">
        <v>155</v>
      </c>
      <c r="O450" s="132" t="s">
        <v>416</v>
      </c>
      <c r="P450" s="132" t="s">
        <v>155</v>
      </c>
      <c r="Q450" s="132" t="s">
        <v>417</v>
      </c>
      <c r="R450" s="132" t="s">
        <v>182</v>
      </c>
      <c r="S450" s="132" t="s">
        <v>243</v>
      </c>
      <c r="T450" s="132" t="s">
        <v>413</v>
      </c>
      <c r="U450" s="132" t="s">
        <v>414</v>
      </c>
      <c r="V450" s="132" t="s">
        <v>418</v>
      </c>
      <c r="W450" s="132" t="s">
        <v>182</v>
      </c>
      <c r="X450" s="132" t="s">
        <v>243</v>
      </c>
      <c r="Y450" s="132" t="s">
        <v>243</v>
      </c>
      <c r="Z450" s="132"/>
      <c r="AA450" s="132"/>
      <c r="AB450" s="132" t="s">
        <v>419</v>
      </c>
      <c r="AC450" s="132">
        <v>5000</v>
      </c>
      <c r="AD450" s="132">
        <v>99999999</v>
      </c>
      <c r="AE450" s="132" t="s">
        <v>243</v>
      </c>
      <c r="AF450" s="132" t="s">
        <v>271</v>
      </c>
      <c r="AG450" s="132" t="s">
        <v>243</v>
      </c>
      <c r="AH450" s="132" t="s">
        <v>243</v>
      </c>
      <c r="AI450" s="132">
        <v>0</v>
      </c>
      <c r="AJ450" s="132">
        <v>0</v>
      </c>
      <c r="AK450" s="132">
        <v>0</v>
      </c>
      <c r="AL450" s="132">
        <v>0</v>
      </c>
      <c r="AM450" s="132" t="s">
        <v>182</v>
      </c>
      <c r="AN450" s="132">
        <v>0</v>
      </c>
      <c r="AO450" s="132" t="s">
        <v>243</v>
      </c>
      <c r="AP450" s="132">
        <v>1</v>
      </c>
      <c r="AQ450" s="132">
        <v>1111</v>
      </c>
      <c r="AR450" s="132" t="s">
        <v>415</v>
      </c>
      <c r="AS450" s="132">
        <v>10</v>
      </c>
      <c r="AT450" s="132">
        <v>1</v>
      </c>
      <c r="AU450" s="132">
        <v>0</v>
      </c>
      <c r="AV450" s="132">
        <v>0</v>
      </c>
      <c r="AW450" s="132">
        <v>0</v>
      </c>
      <c r="AX450" s="132">
        <v>0</v>
      </c>
      <c r="AY450" s="132">
        <v>1</v>
      </c>
      <c r="AZ450" s="132">
        <v>0</v>
      </c>
      <c r="BA450" s="132">
        <v>40640.750486111108</v>
      </c>
      <c r="BB450" s="132">
        <v>470195</v>
      </c>
      <c r="BC450" s="132">
        <v>470195</v>
      </c>
      <c r="BD450" s="132">
        <v>45392.67769675926</v>
      </c>
      <c r="BE450" s="132">
        <v>363363</v>
      </c>
      <c r="BF450" s="132">
        <v>363363</v>
      </c>
      <c r="BG450" s="158"/>
    </row>
    <row r="451" spans="2:59" ht="14">
      <c r="B451" s="163"/>
      <c r="C451" s="164"/>
      <c r="D451" s="164"/>
      <c r="E451" s="164"/>
      <c r="F451" s="164"/>
      <c r="G451" s="164"/>
      <c r="H451" s="164"/>
      <c r="I451" s="164"/>
      <c r="J451" s="164"/>
      <c r="M451" s="164"/>
      <c r="N451" s="164"/>
      <c r="O451" s="164"/>
      <c r="BG451" s="158"/>
    </row>
    <row r="452" spans="2:59" ht="14.5" thickBot="1">
      <c r="B452" s="163"/>
      <c r="C452" s="164" t="s">
        <v>152</v>
      </c>
      <c r="D452" s="164"/>
      <c r="E452" s="164"/>
      <c r="F452" s="164"/>
      <c r="G452" s="164"/>
      <c r="H452" s="164"/>
      <c r="I452" s="164"/>
      <c r="J452" s="164"/>
      <c r="M452" s="164"/>
      <c r="N452" s="164"/>
      <c r="O452" s="164"/>
      <c r="BG452" s="158"/>
    </row>
    <row r="453" spans="2:59" ht="14.5" thickBot="1">
      <c r="B453" s="163"/>
      <c r="C453" s="233" t="s">
        <v>422</v>
      </c>
      <c r="D453" s="233" t="s">
        <v>423</v>
      </c>
      <c r="E453" s="233" t="s">
        <v>158</v>
      </c>
      <c r="F453" s="233" t="s">
        <v>424</v>
      </c>
      <c r="G453" s="233" t="s">
        <v>425</v>
      </c>
      <c r="H453" s="233" t="s">
        <v>426</v>
      </c>
      <c r="I453" s="233" t="s">
        <v>427</v>
      </c>
      <c r="J453" s="233" t="s">
        <v>428</v>
      </c>
      <c r="K453" s="233" t="s">
        <v>429</v>
      </c>
      <c r="L453" s="233" t="s">
        <v>430</v>
      </c>
      <c r="M453" s="233" t="s">
        <v>431</v>
      </c>
      <c r="BG453" s="158"/>
    </row>
    <row r="454" spans="2:59" ht="14.5" thickBot="1">
      <c r="B454" s="163"/>
      <c r="C454" s="233">
        <v>0</v>
      </c>
      <c r="D454" s="233">
        <v>0</v>
      </c>
      <c r="E454" s="233">
        <v>0</v>
      </c>
      <c r="F454" s="233" t="s">
        <v>432</v>
      </c>
      <c r="G454" s="233" t="s">
        <v>432</v>
      </c>
      <c r="H454" s="233" t="s">
        <v>534</v>
      </c>
      <c r="I454" s="233">
        <v>4</v>
      </c>
      <c r="J454" s="233">
        <v>5</v>
      </c>
      <c r="K454" s="233">
        <v>0</v>
      </c>
      <c r="L454" s="233">
        <v>30</v>
      </c>
      <c r="M454" s="233">
        <v>0</v>
      </c>
      <c r="BG454" s="158"/>
    </row>
    <row r="455" spans="2:59" ht="13.5" thickBot="1">
      <c r="B455" s="163"/>
      <c r="BG455" s="158"/>
    </row>
    <row r="456" spans="2:59" ht="14" thickBot="1">
      <c r="B456" s="104" t="s">
        <v>458</v>
      </c>
      <c r="C456" s="105" t="s">
        <v>459</v>
      </c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05"/>
      <c r="BG456" s="158"/>
    </row>
    <row r="457" spans="2:59" ht="14" thickBot="1">
      <c r="B457" s="140" t="s">
        <v>620</v>
      </c>
      <c r="C457" s="105" t="s">
        <v>447</v>
      </c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  <c r="BF457" s="105"/>
      <c r="BG457" s="158"/>
    </row>
    <row r="458" spans="2:59">
      <c r="B458" s="163"/>
      <c r="BG458" s="158"/>
    </row>
    <row r="459" spans="2:59" ht="13.5">
      <c r="B459" s="163"/>
      <c r="C459" s="161" t="s">
        <v>228</v>
      </c>
      <c r="BG459" s="158"/>
    </row>
    <row r="460" spans="2:59" ht="14.5">
      <c r="B460" s="163"/>
      <c r="C460" s="161" t="s">
        <v>547</v>
      </c>
      <c r="BG460" s="158"/>
    </row>
    <row r="461" spans="2:59">
      <c r="B461" s="163"/>
      <c r="BG461" s="158"/>
    </row>
    <row r="462" spans="2:59" ht="15">
      <c r="B462" s="163"/>
      <c r="C462" s="221" t="s">
        <v>268</v>
      </c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3"/>
      <c r="Y462" s="66"/>
      <c r="Z462" s="66"/>
      <c r="AA462" s="66"/>
      <c r="AB462" s="66"/>
      <c r="AC462" s="66"/>
      <c r="AD462" s="111"/>
      <c r="BG462" s="158"/>
    </row>
    <row r="463" spans="2:59" ht="15">
      <c r="B463" s="163"/>
      <c r="C463" s="127"/>
      <c r="D463" s="127"/>
      <c r="E463" s="127"/>
      <c r="F463" s="124" t="s">
        <v>168</v>
      </c>
      <c r="G463" s="124" t="s">
        <v>168</v>
      </c>
      <c r="H463" s="124" t="s">
        <v>168</v>
      </c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BG463" s="158"/>
    </row>
    <row r="464" spans="2:59">
      <c r="B464" s="163"/>
      <c r="C464" s="117" t="s">
        <v>171</v>
      </c>
      <c r="D464" s="117" t="s">
        <v>172</v>
      </c>
      <c r="E464" s="117" t="s">
        <v>173</v>
      </c>
      <c r="F464" s="119" t="s">
        <v>91</v>
      </c>
      <c r="G464" s="119" t="s">
        <v>67</v>
      </c>
      <c r="H464" s="119" t="s">
        <v>69</v>
      </c>
      <c r="I464" s="119" t="s">
        <v>289</v>
      </c>
      <c r="J464" s="119" t="s">
        <v>290</v>
      </c>
      <c r="K464" s="119" t="s">
        <v>291</v>
      </c>
      <c r="L464" s="119" t="s">
        <v>292</v>
      </c>
      <c r="M464" s="119" t="s">
        <v>293</v>
      </c>
      <c r="N464" s="119" t="s">
        <v>294</v>
      </c>
      <c r="O464" s="119" t="s">
        <v>295</v>
      </c>
      <c r="P464" s="119" t="s">
        <v>296</v>
      </c>
      <c r="Q464" s="119" t="s">
        <v>297</v>
      </c>
      <c r="R464" s="119" t="s">
        <v>298</v>
      </c>
      <c r="S464" s="119" t="s">
        <v>299</v>
      </c>
      <c r="T464" s="119" t="s">
        <v>300</v>
      </c>
      <c r="U464" s="119" t="s">
        <v>301</v>
      </c>
      <c r="V464" s="119" t="s">
        <v>302</v>
      </c>
      <c r="W464" s="119" t="s">
        <v>303</v>
      </c>
      <c r="X464" s="119" t="s">
        <v>229</v>
      </c>
      <c r="Y464" s="119" t="s">
        <v>230</v>
      </c>
      <c r="Z464" s="119" t="s">
        <v>231</v>
      </c>
      <c r="AA464" s="119" t="s">
        <v>232</v>
      </c>
      <c r="AB464" s="119" t="s">
        <v>150</v>
      </c>
      <c r="AC464" s="119" t="s">
        <v>151</v>
      </c>
      <c r="AD464" s="119" t="s">
        <v>233</v>
      </c>
      <c r="BG464" s="158"/>
    </row>
    <row r="465" spans="2:59">
      <c r="B465" s="163"/>
      <c r="C465" s="117" t="s">
        <v>205</v>
      </c>
      <c r="D465" s="117" t="s">
        <v>214</v>
      </c>
      <c r="E465" s="117" t="s">
        <v>222</v>
      </c>
      <c r="F465" s="118" t="s">
        <v>250</v>
      </c>
      <c r="G465" s="118" t="s">
        <v>251</v>
      </c>
      <c r="H465" s="118" t="s">
        <v>253</v>
      </c>
      <c r="I465" s="118" t="s">
        <v>252</v>
      </c>
      <c r="J465" s="118" t="s">
        <v>254</v>
      </c>
      <c r="K465" s="118" t="s">
        <v>255</v>
      </c>
      <c r="L465" s="118" t="s">
        <v>256</v>
      </c>
      <c r="M465" s="118" t="s">
        <v>257</v>
      </c>
      <c r="N465" s="118" t="s">
        <v>258</v>
      </c>
      <c r="O465" s="118" t="s">
        <v>259</v>
      </c>
      <c r="P465" s="118" t="s">
        <v>260</v>
      </c>
      <c r="Q465" s="118" t="s">
        <v>261</v>
      </c>
      <c r="R465" s="118" t="s">
        <v>262</v>
      </c>
      <c r="S465" s="118" t="s">
        <v>263</v>
      </c>
      <c r="T465" s="118" t="s">
        <v>264</v>
      </c>
      <c r="U465" s="118" t="s">
        <v>265</v>
      </c>
      <c r="V465" s="118" t="s">
        <v>266</v>
      </c>
      <c r="W465" s="118" t="s">
        <v>267</v>
      </c>
      <c r="X465" s="118" t="s">
        <v>235</v>
      </c>
      <c r="Y465" s="118" t="s">
        <v>236</v>
      </c>
      <c r="Z465" s="118" t="s">
        <v>237</v>
      </c>
      <c r="AA465" s="118" t="s">
        <v>238</v>
      </c>
      <c r="AB465" s="118" t="s">
        <v>239</v>
      </c>
      <c r="AC465" s="118" t="s">
        <v>240</v>
      </c>
      <c r="AD465" s="118" t="s">
        <v>241</v>
      </c>
      <c r="BG465" s="158"/>
    </row>
    <row r="466" spans="2:59">
      <c r="B466" s="163"/>
      <c r="C466" s="117" t="s">
        <v>304</v>
      </c>
      <c r="D466" s="117" t="s">
        <v>305</v>
      </c>
      <c r="E466" s="117" t="s">
        <v>305</v>
      </c>
      <c r="F466" s="119" t="s">
        <v>306</v>
      </c>
      <c r="G466" s="119" t="s">
        <v>306</v>
      </c>
      <c r="H466" s="119" t="s">
        <v>307</v>
      </c>
      <c r="I466" s="119" t="s">
        <v>306</v>
      </c>
      <c r="J466" s="119" t="s">
        <v>308</v>
      </c>
      <c r="K466" s="119" t="s">
        <v>309</v>
      </c>
      <c r="L466" s="118" t="s">
        <v>310</v>
      </c>
      <c r="M466" s="119" t="s">
        <v>310</v>
      </c>
      <c r="N466" s="119" t="s">
        <v>311</v>
      </c>
      <c r="O466" s="119" t="s">
        <v>306</v>
      </c>
      <c r="P466" s="119" t="s">
        <v>312</v>
      </c>
      <c r="Q466" s="119" t="s">
        <v>313</v>
      </c>
      <c r="R466" s="119" t="s">
        <v>312</v>
      </c>
      <c r="S466" s="119" t="s">
        <v>314</v>
      </c>
      <c r="T466" s="118" t="s">
        <v>315</v>
      </c>
      <c r="U466" s="119" t="s">
        <v>315</v>
      </c>
      <c r="V466" s="119" t="s">
        <v>316</v>
      </c>
      <c r="W466" s="119" t="s">
        <v>306</v>
      </c>
      <c r="X466" s="119" t="s">
        <v>317</v>
      </c>
      <c r="Y466" s="119" t="s">
        <v>319</v>
      </c>
      <c r="Z466" s="119" t="s">
        <v>320</v>
      </c>
      <c r="AA466" s="119" t="s">
        <v>320</v>
      </c>
      <c r="AB466" s="118" t="s">
        <v>318</v>
      </c>
      <c r="AC466" s="119" t="s">
        <v>320</v>
      </c>
      <c r="AD466" s="119" t="s">
        <v>320</v>
      </c>
      <c r="BG466" s="158"/>
    </row>
    <row r="467" spans="2:59" ht="25">
      <c r="B467" s="120" t="s">
        <v>242</v>
      </c>
      <c r="C467" s="121" t="s">
        <v>269</v>
      </c>
      <c r="D467" s="142" t="s">
        <v>461</v>
      </c>
      <c r="E467" s="143" t="s">
        <v>181</v>
      </c>
      <c r="F467" s="119" t="s">
        <v>182</v>
      </c>
      <c r="G467" s="119" t="s">
        <v>182</v>
      </c>
      <c r="H467" s="119" t="s">
        <v>183</v>
      </c>
      <c r="I467" s="132"/>
      <c r="J467" s="119" t="s">
        <v>183</v>
      </c>
      <c r="K467" s="119" t="s">
        <v>243</v>
      </c>
      <c r="L467" s="118" t="s">
        <v>280</v>
      </c>
      <c r="M467" s="119" t="s">
        <v>273</v>
      </c>
      <c r="N467" s="119"/>
      <c r="O467" s="119" t="s">
        <v>243</v>
      </c>
      <c r="P467" s="119" t="s">
        <v>155</v>
      </c>
      <c r="Q467" s="119" t="s">
        <v>183</v>
      </c>
      <c r="R467" s="119" t="s">
        <v>281</v>
      </c>
      <c r="S467" s="119"/>
      <c r="T467" s="118" t="s">
        <v>155</v>
      </c>
      <c r="U467" s="119" t="s">
        <v>155</v>
      </c>
      <c r="V467" s="119" t="s">
        <v>155</v>
      </c>
      <c r="W467" s="119"/>
      <c r="X467" s="119" t="s">
        <v>243</v>
      </c>
      <c r="Y467" s="119" t="s">
        <v>282</v>
      </c>
      <c r="Z467" s="119" t="s">
        <v>283</v>
      </c>
      <c r="AA467" s="119">
        <v>470195</v>
      </c>
      <c r="AB467" s="118" t="s">
        <v>282</v>
      </c>
      <c r="AC467" s="119">
        <v>470195</v>
      </c>
      <c r="AD467" s="119" t="s">
        <v>283</v>
      </c>
      <c r="BG467" s="158"/>
    </row>
    <row r="468" spans="2:59" ht="14">
      <c r="B468" s="120" t="s">
        <v>242</v>
      </c>
      <c r="C468" s="121" t="s">
        <v>269</v>
      </c>
      <c r="D468" s="142" t="s">
        <v>460</v>
      </c>
      <c r="E468" s="143" t="s">
        <v>181</v>
      </c>
      <c r="F468" s="121" t="s">
        <v>286</v>
      </c>
      <c r="G468" s="121" t="s">
        <v>182</v>
      </c>
      <c r="H468" s="121" t="s">
        <v>183</v>
      </c>
      <c r="I468" s="132"/>
      <c r="J468" s="121" t="s">
        <v>272</v>
      </c>
      <c r="K468" s="121" t="s">
        <v>243</v>
      </c>
      <c r="L468" s="121" t="s">
        <v>155</v>
      </c>
      <c r="M468" s="121" t="s">
        <v>273</v>
      </c>
      <c r="N468" s="121" t="s">
        <v>155</v>
      </c>
      <c r="O468" s="121" t="s">
        <v>182</v>
      </c>
      <c r="P468" s="121" t="s">
        <v>155</v>
      </c>
      <c r="Q468" s="121" t="s">
        <v>274</v>
      </c>
      <c r="R468" s="121" t="s">
        <v>275</v>
      </c>
      <c r="S468" s="121" t="s">
        <v>155</v>
      </c>
      <c r="T468" s="121" t="s">
        <v>155</v>
      </c>
      <c r="U468" s="121" t="s">
        <v>155</v>
      </c>
      <c r="V468" s="121" t="s">
        <v>155</v>
      </c>
      <c r="W468" s="121" t="s">
        <v>155</v>
      </c>
      <c r="X468" s="121" t="s">
        <v>243</v>
      </c>
      <c r="Y468" s="121" t="s">
        <v>276</v>
      </c>
      <c r="Z468" s="121" t="s">
        <v>277</v>
      </c>
      <c r="AA468" s="121" t="s">
        <v>277</v>
      </c>
      <c r="AB468" s="121" t="s">
        <v>278</v>
      </c>
      <c r="AC468" s="121" t="s">
        <v>287</v>
      </c>
      <c r="AD468" s="121" t="s">
        <v>287</v>
      </c>
      <c r="BG468" s="158"/>
    </row>
    <row r="469" spans="2:59" ht="14.5">
      <c r="B469" s="122" t="s">
        <v>244</v>
      </c>
      <c r="C469" s="121" t="s">
        <v>269</v>
      </c>
      <c r="D469" s="121" t="s">
        <v>442</v>
      </c>
      <c r="E469" s="150" t="s">
        <v>181</v>
      </c>
      <c r="F469" s="218" t="s">
        <v>286</v>
      </c>
      <c r="G469" s="121" t="s">
        <v>271</v>
      </c>
      <c r="H469" s="121" t="s">
        <v>183</v>
      </c>
      <c r="I469" s="121" t="s">
        <v>271</v>
      </c>
      <c r="J469" s="121" t="s">
        <v>272</v>
      </c>
      <c r="K469" s="121" t="s">
        <v>243</v>
      </c>
      <c r="L469" s="121" t="s">
        <v>155</v>
      </c>
      <c r="M469" s="121" t="s">
        <v>273</v>
      </c>
      <c r="N469" s="121" t="s">
        <v>155</v>
      </c>
      <c r="O469" s="121" t="s">
        <v>182</v>
      </c>
      <c r="P469" s="121" t="s">
        <v>155</v>
      </c>
      <c r="Q469" s="121" t="s">
        <v>274</v>
      </c>
      <c r="R469" s="121" t="s">
        <v>275</v>
      </c>
      <c r="S469" s="121" t="s">
        <v>155</v>
      </c>
      <c r="T469" s="121" t="s">
        <v>155</v>
      </c>
      <c r="U469" s="121" t="s">
        <v>155</v>
      </c>
      <c r="V469" s="121" t="s">
        <v>155</v>
      </c>
      <c r="W469" s="121" t="s">
        <v>155</v>
      </c>
      <c r="X469" s="121" t="s">
        <v>243</v>
      </c>
      <c r="Y469" s="121" t="s">
        <v>276</v>
      </c>
      <c r="Z469" s="121" t="s">
        <v>277</v>
      </c>
      <c r="AA469" s="121" t="s">
        <v>277</v>
      </c>
      <c r="AB469" s="121" t="s">
        <v>278</v>
      </c>
      <c r="AC469" s="121" t="s">
        <v>287</v>
      </c>
      <c r="AD469" s="121" t="s">
        <v>287</v>
      </c>
      <c r="BG469" s="158"/>
    </row>
    <row r="470" spans="2:59" ht="14">
      <c r="B470" s="120" t="s">
        <v>242</v>
      </c>
      <c r="C470" s="121" t="s">
        <v>269</v>
      </c>
      <c r="D470" s="142" t="s">
        <v>181</v>
      </c>
      <c r="E470" s="143" t="s">
        <v>181</v>
      </c>
      <c r="F470" s="121" t="s">
        <v>286</v>
      </c>
      <c r="G470" s="121" t="s">
        <v>443</v>
      </c>
      <c r="H470" s="121" t="s">
        <v>183</v>
      </c>
      <c r="I470" s="132"/>
      <c r="J470" s="121" t="s">
        <v>272</v>
      </c>
      <c r="K470" s="121" t="s">
        <v>243</v>
      </c>
      <c r="L470" s="121" t="s">
        <v>155</v>
      </c>
      <c r="M470" s="121" t="s">
        <v>273</v>
      </c>
      <c r="N470" s="121" t="s">
        <v>155</v>
      </c>
      <c r="O470" s="121" t="s">
        <v>182</v>
      </c>
      <c r="P470" s="121" t="s">
        <v>155</v>
      </c>
      <c r="Q470" s="121" t="s">
        <v>274</v>
      </c>
      <c r="R470" s="121" t="s">
        <v>275</v>
      </c>
      <c r="S470" s="121" t="s">
        <v>155</v>
      </c>
      <c r="T470" s="121" t="s">
        <v>155</v>
      </c>
      <c r="U470" s="121" t="s">
        <v>155</v>
      </c>
      <c r="V470" s="121" t="s">
        <v>155</v>
      </c>
      <c r="W470" s="121" t="s">
        <v>155</v>
      </c>
      <c r="X470" s="121" t="s">
        <v>243</v>
      </c>
      <c r="Y470" s="121" t="s">
        <v>276</v>
      </c>
      <c r="Z470" s="121" t="s">
        <v>277</v>
      </c>
      <c r="AA470" s="121" t="s">
        <v>277</v>
      </c>
      <c r="AB470" s="121" t="s">
        <v>278</v>
      </c>
      <c r="AC470" s="121" t="s">
        <v>287</v>
      </c>
      <c r="AD470" s="121" t="s">
        <v>287</v>
      </c>
      <c r="BG470" s="158"/>
    </row>
    <row r="471" spans="2:59">
      <c r="B471" s="163"/>
      <c r="BG471" s="158"/>
    </row>
    <row r="472" spans="2:59" ht="15">
      <c r="B472" s="163"/>
      <c r="C472" s="257" t="s">
        <v>321</v>
      </c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90"/>
      <c r="V472" s="90"/>
      <c r="W472" s="90"/>
      <c r="X472" s="90"/>
      <c r="Y472" s="90"/>
      <c r="Z472" s="90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2"/>
      <c r="AQ472" s="92"/>
      <c r="AR472" s="92"/>
      <c r="AS472" s="92"/>
      <c r="AT472" s="92"/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2"/>
      <c r="BF472" s="92"/>
      <c r="BG472" s="158"/>
    </row>
    <row r="473" spans="2:59" ht="15">
      <c r="B473" s="163"/>
      <c r="C473" s="127"/>
      <c r="D473" s="127"/>
      <c r="E473" s="127"/>
      <c r="F473" s="124" t="s">
        <v>168</v>
      </c>
      <c r="G473" s="124" t="s">
        <v>168</v>
      </c>
      <c r="H473" s="129" t="s">
        <v>168</v>
      </c>
      <c r="I473" s="124" t="s">
        <v>168</v>
      </c>
      <c r="J473" s="124" t="s">
        <v>168</v>
      </c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30"/>
      <c r="AB473" s="130"/>
      <c r="AC473" s="130"/>
      <c r="AD473" s="130"/>
      <c r="AE473" s="130"/>
      <c r="AF473" s="130"/>
      <c r="AG473" s="130"/>
      <c r="AH473" s="130"/>
      <c r="AI473" s="130"/>
      <c r="AJ473" s="130"/>
      <c r="AK473" s="130"/>
      <c r="AL473" s="130"/>
      <c r="AM473" s="130"/>
      <c r="AN473" s="130"/>
      <c r="AO473" s="130"/>
      <c r="AP473" s="130"/>
      <c r="AQ473" s="130"/>
      <c r="AR473" s="130"/>
      <c r="AS473" s="130"/>
      <c r="AT473" s="130"/>
      <c r="AU473" s="130"/>
      <c r="AV473" s="130"/>
      <c r="AW473" s="130"/>
      <c r="AX473" s="130"/>
      <c r="AY473" s="130"/>
      <c r="AZ473" s="130"/>
      <c r="BA473" s="130"/>
      <c r="BB473" s="130"/>
      <c r="BC473" s="130"/>
      <c r="BD473" s="130"/>
      <c r="BE473" s="130"/>
      <c r="BF473" s="130"/>
      <c r="BG473" s="158"/>
    </row>
    <row r="474" spans="2:59" ht="25">
      <c r="B474" s="163"/>
      <c r="C474" s="117" t="s">
        <v>365</v>
      </c>
      <c r="D474" s="117" t="s">
        <v>420</v>
      </c>
      <c r="E474" s="117" t="s">
        <v>421</v>
      </c>
      <c r="F474" s="119" t="s">
        <v>96</v>
      </c>
      <c r="G474" s="119" t="s">
        <v>99</v>
      </c>
      <c r="H474" s="119" t="s">
        <v>130</v>
      </c>
      <c r="I474" s="119" t="s">
        <v>391</v>
      </c>
      <c r="J474" s="119" t="s">
        <v>127</v>
      </c>
      <c r="K474" s="119" t="s">
        <v>67</v>
      </c>
      <c r="L474" s="119" t="s">
        <v>288</v>
      </c>
      <c r="M474" s="119" t="s">
        <v>366</v>
      </c>
      <c r="N474" s="119" t="s">
        <v>367</v>
      </c>
      <c r="O474" s="119" t="s">
        <v>368</v>
      </c>
      <c r="P474" s="119" t="s">
        <v>369</v>
      </c>
      <c r="Q474" s="119" t="s">
        <v>370</v>
      </c>
      <c r="R474" s="119" t="s">
        <v>371</v>
      </c>
      <c r="S474" s="119" t="s">
        <v>372</v>
      </c>
      <c r="T474" s="119" t="s">
        <v>373</v>
      </c>
      <c r="U474" s="119" t="s">
        <v>374</v>
      </c>
      <c r="V474" s="119" t="s">
        <v>375</v>
      </c>
      <c r="W474" s="119" t="s">
        <v>376</v>
      </c>
      <c r="X474" s="119" t="s">
        <v>377</v>
      </c>
      <c r="Y474" s="119" t="s">
        <v>378</v>
      </c>
      <c r="Z474" s="119" t="s">
        <v>379</v>
      </c>
      <c r="AA474" s="119" t="s">
        <v>380</v>
      </c>
      <c r="AB474" s="119" t="s">
        <v>381</v>
      </c>
      <c r="AC474" s="119" t="s">
        <v>382</v>
      </c>
      <c r="AD474" s="119" t="s">
        <v>383</v>
      </c>
      <c r="AE474" s="119" t="s">
        <v>384</v>
      </c>
      <c r="AF474" s="119" t="s">
        <v>385</v>
      </c>
      <c r="AG474" s="119" t="s">
        <v>386</v>
      </c>
      <c r="AH474" s="119" t="s">
        <v>387</v>
      </c>
      <c r="AI474" s="119" t="s">
        <v>388</v>
      </c>
      <c r="AJ474" s="119" t="s">
        <v>390</v>
      </c>
      <c r="AK474" s="119" t="s">
        <v>389</v>
      </c>
      <c r="AL474" s="119" t="s">
        <v>398</v>
      </c>
      <c r="AM474" s="119" t="s">
        <v>392</v>
      </c>
      <c r="AN474" s="119" t="s">
        <v>393</v>
      </c>
      <c r="AO474" s="119" t="s">
        <v>394</v>
      </c>
      <c r="AP474" s="119" t="s">
        <v>395</v>
      </c>
      <c r="AQ474" s="119" t="s">
        <v>399</v>
      </c>
      <c r="AR474" s="119" t="s">
        <v>396</v>
      </c>
      <c r="AS474" s="119" t="s">
        <v>397</v>
      </c>
      <c r="AT474" s="119" t="s">
        <v>400</v>
      </c>
      <c r="AU474" s="119" t="s">
        <v>401</v>
      </c>
      <c r="AV474" s="119" t="s">
        <v>402</v>
      </c>
      <c r="AW474" s="119" t="s">
        <v>403</v>
      </c>
      <c r="AX474" s="119" t="s">
        <v>404</v>
      </c>
      <c r="AY474" s="119" t="s">
        <v>405</v>
      </c>
      <c r="AZ474" s="119" t="s">
        <v>229</v>
      </c>
      <c r="BA474" s="119" t="s">
        <v>230</v>
      </c>
      <c r="BB474" s="119" t="s">
        <v>231</v>
      </c>
      <c r="BC474" s="119" t="s">
        <v>232</v>
      </c>
      <c r="BD474" s="119" t="s">
        <v>150</v>
      </c>
      <c r="BE474" s="119" t="s">
        <v>151</v>
      </c>
      <c r="BF474" s="119" t="s">
        <v>233</v>
      </c>
      <c r="BG474" s="158"/>
    </row>
    <row r="475" spans="2:59">
      <c r="B475" s="163"/>
      <c r="C475" s="117" t="s">
        <v>205</v>
      </c>
      <c r="D475" s="117" t="s">
        <v>214</v>
      </c>
      <c r="E475" s="117" t="s">
        <v>222</v>
      </c>
      <c r="F475" s="118" t="s">
        <v>322</v>
      </c>
      <c r="G475" s="118" t="s">
        <v>323</v>
      </c>
      <c r="H475" s="118" t="s">
        <v>324</v>
      </c>
      <c r="I475" s="118" t="s">
        <v>351</v>
      </c>
      <c r="J475" s="118" t="s">
        <v>357</v>
      </c>
      <c r="K475" s="118" t="s">
        <v>251</v>
      </c>
      <c r="L475" s="118" t="s">
        <v>252</v>
      </c>
      <c r="M475" s="118" t="s">
        <v>325</v>
      </c>
      <c r="N475" s="118" t="s">
        <v>326</v>
      </c>
      <c r="O475" s="118" t="s">
        <v>327</v>
      </c>
      <c r="P475" s="118" t="s">
        <v>328</v>
      </c>
      <c r="Q475" s="118" t="s">
        <v>329</v>
      </c>
      <c r="R475" s="118" t="s">
        <v>330</v>
      </c>
      <c r="S475" s="118" t="s">
        <v>331</v>
      </c>
      <c r="T475" s="118" t="s">
        <v>332</v>
      </c>
      <c r="U475" s="118" t="s">
        <v>333</v>
      </c>
      <c r="V475" s="118" t="s">
        <v>334</v>
      </c>
      <c r="W475" s="118" t="s">
        <v>335</v>
      </c>
      <c r="X475" s="118" t="s">
        <v>336</v>
      </c>
      <c r="Y475" s="118" t="s">
        <v>337</v>
      </c>
      <c r="Z475" s="118" t="s">
        <v>338</v>
      </c>
      <c r="AA475" s="118" t="s">
        <v>339</v>
      </c>
      <c r="AB475" s="118" t="s">
        <v>340</v>
      </c>
      <c r="AC475" s="118" t="s">
        <v>341</v>
      </c>
      <c r="AD475" s="118" t="s">
        <v>342</v>
      </c>
      <c r="AE475" s="118" t="s">
        <v>343</v>
      </c>
      <c r="AF475" s="118" t="s">
        <v>344</v>
      </c>
      <c r="AG475" s="118" t="s">
        <v>345</v>
      </c>
      <c r="AH475" s="118" t="s">
        <v>346</v>
      </c>
      <c r="AI475" s="118" t="s">
        <v>347</v>
      </c>
      <c r="AJ475" s="118" t="s">
        <v>348</v>
      </c>
      <c r="AK475" s="118" t="s">
        <v>349</v>
      </c>
      <c r="AL475" s="118" t="s">
        <v>350</v>
      </c>
      <c r="AM475" s="118" t="s">
        <v>352</v>
      </c>
      <c r="AN475" s="118" t="s">
        <v>353</v>
      </c>
      <c r="AO475" s="118" t="s">
        <v>354</v>
      </c>
      <c r="AP475" s="118" t="s">
        <v>234</v>
      </c>
      <c r="AQ475" s="118" t="s">
        <v>355</v>
      </c>
      <c r="AR475" s="118" t="s">
        <v>356</v>
      </c>
      <c r="AS475" s="118" t="s">
        <v>358</v>
      </c>
      <c r="AT475" s="118" t="s">
        <v>359</v>
      </c>
      <c r="AU475" s="118" t="s">
        <v>360</v>
      </c>
      <c r="AV475" s="118" t="s">
        <v>361</v>
      </c>
      <c r="AW475" s="118" t="s">
        <v>362</v>
      </c>
      <c r="AX475" s="118" t="s">
        <v>363</v>
      </c>
      <c r="AY475" s="118" t="s">
        <v>364</v>
      </c>
      <c r="AZ475" s="118" t="s">
        <v>235</v>
      </c>
      <c r="BA475" s="118" t="s">
        <v>236</v>
      </c>
      <c r="BB475" s="118" t="s">
        <v>237</v>
      </c>
      <c r="BC475" s="118" t="s">
        <v>238</v>
      </c>
      <c r="BD475" s="118" t="s">
        <v>239</v>
      </c>
      <c r="BE475" s="118" t="s">
        <v>240</v>
      </c>
      <c r="BF475" s="118" t="s">
        <v>241</v>
      </c>
      <c r="BG475" s="158"/>
    </row>
    <row r="476" spans="2:59">
      <c r="B476" s="163"/>
      <c r="C476" s="117" t="s">
        <v>304</v>
      </c>
      <c r="D476" s="117" t="s">
        <v>406</v>
      </c>
      <c r="E476" s="117" t="s">
        <v>305</v>
      </c>
      <c r="F476" s="131" t="s">
        <v>306</v>
      </c>
      <c r="G476" s="131" t="s">
        <v>306</v>
      </c>
      <c r="H476" s="131" t="s">
        <v>306</v>
      </c>
      <c r="I476" s="131" t="s">
        <v>306</v>
      </c>
      <c r="J476" s="131" t="s">
        <v>308</v>
      </c>
      <c r="K476" s="131" t="s">
        <v>306</v>
      </c>
      <c r="L476" s="131" t="s">
        <v>306</v>
      </c>
      <c r="M476" s="131" t="s">
        <v>407</v>
      </c>
      <c r="N476" s="131" t="s">
        <v>407</v>
      </c>
      <c r="O476" s="131" t="s">
        <v>305</v>
      </c>
      <c r="P476" s="131" t="s">
        <v>408</v>
      </c>
      <c r="Q476" s="131" t="s">
        <v>306</v>
      </c>
      <c r="R476" s="131" t="s">
        <v>313</v>
      </c>
      <c r="S476" s="131" t="s">
        <v>308</v>
      </c>
      <c r="T476" s="131" t="s">
        <v>313</v>
      </c>
      <c r="U476" s="131" t="s">
        <v>308</v>
      </c>
      <c r="V476" s="131" t="s">
        <v>308</v>
      </c>
      <c r="W476" s="131" t="s">
        <v>306</v>
      </c>
      <c r="X476" s="131" t="s">
        <v>409</v>
      </c>
      <c r="Y476" s="131" t="s">
        <v>409</v>
      </c>
      <c r="Z476" s="131" t="s">
        <v>310</v>
      </c>
      <c r="AA476" s="131" t="s">
        <v>408</v>
      </c>
      <c r="AB476" s="131" t="s">
        <v>408</v>
      </c>
      <c r="AC476" s="131" t="s">
        <v>308</v>
      </c>
      <c r="AD476" s="131" t="s">
        <v>312</v>
      </c>
      <c r="AE476" s="131" t="s">
        <v>313</v>
      </c>
      <c r="AF476" s="131" t="s">
        <v>313</v>
      </c>
      <c r="AG476" s="131" t="s">
        <v>410</v>
      </c>
      <c r="AH476" s="131" t="s">
        <v>410</v>
      </c>
      <c r="AI476" s="131" t="s">
        <v>313</v>
      </c>
      <c r="AJ476" s="131" t="s">
        <v>313</v>
      </c>
      <c r="AK476" s="131" t="s">
        <v>410</v>
      </c>
      <c r="AL476" s="131" t="s">
        <v>410</v>
      </c>
      <c r="AM476" s="131" t="s">
        <v>306</v>
      </c>
      <c r="AN476" s="131" t="s">
        <v>306</v>
      </c>
      <c r="AO476" s="131" t="s">
        <v>306</v>
      </c>
      <c r="AP476" s="131" t="s">
        <v>310</v>
      </c>
      <c r="AQ476" s="131" t="s">
        <v>305</v>
      </c>
      <c r="AR476" s="131" t="s">
        <v>306</v>
      </c>
      <c r="AS476" s="131" t="s">
        <v>308</v>
      </c>
      <c r="AT476" s="131" t="s">
        <v>306</v>
      </c>
      <c r="AU476" s="131" t="s">
        <v>411</v>
      </c>
      <c r="AV476" s="131" t="s">
        <v>313</v>
      </c>
      <c r="AW476" s="131" t="s">
        <v>310</v>
      </c>
      <c r="AX476" s="131" t="s">
        <v>306</v>
      </c>
      <c r="AY476" s="131" t="s">
        <v>306</v>
      </c>
      <c r="AZ476" s="131" t="s">
        <v>317</v>
      </c>
      <c r="BA476" s="131" t="s">
        <v>318</v>
      </c>
      <c r="BB476" s="131" t="s">
        <v>320</v>
      </c>
      <c r="BC476" s="131" t="s">
        <v>320</v>
      </c>
      <c r="BD476" s="131" t="s">
        <v>318</v>
      </c>
      <c r="BE476" s="131" t="s">
        <v>320</v>
      </c>
      <c r="BF476" s="131" t="s">
        <v>320</v>
      </c>
      <c r="BG476" s="158"/>
    </row>
    <row r="477" spans="2:59" ht="15">
      <c r="B477" s="120" t="s">
        <v>242</v>
      </c>
      <c r="C477" s="132" t="s">
        <v>269</v>
      </c>
      <c r="D477" s="142" t="s">
        <v>461</v>
      </c>
      <c r="E477" s="143" t="s">
        <v>181</v>
      </c>
      <c r="F477" s="133" t="s">
        <v>184</v>
      </c>
      <c r="G477" s="132" t="s">
        <v>243</v>
      </c>
      <c r="H477" s="132" t="s">
        <v>243</v>
      </c>
      <c r="I477" s="135">
        <v>0</v>
      </c>
      <c r="J477" s="136">
        <v>30</v>
      </c>
      <c r="K477" s="132" t="s">
        <v>271</v>
      </c>
      <c r="L477" s="132" t="s">
        <v>271</v>
      </c>
      <c r="M477" s="132" t="s">
        <v>155</v>
      </c>
      <c r="N477" s="132" t="s">
        <v>155</v>
      </c>
      <c r="O477" s="132" t="s">
        <v>416</v>
      </c>
      <c r="P477" s="132" t="s">
        <v>155</v>
      </c>
      <c r="Q477" s="134" t="s">
        <v>417</v>
      </c>
      <c r="R477" s="132" t="s">
        <v>182</v>
      </c>
      <c r="S477" s="132" t="s">
        <v>243</v>
      </c>
      <c r="T477" s="132" t="s">
        <v>413</v>
      </c>
      <c r="U477" s="132" t="s">
        <v>414</v>
      </c>
      <c r="V477" s="132" t="s">
        <v>418</v>
      </c>
      <c r="W477" s="132" t="s">
        <v>182</v>
      </c>
      <c r="X477" s="132" t="s">
        <v>243</v>
      </c>
      <c r="Y477" s="132" t="s">
        <v>243</v>
      </c>
      <c r="Z477" s="132"/>
      <c r="AA477" s="135"/>
      <c r="AB477" s="135" t="s">
        <v>419</v>
      </c>
      <c r="AC477" s="138">
        <v>5000</v>
      </c>
      <c r="AD477" s="135">
        <v>99999999</v>
      </c>
      <c r="AE477" s="132" t="s">
        <v>243</v>
      </c>
      <c r="AF477" s="132" t="s">
        <v>271</v>
      </c>
      <c r="AG477" s="132" t="s">
        <v>243</v>
      </c>
      <c r="AH477" s="132" t="s">
        <v>243</v>
      </c>
      <c r="AI477" s="135">
        <v>0</v>
      </c>
      <c r="AJ477" s="135">
        <v>0</v>
      </c>
      <c r="AK477" s="135">
        <v>0</v>
      </c>
      <c r="AL477" s="135">
        <v>0</v>
      </c>
      <c r="AM477" s="132" t="s">
        <v>182</v>
      </c>
      <c r="AN477" s="135">
        <v>0</v>
      </c>
      <c r="AO477" s="132" t="s">
        <v>243</v>
      </c>
      <c r="AP477" s="135">
        <v>1</v>
      </c>
      <c r="AQ477" s="136">
        <v>1111</v>
      </c>
      <c r="AR477" s="136" t="s">
        <v>415</v>
      </c>
      <c r="AS477" s="136">
        <v>10</v>
      </c>
      <c r="AT477" s="136">
        <v>1</v>
      </c>
      <c r="AU477" s="136">
        <v>0</v>
      </c>
      <c r="AV477" s="136">
        <v>0</v>
      </c>
      <c r="AW477" s="136">
        <v>0</v>
      </c>
      <c r="AX477" s="136">
        <v>0</v>
      </c>
      <c r="AY477" s="136">
        <v>1</v>
      </c>
      <c r="AZ477" s="136">
        <v>0</v>
      </c>
      <c r="BA477" s="137">
        <v>40640.750486111108</v>
      </c>
      <c r="BB477" s="136">
        <v>470195</v>
      </c>
      <c r="BC477" s="136">
        <v>470195</v>
      </c>
      <c r="BD477" s="137">
        <v>45392.67769675926</v>
      </c>
      <c r="BE477" s="136">
        <v>363363</v>
      </c>
      <c r="BF477" s="136">
        <v>363363</v>
      </c>
      <c r="BG477" s="158"/>
    </row>
    <row r="478" spans="2:59" ht="15">
      <c r="B478" s="120" t="s">
        <v>242</v>
      </c>
      <c r="C478" s="132" t="s">
        <v>269</v>
      </c>
      <c r="D478" s="142" t="s">
        <v>460</v>
      </c>
      <c r="E478" s="143" t="s">
        <v>181</v>
      </c>
      <c r="F478" s="139" t="s">
        <v>286</v>
      </c>
      <c r="G478" s="132" t="s">
        <v>243</v>
      </c>
      <c r="H478" s="132" t="s">
        <v>243</v>
      </c>
      <c r="I478" s="135">
        <v>1</v>
      </c>
      <c r="J478" s="136">
        <v>0</v>
      </c>
      <c r="K478" s="132" t="s">
        <v>182</v>
      </c>
      <c r="L478" s="132"/>
      <c r="M478" s="132" t="s">
        <v>155</v>
      </c>
      <c r="N478" s="132" t="s">
        <v>155</v>
      </c>
      <c r="O478" s="132" t="s">
        <v>155</v>
      </c>
      <c r="P478" s="132" t="s">
        <v>155</v>
      </c>
      <c r="Q478" s="134" t="s">
        <v>412</v>
      </c>
      <c r="R478" s="132" t="s">
        <v>243</v>
      </c>
      <c r="S478" s="132" t="s">
        <v>243</v>
      </c>
      <c r="T478" s="132" t="s">
        <v>413</v>
      </c>
      <c r="U478" s="132" t="s">
        <v>414</v>
      </c>
      <c r="V478" s="132" t="s">
        <v>182</v>
      </c>
      <c r="W478" s="132" t="s">
        <v>182</v>
      </c>
      <c r="X478" s="132" t="s">
        <v>243</v>
      </c>
      <c r="Y478" s="132" t="s">
        <v>243</v>
      </c>
      <c r="Z478" s="132" t="s">
        <v>155</v>
      </c>
      <c r="AA478" s="135" t="s">
        <v>155</v>
      </c>
      <c r="AB478" s="135" t="s">
        <v>155</v>
      </c>
      <c r="AC478" s="135">
        <v>1</v>
      </c>
      <c r="AD478" s="135">
        <v>99999999</v>
      </c>
      <c r="AE478" s="132" t="s">
        <v>243</v>
      </c>
      <c r="AF478" s="132" t="s">
        <v>243</v>
      </c>
      <c r="AG478" s="132" t="s">
        <v>243</v>
      </c>
      <c r="AH478" s="132" t="s">
        <v>243</v>
      </c>
      <c r="AI478" s="135">
        <v>0</v>
      </c>
      <c r="AJ478" s="135">
        <v>0</v>
      </c>
      <c r="AK478" s="135">
        <v>0</v>
      </c>
      <c r="AL478" s="135">
        <v>0</v>
      </c>
      <c r="AM478" s="132" t="s">
        <v>182</v>
      </c>
      <c r="AN478" s="135">
        <v>0</v>
      </c>
      <c r="AO478" s="132" t="s">
        <v>243</v>
      </c>
      <c r="AP478" s="135">
        <v>1</v>
      </c>
      <c r="AQ478" s="136" t="s">
        <v>155</v>
      </c>
      <c r="AR478" s="136" t="s">
        <v>415</v>
      </c>
      <c r="AS478" s="136">
        <v>0</v>
      </c>
      <c r="AT478" s="136">
        <v>1</v>
      </c>
      <c r="AU478" s="136">
        <v>0</v>
      </c>
      <c r="AV478" s="136">
        <v>0</v>
      </c>
      <c r="AW478" s="136">
        <v>0</v>
      </c>
      <c r="AX478" s="136">
        <v>0</v>
      </c>
      <c r="AY478" s="136">
        <v>1</v>
      </c>
      <c r="AZ478" s="136">
        <v>0</v>
      </c>
      <c r="BA478" s="137">
        <v>29705</v>
      </c>
      <c r="BB478" s="136" t="s">
        <v>277</v>
      </c>
      <c r="BC478" s="136" t="s">
        <v>277</v>
      </c>
      <c r="BD478" s="137">
        <v>36413</v>
      </c>
      <c r="BE478" s="136" t="s">
        <v>277</v>
      </c>
      <c r="BF478" s="136" t="s">
        <v>277</v>
      </c>
      <c r="BG478" s="158"/>
    </row>
    <row r="479" spans="2:59" ht="14">
      <c r="B479" s="122" t="s">
        <v>244</v>
      </c>
      <c r="C479" s="132" t="s">
        <v>269</v>
      </c>
      <c r="D479" s="121" t="s">
        <v>442</v>
      </c>
      <c r="E479" s="143" t="s">
        <v>181</v>
      </c>
      <c r="F479" s="132" t="s">
        <v>185</v>
      </c>
      <c r="G479" s="132" t="s">
        <v>243</v>
      </c>
      <c r="H479" s="132" t="s">
        <v>243</v>
      </c>
      <c r="I479" s="132">
        <v>0</v>
      </c>
      <c r="J479" s="132">
        <v>30</v>
      </c>
      <c r="K479" s="132" t="s">
        <v>271</v>
      </c>
      <c r="L479" s="132" t="s">
        <v>271</v>
      </c>
      <c r="M479" s="132" t="s">
        <v>155</v>
      </c>
      <c r="N479" s="132" t="s">
        <v>155</v>
      </c>
      <c r="O479" s="132" t="s">
        <v>416</v>
      </c>
      <c r="P479" s="132" t="s">
        <v>155</v>
      </c>
      <c r="Q479" s="132" t="s">
        <v>417</v>
      </c>
      <c r="R479" s="132" t="s">
        <v>182</v>
      </c>
      <c r="S479" s="132" t="s">
        <v>243</v>
      </c>
      <c r="T479" s="132" t="s">
        <v>413</v>
      </c>
      <c r="U479" s="132" t="s">
        <v>414</v>
      </c>
      <c r="V479" s="132" t="s">
        <v>418</v>
      </c>
      <c r="W479" s="132" t="s">
        <v>182</v>
      </c>
      <c r="X479" s="132" t="s">
        <v>243</v>
      </c>
      <c r="Y479" s="132" t="s">
        <v>243</v>
      </c>
      <c r="Z479" s="132"/>
      <c r="AA479" s="132"/>
      <c r="AB479" s="132" t="s">
        <v>419</v>
      </c>
      <c r="AC479" s="132">
        <v>5000</v>
      </c>
      <c r="AD479" s="132">
        <v>99999999</v>
      </c>
      <c r="AE479" s="132" t="s">
        <v>243</v>
      </c>
      <c r="AF479" s="132" t="s">
        <v>271</v>
      </c>
      <c r="AG479" s="132" t="s">
        <v>243</v>
      </c>
      <c r="AH479" s="132" t="s">
        <v>243</v>
      </c>
      <c r="AI479" s="132">
        <v>0</v>
      </c>
      <c r="AJ479" s="132">
        <v>0</v>
      </c>
      <c r="AK479" s="132">
        <v>0</v>
      </c>
      <c r="AL479" s="132">
        <v>0</v>
      </c>
      <c r="AM479" s="132" t="s">
        <v>182</v>
      </c>
      <c r="AN479" s="132">
        <v>0</v>
      </c>
      <c r="AO479" s="132" t="s">
        <v>243</v>
      </c>
      <c r="AP479" s="132">
        <v>1</v>
      </c>
      <c r="AQ479" s="132">
        <v>1111</v>
      </c>
      <c r="AR479" s="132" t="s">
        <v>415</v>
      </c>
      <c r="AS479" s="132">
        <v>10</v>
      </c>
      <c r="AT479" s="132">
        <v>1</v>
      </c>
      <c r="AU479" s="132">
        <v>0</v>
      </c>
      <c r="AV479" s="132">
        <v>0</v>
      </c>
      <c r="AW479" s="132">
        <v>0</v>
      </c>
      <c r="AX479" s="132">
        <v>0</v>
      </c>
      <c r="AY479" s="132">
        <v>1</v>
      </c>
      <c r="AZ479" s="132">
        <v>0</v>
      </c>
      <c r="BA479" s="132">
        <v>40640.750486111108</v>
      </c>
      <c r="BB479" s="132">
        <v>470195</v>
      </c>
      <c r="BC479" s="132">
        <v>470195</v>
      </c>
      <c r="BD479" s="132">
        <v>45392.67769675926</v>
      </c>
      <c r="BE479" s="132">
        <v>363363</v>
      </c>
      <c r="BF479" s="132">
        <v>363363</v>
      </c>
      <c r="BG479" s="158"/>
    </row>
    <row r="480" spans="2:59" ht="14">
      <c r="B480" s="120" t="s">
        <v>242</v>
      </c>
      <c r="C480" s="132" t="s">
        <v>269</v>
      </c>
      <c r="D480" s="142" t="s">
        <v>181</v>
      </c>
      <c r="E480" s="143" t="s">
        <v>181</v>
      </c>
      <c r="F480" s="132" t="s">
        <v>184</v>
      </c>
      <c r="G480" s="132" t="s">
        <v>243</v>
      </c>
      <c r="H480" s="132" t="s">
        <v>243</v>
      </c>
      <c r="I480" s="132">
        <v>0</v>
      </c>
      <c r="J480" s="132">
        <v>30</v>
      </c>
      <c r="K480" s="132" t="s">
        <v>443</v>
      </c>
      <c r="L480" s="132"/>
      <c r="M480" s="132" t="s">
        <v>155</v>
      </c>
      <c r="N480" s="132" t="s">
        <v>155</v>
      </c>
      <c r="O480" s="132" t="s">
        <v>416</v>
      </c>
      <c r="P480" s="132" t="s">
        <v>155</v>
      </c>
      <c r="Q480" s="132" t="s">
        <v>417</v>
      </c>
      <c r="R480" s="132" t="s">
        <v>182</v>
      </c>
      <c r="S480" s="132" t="s">
        <v>243</v>
      </c>
      <c r="T480" s="132" t="s">
        <v>413</v>
      </c>
      <c r="U480" s="132" t="s">
        <v>414</v>
      </c>
      <c r="V480" s="132" t="s">
        <v>418</v>
      </c>
      <c r="W480" s="132" t="s">
        <v>182</v>
      </c>
      <c r="X480" s="132" t="s">
        <v>243</v>
      </c>
      <c r="Y480" s="132" t="s">
        <v>243</v>
      </c>
      <c r="Z480" s="132"/>
      <c r="AA480" s="132"/>
      <c r="AB480" s="132" t="s">
        <v>419</v>
      </c>
      <c r="AC480" s="132">
        <v>5000</v>
      </c>
      <c r="AD480" s="132">
        <v>99999999</v>
      </c>
      <c r="AE480" s="132" t="s">
        <v>243</v>
      </c>
      <c r="AF480" s="132" t="s">
        <v>271</v>
      </c>
      <c r="AG480" s="132" t="s">
        <v>243</v>
      </c>
      <c r="AH480" s="132" t="s">
        <v>243</v>
      </c>
      <c r="AI480" s="132">
        <v>0</v>
      </c>
      <c r="AJ480" s="132">
        <v>0</v>
      </c>
      <c r="AK480" s="132">
        <v>0</v>
      </c>
      <c r="AL480" s="132">
        <v>0</v>
      </c>
      <c r="AM480" s="132" t="s">
        <v>182</v>
      </c>
      <c r="AN480" s="132">
        <v>0</v>
      </c>
      <c r="AO480" s="132" t="s">
        <v>243</v>
      </c>
      <c r="AP480" s="132">
        <v>1</v>
      </c>
      <c r="AQ480" s="132">
        <v>1111</v>
      </c>
      <c r="AR480" s="132" t="s">
        <v>415</v>
      </c>
      <c r="AS480" s="132">
        <v>10</v>
      </c>
      <c r="AT480" s="132">
        <v>1</v>
      </c>
      <c r="AU480" s="132">
        <v>0</v>
      </c>
      <c r="AV480" s="132">
        <v>0</v>
      </c>
      <c r="AW480" s="132">
        <v>0</v>
      </c>
      <c r="AX480" s="132">
        <v>0</v>
      </c>
      <c r="AY480" s="132">
        <v>1</v>
      </c>
      <c r="AZ480" s="132">
        <v>0</v>
      </c>
      <c r="BA480" s="132">
        <v>40640.750486111108</v>
      </c>
      <c r="BB480" s="132">
        <v>470195</v>
      </c>
      <c r="BC480" s="132">
        <v>470195</v>
      </c>
      <c r="BD480" s="132">
        <v>45392.67769675926</v>
      </c>
      <c r="BE480" s="132">
        <v>363363</v>
      </c>
      <c r="BF480" s="132">
        <v>363363</v>
      </c>
      <c r="BG480" s="158"/>
    </row>
    <row r="481" spans="1:59">
      <c r="B481" s="163"/>
      <c r="BG481" s="158"/>
    </row>
    <row r="482" spans="1:59" ht="14.5" thickBot="1">
      <c r="B482" s="163"/>
      <c r="C482" s="164" t="s">
        <v>152</v>
      </c>
      <c r="BG482" s="158"/>
    </row>
    <row r="483" spans="1:59" ht="14.5" thickBot="1">
      <c r="B483" s="163"/>
      <c r="C483" s="233" t="s">
        <v>422</v>
      </c>
      <c r="D483" s="233" t="s">
        <v>423</v>
      </c>
      <c r="E483" s="233" t="s">
        <v>158</v>
      </c>
      <c r="F483" s="233" t="s">
        <v>424</v>
      </c>
      <c r="G483" s="233" t="s">
        <v>425</v>
      </c>
      <c r="H483" s="233" t="s">
        <v>426</v>
      </c>
      <c r="I483" s="233" t="s">
        <v>427</v>
      </c>
      <c r="J483" s="233" t="s">
        <v>428</v>
      </c>
      <c r="K483" s="233" t="s">
        <v>429</v>
      </c>
      <c r="L483" s="233" t="s">
        <v>430</v>
      </c>
      <c r="M483" s="233" t="s">
        <v>431</v>
      </c>
      <c r="BG483" s="158"/>
    </row>
    <row r="484" spans="1:59" ht="14.5" thickBot="1">
      <c r="B484" s="163"/>
      <c r="C484" s="233">
        <v>-2</v>
      </c>
      <c r="D484" s="233" t="s">
        <v>155</v>
      </c>
      <c r="E484" s="233" t="s">
        <v>579</v>
      </c>
      <c r="F484" s="233" t="s">
        <v>647</v>
      </c>
      <c r="G484" s="233" t="s">
        <v>137</v>
      </c>
      <c r="H484" s="233" t="s">
        <v>155</v>
      </c>
      <c r="I484" s="233" t="s">
        <v>155</v>
      </c>
      <c r="J484" s="233" t="s">
        <v>155</v>
      </c>
      <c r="K484" s="233" t="s">
        <v>155</v>
      </c>
      <c r="L484" s="233">
        <v>0</v>
      </c>
      <c r="M484" s="233" t="s">
        <v>155</v>
      </c>
      <c r="BG484" s="158"/>
    </row>
    <row r="485" spans="1:59" ht="13.5" thickBot="1">
      <c r="B485" s="163"/>
      <c r="BG485" s="158"/>
    </row>
    <row r="486" spans="1:59" ht="14" thickBot="1">
      <c r="B486" s="104" t="s">
        <v>539</v>
      </c>
      <c r="C486" s="105" t="s">
        <v>439</v>
      </c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  <c r="BF486" s="105"/>
      <c r="BG486" s="158"/>
    </row>
    <row r="487" spans="1:59" ht="14" thickBot="1">
      <c r="B487" s="140" t="s">
        <v>620</v>
      </c>
      <c r="C487" s="105" t="s">
        <v>447</v>
      </c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  <c r="BF487" s="105"/>
      <c r="BG487" s="158"/>
    </row>
    <row r="488" spans="1:59">
      <c r="B488" s="163"/>
      <c r="BG488" s="158"/>
    </row>
    <row r="489" spans="1:59" ht="13.5">
      <c r="B489" s="163"/>
      <c r="C489" s="161" t="s">
        <v>228</v>
      </c>
      <c r="BG489" s="158"/>
    </row>
    <row r="490" spans="1:59" ht="13.5">
      <c r="B490" s="163"/>
      <c r="C490" s="161" t="s">
        <v>537</v>
      </c>
      <c r="BG490" s="158"/>
    </row>
    <row r="491" spans="1:59">
      <c r="B491" s="163"/>
      <c r="BG491" s="158"/>
    </row>
    <row r="492" spans="1:59" s="27" customFormat="1" ht="19.5" customHeight="1">
      <c r="B492" s="167"/>
      <c r="C492" s="125" t="s">
        <v>268</v>
      </c>
      <c r="D492" s="126"/>
      <c r="E492" s="12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7"/>
      <c r="Y492" s="66"/>
      <c r="Z492" s="66"/>
      <c r="AA492" s="66"/>
      <c r="AB492" s="66"/>
      <c r="AC492" s="66"/>
      <c r="AD492" s="111"/>
      <c r="AH492" s="108"/>
      <c r="AJ492" s="67"/>
      <c r="AK492" s="67"/>
      <c r="AL492" s="67"/>
      <c r="AM492" s="67"/>
      <c r="AN492" s="68"/>
      <c r="AO492" s="68"/>
      <c r="AP492" s="68"/>
      <c r="BG492" s="94"/>
    </row>
    <row r="493" spans="1:59" s="70" customFormat="1" ht="16.5" customHeight="1">
      <c r="A493" s="98"/>
      <c r="B493" s="168"/>
      <c r="C493" s="127"/>
      <c r="D493" s="127"/>
      <c r="E493" s="127"/>
      <c r="F493" s="124" t="s">
        <v>168</v>
      </c>
      <c r="G493" s="124" t="s">
        <v>168</v>
      </c>
      <c r="H493" s="124" t="s">
        <v>168</v>
      </c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H493" s="109"/>
      <c r="AI493" s="69"/>
      <c r="AJ493" s="69"/>
      <c r="AK493" s="69"/>
      <c r="AL493" s="69"/>
      <c r="AM493" s="69"/>
      <c r="BG493" s="169"/>
    </row>
    <row r="494" spans="1:59" s="76" customFormat="1" ht="92" customHeight="1">
      <c r="A494" s="71"/>
      <c r="B494" s="170"/>
      <c r="C494" s="117" t="s">
        <v>171</v>
      </c>
      <c r="D494" s="117" t="s">
        <v>172</v>
      </c>
      <c r="E494" s="117" t="s">
        <v>173</v>
      </c>
      <c r="F494" s="119" t="s">
        <v>91</v>
      </c>
      <c r="G494" s="119" t="s">
        <v>67</v>
      </c>
      <c r="H494" s="119" t="s">
        <v>69</v>
      </c>
      <c r="I494" s="119" t="s">
        <v>289</v>
      </c>
      <c r="J494" s="119" t="s">
        <v>290</v>
      </c>
      <c r="K494" s="119" t="s">
        <v>291</v>
      </c>
      <c r="L494" s="119" t="s">
        <v>292</v>
      </c>
      <c r="M494" s="119" t="s">
        <v>293</v>
      </c>
      <c r="N494" s="119" t="s">
        <v>294</v>
      </c>
      <c r="O494" s="119" t="s">
        <v>295</v>
      </c>
      <c r="P494" s="119" t="s">
        <v>296</v>
      </c>
      <c r="Q494" s="119" t="s">
        <v>297</v>
      </c>
      <c r="R494" s="119" t="s">
        <v>298</v>
      </c>
      <c r="S494" s="119" t="s">
        <v>299</v>
      </c>
      <c r="T494" s="119" t="s">
        <v>300</v>
      </c>
      <c r="U494" s="119" t="s">
        <v>301</v>
      </c>
      <c r="V494" s="119" t="s">
        <v>302</v>
      </c>
      <c r="W494" s="119" t="s">
        <v>303</v>
      </c>
      <c r="X494" s="119" t="s">
        <v>229</v>
      </c>
      <c r="Y494" s="119" t="s">
        <v>230</v>
      </c>
      <c r="Z494" s="119" t="s">
        <v>231</v>
      </c>
      <c r="AA494" s="119" t="s">
        <v>232</v>
      </c>
      <c r="AB494" s="119" t="s">
        <v>150</v>
      </c>
      <c r="AC494" s="119" t="s">
        <v>151</v>
      </c>
      <c r="AD494" s="119" t="s">
        <v>233</v>
      </c>
      <c r="AH494" s="110"/>
      <c r="AI494" s="67"/>
      <c r="AJ494" s="74"/>
      <c r="AK494" s="74"/>
      <c r="AL494" s="74"/>
      <c r="AM494" s="74"/>
      <c r="AN494" s="75"/>
      <c r="AO494" s="75"/>
      <c r="AP494" s="75"/>
      <c r="BG494" s="171"/>
    </row>
    <row r="495" spans="1:59" s="76" customFormat="1" ht="15">
      <c r="A495" s="71"/>
      <c r="B495" s="170"/>
      <c r="C495" s="117" t="s">
        <v>205</v>
      </c>
      <c r="D495" s="117" t="s">
        <v>214</v>
      </c>
      <c r="E495" s="117" t="s">
        <v>222</v>
      </c>
      <c r="F495" s="118" t="s">
        <v>250</v>
      </c>
      <c r="G495" s="118" t="s">
        <v>251</v>
      </c>
      <c r="H495" s="118" t="s">
        <v>253</v>
      </c>
      <c r="I495" s="118" t="s">
        <v>252</v>
      </c>
      <c r="J495" s="118" t="s">
        <v>254</v>
      </c>
      <c r="K495" s="118" t="s">
        <v>255</v>
      </c>
      <c r="L495" s="118" t="s">
        <v>256</v>
      </c>
      <c r="M495" s="118" t="s">
        <v>257</v>
      </c>
      <c r="N495" s="118" t="s">
        <v>258</v>
      </c>
      <c r="O495" s="118" t="s">
        <v>259</v>
      </c>
      <c r="P495" s="118" t="s">
        <v>260</v>
      </c>
      <c r="Q495" s="118" t="s">
        <v>261</v>
      </c>
      <c r="R495" s="118" t="s">
        <v>262</v>
      </c>
      <c r="S495" s="118" t="s">
        <v>263</v>
      </c>
      <c r="T495" s="118" t="s">
        <v>264</v>
      </c>
      <c r="U495" s="118" t="s">
        <v>265</v>
      </c>
      <c r="V495" s="118" t="s">
        <v>266</v>
      </c>
      <c r="W495" s="118" t="s">
        <v>267</v>
      </c>
      <c r="X495" s="118" t="s">
        <v>235</v>
      </c>
      <c r="Y495" s="118" t="s">
        <v>236</v>
      </c>
      <c r="Z495" s="118" t="s">
        <v>237</v>
      </c>
      <c r="AA495" s="118" t="s">
        <v>238</v>
      </c>
      <c r="AB495" s="118" t="s">
        <v>239</v>
      </c>
      <c r="AC495" s="118" t="s">
        <v>240</v>
      </c>
      <c r="AD495" s="118" t="s">
        <v>241</v>
      </c>
      <c r="AH495" s="110"/>
      <c r="AI495" s="67"/>
      <c r="AJ495" s="74"/>
      <c r="AK495" s="74"/>
      <c r="AL495" s="74"/>
      <c r="AM495" s="74"/>
      <c r="AN495" s="75"/>
      <c r="AO495" s="75"/>
      <c r="AP495" s="75"/>
      <c r="BG495" s="171"/>
    </row>
    <row r="496" spans="1:59" s="68" customFormat="1" ht="13.5" customHeight="1">
      <c r="A496" s="77"/>
      <c r="B496" s="172"/>
      <c r="C496" s="117" t="s">
        <v>304</v>
      </c>
      <c r="D496" s="117" t="s">
        <v>305</v>
      </c>
      <c r="E496" s="117" t="s">
        <v>305</v>
      </c>
      <c r="F496" s="119" t="s">
        <v>306</v>
      </c>
      <c r="G496" s="119" t="s">
        <v>306</v>
      </c>
      <c r="H496" s="119" t="s">
        <v>307</v>
      </c>
      <c r="I496" s="119" t="s">
        <v>306</v>
      </c>
      <c r="J496" s="119" t="s">
        <v>308</v>
      </c>
      <c r="K496" s="119" t="s">
        <v>309</v>
      </c>
      <c r="L496" s="118" t="s">
        <v>310</v>
      </c>
      <c r="M496" s="119" t="s">
        <v>310</v>
      </c>
      <c r="N496" s="119" t="s">
        <v>311</v>
      </c>
      <c r="O496" s="119" t="s">
        <v>306</v>
      </c>
      <c r="P496" s="119" t="s">
        <v>312</v>
      </c>
      <c r="Q496" s="119" t="s">
        <v>313</v>
      </c>
      <c r="R496" s="119" t="s">
        <v>312</v>
      </c>
      <c r="S496" s="119" t="s">
        <v>314</v>
      </c>
      <c r="T496" s="118" t="s">
        <v>315</v>
      </c>
      <c r="U496" s="119" t="s">
        <v>315</v>
      </c>
      <c r="V496" s="119" t="s">
        <v>316</v>
      </c>
      <c r="W496" s="119" t="s">
        <v>306</v>
      </c>
      <c r="X496" s="119" t="s">
        <v>317</v>
      </c>
      <c r="Y496" s="119" t="s">
        <v>319</v>
      </c>
      <c r="Z496" s="119" t="s">
        <v>320</v>
      </c>
      <c r="AA496" s="119" t="s">
        <v>320</v>
      </c>
      <c r="AB496" s="118" t="s">
        <v>318</v>
      </c>
      <c r="AC496" s="119" t="s">
        <v>320</v>
      </c>
      <c r="AD496" s="119" t="s">
        <v>320</v>
      </c>
      <c r="AH496" s="108"/>
      <c r="AI496" s="67"/>
      <c r="AJ496" s="67"/>
      <c r="AK496" s="67"/>
      <c r="AL496" s="67"/>
      <c r="AM496" s="67"/>
      <c r="BG496" s="173"/>
    </row>
    <row r="497" spans="1:59" s="27" customFormat="1" ht="13.5" customHeight="1">
      <c r="A497" s="80"/>
      <c r="B497" s="120" t="s">
        <v>242</v>
      </c>
      <c r="C497" s="121" t="s">
        <v>269</v>
      </c>
      <c r="D497" s="142" t="s">
        <v>461</v>
      </c>
      <c r="E497" s="119" t="s">
        <v>181</v>
      </c>
      <c r="F497" s="119" t="s">
        <v>182</v>
      </c>
      <c r="G497" s="132" t="s">
        <v>271</v>
      </c>
      <c r="H497" s="119" t="s">
        <v>183</v>
      </c>
      <c r="I497" s="132" t="s">
        <v>271</v>
      </c>
      <c r="J497" s="119" t="s">
        <v>183</v>
      </c>
      <c r="K497" s="119" t="s">
        <v>243</v>
      </c>
      <c r="L497" s="118" t="s">
        <v>280</v>
      </c>
      <c r="M497" s="119" t="s">
        <v>273</v>
      </c>
      <c r="N497" s="119"/>
      <c r="O497" s="119" t="s">
        <v>243</v>
      </c>
      <c r="P497" s="119" t="s">
        <v>155</v>
      </c>
      <c r="Q497" s="119" t="s">
        <v>183</v>
      </c>
      <c r="R497" s="119" t="s">
        <v>281</v>
      </c>
      <c r="S497" s="119"/>
      <c r="T497" s="118" t="s">
        <v>155</v>
      </c>
      <c r="U497" s="119" t="s">
        <v>155</v>
      </c>
      <c r="V497" s="119" t="s">
        <v>155</v>
      </c>
      <c r="W497" s="119"/>
      <c r="X497" s="119" t="s">
        <v>243</v>
      </c>
      <c r="Y497" s="119" t="s">
        <v>282</v>
      </c>
      <c r="Z497" s="119" t="s">
        <v>283</v>
      </c>
      <c r="AA497" s="119">
        <v>470195</v>
      </c>
      <c r="AB497" s="118" t="s">
        <v>282</v>
      </c>
      <c r="AC497" s="119">
        <v>470195</v>
      </c>
      <c r="AD497" s="119" t="s">
        <v>283</v>
      </c>
      <c r="AH497" s="108"/>
      <c r="AI497" s="67"/>
      <c r="AJ497" s="67"/>
      <c r="AK497" s="83"/>
      <c r="AL497" s="67"/>
      <c r="AM497" s="67"/>
      <c r="AN497" s="68"/>
      <c r="AO497" s="68"/>
      <c r="AP497" s="68"/>
      <c r="BG497" s="94"/>
    </row>
    <row r="498" spans="1:59" s="27" customFormat="1" ht="13.5" customHeight="1">
      <c r="A498" s="84"/>
      <c r="B498" s="122" t="s">
        <v>244</v>
      </c>
      <c r="C498" s="132" t="s">
        <v>269</v>
      </c>
      <c r="D498" s="132" t="s">
        <v>533</v>
      </c>
      <c r="E498" s="132" t="s">
        <v>285</v>
      </c>
      <c r="F498" s="218" t="s">
        <v>286</v>
      </c>
      <c r="G498" s="132" t="s">
        <v>534</v>
      </c>
      <c r="H498" s="132" t="s">
        <v>183</v>
      </c>
      <c r="I498" s="132"/>
      <c r="J498" s="132" t="s">
        <v>496</v>
      </c>
      <c r="K498" s="132" t="s">
        <v>497</v>
      </c>
      <c r="L498" s="132" t="s">
        <v>155</v>
      </c>
      <c r="M498" s="132" t="s">
        <v>273</v>
      </c>
      <c r="N498" s="132" t="s">
        <v>155</v>
      </c>
      <c r="O498" s="132" t="s">
        <v>182</v>
      </c>
      <c r="P498" s="132" t="s">
        <v>155</v>
      </c>
      <c r="Q498" s="132" t="s">
        <v>274</v>
      </c>
      <c r="R498" s="132" t="s">
        <v>275</v>
      </c>
      <c r="S498" s="132" t="s">
        <v>155</v>
      </c>
      <c r="T498" s="132" t="s">
        <v>155</v>
      </c>
      <c r="U498" s="132" t="s">
        <v>155</v>
      </c>
      <c r="V498" s="132" t="s">
        <v>155</v>
      </c>
      <c r="W498" s="132" t="s">
        <v>155</v>
      </c>
      <c r="X498" s="132" t="s">
        <v>243</v>
      </c>
      <c r="Y498" s="132" t="s">
        <v>276</v>
      </c>
      <c r="Z498" s="132" t="s">
        <v>277</v>
      </c>
      <c r="AA498" s="132" t="s">
        <v>277</v>
      </c>
      <c r="AB498" s="132" t="s">
        <v>278</v>
      </c>
      <c r="AC498" s="132" t="s">
        <v>287</v>
      </c>
      <c r="AD498" s="132" t="s">
        <v>287</v>
      </c>
      <c r="AH498" s="108"/>
      <c r="AI498" s="67"/>
      <c r="AJ498" s="61"/>
      <c r="AK498" s="83"/>
      <c r="AL498" s="67"/>
      <c r="AM498" s="67"/>
      <c r="AN498" s="68"/>
      <c r="AO498" s="68"/>
      <c r="AP498" s="68"/>
      <c r="BG498" s="94"/>
    </row>
    <row r="499" spans="1:59" s="27" customFormat="1" ht="13.5" customHeight="1">
      <c r="A499" s="85"/>
      <c r="B499" s="120" t="s">
        <v>242</v>
      </c>
      <c r="C499" s="121" t="s">
        <v>269</v>
      </c>
      <c r="D499" s="142" t="s">
        <v>181</v>
      </c>
      <c r="E499" s="121" t="s">
        <v>285</v>
      </c>
      <c r="F499" s="121" t="s">
        <v>286</v>
      </c>
      <c r="G499" s="121" t="s">
        <v>443</v>
      </c>
      <c r="H499" s="121" t="s">
        <v>183</v>
      </c>
      <c r="I499" s="132"/>
      <c r="J499" s="121" t="s">
        <v>272</v>
      </c>
      <c r="K499" s="121" t="s">
        <v>243</v>
      </c>
      <c r="L499" s="121" t="s">
        <v>155</v>
      </c>
      <c r="M499" s="121" t="s">
        <v>273</v>
      </c>
      <c r="N499" s="121" t="s">
        <v>155</v>
      </c>
      <c r="O499" s="121" t="s">
        <v>182</v>
      </c>
      <c r="P499" s="121" t="s">
        <v>155</v>
      </c>
      <c r="Q499" s="121" t="s">
        <v>274</v>
      </c>
      <c r="R499" s="121" t="s">
        <v>275</v>
      </c>
      <c r="S499" s="121" t="s">
        <v>155</v>
      </c>
      <c r="T499" s="121" t="s">
        <v>155</v>
      </c>
      <c r="U499" s="121" t="s">
        <v>155</v>
      </c>
      <c r="V499" s="121" t="s">
        <v>155</v>
      </c>
      <c r="W499" s="121" t="s">
        <v>155</v>
      </c>
      <c r="X499" s="121" t="s">
        <v>243</v>
      </c>
      <c r="Y499" s="121" t="s">
        <v>276</v>
      </c>
      <c r="Z499" s="121" t="s">
        <v>277</v>
      </c>
      <c r="AA499" s="121" t="s">
        <v>277</v>
      </c>
      <c r="AB499" s="121" t="s">
        <v>278</v>
      </c>
      <c r="AC499" s="121" t="s">
        <v>287</v>
      </c>
      <c r="AD499" s="121" t="s">
        <v>287</v>
      </c>
      <c r="AH499" s="108"/>
      <c r="AI499" s="67"/>
      <c r="AJ499" s="61"/>
      <c r="AK499" s="83"/>
      <c r="AL499" s="67"/>
      <c r="AM499" s="67"/>
      <c r="AN499" s="68"/>
      <c r="AO499" s="68"/>
      <c r="AP499" s="68"/>
      <c r="BG499" s="94"/>
    </row>
    <row r="500" spans="1:59" s="27" customFormat="1" ht="13.5" customHeight="1">
      <c r="A500" s="85"/>
      <c r="B500" s="120" t="s">
        <v>242</v>
      </c>
      <c r="C500" s="121" t="s">
        <v>269</v>
      </c>
      <c r="D500" s="142" t="s">
        <v>460</v>
      </c>
      <c r="E500" s="121" t="s">
        <v>285</v>
      </c>
      <c r="F500" s="121" t="s">
        <v>286</v>
      </c>
      <c r="G500" s="121" t="s">
        <v>182</v>
      </c>
      <c r="H500" s="121" t="s">
        <v>183</v>
      </c>
      <c r="I500" s="132"/>
      <c r="J500" s="121" t="s">
        <v>272</v>
      </c>
      <c r="K500" s="121" t="s">
        <v>243</v>
      </c>
      <c r="L500" s="121" t="s">
        <v>155</v>
      </c>
      <c r="M500" s="121" t="s">
        <v>273</v>
      </c>
      <c r="N500" s="121" t="s">
        <v>155</v>
      </c>
      <c r="O500" s="121" t="s">
        <v>182</v>
      </c>
      <c r="P500" s="121" t="s">
        <v>155</v>
      </c>
      <c r="Q500" s="121" t="s">
        <v>274</v>
      </c>
      <c r="R500" s="121" t="s">
        <v>275</v>
      </c>
      <c r="S500" s="121" t="s">
        <v>155</v>
      </c>
      <c r="T500" s="121" t="s">
        <v>155</v>
      </c>
      <c r="U500" s="121" t="s">
        <v>155</v>
      </c>
      <c r="V500" s="121" t="s">
        <v>155</v>
      </c>
      <c r="W500" s="121" t="s">
        <v>155</v>
      </c>
      <c r="X500" s="121" t="s">
        <v>243</v>
      </c>
      <c r="Y500" s="121" t="s">
        <v>276</v>
      </c>
      <c r="Z500" s="121" t="s">
        <v>277</v>
      </c>
      <c r="AA500" s="121" t="s">
        <v>277</v>
      </c>
      <c r="AB500" s="121" t="s">
        <v>278</v>
      </c>
      <c r="AC500" s="121" t="s">
        <v>287</v>
      </c>
      <c r="AD500" s="121" t="s">
        <v>287</v>
      </c>
      <c r="AH500" s="108"/>
      <c r="AI500" s="67"/>
      <c r="AJ500" s="61"/>
      <c r="AK500" s="83"/>
      <c r="AL500" s="67"/>
      <c r="AM500" s="67"/>
      <c r="AN500" s="68"/>
      <c r="AO500" s="68"/>
      <c r="AP500" s="68"/>
      <c r="BG500" s="94"/>
    </row>
    <row r="501" spans="1:59" ht="14">
      <c r="B501" s="163"/>
      <c r="C501" s="164"/>
      <c r="D501" s="164"/>
      <c r="E501" s="164"/>
      <c r="F501" s="164"/>
      <c r="G501" s="164"/>
      <c r="H501" s="164"/>
      <c r="I501" s="164"/>
      <c r="J501" s="164"/>
      <c r="M501" s="164"/>
      <c r="N501" s="164"/>
      <c r="O501" s="164"/>
      <c r="BG501" s="158"/>
    </row>
    <row r="502" spans="1:59" ht="15">
      <c r="B502" s="163"/>
      <c r="C502" s="257" t="s">
        <v>321</v>
      </c>
      <c r="D502" s="258"/>
      <c r="E502" s="258"/>
      <c r="F502" s="258"/>
      <c r="G502" s="258"/>
      <c r="H502" s="258"/>
      <c r="I502" s="258"/>
      <c r="J502" s="258"/>
      <c r="K502" s="258"/>
      <c r="L502" s="258"/>
      <c r="M502" s="258"/>
      <c r="N502" s="258"/>
      <c r="O502" s="258"/>
      <c r="P502" s="258"/>
      <c r="Q502" s="258"/>
      <c r="R502" s="258"/>
      <c r="S502" s="258"/>
      <c r="T502" s="258"/>
      <c r="U502" s="90"/>
      <c r="V502" s="90"/>
      <c r="W502" s="90"/>
      <c r="X502" s="90"/>
      <c r="Y502" s="90"/>
      <c r="Z502" s="90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2"/>
      <c r="AQ502" s="92"/>
      <c r="AR502" s="92"/>
      <c r="AS502" s="92"/>
      <c r="AT502" s="92"/>
      <c r="AU502" s="92"/>
      <c r="AV502" s="92"/>
      <c r="AW502" s="92"/>
      <c r="AX502" s="92"/>
      <c r="AY502" s="92"/>
      <c r="AZ502" s="92"/>
      <c r="BA502" s="92"/>
      <c r="BB502" s="92"/>
      <c r="BC502" s="92"/>
      <c r="BD502" s="92"/>
      <c r="BE502" s="92"/>
      <c r="BF502" s="92"/>
      <c r="BG502" s="158"/>
    </row>
    <row r="503" spans="1:59" ht="15">
      <c r="B503" s="163"/>
      <c r="C503" s="127"/>
      <c r="D503" s="127"/>
      <c r="E503" s="127"/>
      <c r="F503" s="124" t="s">
        <v>168</v>
      </c>
      <c r="G503" s="124" t="s">
        <v>168</v>
      </c>
      <c r="H503" s="129" t="s">
        <v>168</v>
      </c>
      <c r="I503" s="124" t="s">
        <v>168</v>
      </c>
      <c r="J503" s="124" t="s">
        <v>168</v>
      </c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30"/>
      <c r="AB503" s="130"/>
      <c r="AC503" s="130"/>
      <c r="AD503" s="130"/>
      <c r="AE503" s="130"/>
      <c r="AF503" s="130"/>
      <c r="AG503" s="130"/>
      <c r="AH503" s="130"/>
      <c r="AI503" s="130"/>
      <c r="AJ503" s="130"/>
      <c r="AK503" s="130"/>
      <c r="AL503" s="130"/>
      <c r="AM503" s="130"/>
      <c r="AN503" s="130"/>
      <c r="AO503" s="130"/>
      <c r="AP503" s="130"/>
      <c r="AQ503" s="130"/>
      <c r="AR503" s="130"/>
      <c r="AS503" s="130"/>
      <c r="AT503" s="130"/>
      <c r="AU503" s="130"/>
      <c r="AV503" s="130"/>
      <c r="AW503" s="130"/>
      <c r="AX503" s="130"/>
      <c r="AY503" s="130"/>
      <c r="AZ503" s="130"/>
      <c r="BA503" s="130"/>
      <c r="BB503" s="130"/>
      <c r="BC503" s="130"/>
      <c r="BD503" s="130"/>
      <c r="BE503" s="130"/>
      <c r="BF503" s="130"/>
      <c r="BG503" s="158"/>
    </row>
    <row r="504" spans="1:59" ht="25">
      <c r="B504" s="163"/>
      <c r="C504" s="117" t="s">
        <v>365</v>
      </c>
      <c r="D504" s="117" t="s">
        <v>420</v>
      </c>
      <c r="E504" s="117" t="s">
        <v>421</v>
      </c>
      <c r="F504" s="119" t="s">
        <v>96</v>
      </c>
      <c r="G504" s="119" t="s">
        <v>99</v>
      </c>
      <c r="H504" s="119" t="s">
        <v>130</v>
      </c>
      <c r="I504" s="119" t="s">
        <v>391</v>
      </c>
      <c r="J504" s="119" t="s">
        <v>127</v>
      </c>
      <c r="K504" s="119" t="s">
        <v>67</v>
      </c>
      <c r="L504" s="119" t="s">
        <v>288</v>
      </c>
      <c r="M504" s="119" t="s">
        <v>366</v>
      </c>
      <c r="N504" s="119" t="s">
        <v>367</v>
      </c>
      <c r="O504" s="119" t="s">
        <v>368</v>
      </c>
      <c r="P504" s="119" t="s">
        <v>369</v>
      </c>
      <c r="Q504" s="119" t="s">
        <v>370</v>
      </c>
      <c r="R504" s="119" t="s">
        <v>371</v>
      </c>
      <c r="S504" s="119" t="s">
        <v>372</v>
      </c>
      <c r="T504" s="119" t="s">
        <v>373</v>
      </c>
      <c r="U504" s="119" t="s">
        <v>374</v>
      </c>
      <c r="V504" s="119" t="s">
        <v>375</v>
      </c>
      <c r="W504" s="119" t="s">
        <v>376</v>
      </c>
      <c r="X504" s="119" t="s">
        <v>377</v>
      </c>
      <c r="Y504" s="119" t="s">
        <v>378</v>
      </c>
      <c r="Z504" s="119" t="s">
        <v>379</v>
      </c>
      <c r="AA504" s="119" t="s">
        <v>380</v>
      </c>
      <c r="AB504" s="119" t="s">
        <v>381</v>
      </c>
      <c r="AC504" s="119" t="s">
        <v>382</v>
      </c>
      <c r="AD504" s="119" t="s">
        <v>383</v>
      </c>
      <c r="AE504" s="119" t="s">
        <v>384</v>
      </c>
      <c r="AF504" s="119" t="s">
        <v>385</v>
      </c>
      <c r="AG504" s="119" t="s">
        <v>386</v>
      </c>
      <c r="AH504" s="119" t="s">
        <v>387</v>
      </c>
      <c r="AI504" s="119" t="s">
        <v>388</v>
      </c>
      <c r="AJ504" s="119" t="s">
        <v>390</v>
      </c>
      <c r="AK504" s="119" t="s">
        <v>389</v>
      </c>
      <c r="AL504" s="119" t="s">
        <v>398</v>
      </c>
      <c r="AM504" s="119" t="s">
        <v>392</v>
      </c>
      <c r="AN504" s="119" t="s">
        <v>393</v>
      </c>
      <c r="AO504" s="119" t="s">
        <v>394</v>
      </c>
      <c r="AP504" s="119" t="s">
        <v>395</v>
      </c>
      <c r="AQ504" s="119" t="s">
        <v>399</v>
      </c>
      <c r="AR504" s="119" t="s">
        <v>396</v>
      </c>
      <c r="AS504" s="119" t="s">
        <v>397</v>
      </c>
      <c r="AT504" s="119" t="s">
        <v>400</v>
      </c>
      <c r="AU504" s="119" t="s">
        <v>401</v>
      </c>
      <c r="AV504" s="119" t="s">
        <v>402</v>
      </c>
      <c r="AW504" s="119" t="s">
        <v>403</v>
      </c>
      <c r="AX504" s="119" t="s">
        <v>404</v>
      </c>
      <c r="AY504" s="119" t="s">
        <v>405</v>
      </c>
      <c r="AZ504" s="119" t="s">
        <v>229</v>
      </c>
      <c r="BA504" s="119" t="s">
        <v>230</v>
      </c>
      <c r="BB504" s="119" t="s">
        <v>231</v>
      </c>
      <c r="BC504" s="119" t="s">
        <v>232</v>
      </c>
      <c r="BD504" s="119" t="s">
        <v>150</v>
      </c>
      <c r="BE504" s="119" t="s">
        <v>151</v>
      </c>
      <c r="BF504" s="119" t="s">
        <v>233</v>
      </c>
      <c r="BG504" s="158"/>
    </row>
    <row r="505" spans="1:59">
      <c r="B505" s="163"/>
      <c r="C505" s="117" t="s">
        <v>205</v>
      </c>
      <c r="D505" s="117" t="s">
        <v>214</v>
      </c>
      <c r="E505" s="117" t="s">
        <v>222</v>
      </c>
      <c r="F505" s="118" t="s">
        <v>322</v>
      </c>
      <c r="G505" s="118" t="s">
        <v>323</v>
      </c>
      <c r="H505" s="118" t="s">
        <v>324</v>
      </c>
      <c r="I505" s="118" t="s">
        <v>351</v>
      </c>
      <c r="J505" s="118" t="s">
        <v>357</v>
      </c>
      <c r="K505" s="118" t="s">
        <v>251</v>
      </c>
      <c r="L505" s="118" t="s">
        <v>252</v>
      </c>
      <c r="M505" s="118" t="s">
        <v>325</v>
      </c>
      <c r="N505" s="118" t="s">
        <v>326</v>
      </c>
      <c r="O505" s="118" t="s">
        <v>327</v>
      </c>
      <c r="P505" s="118" t="s">
        <v>328</v>
      </c>
      <c r="Q505" s="118" t="s">
        <v>329</v>
      </c>
      <c r="R505" s="118" t="s">
        <v>330</v>
      </c>
      <c r="S505" s="118" t="s">
        <v>331</v>
      </c>
      <c r="T505" s="118" t="s">
        <v>332</v>
      </c>
      <c r="U505" s="118" t="s">
        <v>333</v>
      </c>
      <c r="V505" s="118" t="s">
        <v>334</v>
      </c>
      <c r="W505" s="118" t="s">
        <v>335</v>
      </c>
      <c r="X505" s="118" t="s">
        <v>336</v>
      </c>
      <c r="Y505" s="118" t="s">
        <v>337</v>
      </c>
      <c r="Z505" s="118" t="s">
        <v>338</v>
      </c>
      <c r="AA505" s="118" t="s">
        <v>339</v>
      </c>
      <c r="AB505" s="118" t="s">
        <v>340</v>
      </c>
      <c r="AC505" s="118" t="s">
        <v>341</v>
      </c>
      <c r="AD505" s="118" t="s">
        <v>342</v>
      </c>
      <c r="AE505" s="118" t="s">
        <v>343</v>
      </c>
      <c r="AF505" s="118" t="s">
        <v>344</v>
      </c>
      <c r="AG505" s="118" t="s">
        <v>345</v>
      </c>
      <c r="AH505" s="118" t="s">
        <v>346</v>
      </c>
      <c r="AI505" s="118" t="s">
        <v>347</v>
      </c>
      <c r="AJ505" s="118" t="s">
        <v>348</v>
      </c>
      <c r="AK505" s="118" t="s">
        <v>349</v>
      </c>
      <c r="AL505" s="118" t="s">
        <v>350</v>
      </c>
      <c r="AM505" s="118" t="s">
        <v>352</v>
      </c>
      <c r="AN505" s="118" t="s">
        <v>353</v>
      </c>
      <c r="AO505" s="118" t="s">
        <v>354</v>
      </c>
      <c r="AP505" s="118" t="s">
        <v>234</v>
      </c>
      <c r="AQ505" s="118" t="s">
        <v>355</v>
      </c>
      <c r="AR505" s="118" t="s">
        <v>356</v>
      </c>
      <c r="AS505" s="118" t="s">
        <v>358</v>
      </c>
      <c r="AT505" s="118" t="s">
        <v>359</v>
      </c>
      <c r="AU505" s="118" t="s">
        <v>360</v>
      </c>
      <c r="AV505" s="118" t="s">
        <v>361</v>
      </c>
      <c r="AW505" s="118" t="s">
        <v>362</v>
      </c>
      <c r="AX505" s="118" t="s">
        <v>363</v>
      </c>
      <c r="AY505" s="118" t="s">
        <v>364</v>
      </c>
      <c r="AZ505" s="118" t="s">
        <v>235</v>
      </c>
      <c r="BA505" s="118" t="s">
        <v>236</v>
      </c>
      <c r="BB505" s="118" t="s">
        <v>237</v>
      </c>
      <c r="BC505" s="118" t="s">
        <v>238</v>
      </c>
      <c r="BD505" s="118" t="s">
        <v>239</v>
      </c>
      <c r="BE505" s="118" t="s">
        <v>240</v>
      </c>
      <c r="BF505" s="118" t="s">
        <v>241</v>
      </c>
      <c r="BG505" s="158"/>
    </row>
    <row r="506" spans="1:59">
      <c r="B506" s="163"/>
      <c r="C506" s="117" t="s">
        <v>304</v>
      </c>
      <c r="D506" s="117" t="s">
        <v>406</v>
      </c>
      <c r="E506" s="117" t="s">
        <v>305</v>
      </c>
      <c r="F506" s="131" t="s">
        <v>306</v>
      </c>
      <c r="G506" s="131" t="s">
        <v>306</v>
      </c>
      <c r="H506" s="131" t="s">
        <v>306</v>
      </c>
      <c r="I506" s="131" t="s">
        <v>306</v>
      </c>
      <c r="J506" s="131" t="s">
        <v>308</v>
      </c>
      <c r="K506" s="131" t="s">
        <v>306</v>
      </c>
      <c r="L506" s="131" t="s">
        <v>306</v>
      </c>
      <c r="M506" s="131" t="s">
        <v>407</v>
      </c>
      <c r="N506" s="131" t="s">
        <v>407</v>
      </c>
      <c r="O506" s="131" t="s">
        <v>305</v>
      </c>
      <c r="P506" s="131" t="s">
        <v>408</v>
      </c>
      <c r="Q506" s="131" t="s">
        <v>306</v>
      </c>
      <c r="R506" s="131" t="s">
        <v>313</v>
      </c>
      <c r="S506" s="131" t="s">
        <v>308</v>
      </c>
      <c r="T506" s="131" t="s">
        <v>313</v>
      </c>
      <c r="U506" s="131" t="s">
        <v>308</v>
      </c>
      <c r="V506" s="131" t="s">
        <v>308</v>
      </c>
      <c r="W506" s="131" t="s">
        <v>306</v>
      </c>
      <c r="X506" s="131" t="s">
        <v>409</v>
      </c>
      <c r="Y506" s="131" t="s">
        <v>409</v>
      </c>
      <c r="Z506" s="131" t="s">
        <v>310</v>
      </c>
      <c r="AA506" s="131" t="s">
        <v>408</v>
      </c>
      <c r="AB506" s="131" t="s">
        <v>408</v>
      </c>
      <c r="AC506" s="131" t="s">
        <v>308</v>
      </c>
      <c r="AD506" s="131" t="s">
        <v>312</v>
      </c>
      <c r="AE506" s="131" t="s">
        <v>313</v>
      </c>
      <c r="AF506" s="131" t="s">
        <v>313</v>
      </c>
      <c r="AG506" s="131" t="s">
        <v>410</v>
      </c>
      <c r="AH506" s="131" t="s">
        <v>410</v>
      </c>
      <c r="AI506" s="131" t="s">
        <v>313</v>
      </c>
      <c r="AJ506" s="131" t="s">
        <v>313</v>
      </c>
      <c r="AK506" s="131" t="s">
        <v>410</v>
      </c>
      <c r="AL506" s="131" t="s">
        <v>410</v>
      </c>
      <c r="AM506" s="131" t="s">
        <v>306</v>
      </c>
      <c r="AN506" s="131" t="s">
        <v>306</v>
      </c>
      <c r="AO506" s="131" t="s">
        <v>306</v>
      </c>
      <c r="AP506" s="131" t="s">
        <v>310</v>
      </c>
      <c r="AQ506" s="131" t="s">
        <v>305</v>
      </c>
      <c r="AR506" s="131" t="s">
        <v>306</v>
      </c>
      <c r="AS506" s="131" t="s">
        <v>308</v>
      </c>
      <c r="AT506" s="131" t="s">
        <v>306</v>
      </c>
      <c r="AU506" s="131" t="s">
        <v>411</v>
      </c>
      <c r="AV506" s="131" t="s">
        <v>313</v>
      </c>
      <c r="AW506" s="131" t="s">
        <v>310</v>
      </c>
      <c r="AX506" s="131" t="s">
        <v>306</v>
      </c>
      <c r="AY506" s="131" t="s">
        <v>306</v>
      </c>
      <c r="AZ506" s="131" t="s">
        <v>317</v>
      </c>
      <c r="BA506" s="131" t="s">
        <v>318</v>
      </c>
      <c r="BB506" s="131" t="s">
        <v>320</v>
      </c>
      <c r="BC506" s="131" t="s">
        <v>320</v>
      </c>
      <c r="BD506" s="131" t="s">
        <v>318</v>
      </c>
      <c r="BE506" s="131" t="s">
        <v>320</v>
      </c>
      <c r="BF506" s="131" t="s">
        <v>320</v>
      </c>
      <c r="BG506" s="158"/>
    </row>
    <row r="507" spans="1:59" ht="15">
      <c r="B507" s="120" t="s">
        <v>242</v>
      </c>
      <c r="C507" s="132" t="s">
        <v>269</v>
      </c>
      <c r="D507" s="142" t="s">
        <v>461</v>
      </c>
      <c r="E507" s="132" t="s">
        <v>181</v>
      </c>
      <c r="F507" s="133" t="s">
        <v>184</v>
      </c>
      <c r="G507" s="132" t="s">
        <v>243</v>
      </c>
      <c r="H507" s="132" t="s">
        <v>243</v>
      </c>
      <c r="I507" s="135">
        <v>0</v>
      </c>
      <c r="J507" s="136">
        <v>30</v>
      </c>
      <c r="K507" s="132" t="s">
        <v>271</v>
      </c>
      <c r="L507" s="132" t="s">
        <v>271</v>
      </c>
      <c r="M507" s="132" t="s">
        <v>155</v>
      </c>
      <c r="N507" s="132" t="s">
        <v>155</v>
      </c>
      <c r="O507" s="132" t="s">
        <v>416</v>
      </c>
      <c r="P507" s="132" t="s">
        <v>155</v>
      </c>
      <c r="Q507" s="134" t="s">
        <v>417</v>
      </c>
      <c r="R507" s="132" t="s">
        <v>182</v>
      </c>
      <c r="S507" s="132" t="s">
        <v>243</v>
      </c>
      <c r="T507" s="132" t="s">
        <v>413</v>
      </c>
      <c r="U507" s="132" t="s">
        <v>414</v>
      </c>
      <c r="V507" s="132" t="s">
        <v>418</v>
      </c>
      <c r="W507" s="132" t="s">
        <v>182</v>
      </c>
      <c r="X507" s="132" t="s">
        <v>243</v>
      </c>
      <c r="Y507" s="132" t="s">
        <v>243</v>
      </c>
      <c r="Z507" s="132"/>
      <c r="AA507" s="135"/>
      <c r="AB507" s="135" t="s">
        <v>419</v>
      </c>
      <c r="AC507" s="138">
        <v>5000</v>
      </c>
      <c r="AD507" s="135">
        <v>99999999</v>
      </c>
      <c r="AE507" s="132" t="s">
        <v>243</v>
      </c>
      <c r="AF507" s="132" t="s">
        <v>271</v>
      </c>
      <c r="AG507" s="132" t="s">
        <v>243</v>
      </c>
      <c r="AH507" s="132" t="s">
        <v>243</v>
      </c>
      <c r="AI507" s="135">
        <v>0</v>
      </c>
      <c r="AJ507" s="135">
        <v>0</v>
      </c>
      <c r="AK507" s="135">
        <v>0</v>
      </c>
      <c r="AL507" s="135">
        <v>0</v>
      </c>
      <c r="AM507" s="132" t="s">
        <v>182</v>
      </c>
      <c r="AN507" s="135">
        <v>0</v>
      </c>
      <c r="AO507" s="132" t="s">
        <v>243</v>
      </c>
      <c r="AP507" s="135">
        <v>1</v>
      </c>
      <c r="AQ507" s="136">
        <v>1111</v>
      </c>
      <c r="AR507" s="136" t="s">
        <v>415</v>
      </c>
      <c r="AS507" s="136">
        <v>10</v>
      </c>
      <c r="AT507" s="136">
        <v>1</v>
      </c>
      <c r="AU507" s="136">
        <v>0</v>
      </c>
      <c r="AV507" s="136">
        <v>0</v>
      </c>
      <c r="AW507" s="136">
        <v>0</v>
      </c>
      <c r="AX507" s="136">
        <v>0</v>
      </c>
      <c r="AY507" s="136">
        <v>1</v>
      </c>
      <c r="AZ507" s="136">
        <v>0</v>
      </c>
      <c r="BA507" s="137">
        <v>40640.750486111108</v>
      </c>
      <c r="BB507" s="136">
        <v>470195</v>
      </c>
      <c r="BC507" s="136">
        <v>470195</v>
      </c>
      <c r="BD507" s="137">
        <v>45392.67769675926</v>
      </c>
      <c r="BE507" s="136">
        <v>363363</v>
      </c>
      <c r="BF507" s="136">
        <v>363363</v>
      </c>
      <c r="BG507" s="158"/>
    </row>
    <row r="508" spans="1:59" ht="14">
      <c r="B508" s="122" t="s">
        <v>244</v>
      </c>
      <c r="C508" s="132" t="s">
        <v>269</v>
      </c>
      <c r="D508" s="132" t="s">
        <v>533</v>
      </c>
      <c r="E508" s="132" t="s">
        <v>285</v>
      </c>
      <c r="F508" s="132" t="s">
        <v>184</v>
      </c>
      <c r="G508" s="132" t="s">
        <v>243</v>
      </c>
      <c r="H508" s="132" t="s">
        <v>243</v>
      </c>
      <c r="I508" s="132">
        <v>0</v>
      </c>
      <c r="J508" s="132">
        <v>30</v>
      </c>
      <c r="K508" s="132" t="s">
        <v>534</v>
      </c>
      <c r="L508" s="132"/>
      <c r="M508" s="132" t="s">
        <v>155</v>
      </c>
      <c r="N508" s="132" t="s">
        <v>155</v>
      </c>
      <c r="O508" s="132" t="s">
        <v>416</v>
      </c>
      <c r="P508" s="132" t="s">
        <v>155</v>
      </c>
      <c r="Q508" s="132" t="s">
        <v>417</v>
      </c>
      <c r="R508" s="132" t="s">
        <v>182</v>
      </c>
      <c r="S508" s="132" t="s">
        <v>497</v>
      </c>
      <c r="T508" s="132" t="s">
        <v>413</v>
      </c>
      <c r="U508" s="132" t="s">
        <v>498</v>
      </c>
      <c r="V508" s="132" t="s">
        <v>499</v>
      </c>
      <c r="W508" s="132" t="s">
        <v>182</v>
      </c>
      <c r="X508" s="132" t="s">
        <v>500</v>
      </c>
      <c r="Y508" s="132" t="s">
        <v>500</v>
      </c>
      <c r="Z508" s="132"/>
      <c r="AA508" s="132"/>
      <c r="AB508" s="132" t="s">
        <v>419</v>
      </c>
      <c r="AC508" s="132">
        <v>5000</v>
      </c>
      <c r="AD508" s="132">
        <v>99999999</v>
      </c>
      <c r="AE508" s="132">
        <v>0</v>
      </c>
      <c r="AF508" s="132">
        <v>2</v>
      </c>
      <c r="AG508" s="132">
        <v>0</v>
      </c>
      <c r="AH508" s="132">
        <v>0</v>
      </c>
      <c r="AI508" s="132">
        <v>0</v>
      </c>
      <c r="AJ508" s="132">
        <v>0</v>
      </c>
      <c r="AK508" s="132">
        <v>0</v>
      </c>
      <c r="AL508" s="132">
        <v>0</v>
      </c>
      <c r="AM508" s="132">
        <v>1</v>
      </c>
      <c r="AN508" s="132">
        <v>0</v>
      </c>
      <c r="AO508" s="132">
        <v>0</v>
      </c>
      <c r="AP508" s="132">
        <v>1</v>
      </c>
      <c r="AQ508" s="132">
        <v>1111</v>
      </c>
      <c r="AR508" s="132" t="s">
        <v>415</v>
      </c>
      <c r="AS508" s="132">
        <v>10</v>
      </c>
      <c r="AT508" s="132">
        <v>1</v>
      </c>
      <c r="AU508" s="132">
        <v>0</v>
      </c>
      <c r="AV508" s="132">
        <v>0</v>
      </c>
      <c r="AW508" s="132">
        <v>0</v>
      </c>
      <c r="AX508" s="132">
        <v>0</v>
      </c>
      <c r="AY508" s="132">
        <v>1</v>
      </c>
      <c r="AZ508" s="132">
        <v>0</v>
      </c>
      <c r="BA508" s="132">
        <v>40640.750486111108</v>
      </c>
      <c r="BB508" s="132">
        <v>470195</v>
      </c>
      <c r="BC508" s="132">
        <v>470195</v>
      </c>
      <c r="BD508" s="132">
        <v>45392.67769675926</v>
      </c>
      <c r="BE508" s="132">
        <v>363363</v>
      </c>
      <c r="BF508" s="132">
        <v>363363</v>
      </c>
      <c r="BG508" s="158"/>
    </row>
    <row r="509" spans="1:59" ht="15">
      <c r="B509" s="120" t="s">
        <v>242</v>
      </c>
      <c r="C509" s="132" t="s">
        <v>269</v>
      </c>
      <c r="D509" s="142" t="s">
        <v>460</v>
      </c>
      <c r="E509" s="143" t="s">
        <v>181</v>
      </c>
      <c r="F509" s="139" t="s">
        <v>286</v>
      </c>
      <c r="G509" s="132" t="s">
        <v>243</v>
      </c>
      <c r="H509" s="132" t="s">
        <v>243</v>
      </c>
      <c r="I509" s="135">
        <v>1</v>
      </c>
      <c r="J509" s="136">
        <v>0</v>
      </c>
      <c r="K509" s="132" t="s">
        <v>182</v>
      </c>
      <c r="L509" s="132"/>
      <c r="M509" s="132" t="s">
        <v>155</v>
      </c>
      <c r="N509" s="132" t="s">
        <v>155</v>
      </c>
      <c r="O509" s="132" t="s">
        <v>155</v>
      </c>
      <c r="P509" s="132" t="s">
        <v>155</v>
      </c>
      <c r="Q509" s="134" t="s">
        <v>412</v>
      </c>
      <c r="R509" s="132" t="s">
        <v>243</v>
      </c>
      <c r="S509" s="132" t="s">
        <v>243</v>
      </c>
      <c r="T509" s="132" t="s">
        <v>413</v>
      </c>
      <c r="U509" s="132" t="s">
        <v>414</v>
      </c>
      <c r="V509" s="132" t="s">
        <v>182</v>
      </c>
      <c r="W509" s="132" t="s">
        <v>182</v>
      </c>
      <c r="X509" s="132" t="s">
        <v>243</v>
      </c>
      <c r="Y509" s="132" t="s">
        <v>243</v>
      </c>
      <c r="Z509" s="132" t="s">
        <v>155</v>
      </c>
      <c r="AA509" s="135" t="s">
        <v>155</v>
      </c>
      <c r="AB509" s="135" t="s">
        <v>155</v>
      </c>
      <c r="AC509" s="135">
        <v>1</v>
      </c>
      <c r="AD509" s="135">
        <v>99999999</v>
      </c>
      <c r="AE509" s="132" t="s">
        <v>243</v>
      </c>
      <c r="AF509" s="132" t="s">
        <v>243</v>
      </c>
      <c r="AG509" s="132" t="s">
        <v>243</v>
      </c>
      <c r="AH509" s="132" t="s">
        <v>243</v>
      </c>
      <c r="AI509" s="135">
        <v>0</v>
      </c>
      <c r="AJ509" s="135">
        <v>0</v>
      </c>
      <c r="AK509" s="135">
        <v>0</v>
      </c>
      <c r="AL509" s="135">
        <v>0</v>
      </c>
      <c r="AM509" s="132" t="s">
        <v>182</v>
      </c>
      <c r="AN509" s="135">
        <v>0</v>
      </c>
      <c r="AO509" s="132" t="s">
        <v>243</v>
      </c>
      <c r="AP509" s="135">
        <v>1</v>
      </c>
      <c r="AQ509" s="136" t="s">
        <v>155</v>
      </c>
      <c r="AR509" s="136" t="s">
        <v>415</v>
      </c>
      <c r="AS509" s="136">
        <v>0</v>
      </c>
      <c r="AT509" s="136">
        <v>1</v>
      </c>
      <c r="AU509" s="136">
        <v>0</v>
      </c>
      <c r="AV509" s="136">
        <v>0</v>
      </c>
      <c r="AW509" s="136">
        <v>0</v>
      </c>
      <c r="AX509" s="136">
        <v>0</v>
      </c>
      <c r="AY509" s="136">
        <v>1</v>
      </c>
      <c r="AZ509" s="136">
        <v>0</v>
      </c>
      <c r="BA509" s="137">
        <v>29705</v>
      </c>
      <c r="BB509" s="136" t="s">
        <v>277</v>
      </c>
      <c r="BC509" s="136" t="s">
        <v>277</v>
      </c>
      <c r="BD509" s="137">
        <v>36413</v>
      </c>
      <c r="BE509" s="136" t="s">
        <v>277</v>
      </c>
      <c r="BF509" s="136" t="s">
        <v>277</v>
      </c>
      <c r="BG509" s="158"/>
    </row>
    <row r="510" spans="1:59" ht="14">
      <c r="B510" s="120" t="s">
        <v>242</v>
      </c>
      <c r="C510" s="132" t="s">
        <v>269</v>
      </c>
      <c r="D510" s="142" t="s">
        <v>181</v>
      </c>
      <c r="E510" s="132" t="s">
        <v>285</v>
      </c>
      <c r="F510" s="132" t="s">
        <v>184</v>
      </c>
      <c r="G510" s="132" t="s">
        <v>243</v>
      </c>
      <c r="H510" s="132" t="s">
        <v>243</v>
      </c>
      <c r="I510" s="132">
        <v>0</v>
      </c>
      <c r="J510" s="132">
        <v>30</v>
      </c>
      <c r="K510" s="132" t="s">
        <v>443</v>
      </c>
      <c r="L510" s="132"/>
      <c r="M510" s="132" t="s">
        <v>155</v>
      </c>
      <c r="N510" s="132" t="s">
        <v>155</v>
      </c>
      <c r="O510" s="132" t="s">
        <v>416</v>
      </c>
      <c r="P510" s="132" t="s">
        <v>155</v>
      </c>
      <c r="Q510" s="132" t="s">
        <v>417</v>
      </c>
      <c r="R510" s="132" t="s">
        <v>182</v>
      </c>
      <c r="S510" s="132" t="s">
        <v>243</v>
      </c>
      <c r="T510" s="132" t="s">
        <v>413</v>
      </c>
      <c r="U510" s="132" t="s">
        <v>414</v>
      </c>
      <c r="V510" s="132" t="s">
        <v>418</v>
      </c>
      <c r="W510" s="132" t="s">
        <v>182</v>
      </c>
      <c r="X510" s="132" t="s">
        <v>243</v>
      </c>
      <c r="Y510" s="132" t="s">
        <v>243</v>
      </c>
      <c r="Z510" s="132"/>
      <c r="AA510" s="132"/>
      <c r="AB510" s="132" t="s">
        <v>419</v>
      </c>
      <c r="AC510" s="132">
        <v>5000</v>
      </c>
      <c r="AD510" s="132">
        <v>99999999</v>
      </c>
      <c r="AE510" s="132" t="s">
        <v>243</v>
      </c>
      <c r="AF510" s="132" t="s">
        <v>271</v>
      </c>
      <c r="AG510" s="132" t="s">
        <v>243</v>
      </c>
      <c r="AH510" s="132" t="s">
        <v>243</v>
      </c>
      <c r="AI510" s="132">
        <v>0</v>
      </c>
      <c r="AJ510" s="132">
        <v>0</v>
      </c>
      <c r="AK510" s="132">
        <v>0</v>
      </c>
      <c r="AL510" s="132">
        <v>0</v>
      </c>
      <c r="AM510" s="132" t="s">
        <v>182</v>
      </c>
      <c r="AN510" s="132">
        <v>0</v>
      </c>
      <c r="AO510" s="132" t="s">
        <v>243</v>
      </c>
      <c r="AP510" s="132">
        <v>1</v>
      </c>
      <c r="AQ510" s="132">
        <v>1111</v>
      </c>
      <c r="AR510" s="132" t="s">
        <v>415</v>
      </c>
      <c r="AS510" s="132">
        <v>10</v>
      </c>
      <c r="AT510" s="132">
        <v>1</v>
      </c>
      <c r="AU510" s="132">
        <v>0</v>
      </c>
      <c r="AV510" s="132">
        <v>0</v>
      </c>
      <c r="AW510" s="132">
        <v>0</v>
      </c>
      <c r="AX510" s="132">
        <v>0</v>
      </c>
      <c r="AY510" s="132">
        <v>1</v>
      </c>
      <c r="AZ510" s="132">
        <v>0</v>
      </c>
      <c r="BA510" s="132">
        <v>40640.750486111108</v>
      </c>
      <c r="BB510" s="132">
        <v>470195</v>
      </c>
      <c r="BC510" s="132">
        <v>470195</v>
      </c>
      <c r="BD510" s="132">
        <v>45392.67769675926</v>
      </c>
      <c r="BE510" s="132">
        <v>363363</v>
      </c>
      <c r="BF510" s="132">
        <v>363363</v>
      </c>
      <c r="BG510" s="158"/>
    </row>
    <row r="511" spans="1:59" ht="14">
      <c r="B511" s="163"/>
      <c r="C511" s="164"/>
      <c r="D511" s="164"/>
      <c r="E511" s="164"/>
      <c r="F511" s="164"/>
      <c r="G511" s="164"/>
      <c r="H511" s="164"/>
      <c r="I511" s="164"/>
      <c r="J511" s="164"/>
      <c r="M511" s="164"/>
      <c r="N511" s="164"/>
      <c r="O511" s="164"/>
      <c r="BG511" s="158"/>
    </row>
    <row r="512" spans="1:59" ht="14.5" thickBot="1">
      <c r="B512" s="163"/>
      <c r="C512" s="164" t="s">
        <v>152</v>
      </c>
      <c r="BG512" s="158"/>
    </row>
    <row r="513" spans="1:59" ht="14.5" thickBot="1">
      <c r="B513" s="163"/>
      <c r="C513" s="233" t="s">
        <v>422</v>
      </c>
      <c r="D513" s="233" t="s">
        <v>423</v>
      </c>
      <c r="E513" s="233" t="s">
        <v>158</v>
      </c>
      <c r="F513" s="233" t="s">
        <v>424</v>
      </c>
      <c r="G513" s="233" t="s">
        <v>425</v>
      </c>
      <c r="H513" s="233" t="s">
        <v>426</v>
      </c>
      <c r="I513" s="233" t="s">
        <v>427</v>
      </c>
      <c r="J513" s="233" t="s">
        <v>428</v>
      </c>
      <c r="K513" s="233" t="s">
        <v>429</v>
      </c>
      <c r="L513" s="233" t="s">
        <v>430</v>
      </c>
      <c r="M513" s="233" t="s">
        <v>431</v>
      </c>
      <c r="BG513" s="158"/>
    </row>
    <row r="514" spans="1:59" ht="14.5" thickBot="1">
      <c r="B514" s="163"/>
      <c r="C514" s="233">
        <v>-2</v>
      </c>
      <c r="D514" s="233" t="s">
        <v>155</v>
      </c>
      <c r="E514" s="233" t="s">
        <v>581</v>
      </c>
      <c r="F514" s="233" t="s">
        <v>648</v>
      </c>
      <c r="G514" s="233" t="s">
        <v>137</v>
      </c>
      <c r="H514" s="233" t="s">
        <v>155</v>
      </c>
      <c r="I514" s="233" t="s">
        <v>155</v>
      </c>
      <c r="J514" s="233" t="s">
        <v>155</v>
      </c>
      <c r="K514" s="233" t="s">
        <v>155</v>
      </c>
      <c r="L514" s="233">
        <v>0</v>
      </c>
      <c r="M514" s="233" t="s">
        <v>155</v>
      </c>
      <c r="BG514" s="158"/>
    </row>
    <row r="515" spans="1:59" ht="13.5" thickBot="1">
      <c r="B515" s="163"/>
      <c r="BG515" s="158"/>
    </row>
    <row r="516" spans="1:59" ht="14" thickBot="1">
      <c r="B516" s="104" t="s">
        <v>540</v>
      </c>
      <c r="C516" s="105" t="s">
        <v>538</v>
      </c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05"/>
      <c r="BG516" s="158"/>
    </row>
    <row r="517" spans="1:59" ht="14" thickBot="1">
      <c r="B517" s="140" t="s">
        <v>620</v>
      </c>
      <c r="C517" s="105" t="s">
        <v>447</v>
      </c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  <c r="BF517" s="105"/>
      <c r="BG517" s="158"/>
    </row>
    <row r="518" spans="1:59">
      <c r="B518" s="163"/>
      <c r="BG518" s="158"/>
    </row>
    <row r="519" spans="1:59" ht="13.5">
      <c r="B519" s="163"/>
      <c r="C519" s="161" t="s">
        <v>228</v>
      </c>
      <c r="BG519" s="158"/>
    </row>
    <row r="520" spans="1:59" ht="13.5">
      <c r="B520" s="163"/>
      <c r="C520" s="161" t="s">
        <v>624</v>
      </c>
      <c r="BG520" s="158"/>
    </row>
    <row r="521" spans="1:59">
      <c r="B521" s="163"/>
      <c r="BG521" s="158"/>
    </row>
    <row r="522" spans="1:59" s="27" customFormat="1" ht="19.5" customHeight="1">
      <c r="B522" s="167"/>
      <c r="C522" s="125" t="s">
        <v>268</v>
      </c>
      <c r="D522" s="126"/>
      <c r="E522" s="12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7"/>
      <c r="Y522" s="66"/>
      <c r="Z522" s="66"/>
      <c r="AA522" s="66"/>
      <c r="AB522" s="66"/>
      <c r="AC522" s="66"/>
      <c r="AD522" s="111"/>
      <c r="AH522" s="108"/>
      <c r="AJ522" s="67"/>
      <c r="AK522" s="67"/>
      <c r="AL522" s="67"/>
      <c r="AM522" s="67"/>
      <c r="AN522" s="68"/>
      <c r="AO522" s="68"/>
      <c r="AP522" s="68"/>
      <c r="BG522" s="94"/>
    </row>
    <row r="523" spans="1:59" s="70" customFormat="1" ht="16.5" customHeight="1">
      <c r="A523" s="98"/>
      <c r="B523" s="168"/>
      <c r="C523" s="127"/>
      <c r="D523" s="127"/>
      <c r="E523" s="127"/>
      <c r="F523" s="124" t="s">
        <v>168</v>
      </c>
      <c r="G523" s="124" t="s">
        <v>168</v>
      </c>
      <c r="H523" s="124" t="s">
        <v>168</v>
      </c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H523" s="109"/>
      <c r="AI523" s="69"/>
      <c r="AJ523" s="69"/>
      <c r="AK523" s="69"/>
      <c r="AL523" s="69"/>
      <c r="AM523" s="69"/>
      <c r="BG523" s="169"/>
    </row>
    <row r="524" spans="1:59" s="76" customFormat="1" ht="92" customHeight="1">
      <c r="A524" s="71"/>
      <c r="B524" s="170"/>
      <c r="C524" s="117" t="s">
        <v>171</v>
      </c>
      <c r="D524" s="117" t="s">
        <v>172</v>
      </c>
      <c r="E524" s="117" t="s">
        <v>173</v>
      </c>
      <c r="F524" s="119" t="s">
        <v>91</v>
      </c>
      <c r="G524" s="119" t="s">
        <v>67</v>
      </c>
      <c r="H524" s="119" t="s">
        <v>69</v>
      </c>
      <c r="I524" s="119" t="s">
        <v>289</v>
      </c>
      <c r="J524" s="119" t="s">
        <v>290</v>
      </c>
      <c r="K524" s="119" t="s">
        <v>291</v>
      </c>
      <c r="L524" s="119" t="s">
        <v>292</v>
      </c>
      <c r="M524" s="119" t="s">
        <v>293</v>
      </c>
      <c r="N524" s="119" t="s">
        <v>294</v>
      </c>
      <c r="O524" s="119" t="s">
        <v>295</v>
      </c>
      <c r="P524" s="119" t="s">
        <v>296</v>
      </c>
      <c r="Q524" s="119" t="s">
        <v>297</v>
      </c>
      <c r="R524" s="119" t="s">
        <v>298</v>
      </c>
      <c r="S524" s="119" t="s">
        <v>299</v>
      </c>
      <c r="T524" s="119" t="s">
        <v>300</v>
      </c>
      <c r="U524" s="119" t="s">
        <v>301</v>
      </c>
      <c r="V524" s="119" t="s">
        <v>302</v>
      </c>
      <c r="W524" s="119" t="s">
        <v>303</v>
      </c>
      <c r="X524" s="119" t="s">
        <v>229</v>
      </c>
      <c r="Y524" s="119" t="s">
        <v>230</v>
      </c>
      <c r="Z524" s="119" t="s">
        <v>231</v>
      </c>
      <c r="AA524" s="119" t="s">
        <v>232</v>
      </c>
      <c r="AB524" s="119" t="s">
        <v>150</v>
      </c>
      <c r="AC524" s="119" t="s">
        <v>151</v>
      </c>
      <c r="AD524" s="119" t="s">
        <v>233</v>
      </c>
      <c r="AH524" s="110"/>
      <c r="AI524" s="67"/>
      <c r="AJ524" s="74"/>
      <c r="AK524" s="74"/>
      <c r="AL524" s="74"/>
      <c r="AM524" s="74"/>
      <c r="AN524" s="75"/>
      <c r="AO524" s="75"/>
      <c r="AP524" s="75"/>
      <c r="BG524" s="171"/>
    </row>
    <row r="525" spans="1:59" s="76" customFormat="1" ht="15">
      <c r="A525" s="71"/>
      <c r="B525" s="170"/>
      <c r="C525" s="117" t="s">
        <v>205</v>
      </c>
      <c r="D525" s="117" t="s">
        <v>214</v>
      </c>
      <c r="E525" s="117" t="s">
        <v>222</v>
      </c>
      <c r="F525" s="118" t="s">
        <v>250</v>
      </c>
      <c r="G525" s="118" t="s">
        <v>251</v>
      </c>
      <c r="H525" s="118" t="s">
        <v>253</v>
      </c>
      <c r="I525" s="118" t="s">
        <v>252</v>
      </c>
      <c r="J525" s="118" t="s">
        <v>254</v>
      </c>
      <c r="K525" s="118" t="s">
        <v>255</v>
      </c>
      <c r="L525" s="118" t="s">
        <v>256</v>
      </c>
      <c r="M525" s="118" t="s">
        <v>257</v>
      </c>
      <c r="N525" s="118" t="s">
        <v>258</v>
      </c>
      <c r="O525" s="118" t="s">
        <v>259</v>
      </c>
      <c r="P525" s="118" t="s">
        <v>260</v>
      </c>
      <c r="Q525" s="118" t="s">
        <v>261</v>
      </c>
      <c r="R525" s="118" t="s">
        <v>262</v>
      </c>
      <c r="S525" s="118" t="s">
        <v>263</v>
      </c>
      <c r="T525" s="118" t="s">
        <v>264</v>
      </c>
      <c r="U525" s="118" t="s">
        <v>265</v>
      </c>
      <c r="V525" s="118" t="s">
        <v>266</v>
      </c>
      <c r="W525" s="118" t="s">
        <v>267</v>
      </c>
      <c r="X525" s="118" t="s">
        <v>235</v>
      </c>
      <c r="Y525" s="118" t="s">
        <v>236</v>
      </c>
      <c r="Z525" s="118" t="s">
        <v>237</v>
      </c>
      <c r="AA525" s="118" t="s">
        <v>238</v>
      </c>
      <c r="AB525" s="118" t="s">
        <v>239</v>
      </c>
      <c r="AC525" s="118" t="s">
        <v>240</v>
      </c>
      <c r="AD525" s="118" t="s">
        <v>241</v>
      </c>
      <c r="AH525" s="110"/>
      <c r="AI525" s="67"/>
      <c r="AJ525" s="74"/>
      <c r="AK525" s="74"/>
      <c r="AL525" s="74"/>
      <c r="AM525" s="74"/>
      <c r="AN525" s="75"/>
      <c r="AO525" s="75"/>
      <c r="AP525" s="75"/>
      <c r="BG525" s="171"/>
    </row>
    <row r="526" spans="1:59" s="68" customFormat="1" ht="13.5" customHeight="1">
      <c r="A526" s="77"/>
      <c r="B526" s="172"/>
      <c r="C526" s="117" t="s">
        <v>304</v>
      </c>
      <c r="D526" s="117" t="s">
        <v>305</v>
      </c>
      <c r="E526" s="117" t="s">
        <v>305</v>
      </c>
      <c r="F526" s="119" t="s">
        <v>306</v>
      </c>
      <c r="G526" s="119" t="s">
        <v>306</v>
      </c>
      <c r="H526" s="119" t="s">
        <v>307</v>
      </c>
      <c r="I526" s="119" t="s">
        <v>306</v>
      </c>
      <c r="J526" s="119" t="s">
        <v>308</v>
      </c>
      <c r="K526" s="119" t="s">
        <v>309</v>
      </c>
      <c r="L526" s="118" t="s">
        <v>310</v>
      </c>
      <c r="M526" s="119" t="s">
        <v>310</v>
      </c>
      <c r="N526" s="119" t="s">
        <v>311</v>
      </c>
      <c r="O526" s="119" t="s">
        <v>306</v>
      </c>
      <c r="P526" s="119" t="s">
        <v>312</v>
      </c>
      <c r="Q526" s="119" t="s">
        <v>313</v>
      </c>
      <c r="R526" s="119" t="s">
        <v>312</v>
      </c>
      <c r="S526" s="119" t="s">
        <v>314</v>
      </c>
      <c r="T526" s="118" t="s">
        <v>315</v>
      </c>
      <c r="U526" s="119" t="s">
        <v>315</v>
      </c>
      <c r="V526" s="119" t="s">
        <v>316</v>
      </c>
      <c r="W526" s="119" t="s">
        <v>306</v>
      </c>
      <c r="X526" s="119" t="s">
        <v>317</v>
      </c>
      <c r="Y526" s="119" t="s">
        <v>319</v>
      </c>
      <c r="Z526" s="119" t="s">
        <v>320</v>
      </c>
      <c r="AA526" s="119" t="s">
        <v>320</v>
      </c>
      <c r="AB526" s="118" t="s">
        <v>318</v>
      </c>
      <c r="AC526" s="119" t="s">
        <v>320</v>
      </c>
      <c r="AD526" s="119" t="s">
        <v>320</v>
      </c>
      <c r="AH526" s="108"/>
      <c r="AI526" s="67"/>
      <c r="AJ526" s="67"/>
      <c r="AK526" s="67"/>
      <c r="AL526" s="67"/>
      <c r="AM526" s="67"/>
      <c r="BG526" s="173"/>
    </row>
    <row r="527" spans="1:59" s="27" customFormat="1" ht="13.5" customHeight="1">
      <c r="A527" s="80"/>
      <c r="B527" s="120" t="s">
        <v>242</v>
      </c>
      <c r="C527" s="121" t="s">
        <v>269</v>
      </c>
      <c r="D527" s="142" t="s">
        <v>461</v>
      </c>
      <c r="E527" s="119" t="s">
        <v>181</v>
      </c>
      <c r="F527" s="119" t="s">
        <v>182</v>
      </c>
      <c r="G527" s="132" t="s">
        <v>271</v>
      </c>
      <c r="H527" s="119" t="s">
        <v>183</v>
      </c>
      <c r="I527" s="132" t="s">
        <v>271</v>
      </c>
      <c r="J527" s="119" t="s">
        <v>183</v>
      </c>
      <c r="K527" s="119" t="s">
        <v>243</v>
      </c>
      <c r="L527" s="118" t="s">
        <v>280</v>
      </c>
      <c r="M527" s="119" t="s">
        <v>273</v>
      </c>
      <c r="N527" s="119"/>
      <c r="O527" s="119" t="s">
        <v>243</v>
      </c>
      <c r="P527" s="119" t="s">
        <v>155</v>
      </c>
      <c r="Q527" s="119" t="s">
        <v>183</v>
      </c>
      <c r="R527" s="119" t="s">
        <v>281</v>
      </c>
      <c r="S527" s="119"/>
      <c r="T527" s="118" t="s">
        <v>155</v>
      </c>
      <c r="U527" s="119" t="s">
        <v>155</v>
      </c>
      <c r="V527" s="119" t="s">
        <v>155</v>
      </c>
      <c r="W527" s="119"/>
      <c r="X527" s="119" t="s">
        <v>243</v>
      </c>
      <c r="Y527" s="119" t="s">
        <v>282</v>
      </c>
      <c r="Z527" s="119" t="s">
        <v>283</v>
      </c>
      <c r="AA527" s="119">
        <v>470195</v>
      </c>
      <c r="AB527" s="118" t="s">
        <v>282</v>
      </c>
      <c r="AC527" s="119">
        <v>470195</v>
      </c>
      <c r="AD527" s="119" t="s">
        <v>283</v>
      </c>
      <c r="AH527" s="108"/>
      <c r="AI527" s="67"/>
      <c r="AJ527" s="67"/>
      <c r="AK527" s="83"/>
      <c r="AL527" s="67"/>
      <c r="AM527" s="67"/>
      <c r="AN527" s="68"/>
      <c r="AO527" s="68"/>
      <c r="AP527" s="68"/>
      <c r="BG527" s="94"/>
    </row>
    <row r="528" spans="1:59" s="27" customFormat="1" ht="13.5" customHeight="1">
      <c r="A528" s="84"/>
      <c r="B528" s="122" t="s">
        <v>244</v>
      </c>
      <c r="C528" s="132" t="s">
        <v>269</v>
      </c>
      <c r="D528" s="132" t="s">
        <v>605</v>
      </c>
      <c r="E528" s="132" t="s">
        <v>285</v>
      </c>
      <c r="F528" s="132" t="s">
        <v>182</v>
      </c>
      <c r="G528" s="218" t="s">
        <v>534</v>
      </c>
      <c r="H528" s="132" t="s">
        <v>183</v>
      </c>
      <c r="I528" s="225" t="s">
        <v>432</v>
      </c>
      <c r="J528" s="132" t="s">
        <v>496</v>
      </c>
      <c r="K528" s="132" t="s">
        <v>497</v>
      </c>
      <c r="L528" s="132" t="s">
        <v>155</v>
      </c>
      <c r="M528" s="132" t="s">
        <v>273</v>
      </c>
      <c r="N528" s="132" t="s">
        <v>155</v>
      </c>
      <c r="O528" s="132" t="s">
        <v>182</v>
      </c>
      <c r="P528" s="132" t="s">
        <v>155</v>
      </c>
      <c r="Q528" s="132" t="s">
        <v>274</v>
      </c>
      <c r="R528" s="132" t="s">
        <v>275</v>
      </c>
      <c r="S528" s="132" t="s">
        <v>155</v>
      </c>
      <c r="T528" s="132" t="s">
        <v>155</v>
      </c>
      <c r="U528" s="132" t="s">
        <v>155</v>
      </c>
      <c r="V528" s="132" t="s">
        <v>155</v>
      </c>
      <c r="W528" s="132" t="s">
        <v>155</v>
      </c>
      <c r="X528" s="132" t="s">
        <v>243</v>
      </c>
      <c r="Y528" s="132" t="s">
        <v>276</v>
      </c>
      <c r="Z528" s="132" t="s">
        <v>277</v>
      </c>
      <c r="AA528" s="132" t="s">
        <v>277</v>
      </c>
      <c r="AB528" s="132" t="s">
        <v>278</v>
      </c>
      <c r="AC528" s="132" t="s">
        <v>287</v>
      </c>
      <c r="AD528" s="132" t="s">
        <v>287</v>
      </c>
      <c r="AH528" s="108"/>
      <c r="AI528" s="67"/>
      <c r="AJ528" s="61"/>
      <c r="AK528" s="83"/>
      <c r="AL528" s="67"/>
      <c r="AM528" s="67"/>
      <c r="AN528" s="68"/>
      <c r="AO528" s="68"/>
      <c r="AP528" s="68"/>
      <c r="BG528" s="94"/>
    </row>
    <row r="529" spans="1:59" s="27" customFormat="1" ht="13.5" customHeight="1">
      <c r="A529" s="85"/>
      <c r="B529" s="120" t="s">
        <v>242</v>
      </c>
      <c r="C529" s="121" t="s">
        <v>269</v>
      </c>
      <c r="D529" s="142" t="s">
        <v>181</v>
      </c>
      <c r="E529" s="121" t="s">
        <v>285</v>
      </c>
      <c r="F529" s="121" t="s">
        <v>286</v>
      </c>
      <c r="G529" s="121" t="s">
        <v>443</v>
      </c>
      <c r="H529" s="121" t="s">
        <v>183</v>
      </c>
      <c r="I529" s="224" t="s">
        <v>432</v>
      </c>
      <c r="J529" s="121" t="s">
        <v>272</v>
      </c>
      <c r="K529" s="121" t="s">
        <v>243</v>
      </c>
      <c r="L529" s="121" t="s">
        <v>155</v>
      </c>
      <c r="M529" s="121" t="s">
        <v>273</v>
      </c>
      <c r="N529" s="121" t="s">
        <v>155</v>
      </c>
      <c r="O529" s="121" t="s">
        <v>182</v>
      </c>
      <c r="P529" s="121" t="s">
        <v>155</v>
      </c>
      <c r="Q529" s="121" t="s">
        <v>274</v>
      </c>
      <c r="R529" s="121" t="s">
        <v>275</v>
      </c>
      <c r="S529" s="121" t="s">
        <v>155</v>
      </c>
      <c r="T529" s="121" t="s">
        <v>155</v>
      </c>
      <c r="U529" s="121" t="s">
        <v>155</v>
      </c>
      <c r="V529" s="121" t="s">
        <v>155</v>
      </c>
      <c r="W529" s="121" t="s">
        <v>155</v>
      </c>
      <c r="X529" s="121" t="s">
        <v>243</v>
      </c>
      <c r="Y529" s="121" t="s">
        <v>276</v>
      </c>
      <c r="Z529" s="121" t="s">
        <v>277</v>
      </c>
      <c r="AA529" s="121" t="s">
        <v>277</v>
      </c>
      <c r="AB529" s="121" t="s">
        <v>278</v>
      </c>
      <c r="AC529" s="121" t="s">
        <v>287</v>
      </c>
      <c r="AD529" s="121" t="s">
        <v>287</v>
      </c>
      <c r="AH529" s="108"/>
      <c r="AI529" s="67"/>
      <c r="AJ529" s="61"/>
      <c r="AK529" s="83"/>
      <c r="AL529" s="67"/>
      <c r="AM529" s="67"/>
      <c r="AN529" s="68"/>
      <c r="AO529" s="68"/>
      <c r="AP529" s="68"/>
      <c r="BG529" s="94"/>
    </row>
    <row r="530" spans="1:59" s="27" customFormat="1" ht="13.5" customHeight="1">
      <c r="A530" s="85"/>
      <c r="B530" s="120" t="s">
        <v>242</v>
      </c>
      <c r="C530" s="121" t="s">
        <v>269</v>
      </c>
      <c r="D530" s="142" t="s">
        <v>460</v>
      </c>
      <c r="E530" s="121" t="s">
        <v>285</v>
      </c>
      <c r="F530" s="121" t="s">
        <v>286</v>
      </c>
      <c r="G530" s="121" t="s">
        <v>182</v>
      </c>
      <c r="H530" s="121" t="s">
        <v>183</v>
      </c>
      <c r="I530" s="224" t="s">
        <v>432</v>
      </c>
      <c r="J530" s="121" t="s">
        <v>272</v>
      </c>
      <c r="K530" s="121" t="s">
        <v>243</v>
      </c>
      <c r="L530" s="121" t="s">
        <v>155</v>
      </c>
      <c r="M530" s="121" t="s">
        <v>273</v>
      </c>
      <c r="N530" s="121" t="s">
        <v>155</v>
      </c>
      <c r="O530" s="121" t="s">
        <v>182</v>
      </c>
      <c r="P530" s="121" t="s">
        <v>155</v>
      </c>
      <c r="Q530" s="121" t="s">
        <v>274</v>
      </c>
      <c r="R530" s="121" t="s">
        <v>275</v>
      </c>
      <c r="S530" s="121" t="s">
        <v>155</v>
      </c>
      <c r="T530" s="121" t="s">
        <v>155</v>
      </c>
      <c r="U530" s="121" t="s">
        <v>155</v>
      </c>
      <c r="V530" s="121" t="s">
        <v>155</v>
      </c>
      <c r="W530" s="121" t="s">
        <v>155</v>
      </c>
      <c r="X530" s="121" t="s">
        <v>243</v>
      </c>
      <c r="Y530" s="121" t="s">
        <v>276</v>
      </c>
      <c r="Z530" s="121" t="s">
        <v>277</v>
      </c>
      <c r="AA530" s="121" t="s">
        <v>277</v>
      </c>
      <c r="AB530" s="121" t="s">
        <v>278</v>
      </c>
      <c r="AC530" s="121" t="s">
        <v>287</v>
      </c>
      <c r="AD530" s="121" t="s">
        <v>287</v>
      </c>
      <c r="AH530" s="108"/>
      <c r="AI530" s="67"/>
      <c r="AJ530" s="61"/>
      <c r="AK530" s="83"/>
      <c r="AL530" s="67"/>
      <c r="AM530" s="67"/>
      <c r="AN530" s="68"/>
      <c r="AO530" s="68"/>
      <c r="AP530" s="68"/>
      <c r="BG530" s="94"/>
    </row>
    <row r="531" spans="1:59" ht="14">
      <c r="B531" s="163"/>
      <c r="C531" s="164"/>
      <c r="D531" s="164"/>
      <c r="E531" s="164"/>
      <c r="F531" s="164"/>
      <c r="G531" s="164"/>
      <c r="H531" s="164"/>
      <c r="I531" s="164"/>
      <c r="J531" s="164"/>
      <c r="M531" s="164"/>
      <c r="N531" s="164"/>
      <c r="O531" s="164"/>
      <c r="BG531" s="158"/>
    </row>
    <row r="532" spans="1:59" ht="15">
      <c r="B532" s="163"/>
      <c r="C532" s="257" t="s">
        <v>321</v>
      </c>
      <c r="D532" s="258"/>
      <c r="E532" s="258"/>
      <c r="F532" s="258"/>
      <c r="G532" s="258"/>
      <c r="H532" s="258"/>
      <c r="I532" s="258"/>
      <c r="J532" s="258"/>
      <c r="K532" s="258"/>
      <c r="L532" s="258"/>
      <c r="M532" s="258"/>
      <c r="N532" s="258"/>
      <c r="O532" s="258"/>
      <c r="P532" s="258"/>
      <c r="Q532" s="258"/>
      <c r="R532" s="258"/>
      <c r="S532" s="258"/>
      <c r="T532" s="258"/>
      <c r="U532" s="90"/>
      <c r="V532" s="90"/>
      <c r="W532" s="90"/>
      <c r="X532" s="90"/>
      <c r="Y532" s="90"/>
      <c r="Z532" s="90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2"/>
      <c r="AQ532" s="92"/>
      <c r="AR532" s="92"/>
      <c r="AS532" s="92"/>
      <c r="AT532" s="92"/>
      <c r="AU532" s="92"/>
      <c r="AV532" s="92"/>
      <c r="AW532" s="92"/>
      <c r="AX532" s="92"/>
      <c r="AY532" s="92"/>
      <c r="AZ532" s="92"/>
      <c r="BA532" s="92"/>
      <c r="BB532" s="92"/>
      <c r="BC532" s="92"/>
      <c r="BD532" s="92"/>
      <c r="BE532" s="92"/>
      <c r="BF532" s="92"/>
      <c r="BG532" s="158"/>
    </row>
    <row r="533" spans="1:59" ht="15">
      <c r="B533" s="163"/>
      <c r="C533" s="127"/>
      <c r="D533" s="127"/>
      <c r="E533" s="127"/>
      <c r="F533" s="124" t="s">
        <v>168</v>
      </c>
      <c r="G533" s="124" t="s">
        <v>168</v>
      </c>
      <c r="H533" s="129" t="s">
        <v>168</v>
      </c>
      <c r="I533" s="124" t="s">
        <v>168</v>
      </c>
      <c r="J533" s="124" t="s">
        <v>168</v>
      </c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30"/>
      <c r="AB533" s="130"/>
      <c r="AC533" s="130"/>
      <c r="AD533" s="130"/>
      <c r="AE533" s="130"/>
      <c r="AF533" s="130"/>
      <c r="AG533" s="130"/>
      <c r="AH533" s="130"/>
      <c r="AI533" s="130"/>
      <c r="AJ533" s="130"/>
      <c r="AK533" s="130"/>
      <c r="AL533" s="130"/>
      <c r="AM533" s="130"/>
      <c r="AN533" s="130"/>
      <c r="AO533" s="130"/>
      <c r="AP533" s="130"/>
      <c r="AQ533" s="130"/>
      <c r="AR533" s="130"/>
      <c r="AS533" s="130"/>
      <c r="AT533" s="130"/>
      <c r="AU533" s="130"/>
      <c r="AV533" s="130"/>
      <c r="AW533" s="130"/>
      <c r="AX533" s="130"/>
      <c r="AY533" s="130"/>
      <c r="AZ533" s="130"/>
      <c r="BA533" s="130"/>
      <c r="BB533" s="130"/>
      <c r="BC533" s="130"/>
      <c r="BD533" s="130"/>
      <c r="BE533" s="130"/>
      <c r="BF533" s="130"/>
      <c r="BG533" s="158"/>
    </row>
    <row r="534" spans="1:59" ht="25">
      <c r="B534" s="163"/>
      <c r="C534" s="117" t="s">
        <v>365</v>
      </c>
      <c r="D534" s="117" t="s">
        <v>420</v>
      </c>
      <c r="E534" s="117" t="s">
        <v>421</v>
      </c>
      <c r="F534" s="119" t="s">
        <v>96</v>
      </c>
      <c r="G534" s="119" t="s">
        <v>99</v>
      </c>
      <c r="H534" s="119" t="s">
        <v>130</v>
      </c>
      <c r="I534" s="119" t="s">
        <v>391</v>
      </c>
      <c r="J534" s="119" t="s">
        <v>127</v>
      </c>
      <c r="K534" s="119" t="s">
        <v>67</v>
      </c>
      <c r="L534" s="119" t="s">
        <v>288</v>
      </c>
      <c r="M534" s="119" t="s">
        <v>366</v>
      </c>
      <c r="N534" s="119" t="s">
        <v>367</v>
      </c>
      <c r="O534" s="119" t="s">
        <v>368</v>
      </c>
      <c r="P534" s="119" t="s">
        <v>369</v>
      </c>
      <c r="Q534" s="119" t="s">
        <v>370</v>
      </c>
      <c r="R534" s="119" t="s">
        <v>371</v>
      </c>
      <c r="S534" s="119" t="s">
        <v>372</v>
      </c>
      <c r="T534" s="119" t="s">
        <v>373</v>
      </c>
      <c r="U534" s="119" t="s">
        <v>374</v>
      </c>
      <c r="V534" s="119" t="s">
        <v>375</v>
      </c>
      <c r="W534" s="119" t="s">
        <v>376</v>
      </c>
      <c r="X534" s="119" t="s">
        <v>377</v>
      </c>
      <c r="Y534" s="119" t="s">
        <v>378</v>
      </c>
      <c r="Z534" s="119" t="s">
        <v>379</v>
      </c>
      <c r="AA534" s="119" t="s">
        <v>380</v>
      </c>
      <c r="AB534" s="119" t="s">
        <v>381</v>
      </c>
      <c r="AC534" s="119" t="s">
        <v>382</v>
      </c>
      <c r="AD534" s="119" t="s">
        <v>383</v>
      </c>
      <c r="AE534" s="119" t="s">
        <v>384</v>
      </c>
      <c r="AF534" s="119" t="s">
        <v>385</v>
      </c>
      <c r="AG534" s="119" t="s">
        <v>386</v>
      </c>
      <c r="AH534" s="119" t="s">
        <v>387</v>
      </c>
      <c r="AI534" s="119" t="s">
        <v>388</v>
      </c>
      <c r="AJ534" s="119" t="s">
        <v>390</v>
      </c>
      <c r="AK534" s="119" t="s">
        <v>389</v>
      </c>
      <c r="AL534" s="119" t="s">
        <v>398</v>
      </c>
      <c r="AM534" s="119" t="s">
        <v>392</v>
      </c>
      <c r="AN534" s="119" t="s">
        <v>393</v>
      </c>
      <c r="AO534" s="119" t="s">
        <v>394</v>
      </c>
      <c r="AP534" s="119" t="s">
        <v>395</v>
      </c>
      <c r="AQ534" s="119" t="s">
        <v>399</v>
      </c>
      <c r="AR534" s="119" t="s">
        <v>396</v>
      </c>
      <c r="AS534" s="119" t="s">
        <v>397</v>
      </c>
      <c r="AT534" s="119" t="s">
        <v>400</v>
      </c>
      <c r="AU534" s="119" t="s">
        <v>401</v>
      </c>
      <c r="AV534" s="119" t="s">
        <v>402</v>
      </c>
      <c r="AW534" s="119" t="s">
        <v>403</v>
      </c>
      <c r="AX534" s="119" t="s">
        <v>404</v>
      </c>
      <c r="AY534" s="119" t="s">
        <v>405</v>
      </c>
      <c r="AZ534" s="119" t="s">
        <v>229</v>
      </c>
      <c r="BA534" s="119" t="s">
        <v>230</v>
      </c>
      <c r="BB534" s="119" t="s">
        <v>231</v>
      </c>
      <c r="BC534" s="119" t="s">
        <v>232</v>
      </c>
      <c r="BD534" s="119" t="s">
        <v>150</v>
      </c>
      <c r="BE534" s="119" t="s">
        <v>151</v>
      </c>
      <c r="BF534" s="119" t="s">
        <v>233</v>
      </c>
      <c r="BG534" s="158"/>
    </row>
    <row r="535" spans="1:59">
      <c r="B535" s="163"/>
      <c r="C535" s="117" t="s">
        <v>205</v>
      </c>
      <c r="D535" s="117" t="s">
        <v>214</v>
      </c>
      <c r="E535" s="117" t="s">
        <v>222</v>
      </c>
      <c r="F535" s="118" t="s">
        <v>322</v>
      </c>
      <c r="G535" s="118" t="s">
        <v>323</v>
      </c>
      <c r="H535" s="118" t="s">
        <v>324</v>
      </c>
      <c r="I535" s="118" t="s">
        <v>351</v>
      </c>
      <c r="J535" s="118" t="s">
        <v>357</v>
      </c>
      <c r="K535" s="118" t="s">
        <v>251</v>
      </c>
      <c r="L535" s="118" t="s">
        <v>252</v>
      </c>
      <c r="M535" s="118" t="s">
        <v>325</v>
      </c>
      <c r="N535" s="118" t="s">
        <v>326</v>
      </c>
      <c r="O535" s="118" t="s">
        <v>327</v>
      </c>
      <c r="P535" s="118" t="s">
        <v>328</v>
      </c>
      <c r="Q535" s="118" t="s">
        <v>329</v>
      </c>
      <c r="R535" s="118" t="s">
        <v>330</v>
      </c>
      <c r="S535" s="118" t="s">
        <v>331</v>
      </c>
      <c r="T535" s="118" t="s">
        <v>332</v>
      </c>
      <c r="U535" s="118" t="s">
        <v>333</v>
      </c>
      <c r="V535" s="118" t="s">
        <v>334</v>
      </c>
      <c r="W535" s="118" t="s">
        <v>335</v>
      </c>
      <c r="X535" s="118" t="s">
        <v>336</v>
      </c>
      <c r="Y535" s="118" t="s">
        <v>337</v>
      </c>
      <c r="Z535" s="118" t="s">
        <v>338</v>
      </c>
      <c r="AA535" s="118" t="s">
        <v>339</v>
      </c>
      <c r="AB535" s="118" t="s">
        <v>340</v>
      </c>
      <c r="AC535" s="118" t="s">
        <v>341</v>
      </c>
      <c r="AD535" s="118" t="s">
        <v>342</v>
      </c>
      <c r="AE535" s="118" t="s">
        <v>343</v>
      </c>
      <c r="AF535" s="118" t="s">
        <v>344</v>
      </c>
      <c r="AG535" s="118" t="s">
        <v>345</v>
      </c>
      <c r="AH535" s="118" t="s">
        <v>346</v>
      </c>
      <c r="AI535" s="118" t="s">
        <v>347</v>
      </c>
      <c r="AJ535" s="118" t="s">
        <v>348</v>
      </c>
      <c r="AK535" s="118" t="s">
        <v>349</v>
      </c>
      <c r="AL535" s="118" t="s">
        <v>350</v>
      </c>
      <c r="AM535" s="118" t="s">
        <v>352</v>
      </c>
      <c r="AN535" s="118" t="s">
        <v>353</v>
      </c>
      <c r="AO535" s="118" t="s">
        <v>354</v>
      </c>
      <c r="AP535" s="118" t="s">
        <v>234</v>
      </c>
      <c r="AQ535" s="118" t="s">
        <v>355</v>
      </c>
      <c r="AR535" s="118" t="s">
        <v>356</v>
      </c>
      <c r="AS535" s="118" t="s">
        <v>358</v>
      </c>
      <c r="AT535" s="118" t="s">
        <v>359</v>
      </c>
      <c r="AU535" s="118" t="s">
        <v>360</v>
      </c>
      <c r="AV535" s="118" t="s">
        <v>361</v>
      </c>
      <c r="AW535" s="118" t="s">
        <v>362</v>
      </c>
      <c r="AX535" s="118" t="s">
        <v>363</v>
      </c>
      <c r="AY535" s="118" t="s">
        <v>364</v>
      </c>
      <c r="AZ535" s="118" t="s">
        <v>235</v>
      </c>
      <c r="BA535" s="118" t="s">
        <v>236</v>
      </c>
      <c r="BB535" s="118" t="s">
        <v>237</v>
      </c>
      <c r="BC535" s="118" t="s">
        <v>238</v>
      </c>
      <c r="BD535" s="118" t="s">
        <v>239</v>
      </c>
      <c r="BE535" s="118" t="s">
        <v>240</v>
      </c>
      <c r="BF535" s="118" t="s">
        <v>241</v>
      </c>
      <c r="BG535" s="158"/>
    </row>
    <row r="536" spans="1:59">
      <c r="B536" s="163"/>
      <c r="C536" s="117" t="s">
        <v>304</v>
      </c>
      <c r="D536" s="117" t="s">
        <v>406</v>
      </c>
      <c r="E536" s="117" t="s">
        <v>305</v>
      </c>
      <c r="F536" s="131" t="s">
        <v>306</v>
      </c>
      <c r="G536" s="131" t="s">
        <v>306</v>
      </c>
      <c r="H536" s="131" t="s">
        <v>306</v>
      </c>
      <c r="I536" s="131" t="s">
        <v>306</v>
      </c>
      <c r="J536" s="131" t="s">
        <v>308</v>
      </c>
      <c r="K536" s="131" t="s">
        <v>306</v>
      </c>
      <c r="L536" s="131" t="s">
        <v>306</v>
      </c>
      <c r="M536" s="131" t="s">
        <v>407</v>
      </c>
      <c r="N536" s="131" t="s">
        <v>407</v>
      </c>
      <c r="O536" s="131" t="s">
        <v>305</v>
      </c>
      <c r="P536" s="131" t="s">
        <v>408</v>
      </c>
      <c r="Q536" s="131" t="s">
        <v>306</v>
      </c>
      <c r="R536" s="131" t="s">
        <v>313</v>
      </c>
      <c r="S536" s="131" t="s">
        <v>308</v>
      </c>
      <c r="T536" s="131" t="s">
        <v>313</v>
      </c>
      <c r="U536" s="131" t="s">
        <v>308</v>
      </c>
      <c r="V536" s="131" t="s">
        <v>308</v>
      </c>
      <c r="W536" s="131" t="s">
        <v>306</v>
      </c>
      <c r="X536" s="131" t="s">
        <v>409</v>
      </c>
      <c r="Y536" s="131" t="s">
        <v>409</v>
      </c>
      <c r="Z536" s="131" t="s">
        <v>310</v>
      </c>
      <c r="AA536" s="131" t="s">
        <v>408</v>
      </c>
      <c r="AB536" s="131" t="s">
        <v>408</v>
      </c>
      <c r="AC536" s="131" t="s">
        <v>308</v>
      </c>
      <c r="AD536" s="131" t="s">
        <v>312</v>
      </c>
      <c r="AE536" s="131" t="s">
        <v>313</v>
      </c>
      <c r="AF536" s="131" t="s">
        <v>313</v>
      </c>
      <c r="AG536" s="131" t="s">
        <v>410</v>
      </c>
      <c r="AH536" s="131" t="s">
        <v>410</v>
      </c>
      <c r="AI536" s="131" t="s">
        <v>313</v>
      </c>
      <c r="AJ536" s="131" t="s">
        <v>313</v>
      </c>
      <c r="AK536" s="131" t="s">
        <v>410</v>
      </c>
      <c r="AL536" s="131" t="s">
        <v>410</v>
      </c>
      <c r="AM536" s="131" t="s">
        <v>306</v>
      </c>
      <c r="AN536" s="131" t="s">
        <v>306</v>
      </c>
      <c r="AO536" s="131" t="s">
        <v>306</v>
      </c>
      <c r="AP536" s="131" t="s">
        <v>310</v>
      </c>
      <c r="AQ536" s="131" t="s">
        <v>305</v>
      </c>
      <c r="AR536" s="131" t="s">
        <v>306</v>
      </c>
      <c r="AS536" s="131" t="s">
        <v>308</v>
      </c>
      <c r="AT536" s="131" t="s">
        <v>306</v>
      </c>
      <c r="AU536" s="131" t="s">
        <v>411</v>
      </c>
      <c r="AV536" s="131" t="s">
        <v>313</v>
      </c>
      <c r="AW536" s="131" t="s">
        <v>310</v>
      </c>
      <c r="AX536" s="131" t="s">
        <v>306</v>
      </c>
      <c r="AY536" s="131" t="s">
        <v>306</v>
      </c>
      <c r="AZ536" s="131" t="s">
        <v>317</v>
      </c>
      <c r="BA536" s="131" t="s">
        <v>318</v>
      </c>
      <c r="BB536" s="131" t="s">
        <v>320</v>
      </c>
      <c r="BC536" s="131" t="s">
        <v>320</v>
      </c>
      <c r="BD536" s="131" t="s">
        <v>318</v>
      </c>
      <c r="BE536" s="131" t="s">
        <v>320</v>
      </c>
      <c r="BF536" s="131" t="s">
        <v>320</v>
      </c>
      <c r="BG536" s="158"/>
    </row>
    <row r="537" spans="1:59" ht="15">
      <c r="B537" s="120" t="s">
        <v>242</v>
      </c>
      <c r="C537" s="132" t="s">
        <v>269</v>
      </c>
      <c r="D537" s="142" t="s">
        <v>461</v>
      </c>
      <c r="E537" s="132" t="s">
        <v>181</v>
      </c>
      <c r="F537" s="133" t="s">
        <v>184</v>
      </c>
      <c r="G537" s="132" t="s">
        <v>243</v>
      </c>
      <c r="H537" s="132" t="s">
        <v>243</v>
      </c>
      <c r="I537" s="135">
        <v>0</v>
      </c>
      <c r="J537" s="136">
        <v>30</v>
      </c>
      <c r="K537" s="132" t="s">
        <v>271</v>
      </c>
      <c r="L537" s="132" t="s">
        <v>271</v>
      </c>
      <c r="M537" s="132" t="s">
        <v>155</v>
      </c>
      <c r="N537" s="132" t="s">
        <v>155</v>
      </c>
      <c r="O537" s="132" t="s">
        <v>416</v>
      </c>
      <c r="P537" s="132" t="s">
        <v>155</v>
      </c>
      <c r="Q537" s="134" t="s">
        <v>417</v>
      </c>
      <c r="R537" s="132" t="s">
        <v>182</v>
      </c>
      <c r="S537" s="132" t="s">
        <v>243</v>
      </c>
      <c r="T537" s="132" t="s">
        <v>413</v>
      </c>
      <c r="U537" s="132" t="s">
        <v>414</v>
      </c>
      <c r="V537" s="132" t="s">
        <v>418</v>
      </c>
      <c r="W537" s="132" t="s">
        <v>182</v>
      </c>
      <c r="X537" s="132" t="s">
        <v>243</v>
      </c>
      <c r="Y537" s="132" t="s">
        <v>243</v>
      </c>
      <c r="Z537" s="132"/>
      <c r="AA537" s="135"/>
      <c r="AB537" s="135" t="s">
        <v>419</v>
      </c>
      <c r="AC537" s="138">
        <v>5000</v>
      </c>
      <c r="AD537" s="135">
        <v>99999999</v>
      </c>
      <c r="AE537" s="132" t="s">
        <v>243</v>
      </c>
      <c r="AF537" s="132" t="s">
        <v>271</v>
      </c>
      <c r="AG537" s="132" t="s">
        <v>243</v>
      </c>
      <c r="AH537" s="132" t="s">
        <v>243</v>
      </c>
      <c r="AI537" s="135">
        <v>0</v>
      </c>
      <c r="AJ537" s="135">
        <v>0</v>
      </c>
      <c r="AK537" s="135">
        <v>0</v>
      </c>
      <c r="AL537" s="135">
        <v>0</v>
      </c>
      <c r="AM537" s="132" t="s">
        <v>182</v>
      </c>
      <c r="AN537" s="135">
        <v>0</v>
      </c>
      <c r="AO537" s="132" t="s">
        <v>243</v>
      </c>
      <c r="AP537" s="135">
        <v>1</v>
      </c>
      <c r="AQ537" s="136">
        <v>1111</v>
      </c>
      <c r="AR537" s="136" t="s">
        <v>415</v>
      </c>
      <c r="AS537" s="136">
        <v>10</v>
      </c>
      <c r="AT537" s="136">
        <v>1</v>
      </c>
      <c r="AU537" s="136">
        <v>0</v>
      </c>
      <c r="AV537" s="136">
        <v>0</v>
      </c>
      <c r="AW537" s="136">
        <v>0</v>
      </c>
      <c r="AX537" s="136">
        <v>0</v>
      </c>
      <c r="AY537" s="136">
        <v>1</v>
      </c>
      <c r="AZ537" s="136">
        <v>0</v>
      </c>
      <c r="BA537" s="137">
        <v>40640.750486111108</v>
      </c>
      <c r="BB537" s="136">
        <v>470195</v>
      </c>
      <c r="BC537" s="136">
        <v>470195</v>
      </c>
      <c r="BD537" s="137">
        <v>45392.67769675926</v>
      </c>
      <c r="BE537" s="136">
        <v>363363</v>
      </c>
      <c r="BF537" s="136">
        <v>363363</v>
      </c>
      <c r="BG537" s="158"/>
    </row>
    <row r="538" spans="1:59" ht="14">
      <c r="B538" s="122" t="s">
        <v>244</v>
      </c>
      <c r="C538" s="132" t="s">
        <v>269</v>
      </c>
      <c r="D538" s="132" t="s">
        <v>605</v>
      </c>
      <c r="E538" s="132" t="s">
        <v>285</v>
      </c>
      <c r="F538" s="132" t="s">
        <v>184</v>
      </c>
      <c r="G538" s="132" t="s">
        <v>243</v>
      </c>
      <c r="H538" s="132" t="s">
        <v>243</v>
      </c>
      <c r="I538" s="132" t="s">
        <v>243</v>
      </c>
      <c r="J538" s="132" t="s">
        <v>506</v>
      </c>
      <c r="K538" s="132" t="s">
        <v>534</v>
      </c>
      <c r="L538" s="225" t="s">
        <v>432</v>
      </c>
      <c r="M538" s="132" t="s">
        <v>155</v>
      </c>
      <c r="N538" s="132" t="s">
        <v>155</v>
      </c>
      <c r="O538" s="132" t="s">
        <v>416</v>
      </c>
      <c r="P538" s="132" t="s">
        <v>155</v>
      </c>
      <c r="Q538" s="132" t="s">
        <v>417</v>
      </c>
      <c r="R538" s="132" t="s">
        <v>182</v>
      </c>
      <c r="S538" s="132" t="s">
        <v>497</v>
      </c>
      <c r="T538" s="132" t="s">
        <v>413</v>
      </c>
      <c r="U538" s="132" t="s">
        <v>498</v>
      </c>
      <c r="V538" s="132" t="s">
        <v>499</v>
      </c>
      <c r="W538" s="132" t="s">
        <v>182</v>
      </c>
      <c r="X538" s="132" t="s">
        <v>500</v>
      </c>
      <c r="Y538" s="132" t="s">
        <v>500</v>
      </c>
      <c r="Z538" s="132"/>
      <c r="AA538" s="132"/>
      <c r="AB538" s="132" t="s">
        <v>419</v>
      </c>
      <c r="AC538" s="132" t="s">
        <v>499</v>
      </c>
      <c r="AD538" s="132" t="s">
        <v>504</v>
      </c>
      <c r="AE538" s="132" t="s">
        <v>243</v>
      </c>
      <c r="AF538" s="132" t="s">
        <v>271</v>
      </c>
      <c r="AG538" s="132" t="s">
        <v>243</v>
      </c>
      <c r="AH538" s="132" t="s">
        <v>243</v>
      </c>
      <c r="AI538" s="132" t="s">
        <v>243</v>
      </c>
      <c r="AJ538" s="132" t="s">
        <v>243</v>
      </c>
      <c r="AK538" s="132" t="s">
        <v>243</v>
      </c>
      <c r="AL538" s="132" t="s">
        <v>243</v>
      </c>
      <c r="AM538" s="132" t="s">
        <v>182</v>
      </c>
      <c r="AN538" s="132" t="s">
        <v>243</v>
      </c>
      <c r="AO538" s="132" t="s">
        <v>243</v>
      </c>
      <c r="AP538" s="132" t="s">
        <v>245</v>
      </c>
      <c r="AQ538" s="132" t="s">
        <v>505</v>
      </c>
      <c r="AR538" s="132" t="s">
        <v>415</v>
      </c>
      <c r="AS538" s="132" t="s">
        <v>507</v>
      </c>
      <c r="AT538" s="132" t="s">
        <v>182</v>
      </c>
      <c r="AU538" s="132" t="s">
        <v>497</v>
      </c>
      <c r="AV538" s="132" t="s">
        <v>243</v>
      </c>
      <c r="AW538" s="132" t="s">
        <v>273</v>
      </c>
      <c r="AX538" s="132" t="s">
        <v>243</v>
      </c>
      <c r="AY538" s="132" t="s">
        <v>182</v>
      </c>
      <c r="AZ538" s="132" t="s">
        <v>243</v>
      </c>
      <c r="BA538" s="132" t="s">
        <v>282</v>
      </c>
      <c r="BB538" s="132" t="s">
        <v>283</v>
      </c>
      <c r="BC538" s="132" t="s">
        <v>283</v>
      </c>
      <c r="BD538" s="132" t="s">
        <v>508</v>
      </c>
      <c r="BE538" s="132" t="s">
        <v>509</v>
      </c>
      <c r="BF538" s="132" t="s">
        <v>509</v>
      </c>
      <c r="BG538" s="158"/>
    </row>
    <row r="539" spans="1:59" ht="15">
      <c r="B539" s="120" t="s">
        <v>242</v>
      </c>
      <c r="C539" s="132" t="s">
        <v>269</v>
      </c>
      <c r="D539" s="142" t="s">
        <v>460</v>
      </c>
      <c r="E539" s="143" t="s">
        <v>181</v>
      </c>
      <c r="F539" s="139" t="s">
        <v>286</v>
      </c>
      <c r="G539" s="132" t="s">
        <v>243</v>
      </c>
      <c r="H539" s="132" t="s">
        <v>243</v>
      </c>
      <c r="I539" s="135">
        <v>1</v>
      </c>
      <c r="J539" s="136">
        <v>0</v>
      </c>
      <c r="K539" s="132" t="s">
        <v>182</v>
      </c>
      <c r="L539" s="225" t="s">
        <v>432</v>
      </c>
      <c r="M539" s="132" t="s">
        <v>155</v>
      </c>
      <c r="N539" s="132" t="s">
        <v>155</v>
      </c>
      <c r="O539" s="132" t="s">
        <v>155</v>
      </c>
      <c r="P539" s="132" t="s">
        <v>155</v>
      </c>
      <c r="Q539" s="134" t="s">
        <v>412</v>
      </c>
      <c r="R539" s="132" t="s">
        <v>243</v>
      </c>
      <c r="S539" s="132" t="s">
        <v>243</v>
      </c>
      <c r="T539" s="132" t="s">
        <v>413</v>
      </c>
      <c r="U539" s="132" t="s">
        <v>414</v>
      </c>
      <c r="V539" s="132" t="s">
        <v>182</v>
      </c>
      <c r="W539" s="132" t="s">
        <v>182</v>
      </c>
      <c r="X539" s="132" t="s">
        <v>243</v>
      </c>
      <c r="Y539" s="132" t="s">
        <v>243</v>
      </c>
      <c r="Z539" s="132" t="s">
        <v>155</v>
      </c>
      <c r="AA539" s="135" t="s">
        <v>155</v>
      </c>
      <c r="AB539" s="135" t="s">
        <v>155</v>
      </c>
      <c r="AC539" s="135">
        <v>1</v>
      </c>
      <c r="AD539" s="135">
        <v>99999999</v>
      </c>
      <c r="AE539" s="132" t="s">
        <v>243</v>
      </c>
      <c r="AF539" s="132" t="s">
        <v>243</v>
      </c>
      <c r="AG539" s="132" t="s">
        <v>243</v>
      </c>
      <c r="AH539" s="132" t="s">
        <v>243</v>
      </c>
      <c r="AI539" s="135">
        <v>0</v>
      </c>
      <c r="AJ539" s="135">
        <v>0</v>
      </c>
      <c r="AK539" s="135">
        <v>0</v>
      </c>
      <c r="AL539" s="135">
        <v>0</v>
      </c>
      <c r="AM539" s="132" t="s">
        <v>182</v>
      </c>
      <c r="AN539" s="135">
        <v>0</v>
      </c>
      <c r="AO539" s="132" t="s">
        <v>243</v>
      </c>
      <c r="AP539" s="135">
        <v>1</v>
      </c>
      <c r="AQ539" s="136" t="s">
        <v>155</v>
      </c>
      <c r="AR539" s="136" t="s">
        <v>415</v>
      </c>
      <c r="AS539" s="136">
        <v>0</v>
      </c>
      <c r="AT539" s="136">
        <v>1</v>
      </c>
      <c r="AU539" s="136">
        <v>0</v>
      </c>
      <c r="AV539" s="136">
        <v>0</v>
      </c>
      <c r="AW539" s="136">
        <v>0</v>
      </c>
      <c r="AX539" s="136">
        <v>0</v>
      </c>
      <c r="AY539" s="136">
        <v>1</v>
      </c>
      <c r="AZ539" s="136">
        <v>0</v>
      </c>
      <c r="BA539" s="137">
        <v>29705</v>
      </c>
      <c r="BB539" s="136" t="s">
        <v>277</v>
      </c>
      <c r="BC539" s="136" t="s">
        <v>277</v>
      </c>
      <c r="BD539" s="137">
        <v>36413</v>
      </c>
      <c r="BE539" s="136" t="s">
        <v>277</v>
      </c>
      <c r="BF539" s="136" t="s">
        <v>277</v>
      </c>
      <c r="BG539" s="158"/>
    </row>
    <row r="540" spans="1:59" ht="14">
      <c r="B540" s="120" t="s">
        <v>242</v>
      </c>
      <c r="C540" s="132" t="s">
        <v>269</v>
      </c>
      <c r="D540" s="142" t="s">
        <v>181</v>
      </c>
      <c r="E540" s="132" t="s">
        <v>285</v>
      </c>
      <c r="F540" s="132" t="s">
        <v>184</v>
      </c>
      <c r="G540" s="132" t="s">
        <v>243</v>
      </c>
      <c r="H540" s="132" t="s">
        <v>243</v>
      </c>
      <c r="I540" s="132">
        <v>0</v>
      </c>
      <c r="J540" s="132">
        <v>30</v>
      </c>
      <c r="K540" s="132" t="s">
        <v>443</v>
      </c>
      <c r="L540" s="225" t="s">
        <v>432</v>
      </c>
      <c r="M540" s="132" t="s">
        <v>155</v>
      </c>
      <c r="N540" s="132" t="s">
        <v>155</v>
      </c>
      <c r="O540" s="132" t="s">
        <v>416</v>
      </c>
      <c r="P540" s="132" t="s">
        <v>155</v>
      </c>
      <c r="Q540" s="132" t="s">
        <v>417</v>
      </c>
      <c r="R540" s="132" t="s">
        <v>182</v>
      </c>
      <c r="S540" s="132" t="s">
        <v>243</v>
      </c>
      <c r="T540" s="132" t="s">
        <v>413</v>
      </c>
      <c r="U540" s="132" t="s">
        <v>414</v>
      </c>
      <c r="V540" s="132" t="s">
        <v>418</v>
      </c>
      <c r="W540" s="132" t="s">
        <v>182</v>
      </c>
      <c r="X540" s="132" t="s">
        <v>243</v>
      </c>
      <c r="Y540" s="132" t="s">
        <v>243</v>
      </c>
      <c r="Z540" s="132"/>
      <c r="AA540" s="132"/>
      <c r="AB540" s="132" t="s">
        <v>419</v>
      </c>
      <c r="AC540" s="132">
        <v>5000</v>
      </c>
      <c r="AD540" s="132">
        <v>99999999</v>
      </c>
      <c r="AE540" s="132" t="s">
        <v>243</v>
      </c>
      <c r="AF540" s="132" t="s">
        <v>271</v>
      </c>
      <c r="AG540" s="132" t="s">
        <v>243</v>
      </c>
      <c r="AH540" s="132" t="s">
        <v>243</v>
      </c>
      <c r="AI540" s="132">
        <v>0</v>
      </c>
      <c r="AJ540" s="132">
        <v>0</v>
      </c>
      <c r="AK540" s="132">
        <v>0</v>
      </c>
      <c r="AL540" s="132">
        <v>0</v>
      </c>
      <c r="AM540" s="132" t="s">
        <v>182</v>
      </c>
      <c r="AN540" s="132">
        <v>0</v>
      </c>
      <c r="AO540" s="132" t="s">
        <v>243</v>
      </c>
      <c r="AP540" s="132">
        <v>1</v>
      </c>
      <c r="AQ540" s="132">
        <v>1111</v>
      </c>
      <c r="AR540" s="132" t="s">
        <v>415</v>
      </c>
      <c r="AS540" s="132">
        <v>10</v>
      </c>
      <c r="AT540" s="132">
        <v>1</v>
      </c>
      <c r="AU540" s="132">
        <v>0</v>
      </c>
      <c r="AV540" s="132">
        <v>0</v>
      </c>
      <c r="AW540" s="132">
        <v>0</v>
      </c>
      <c r="AX540" s="132">
        <v>0</v>
      </c>
      <c r="AY540" s="132">
        <v>1</v>
      </c>
      <c r="AZ540" s="132">
        <v>0</v>
      </c>
      <c r="BA540" s="132">
        <v>40640.750486111108</v>
      </c>
      <c r="BB540" s="132">
        <v>470195</v>
      </c>
      <c r="BC540" s="132">
        <v>470195</v>
      </c>
      <c r="BD540" s="132">
        <v>45392.67769675926</v>
      </c>
      <c r="BE540" s="132">
        <v>363363</v>
      </c>
      <c r="BF540" s="132">
        <v>363363</v>
      </c>
      <c r="BG540" s="158"/>
    </row>
    <row r="541" spans="1:59">
      <c r="B541" s="163"/>
      <c r="BG541" s="158"/>
    </row>
    <row r="542" spans="1:59" ht="14.5" thickBot="1">
      <c r="B542" s="163"/>
      <c r="C542" s="164" t="s">
        <v>152</v>
      </c>
      <c r="D542" s="164"/>
      <c r="E542" s="164"/>
      <c r="F542" s="164"/>
      <c r="G542" s="164"/>
      <c r="H542" s="164"/>
      <c r="I542" s="164"/>
      <c r="J542" s="164"/>
      <c r="M542" s="164"/>
      <c r="N542" s="164"/>
      <c r="O542" s="164"/>
      <c r="BG542" s="158"/>
    </row>
    <row r="543" spans="1:59" ht="14.5" thickBot="1">
      <c r="B543" s="163"/>
      <c r="C543" s="233" t="s">
        <v>422</v>
      </c>
      <c r="D543" s="233" t="s">
        <v>423</v>
      </c>
      <c r="E543" s="233" t="s">
        <v>158</v>
      </c>
      <c r="F543" s="233" t="s">
        <v>424</v>
      </c>
      <c r="G543" s="233" t="s">
        <v>425</v>
      </c>
      <c r="H543" s="233" t="s">
        <v>426</v>
      </c>
      <c r="I543" s="233" t="s">
        <v>427</v>
      </c>
      <c r="J543" s="233" t="s">
        <v>428</v>
      </c>
      <c r="K543" s="233" t="s">
        <v>429</v>
      </c>
      <c r="L543" s="233" t="s">
        <v>430</v>
      </c>
      <c r="M543" s="233" t="s">
        <v>431</v>
      </c>
      <c r="BG543" s="158"/>
    </row>
    <row r="544" spans="1:59" ht="14.5" thickBot="1">
      <c r="B544" s="163"/>
      <c r="C544" s="233">
        <v>-2</v>
      </c>
      <c r="D544" s="233" t="s">
        <v>155</v>
      </c>
      <c r="E544" s="233" t="s">
        <v>621</v>
      </c>
      <c r="F544" s="233" t="s">
        <v>623</v>
      </c>
      <c r="G544" s="233" t="s">
        <v>137</v>
      </c>
      <c r="H544" s="233" t="s">
        <v>155</v>
      </c>
      <c r="I544" s="233" t="s">
        <v>155</v>
      </c>
      <c r="J544" s="233" t="s">
        <v>155</v>
      </c>
      <c r="K544" s="233" t="s">
        <v>155</v>
      </c>
      <c r="L544" s="233">
        <v>0</v>
      </c>
      <c r="M544" s="233" t="s">
        <v>155</v>
      </c>
      <c r="BG544" s="158"/>
    </row>
    <row r="545" spans="2:59" ht="13.5" thickBot="1">
      <c r="B545" s="163"/>
      <c r="BG545" s="158"/>
    </row>
    <row r="546" spans="2:59" ht="14" thickBot="1">
      <c r="B546" s="104" t="s">
        <v>542</v>
      </c>
      <c r="C546" s="105" t="s">
        <v>543</v>
      </c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05"/>
      <c r="BG546" s="158"/>
    </row>
    <row r="547" spans="2:59" ht="14" thickBot="1">
      <c r="B547" s="140" t="s">
        <v>620</v>
      </c>
      <c r="C547" s="105" t="s">
        <v>447</v>
      </c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  <c r="BF547" s="105"/>
      <c r="BG547" s="158"/>
    </row>
    <row r="548" spans="2:59">
      <c r="B548" s="163"/>
      <c r="BG548" s="158"/>
    </row>
    <row r="549" spans="2:59" ht="13.5">
      <c r="B549" s="163"/>
      <c r="C549" s="161" t="s">
        <v>228</v>
      </c>
      <c r="BG549" s="158"/>
    </row>
    <row r="550" spans="2:59" ht="13.5">
      <c r="B550" s="163"/>
      <c r="C550" s="161" t="s">
        <v>544</v>
      </c>
      <c r="BG550" s="158"/>
    </row>
    <row r="551" spans="2:59">
      <c r="B551" s="163"/>
      <c r="BG551" s="158"/>
    </row>
    <row r="552" spans="2:59" ht="15">
      <c r="B552" s="106"/>
      <c r="C552" s="257" t="s">
        <v>268</v>
      </c>
      <c r="D552" s="258"/>
      <c r="E552" s="258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  <c r="Z552" s="260"/>
      <c r="AA552" s="66"/>
      <c r="AB552" s="66"/>
      <c r="AC552" s="66"/>
      <c r="AD552" s="66"/>
      <c r="BG552" s="158"/>
    </row>
    <row r="553" spans="2:59" ht="15">
      <c r="B553" s="106"/>
      <c r="C553" s="127"/>
      <c r="D553" s="127"/>
      <c r="E553" s="127"/>
      <c r="F553" s="124" t="s">
        <v>168</v>
      </c>
      <c r="G553" s="124" t="s">
        <v>168</v>
      </c>
      <c r="H553" s="124" t="s">
        <v>168</v>
      </c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BG553" s="158"/>
    </row>
    <row r="554" spans="2:59" ht="13.5">
      <c r="B554" s="106"/>
      <c r="C554" s="117" t="s">
        <v>171</v>
      </c>
      <c r="D554" s="117" t="s">
        <v>172</v>
      </c>
      <c r="E554" s="117" t="s">
        <v>173</v>
      </c>
      <c r="F554" s="119" t="s">
        <v>91</v>
      </c>
      <c r="G554" s="119" t="s">
        <v>67</v>
      </c>
      <c r="H554" s="119" t="s">
        <v>69</v>
      </c>
      <c r="I554" s="119" t="s">
        <v>289</v>
      </c>
      <c r="J554" s="119" t="s">
        <v>290</v>
      </c>
      <c r="K554" s="119" t="s">
        <v>291</v>
      </c>
      <c r="L554" s="119" t="s">
        <v>292</v>
      </c>
      <c r="M554" s="119" t="s">
        <v>293</v>
      </c>
      <c r="N554" s="119" t="s">
        <v>294</v>
      </c>
      <c r="O554" s="119" t="s">
        <v>295</v>
      </c>
      <c r="P554" s="119" t="s">
        <v>296</v>
      </c>
      <c r="Q554" s="119" t="s">
        <v>297</v>
      </c>
      <c r="R554" s="119" t="s">
        <v>298</v>
      </c>
      <c r="S554" s="119" t="s">
        <v>299</v>
      </c>
      <c r="T554" s="119" t="s">
        <v>300</v>
      </c>
      <c r="U554" s="119" t="s">
        <v>301</v>
      </c>
      <c r="V554" s="119" t="s">
        <v>302</v>
      </c>
      <c r="W554" s="119" t="s">
        <v>303</v>
      </c>
      <c r="X554" s="119" t="s">
        <v>229</v>
      </c>
      <c r="Y554" s="119" t="s">
        <v>230</v>
      </c>
      <c r="Z554" s="119" t="s">
        <v>231</v>
      </c>
      <c r="AA554" s="119" t="s">
        <v>232</v>
      </c>
      <c r="AB554" s="119" t="s">
        <v>150</v>
      </c>
      <c r="AC554" s="119" t="s">
        <v>151</v>
      </c>
      <c r="AD554" s="119" t="s">
        <v>233</v>
      </c>
      <c r="BG554" s="158"/>
    </row>
    <row r="555" spans="2:59" ht="13.5">
      <c r="B555" s="106"/>
      <c r="C555" s="117" t="s">
        <v>205</v>
      </c>
      <c r="D555" s="117" t="s">
        <v>214</v>
      </c>
      <c r="E555" s="117" t="s">
        <v>222</v>
      </c>
      <c r="F555" s="118" t="s">
        <v>250</v>
      </c>
      <c r="G555" s="118" t="s">
        <v>251</v>
      </c>
      <c r="H555" s="118" t="s">
        <v>253</v>
      </c>
      <c r="I555" s="118" t="s">
        <v>252</v>
      </c>
      <c r="J555" s="118" t="s">
        <v>254</v>
      </c>
      <c r="K555" s="118" t="s">
        <v>255</v>
      </c>
      <c r="L555" s="118" t="s">
        <v>256</v>
      </c>
      <c r="M555" s="118" t="s">
        <v>257</v>
      </c>
      <c r="N555" s="118" t="s">
        <v>258</v>
      </c>
      <c r="O555" s="118" t="s">
        <v>259</v>
      </c>
      <c r="P555" s="118" t="s">
        <v>260</v>
      </c>
      <c r="Q555" s="118" t="s">
        <v>261</v>
      </c>
      <c r="R555" s="118" t="s">
        <v>262</v>
      </c>
      <c r="S555" s="118" t="s">
        <v>263</v>
      </c>
      <c r="T555" s="118" t="s">
        <v>264</v>
      </c>
      <c r="U555" s="118" t="s">
        <v>265</v>
      </c>
      <c r="V555" s="118" t="s">
        <v>266</v>
      </c>
      <c r="W555" s="118" t="s">
        <v>267</v>
      </c>
      <c r="X555" s="118" t="s">
        <v>235</v>
      </c>
      <c r="Y555" s="118" t="s">
        <v>236</v>
      </c>
      <c r="Z555" s="118" t="s">
        <v>237</v>
      </c>
      <c r="AA555" s="118" t="s">
        <v>238</v>
      </c>
      <c r="AB555" s="118" t="s">
        <v>239</v>
      </c>
      <c r="AC555" s="118" t="s">
        <v>240</v>
      </c>
      <c r="AD555" s="118" t="s">
        <v>241</v>
      </c>
      <c r="BG555" s="158"/>
    </row>
    <row r="556" spans="2:59" ht="13.5">
      <c r="B556" s="122"/>
      <c r="C556" s="117" t="s">
        <v>304</v>
      </c>
      <c r="D556" s="117" t="s">
        <v>305</v>
      </c>
      <c r="E556" s="117" t="s">
        <v>305</v>
      </c>
      <c r="F556" s="119" t="s">
        <v>306</v>
      </c>
      <c r="G556" s="119" t="s">
        <v>306</v>
      </c>
      <c r="H556" s="119" t="s">
        <v>307</v>
      </c>
      <c r="I556" s="119" t="s">
        <v>306</v>
      </c>
      <c r="J556" s="119" t="s">
        <v>308</v>
      </c>
      <c r="K556" s="119" t="s">
        <v>309</v>
      </c>
      <c r="L556" s="118" t="s">
        <v>310</v>
      </c>
      <c r="M556" s="119" t="s">
        <v>310</v>
      </c>
      <c r="N556" s="119" t="s">
        <v>311</v>
      </c>
      <c r="O556" s="119" t="s">
        <v>306</v>
      </c>
      <c r="P556" s="119" t="s">
        <v>312</v>
      </c>
      <c r="Q556" s="119" t="s">
        <v>313</v>
      </c>
      <c r="R556" s="119" t="s">
        <v>312</v>
      </c>
      <c r="S556" s="119" t="s">
        <v>314</v>
      </c>
      <c r="T556" s="118" t="s">
        <v>315</v>
      </c>
      <c r="U556" s="119" t="s">
        <v>315</v>
      </c>
      <c r="V556" s="119" t="s">
        <v>316</v>
      </c>
      <c r="W556" s="119" t="s">
        <v>306</v>
      </c>
      <c r="X556" s="119" t="s">
        <v>317</v>
      </c>
      <c r="Y556" s="119" t="s">
        <v>319</v>
      </c>
      <c r="Z556" s="119" t="s">
        <v>320</v>
      </c>
      <c r="AA556" s="119" t="s">
        <v>320</v>
      </c>
      <c r="AB556" s="118" t="s">
        <v>318</v>
      </c>
      <c r="AC556" s="119" t="s">
        <v>320</v>
      </c>
      <c r="AD556" s="119" t="s">
        <v>320</v>
      </c>
      <c r="BG556" s="158"/>
    </row>
    <row r="557" spans="2:59" ht="25">
      <c r="B557" s="122" t="s">
        <v>244</v>
      </c>
      <c r="C557" s="121" t="s">
        <v>269</v>
      </c>
      <c r="D557" s="118" t="s">
        <v>270</v>
      </c>
      <c r="E557" s="119" t="s">
        <v>270</v>
      </c>
      <c r="F557" s="119" t="s">
        <v>182</v>
      </c>
      <c r="G557" s="219" t="s">
        <v>271</v>
      </c>
      <c r="H557" s="119" t="s">
        <v>183</v>
      </c>
      <c r="I557" s="119" t="s">
        <v>271</v>
      </c>
      <c r="J557" s="119" t="s">
        <v>272</v>
      </c>
      <c r="K557" s="119" t="s">
        <v>243</v>
      </c>
      <c r="L557" s="118" t="s">
        <v>155</v>
      </c>
      <c r="M557" s="119" t="s">
        <v>273</v>
      </c>
      <c r="N557" s="119"/>
      <c r="O557" s="119" t="s">
        <v>182</v>
      </c>
      <c r="P557" s="119" t="s">
        <v>155</v>
      </c>
      <c r="Q557" s="119" t="s">
        <v>274</v>
      </c>
      <c r="R557" s="119" t="s">
        <v>275</v>
      </c>
      <c r="S557" s="119"/>
      <c r="T557" s="118" t="s">
        <v>155</v>
      </c>
      <c r="U557" s="119" t="s">
        <v>155</v>
      </c>
      <c r="V557" s="119" t="s">
        <v>155</v>
      </c>
      <c r="W557" s="119"/>
      <c r="X557" s="119" t="s">
        <v>243</v>
      </c>
      <c r="Y557" s="119" t="s">
        <v>276</v>
      </c>
      <c r="Z557" s="119" t="s">
        <v>277</v>
      </c>
      <c r="AA557" s="119" t="s">
        <v>277</v>
      </c>
      <c r="AB557" s="118" t="s">
        <v>278</v>
      </c>
      <c r="AC557" s="119" t="s">
        <v>279</v>
      </c>
      <c r="AD557" s="119" t="s">
        <v>279</v>
      </c>
      <c r="BG557" s="158"/>
    </row>
    <row r="558" spans="2:59" ht="25">
      <c r="B558" s="120" t="s">
        <v>242</v>
      </c>
      <c r="C558" s="141" t="s">
        <v>269</v>
      </c>
      <c r="D558" s="131" t="s">
        <v>270</v>
      </c>
      <c r="E558" s="142" t="s">
        <v>181</v>
      </c>
      <c r="F558" s="116" t="s">
        <v>182</v>
      </c>
      <c r="G558" s="132" t="s">
        <v>271</v>
      </c>
      <c r="H558" s="116" t="s">
        <v>183</v>
      </c>
      <c r="I558" s="132" t="s">
        <v>271</v>
      </c>
      <c r="J558" s="116" t="s">
        <v>183</v>
      </c>
      <c r="K558" s="116" t="s">
        <v>243</v>
      </c>
      <c r="L558" s="131" t="s">
        <v>280</v>
      </c>
      <c r="M558" s="116" t="s">
        <v>273</v>
      </c>
      <c r="N558" s="116"/>
      <c r="O558" s="116" t="s">
        <v>243</v>
      </c>
      <c r="P558" s="116" t="s">
        <v>155</v>
      </c>
      <c r="Q558" s="116" t="s">
        <v>183</v>
      </c>
      <c r="R558" s="116" t="s">
        <v>281</v>
      </c>
      <c r="S558" s="116"/>
      <c r="T558" s="131" t="s">
        <v>155</v>
      </c>
      <c r="U558" s="116" t="s">
        <v>155</v>
      </c>
      <c r="V558" s="116" t="s">
        <v>155</v>
      </c>
      <c r="W558" s="116"/>
      <c r="X558" s="116" t="s">
        <v>243</v>
      </c>
      <c r="Y558" s="116" t="s">
        <v>282</v>
      </c>
      <c r="Z558" s="116" t="s">
        <v>283</v>
      </c>
      <c r="AA558" s="116">
        <v>470195</v>
      </c>
      <c r="AB558" s="131" t="s">
        <v>282</v>
      </c>
      <c r="AC558" s="116">
        <v>470195</v>
      </c>
      <c r="AD558" s="116" t="s">
        <v>283</v>
      </c>
      <c r="BG558" s="158"/>
    </row>
    <row r="559" spans="2:59" ht="14">
      <c r="B559" s="120" t="s">
        <v>242</v>
      </c>
      <c r="C559" s="142" t="s">
        <v>476</v>
      </c>
      <c r="D559" s="121" t="s">
        <v>270</v>
      </c>
      <c r="E559" s="121" t="s">
        <v>270</v>
      </c>
      <c r="F559" s="121" t="s">
        <v>182</v>
      </c>
      <c r="G559" s="121" t="s">
        <v>271</v>
      </c>
      <c r="H559" s="121" t="s">
        <v>183</v>
      </c>
      <c r="I559" s="121" t="s">
        <v>271</v>
      </c>
      <c r="J559" s="121" t="s">
        <v>477</v>
      </c>
      <c r="K559" s="121" t="s">
        <v>243</v>
      </c>
      <c r="L559" s="121" t="s">
        <v>155</v>
      </c>
      <c r="M559" s="121" t="s">
        <v>273</v>
      </c>
      <c r="N559" s="121"/>
      <c r="O559" s="121" t="s">
        <v>182</v>
      </c>
      <c r="P559" s="121" t="s">
        <v>155</v>
      </c>
      <c r="Q559" s="121" t="s">
        <v>274</v>
      </c>
      <c r="R559" s="121" t="s">
        <v>478</v>
      </c>
      <c r="S559" s="121"/>
      <c r="T559" s="121" t="s">
        <v>479</v>
      </c>
      <c r="U559" s="121" t="s">
        <v>480</v>
      </c>
      <c r="V559" s="121" t="s">
        <v>481</v>
      </c>
      <c r="W559" s="121"/>
      <c r="X559" s="121" t="s">
        <v>243</v>
      </c>
      <c r="Y559" s="121" t="s">
        <v>276</v>
      </c>
      <c r="Z559" s="121" t="s">
        <v>277</v>
      </c>
      <c r="AA559" s="121" t="s">
        <v>277</v>
      </c>
      <c r="AB559" s="121" t="s">
        <v>482</v>
      </c>
      <c r="AC559" s="121">
        <v>375901</v>
      </c>
      <c r="AD559" s="121" t="s">
        <v>483</v>
      </c>
      <c r="BG559" s="158"/>
    </row>
    <row r="560" spans="2:59" ht="14">
      <c r="B560" s="120" t="s">
        <v>242</v>
      </c>
      <c r="C560" s="142" t="s">
        <v>490</v>
      </c>
      <c r="D560" s="121" t="s">
        <v>270</v>
      </c>
      <c r="E560" s="121" t="s">
        <v>270</v>
      </c>
      <c r="F560" s="121" t="s">
        <v>182</v>
      </c>
      <c r="G560" s="121" t="s">
        <v>271</v>
      </c>
      <c r="H560" s="121" t="s">
        <v>183</v>
      </c>
      <c r="I560" s="121" t="s">
        <v>271</v>
      </c>
      <c r="J560" s="121" t="s">
        <v>484</v>
      </c>
      <c r="K560" s="121" t="s">
        <v>243</v>
      </c>
      <c r="L560" s="121" t="s">
        <v>485</v>
      </c>
      <c r="M560" s="121" t="s">
        <v>273</v>
      </c>
      <c r="N560" s="121"/>
      <c r="O560" s="121" t="s">
        <v>271</v>
      </c>
      <c r="P560" s="121" t="s">
        <v>155</v>
      </c>
      <c r="Q560" s="121" t="s">
        <v>486</v>
      </c>
      <c r="R560" s="121" t="s">
        <v>275</v>
      </c>
      <c r="S560" s="121"/>
      <c r="T560" s="121" t="s">
        <v>155</v>
      </c>
      <c r="U560" s="121" t="s">
        <v>155</v>
      </c>
      <c r="V560" s="121" t="s">
        <v>155</v>
      </c>
      <c r="W560" s="121"/>
      <c r="X560" s="121" t="s">
        <v>243</v>
      </c>
      <c r="Y560" s="121" t="s">
        <v>487</v>
      </c>
      <c r="Z560" s="121" t="s">
        <v>277</v>
      </c>
      <c r="AA560" s="121" t="s">
        <v>277</v>
      </c>
      <c r="AB560" s="121" t="s">
        <v>488</v>
      </c>
      <c r="AC560" s="121" t="s">
        <v>489</v>
      </c>
      <c r="AD560" s="121" t="s">
        <v>489</v>
      </c>
      <c r="BG560" s="158"/>
    </row>
    <row r="561" spans="2:59" ht="14">
      <c r="B561" s="148"/>
      <c r="C561" s="149"/>
      <c r="D561" s="149"/>
      <c r="E561" s="149"/>
      <c r="F561" s="166"/>
      <c r="G561" s="166"/>
      <c r="H561" s="166"/>
      <c r="I561" s="166"/>
      <c r="J561" s="166"/>
      <c r="M561" s="166"/>
      <c r="N561" s="165"/>
      <c r="O561" s="166"/>
      <c r="P561" s="166"/>
      <c r="Q561" s="166"/>
      <c r="R561" s="166"/>
      <c r="S561" s="166"/>
      <c r="T561" s="166"/>
      <c r="U561" s="166"/>
      <c r="V561" s="165"/>
      <c r="W561" s="166"/>
      <c r="X561" s="166"/>
      <c r="Y561" s="166"/>
      <c r="Z561" s="166"/>
      <c r="AA561" s="166"/>
      <c r="AB561" s="166"/>
      <c r="AC561" s="166"/>
      <c r="AD561" s="165"/>
      <c r="AE561" s="166"/>
      <c r="AF561" s="166"/>
      <c r="BG561" s="158"/>
    </row>
    <row r="562" spans="2:59" ht="14">
      <c r="B562" s="148"/>
      <c r="C562" s="149"/>
      <c r="D562" s="149"/>
      <c r="E562" s="149"/>
      <c r="F562" s="166"/>
      <c r="G562" s="166"/>
      <c r="H562" s="166"/>
      <c r="I562" s="166"/>
      <c r="J562" s="166"/>
      <c r="M562" s="166"/>
      <c r="N562" s="165"/>
      <c r="O562" s="166"/>
      <c r="P562" s="166"/>
      <c r="Q562" s="166"/>
      <c r="R562" s="166"/>
      <c r="S562" s="166"/>
      <c r="T562" s="166"/>
      <c r="U562" s="166"/>
      <c r="V562" s="165"/>
      <c r="W562" s="166"/>
      <c r="X562" s="166"/>
      <c r="Y562" s="166"/>
      <c r="Z562" s="166"/>
      <c r="AA562" s="166"/>
      <c r="AB562" s="166"/>
      <c r="AC562" s="166"/>
      <c r="AD562" s="165"/>
      <c r="AE562" s="166"/>
      <c r="AF562" s="166"/>
      <c r="BG562" s="158"/>
    </row>
    <row r="563" spans="2:59" ht="14">
      <c r="B563" s="148"/>
      <c r="C563" s="149"/>
      <c r="D563" s="149"/>
      <c r="E563" s="149"/>
      <c r="F563" s="166"/>
      <c r="G563" s="166"/>
      <c r="H563" s="166"/>
      <c r="I563" s="166"/>
      <c r="J563" s="166"/>
      <c r="M563" s="166"/>
      <c r="N563" s="165"/>
      <c r="O563" s="166"/>
      <c r="P563" s="166"/>
      <c r="Q563" s="166"/>
      <c r="R563" s="166"/>
      <c r="S563" s="166"/>
      <c r="T563" s="166"/>
      <c r="U563" s="166"/>
      <c r="V563" s="165"/>
      <c r="W563" s="166"/>
      <c r="X563" s="166"/>
      <c r="Y563" s="166"/>
      <c r="Z563" s="166"/>
      <c r="AA563" s="166"/>
      <c r="AB563" s="166"/>
      <c r="AC563" s="166"/>
      <c r="AD563" s="165"/>
      <c r="AE563" s="166"/>
      <c r="AF563" s="166"/>
      <c r="BG563" s="158"/>
    </row>
    <row r="564" spans="2:59" ht="13.5">
      <c r="B564" s="106"/>
      <c r="C564" s="161"/>
      <c r="D564" s="161"/>
      <c r="E564" s="161"/>
      <c r="F564" s="161"/>
      <c r="G564" s="161"/>
      <c r="H564" s="161"/>
      <c r="I564" s="161"/>
      <c r="J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BG564" s="158"/>
    </row>
    <row r="565" spans="2:59" ht="15">
      <c r="B565" s="106"/>
      <c r="C565" s="265" t="s">
        <v>321</v>
      </c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90"/>
      <c r="V565" s="90"/>
      <c r="W565" s="90"/>
      <c r="X565" s="90"/>
      <c r="Y565" s="90"/>
      <c r="Z565" s="90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2"/>
      <c r="AQ565" s="92"/>
      <c r="AR565" s="92"/>
      <c r="AS565" s="92"/>
      <c r="AT565" s="92"/>
      <c r="AU565" s="92"/>
      <c r="AV565" s="92"/>
      <c r="AW565" s="92"/>
      <c r="AX565" s="92"/>
      <c r="AY565" s="92"/>
      <c r="AZ565" s="92"/>
      <c r="BA565" s="92"/>
      <c r="BB565" s="92"/>
      <c r="BC565" s="92"/>
      <c r="BD565" s="92"/>
      <c r="BE565" s="92"/>
      <c r="BF565" s="92"/>
      <c r="BG565" s="158"/>
    </row>
    <row r="566" spans="2:59" ht="15">
      <c r="B566" s="106"/>
      <c r="C566" s="127"/>
      <c r="D566" s="127"/>
      <c r="E566" s="127"/>
      <c r="F566" s="124" t="s">
        <v>168</v>
      </c>
      <c r="G566" s="124" t="s">
        <v>168</v>
      </c>
      <c r="H566" s="129" t="s">
        <v>168</v>
      </c>
      <c r="I566" s="124" t="s">
        <v>168</v>
      </c>
      <c r="J566" s="124" t="s">
        <v>168</v>
      </c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30"/>
      <c r="AB566" s="130"/>
      <c r="AC566" s="130"/>
      <c r="AD566" s="130"/>
      <c r="AE566" s="130"/>
      <c r="AF566" s="130"/>
      <c r="AG566" s="130"/>
      <c r="AH566" s="130"/>
      <c r="AI566" s="130"/>
      <c r="AJ566" s="130"/>
      <c r="AK566" s="130"/>
      <c r="AL566" s="130"/>
      <c r="AM566" s="130"/>
      <c r="AN566" s="130"/>
      <c r="AO566" s="130"/>
      <c r="AP566" s="130"/>
      <c r="AQ566" s="130"/>
      <c r="AR566" s="130"/>
      <c r="AS566" s="130"/>
      <c r="AT566" s="130"/>
      <c r="AU566" s="130"/>
      <c r="AV566" s="130"/>
      <c r="AW566" s="130"/>
      <c r="AX566" s="130"/>
      <c r="AY566" s="130"/>
      <c r="AZ566" s="130"/>
      <c r="BA566" s="130"/>
      <c r="BB566" s="130"/>
      <c r="BC566" s="130"/>
      <c r="BD566" s="130"/>
      <c r="BE566" s="130"/>
      <c r="BF566" s="130"/>
      <c r="BG566" s="158"/>
    </row>
    <row r="567" spans="2:59" ht="25">
      <c r="B567" s="106"/>
      <c r="C567" s="117" t="s">
        <v>365</v>
      </c>
      <c r="D567" s="117" t="s">
        <v>420</v>
      </c>
      <c r="E567" s="117" t="s">
        <v>421</v>
      </c>
      <c r="F567" s="119" t="s">
        <v>96</v>
      </c>
      <c r="G567" s="119" t="s">
        <v>99</v>
      </c>
      <c r="H567" s="119" t="s">
        <v>130</v>
      </c>
      <c r="I567" s="119" t="s">
        <v>391</v>
      </c>
      <c r="J567" s="119" t="s">
        <v>127</v>
      </c>
      <c r="K567" s="119" t="s">
        <v>67</v>
      </c>
      <c r="L567" s="119" t="s">
        <v>288</v>
      </c>
      <c r="M567" s="119" t="s">
        <v>366</v>
      </c>
      <c r="N567" s="119" t="s">
        <v>367</v>
      </c>
      <c r="O567" s="119" t="s">
        <v>368</v>
      </c>
      <c r="P567" s="119" t="s">
        <v>369</v>
      </c>
      <c r="Q567" s="119" t="s">
        <v>370</v>
      </c>
      <c r="R567" s="119" t="s">
        <v>371</v>
      </c>
      <c r="S567" s="119" t="s">
        <v>372</v>
      </c>
      <c r="T567" s="119" t="s">
        <v>373</v>
      </c>
      <c r="U567" s="119" t="s">
        <v>374</v>
      </c>
      <c r="V567" s="119" t="s">
        <v>375</v>
      </c>
      <c r="W567" s="119" t="s">
        <v>376</v>
      </c>
      <c r="X567" s="119" t="s">
        <v>377</v>
      </c>
      <c r="Y567" s="119" t="s">
        <v>378</v>
      </c>
      <c r="Z567" s="119" t="s">
        <v>379</v>
      </c>
      <c r="AA567" s="119" t="s">
        <v>380</v>
      </c>
      <c r="AB567" s="119" t="s">
        <v>381</v>
      </c>
      <c r="AC567" s="119" t="s">
        <v>382</v>
      </c>
      <c r="AD567" s="119" t="s">
        <v>383</v>
      </c>
      <c r="AE567" s="119" t="s">
        <v>384</v>
      </c>
      <c r="AF567" s="119" t="s">
        <v>385</v>
      </c>
      <c r="AG567" s="119" t="s">
        <v>386</v>
      </c>
      <c r="AH567" s="119" t="s">
        <v>387</v>
      </c>
      <c r="AI567" s="119" t="s">
        <v>388</v>
      </c>
      <c r="AJ567" s="119" t="s">
        <v>390</v>
      </c>
      <c r="AK567" s="119" t="s">
        <v>389</v>
      </c>
      <c r="AL567" s="119" t="s">
        <v>398</v>
      </c>
      <c r="AM567" s="119" t="s">
        <v>392</v>
      </c>
      <c r="AN567" s="119" t="s">
        <v>393</v>
      </c>
      <c r="AO567" s="119" t="s">
        <v>394</v>
      </c>
      <c r="AP567" s="119" t="s">
        <v>395</v>
      </c>
      <c r="AQ567" s="119" t="s">
        <v>399</v>
      </c>
      <c r="AR567" s="119" t="s">
        <v>396</v>
      </c>
      <c r="AS567" s="119" t="s">
        <v>397</v>
      </c>
      <c r="AT567" s="119" t="s">
        <v>400</v>
      </c>
      <c r="AU567" s="119" t="s">
        <v>401</v>
      </c>
      <c r="AV567" s="119" t="s">
        <v>402</v>
      </c>
      <c r="AW567" s="119" t="s">
        <v>403</v>
      </c>
      <c r="AX567" s="119" t="s">
        <v>404</v>
      </c>
      <c r="AY567" s="119" t="s">
        <v>405</v>
      </c>
      <c r="AZ567" s="119" t="s">
        <v>229</v>
      </c>
      <c r="BA567" s="119" t="s">
        <v>230</v>
      </c>
      <c r="BB567" s="119" t="s">
        <v>231</v>
      </c>
      <c r="BC567" s="119" t="s">
        <v>232</v>
      </c>
      <c r="BD567" s="119" t="s">
        <v>150</v>
      </c>
      <c r="BE567" s="119" t="s">
        <v>151</v>
      </c>
      <c r="BF567" s="119" t="s">
        <v>519</v>
      </c>
      <c r="BG567" s="158"/>
    </row>
    <row r="568" spans="2:59">
      <c r="B568" s="163"/>
      <c r="C568" s="117" t="s">
        <v>205</v>
      </c>
      <c r="D568" s="117" t="s">
        <v>214</v>
      </c>
      <c r="E568" s="117" t="s">
        <v>222</v>
      </c>
      <c r="F568" s="118" t="s">
        <v>322</v>
      </c>
      <c r="G568" s="118" t="s">
        <v>323</v>
      </c>
      <c r="H568" s="118" t="s">
        <v>324</v>
      </c>
      <c r="I568" s="118" t="s">
        <v>351</v>
      </c>
      <c r="J568" s="118" t="s">
        <v>357</v>
      </c>
      <c r="K568" s="118" t="s">
        <v>251</v>
      </c>
      <c r="L568" s="118" t="s">
        <v>252</v>
      </c>
      <c r="M568" s="118" t="s">
        <v>325</v>
      </c>
      <c r="N568" s="118" t="s">
        <v>326</v>
      </c>
      <c r="O568" s="118" t="s">
        <v>327</v>
      </c>
      <c r="P568" s="118" t="s">
        <v>328</v>
      </c>
      <c r="Q568" s="118" t="s">
        <v>329</v>
      </c>
      <c r="R568" s="118" t="s">
        <v>330</v>
      </c>
      <c r="S568" s="118" t="s">
        <v>331</v>
      </c>
      <c r="T568" s="118" t="s">
        <v>332</v>
      </c>
      <c r="U568" s="118" t="s">
        <v>333</v>
      </c>
      <c r="V568" s="118" t="s">
        <v>334</v>
      </c>
      <c r="W568" s="118" t="s">
        <v>335</v>
      </c>
      <c r="X568" s="118" t="s">
        <v>336</v>
      </c>
      <c r="Y568" s="118" t="s">
        <v>337</v>
      </c>
      <c r="Z568" s="118" t="s">
        <v>338</v>
      </c>
      <c r="AA568" s="118" t="s">
        <v>339</v>
      </c>
      <c r="AB568" s="118" t="s">
        <v>340</v>
      </c>
      <c r="AC568" s="118" t="s">
        <v>341</v>
      </c>
      <c r="AD568" s="118" t="s">
        <v>342</v>
      </c>
      <c r="AE568" s="118" t="s">
        <v>343</v>
      </c>
      <c r="AF568" s="118" t="s">
        <v>344</v>
      </c>
      <c r="AG568" s="118" t="s">
        <v>345</v>
      </c>
      <c r="AH568" s="118" t="s">
        <v>346</v>
      </c>
      <c r="AI568" s="118" t="s">
        <v>347</v>
      </c>
      <c r="AJ568" s="118" t="s">
        <v>348</v>
      </c>
      <c r="AK568" s="118" t="s">
        <v>349</v>
      </c>
      <c r="AL568" s="118" t="s">
        <v>350</v>
      </c>
      <c r="AM568" s="118" t="s">
        <v>352</v>
      </c>
      <c r="AN568" s="118" t="s">
        <v>353</v>
      </c>
      <c r="AO568" s="118" t="s">
        <v>354</v>
      </c>
      <c r="AP568" s="118" t="s">
        <v>234</v>
      </c>
      <c r="AQ568" s="118" t="s">
        <v>355</v>
      </c>
      <c r="AR568" s="118" t="s">
        <v>356</v>
      </c>
      <c r="AS568" s="118" t="s">
        <v>358</v>
      </c>
      <c r="AT568" s="118" t="s">
        <v>359</v>
      </c>
      <c r="AU568" s="118" t="s">
        <v>360</v>
      </c>
      <c r="AV568" s="118" t="s">
        <v>361</v>
      </c>
      <c r="AW568" s="118" t="s">
        <v>362</v>
      </c>
      <c r="AX568" s="118" t="s">
        <v>363</v>
      </c>
      <c r="AY568" s="118" t="s">
        <v>364</v>
      </c>
      <c r="AZ568" s="118" t="s">
        <v>235</v>
      </c>
      <c r="BA568" s="118" t="s">
        <v>236</v>
      </c>
      <c r="BB568" s="118" t="s">
        <v>237</v>
      </c>
      <c r="BC568" s="118" t="s">
        <v>238</v>
      </c>
      <c r="BD568" s="118" t="s">
        <v>239</v>
      </c>
      <c r="BE568" s="118" t="s">
        <v>240</v>
      </c>
      <c r="BF568" s="118" t="s">
        <v>241</v>
      </c>
      <c r="BG568" s="158"/>
    </row>
    <row r="569" spans="2:59">
      <c r="B569" s="163"/>
      <c r="C569" s="117" t="s">
        <v>304</v>
      </c>
      <c r="D569" s="117" t="s">
        <v>406</v>
      </c>
      <c r="E569" s="117" t="s">
        <v>305</v>
      </c>
      <c r="F569" s="131" t="s">
        <v>306</v>
      </c>
      <c r="G569" s="131" t="s">
        <v>306</v>
      </c>
      <c r="H569" s="131" t="s">
        <v>306</v>
      </c>
      <c r="I569" s="131" t="s">
        <v>306</v>
      </c>
      <c r="J569" s="131" t="s">
        <v>308</v>
      </c>
      <c r="K569" s="131" t="s">
        <v>306</v>
      </c>
      <c r="L569" s="131" t="s">
        <v>306</v>
      </c>
      <c r="M569" s="131" t="s">
        <v>407</v>
      </c>
      <c r="N569" s="131" t="s">
        <v>407</v>
      </c>
      <c r="O569" s="131" t="s">
        <v>305</v>
      </c>
      <c r="P569" s="131" t="s">
        <v>408</v>
      </c>
      <c r="Q569" s="131" t="s">
        <v>306</v>
      </c>
      <c r="R569" s="131" t="s">
        <v>313</v>
      </c>
      <c r="S569" s="131" t="s">
        <v>308</v>
      </c>
      <c r="T569" s="131" t="s">
        <v>313</v>
      </c>
      <c r="U569" s="131" t="s">
        <v>308</v>
      </c>
      <c r="V569" s="131" t="s">
        <v>308</v>
      </c>
      <c r="W569" s="131" t="s">
        <v>306</v>
      </c>
      <c r="X569" s="131" t="s">
        <v>409</v>
      </c>
      <c r="Y569" s="131" t="s">
        <v>409</v>
      </c>
      <c r="Z569" s="131" t="s">
        <v>310</v>
      </c>
      <c r="AA569" s="131" t="s">
        <v>408</v>
      </c>
      <c r="AB569" s="131" t="s">
        <v>408</v>
      </c>
      <c r="AC569" s="131" t="s">
        <v>308</v>
      </c>
      <c r="AD569" s="131" t="s">
        <v>312</v>
      </c>
      <c r="AE569" s="131" t="s">
        <v>313</v>
      </c>
      <c r="AF569" s="131" t="s">
        <v>313</v>
      </c>
      <c r="AG569" s="131" t="s">
        <v>410</v>
      </c>
      <c r="AH569" s="131" t="s">
        <v>410</v>
      </c>
      <c r="AI569" s="131" t="s">
        <v>313</v>
      </c>
      <c r="AJ569" s="131" t="s">
        <v>313</v>
      </c>
      <c r="AK569" s="131" t="s">
        <v>410</v>
      </c>
      <c r="AL569" s="131" t="s">
        <v>410</v>
      </c>
      <c r="AM569" s="131" t="s">
        <v>306</v>
      </c>
      <c r="AN569" s="131" t="s">
        <v>306</v>
      </c>
      <c r="AO569" s="131" t="s">
        <v>306</v>
      </c>
      <c r="AP569" s="131" t="s">
        <v>310</v>
      </c>
      <c r="AQ569" s="131" t="s">
        <v>305</v>
      </c>
      <c r="AR569" s="131" t="s">
        <v>306</v>
      </c>
      <c r="AS569" s="131" t="s">
        <v>308</v>
      </c>
      <c r="AT569" s="131" t="s">
        <v>306</v>
      </c>
      <c r="AU569" s="131" t="s">
        <v>411</v>
      </c>
      <c r="AV569" s="131" t="s">
        <v>313</v>
      </c>
      <c r="AW569" s="131" t="s">
        <v>310</v>
      </c>
      <c r="AX569" s="131" t="s">
        <v>306</v>
      </c>
      <c r="AY569" s="131" t="s">
        <v>306</v>
      </c>
      <c r="AZ569" s="131" t="s">
        <v>317</v>
      </c>
      <c r="BA569" s="131" t="s">
        <v>318</v>
      </c>
      <c r="BB569" s="131" t="s">
        <v>320</v>
      </c>
      <c r="BC569" s="131" t="s">
        <v>320</v>
      </c>
      <c r="BD569" s="131" t="s">
        <v>318</v>
      </c>
      <c r="BE569" s="131" t="s">
        <v>320</v>
      </c>
      <c r="BF569" s="131" t="s">
        <v>320</v>
      </c>
      <c r="BG569" s="158"/>
    </row>
    <row r="570" spans="2:59" ht="15">
      <c r="B570" s="122" t="s">
        <v>244</v>
      </c>
      <c r="C570" s="132" t="s">
        <v>269</v>
      </c>
      <c r="D570" s="132" t="s">
        <v>270</v>
      </c>
      <c r="E570" s="132" t="s">
        <v>270</v>
      </c>
      <c r="F570" s="133" t="s">
        <v>286</v>
      </c>
      <c r="G570" s="132" t="s">
        <v>243</v>
      </c>
      <c r="H570" s="132" t="s">
        <v>243</v>
      </c>
      <c r="I570" s="135">
        <v>1</v>
      </c>
      <c r="J570" s="136">
        <v>0</v>
      </c>
      <c r="K570" s="132" t="s">
        <v>271</v>
      </c>
      <c r="L570" s="132" t="s">
        <v>271</v>
      </c>
      <c r="M570" s="132" t="s">
        <v>155</v>
      </c>
      <c r="N570" s="132" t="s">
        <v>155</v>
      </c>
      <c r="O570" s="132" t="s">
        <v>155</v>
      </c>
      <c r="P570" s="132" t="s">
        <v>155</v>
      </c>
      <c r="Q570" s="134" t="s">
        <v>412</v>
      </c>
      <c r="R570" s="132" t="s">
        <v>243</v>
      </c>
      <c r="S570" s="132" t="s">
        <v>243</v>
      </c>
      <c r="T570" s="132" t="s">
        <v>413</v>
      </c>
      <c r="U570" s="132" t="s">
        <v>414</v>
      </c>
      <c r="V570" s="132" t="s">
        <v>182</v>
      </c>
      <c r="W570" s="132" t="s">
        <v>182</v>
      </c>
      <c r="X570" s="132" t="s">
        <v>243</v>
      </c>
      <c r="Y570" s="132" t="s">
        <v>243</v>
      </c>
      <c r="Z570" s="132"/>
      <c r="AA570" s="135"/>
      <c r="AB570" s="135" t="s">
        <v>155</v>
      </c>
      <c r="AC570" s="135">
        <v>1</v>
      </c>
      <c r="AD570" s="135">
        <v>99999999</v>
      </c>
      <c r="AE570" s="132" t="s">
        <v>243</v>
      </c>
      <c r="AF570" s="132" t="s">
        <v>243</v>
      </c>
      <c r="AG570" s="132" t="s">
        <v>243</v>
      </c>
      <c r="AH570" s="132" t="s">
        <v>243</v>
      </c>
      <c r="AI570" s="135">
        <v>0</v>
      </c>
      <c r="AJ570" s="135">
        <v>0</v>
      </c>
      <c r="AK570" s="135">
        <v>0</v>
      </c>
      <c r="AL570" s="135">
        <v>0</v>
      </c>
      <c r="AM570" s="132" t="s">
        <v>182</v>
      </c>
      <c r="AN570" s="135">
        <v>0</v>
      </c>
      <c r="AO570" s="132" t="s">
        <v>243</v>
      </c>
      <c r="AP570" s="135">
        <v>1</v>
      </c>
      <c r="AQ570" s="136" t="s">
        <v>155</v>
      </c>
      <c r="AR570" s="136" t="s">
        <v>415</v>
      </c>
      <c r="AS570" s="136">
        <v>0</v>
      </c>
      <c r="AT570" s="136">
        <v>1</v>
      </c>
      <c r="AU570" s="136">
        <v>0</v>
      </c>
      <c r="AV570" s="136">
        <v>0</v>
      </c>
      <c r="AW570" s="136">
        <v>0</v>
      </c>
      <c r="AX570" s="136">
        <v>0</v>
      </c>
      <c r="AY570" s="136">
        <v>1</v>
      </c>
      <c r="AZ570" s="136">
        <v>0</v>
      </c>
      <c r="BA570" s="137">
        <v>29705</v>
      </c>
      <c r="BB570" s="136" t="s">
        <v>277</v>
      </c>
      <c r="BC570" s="136" t="s">
        <v>277</v>
      </c>
      <c r="BD570" s="137">
        <v>36413</v>
      </c>
      <c r="BE570" s="136" t="s">
        <v>277</v>
      </c>
      <c r="BF570" s="136" t="s">
        <v>277</v>
      </c>
      <c r="BG570" s="158"/>
    </row>
    <row r="571" spans="2:59" ht="15">
      <c r="B571" s="120" t="s">
        <v>242</v>
      </c>
      <c r="C571" s="132" t="s">
        <v>269</v>
      </c>
      <c r="D571" s="132" t="s">
        <v>270</v>
      </c>
      <c r="E571" s="142" t="s">
        <v>181</v>
      </c>
      <c r="F571" s="133" t="s">
        <v>184</v>
      </c>
      <c r="G571" s="132" t="s">
        <v>243</v>
      </c>
      <c r="H571" s="132" t="s">
        <v>243</v>
      </c>
      <c r="I571" s="135">
        <v>0</v>
      </c>
      <c r="J571" s="136">
        <v>30</v>
      </c>
      <c r="K571" s="132" t="s">
        <v>271</v>
      </c>
      <c r="L571" s="132" t="s">
        <v>271</v>
      </c>
      <c r="M571" s="132" t="s">
        <v>155</v>
      </c>
      <c r="N571" s="132" t="s">
        <v>155</v>
      </c>
      <c r="O571" s="132" t="s">
        <v>416</v>
      </c>
      <c r="P571" s="132" t="s">
        <v>155</v>
      </c>
      <c r="Q571" s="134" t="s">
        <v>417</v>
      </c>
      <c r="R571" s="132" t="s">
        <v>182</v>
      </c>
      <c r="S571" s="132" t="s">
        <v>243</v>
      </c>
      <c r="T571" s="132" t="s">
        <v>413</v>
      </c>
      <c r="U571" s="132" t="s">
        <v>414</v>
      </c>
      <c r="V571" s="132" t="s">
        <v>418</v>
      </c>
      <c r="W571" s="132" t="s">
        <v>182</v>
      </c>
      <c r="X571" s="132" t="s">
        <v>243</v>
      </c>
      <c r="Y571" s="132" t="s">
        <v>243</v>
      </c>
      <c r="Z571" s="132"/>
      <c r="AA571" s="135"/>
      <c r="AB571" s="135" t="s">
        <v>419</v>
      </c>
      <c r="AC571" s="138">
        <v>5000</v>
      </c>
      <c r="AD571" s="135">
        <v>99999999</v>
      </c>
      <c r="AE571" s="132" t="s">
        <v>243</v>
      </c>
      <c r="AF571" s="132" t="s">
        <v>271</v>
      </c>
      <c r="AG571" s="132" t="s">
        <v>243</v>
      </c>
      <c r="AH571" s="132" t="s">
        <v>243</v>
      </c>
      <c r="AI571" s="135">
        <v>0</v>
      </c>
      <c r="AJ571" s="135">
        <v>0</v>
      </c>
      <c r="AK571" s="135">
        <v>0</v>
      </c>
      <c r="AL571" s="135">
        <v>0</v>
      </c>
      <c r="AM571" s="132" t="s">
        <v>182</v>
      </c>
      <c r="AN571" s="135">
        <v>0</v>
      </c>
      <c r="AO571" s="132" t="s">
        <v>243</v>
      </c>
      <c r="AP571" s="135">
        <v>1</v>
      </c>
      <c r="AQ571" s="136">
        <v>1111</v>
      </c>
      <c r="AR571" s="136" t="s">
        <v>415</v>
      </c>
      <c r="AS571" s="136">
        <v>10</v>
      </c>
      <c r="AT571" s="136">
        <v>1</v>
      </c>
      <c r="AU571" s="136">
        <v>0</v>
      </c>
      <c r="AV571" s="136">
        <v>0</v>
      </c>
      <c r="AW571" s="136">
        <v>0</v>
      </c>
      <c r="AX571" s="136">
        <v>0</v>
      </c>
      <c r="AY571" s="136">
        <v>1</v>
      </c>
      <c r="AZ571" s="136">
        <v>0</v>
      </c>
      <c r="BA571" s="137">
        <v>40640.750486111108</v>
      </c>
      <c r="BB571" s="136">
        <v>470195</v>
      </c>
      <c r="BC571" s="136">
        <v>470195</v>
      </c>
      <c r="BD571" s="137">
        <v>45392.67769675926</v>
      </c>
      <c r="BE571" s="136">
        <v>363363</v>
      </c>
      <c r="BF571" s="136">
        <v>363363</v>
      </c>
      <c r="BG571" s="158"/>
    </row>
    <row r="572" spans="2:59" ht="14">
      <c r="B572" s="120" t="s">
        <v>242</v>
      </c>
      <c r="C572" s="142" t="s">
        <v>476</v>
      </c>
      <c r="D572" s="132" t="s">
        <v>270</v>
      </c>
      <c r="E572" s="132" t="s">
        <v>270</v>
      </c>
      <c r="F572" s="132" t="s">
        <v>286</v>
      </c>
      <c r="G572" s="132" t="s">
        <v>243</v>
      </c>
      <c r="H572" s="132" t="s">
        <v>243</v>
      </c>
      <c r="I572" s="132">
        <v>1</v>
      </c>
      <c r="J572" s="132">
        <v>0</v>
      </c>
      <c r="K572" s="132" t="s">
        <v>271</v>
      </c>
      <c r="L572" s="132" t="s">
        <v>271</v>
      </c>
      <c r="M572" s="132" t="s">
        <v>155</v>
      </c>
      <c r="N572" s="132" t="s">
        <v>155</v>
      </c>
      <c r="O572" s="132" t="s">
        <v>155</v>
      </c>
      <c r="P572" s="132" t="s">
        <v>155</v>
      </c>
      <c r="Q572" s="132" t="s">
        <v>412</v>
      </c>
      <c r="R572" s="132" t="s">
        <v>243</v>
      </c>
      <c r="S572" s="132" t="s">
        <v>243</v>
      </c>
      <c r="T572" s="132" t="s">
        <v>413</v>
      </c>
      <c r="U572" s="132" t="s">
        <v>414</v>
      </c>
      <c r="V572" s="132" t="s">
        <v>182</v>
      </c>
      <c r="W572" s="132" t="s">
        <v>182</v>
      </c>
      <c r="X572" s="132" t="s">
        <v>243</v>
      </c>
      <c r="Y572" s="132" t="s">
        <v>243</v>
      </c>
      <c r="Z572" s="132"/>
      <c r="AA572" s="132"/>
      <c r="AB572" s="132" t="s">
        <v>155</v>
      </c>
      <c r="AC572" s="132">
        <v>1</v>
      </c>
      <c r="AD572" s="132">
        <v>99999999</v>
      </c>
      <c r="AE572" s="132">
        <v>0</v>
      </c>
      <c r="AF572" s="132">
        <v>0</v>
      </c>
      <c r="AG572" s="132">
        <v>0</v>
      </c>
      <c r="AH572" s="132">
        <v>0</v>
      </c>
      <c r="AI572" s="132">
        <v>0</v>
      </c>
      <c r="AJ572" s="132">
        <v>0</v>
      </c>
      <c r="AK572" s="132">
        <v>0</v>
      </c>
      <c r="AL572" s="132">
        <v>0</v>
      </c>
      <c r="AM572" s="132">
        <v>1</v>
      </c>
      <c r="AN572" s="132">
        <v>0</v>
      </c>
      <c r="AO572" s="132">
        <v>0</v>
      </c>
      <c r="AP572" s="132">
        <v>1</v>
      </c>
      <c r="AQ572" s="132" t="s">
        <v>155</v>
      </c>
      <c r="AR572" s="132" t="s">
        <v>415</v>
      </c>
      <c r="AS572" s="132">
        <v>0</v>
      </c>
      <c r="AT572" s="132">
        <v>1</v>
      </c>
      <c r="AU572" s="132">
        <v>0</v>
      </c>
      <c r="AV572" s="132">
        <v>0</v>
      </c>
      <c r="AW572" s="132">
        <v>0</v>
      </c>
      <c r="AX572" s="132">
        <v>0</v>
      </c>
      <c r="AY572" s="132">
        <v>1</v>
      </c>
      <c r="AZ572" s="132">
        <v>0</v>
      </c>
      <c r="BA572" s="132">
        <v>29705</v>
      </c>
      <c r="BB572" s="132" t="s">
        <v>277</v>
      </c>
      <c r="BC572" s="132" t="s">
        <v>277</v>
      </c>
      <c r="BD572" s="132">
        <v>39993.705960648149</v>
      </c>
      <c r="BE572" s="132">
        <v>375901</v>
      </c>
      <c r="BF572" s="132">
        <v>375901</v>
      </c>
      <c r="BG572" s="158"/>
    </row>
    <row r="573" spans="2:59" ht="14">
      <c r="B573" s="120" t="s">
        <v>242</v>
      </c>
      <c r="C573" s="142" t="s">
        <v>490</v>
      </c>
      <c r="D573" s="132" t="s">
        <v>270</v>
      </c>
      <c r="E573" s="132" t="s">
        <v>270</v>
      </c>
      <c r="F573" s="132" t="s">
        <v>286</v>
      </c>
      <c r="G573" s="132" t="s">
        <v>243</v>
      </c>
      <c r="H573" s="132" t="s">
        <v>243</v>
      </c>
      <c r="I573" s="132">
        <v>1</v>
      </c>
      <c r="J573" s="132">
        <v>0</v>
      </c>
      <c r="K573" s="132" t="s">
        <v>271</v>
      </c>
      <c r="L573" s="132" t="s">
        <v>271</v>
      </c>
      <c r="M573" s="132" t="s">
        <v>155</v>
      </c>
      <c r="N573" s="132" t="s">
        <v>155</v>
      </c>
      <c r="O573" s="132" t="s">
        <v>155</v>
      </c>
      <c r="P573" s="132" t="s">
        <v>155</v>
      </c>
      <c r="Q573" s="132" t="s">
        <v>412</v>
      </c>
      <c r="R573" s="132" t="s">
        <v>243</v>
      </c>
      <c r="S573" s="132" t="s">
        <v>243</v>
      </c>
      <c r="T573" s="132" t="s">
        <v>413</v>
      </c>
      <c r="U573" s="132" t="s">
        <v>414</v>
      </c>
      <c r="V573" s="132" t="s">
        <v>182</v>
      </c>
      <c r="W573" s="132" t="s">
        <v>182</v>
      </c>
      <c r="X573" s="132" t="s">
        <v>243</v>
      </c>
      <c r="Y573" s="132" t="s">
        <v>243</v>
      </c>
      <c r="Z573" s="132"/>
      <c r="AA573" s="132"/>
      <c r="AB573" s="132" t="s">
        <v>155</v>
      </c>
      <c r="AC573" s="132">
        <v>1</v>
      </c>
      <c r="AD573" s="132">
        <v>99999999</v>
      </c>
      <c r="AE573" s="132">
        <v>0</v>
      </c>
      <c r="AF573" s="132">
        <v>0</v>
      </c>
      <c r="AG573" s="132">
        <v>0</v>
      </c>
      <c r="AH573" s="132">
        <v>0</v>
      </c>
      <c r="AI573" s="132">
        <v>0</v>
      </c>
      <c r="AJ573" s="132">
        <v>0</v>
      </c>
      <c r="AK573" s="132">
        <v>0</v>
      </c>
      <c r="AL573" s="132">
        <v>0</v>
      </c>
      <c r="AM573" s="132">
        <v>1</v>
      </c>
      <c r="AN573" s="132">
        <v>0</v>
      </c>
      <c r="AO573" s="132">
        <v>0</v>
      </c>
      <c r="AP573" s="132">
        <v>1</v>
      </c>
      <c r="AQ573" s="132" t="s">
        <v>155</v>
      </c>
      <c r="AR573" s="132" t="s">
        <v>415</v>
      </c>
      <c r="AS573" s="132">
        <v>0</v>
      </c>
      <c r="AT573" s="132">
        <v>1</v>
      </c>
      <c r="AU573" s="132">
        <v>0</v>
      </c>
      <c r="AV573" s="132">
        <v>0</v>
      </c>
      <c r="AW573" s="132">
        <v>0</v>
      </c>
      <c r="AX573" s="132">
        <v>0</v>
      </c>
      <c r="AY573" s="132">
        <v>1</v>
      </c>
      <c r="AZ573" s="132">
        <v>0</v>
      </c>
      <c r="BA573" s="132">
        <v>31819</v>
      </c>
      <c r="BB573" s="132" t="s">
        <v>277</v>
      </c>
      <c r="BC573" s="132" t="s">
        <v>277</v>
      </c>
      <c r="BD573" s="132">
        <v>45636.056898148148</v>
      </c>
      <c r="BE573" s="132" t="s">
        <v>474</v>
      </c>
      <c r="BF573" s="132" t="s">
        <v>474</v>
      </c>
      <c r="BG573" s="158"/>
    </row>
    <row r="574" spans="2:59">
      <c r="B574" s="163"/>
      <c r="BG574" s="158"/>
    </row>
    <row r="575" spans="2:59" ht="14.5" thickBot="1">
      <c r="B575" s="163"/>
      <c r="C575" s="164" t="s">
        <v>152</v>
      </c>
      <c r="BG575" s="158"/>
    </row>
    <row r="576" spans="2:59" ht="14.5" thickBot="1">
      <c r="B576" s="163"/>
      <c r="C576" s="233" t="s">
        <v>422</v>
      </c>
      <c r="D576" s="233" t="s">
        <v>423</v>
      </c>
      <c r="E576" s="233" t="s">
        <v>158</v>
      </c>
      <c r="F576" s="233" t="s">
        <v>424</v>
      </c>
      <c r="G576" s="233" t="s">
        <v>425</v>
      </c>
      <c r="H576" s="233" t="s">
        <v>426</v>
      </c>
      <c r="I576" s="233" t="s">
        <v>427</v>
      </c>
      <c r="J576" s="233" t="s">
        <v>428</v>
      </c>
      <c r="K576" s="233" t="s">
        <v>429</v>
      </c>
      <c r="L576" s="233" t="s">
        <v>430</v>
      </c>
      <c r="M576" s="233" t="s">
        <v>431</v>
      </c>
      <c r="BG576" s="158"/>
    </row>
    <row r="577" spans="2:59" ht="14.5" thickBot="1">
      <c r="B577" s="163"/>
      <c r="C577" s="233">
        <v>-2</v>
      </c>
      <c r="D577" s="233" t="s">
        <v>155</v>
      </c>
      <c r="E577" s="233" t="s">
        <v>583</v>
      </c>
      <c r="F577" s="233" t="s">
        <v>649</v>
      </c>
      <c r="G577" s="233" t="s">
        <v>137</v>
      </c>
      <c r="H577" s="233" t="s">
        <v>155</v>
      </c>
      <c r="I577" s="233" t="s">
        <v>155</v>
      </c>
      <c r="J577" s="233" t="s">
        <v>155</v>
      </c>
      <c r="K577" s="233" t="s">
        <v>155</v>
      </c>
      <c r="L577" s="233">
        <v>0</v>
      </c>
      <c r="M577" s="233" t="s">
        <v>155</v>
      </c>
      <c r="BG577" s="158"/>
    </row>
    <row r="578" spans="2:59" ht="13.5" thickBot="1">
      <c r="B578" s="163"/>
      <c r="BG578" s="158"/>
    </row>
    <row r="579" spans="2:59" ht="15" thickBot="1">
      <c r="B579" s="104" t="s">
        <v>546</v>
      </c>
      <c r="C579" s="105" t="s">
        <v>545</v>
      </c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58"/>
    </row>
    <row r="580" spans="2:59" ht="14" thickBot="1">
      <c r="B580" s="140" t="s">
        <v>620</v>
      </c>
      <c r="C580" s="105" t="s">
        <v>447</v>
      </c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05"/>
      <c r="BG580" s="158"/>
    </row>
    <row r="581" spans="2:59">
      <c r="B581" s="163"/>
      <c r="BG581" s="158"/>
    </row>
    <row r="582" spans="2:59" ht="13.5">
      <c r="B582" s="163"/>
      <c r="C582" s="161" t="s">
        <v>228</v>
      </c>
      <c r="BG582" s="158"/>
    </row>
    <row r="583" spans="2:59" ht="13.5">
      <c r="B583" s="163"/>
      <c r="C583" s="161" t="s">
        <v>598</v>
      </c>
      <c r="BG583" s="158"/>
    </row>
    <row r="584" spans="2:59">
      <c r="B584" s="163"/>
      <c r="BG584" s="158"/>
    </row>
    <row r="585" spans="2:59" ht="15">
      <c r="B585" s="163"/>
      <c r="C585" s="267" t="s">
        <v>268</v>
      </c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9"/>
      <c r="AA585" s="66"/>
      <c r="AB585" s="66"/>
      <c r="AC585" s="66"/>
      <c r="AD585" s="66"/>
      <c r="BG585" s="158"/>
    </row>
    <row r="586" spans="2:59" ht="15">
      <c r="B586" s="163"/>
      <c r="C586" s="127"/>
      <c r="D586" s="127"/>
      <c r="E586" s="127"/>
      <c r="F586" s="124" t="s">
        <v>168</v>
      </c>
      <c r="G586" s="124" t="s">
        <v>168</v>
      </c>
      <c r="H586" s="124" t="s">
        <v>168</v>
      </c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BG586" s="158"/>
    </row>
    <row r="587" spans="2:59">
      <c r="B587" s="163"/>
      <c r="C587" s="117" t="s">
        <v>171</v>
      </c>
      <c r="D587" s="117" t="s">
        <v>172</v>
      </c>
      <c r="E587" s="117" t="s">
        <v>173</v>
      </c>
      <c r="F587" s="119" t="s">
        <v>91</v>
      </c>
      <c r="G587" s="119" t="s">
        <v>67</v>
      </c>
      <c r="H587" s="119" t="s">
        <v>69</v>
      </c>
      <c r="I587" s="119" t="s">
        <v>289</v>
      </c>
      <c r="J587" s="119" t="s">
        <v>290</v>
      </c>
      <c r="K587" s="119" t="s">
        <v>291</v>
      </c>
      <c r="L587" s="119" t="s">
        <v>292</v>
      </c>
      <c r="M587" s="119" t="s">
        <v>293</v>
      </c>
      <c r="N587" s="119" t="s">
        <v>294</v>
      </c>
      <c r="O587" s="119" t="s">
        <v>295</v>
      </c>
      <c r="P587" s="119" t="s">
        <v>296</v>
      </c>
      <c r="Q587" s="119" t="s">
        <v>297</v>
      </c>
      <c r="R587" s="119" t="s">
        <v>298</v>
      </c>
      <c r="S587" s="119" t="s">
        <v>299</v>
      </c>
      <c r="T587" s="119" t="s">
        <v>300</v>
      </c>
      <c r="U587" s="119" t="s">
        <v>301</v>
      </c>
      <c r="V587" s="119" t="s">
        <v>302</v>
      </c>
      <c r="W587" s="119" t="s">
        <v>303</v>
      </c>
      <c r="X587" s="119" t="s">
        <v>229</v>
      </c>
      <c r="Y587" s="119" t="s">
        <v>230</v>
      </c>
      <c r="Z587" s="119" t="s">
        <v>231</v>
      </c>
      <c r="AA587" s="119" t="s">
        <v>232</v>
      </c>
      <c r="AB587" s="119" t="s">
        <v>150</v>
      </c>
      <c r="AC587" s="119" t="s">
        <v>151</v>
      </c>
      <c r="AD587" s="119" t="s">
        <v>233</v>
      </c>
      <c r="BG587" s="158"/>
    </row>
    <row r="588" spans="2:59">
      <c r="B588" s="163"/>
      <c r="C588" s="117" t="s">
        <v>205</v>
      </c>
      <c r="D588" s="117" t="s">
        <v>214</v>
      </c>
      <c r="E588" s="117" t="s">
        <v>222</v>
      </c>
      <c r="F588" s="118" t="s">
        <v>250</v>
      </c>
      <c r="G588" s="118" t="s">
        <v>251</v>
      </c>
      <c r="H588" s="118" t="s">
        <v>253</v>
      </c>
      <c r="I588" s="118" t="s">
        <v>252</v>
      </c>
      <c r="J588" s="118" t="s">
        <v>254</v>
      </c>
      <c r="K588" s="118" t="s">
        <v>255</v>
      </c>
      <c r="L588" s="118" t="s">
        <v>256</v>
      </c>
      <c r="M588" s="118" t="s">
        <v>257</v>
      </c>
      <c r="N588" s="118" t="s">
        <v>258</v>
      </c>
      <c r="O588" s="118" t="s">
        <v>259</v>
      </c>
      <c r="P588" s="118" t="s">
        <v>260</v>
      </c>
      <c r="Q588" s="118" t="s">
        <v>261</v>
      </c>
      <c r="R588" s="118" t="s">
        <v>262</v>
      </c>
      <c r="S588" s="118" t="s">
        <v>263</v>
      </c>
      <c r="T588" s="118" t="s">
        <v>264</v>
      </c>
      <c r="U588" s="118" t="s">
        <v>265</v>
      </c>
      <c r="V588" s="118" t="s">
        <v>266</v>
      </c>
      <c r="W588" s="118" t="s">
        <v>267</v>
      </c>
      <c r="X588" s="118" t="s">
        <v>235</v>
      </c>
      <c r="Y588" s="118" t="s">
        <v>236</v>
      </c>
      <c r="Z588" s="118" t="s">
        <v>237</v>
      </c>
      <c r="AA588" s="118" t="s">
        <v>238</v>
      </c>
      <c r="AB588" s="118" t="s">
        <v>239</v>
      </c>
      <c r="AC588" s="118" t="s">
        <v>240</v>
      </c>
      <c r="AD588" s="118" t="s">
        <v>241</v>
      </c>
      <c r="BG588" s="158"/>
    </row>
    <row r="589" spans="2:59">
      <c r="B589" s="163"/>
      <c r="C589" s="117" t="s">
        <v>304</v>
      </c>
      <c r="D589" s="117" t="s">
        <v>305</v>
      </c>
      <c r="E589" s="117" t="s">
        <v>305</v>
      </c>
      <c r="F589" s="119" t="s">
        <v>306</v>
      </c>
      <c r="G589" s="119" t="s">
        <v>306</v>
      </c>
      <c r="H589" s="119" t="s">
        <v>307</v>
      </c>
      <c r="I589" s="119" t="s">
        <v>306</v>
      </c>
      <c r="J589" s="119" t="s">
        <v>308</v>
      </c>
      <c r="K589" s="119" t="s">
        <v>309</v>
      </c>
      <c r="L589" s="118" t="s">
        <v>310</v>
      </c>
      <c r="M589" s="119" t="s">
        <v>310</v>
      </c>
      <c r="N589" s="119" t="s">
        <v>311</v>
      </c>
      <c r="O589" s="119" t="s">
        <v>306</v>
      </c>
      <c r="P589" s="119" t="s">
        <v>312</v>
      </c>
      <c r="Q589" s="119" t="s">
        <v>313</v>
      </c>
      <c r="R589" s="119" t="s">
        <v>312</v>
      </c>
      <c r="S589" s="119" t="s">
        <v>314</v>
      </c>
      <c r="T589" s="118" t="s">
        <v>315</v>
      </c>
      <c r="U589" s="119" t="s">
        <v>315</v>
      </c>
      <c r="V589" s="119" t="s">
        <v>316</v>
      </c>
      <c r="W589" s="119" t="s">
        <v>306</v>
      </c>
      <c r="X589" s="119" t="s">
        <v>317</v>
      </c>
      <c r="Y589" s="119" t="s">
        <v>319</v>
      </c>
      <c r="Z589" s="119" t="s">
        <v>320</v>
      </c>
      <c r="AA589" s="119" t="s">
        <v>320</v>
      </c>
      <c r="AB589" s="118" t="s">
        <v>318</v>
      </c>
      <c r="AC589" s="119" t="s">
        <v>320</v>
      </c>
      <c r="AD589" s="119" t="s">
        <v>320</v>
      </c>
      <c r="BG589" s="158"/>
    </row>
    <row r="590" spans="2:59" ht="25">
      <c r="B590" s="120" t="s">
        <v>242</v>
      </c>
      <c r="C590" s="121" t="s">
        <v>269</v>
      </c>
      <c r="D590" s="142" t="s">
        <v>461</v>
      </c>
      <c r="E590" s="143" t="s">
        <v>181</v>
      </c>
      <c r="F590" s="119" t="s">
        <v>182</v>
      </c>
      <c r="G590" s="121" t="s">
        <v>271</v>
      </c>
      <c r="H590" s="119" t="s">
        <v>183</v>
      </c>
      <c r="I590" s="132" t="s">
        <v>271</v>
      </c>
      <c r="J590" s="119" t="s">
        <v>183</v>
      </c>
      <c r="K590" s="119" t="s">
        <v>243</v>
      </c>
      <c r="L590" s="118" t="s">
        <v>280</v>
      </c>
      <c r="M590" s="119" t="s">
        <v>273</v>
      </c>
      <c r="N590" s="119"/>
      <c r="O590" s="119" t="s">
        <v>243</v>
      </c>
      <c r="P590" s="119" t="s">
        <v>155</v>
      </c>
      <c r="Q590" s="119" t="s">
        <v>183</v>
      </c>
      <c r="R590" s="119" t="s">
        <v>281</v>
      </c>
      <c r="S590" s="119"/>
      <c r="T590" s="118" t="s">
        <v>155</v>
      </c>
      <c r="U590" s="119" t="s">
        <v>155</v>
      </c>
      <c r="V590" s="119" t="s">
        <v>155</v>
      </c>
      <c r="W590" s="119"/>
      <c r="X590" s="119" t="s">
        <v>243</v>
      </c>
      <c r="Y590" s="119" t="s">
        <v>282</v>
      </c>
      <c r="Z590" s="119" t="s">
        <v>283</v>
      </c>
      <c r="AA590" s="119">
        <v>470195</v>
      </c>
      <c r="AB590" s="118" t="s">
        <v>282</v>
      </c>
      <c r="AC590" s="119">
        <v>470195</v>
      </c>
      <c r="AD590" s="119" t="s">
        <v>283</v>
      </c>
      <c r="BG590" s="158"/>
    </row>
    <row r="591" spans="2:59" ht="14">
      <c r="B591" s="120" t="s">
        <v>242</v>
      </c>
      <c r="C591" s="121" t="s">
        <v>269</v>
      </c>
      <c r="D591" s="142" t="s">
        <v>460</v>
      </c>
      <c r="E591" s="143" t="s">
        <v>181</v>
      </c>
      <c r="F591" s="121" t="s">
        <v>286</v>
      </c>
      <c r="G591" s="121" t="s">
        <v>182</v>
      </c>
      <c r="H591" s="121" t="s">
        <v>183</v>
      </c>
      <c r="I591" s="224" t="s">
        <v>432</v>
      </c>
      <c r="J591" s="121" t="s">
        <v>272</v>
      </c>
      <c r="K591" s="121" t="s">
        <v>243</v>
      </c>
      <c r="L591" s="121" t="s">
        <v>155</v>
      </c>
      <c r="M591" s="121" t="s">
        <v>273</v>
      </c>
      <c r="N591" s="121" t="s">
        <v>155</v>
      </c>
      <c r="O591" s="121" t="s">
        <v>182</v>
      </c>
      <c r="P591" s="121" t="s">
        <v>155</v>
      </c>
      <c r="Q591" s="121" t="s">
        <v>274</v>
      </c>
      <c r="R591" s="121" t="s">
        <v>275</v>
      </c>
      <c r="S591" s="121" t="s">
        <v>155</v>
      </c>
      <c r="T591" s="121" t="s">
        <v>155</v>
      </c>
      <c r="U591" s="121" t="s">
        <v>155</v>
      </c>
      <c r="V591" s="121" t="s">
        <v>155</v>
      </c>
      <c r="W591" s="121" t="s">
        <v>155</v>
      </c>
      <c r="X591" s="121" t="s">
        <v>243</v>
      </c>
      <c r="Y591" s="121" t="s">
        <v>276</v>
      </c>
      <c r="Z591" s="121" t="s">
        <v>277</v>
      </c>
      <c r="AA591" s="121" t="s">
        <v>277</v>
      </c>
      <c r="AB591" s="121" t="s">
        <v>278</v>
      </c>
      <c r="AC591" s="121" t="s">
        <v>287</v>
      </c>
      <c r="AD591" s="121" t="s">
        <v>287</v>
      </c>
      <c r="BG591" s="158"/>
    </row>
    <row r="592" spans="2:59" ht="14">
      <c r="B592" s="122" t="s">
        <v>244</v>
      </c>
      <c r="C592" s="132" t="s">
        <v>269</v>
      </c>
      <c r="D592" s="132" t="s">
        <v>599</v>
      </c>
      <c r="E592" s="132" t="s">
        <v>285</v>
      </c>
      <c r="F592" s="132" t="s">
        <v>182</v>
      </c>
      <c r="G592" s="132" t="s">
        <v>182</v>
      </c>
      <c r="H592" s="132" t="s">
        <v>183</v>
      </c>
      <c r="I592" s="225" t="s">
        <v>432</v>
      </c>
      <c r="J592" s="132" t="s">
        <v>496</v>
      </c>
      <c r="K592" s="132" t="s">
        <v>497</v>
      </c>
      <c r="L592" s="132" t="s">
        <v>155</v>
      </c>
      <c r="M592" s="132" t="s">
        <v>273</v>
      </c>
      <c r="N592" s="132" t="s">
        <v>155</v>
      </c>
      <c r="O592" s="132" t="s">
        <v>182</v>
      </c>
      <c r="P592" s="132" t="s">
        <v>155</v>
      </c>
      <c r="Q592" s="132" t="s">
        <v>274</v>
      </c>
      <c r="R592" s="132" t="s">
        <v>275</v>
      </c>
      <c r="S592" s="132" t="s">
        <v>155</v>
      </c>
      <c r="T592" s="132" t="s">
        <v>155</v>
      </c>
      <c r="U592" s="132" t="s">
        <v>155</v>
      </c>
      <c r="V592" s="132" t="s">
        <v>155</v>
      </c>
      <c r="W592" s="132" t="s">
        <v>155</v>
      </c>
      <c r="X592" s="132" t="s">
        <v>243</v>
      </c>
      <c r="Y592" s="132" t="s">
        <v>276</v>
      </c>
      <c r="Z592" s="132" t="s">
        <v>277</v>
      </c>
      <c r="AA592" s="132" t="s">
        <v>277</v>
      </c>
      <c r="AB592" s="132" t="s">
        <v>278</v>
      </c>
      <c r="AC592" s="132" t="s">
        <v>287</v>
      </c>
      <c r="AD592" s="132" t="s">
        <v>287</v>
      </c>
      <c r="BG592" s="158"/>
    </row>
    <row r="593" spans="2:59" ht="14">
      <c r="B593" s="120" t="s">
        <v>242</v>
      </c>
      <c r="C593" s="121" t="s">
        <v>269</v>
      </c>
      <c r="D593" s="142" t="s">
        <v>181</v>
      </c>
      <c r="E593" s="143" t="s">
        <v>181</v>
      </c>
      <c r="F593" s="121" t="s">
        <v>286</v>
      </c>
      <c r="G593" s="121" t="s">
        <v>443</v>
      </c>
      <c r="H593" s="121" t="s">
        <v>183</v>
      </c>
      <c r="I593" s="224" t="s">
        <v>432</v>
      </c>
      <c r="J593" s="121" t="s">
        <v>272</v>
      </c>
      <c r="K593" s="121" t="s">
        <v>243</v>
      </c>
      <c r="L593" s="121" t="s">
        <v>155</v>
      </c>
      <c r="M593" s="121" t="s">
        <v>273</v>
      </c>
      <c r="N593" s="121" t="s">
        <v>155</v>
      </c>
      <c r="O593" s="121" t="s">
        <v>182</v>
      </c>
      <c r="P593" s="121" t="s">
        <v>155</v>
      </c>
      <c r="Q593" s="121" t="s">
        <v>274</v>
      </c>
      <c r="R593" s="121" t="s">
        <v>275</v>
      </c>
      <c r="S593" s="121" t="s">
        <v>155</v>
      </c>
      <c r="T593" s="121" t="s">
        <v>155</v>
      </c>
      <c r="U593" s="121" t="s">
        <v>155</v>
      </c>
      <c r="V593" s="121" t="s">
        <v>155</v>
      </c>
      <c r="W593" s="121" t="s">
        <v>155</v>
      </c>
      <c r="X593" s="121" t="s">
        <v>243</v>
      </c>
      <c r="Y593" s="121" t="s">
        <v>276</v>
      </c>
      <c r="Z593" s="121" t="s">
        <v>277</v>
      </c>
      <c r="AA593" s="121" t="s">
        <v>277</v>
      </c>
      <c r="AB593" s="121" t="s">
        <v>278</v>
      </c>
      <c r="AC593" s="121" t="s">
        <v>287</v>
      </c>
      <c r="AD593" s="121" t="s">
        <v>287</v>
      </c>
      <c r="BG593" s="158"/>
    </row>
    <row r="594" spans="2:59">
      <c r="B594" s="163"/>
      <c r="BG594" s="158"/>
    </row>
    <row r="595" spans="2:59" ht="15">
      <c r="B595" s="163"/>
      <c r="C595" s="257" t="s">
        <v>321</v>
      </c>
      <c r="D595" s="258"/>
      <c r="E595" s="258"/>
      <c r="F595" s="258"/>
      <c r="G595" s="258"/>
      <c r="H595" s="258"/>
      <c r="I595" s="258"/>
      <c r="J595" s="258"/>
      <c r="K595" s="258"/>
      <c r="L595" s="258"/>
      <c r="M595" s="258"/>
      <c r="N595" s="258"/>
      <c r="O595" s="258"/>
      <c r="P595" s="258"/>
      <c r="Q595" s="258"/>
      <c r="R595" s="258"/>
      <c r="S595" s="258"/>
      <c r="T595" s="258"/>
      <c r="U595" s="90"/>
      <c r="V595" s="90"/>
      <c r="W595" s="90"/>
      <c r="X595" s="90"/>
      <c r="Y595" s="90"/>
      <c r="Z595" s="90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2"/>
      <c r="AQ595" s="92"/>
      <c r="AR595" s="92"/>
      <c r="AS595" s="92"/>
      <c r="AT595" s="92"/>
      <c r="AU595" s="92"/>
      <c r="AV595" s="92"/>
      <c r="AW595" s="92"/>
      <c r="AX595" s="92"/>
      <c r="AY595" s="92"/>
      <c r="AZ595" s="92"/>
      <c r="BA595" s="92"/>
      <c r="BB595" s="92"/>
      <c r="BC595" s="92"/>
      <c r="BD595" s="92"/>
      <c r="BE595" s="92"/>
      <c r="BF595" s="92"/>
      <c r="BG595" s="158"/>
    </row>
    <row r="596" spans="2:59" ht="15">
      <c r="B596" s="163"/>
      <c r="C596" s="127"/>
      <c r="D596" s="127"/>
      <c r="E596" s="127"/>
      <c r="F596" s="124" t="s">
        <v>168</v>
      </c>
      <c r="G596" s="124" t="s">
        <v>168</v>
      </c>
      <c r="H596" s="129" t="s">
        <v>168</v>
      </c>
      <c r="I596" s="124" t="s">
        <v>168</v>
      </c>
      <c r="J596" s="124" t="s">
        <v>168</v>
      </c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30"/>
      <c r="AB596" s="130"/>
      <c r="AC596" s="130"/>
      <c r="AD596" s="130"/>
      <c r="AE596" s="130"/>
      <c r="AF596" s="130"/>
      <c r="AG596" s="130"/>
      <c r="AH596" s="130"/>
      <c r="AI596" s="130"/>
      <c r="AJ596" s="130"/>
      <c r="AK596" s="130"/>
      <c r="AL596" s="130"/>
      <c r="AM596" s="130"/>
      <c r="AN596" s="130"/>
      <c r="AO596" s="130"/>
      <c r="AP596" s="130"/>
      <c r="AQ596" s="130"/>
      <c r="AR596" s="130"/>
      <c r="AS596" s="130"/>
      <c r="AT596" s="130"/>
      <c r="AU596" s="130"/>
      <c r="AV596" s="130"/>
      <c r="AW596" s="130"/>
      <c r="AX596" s="130"/>
      <c r="AY596" s="130"/>
      <c r="AZ596" s="130"/>
      <c r="BA596" s="130"/>
      <c r="BB596" s="130"/>
      <c r="BC596" s="130"/>
      <c r="BD596" s="130"/>
      <c r="BE596" s="130"/>
      <c r="BF596" s="130"/>
      <c r="BG596" s="158"/>
    </row>
    <row r="597" spans="2:59" ht="25">
      <c r="B597" s="163"/>
      <c r="C597" s="117" t="s">
        <v>365</v>
      </c>
      <c r="D597" s="117" t="s">
        <v>420</v>
      </c>
      <c r="E597" s="117" t="s">
        <v>421</v>
      </c>
      <c r="F597" s="119" t="s">
        <v>96</v>
      </c>
      <c r="G597" s="119" t="s">
        <v>99</v>
      </c>
      <c r="H597" s="119" t="s">
        <v>130</v>
      </c>
      <c r="I597" s="119" t="s">
        <v>391</v>
      </c>
      <c r="J597" s="119" t="s">
        <v>127</v>
      </c>
      <c r="K597" s="119" t="s">
        <v>67</v>
      </c>
      <c r="L597" s="119" t="s">
        <v>288</v>
      </c>
      <c r="M597" s="119" t="s">
        <v>366</v>
      </c>
      <c r="N597" s="119" t="s">
        <v>367</v>
      </c>
      <c r="O597" s="119" t="s">
        <v>368</v>
      </c>
      <c r="P597" s="119" t="s">
        <v>369</v>
      </c>
      <c r="Q597" s="119" t="s">
        <v>370</v>
      </c>
      <c r="R597" s="119" t="s">
        <v>371</v>
      </c>
      <c r="S597" s="119" t="s">
        <v>372</v>
      </c>
      <c r="T597" s="119" t="s">
        <v>373</v>
      </c>
      <c r="U597" s="119" t="s">
        <v>374</v>
      </c>
      <c r="V597" s="119" t="s">
        <v>375</v>
      </c>
      <c r="W597" s="119" t="s">
        <v>376</v>
      </c>
      <c r="X597" s="119" t="s">
        <v>377</v>
      </c>
      <c r="Y597" s="119" t="s">
        <v>378</v>
      </c>
      <c r="Z597" s="119" t="s">
        <v>379</v>
      </c>
      <c r="AA597" s="119" t="s">
        <v>380</v>
      </c>
      <c r="AB597" s="119" t="s">
        <v>381</v>
      </c>
      <c r="AC597" s="119" t="s">
        <v>382</v>
      </c>
      <c r="AD597" s="119" t="s">
        <v>383</v>
      </c>
      <c r="AE597" s="119" t="s">
        <v>384</v>
      </c>
      <c r="AF597" s="119" t="s">
        <v>385</v>
      </c>
      <c r="AG597" s="119" t="s">
        <v>386</v>
      </c>
      <c r="AH597" s="119" t="s">
        <v>387</v>
      </c>
      <c r="AI597" s="119" t="s">
        <v>388</v>
      </c>
      <c r="AJ597" s="119" t="s">
        <v>390</v>
      </c>
      <c r="AK597" s="119" t="s">
        <v>389</v>
      </c>
      <c r="AL597" s="119" t="s">
        <v>398</v>
      </c>
      <c r="AM597" s="119" t="s">
        <v>392</v>
      </c>
      <c r="AN597" s="119" t="s">
        <v>393</v>
      </c>
      <c r="AO597" s="119" t="s">
        <v>394</v>
      </c>
      <c r="AP597" s="119" t="s">
        <v>395</v>
      </c>
      <c r="AQ597" s="119" t="s">
        <v>399</v>
      </c>
      <c r="AR597" s="119" t="s">
        <v>396</v>
      </c>
      <c r="AS597" s="119" t="s">
        <v>397</v>
      </c>
      <c r="AT597" s="119" t="s">
        <v>400</v>
      </c>
      <c r="AU597" s="119" t="s">
        <v>401</v>
      </c>
      <c r="AV597" s="119" t="s">
        <v>402</v>
      </c>
      <c r="AW597" s="119" t="s">
        <v>403</v>
      </c>
      <c r="AX597" s="119" t="s">
        <v>404</v>
      </c>
      <c r="AY597" s="119" t="s">
        <v>405</v>
      </c>
      <c r="AZ597" s="119" t="s">
        <v>229</v>
      </c>
      <c r="BA597" s="119" t="s">
        <v>230</v>
      </c>
      <c r="BB597" s="119" t="s">
        <v>231</v>
      </c>
      <c r="BC597" s="119" t="s">
        <v>232</v>
      </c>
      <c r="BD597" s="119" t="s">
        <v>150</v>
      </c>
      <c r="BE597" s="119" t="s">
        <v>151</v>
      </c>
      <c r="BF597" s="119" t="s">
        <v>233</v>
      </c>
      <c r="BG597" s="158"/>
    </row>
    <row r="598" spans="2:59">
      <c r="B598" s="163"/>
      <c r="C598" s="117" t="s">
        <v>205</v>
      </c>
      <c r="D598" s="117" t="s">
        <v>214</v>
      </c>
      <c r="E598" s="117" t="s">
        <v>222</v>
      </c>
      <c r="F598" s="118" t="s">
        <v>322</v>
      </c>
      <c r="G598" s="118" t="s">
        <v>323</v>
      </c>
      <c r="H598" s="118" t="s">
        <v>324</v>
      </c>
      <c r="I598" s="118" t="s">
        <v>351</v>
      </c>
      <c r="J598" s="118" t="s">
        <v>357</v>
      </c>
      <c r="K598" s="118" t="s">
        <v>251</v>
      </c>
      <c r="L598" s="118" t="s">
        <v>252</v>
      </c>
      <c r="M598" s="118" t="s">
        <v>325</v>
      </c>
      <c r="N598" s="118" t="s">
        <v>326</v>
      </c>
      <c r="O598" s="118" t="s">
        <v>327</v>
      </c>
      <c r="P598" s="118" t="s">
        <v>328</v>
      </c>
      <c r="Q598" s="118" t="s">
        <v>329</v>
      </c>
      <c r="R598" s="118" t="s">
        <v>330</v>
      </c>
      <c r="S598" s="118" t="s">
        <v>331</v>
      </c>
      <c r="T598" s="118" t="s">
        <v>332</v>
      </c>
      <c r="U598" s="118" t="s">
        <v>333</v>
      </c>
      <c r="V598" s="118" t="s">
        <v>334</v>
      </c>
      <c r="W598" s="118" t="s">
        <v>335</v>
      </c>
      <c r="X598" s="118" t="s">
        <v>336</v>
      </c>
      <c r="Y598" s="118" t="s">
        <v>337</v>
      </c>
      <c r="Z598" s="118" t="s">
        <v>338</v>
      </c>
      <c r="AA598" s="118" t="s">
        <v>339</v>
      </c>
      <c r="AB598" s="118" t="s">
        <v>340</v>
      </c>
      <c r="AC598" s="118" t="s">
        <v>341</v>
      </c>
      <c r="AD598" s="118" t="s">
        <v>342</v>
      </c>
      <c r="AE598" s="118" t="s">
        <v>343</v>
      </c>
      <c r="AF598" s="118" t="s">
        <v>344</v>
      </c>
      <c r="AG598" s="118" t="s">
        <v>345</v>
      </c>
      <c r="AH598" s="118" t="s">
        <v>346</v>
      </c>
      <c r="AI598" s="118" t="s">
        <v>347</v>
      </c>
      <c r="AJ598" s="118" t="s">
        <v>348</v>
      </c>
      <c r="AK598" s="118" t="s">
        <v>349</v>
      </c>
      <c r="AL598" s="118" t="s">
        <v>350</v>
      </c>
      <c r="AM598" s="118" t="s">
        <v>352</v>
      </c>
      <c r="AN598" s="118" t="s">
        <v>353</v>
      </c>
      <c r="AO598" s="118" t="s">
        <v>354</v>
      </c>
      <c r="AP598" s="118" t="s">
        <v>234</v>
      </c>
      <c r="AQ598" s="118" t="s">
        <v>355</v>
      </c>
      <c r="AR598" s="118" t="s">
        <v>356</v>
      </c>
      <c r="AS598" s="118" t="s">
        <v>358</v>
      </c>
      <c r="AT598" s="118" t="s">
        <v>359</v>
      </c>
      <c r="AU598" s="118" t="s">
        <v>360</v>
      </c>
      <c r="AV598" s="118" t="s">
        <v>361</v>
      </c>
      <c r="AW598" s="118" t="s">
        <v>362</v>
      </c>
      <c r="AX598" s="118" t="s">
        <v>363</v>
      </c>
      <c r="AY598" s="118" t="s">
        <v>364</v>
      </c>
      <c r="AZ598" s="118" t="s">
        <v>235</v>
      </c>
      <c r="BA598" s="118" t="s">
        <v>236</v>
      </c>
      <c r="BB598" s="118" t="s">
        <v>237</v>
      </c>
      <c r="BC598" s="118" t="s">
        <v>238</v>
      </c>
      <c r="BD598" s="118" t="s">
        <v>239</v>
      </c>
      <c r="BE598" s="118" t="s">
        <v>240</v>
      </c>
      <c r="BF598" s="118" t="s">
        <v>241</v>
      </c>
      <c r="BG598" s="158"/>
    </row>
    <row r="599" spans="2:59">
      <c r="B599" s="163"/>
      <c r="C599" s="117" t="s">
        <v>304</v>
      </c>
      <c r="D599" s="117" t="s">
        <v>406</v>
      </c>
      <c r="E599" s="117" t="s">
        <v>305</v>
      </c>
      <c r="F599" s="131" t="s">
        <v>306</v>
      </c>
      <c r="G599" s="131" t="s">
        <v>306</v>
      </c>
      <c r="H599" s="131" t="s">
        <v>306</v>
      </c>
      <c r="I599" s="131" t="s">
        <v>306</v>
      </c>
      <c r="J599" s="131" t="s">
        <v>308</v>
      </c>
      <c r="K599" s="131" t="s">
        <v>306</v>
      </c>
      <c r="L599" s="131" t="s">
        <v>306</v>
      </c>
      <c r="M599" s="131" t="s">
        <v>407</v>
      </c>
      <c r="N599" s="131" t="s">
        <v>407</v>
      </c>
      <c r="O599" s="131" t="s">
        <v>305</v>
      </c>
      <c r="P599" s="131" t="s">
        <v>408</v>
      </c>
      <c r="Q599" s="131" t="s">
        <v>306</v>
      </c>
      <c r="R599" s="131" t="s">
        <v>313</v>
      </c>
      <c r="S599" s="131" t="s">
        <v>308</v>
      </c>
      <c r="T599" s="131" t="s">
        <v>313</v>
      </c>
      <c r="U599" s="131" t="s">
        <v>308</v>
      </c>
      <c r="V599" s="131" t="s">
        <v>308</v>
      </c>
      <c r="W599" s="131" t="s">
        <v>306</v>
      </c>
      <c r="X599" s="131" t="s">
        <v>409</v>
      </c>
      <c r="Y599" s="131" t="s">
        <v>409</v>
      </c>
      <c r="Z599" s="131" t="s">
        <v>310</v>
      </c>
      <c r="AA599" s="131" t="s">
        <v>408</v>
      </c>
      <c r="AB599" s="131" t="s">
        <v>408</v>
      </c>
      <c r="AC599" s="131" t="s">
        <v>308</v>
      </c>
      <c r="AD599" s="131" t="s">
        <v>312</v>
      </c>
      <c r="AE599" s="131" t="s">
        <v>313</v>
      </c>
      <c r="AF599" s="131" t="s">
        <v>313</v>
      </c>
      <c r="AG599" s="131" t="s">
        <v>410</v>
      </c>
      <c r="AH599" s="131" t="s">
        <v>410</v>
      </c>
      <c r="AI599" s="131" t="s">
        <v>313</v>
      </c>
      <c r="AJ599" s="131" t="s">
        <v>313</v>
      </c>
      <c r="AK599" s="131" t="s">
        <v>410</v>
      </c>
      <c r="AL599" s="131" t="s">
        <v>410</v>
      </c>
      <c r="AM599" s="131" t="s">
        <v>306</v>
      </c>
      <c r="AN599" s="131" t="s">
        <v>306</v>
      </c>
      <c r="AO599" s="131" t="s">
        <v>306</v>
      </c>
      <c r="AP599" s="131" t="s">
        <v>310</v>
      </c>
      <c r="AQ599" s="131" t="s">
        <v>305</v>
      </c>
      <c r="AR599" s="131" t="s">
        <v>306</v>
      </c>
      <c r="AS599" s="131" t="s">
        <v>308</v>
      </c>
      <c r="AT599" s="131" t="s">
        <v>306</v>
      </c>
      <c r="AU599" s="131" t="s">
        <v>411</v>
      </c>
      <c r="AV599" s="131" t="s">
        <v>313</v>
      </c>
      <c r="AW599" s="131" t="s">
        <v>310</v>
      </c>
      <c r="AX599" s="131" t="s">
        <v>306</v>
      </c>
      <c r="AY599" s="131" t="s">
        <v>306</v>
      </c>
      <c r="AZ599" s="131" t="s">
        <v>317</v>
      </c>
      <c r="BA599" s="131" t="s">
        <v>318</v>
      </c>
      <c r="BB599" s="131" t="s">
        <v>320</v>
      </c>
      <c r="BC599" s="131" t="s">
        <v>320</v>
      </c>
      <c r="BD599" s="131" t="s">
        <v>318</v>
      </c>
      <c r="BE599" s="131" t="s">
        <v>320</v>
      </c>
      <c r="BF599" s="131" t="s">
        <v>320</v>
      </c>
      <c r="BG599" s="158"/>
    </row>
    <row r="600" spans="2:59" ht="15">
      <c r="B600" s="120" t="s">
        <v>242</v>
      </c>
      <c r="C600" s="132" t="s">
        <v>269</v>
      </c>
      <c r="D600" s="142" t="s">
        <v>461</v>
      </c>
      <c r="E600" s="143" t="s">
        <v>181</v>
      </c>
      <c r="F600" s="133" t="s">
        <v>184</v>
      </c>
      <c r="G600" s="132" t="s">
        <v>243</v>
      </c>
      <c r="H600" s="132" t="s">
        <v>243</v>
      </c>
      <c r="I600" s="135">
        <v>0</v>
      </c>
      <c r="J600" s="136">
        <v>30</v>
      </c>
      <c r="K600" s="132" t="s">
        <v>271</v>
      </c>
      <c r="L600" s="132" t="s">
        <v>271</v>
      </c>
      <c r="M600" s="132" t="s">
        <v>155</v>
      </c>
      <c r="N600" s="132" t="s">
        <v>155</v>
      </c>
      <c r="O600" s="132" t="s">
        <v>416</v>
      </c>
      <c r="P600" s="132" t="s">
        <v>155</v>
      </c>
      <c r="Q600" s="134" t="s">
        <v>417</v>
      </c>
      <c r="R600" s="132" t="s">
        <v>182</v>
      </c>
      <c r="S600" s="132" t="s">
        <v>243</v>
      </c>
      <c r="T600" s="132" t="s">
        <v>413</v>
      </c>
      <c r="U600" s="132" t="s">
        <v>414</v>
      </c>
      <c r="V600" s="132" t="s">
        <v>418</v>
      </c>
      <c r="W600" s="132" t="s">
        <v>182</v>
      </c>
      <c r="X600" s="132" t="s">
        <v>243</v>
      </c>
      <c r="Y600" s="132" t="s">
        <v>243</v>
      </c>
      <c r="Z600" s="132"/>
      <c r="AA600" s="135"/>
      <c r="AB600" s="135" t="s">
        <v>419</v>
      </c>
      <c r="AC600" s="138">
        <v>5000</v>
      </c>
      <c r="AD600" s="135">
        <v>99999999</v>
      </c>
      <c r="AE600" s="132" t="s">
        <v>243</v>
      </c>
      <c r="AF600" s="132" t="s">
        <v>271</v>
      </c>
      <c r="AG600" s="132" t="s">
        <v>243</v>
      </c>
      <c r="AH600" s="132" t="s">
        <v>243</v>
      </c>
      <c r="AI600" s="135">
        <v>0</v>
      </c>
      <c r="AJ600" s="135">
        <v>0</v>
      </c>
      <c r="AK600" s="135">
        <v>0</v>
      </c>
      <c r="AL600" s="135">
        <v>0</v>
      </c>
      <c r="AM600" s="132" t="s">
        <v>182</v>
      </c>
      <c r="AN600" s="135">
        <v>0</v>
      </c>
      <c r="AO600" s="132" t="s">
        <v>243</v>
      </c>
      <c r="AP600" s="135">
        <v>1</v>
      </c>
      <c r="AQ600" s="136">
        <v>1111</v>
      </c>
      <c r="AR600" s="136" t="s">
        <v>415</v>
      </c>
      <c r="AS600" s="136">
        <v>10</v>
      </c>
      <c r="AT600" s="136">
        <v>1</v>
      </c>
      <c r="AU600" s="136">
        <v>0</v>
      </c>
      <c r="AV600" s="136">
        <v>0</v>
      </c>
      <c r="AW600" s="136">
        <v>0</v>
      </c>
      <c r="AX600" s="136">
        <v>0</v>
      </c>
      <c r="AY600" s="136">
        <v>1</v>
      </c>
      <c r="AZ600" s="136">
        <v>0</v>
      </c>
      <c r="BA600" s="137">
        <v>40640.750486111108</v>
      </c>
      <c r="BB600" s="136">
        <v>470195</v>
      </c>
      <c r="BC600" s="136">
        <v>470195</v>
      </c>
      <c r="BD600" s="137">
        <v>45392.67769675926</v>
      </c>
      <c r="BE600" s="136">
        <v>363363</v>
      </c>
      <c r="BF600" s="136">
        <v>363363</v>
      </c>
      <c r="BG600" s="158"/>
    </row>
    <row r="601" spans="2:59" ht="15">
      <c r="B601" s="120" t="s">
        <v>242</v>
      </c>
      <c r="C601" s="132" t="s">
        <v>269</v>
      </c>
      <c r="D601" s="142" t="s">
        <v>460</v>
      </c>
      <c r="E601" s="143" t="s">
        <v>181</v>
      </c>
      <c r="F601" s="139" t="s">
        <v>286</v>
      </c>
      <c r="G601" s="132" t="s">
        <v>243</v>
      </c>
      <c r="H601" s="132" t="s">
        <v>243</v>
      </c>
      <c r="I601" s="135">
        <v>1</v>
      </c>
      <c r="J601" s="136">
        <v>0</v>
      </c>
      <c r="K601" s="132" t="s">
        <v>182</v>
      </c>
      <c r="L601" s="225" t="s">
        <v>432</v>
      </c>
      <c r="M601" s="132" t="s">
        <v>155</v>
      </c>
      <c r="N601" s="132" t="s">
        <v>155</v>
      </c>
      <c r="O601" s="132" t="s">
        <v>155</v>
      </c>
      <c r="P601" s="132" t="s">
        <v>155</v>
      </c>
      <c r="Q601" s="134" t="s">
        <v>412</v>
      </c>
      <c r="R601" s="132" t="s">
        <v>243</v>
      </c>
      <c r="S601" s="132" t="s">
        <v>243</v>
      </c>
      <c r="T601" s="132" t="s">
        <v>413</v>
      </c>
      <c r="U601" s="132" t="s">
        <v>414</v>
      </c>
      <c r="V601" s="132" t="s">
        <v>182</v>
      </c>
      <c r="W601" s="132" t="s">
        <v>182</v>
      </c>
      <c r="X601" s="132" t="s">
        <v>243</v>
      </c>
      <c r="Y601" s="132" t="s">
        <v>243</v>
      </c>
      <c r="Z601" s="132" t="s">
        <v>155</v>
      </c>
      <c r="AA601" s="135" t="s">
        <v>155</v>
      </c>
      <c r="AB601" s="135" t="s">
        <v>155</v>
      </c>
      <c r="AC601" s="135">
        <v>1</v>
      </c>
      <c r="AD601" s="135">
        <v>99999999</v>
      </c>
      <c r="AE601" s="132" t="s">
        <v>243</v>
      </c>
      <c r="AF601" s="132" t="s">
        <v>243</v>
      </c>
      <c r="AG601" s="132" t="s">
        <v>243</v>
      </c>
      <c r="AH601" s="132" t="s">
        <v>243</v>
      </c>
      <c r="AI601" s="135">
        <v>0</v>
      </c>
      <c r="AJ601" s="135">
        <v>0</v>
      </c>
      <c r="AK601" s="135">
        <v>0</v>
      </c>
      <c r="AL601" s="135">
        <v>0</v>
      </c>
      <c r="AM601" s="132" t="s">
        <v>182</v>
      </c>
      <c r="AN601" s="135">
        <v>0</v>
      </c>
      <c r="AO601" s="132" t="s">
        <v>243</v>
      </c>
      <c r="AP601" s="135">
        <v>1</v>
      </c>
      <c r="AQ601" s="136" t="s">
        <v>155</v>
      </c>
      <c r="AR601" s="136" t="s">
        <v>415</v>
      </c>
      <c r="AS601" s="136">
        <v>0</v>
      </c>
      <c r="AT601" s="136">
        <v>1</v>
      </c>
      <c r="AU601" s="136">
        <v>0</v>
      </c>
      <c r="AV601" s="136">
        <v>0</v>
      </c>
      <c r="AW601" s="136">
        <v>0</v>
      </c>
      <c r="AX601" s="136">
        <v>0</v>
      </c>
      <c r="AY601" s="136">
        <v>1</v>
      </c>
      <c r="AZ601" s="136">
        <v>0</v>
      </c>
      <c r="BA601" s="137">
        <v>29705</v>
      </c>
      <c r="BB601" s="136" t="s">
        <v>277</v>
      </c>
      <c r="BC601" s="136" t="s">
        <v>277</v>
      </c>
      <c r="BD601" s="137">
        <v>36413</v>
      </c>
      <c r="BE601" s="136" t="s">
        <v>277</v>
      </c>
      <c r="BF601" s="136" t="s">
        <v>277</v>
      </c>
      <c r="BG601" s="158"/>
    </row>
    <row r="602" spans="2:59" ht="14">
      <c r="B602" s="122" t="s">
        <v>244</v>
      </c>
      <c r="C602" s="132" t="s">
        <v>269</v>
      </c>
      <c r="D602" s="121" t="s">
        <v>599</v>
      </c>
      <c r="E602" s="143" t="s">
        <v>285</v>
      </c>
      <c r="F602" s="218" t="s">
        <v>185</v>
      </c>
      <c r="G602" s="132" t="s">
        <v>243</v>
      </c>
      <c r="H602" s="132" t="s">
        <v>243</v>
      </c>
      <c r="I602" s="132" t="s">
        <v>243</v>
      </c>
      <c r="J602" s="132" t="s">
        <v>506</v>
      </c>
      <c r="K602" s="132" t="s">
        <v>182</v>
      </c>
      <c r="L602" s="225" t="s">
        <v>432</v>
      </c>
      <c r="M602" s="132" t="s">
        <v>155</v>
      </c>
      <c r="N602" s="132" t="s">
        <v>155</v>
      </c>
      <c r="O602" s="132" t="s">
        <v>416</v>
      </c>
      <c r="P602" s="132" t="s">
        <v>155</v>
      </c>
      <c r="Q602" s="132" t="s">
        <v>417</v>
      </c>
      <c r="R602" s="132" t="s">
        <v>182</v>
      </c>
      <c r="S602" s="132" t="s">
        <v>497</v>
      </c>
      <c r="T602" s="132" t="s">
        <v>413</v>
      </c>
      <c r="U602" s="132" t="s">
        <v>498</v>
      </c>
      <c r="V602" s="132" t="s">
        <v>499</v>
      </c>
      <c r="W602" s="132" t="s">
        <v>182</v>
      </c>
      <c r="X602" s="132" t="s">
        <v>500</v>
      </c>
      <c r="Y602" s="132" t="s">
        <v>500</v>
      </c>
      <c r="Z602" s="132"/>
      <c r="AA602" s="132"/>
      <c r="AB602" s="132" t="s">
        <v>419</v>
      </c>
      <c r="AC602" s="132" t="s">
        <v>499</v>
      </c>
      <c r="AD602" s="132" t="s">
        <v>504</v>
      </c>
      <c r="AE602" s="132" t="s">
        <v>243</v>
      </c>
      <c r="AF602" s="132" t="s">
        <v>271</v>
      </c>
      <c r="AG602" s="132" t="s">
        <v>243</v>
      </c>
      <c r="AH602" s="132" t="s">
        <v>243</v>
      </c>
      <c r="AI602" s="132" t="s">
        <v>243</v>
      </c>
      <c r="AJ602" s="132" t="s">
        <v>243</v>
      </c>
      <c r="AK602" s="132" t="s">
        <v>243</v>
      </c>
      <c r="AL602" s="132" t="s">
        <v>243</v>
      </c>
      <c r="AM602" s="132" t="s">
        <v>182</v>
      </c>
      <c r="AN602" s="132" t="s">
        <v>243</v>
      </c>
      <c r="AO602" s="132" t="s">
        <v>243</v>
      </c>
      <c r="AP602" s="132" t="s">
        <v>245</v>
      </c>
      <c r="AQ602" s="132" t="s">
        <v>505</v>
      </c>
      <c r="AR602" s="132" t="s">
        <v>415</v>
      </c>
      <c r="AS602" s="132" t="s">
        <v>507</v>
      </c>
      <c r="AT602" s="132" t="s">
        <v>182</v>
      </c>
      <c r="AU602" s="132" t="s">
        <v>497</v>
      </c>
      <c r="AV602" s="132" t="s">
        <v>243</v>
      </c>
      <c r="AW602" s="132" t="s">
        <v>273</v>
      </c>
      <c r="AX602" s="132" t="s">
        <v>243</v>
      </c>
      <c r="AY602" s="132" t="s">
        <v>182</v>
      </c>
      <c r="AZ602" s="132" t="s">
        <v>243</v>
      </c>
      <c r="BA602" s="132" t="s">
        <v>282</v>
      </c>
      <c r="BB602" s="132" t="s">
        <v>283</v>
      </c>
      <c r="BC602" s="132" t="s">
        <v>283</v>
      </c>
      <c r="BD602" s="132" t="s">
        <v>508</v>
      </c>
      <c r="BE602" s="132" t="s">
        <v>509</v>
      </c>
      <c r="BF602" s="132" t="s">
        <v>509</v>
      </c>
      <c r="BG602" s="158"/>
    </row>
    <row r="603" spans="2:59" ht="14">
      <c r="B603" s="120" t="s">
        <v>242</v>
      </c>
      <c r="C603" s="132" t="s">
        <v>269</v>
      </c>
      <c r="D603" s="142" t="s">
        <v>181</v>
      </c>
      <c r="E603" s="143" t="s">
        <v>181</v>
      </c>
      <c r="F603" s="132" t="s">
        <v>184</v>
      </c>
      <c r="G603" s="132" t="s">
        <v>243</v>
      </c>
      <c r="H603" s="132" t="s">
        <v>243</v>
      </c>
      <c r="I603" s="132">
        <v>0</v>
      </c>
      <c r="J603" s="132">
        <v>30</v>
      </c>
      <c r="K603" s="132" t="s">
        <v>443</v>
      </c>
      <c r="L603" s="225" t="s">
        <v>432</v>
      </c>
      <c r="M603" s="132" t="s">
        <v>155</v>
      </c>
      <c r="N603" s="132" t="s">
        <v>155</v>
      </c>
      <c r="O603" s="132" t="s">
        <v>416</v>
      </c>
      <c r="P603" s="132" t="s">
        <v>155</v>
      </c>
      <c r="Q603" s="132" t="s">
        <v>417</v>
      </c>
      <c r="R603" s="132" t="s">
        <v>182</v>
      </c>
      <c r="S603" s="132" t="s">
        <v>243</v>
      </c>
      <c r="T603" s="132" t="s">
        <v>413</v>
      </c>
      <c r="U603" s="132" t="s">
        <v>414</v>
      </c>
      <c r="V603" s="132" t="s">
        <v>418</v>
      </c>
      <c r="W603" s="132" t="s">
        <v>182</v>
      </c>
      <c r="X603" s="132" t="s">
        <v>243</v>
      </c>
      <c r="Y603" s="132" t="s">
        <v>243</v>
      </c>
      <c r="Z603" s="132"/>
      <c r="AA603" s="132"/>
      <c r="AB603" s="132" t="s">
        <v>419</v>
      </c>
      <c r="AC603" s="132">
        <v>5000</v>
      </c>
      <c r="AD603" s="132">
        <v>99999999</v>
      </c>
      <c r="AE603" s="132" t="s">
        <v>243</v>
      </c>
      <c r="AF603" s="132" t="s">
        <v>271</v>
      </c>
      <c r="AG603" s="132" t="s">
        <v>243</v>
      </c>
      <c r="AH603" s="132" t="s">
        <v>243</v>
      </c>
      <c r="AI603" s="132">
        <v>0</v>
      </c>
      <c r="AJ603" s="132">
        <v>0</v>
      </c>
      <c r="AK603" s="132">
        <v>0</v>
      </c>
      <c r="AL603" s="132">
        <v>0</v>
      </c>
      <c r="AM603" s="132" t="s">
        <v>182</v>
      </c>
      <c r="AN603" s="132">
        <v>0</v>
      </c>
      <c r="AO603" s="132" t="s">
        <v>243</v>
      </c>
      <c r="AP603" s="132">
        <v>1</v>
      </c>
      <c r="AQ603" s="132">
        <v>1111</v>
      </c>
      <c r="AR603" s="132" t="s">
        <v>415</v>
      </c>
      <c r="AS603" s="132">
        <v>10</v>
      </c>
      <c r="AT603" s="132">
        <v>1</v>
      </c>
      <c r="AU603" s="132">
        <v>0</v>
      </c>
      <c r="AV603" s="132">
        <v>0</v>
      </c>
      <c r="AW603" s="132">
        <v>0</v>
      </c>
      <c r="AX603" s="132">
        <v>0</v>
      </c>
      <c r="AY603" s="132">
        <v>1</v>
      </c>
      <c r="AZ603" s="132">
        <v>0</v>
      </c>
      <c r="BA603" s="132">
        <v>40640.750486111108</v>
      </c>
      <c r="BB603" s="132">
        <v>470195</v>
      </c>
      <c r="BC603" s="132">
        <v>470195</v>
      </c>
      <c r="BD603" s="132">
        <v>45392.67769675926</v>
      </c>
      <c r="BE603" s="132">
        <v>363363</v>
      </c>
      <c r="BF603" s="132">
        <v>363363</v>
      </c>
      <c r="BG603" s="158"/>
    </row>
    <row r="604" spans="2:59">
      <c r="B604" s="163"/>
      <c r="BG604" s="158"/>
    </row>
    <row r="605" spans="2:59" ht="14.5" thickBot="1">
      <c r="B605" s="163"/>
      <c r="C605" s="164" t="s">
        <v>152</v>
      </c>
      <c r="BG605" s="158"/>
    </row>
    <row r="606" spans="2:59" ht="14.5" thickBot="1">
      <c r="B606" s="163"/>
      <c r="C606" s="233" t="s">
        <v>422</v>
      </c>
      <c r="D606" s="233" t="s">
        <v>423</v>
      </c>
      <c r="E606" s="233" t="s">
        <v>158</v>
      </c>
      <c r="F606" s="233" t="s">
        <v>424</v>
      </c>
      <c r="G606" s="233" t="s">
        <v>425</v>
      </c>
      <c r="H606" s="233" t="s">
        <v>426</v>
      </c>
      <c r="I606" s="233" t="s">
        <v>427</v>
      </c>
      <c r="J606" s="233" t="s">
        <v>428</v>
      </c>
      <c r="K606" s="233" t="s">
        <v>429</v>
      </c>
      <c r="L606" s="233" t="s">
        <v>430</v>
      </c>
      <c r="M606" s="233" t="s">
        <v>431</v>
      </c>
      <c r="BG606" s="158"/>
    </row>
    <row r="607" spans="2:59" ht="14.5" thickBot="1">
      <c r="B607" s="163"/>
      <c r="C607" s="233">
        <v>-2</v>
      </c>
      <c r="D607" s="233" t="s">
        <v>155</v>
      </c>
      <c r="E607" s="233" t="s">
        <v>650</v>
      </c>
      <c r="F607" s="233" t="s">
        <v>651</v>
      </c>
      <c r="G607" s="233" t="s">
        <v>137</v>
      </c>
      <c r="H607" s="233" t="s">
        <v>155</v>
      </c>
      <c r="I607" s="233" t="s">
        <v>155</v>
      </c>
      <c r="J607" s="233" t="s">
        <v>155</v>
      </c>
      <c r="K607" s="233" t="s">
        <v>155</v>
      </c>
      <c r="L607" s="233">
        <v>0</v>
      </c>
      <c r="M607" s="233" t="s">
        <v>155</v>
      </c>
      <c r="BG607" s="158"/>
    </row>
    <row r="608" spans="2:59" ht="13.5" thickBot="1">
      <c r="B608" s="163"/>
      <c r="BG608" s="158"/>
    </row>
    <row r="609" spans="2:59" ht="15" thickBot="1">
      <c r="B609" s="104" t="s">
        <v>549</v>
      </c>
      <c r="C609" s="105" t="s">
        <v>548</v>
      </c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  <c r="BF609" s="105"/>
      <c r="BG609" s="158"/>
    </row>
    <row r="610" spans="2:59" ht="14" thickBot="1">
      <c r="B610" s="140" t="s">
        <v>620</v>
      </c>
      <c r="C610" s="105" t="s">
        <v>447</v>
      </c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  <c r="BF610" s="105"/>
      <c r="BG610" s="158"/>
    </row>
    <row r="611" spans="2:59">
      <c r="B611" s="163"/>
      <c r="BG611" s="158"/>
    </row>
    <row r="612" spans="2:59" ht="13.5">
      <c r="B612" s="163"/>
      <c r="C612" s="161" t="s">
        <v>228</v>
      </c>
      <c r="BG612" s="158"/>
    </row>
    <row r="613" spans="2:59" ht="13.5">
      <c r="B613" s="163"/>
      <c r="C613" s="161" t="s">
        <v>625</v>
      </c>
      <c r="BG613" s="158"/>
    </row>
    <row r="614" spans="2:59" ht="12" customHeight="1">
      <c r="B614" s="163"/>
      <c r="BG614" s="158"/>
    </row>
    <row r="615" spans="2:59" ht="15">
      <c r="B615" s="163"/>
      <c r="C615" s="267" t="s">
        <v>268</v>
      </c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9"/>
      <c r="AA615" s="66"/>
      <c r="AB615" s="66"/>
      <c r="AC615" s="66"/>
      <c r="AD615" s="66"/>
      <c r="AE615" s="66"/>
      <c r="AF615" s="111"/>
      <c r="BG615" s="158"/>
    </row>
    <row r="616" spans="2:59" ht="15">
      <c r="B616" s="163"/>
      <c r="C616" s="127"/>
      <c r="D616" s="127"/>
      <c r="E616" s="127"/>
      <c r="F616" s="124" t="s">
        <v>168</v>
      </c>
      <c r="G616" s="124" t="s">
        <v>168</v>
      </c>
      <c r="H616" s="124" t="s">
        <v>168</v>
      </c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BG616" s="158"/>
    </row>
    <row r="617" spans="2:59">
      <c r="B617" s="163"/>
      <c r="C617" s="117" t="s">
        <v>171</v>
      </c>
      <c r="D617" s="117" t="s">
        <v>172</v>
      </c>
      <c r="E617" s="117" t="s">
        <v>173</v>
      </c>
      <c r="F617" s="119" t="s">
        <v>91</v>
      </c>
      <c r="G617" s="119" t="s">
        <v>67</v>
      </c>
      <c r="H617" s="119" t="s">
        <v>69</v>
      </c>
      <c r="I617" s="119" t="s">
        <v>289</v>
      </c>
      <c r="J617" s="119" t="s">
        <v>290</v>
      </c>
      <c r="K617" s="119" t="s">
        <v>291</v>
      </c>
      <c r="L617" s="119" t="s">
        <v>292</v>
      </c>
      <c r="M617" s="119" t="s">
        <v>293</v>
      </c>
      <c r="N617" s="119" t="s">
        <v>294</v>
      </c>
      <c r="O617" s="119" t="s">
        <v>295</v>
      </c>
      <c r="P617" s="119" t="s">
        <v>296</v>
      </c>
      <c r="Q617" s="119" t="s">
        <v>297</v>
      </c>
      <c r="R617" s="119" t="s">
        <v>298</v>
      </c>
      <c r="S617" s="119" t="s">
        <v>299</v>
      </c>
      <c r="T617" s="119" t="s">
        <v>300</v>
      </c>
      <c r="U617" s="119" t="s">
        <v>301</v>
      </c>
      <c r="V617" s="119" t="s">
        <v>302</v>
      </c>
      <c r="W617" s="119" t="s">
        <v>303</v>
      </c>
      <c r="X617" s="119" t="s">
        <v>229</v>
      </c>
      <c r="Y617" s="119" t="s">
        <v>230</v>
      </c>
      <c r="Z617" s="119" t="s">
        <v>231</v>
      </c>
      <c r="AA617" s="119" t="s">
        <v>232</v>
      </c>
      <c r="AB617" s="119" t="s">
        <v>150</v>
      </c>
      <c r="AC617" s="119" t="s">
        <v>151</v>
      </c>
      <c r="AD617" s="119" t="s">
        <v>233</v>
      </c>
      <c r="BG617" s="158"/>
    </row>
    <row r="618" spans="2:59">
      <c r="B618" s="163"/>
      <c r="C618" s="117" t="s">
        <v>205</v>
      </c>
      <c r="D618" s="117" t="s">
        <v>214</v>
      </c>
      <c r="E618" s="117" t="s">
        <v>222</v>
      </c>
      <c r="F618" s="118" t="s">
        <v>250</v>
      </c>
      <c r="G618" s="118" t="s">
        <v>251</v>
      </c>
      <c r="H618" s="118" t="s">
        <v>253</v>
      </c>
      <c r="I618" s="118" t="s">
        <v>252</v>
      </c>
      <c r="J618" s="118" t="s">
        <v>254</v>
      </c>
      <c r="K618" s="118" t="s">
        <v>255</v>
      </c>
      <c r="L618" s="118" t="s">
        <v>256</v>
      </c>
      <c r="M618" s="118" t="s">
        <v>257</v>
      </c>
      <c r="N618" s="118" t="s">
        <v>258</v>
      </c>
      <c r="O618" s="118" t="s">
        <v>259</v>
      </c>
      <c r="P618" s="118" t="s">
        <v>260</v>
      </c>
      <c r="Q618" s="118" t="s">
        <v>261</v>
      </c>
      <c r="R618" s="118" t="s">
        <v>262</v>
      </c>
      <c r="S618" s="118" t="s">
        <v>263</v>
      </c>
      <c r="T618" s="118" t="s">
        <v>264</v>
      </c>
      <c r="U618" s="118" t="s">
        <v>265</v>
      </c>
      <c r="V618" s="118" t="s">
        <v>266</v>
      </c>
      <c r="W618" s="118" t="s">
        <v>267</v>
      </c>
      <c r="X618" s="118" t="s">
        <v>235</v>
      </c>
      <c r="Y618" s="118" t="s">
        <v>236</v>
      </c>
      <c r="Z618" s="118" t="s">
        <v>237</v>
      </c>
      <c r="AA618" s="118" t="s">
        <v>238</v>
      </c>
      <c r="AB618" s="118" t="s">
        <v>239</v>
      </c>
      <c r="AC618" s="118" t="s">
        <v>240</v>
      </c>
      <c r="AD618" s="118" t="s">
        <v>241</v>
      </c>
      <c r="BG618" s="158"/>
    </row>
    <row r="619" spans="2:59">
      <c r="B619" s="163"/>
      <c r="C619" s="117" t="s">
        <v>304</v>
      </c>
      <c r="D619" s="117" t="s">
        <v>305</v>
      </c>
      <c r="E619" s="117" t="s">
        <v>305</v>
      </c>
      <c r="F619" s="119" t="s">
        <v>306</v>
      </c>
      <c r="G619" s="119" t="s">
        <v>306</v>
      </c>
      <c r="H619" s="119" t="s">
        <v>307</v>
      </c>
      <c r="I619" s="119" t="s">
        <v>306</v>
      </c>
      <c r="J619" s="119" t="s">
        <v>308</v>
      </c>
      <c r="K619" s="119" t="s">
        <v>309</v>
      </c>
      <c r="L619" s="118" t="s">
        <v>310</v>
      </c>
      <c r="M619" s="119" t="s">
        <v>310</v>
      </c>
      <c r="N619" s="119" t="s">
        <v>311</v>
      </c>
      <c r="O619" s="119" t="s">
        <v>306</v>
      </c>
      <c r="P619" s="119" t="s">
        <v>312</v>
      </c>
      <c r="Q619" s="119" t="s">
        <v>313</v>
      </c>
      <c r="R619" s="119" t="s">
        <v>312</v>
      </c>
      <c r="S619" s="119" t="s">
        <v>314</v>
      </c>
      <c r="T619" s="118" t="s">
        <v>315</v>
      </c>
      <c r="U619" s="119" t="s">
        <v>315</v>
      </c>
      <c r="V619" s="119" t="s">
        <v>316</v>
      </c>
      <c r="W619" s="119" t="s">
        <v>306</v>
      </c>
      <c r="X619" s="119" t="s">
        <v>317</v>
      </c>
      <c r="Y619" s="119" t="s">
        <v>319</v>
      </c>
      <c r="Z619" s="119" t="s">
        <v>320</v>
      </c>
      <c r="AA619" s="119" t="s">
        <v>320</v>
      </c>
      <c r="AB619" s="118" t="s">
        <v>318</v>
      </c>
      <c r="AC619" s="119" t="s">
        <v>320</v>
      </c>
      <c r="AD619" s="119" t="s">
        <v>320</v>
      </c>
      <c r="BG619" s="158"/>
    </row>
    <row r="620" spans="2:59" ht="25">
      <c r="B620" s="120" t="s">
        <v>242</v>
      </c>
      <c r="C620" s="121" t="s">
        <v>269</v>
      </c>
      <c r="D620" s="142" t="s">
        <v>461</v>
      </c>
      <c r="E620" s="143" t="s">
        <v>181</v>
      </c>
      <c r="F620" s="119" t="s">
        <v>182</v>
      </c>
      <c r="G620" s="132" t="s">
        <v>271</v>
      </c>
      <c r="H620" s="119" t="s">
        <v>183</v>
      </c>
      <c r="I620" s="132" t="s">
        <v>271</v>
      </c>
      <c r="J620" s="119" t="s">
        <v>183</v>
      </c>
      <c r="K620" s="119" t="s">
        <v>243</v>
      </c>
      <c r="L620" s="118" t="s">
        <v>280</v>
      </c>
      <c r="M620" s="119" t="s">
        <v>273</v>
      </c>
      <c r="N620" s="119"/>
      <c r="O620" s="119" t="s">
        <v>243</v>
      </c>
      <c r="P620" s="119" t="s">
        <v>155</v>
      </c>
      <c r="Q620" s="119" t="s">
        <v>183</v>
      </c>
      <c r="R620" s="119" t="s">
        <v>281</v>
      </c>
      <c r="S620" s="119"/>
      <c r="T620" s="118" t="s">
        <v>155</v>
      </c>
      <c r="U620" s="119" t="s">
        <v>155</v>
      </c>
      <c r="V620" s="119" t="s">
        <v>155</v>
      </c>
      <c r="W620" s="119"/>
      <c r="X620" s="119" t="s">
        <v>243</v>
      </c>
      <c r="Y620" s="119" t="s">
        <v>282</v>
      </c>
      <c r="Z620" s="119" t="s">
        <v>283</v>
      </c>
      <c r="AA620" s="119">
        <v>470195</v>
      </c>
      <c r="AB620" s="118" t="s">
        <v>282</v>
      </c>
      <c r="AC620" s="119">
        <v>470195</v>
      </c>
      <c r="AD620" s="119" t="s">
        <v>283</v>
      </c>
      <c r="BG620" s="158"/>
    </row>
    <row r="621" spans="2:59" ht="14">
      <c r="B621" s="120" t="s">
        <v>242</v>
      </c>
      <c r="C621" s="121" t="s">
        <v>269</v>
      </c>
      <c r="D621" s="142" t="s">
        <v>460</v>
      </c>
      <c r="E621" s="143" t="s">
        <v>181</v>
      </c>
      <c r="F621" s="121" t="s">
        <v>286</v>
      </c>
      <c r="G621" s="121" t="s">
        <v>182</v>
      </c>
      <c r="H621" s="121" t="s">
        <v>183</v>
      </c>
      <c r="I621" s="224" t="s">
        <v>432</v>
      </c>
      <c r="J621" s="121" t="s">
        <v>272</v>
      </c>
      <c r="K621" s="121" t="s">
        <v>243</v>
      </c>
      <c r="L621" s="121" t="s">
        <v>155</v>
      </c>
      <c r="M621" s="121" t="s">
        <v>273</v>
      </c>
      <c r="N621" s="121" t="s">
        <v>155</v>
      </c>
      <c r="O621" s="121" t="s">
        <v>182</v>
      </c>
      <c r="P621" s="121" t="s">
        <v>155</v>
      </c>
      <c r="Q621" s="121" t="s">
        <v>274</v>
      </c>
      <c r="R621" s="121" t="s">
        <v>275</v>
      </c>
      <c r="S621" s="121" t="s">
        <v>155</v>
      </c>
      <c r="T621" s="121" t="s">
        <v>155</v>
      </c>
      <c r="U621" s="121" t="s">
        <v>155</v>
      </c>
      <c r="V621" s="121" t="s">
        <v>155</v>
      </c>
      <c r="W621" s="121" t="s">
        <v>155</v>
      </c>
      <c r="X621" s="121" t="s">
        <v>243</v>
      </c>
      <c r="Y621" s="121" t="s">
        <v>276</v>
      </c>
      <c r="Z621" s="121" t="s">
        <v>277</v>
      </c>
      <c r="AA621" s="121" t="s">
        <v>277</v>
      </c>
      <c r="AB621" s="121" t="s">
        <v>278</v>
      </c>
      <c r="AC621" s="121" t="s">
        <v>287</v>
      </c>
      <c r="AD621" s="121" t="s">
        <v>287</v>
      </c>
      <c r="BG621" s="158"/>
    </row>
    <row r="622" spans="2:59" ht="14">
      <c r="B622" s="122" t="s">
        <v>244</v>
      </c>
      <c r="C622" s="132" t="s">
        <v>269</v>
      </c>
      <c r="D622" s="132" t="s">
        <v>599</v>
      </c>
      <c r="E622" s="132" t="s">
        <v>285</v>
      </c>
      <c r="F622" s="132" t="s">
        <v>182</v>
      </c>
      <c r="G622" s="132" t="s">
        <v>182</v>
      </c>
      <c r="H622" s="132" t="s">
        <v>183</v>
      </c>
      <c r="I622" s="225" t="s">
        <v>432</v>
      </c>
      <c r="J622" s="132" t="s">
        <v>496</v>
      </c>
      <c r="K622" s="132" t="s">
        <v>497</v>
      </c>
      <c r="L622" s="132" t="s">
        <v>155</v>
      </c>
      <c r="M622" s="132" t="s">
        <v>273</v>
      </c>
      <c r="N622" s="132" t="s">
        <v>155</v>
      </c>
      <c r="O622" s="132" t="s">
        <v>182</v>
      </c>
      <c r="P622" s="132" t="s">
        <v>155</v>
      </c>
      <c r="Q622" s="132" t="s">
        <v>274</v>
      </c>
      <c r="R622" s="132" t="s">
        <v>275</v>
      </c>
      <c r="S622" s="132" t="s">
        <v>155</v>
      </c>
      <c r="T622" s="132" t="s">
        <v>155</v>
      </c>
      <c r="U622" s="132" t="s">
        <v>155</v>
      </c>
      <c r="V622" s="132" t="s">
        <v>155</v>
      </c>
      <c r="W622" s="132" t="s">
        <v>155</v>
      </c>
      <c r="X622" s="132" t="s">
        <v>243</v>
      </c>
      <c r="Y622" s="132" t="s">
        <v>276</v>
      </c>
      <c r="Z622" s="132" t="s">
        <v>277</v>
      </c>
      <c r="AA622" s="132" t="s">
        <v>277</v>
      </c>
      <c r="AB622" s="132" t="s">
        <v>278</v>
      </c>
      <c r="AC622" s="132" t="s">
        <v>287</v>
      </c>
      <c r="AD622" s="132" t="s">
        <v>287</v>
      </c>
      <c r="BG622" s="158"/>
    </row>
    <row r="623" spans="2:59" ht="14">
      <c r="B623" s="120" t="s">
        <v>242</v>
      </c>
      <c r="C623" s="121" t="s">
        <v>269</v>
      </c>
      <c r="D623" s="142" t="s">
        <v>181</v>
      </c>
      <c r="E623" s="143" t="s">
        <v>181</v>
      </c>
      <c r="F623" s="121" t="s">
        <v>286</v>
      </c>
      <c r="G623" s="121" t="s">
        <v>443</v>
      </c>
      <c r="H623" s="121" t="s">
        <v>183</v>
      </c>
      <c r="I623" s="224" t="s">
        <v>432</v>
      </c>
      <c r="J623" s="121" t="s">
        <v>272</v>
      </c>
      <c r="K623" s="121" t="s">
        <v>243</v>
      </c>
      <c r="L623" s="121" t="s">
        <v>155</v>
      </c>
      <c r="M623" s="121" t="s">
        <v>273</v>
      </c>
      <c r="N623" s="121" t="s">
        <v>155</v>
      </c>
      <c r="O623" s="121" t="s">
        <v>182</v>
      </c>
      <c r="P623" s="121" t="s">
        <v>155</v>
      </c>
      <c r="Q623" s="121" t="s">
        <v>274</v>
      </c>
      <c r="R623" s="121" t="s">
        <v>275</v>
      </c>
      <c r="S623" s="121" t="s">
        <v>155</v>
      </c>
      <c r="T623" s="121" t="s">
        <v>155</v>
      </c>
      <c r="U623" s="121" t="s">
        <v>155</v>
      </c>
      <c r="V623" s="121" t="s">
        <v>155</v>
      </c>
      <c r="W623" s="121" t="s">
        <v>155</v>
      </c>
      <c r="X623" s="121" t="s">
        <v>243</v>
      </c>
      <c r="Y623" s="121" t="s">
        <v>276</v>
      </c>
      <c r="Z623" s="121" t="s">
        <v>277</v>
      </c>
      <c r="AA623" s="121" t="s">
        <v>277</v>
      </c>
      <c r="AB623" s="121" t="s">
        <v>278</v>
      </c>
      <c r="AC623" s="121" t="s">
        <v>287</v>
      </c>
      <c r="AD623" s="121" t="s">
        <v>287</v>
      </c>
      <c r="BG623" s="158"/>
    </row>
    <row r="624" spans="2:59">
      <c r="B624" s="163"/>
      <c r="BG624" s="158"/>
    </row>
    <row r="625" spans="2:59" ht="15">
      <c r="B625" s="163"/>
      <c r="C625" s="257" t="s">
        <v>321</v>
      </c>
      <c r="D625" s="258"/>
      <c r="E625" s="258"/>
      <c r="F625" s="258"/>
      <c r="G625" s="258"/>
      <c r="H625" s="258"/>
      <c r="I625" s="258"/>
      <c r="J625" s="258"/>
      <c r="K625" s="258"/>
      <c r="L625" s="258"/>
      <c r="M625" s="258"/>
      <c r="N625" s="258"/>
      <c r="O625" s="258"/>
      <c r="P625" s="258"/>
      <c r="Q625" s="258"/>
      <c r="R625" s="258"/>
      <c r="S625" s="258"/>
      <c r="T625" s="258"/>
      <c r="U625" s="90"/>
      <c r="V625" s="90"/>
      <c r="W625" s="90"/>
      <c r="X625" s="90"/>
      <c r="Y625" s="90"/>
      <c r="Z625" s="90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2"/>
      <c r="AQ625" s="92"/>
      <c r="AR625" s="92"/>
      <c r="AS625" s="92"/>
      <c r="AT625" s="92"/>
      <c r="AU625" s="92"/>
      <c r="AV625" s="92"/>
      <c r="AW625" s="92"/>
      <c r="AX625" s="92"/>
      <c r="AY625" s="92"/>
      <c r="AZ625" s="92"/>
      <c r="BA625" s="92"/>
      <c r="BB625" s="92"/>
      <c r="BC625" s="92"/>
      <c r="BD625" s="92"/>
      <c r="BE625" s="92"/>
      <c r="BF625" s="92"/>
      <c r="BG625" s="158"/>
    </row>
    <row r="626" spans="2:59" ht="15">
      <c r="B626" s="163"/>
      <c r="C626" s="127"/>
      <c r="D626" s="127"/>
      <c r="E626" s="127"/>
      <c r="F626" s="124" t="s">
        <v>168</v>
      </c>
      <c r="G626" s="124" t="s">
        <v>168</v>
      </c>
      <c r="H626" s="129" t="s">
        <v>168</v>
      </c>
      <c r="I626" s="124" t="s">
        <v>168</v>
      </c>
      <c r="J626" s="124" t="s">
        <v>168</v>
      </c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30"/>
      <c r="AB626" s="130"/>
      <c r="AC626" s="130"/>
      <c r="AD626" s="130"/>
      <c r="AE626" s="130"/>
      <c r="AF626" s="130"/>
      <c r="AG626" s="130"/>
      <c r="AH626" s="130"/>
      <c r="AI626" s="130"/>
      <c r="AJ626" s="130"/>
      <c r="AK626" s="130"/>
      <c r="AL626" s="130"/>
      <c r="AM626" s="130"/>
      <c r="AN626" s="130"/>
      <c r="AO626" s="130"/>
      <c r="AP626" s="130"/>
      <c r="AQ626" s="130"/>
      <c r="AR626" s="130"/>
      <c r="AS626" s="130"/>
      <c r="AT626" s="130"/>
      <c r="AU626" s="130"/>
      <c r="AV626" s="130"/>
      <c r="AW626" s="130"/>
      <c r="AX626" s="130"/>
      <c r="AY626" s="130"/>
      <c r="AZ626" s="130"/>
      <c r="BA626" s="130"/>
      <c r="BB626" s="130"/>
      <c r="BC626" s="130"/>
      <c r="BD626" s="130"/>
      <c r="BE626" s="130"/>
      <c r="BF626" s="130"/>
      <c r="BG626" s="158"/>
    </row>
    <row r="627" spans="2:59" ht="25">
      <c r="B627" s="163"/>
      <c r="C627" s="117" t="s">
        <v>365</v>
      </c>
      <c r="D627" s="117" t="s">
        <v>420</v>
      </c>
      <c r="E627" s="117" t="s">
        <v>421</v>
      </c>
      <c r="F627" s="119" t="s">
        <v>96</v>
      </c>
      <c r="G627" s="119" t="s">
        <v>99</v>
      </c>
      <c r="H627" s="119" t="s">
        <v>130</v>
      </c>
      <c r="I627" s="119" t="s">
        <v>391</v>
      </c>
      <c r="J627" s="119" t="s">
        <v>127</v>
      </c>
      <c r="K627" s="119" t="s">
        <v>67</v>
      </c>
      <c r="L627" s="119" t="s">
        <v>288</v>
      </c>
      <c r="M627" s="119" t="s">
        <v>366</v>
      </c>
      <c r="N627" s="119" t="s">
        <v>367</v>
      </c>
      <c r="O627" s="119" t="s">
        <v>368</v>
      </c>
      <c r="P627" s="119" t="s">
        <v>369</v>
      </c>
      <c r="Q627" s="119" t="s">
        <v>370</v>
      </c>
      <c r="R627" s="119" t="s">
        <v>371</v>
      </c>
      <c r="S627" s="119" t="s">
        <v>372</v>
      </c>
      <c r="T627" s="119" t="s">
        <v>373</v>
      </c>
      <c r="U627" s="119" t="s">
        <v>374</v>
      </c>
      <c r="V627" s="119" t="s">
        <v>375</v>
      </c>
      <c r="W627" s="119" t="s">
        <v>376</v>
      </c>
      <c r="X627" s="119" t="s">
        <v>377</v>
      </c>
      <c r="Y627" s="119" t="s">
        <v>378</v>
      </c>
      <c r="Z627" s="119" t="s">
        <v>379</v>
      </c>
      <c r="AA627" s="119" t="s">
        <v>380</v>
      </c>
      <c r="AB627" s="119" t="s">
        <v>381</v>
      </c>
      <c r="AC627" s="119" t="s">
        <v>382</v>
      </c>
      <c r="AD627" s="119" t="s">
        <v>383</v>
      </c>
      <c r="AE627" s="119" t="s">
        <v>384</v>
      </c>
      <c r="AF627" s="119" t="s">
        <v>385</v>
      </c>
      <c r="AG627" s="119" t="s">
        <v>386</v>
      </c>
      <c r="AH627" s="119" t="s">
        <v>387</v>
      </c>
      <c r="AI627" s="119" t="s">
        <v>388</v>
      </c>
      <c r="AJ627" s="119" t="s">
        <v>390</v>
      </c>
      <c r="AK627" s="119" t="s">
        <v>389</v>
      </c>
      <c r="AL627" s="119" t="s">
        <v>398</v>
      </c>
      <c r="AM627" s="119" t="s">
        <v>392</v>
      </c>
      <c r="AN627" s="119" t="s">
        <v>393</v>
      </c>
      <c r="AO627" s="119" t="s">
        <v>394</v>
      </c>
      <c r="AP627" s="119" t="s">
        <v>395</v>
      </c>
      <c r="AQ627" s="119" t="s">
        <v>399</v>
      </c>
      <c r="AR627" s="119" t="s">
        <v>396</v>
      </c>
      <c r="AS627" s="119" t="s">
        <v>397</v>
      </c>
      <c r="AT627" s="119" t="s">
        <v>400</v>
      </c>
      <c r="AU627" s="119" t="s">
        <v>401</v>
      </c>
      <c r="AV627" s="119" t="s">
        <v>402</v>
      </c>
      <c r="AW627" s="119" t="s">
        <v>403</v>
      </c>
      <c r="AX627" s="119" t="s">
        <v>404</v>
      </c>
      <c r="AY627" s="119" t="s">
        <v>405</v>
      </c>
      <c r="AZ627" s="119" t="s">
        <v>229</v>
      </c>
      <c r="BA627" s="119" t="s">
        <v>230</v>
      </c>
      <c r="BB627" s="119" t="s">
        <v>231</v>
      </c>
      <c r="BC627" s="119" t="s">
        <v>232</v>
      </c>
      <c r="BD627" s="119" t="s">
        <v>150</v>
      </c>
      <c r="BE627" s="119" t="s">
        <v>151</v>
      </c>
      <c r="BF627" s="119" t="s">
        <v>233</v>
      </c>
      <c r="BG627" s="158"/>
    </row>
    <row r="628" spans="2:59">
      <c r="B628" s="163"/>
      <c r="C628" s="117" t="s">
        <v>205</v>
      </c>
      <c r="D628" s="117" t="s">
        <v>214</v>
      </c>
      <c r="E628" s="117" t="s">
        <v>222</v>
      </c>
      <c r="F628" s="118" t="s">
        <v>322</v>
      </c>
      <c r="G628" s="118" t="s">
        <v>323</v>
      </c>
      <c r="H628" s="118" t="s">
        <v>324</v>
      </c>
      <c r="I628" s="118" t="s">
        <v>351</v>
      </c>
      <c r="J628" s="118" t="s">
        <v>357</v>
      </c>
      <c r="K628" s="118" t="s">
        <v>251</v>
      </c>
      <c r="L628" s="118" t="s">
        <v>252</v>
      </c>
      <c r="M628" s="118" t="s">
        <v>325</v>
      </c>
      <c r="N628" s="118" t="s">
        <v>326</v>
      </c>
      <c r="O628" s="118" t="s">
        <v>327</v>
      </c>
      <c r="P628" s="118" t="s">
        <v>328</v>
      </c>
      <c r="Q628" s="118" t="s">
        <v>329</v>
      </c>
      <c r="R628" s="118" t="s">
        <v>330</v>
      </c>
      <c r="S628" s="118" t="s">
        <v>331</v>
      </c>
      <c r="T628" s="118" t="s">
        <v>332</v>
      </c>
      <c r="U628" s="118" t="s">
        <v>333</v>
      </c>
      <c r="V628" s="118" t="s">
        <v>334</v>
      </c>
      <c r="W628" s="118" t="s">
        <v>335</v>
      </c>
      <c r="X628" s="118" t="s">
        <v>336</v>
      </c>
      <c r="Y628" s="118" t="s">
        <v>337</v>
      </c>
      <c r="Z628" s="118" t="s">
        <v>338</v>
      </c>
      <c r="AA628" s="118" t="s">
        <v>339</v>
      </c>
      <c r="AB628" s="118" t="s">
        <v>340</v>
      </c>
      <c r="AC628" s="118" t="s">
        <v>341</v>
      </c>
      <c r="AD628" s="118" t="s">
        <v>342</v>
      </c>
      <c r="AE628" s="118" t="s">
        <v>343</v>
      </c>
      <c r="AF628" s="118" t="s">
        <v>344</v>
      </c>
      <c r="AG628" s="118" t="s">
        <v>345</v>
      </c>
      <c r="AH628" s="118" t="s">
        <v>346</v>
      </c>
      <c r="AI628" s="118" t="s">
        <v>347</v>
      </c>
      <c r="AJ628" s="118" t="s">
        <v>348</v>
      </c>
      <c r="AK628" s="118" t="s">
        <v>349</v>
      </c>
      <c r="AL628" s="118" t="s">
        <v>350</v>
      </c>
      <c r="AM628" s="118" t="s">
        <v>352</v>
      </c>
      <c r="AN628" s="118" t="s">
        <v>353</v>
      </c>
      <c r="AO628" s="118" t="s">
        <v>354</v>
      </c>
      <c r="AP628" s="118" t="s">
        <v>234</v>
      </c>
      <c r="AQ628" s="118" t="s">
        <v>355</v>
      </c>
      <c r="AR628" s="118" t="s">
        <v>356</v>
      </c>
      <c r="AS628" s="118" t="s">
        <v>358</v>
      </c>
      <c r="AT628" s="118" t="s">
        <v>359</v>
      </c>
      <c r="AU628" s="118" t="s">
        <v>360</v>
      </c>
      <c r="AV628" s="118" t="s">
        <v>361</v>
      </c>
      <c r="AW628" s="118" t="s">
        <v>362</v>
      </c>
      <c r="AX628" s="118" t="s">
        <v>363</v>
      </c>
      <c r="AY628" s="118" t="s">
        <v>364</v>
      </c>
      <c r="AZ628" s="118" t="s">
        <v>235</v>
      </c>
      <c r="BA628" s="118" t="s">
        <v>236</v>
      </c>
      <c r="BB628" s="118" t="s">
        <v>237</v>
      </c>
      <c r="BC628" s="118" t="s">
        <v>238</v>
      </c>
      <c r="BD628" s="118" t="s">
        <v>239</v>
      </c>
      <c r="BE628" s="118" t="s">
        <v>240</v>
      </c>
      <c r="BF628" s="118" t="s">
        <v>241</v>
      </c>
      <c r="BG628" s="158"/>
    </row>
    <row r="629" spans="2:59">
      <c r="B629" s="163"/>
      <c r="C629" s="117" t="s">
        <v>304</v>
      </c>
      <c r="D629" s="117" t="s">
        <v>406</v>
      </c>
      <c r="E629" s="117" t="s">
        <v>305</v>
      </c>
      <c r="F629" s="131" t="s">
        <v>306</v>
      </c>
      <c r="G629" s="131" t="s">
        <v>306</v>
      </c>
      <c r="H629" s="131" t="s">
        <v>306</v>
      </c>
      <c r="I629" s="131" t="s">
        <v>306</v>
      </c>
      <c r="J629" s="131" t="s">
        <v>308</v>
      </c>
      <c r="K629" s="131" t="s">
        <v>306</v>
      </c>
      <c r="L629" s="131" t="s">
        <v>306</v>
      </c>
      <c r="M629" s="131" t="s">
        <v>407</v>
      </c>
      <c r="N629" s="131" t="s">
        <v>407</v>
      </c>
      <c r="O629" s="131" t="s">
        <v>305</v>
      </c>
      <c r="P629" s="131" t="s">
        <v>408</v>
      </c>
      <c r="Q629" s="131" t="s">
        <v>306</v>
      </c>
      <c r="R629" s="131" t="s">
        <v>313</v>
      </c>
      <c r="S629" s="131" t="s">
        <v>308</v>
      </c>
      <c r="T629" s="131" t="s">
        <v>313</v>
      </c>
      <c r="U629" s="131" t="s">
        <v>308</v>
      </c>
      <c r="V629" s="131" t="s">
        <v>308</v>
      </c>
      <c r="W629" s="131" t="s">
        <v>306</v>
      </c>
      <c r="X629" s="131" t="s">
        <v>409</v>
      </c>
      <c r="Y629" s="131" t="s">
        <v>409</v>
      </c>
      <c r="Z629" s="131" t="s">
        <v>310</v>
      </c>
      <c r="AA629" s="131" t="s">
        <v>408</v>
      </c>
      <c r="AB629" s="131" t="s">
        <v>408</v>
      </c>
      <c r="AC629" s="131" t="s">
        <v>308</v>
      </c>
      <c r="AD629" s="131" t="s">
        <v>312</v>
      </c>
      <c r="AE629" s="131" t="s">
        <v>313</v>
      </c>
      <c r="AF629" s="131" t="s">
        <v>313</v>
      </c>
      <c r="AG629" s="131" t="s">
        <v>410</v>
      </c>
      <c r="AH629" s="131" t="s">
        <v>410</v>
      </c>
      <c r="AI629" s="131" t="s">
        <v>313</v>
      </c>
      <c r="AJ629" s="131" t="s">
        <v>313</v>
      </c>
      <c r="AK629" s="131" t="s">
        <v>410</v>
      </c>
      <c r="AL629" s="131" t="s">
        <v>410</v>
      </c>
      <c r="AM629" s="131" t="s">
        <v>306</v>
      </c>
      <c r="AN629" s="131" t="s">
        <v>306</v>
      </c>
      <c r="AO629" s="131" t="s">
        <v>306</v>
      </c>
      <c r="AP629" s="131" t="s">
        <v>310</v>
      </c>
      <c r="AQ629" s="131" t="s">
        <v>305</v>
      </c>
      <c r="AR629" s="131" t="s">
        <v>306</v>
      </c>
      <c r="AS629" s="131" t="s">
        <v>308</v>
      </c>
      <c r="AT629" s="131" t="s">
        <v>306</v>
      </c>
      <c r="AU629" s="131" t="s">
        <v>411</v>
      </c>
      <c r="AV629" s="131" t="s">
        <v>313</v>
      </c>
      <c r="AW629" s="131" t="s">
        <v>310</v>
      </c>
      <c r="AX629" s="131" t="s">
        <v>306</v>
      </c>
      <c r="AY629" s="131" t="s">
        <v>306</v>
      </c>
      <c r="AZ629" s="131" t="s">
        <v>317</v>
      </c>
      <c r="BA629" s="131" t="s">
        <v>318</v>
      </c>
      <c r="BB629" s="131" t="s">
        <v>320</v>
      </c>
      <c r="BC629" s="131" t="s">
        <v>320</v>
      </c>
      <c r="BD629" s="131" t="s">
        <v>318</v>
      </c>
      <c r="BE629" s="131" t="s">
        <v>320</v>
      </c>
      <c r="BF629" s="131" t="s">
        <v>320</v>
      </c>
      <c r="BG629" s="158"/>
    </row>
    <row r="630" spans="2:59" ht="15">
      <c r="B630" s="120" t="s">
        <v>242</v>
      </c>
      <c r="C630" s="132" t="s">
        <v>269</v>
      </c>
      <c r="D630" s="142" t="s">
        <v>461</v>
      </c>
      <c r="E630" s="143" t="s">
        <v>181</v>
      </c>
      <c r="F630" s="133" t="s">
        <v>184</v>
      </c>
      <c r="G630" s="132" t="s">
        <v>243</v>
      </c>
      <c r="H630" s="132" t="s">
        <v>243</v>
      </c>
      <c r="I630" s="135">
        <v>0</v>
      </c>
      <c r="J630" s="136">
        <v>30</v>
      </c>
      <c r="K630" s="132" t="s">
        <v>271</v>
      </c>
      <c r="L630" s="132" t="s">
        <v>271</v>
      </c>
      <c r="M630" s="132" t="s">
        <v>155</v>
      </c>
      <c r="N630" s="132" t="s">
        <v>155</v>
      </c>
      <c r="O630" s="132" t="s">
        <v>416</v>
      </c>
      <c r="P630" s="132" t="s">
        <v>155</v>
      </c>
      <c r="Q630" s="134" t="s">
        <v>417</v>
      </c>
      <c r="R630" s="132" t="s">
        <v>182</v>
      </c>
      <c r="S630" s="132" t="s">
        <v>243</v>
      </c>
      <c r="T630" s="132" t="s">
        <v>413</v>
      </c>
      <c r="U630" s="132" t="s">
        <v>414</v>
      </c>
      <c r="V630" s="132" t="s">
        <v>418</v>
      </c>
      <c r="W630" s="132" t="s">
        <v>182</v>
      </c>
      <c r="X630" s="132" t="s">
        <v>243</v>
      </c>
      <c r="Y630" s="132" t="s">
        <v>243</v>
      </c>
      <c r="Z630" s="132"/>
      <c r="AA630" s="135"/>
      <c r="AB630" s="135" t="s">
        <v>419</v>
      </c>
      <c r="AC630" s="138">
        <v>5000</v>
      </c>
      <c r="AD630" s="135">
        <v>99999999</v>
      </c>
      <c r="AE630" s="132" t="s">
        <v>243</v>
      </c>
      <c r="AF630" s="132" t="s">
        <v>271</v>
      </c>
      <c r="AG630" s="132" t="s">
        <v>243</v>
      </c>
      <c r="AH630" s="132" t="s">
        <v>243</v>
      </c>
      <c r="AI630" s="135">
        <v>0</v>
      </c>
      <c r="AJ630" s="135">
        <v>0</v>
      </c>
      <c r="AK630" s="135">
        <v>0</v>
      </c>
      <c r="AL630" s="135">
        <v>0</v>
      </c>
      <c r="AM630" s="132" t="s">
        <v>182</v>
      </c>
      <c r="AN630" s="135">
        <v>0</v>
      </c>
      <c r="AO630" s="132" t="s">
        <v>243</v>
      </c>
      <c r="AP630" s="135">
        <v>1</v>
      </c>
      <c r="AQ630" s="136">
        <v>1111</v>
      </c>
      <c r="AR630" s="136" t="s">
        <v>415</v>
      </c>
      <c r="AS630" s="136">
        <v>10</v>
      </c>
      <c r="AT630" s="136">
        <v>1</v>
      </c>
      <c r="AU630" s="136">
        <v>0</v>
      </c>
      <c r="AV630" s="136">
        <v>0</v>
      </c>
      <c r="AW630" s="136">
        <v>0</v>
      </c>
      <c r="AX630" s="136">
        <v>0</v>
      </c>
      <c r="AY630" s="136">
        <v>1</v>
      </c>
      <c r="AZ630" s="136">
        <v>0</v>
      </c>
      <c r="BA630" s="137">
        <v>40640.750486111108</v>
      </c>
      <c r="BB630" s="136">
        <v>470195</v>
      </c>
      <c r="BC630" s="136">
        <v>470195</v>
      </c>
      <c r="BD630" s="137">
        <v>45392.67769675926</v>
      </c>
      <c r="BE630" s="136">
        <v>363363</v>
      </c>
      <c r="BF630" s="136">
        <v>363363</v>
      </c>
      <c r="BG630" s="158"/>
    </row>
    <row r="631" spans="2:59" ht="15">
      <c r="B631" s="120" t="s">
        <v>242</v>
      </c>
      <c r="C631" s="132" t="s">
        <v>269</v>
      </c>
      <c r="D631" s="142" t="s">
        <v>460</v>
      </c>
      <c r="E631" s="143" t="s">
        <v>181</v>
      </c>
      <c r="F631" s="139" t="s">
        <v>286</v>
      </c>
      <c r="G631" s="132" t="s">
        <v>243</v>
      </c>
      <c r="H631" s="132" t="s">
        <v>243</v>
      </c>
      <c r="I631" s="135">
        <v>1</v>
      </c>
      <c r="J631" s="136">
        <v>0</v>
      </c>
      <c r="K631" s="132" t="s">
        <v>182</v>
      </c>
      <c r="L631" s="225" t="s">
        <v>432</v>
      </c>
      <c r="M631" s="132" t="s">
        <v>155</v>
      </c>
      <c r="N631" s="132" t="s">
        <v>155</v>
      </c>
      <c r="O631" s="132" t="s">
        <v>155</v>
      </c>
      <c r="P631" s="132" t="s">
        <v>155</v>
      </c>
      <c r="Q631" s="134" t="s">
        <v>412</v>
      </c>
      <c r="R631" s="132" t="s">
        <v>243</v>
      </c>
      <c r="S631" s="132" t="s">
        <v>243</v>
      </c>
      <c r="T631" s="132" t="s">
        <v>413</v>
      </c>
      <c r="U631" s="132" t="s">
        <v>414</v>
      </c>
      <c r="V631" s="132" t="s">
        <v>182</v>
      </c>
      <c r="W631" s="132" t="s">
        <v>182</v>
      </c>
      <c r="X631" s="132" t="s">
        <v>243</v>
      </c>
      <c r="Y631" s="132" t="s">
        <v>243</v>
      </c>
      <c r="Z631" s="132" t="s">
        <v>155</v>
      </c>
      <c r="AA631" s="135" t="s">
        <v>155</v>
      </c>
      <c r="AB631" s="135" t="s">
        <v>155</v>
      </c>
      <c r="AC631" s="135">
        <v>1</v>
      </c>
      <c r="AD631" s="135">
        <v>99999999</v>
      </c>
      <c r="AE631" s="132" t="s">
        <v>243</v>
      </c>
      <c r="AF631" s="132" t="s">
        <v>243</v>
      </c>
      <c r="AG631" s="132" t="s">
        <v>243</v>
      </c>
      <c r="AH631" s="132" t="s">
        <v>243</v>
      </c>
      <c r="AI631" s="135">
        <v>0</v>
      </c>
      <c r="AJ631" s="135">
        <v>0</v>
      </c>
      <c r="AK631" s="135">
        <v>0</v>
      </c>
      <c r="AL631" s="135">
        <v>0</v>
      </c>
      <c r="AM631" s="132" t="s">
        <v>182</v>
      </c>
      <c r="AN631" s="135">
        <v>0</v>
      </c>
      <c r="AO631" s="132" t="s">
        <v>243</v>
      </c>
      <c r="AP631" s="135">
        <v>1</v>
      </c>
      <c r="AQ631" s="136" t="s">
        <v>155</v>
      </c>
      <c r="AR631" s="136" t="s">
        <v>415</v>
      </c>
      <c r="AS631" s="136">
        <v>0</v>
      </c>
      <c r="AT631" s="136">
        <v>1</v>
      </c>
      <c r="AU631" s="136">
        <v>0</v>
      </c>
      <c r="AV631" s="136">
        <v>0</v>
      </c>
      <c r="AW631" s="136">
        <v>0</v>
      </c>
      <c r="AX631" s="136">
        <v>0</v>
      </c>
      <c r="AY631" s="136">
        <v>1</v>
      </c>
      <c r="AZ631" s="136">
        <v>0</v>
      </c>
      <c r="BA631" s="137">
        <v>29705</v>
      </c>
      <c r="BB631" s="136" t="s">
        <v>277</v>
      </c>
      <c r="BC631" s="136" t="s">
        <v>277</v>
      </c>
      <c r="BD631" s="137">
        <v>36413</v>
      </c>
      <c r="BE631" s="136" t="s">
        <v>277</v>
      </c>
      <c r="BF631" s="136" t="s">
        <v>277</v>
      </c>
      <c r="BG631" s="158"/>
    </row>
    <row r="632" spans="2:59" ht="14">
      <c r="B632" s="122" t="s">
        <v>244</v>
      </c>
      <c r="C632" s="132" t="s">
        <v>269</v>
      </c>
      <c r="D632" s="132" t="s">
        <v>599</v>
      </c>
      <c r="E632" s="132" t="s">
        <v>285</v>
      </c>
      <c r="F632" s="218" t="s">
        <v>185</v>
      </c>
      <c r="G632" s="132" t="s">
        <v>243</v>
      </c>
      <c r="H632" s="132" t="s">
        <v>243</v>
      </c>
      <c r="I632" s="132">
        <v>0</v>
      </c>
      <c r="J632" s="132">
        <v>30</v>
      </c>
      <c r="K632" s="132" t="s">
        <v>182</v>
      </c>
      <c r="L632" s="225" t="s">
        <v>432</v>
      </c>
      <c r="M632" s="132" t="s">
        <v>155</v>
      </c>
      <c r="N632" s="132" t="s">
        <v>155</v>
      </c>
      <c r="O632" s="132" t="s">
        <v>416</v>
      </c>
      <c r="P632" s="132" t="s">
        <v>155</v>
      </c>
      <c r="Q632" s="132" t="s">
        <v>417</v>
      </c>
      <c r="R632" s="132" t="s">
        <v>182</v>
      </c>
      <c r="S632" s="132" t="s">
        <v>497</v>
      </c>
      <c r="T632" s="132" t="s">
        <v>413</v>
      </c>
      <c r="U632" s="132" t="s">
        <v>498</v>
      </c>
      <c r="V632" s="132" t="s">
        <v>499</v>
      </c>
      <c r="W632" s="132" t="s">
        <v>182</v>
      </c>
      <c r="X632" s="132" t="s">
        <v>500</v>
      </c>
      <c r="Y632" s="132" t="s">
        <v>500</v>
      </c>
      <c r="Z632" s="132"/>
      <c r="AA632" s="132"/>
      <c r="AB632" s="132" t="s">
        <v>419</v>
      </c>
      <c r="AC632" s="132">
        <v>5000</v>
      </c>
      <c r="AD632" s="132">
        <v>99999999</v>
      </c>
      <c r="AE632" s="132">
        <v>0</v>
      </c>
      <c r="AF632" s="132">
        <v>2</v>
      </c>
      <c r="AG632" s="132">
        <v>0</v>
      </c>
      <c r="AH632" s="132">
        <v>0</v>
      </c>
      <c r="AI632" s="132">
        <v>0</v>
      </c>
      <c r="AJ632" s="132">
        <v>0</v>
      </c>
      <c r="AK632" s="132">
        <v>0</v>
      </c>
      <c r="AL632" s="132">
        <v>0</v>
      </c>
      <c r="AM632" s="132">
        <v>1</v>
      </c>
      <c r="AN632" s="132">
        <v>0</v>
      </c>
      <c r="AO632" s="132">
        <v>0</v>
      </c>
      <c r="AP632" s="132">
        <v>1</v>
      </c>
      <c r="AQ632" s="132">
        <v>1111</v>
      </c>
      <c r="AR632" s="132" t="s">
        <v>415</v>
      </c>
      <c r="AS632" s="132">
        <v>10</v>
      </c>
      <c r="AT632" s="132">
        <v>1</v>
      </c>
      <c r="AU632" s="132">
        <v>0</v>
      </c>
      <c r="AV632" s="132">
        <v>0</v>
      </c>
      <c r="AW632" s="132">
        <v>0</v>
      </c>
      <c r="AX632" s="132">
        <v>0</v>
      </c>
      <c r="AY632" s="132">
        <v>1</v>
      </c>
      <c r="AZ632" s="132">
        <v>0</v>
      </c>
      <c r="BA632" s="132">
        <v>40640.750486111108</v>
      </c>
      <c r="BB632" s="132">
        <v>470195</v>
      </c>
      <c r="BC632" s="132">
        <v>470195</v>
      </c>
      <c r="BD632" s="132">
        <v>45392.67769675926</v>
      </c>
      <c r="BE632" s="132">
        <v>363363</v>
      </c>
      <c r="BF632" s="132">
        <v>363363</v>
      </c>
      <c r="BG632" s="158"/>
    </row>
    <row r="633" spans="2:59" ht="14">
      <c r="B633" s="120" t="s">
        <v>242</v>
      </c>
      <c r="C633" s="132" t="s">
        <v>269</v>
      </c>
      <c r="D633" s="142" t="s">
        <v>181</v>
      </c>
      <c r="E633" s="143" t="s">
        <v>181</v>
      </c>
      <c r="F633" s="132" t="s">
        <v>184</v>
      </c>
      <c r="G633" s="132" t="s">
        <v>243</v>
      </c>
      <c r="H633" s="132" t="s">
        <v>243</v>
      </c>
      <c r="I633" s="132">
        <v>0</v>
      </c>
      <c r="J633" s="132">
        <v>30</v>
      </c>
      <c r="K633" s="132" t="s">
        <v>443</v>
      </c>
      <c r="L633" s="225" t="s">
        <v>432</v>
      </c>
      <c r="M633" s="132" t="s">
        <v>155</v>
      </c>
      <c r="N633" s="132" t="s">
        <v>155</v>
      </c>
      <c r="O633" s="132" t="s">
        <v>416</v>
      </c>
      <c r="P633" s="132" t="s">
        <v>155</v>
      </c>
      <c r="Q633" s="132" t="s">
        <v>417</v>
      </c>
      <c r="R633" s="132" t="s">
        <v>182</v>
      </c>
      <c r="S633" s="132" t="s">
        <v>243</v>
      </c>
      <c r="T633" s="132" t="s">
        <v>413</v>
      </c>
      <c r="U633" s="132" t="s">
        <v>414</v>
      </c>
      <c r="V633" s="132" t="s">
        <v>418</v>
      </c>
      <c r="W633" s="132" t="s">
        <v>182</v>
      </c>
      <c r="X633" s="132" t="s">
        <v>243</v>
      </c>
      <c r="Y633" s="132" t="s">
        <v>243</v>
      </c>
      <c r="Z633" s="132"/>
      <c r="AA633" s="132"/>
      <c r="AB633" s="132" t="s">
        <v>419</v>
      </c>
      <c r="AC633" s="132">
        <v>5000</v>
      </c>
      <c r="AD633" s="132">
        <v>99999999</v>
      </c>
      <c r="AE633" s="132" t="s">
        <v>243</v>
      </c>
      <c r="AF633" s="132" t="s">
        <v>271</v>
      </c>
      <c r="AG633" s="132" t="s">
        <v>243</v>
      </c>
      <c r="AH633" s="132" t="s">
        <v>243</v>
      </c>
      <c r="AI633" s="132">
        <v>0</v>
      </c>
      <c r="AJ633" s="132">
        <v>0</v>
      </c>
      <c r="AK633" s="132">
        <v>0</v>
      </c>
      <c r="AL633" s="132">
        <v>0</v>
      </c>
      <c r="AM633" s="132" t="s">
        <v>182</v>
      </c>
      <c r="AN633" s="132">
        <v>0</v>
      </c>
      <c r="AO633" s="132" t="s">
        <v>243</v>
      </c>
      <c r="AP633" s="132">
        <v>1</v>
      </c>
      <c r="AQ633" s="132">
        <v>1111</v>
      </c>
      <c r="AR633" s="132" t="s">
        <v>415</v>
      </c>
      <c r="AS633" s="132">
        <v>10</v>
      </c>
      <c r="AT633" s="132">
        <v>1</v>
      </c>
      <c r="AU633" s="132">
        <v>0</v>
      </c>
      <c r="AV633" s="132">
        <v>0</v>
      </c>
      <c r="AW633" s="132">
        <v>0</v>
      </c>
      <c r="AX633" s="132">
        <v>0</v>
      </c>
      <c r="AY633" s="132">
        <v>1</v>
      </c>
      <c r="AZ633" s="132">
        <v>0</v>
      </c>
      <c r="BA633" s="132">
        <v>40640.750486111108</v>
      </c>
      <c r="BB633" s="132">
        <v>470195</v>
      </c>
      <c r="BC633" s="132">
        <v>470195</v>
      </c>
      <c r="BD633" s="132">
        <v>45392.67769675926</v>
      </c>
      <c r="BE633" s="132">
        <v>363363</v>
      </c>
      <c r="BF633" s="132">
        <v>363363</v>
      </c>
      <c r="BG633" s="158"/>
    </row>
    <row r="634" spans="2:59">
      <c r="B634" s="163"/>
      <c r="BG634" s="158"/>
    </row>
    <row r="635" spans="2:59" ht="14.5" thickBot="1">
      <c r="B635" s="163"/>
      <c r="C635" s="164" t="s">
        <v>152</v>
      </c>
      <c r="BG635" s="158"/>
    </row>
    <row r="636" spans="2:59" ht="14.5" thickBot="1">
      <c r="B636" s="163"/>
      <c r="C636" s="233" t="s">
        <v>422</v>
      </c>
      <c r="D636" s="233" t="s">
        <v>423</v>
      </c>
      <c r="E636" s="233" t="s">
        <v>158</v>
      </c>
      <c r="F636" s="233" t="s">
        <v>424</v>
      </c>
      <c r="G636" s="233" t="s">
        <v>425</v>
      </c>
      <c r="H636" s="233" t="s">
        <v>426</v>
      </c>
      <c r="I636" s="233" t="s">
        <v>427</v>
      </c>
      <c r="J636" s="233" t="s">
        <v>428</v>
      </c>
      <c r="K636" s="233" t="s">
        <v>429</v>
      </c>
      <c r="L636" s="233" t="s">
        <v>430</v>
      </c>
      <c r="M636" s="233" t="s">
        <v>431</v>
      </c>
      <c r="BG636" s="158"/>
    </row>
    <row r="637" spans="2:59" ht="14.5" thickBot="1">
      <c r="B637" s="163"/>
      <c r="C637" s="233">
        <v>-2</v>
      </c>
      <c r="D637" s="233" t="s">
        <v>155</v>
      </c>
      <c r="E637" s="233" t="s">
        <v>586</v>
      </c>
      <c r="F637" s="233" t="s">
        <v>652</v>
      </c>
      <c r="G637" s="233" t="s">
        <v>137</v>
      </c>
      <c r="H637" s="233" t="s">
        <v>155</v>
      </c>
      <c r="I637" s="233" t="s">
        <v>155</v>
      </c>
      <c r="J637" s="233" t="s">
        <v>155</v>
      </c>
      <c r="K637" s="233" t="s">
        <v>155</v>
      </c>
      <c r="L637" s="233">
        <v>0</v>
      </c>
      <c r="M637" s="233" t="s">
        <v>155</v>
      </c>
      <c r="BG637" s="158"/>
    </row>
    <row r="638" spans="2:59" ht="13.5" thickBot="1">
      <c r="B638" s="163"/>
      <c r="BG638" s="158"/>
    </row>
    <row r="639" spans="2:59" ht="15" thickBot="1">
      <c r="B639" s="104" t="s">
        <v>551</v>
      </c>
      <c r="C639" s="105" t="s">
        <v>550</v>
      </c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  <c r="BF639" s="105"/>
      <c r="BG639" s="158"/>
    </row>
    <row r="640" spans="2:59" ht="14" thickBot="1">
      <c r="B640" s="140" t="s">
        <v>620</v>
      </c>
      <c r="C640" s="105" t="s">
        <v>447</v>
      </c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05"/>
      <c r="BG640" s="158"/>
    </row>
    <row r="641" spans="2:59">
      <c r="B641" s="163"/>
      <c r="BG641" s="158"/>
    </row>
    <row r="642" spans="2:59" ht="13.5">
      <c r="B642" s="163"/>
      <c r="C642" s="161" t="s">
        <v>228</v>
      </c>
      <c r="BG642" s="158"/>
    </row>
    <row r="643" spans="2:59" ht="13.5">
      <c r="B643" s="163"/>
      <c r="C643" s="161" t="s">
        <v>552</v>
      </c>
      <c r="BG643" s="158"/>
    </row>
    <row r="644" spans="2:59">
      <c r="B644" s="163"/>
      <c r="BG644" s="158"/>
    </row>
    <row r="645" spans="2:59" ht="15">
      <c r="B645" s="163"/>
      <c r="C645" s="257" t="s">
        <v>268</v>
      </c>
      <c r="D645" s="258"/>
      <c r="E645" s="258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  <c r="Z645" s="260"/>
      <c r="AA645" s="66"/>
      <c r="AB645" s="66"/>
      <c r="AC645" s="66"/>
      <c r="AD645" s="66"/>
      <c r="BG645" s="158"/>
    </row>
    <row r="646" spans="2:59" ht="15">
      <c r="B646" s="163"/>
      <c r="C646" s="127"/>
      <c r="D646" s="127"/>
      <c r="E646" s="127"/>
      <c r="F646" s="124" t="s">
        <v>168</v>
      </c>
      <c r="G646" s="124" t="s">
        <v>168</v>
      </c>
      <c r="H646" s="124" t="s">
        <v>168</v>
      </c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BG646" s="158"/>
    </row>
    <row r="647" spans="2:59">
      <c r="B647" s="163"/>
      <c r="C647" s="117" t="s">
        <v>171</v>
      </c>
      <c r="D647" s="117" t="s">
        <v>172</v>
      </c>
      <c r="E647" s="117" t="s">
        <v>173</v>
      </c>
      <c r="F647" s="119" t="s">
        <v>91</v>
      </c>
      <c r="G647" s="119" t="s">
        <v>67</v>
      </c>
      <c r="H647" s="119" t="s">
        <v>69</v>
      </c>
      <c r="I647" s="119" t="s">
        <v>289</v>
      </c>
      <c r="J647" s="119" t="s">
        <v>290</v>
      </c>
      <c r="K647" s="119" t="s">
        <v>291</v>
      </c>
      <c r="L647" s="119" t="s">
        <v>292</v>
      </c>
      <c r="M647" s="119" t="s">
        <v>293</v>
      </c>
      <c r="N647" s="119" t="s">
        <v>294</v>
      </c>
      <c r="O647" s="119" t="s">
        <v>295</v>
      </c>
      <c r="P647" s="119" t="s">
        <v>296</v>
      </c>
      <c r="Q647" s="119" t="s">
        <v>297</v>
      </c>
      <c r="R647" s="119" t="s">
        <v>298</v>
      </c>
      <c r="S647" s="119" t="s">
        <v>299</v>
      </c>
      <c r="T647" s="119" t="s">
        <v>300</v>
      </c>
      <c r="U647" s="119" t="s">
        <v>301</v>
      </c>
      <c r="V647" s="119" t="s">
        <v>302</v>
      </c>
      <c r="W647" s="119" t="s">
        <v>303</v>
      </c>
      <c r="X647" s="119" t="s">
        <v>229</v>
      </c>
      <c r="Y647" s="119" t="s">
        <v>230</v>
      </c>
      <c r="Z647" s="119" t="s">
        <v>231</v>
      </c>
      <c r="AA647" s="119" t="s">
        <v>232</v>
      </c>
      <c r="AB647" s="119" t="s">
        <v>150</v>
      </c>
      <c r="AC647" s="119" t="s">
        <v>151</v>
      </c>
      <c r="AD647" s="119" t="s">
        <v>233</v>
      </c>
      <c r="BG647" s="158"/>
    </row>
    <row r="648" spans="2:59">
      <c r="B648" s="163"/>
      <c r="C648" s="117" t="s">
        <v>205</v>
      </c>
      <c r="D648" s="117" t="s">
        <v>214</v>
      </c>
      <c r="E648" s="117" t="s">
        <v>222</v>
      </c>
      <c r="F648" s="118" t="s">
        <v>250</v>
      </c>
      <c r="G648" s="118" t="s">
        <v>251</v>
      </c>
      <c r="H648" s="118" t="s">
        <v>253</v>
      </c>
      <c r="I648" s="118" t="s">
        <v>252</v>
      </c>
      <c r="J648" s="118" t="s">
        <v>254</v>
      </c>
      <c r="K648" s="118" t="s">
        <v>255</v>
      </c>
      <c r="L648" s="118" t="s">
        <v>256</v>
      </c>
      <c r="M648" s="118" t="s">
        <v>257</v>
      </c>
      <c r="N648" s="118" t="s">
        <v>258</v>
      </c>
      <c r="O648" s="118" t="s">
        <v>259</v>
      </c>
      <c r="P648" s="118" t="s">
        <v>260</v>
      </c>
      <c r="Q648" s="118" t="s">
        <v>261</v>
      </c>
      <c r="R648" s="118" t="s">
        <v>262</v>
      </c>
      <c r="S648" s="118" t="s">
        <v>263</v>
      </c>
      <c r="T648" s="118" t="s">
        <v>264</v>
      </c>
      <c r="U648" s="118" t="s">
        <v>265</v>
      </c>
      <c r="V648" s="118" t="s">
        <v>266</v>
      </c>
      <c r="W648" s="118" t="s">
        <v>267</v>
      </c>
      <c r="X648" s="118" t="s">
        <v>235</v>
      </c>
      <c r="Y648" s="118" t="s">
        <v>236</v>
      </c>
      <c r="Z648" s="118" t="s">
        <v>237</v>
      </c>
      <c r="AA648" s="118" t="s">
        <v>238</v>
      </c>
      <c r="AB648" s="118" t="s">
        <v>239</v>
      </c>
      <c r="AC648" s="118" t="s">
        <v>240</v>
      </c>
      <c r="AD648" s="118" t="s">
        <v>241</v>
      </c>
      <c r="BG648" s="158"/>
    </row>
    <row r="649" spans="2:59">
      <c r="B649" s="163"/>
      <c r="C649" s="117" t="s">
        <v>304</v>
      </c>
      <c r="D649" s="117" t="s">
        <v>305</v>
      </c>
      <c r="E649" s="117" t="s">
        <v>305</v>
      </c>
      <c r="F649" s="119" t="s">
        <v>306</v>
      </c>
      <c r="G649" s="119" t="s">
        <v>306</v>
      </c>
      <c r="H649" s="119" t="s">
        <v>307</v>
      </c>
      <c r="I649" s="119" t="s">
        <v>306</v>
      </c>
      <c r="J649" s="119" t="s">
        <v>308</v>
      </c>
      <c r="K649" s="119" t="s">
        <v>309</v>
      </c>
      <c r="L649" s="118" t="s">
        <v>310</v>
      </c>
      <c r="M649" s="119" t="s">
        <v>310</v>
      </c>
      <c r="N649" s="119" t="s">
        <v>311</v>
      </c>
      <c r="O649" s="119" t="s">
        <v>306</v>
      </c>
      <c r="P649" s="119" t="s">
        <v>312</v>
      </c>
      <c r="Q649" s="119" t="s">
        <v>313</v>
      </c>
      <c r="R649" s="119" t="s">
        <v>312</v>
      </c>
      <c r="S649" s="119" t="s">
        <v>314</v>
      </c>
      <c r="T649" s="118" t="s">
        <v>315</v>
      </c>
      <c r="U649" s="119" t="s">
        <v>315</v>
      </c>
      <c r="V649" s="119" t="s">
        <v>316</v>
      </c>
      <c r="W649" s="119" t="s">
        <v>306</v>
      </c>
      <c r="X649" s="119" t="s">
        <v>317</v>
      </c>
      <c r="Y649" s="119" t="s">
        <v>319</v>
      </c>
      <c r="Z649" s="119" t="s">
        <v>320</v>
      </c>
      <c r="AA649" s="119" t="s">
        <v>320</v>
      </c>
      <c r="AB649" s="118" t="s">
        <v>318</v>
      </c>
      <c r="AC649" s="119" t="s">
        <v>320</v>
      </c>
      <c r="AD649" s="119" t="s">
        <v>320</v>
      </c>
      <c r="BG649" s="158"/>
    </row>
    <row r="650" spans="2:59" ht="14">
      <c r="B650" s="122" t="s">
        <v>244</v>
      </c>
      <c r="C650" s="132" t="s">
        <v>516</v>
      </c>
      <c r="D650" s="132" t="s">
        <v>461</v>
      </c>
      <c r="E650" s="132" t="s">
        <v>461</v>
      </c>
      <c r="F650" s="132" t="s">
        <v>182</v>
      </c>
      <c r="G650" s="132" t="s">
        <v>182</v>
      </c>
      <c r="H650" s="132" t="s">
        <v>183</v>
      </c>
      <c r="I650" s="225" t="s">
        <v>432</v>
      </c>
      <c r="J650" s="132" t="s">
        <v>183</v>
      </c>
      <c r="K650" s="132" t="s">
        <v>243</v>
      </c>
      <c r="L650" s="132" t="s">
        <v>280</v>
      </c>
      <c r="M650" s="132" t="s">
        <v>273</v>
      </c>
      <c r="N650" s="132"/>
      <c r="O650" s="132" t="s">
        <v>243</v>
      </c>
      <c r="P650" s="132" t="s">
        <v>155</v>
      </c>
      <c r="Q650" s="132" t="s">
        <v>183</v>
      </c>
      <c r="R650" s="132" t="s">
        <v>281</v>
      </c>
      <c r="S650" s="132"/>
      <c r="T650" s="132" t="s">
        <v>155</v>
      </c>
      <c r="U650" s="132" t="s">
        <v>155</v>
      </c>
      <c r="V650" s="132" t="s">
        <v>155</v>
      </c>
      <c r="W650" s="132"/>
      <c r="X650" s="132" t="s">
        <v>243</v>
      </c>
      <c r="Y650" s="132">
        <v>40640.750486111108</v>
      </c>
      <c r="Z650" s="132">
        <v>470195</v>
      </c>
      <c r="AA650" s="132">
        <v>470195</v>
      </c>
      <c r="AB650" s="132">
        <v>40640.750486111108</v>
      </c>
      <c r="AC650" s="132">
        <v>470195</v>
      </c>
      <c r="AD650" s="132">
        <v>470195</v>
      </c>
      <c r="BG650" s="158"/>
    </row>
    <row r="651" spans="2:59" ht="14">
      <c r="B651" s="120" t="s">
        <v>242</v>
      </c>
      <c r="C651" s="142" t="s">
        <v>476</v>
      </c>
      <c r="D651" s="121" t="s">
        <v>270</v>
      </c>
      <c r="E651" s="121" t="s">
        <v>270</v>
      </c>
      <c r="F651" s="121" t="s">
        <v>182</v>
      </c>
      <c r="G651" s="121" t="s">
        <v>271</v>
      </c>
      <c r="H651" s="121" t="s">
        <v>183</v>
      </c>
      <c r="I651" s="121" t="s">
        <v>271</v>
      </c>
      <c r="J651" s="121" t="s">
        <v>477</v>
      </c>
      <c r="K651" s="121" t="s">
        <v>243</v>
      </c>
      <c r="L651" s="121" t="s">
        <v>155</v>
      </c>
      <c r="M651" s="121" t="s">
        <v>273</v>
      </c>
      <c r="N651" s="121"/>
      <c r="O651" s="121" t="s">
        <v>182</v>
      </c>
      <c r="P651" s="121" t="s">
        <v>155</v>
      </c>
      <c r="Q651" s="121" t="s">
        <v>274</v>
      </c>
      <c r="R651" s="121" t="s">
        <v>478</v>
      </c>
      <c r="S651" s="121"/>
      <c r="T651" s="121" t="s">
        <v>479</v>
      </c>
      <c r="U651" s="121" t="s">
        <v>480</v>
      </c>
      <c r="V651" s="121" t="s">
        <v>481</v>
      </c>
      <c r="W651" s="121"/>
      <c r="X651" s="121" t="s">
        <v>243</v>
      </c>
      <c r="Y651" s="121" t="s">
        <v>276</v>
      </c>
      <c r="Z651" s="121" t="s">
        <v>277</v>
      </c>
      <c r="AA651" s="121" t="s">
        <v>277</v>
      </c>
      <c r="AB651" s="121" t="s">
        <v>482</v>
      </c>
      <c r="AC651" s="121">
        <v>375901</v>
      </c>
      <c r="AD651" s="121" t="s">
        <v>483</v>
      </c>
      <c r="BG651" s="158"/>
    </row>
    <row r="652" spans="2:59" ht="14">
      <c r="B652" s="120" t="s">
        <v>242</v>
      </c>
      <c r="C652" s="142" t="s">
        <v>490</v>
      </c>
      <c r="D652" s="132" t="s">
        <v>270</v>
      </c>
      <c r="E652" s="132" t="s">
        <v>270</v>
      </c>
      <c r="F652" s="132" t="s">
        <v>182</v>
      </c>
      <c r="G652" s="132" t="s">
        <v>271</v>
      </c>
      <c r="H652" s="132" t="s">
        <v>183</v>
      </c>
      <c r="I652" s="132" t="s">
        <v>271</v>
      </c>
      <c r="J652" s="132" t="s">
        <v>484</v>
      </c>
      <c r="K652" s="132" t="s">
        <v>243</v>
      </c>
      <c r="L652" s="132" t="s">
        <v>485</v>
      </c>
      <c r="M652" s="132" t="s">
        <v>273</v>
      </c>
      <c r="N652" s="132"/>
      <c r="O652" s="132" t="s">
        <v>271</v>
      </c>
      <c r="P652" s="132" t="s">
        <v>155</v>
      </c>
      <c r="Q652" s="132" t="s">
        <v>486</v>
      </c>
      <c r="R652" s="132" t="s">
        <v>275</v>
      </c>
      <c r="S652" s="132"/>
      <c r="T652" s="132" t="s">
        <v>155</v>
      </c>
      <c r="U652" s="132" t="s">
        <v>155</v>
      </c>
      <c r="V652" s="132" t="s">
        <v>155</v>
      </c>
      <c r="W652" s="132"/>
      <c r="X652" s="132" t="s">
        <v>243</v>
      </c>
      <c r="Y652" s="132" t="s">
        <v>487</v>
      </c>
      <c r="Z652" s="132" t="s">
        <v>277</v>
      </c>
      <c r="AA652" s="132" t="s">
        <v>277</v>
      </c>
      <c r="AB652" s="132" t="s">
        <v>488</v>
      </c>
      <c r="AC652" s="132" t="s">
        <v>489</v>
      </c>
      <c r="AD652" s="132" t="s">
        <v>489</v>
      </c>
      <c r="BG652" s="158"/>
    </row>
    <row r="653" spans="2:59" ht="25">
      <c r="B653" s="120" t="s">
        <v>242</v>
      </c>
      <c r="C653" s="142" t="s">
        <v>515</v>
      </c>
      <c r="D653" s="118" t="s">
        <v>270</v>
      </c>
      <c r="E653" s="119" t="s">
        <v>270</v>
      </c>
      <c r="F653" s="119" t="s">
        <v>182</v>
      </c>
      <c r="G653" s="119" t="s">
        <v>271</v>
      </c>
      <c r="H653" s="119" t="s">
        <v>183</v>
      </c>
      <c r="I653" s="119" t="s">
        <v>271</v>
      </c>
      <c r="J653" s="119" t="s">
        <v>272</v>
      </c>
      <c r="K653" s="119" t="s">
        <v>243</v>
      </c>
      <c r="L653" s="118" t="s">
        <v>155</v>
      </c>
      <c r="M653" s="119" t="s">
        <v>273</v>
      </c>
      <c r="N653" s="119"/>
      <c r="O653" s="119" t="s">
        <v>182</v>
      </c>
      <c r="P653" s="119" t="s">
        <v>155</v>
      </c>
      <c r="Q653" s="119" t="s">
        <v>274</v>
      </c>
      <c r="R653" s="119" t="s">
        <v>275</v>
      </c>
      <c r="S653" s="119"/>
      <c r="T653" s="118" t="s">
        <v>155</v>
      </c>
      <c r="U653" s="119" t="s">
        <v>155</v>
      </c>
      <c r="V653" s="119" t="s">
        <v>155</v>
      </c>
      <c r="W653" s="119"/>
      <c r="X653" s="119" t="s">
        <v>243</v>
      </c>
      <c r="Y653" s="119" t="s">
        <v>276</v>
      </c>
      <c r="Z653" s="119" t="s">
        <v>277</v>
      </c>
      <c r="AA653" s="119" t="s">
        <v>277</v>
      </c>
      <c r="AB653" s="118" t="s">
        <v>278</v>
      </c>
      <c r="AC653" s="119" t="s">
        <v>279</v>
      </c>
      <c r="AD653" s="119" t="s">
        <v>279</v>
      </c>
      <c r="BG653" s="158"/>
    </row>
    <row r="654" spans="2:59">
      <c r="B654" s="163"/>
      <c r="BG654" s="158"/>
    </row>
    <row r="655" spans="2:59" ht="15">
      <c r="B655" s="163"/>
      <c r="C655" s="257" t="s">
        <v>321</v>
      </c>
      <c r="D655" s="258"/>
      <c r="E655" s="258"/>
      <c r="F655" s="258"/>
      <c r="G655" s="258"/>
      <c r="H655" s="258"/>
      <c r="I655" s="258"/>
      <c r="J655" s="258"/>
      <c r="K655" s="258"/>
      <c r="L655" s="258"/>
      <c r="M655" s="258"/>
      <c r="N655" s="258"/>
      <c r="O655" s="258"/>
      <c r="P655" s="258"/>
      <c r="Q655" s="258"/>
      <c r="R655" s="258"/>
      <c r="S655" s="258"/>
      <c r="T655" s="258"/>
      <c r="U655" s="90"/>
      <c r="V655" s="90"/>
      <c r="W655" s="90"/>
      <c r="X655" s="90"/>
      <c r="Y655" s="90"/>
      <c r="Z655" s="90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2"/>
      <c r="AQ655" s="92"/>
      <c r="AR655" s="92"/>
      <c r="AS655" s="92"/>
      <c r="AT655" s="92"/>
      <c r="AU655" s="92"/>
      <c r="AV655" s="92"/>
      <c r="AW655" s="92"/>
      <c r="AX655" s="92"/>
      <c r="AY655" s="92"/>
      <c r="AZ655" s="92"/>
      <c r="BA655" s="92"/>
      <c r="BB655" s="92"/>
      <c r="BC655" s="92"/>
      <c r="BD655" s="92"/>
      <c r="BE655" s="92"/>
      <c r="BF655" s="92"/>
      <c r="BG655" s="158"/>
    </row>
    <row r="656" spans="2:59" ht="15">
      <c r="B656" s="163"/>
      <c r="C656" s="127"/>
      <c r="D656" s="127"/>
      <c r="E656" s="127"/>
      <c r="F656" s="124" t="s">
        <v>168</v>
      </c>
      <c r="G656" s="124" t="s">
        <v>168</v>
      </c>
      <c r="H656" s="129" t="s">
        <v>168</v>
      </c>
      <c r="I656" s="124" t="s">
        <v>168</v>
      </c>
      <c r="J656" s="124" t="s">
        <v>168</v>
      </c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30"/>
      <c r="AB656" s="130"/>
      <c r="AC656" s="130"/>
      <c r="AD656" s="130"/>
      <c r="AE656" s="130"/>
      <c r="AF656" s="130"/>
      <c r="AG656" s="130"/>
      <c r="AH656" s="130"/>
      <c r="AI656" s="130"/>
      <c r="AJ656" s="130"/>
      <c r="AK656" s="130"/>
      <c r="AL656" s="130"/>
      <c r="AM656" s="130"/>
      <c r="AN656" s="130"/>
      <c r="AO656" s="130"/>
      <c r="AP656" s="130"/>
      <c r="AQ656" s="130"/>
      <c r="AR656" s="130"/>
      <c r="AS656" s="130"/>
      <c r="AT656" s="130"/>
      <c r="AU656" s="130"/>
      <c r="AV656" s="130"/>
      <c r="AW656" s="130"/>
      <c r="AX656" s="130"/>
      <c r="AY656" s="130"/>
      <c r="AZ656" s="130"/>
      <c r="BA656" s="130"/>
      <c r="BB656" s="130"/>
      <c r="BC656" s="130"/>
      <c r="BD656" s="130"/>
      <c r="BE656" s="130"/>
      <c r="BF656" s="130"/>
      <c r="BG656" s="158"/>
    </row>
    <row r="657" spans="2:59" ht="25">
      <c r="B657" s="163"/>
      <c r="C657" s="117" t="s">
        <v>365</v>
      </c>
      <c r="D657" s="117" t="s">
        <v>420</v>
      </c>
      <c r="E657" s="117" t="s">
        <v>421</v>
      </c>
      <c r="F657" s="119" t="s">
        <v>96</v>
      </c>
      <c r="G657" s="119" t="s">
        <v>99</v>
      </c>
      <c r="H657" s="119" t="s">
        <v>130</v>
      </c>
      <c r="I657" s="119" t="s">
        <v>391</v>
      </c>
      <c r="J657" s="119" t="s">
        <v>127</v>
      </c>
      <c r="K657" s="119" t="s">
        <v>67</v>
      </c>
      <c r="L657" s="119" t="s">
        <v>288</v>
      </c>
      <c r="M657" s="119" t="s">
        <v>366</v>
      </c>
      <c r="N657" s="119" t="s">
        <v>367</v>
      </c>
      <c r="O657" s="119" t="s">
        <v>368</v>
      </c>
      <c r="P657" s="119" t="s">
        <v>369</v>
      </c>
      <c r="Q657" s="119" t="s">
        <v>370</v>
      </c>
      <c r="R657" s="119" t="s">
        <v>371</v>
      </c>
      <c r="S657" s="119" t="s">
        <v>372</v>
      </c>
      <c r="T657" s="119" t="s">
        <v>373</v>
      </c>
      <c r="U657" s="119" t="s">
        <v>374</v>
      </c>
      <c r="V657" s="119" t="s">
        <v>375</v>
      </c>
      <c r="W657" s="119" t="s">
        <v>376</v>
      </c>
      <c r="X657" s="119" t="s">
        <v>377</v>
      </c>
      <c r="Y657" s="119" t="s">
        <v>378</v>
      </c>
      <c r="Z657" s="119" t="s">
        <v>379</v>
      </c>
      <c r="AA657" s="119" t="s">
        <v>380</v>
      </c>
      <c r="AB657" s="119" t="s">
        <v>381</v>
      </c>
      <c r="AC657" s="119" t="s">
        <v>382</v>
      </c>
      <c r="AD657" s="119" t="s">
        <v>383</v>
      </c>
      <c r="AE657" s="119" t="s">
        <v>384</v>
      </c>
      <c r="AF657" s="119" t="s">
        <v>385</v>
      </c>
      <c r="AG657" s="119" t="s">
        <v>386</v>
      </c>
      <c r="AH657" s="119" t="s">
        <v>387</v>
      </c>
      <c r="AI657" s="119" t="s">
        <v>388</v>
      </c>
      <c r="AJ657" s="119" t="s">
        <v>390</v>
      </c>
      <c r="AK657" s="119" t="s">
        <v>389</v>
      </c>
      <c r="AL657" s="119" t="s">
        <v>398</v>
      </c>
      <c r="AM657" s="119" t="s">
        <v>392</v>
      </c>
      <c r="AN657" s="119" t="s">
        <v>393</v>
      </c>
      <c r="AO657" s="119" t="s">
        <v>394</v>
      </c>
      <c r="AP657" s="119" t="s">
        <v>395</v>
      </c>
      <c r="AQ657" s="119" t="s">
        <v>399</v>
      </c>
      <c r="AR657" s="119" t="s">
        <v>396</v>
      </c>
      <c r="AS657" s="119" t="s">
        <v>397</v>
      </c>
      <c r="AT657" s="119" t="s">
        <v>400</v>
      </c>
      <c r="AU657" s="119" t="s">
        <v>401</v>
      </c>
      <c r="AV657" s="119" t="s">
        <v>402</v>
      </c>
      <c r="AW657" s="119" t="s">
        <v>403</v>
      </c>
      <c r="AX657" s="119" t="s">
        <v>404</v>
      </c>
      <c r="AY657" s="119" t="s">
        <v>405</v>
      </c>
      <c r="AZ657" s="119" t="s">
        <v>229</v>
      </c>
      <c r="BA657" s="119" t="s">
        <v>230</v>
      </c>
      <c r="BB657" s="119" t="s">
        <v>231</v>
      </c>
      <c r="BC657" s="119" t="s">
        <v>232</v>
      </c>
      <c r="BD657" s="119" t="s">
        <v>150</v>
      </c>
      <c r="BE657" s="119" t="s">
        <v>151</v>
      </c>
      <c r="BF657" s="119" t="s">
        <v>233</v>
      </c>
      <c r="BG657" s="158"/>
    </row>
    <row r="658" spans="2:59">
      <c r="B658" s="163"/>
      <c r="C658" s="117" t="s">
        <v>205</v>
      </c>
      <c r="D658" s="117" t="s">
        <v>214</v>
      </c>
      <c r="E658" s="117" t="s">
        <v>222</v>
      </c>
      <c r="F658" s="118" t="s">
        <v>322</v>
      </c>
      <c r="G658" s="118" t="s">
        <v>323</v>
      </c>
      <c r="H658" s="118" t="s">
        <v>324</v>
      </c>
      <c r="I658" s="118" t="s">
        <v>351</v>
      </c>
      <c r="J658" s="118" t="s">
        <v>357</v>
      </c>
      <c r="K658" s="118" t="s">
        <v>251</v>
      </c>
      <c r="L658" s="118" t="s">
        <v>252</v>
      </c>
      <c r="M658" s="118" t="s">
        <v>325</v>
      </c>
      <c r="N658" s="118" t="s">
        <v>326</v>
      </c>
      <c r="O658" s="118" t="s">
        <v>327</v>
      </c>
      <c r="P658" s="118" t="s">
        <v>328</v>
      </c>
      <c r="Q658" s="118" t="s">
        <v>329</v>
      </c>
      <c r="R658" s="118" t="s">
        <v>330</v>
      </c>
      <c r="S658" s="118" t="s">
        <v>331</v>
      </c>
      <c r="T658" s="118" t="s">
        <v>332</v>
      </c>
      <c r="U658" s="118" t="s">
        <v>333</v>
      </c>
      <c r="V658" s="118" t="s">
        <v>334</v>
      </c>
      <c r="W658" s="118" t="s">
        <v>335</v>
      </c>
      <c r="X658" s="118" t="s">
        <v>336</v>
      </c>
      <c r="Y658" s="118" t="s">
        <v>337</v>
      </c>
      <c r="Z658" s="118" t="s">
        <v>338</v>
      </c>
      <c r="AA658" s="118" t="s">
        <v>339</v>
      </c>
      <c r="AB658" s="118" t="s">
        <v>340</v>
      </c>
      <c r="AC658" s="118" t="s">
        <v>341</v>
      </c>
      <c r="AD658" s="118" t="s">
        <v>342</v>
      </c>
      <c r="AE658" s="118" t="s">
        <v>343</v>
      </c>
      <c r="AF658" s="118" t="s">
        <v>344</v>
      </c>
      <c r="AG658" s="118" t="s">
        <v>345</v>
      </c>
      <c r="AH658" s="118" t="s">
        <v>346</v>
      </c>
      <c r="AI658" s="118" t="s">
        <v>347</v>
      </c>
      <c r="AJ658" s="118" t="s">
        <v>348</v>
      </c>
      <c r="AK658" s="118" t="s">
        <v>349</v>
      </c>
      <c r="AL658" s="118" t="s">
        <v>350</v>
      </c>
      <c r="AM658" s="118" t="s">
        <v>352</v>
      </c>
      <c r="AN658" s="118" t="s">
        <v>353</v>
      </c>
      <c r="AO658" s="118" t="s">
        <v>354</v>
      </c>
      <c r="AP658" s="118" t="s">
        <v>234</v>
      </c>
      <c r="AQ658" s="118" t="s">
        <v>355</v>
      </c>
      <c r="AR658" s="118" t="s">
        <v>356</v>
      </c>
      <c r="AS658" s="118" t="s">
        <v>358</v>
      </c>
      <c r="AT658" s="118" t="s">
        <v>359</v>
      </c>
      <c r="AU658" s="118" t="s">
        <v>360</v>
      </c>
      <c r="AV658" s="118" t="s">
        <v>361</v>
      </c>
      <c r="AW658" s="118" t="s">
        <v>362</v>
      </c>
      <c r="AX658" s="118" t="s">
        <v>363</v>
      </c>
      <c r="AY658" s="118" t="s">
        <v>364</v>
      </c>
      <c r="AZ658" s="118" t="s">
        <v>235</v>
      </c>
      <c r="BA658" s="118" t="s">
        <v>236</v>
      </c>
      <c r="BB658" s="118" t="s">
        <v>237</v>
      </c>
      <c r="BC658" s="118" t="s">
        <v>238</v>
      </c>
      <c r="BD658" s="118" t="s">
        <v>239</v>
      </c>
      <c r="BE658" s="118" t="s">
        <v>240</v>
      </c>
      <c r="BF658" s="118" t="s">
        <v>241</v>
      </c>
      <c r="BG658" s="158"/>
    </row>
    <row r="659" spans="2:59">
      <c r="B659" s="163"/>
      <c r="C659" s="117" t="s">
        <v>304</v>
      </c>
      <c r="D659" s="117" t="s">
        <v>406</v>
      </c>
      <c r="E659" s="117" t="s">
        <v>305</v>
      </c>
      <c r="F659" s="131" t="s">
        <v>306</v>
      </c>
      <c r="G659" s="131" t="s">
        <v>306</v>
      </c>
      <c r="H659" s="131" t="s">
        <v>306</v>
      </c>
      <c r="I659" s="131" t="s">
        <v>306</v>
      </c>
      <c r="J659" s="131" t="s">
        <v>308</v>
      </c>
      <c r="K659" s="131" t="s">
        <v>306</v>
      </c>
      <c r="L659" s="131" t="s">
        <v>306</v>
      </c>
      <c r="M659" s="131" t="s">
        <v>407</v>
      </c>
      <c r="N659" s="131" t="s">
        <v>407</v>
      </c>
      <c r="O659" s="131" t="s">
        <v>305</v>
      </c>
      <c r="P659" s="131" t="s">
        <v>408</v>
      </c>
      <c r="Q659" s="131" t="s">
        <v>306</v>
      </c>
      <c r="R659" s="131" t="s">
        <v>313</v>
      </c>
      <c r="S659" s="131" t="s">
        <v>308</v>
      </c>
      <c r="T659" s="131" t="s">
        <v>313</v>
      </c>
      <c r="U659" s="131" t="s">
        <v>308</v>
      </c>
      <c r="V659" s="131" t="s">
        <v>308</v>
      </c>
      <c r="W659" s="131" t="s">
        <v>306</v>
      </c>
      <c r="X659" s="131" t="s">
        <v>409</v>
      </c>
      <c r="Y659" s="131" t="s">
        <v>409</v>
      </c>
      <c r="Z659" s="131" t="s">
        <v>310</v>
      </c>
      <c r="AA659" s="131" t="s">
        <v>408</v>
      </c>
      <c r="AB659" s="131" t="s">
        <v>408</v>
      </c>
      <c r="AC659" s="131" t="s">
        <v>308</v>
      </c>
      <c r="AD659" s="131" t="s">
        <v>312</v>
      </c>
      <c r="AE659" s="131" t="s">
        <v>313</v>
      </c>
      <c r="AF659" s="131" t="s">
        <v>313</v>
      </c>
      <c r="AG659" s="131" t="s">
        <v>410</v>
      </c>
      <c r="AH659" s="131" t="s">
        <v>410</v>
      </c>
      <c r="AI659" s="131" t="s">
        <v>313</v>
      </c>
      <c r="AJ659" s="131" t="s">
        <v>313</v>
      </c>
      <c r="AK659" s="131" t="s">
        <v>410</v>
      </c>
      <c r="AL659" s="131" t="s">
        <v>410</v>
      </c>
      <c r="AM659" s="131" t="s">
        <v>306</v>
      </c>
      <c r="AN659" s="131" t="s">
        <v>306</v>
      </c>
      <c r="AO659" s="131" t="s">
        <v>306</v>
      </c>
      <c r="AP659" s="131" t="s">
        <v>310</v>
      </c>
      <c r="AQ659" s="131" t="s">
        <v>305</v>
      </c>
      <c r="AR659" s="131" t="s">
        <v>306</v>
      </c>
      <c r="AS659" s="131" t="s">
        <v>308</v>
      </c>
      <c r="AT659" s="131" t="s">
        <v>306</v>
      </c>
      <c r="AU659" s="131" t="s">
        <v>411</v>
      </c>
      <c r="AV659" s="131" t="s">
        <v>313</v>
      </c>
      <c r="AW659" s="131" t="s">
        <v>310</v>
      </c>
      <c r="AX659" s="131" t="s">
        <v>306</v>
      </c>
      <c r="AY659" s="131" t="s">
        <v>306</v>
      </c>
      <c r="AZ659" s="131" t="s">
        <v>317</v>
      </c>
      <c r="BA659" s="131" t="s">
        <v>318</v>
      </c>
      <c r="BB659" s="131" t="s">
        <v>320</v>
      </c>
      <c r="BC659" s="131" t="s">
        <v>320</v>
      </c>
      <c r="BD659" s="131" t="s">
        <v>318</v>
      </c>
      <c r="BE659" s="131" t="s">
        <v>320</v>
      </c>
      <c r="BF659" s="131" t="s">
        <v>320</v>
      </c>
      <c r="BG659" s="158"/>
    </row>
    <row r="660" spans="2:59" ht="14">
      <c r="B660" s="122" t="s">
        <v>244</v>
      </c>
      <c r="C660" s="132" t="s">
        <v>516</v>
      </c>
      <c r="D660" s="132" t="s">
        <v>461</v>
      </c>
      <c r="E660" s="132" t="s">
        <v>461</v>
      </c>
      <c r="F660" s="132" t="s">
        <v>271</v>
      </c>
      <c r="G660" s="218" t="s">
        <v>182</v>
      </c>
      <c r="H660" s="132" t="s">
        <v>243</v>
      </c>
      <c r="I660" s="132">
        <v>0</v>
      </c>
      <c r="J660" s="132">
        <v>30</v>
      </c>
      <c r="K660" s="132" t="s">
        <v>182</v>
      </c>
      <c r="L660" s="225" t="s">
        <v>432</v>
      </c>
      <c r="M660" s="132" t="s">
        <v>155</v>
      </c>
      <c r="N660" s="132" t="s">
        <v>155</v>
      </c>
      <c r="O660" s="132" t="s">
        <v>416</v>
      </c>
      <c r="P660" s="132" t="s">
        <v>155</v>
      </c>
      <c r="Q660" s="132" t="s">
        <v>417</v>
      </c>
      <c r="R660" s="132" t="s">
        <v>182</v>
      </c>
      <c r="S660" s="132" t="s">
        <v>243</v>
      </c>
      <c r="T660" s="132" t="s">
        <v>413</v>
      </c>
      <c r="U660" s="132" t="s">
        <v>414</v>
      </c>
      <c r="V660" s="132" t="s">
        <v>418</v>
      </c>
      <c r="W660" s="132" t="s">
        <v>182</v>
      </c>
      <c r="X660" s="132" t="s">
        <v>243</v>
      </c>
      <c r="Y660" s="132" t="s">
        <v>243</v>
      </c>
      <c r="Z660" s="132"/>
      <c r="AA660" s="132"/>
      <c r="AB660" s="132" t="s">
        <v>419</v>
      </c>
      <c r="AC660" s="132">
        <v>5000</v>
      </c>
      <c r="AD660" s="132">
        <v>99999999</v>
      </c>
      <c r="AE660" s="132">
        <v>0</v>
      </c>
      <c r="AF660" s="132">
        <v>2</v>
      </c>
      <c r="AG660" s="132">
        <v>0</v>
      </c>
      <c r="AH660" s="132">
        <v>0</v>
      </c>
      <c r="AI660" s="132">
        <v>0</v>
      </c>
      <c r="AJ660" s="132">
        <v>0</v>
      </c>
      <c r="AK660" s="132">
        <v>0</v>
      </c>
      <c r="AL660" s="132">
        <v>0</v>
      </c>
      <c r="AM660" s="132">
        <v>1</v>
      </c>
      <c r="AN660" s="132">
        <v>0</v>
      </c>
      <c r="AO660" s="132">
        <v>0</v>
      </c>
      <c r="AP660" s="132">
        <v>1</v>
      </c>
      <c r="AQ660" s="132">
        <v>1111</v>
      </c>
      <c r="AR660" s="132" t="s">
        <v>415</v>
      </c>
      <c r="AS660" s="132">
        <v>10</v>
      </c>
      <c r="AT660" s="132">
        <v>1</v>
      </c>
      <c r="AU660" s="132">
        <v>0</v>
      </c>
      <c r="AV660" s="132">
        <v>0</v>
      </c>
      <c r="AW660" s="132">
        <v>0</v>
      </c>
      <c r="AX660" s="132">
        <v>0</v>
      </c>
      <c r="AY660" s="132">
        <v>1</v>
      </c>
      <c r="AZ660" s="132">
        <v>0</v>
      </c>
      <c r="BA660" s="132">
        <v>40640.750486111108</v>
      </c>
      <c r="BB660" s="132">
        <v>470195</v>
      </c>
      <c r="BC660" s="132">
        <v>470195</v>
      </c>
      <c r="BD660" s="132">
        <v>45392.67769675926</v>
      </c>
      <c r="BE660" s="132">
        <v>363363</v>
      </c>
      <c r="BF660" s="132">
        <v>363363</v>
      </c>
      <c r="BG660" s="158"/>
    </row>
    <row r="661" spans="2:59" ht="14">
      <c r="B661" s="120" t="s">
        <v>242</v>
      </c>
      <c r="C661" s="142" t="s">
        <v>476</v>
      </c>
      <c r="D661" s="143" t="s">
        <v>461</v>
      </c>
      <c r="E661" s="143" t="s">
        <v>461</v>
      </c>
      <c r="F661" s="132" t="s">
        <v>286</v>
      </c>
      <c r="G661" s="132" t="s">
        <v>243</v>
      </c>
      <c r="H661" s="132" t="s">
        <v>243</v>
      </c>
      <c r="I661" s="132">
        <v>1</v>
      </c>
      <c r="J661" s="132">
        <v>0</v>
      </c>
      <c r="K661" s="132" t="s">
        <v>271</v>
      </c>
      <c r="L661" s="132" t="s">
        <v>271</v>
      </c>
      <c r="M661" s="132" t="s">
        <v>155</v>
      </c>
      <c r="N661" s="132" t="s">
        <v>155</v>
      </c>
      <c r="O661" s="132" t="s">
        <v>155</v>
      </c>
      <c r="P661" s="132" t="s">
        <v>155</v>
      </c>
      <c r="Q661" s="132" t="s">
        <v>412</v>
      </c>
      <c r="R661" s="132" t="s">
        <v>243</v>
      </c>
      <c r="S661" s="132" t="s">
        <v>243</v>
      </c>
      <c r="T661" s="132" t="s">
        <v>413</v>
      </c>
      <c r="U661" s="132" t="s">
        <v>414</v>
      </c>
      <c r="V661" s="132" t="s">
        <v>182</v>
      </c>
      <c r="W661" s="132" t="s">
        <v>182</v>
      </c>
      <c r="X661" s="132" t="s">
        <v>243</v>
      </c>
      <c r="Y661" s="132" t="s">
        <v>243</v>
      </c>
      <c r="Z661" s="132"/>
      <c r="AA661" s="132"/>
      <c r="AB661" s="132" t="s">
        <v>155</v>
      </c>
      <c r="AC661" s="132">
        <v>1</v>
      </c>
      <c r="AD661" s="132">
        <v>99999999</v>
      </c>
      <c r="AE661" s="132">
        <v>0</v>
      </c>
      <c r="AF661" s="132">
        <v>0</v>
      </c>
      <c r="AG661" s="132">
        <v>0</v>
      </c>
      <c r="AH661" s="132">
        <v>0</v>
      </c>
      <c r="AI661" s="132">
        <v>0</v>
      </c>
      <c r="AJ661" s="132">
        <v>0</v>
      </c>
      <c r="AK661" s="132">
        <v>0</v>
      </c>
      <c r="AL661" s="132">
        <v>0</v>
      </c>
      <c r="AM661" s="132">
        <v>1</v>
      </c>
      <c r="AN661" s="132">
        <v>0</v>
      </c>
      <c r="AO661" s="132">
        <v>0</v>
      </c>
      <c r="AP661" s="132">
        <v>1</v>
      </c>
      <c r="AQ661" s="132" t="s">
        <v>155</v>
      </c>
      <c r="AR661" s="132" t="s">
        <v>415</v>
      </c>
      <c r="AS661" s="132">
        <v>0</v>
      </c>
      <c r="AT661" s="132">
        <v>1</v>
      </c>
      <c r="AU661" s="132">
        <v>0</v>
      </c>
      <c r="AV661" s="132">
        <v>0</v>
      </c>
      <c r="AW661" s="132">
        <v>0</v>
      </c>
      <c r="AX661" s="132">
        <v>0</v>
      </c>
      <c r="AY661" s="132">
        <v>1</v>
      </c>
      <c r="AZ661" s="132">
        <v>0</v>
      </c>
      <c r="BA661" s="132">
        <v>29705</v>
      </c>
      <c r="BB661" s="132" t="s">
        <v>277</v>
      </c>
      <c r="BC661" s="132" t="s">
        <v>277</v>
      </c>
      <c r="BD661" s="132">
        <v>39993.705960648149</v>
      </c>
      <c r="BE661" s="132">
        <v>375901</v>
      </c>
      <c r="BF661" s="132">
        <v>375901</v>
      </c>
      <c r="BG661" s="158"/>
    </row>
    <row r="662" spans="2:59" ht="14">
      <c r="B662" s="120" t="s">
        <v>242</v>
      </c>
      <c r="C662" s="142" t="s">
        <v>490</v>
      </c>
      <c r="D662" s="143" t="s">
        <v>461</v>
      </c>
      <c r="E662" s="143" t="s">
        <v>461</v>
      </c>
      <c r="F662" s="132" t="s">
        <v>286</v>
      </c>
      <c r="G662" s="132" t="s">
        <v>243</v>
      </c>
      <c r="H662" s="132" t="s">
        <v>243</v>
      </c>
      <c r="I662" s="132">
        <v>1</v>
      </c>
      <c r="J662" s="132">
        <v>0</v>
      </c>
      <c r="K662" s="132" t="s">
        <v>271</v>
      </c>
      <c r="L662" s="132" t="s">
        <v>271</v>
      </c>
      <c r="M662" s="132" t="s">
        <v>155</v>
      </c>
      <c r="N662" s="132" t="s">
        <v>155</v>
      </c>
      <c r="O662" s="132" t="s">
        <v>155</v>
      </c>
      <c r="P662" s="132" t="s">
        <v>155</v>
      </c>
      <c r="Q662" s="132" t="s">
        <v>412</v>
      </c>
      <c r="R662" s="132" t="s">
        <v>243</v>
      </c>
      <c r="S662" s="132" t="s">
        <v>243</v>
      </c>
      <c r="T662" s="132" t="s">
        <v>413</v>
      </c>
      <c r="U662" s="132" t="s">
        <v>414</v>
      </c>
      <c r="V662" s="132" t="s">
        <v>182</v>
      </c>
      <c r="W662" s="132" t="s">
        <v>182</v>
      </c>
      <c r="X662" s="132" t="s">
        <v>243</v>
      </c>
      <c r="Y662" s="132" t="s">
        <v>243</v>
      </c>
      <c r="Z662" s="132"/>
      <c r="AA662" s="132"/>
      <c r="AB662" s="132" t="s">
        <v>155</v>
      </c>
      <c r="AC662" s="132">
        <v>1</v>
      </c>
      <c r="AD662" s="132">
        <v>99999999</v>
      </c>
      <c r="AE662" s="132">
        <v>0</v>
      </c>
      <c r="AF662" s="132">
        <v>0</v>
      </c>
      <c r="AG662" s="132">
        <v>0</v>
      </c>
      <c r="AH662" s="132">
        <v>0</v>
      </c>
      <c r="AI662" s="132">
        <v>0</v>
      </c>
      <c r="AJ662" s="132">
        <v>0</v>
      </c>
      <c r="AK662" s="132">
        <v>0</v>
      </c>
      <c r="AL662" s="132">
        <v>0</v>
      </c>
      <c r="AM662" s="132">
        <v>1</v>
      </c>
      <c r="AN662" s="132">
        <v>0</v>
      </c>
      <c r="AO662" s="132">
        <v>0</v>
      </c>
      <c r="AP662" s="132">
        <v>1</v>
      </c>
      <c r="AQ662" s="132" t="s">
        <v>155</v>
      </c>
      <c r="AR662" s="132" t="s">
        <v>415</v>
      </c>
      <c r="AS662" s="132">
        <v>0</v>
      </c>
      <c r="AT662" s="132">
        <v>1</v>
      </c>
      <c r="AU662" s="132">
        <v>0</v>
      </c>
      <c r="AV662" s="132">
        <v>0</v>
      </c>
      <c r="AW662" s="132">
        <v>0</v>
      </c>
      <c r="AX662" s="132">
        <v>0</v>
      </c>
      <c r="AY662" s="132">
        <v>1</v>
      </c>
      <c r="AZ662" s="132">
        <v>0</v>
      </c>
      <c r="BA662" s="132">
        <v>31819</v>
      </c>
      <c r="BB662" s="132" t="s">
        <v>277</v>
      </c>
      <c r="BC662" s="132" t="s">
        <v>277</v>
      </c>
      <c r="BD662" s="132">
        <v>45636.056898148148</v>
      </c>
      <c r="BE662" s="132" t="s">
        <v>474</v>
      </c>
      <c r="BF662" s="132" t="s">
        <v>474</v>
      </c>
      <c r="BG662" s="158"/>
    </row>
    <row r="663" spans="2:59" ht="15">
      <c r="B663" s="120" t="s">
        <v>242</v>
      </c>
      <c r="C663" s="142" t="s">
        <v>515</v>
      </c>
      <c r="D663" s="132" t="s">
        <v>270</v>
      </c>
      <c r="E663" s="132" t="s">
        <v>270</v>
      </c>
      <c r="F663" s="133" t="s">
        <v>286</v>
      </c>
      <c r="G663" s="132" t="s">
        <v>243</v>
      </c>
      <c r="H663" s="132" t="s">
        <v>243</v>
      </c>
      <c r="I663" s="135">
        <v>1</v>
      </c>
      <c r="J663" s="136">
        <v>0</v>
      </c>
      <c r="K663" s="132" t="s">
        <v>271</v>
      </c>
      <c r="L663" s="132" t="s">
        <v>271</v>
      </c>
      <c r="M663" s="132" t="s">
        <v>155</v>
      </c>
      <c r="N663" s="132" t="s">
        <v>155</v>
      </c>
      <c r="O663" s="132" t="s">
        <v>155</v>
      </c>
      <c r="P663" s="132" t="s">
        <v>155</v>
      </c>
      <c r="Q663" s="134" t="s">
        <v>412</v>
      </c>
      <c r="R663" s="132" t="s">
        <v>243</v>
      </c>
      <c r="S663" s="132" t="s">
        <v>243</v>
      </c>
      <c r="T663" s="132" t="s">
        <v>413</v>
      </c>
      <c r="U663" s="132" t="s">
        <v>414</v>
      </c>
      <c r="V663" s="132" t="s">
        <v>182</v>
      </c>
      <c r="W663" s="132" t="s">
        <v>182</v>
      </c>
      <c r="X663" s="132" t="s">
        <v>243</v>
      </c>
      <c r="Y663" s="132" t="s">
        <v>243</v>
      </c>
      <c r="Z663" s="132"/>
      <c r="AA663" s="135"/>
      <c r="AB663" s="135" t="s">
        <v>155</v>
      </c>
      <c r="AC663" s="135">
        <v>1</v>
      </c>
      <c r="AD663" s="135">
        <v>99999999</v>
      </c>
      <c r="AE663" s="132" t="s">
        <v>243</v>
      </c>
      <c r="AF663" s="132" t="s">
        <v>243</v>
      </c>
      <c r="AG663" s="132" t="s">
        <v>243</v>
      </c>
      <c r="AH663" s="132" t="s">
        <v>243</v>
      </c>
      <c r="AI663" s="135">
        <v>0</v>
      </c>
      <c r="AJ663" s="135">
        <v>0</v>
      </c>
      <c r="AK663" s="135">
        <v>0</v>
      </c>
      <c r="AL663" s="135">
        <v>0</v>
      </c>
      <c r="AM663" s="132" t="s">
        <v>182</v>
      </c>
      <c r="AN663" s="135">
        <v>0</v>
      </c>
      <c r="AO663" s="132" t="s">
        <v>243</v>
      </c>
      <c r="AP663" s="135">
        <v>1</v>
      </c>
      <c r="AQ663" s="136" t="s">
        <v>155</v>
      </c>
      <c r="AR663" s="136" t="s">
        <v>415</v>
      </c>
      <c r="AS663" s="136">
        <v>0</v>
      </c>
      <c r="AT663" s="136">
        <v>1</v>
      </c>
      <c r="AU663" s="136">
        <v>0</v>
      </c>
      <c r="AV663" s="136">
        <v>0</v>
      </c>
      <c r="AW663" s="136">
        <v>0</v>
      </c>
      <c r="AX663" s="136">
        <v>0</v>
      </c>
      <c r="AY663" s="136">
        <v>1</v>
      </c>
      <c r="AZ663" s="136">
        <v>0</v>
      </c>
      <c r="BA663" s="137">
        <v>29705</v>
      </c>
      <c r="BB663" s="136" t="s">
        <v>277</v>
      </c>
      <c r="BC663" s="136" t="s">
        <v>277</v>
      </c>
      <c r="BD663" s="137">
        <v>36413</v>
      </c>
      <c r="BE663" s="136" t="s">
        <v>277</v>
      </c>
      <c r="BF663" s="136" t="s">
        <v>277</v>
      </c>
      <c r="BG663" s="158"/>
    </row>
    <row r="664" spans="2:59">
      <c r="B664" s="163"/>
      <c r="BG664" s="158"/>
    </row>
    <row r="665" spans="2:59" ht="14.5" thickBot="1">
      <c r="B665" s="163"/>
      <c r="C665" s="164" t="s">
        <v>152</v>
      </c>
      <c r="BG665" s="158"/>
    </row>
    <row r="666" spans="2:59" ht="14.5" thickBot="1">
      <c r="B666" s="163"/>
      <c r="C666" s="233" t="s">
        <v>422</v>
      </c>
      <c r="D666" s="233" t="s">
        <v>423</v>
      </c>
      <c r="E666" s="233" t="s">
        <v>158</v>
      </c>
      <c r="F666" s="233" t="s">
        <v>424</v>
      </c>
      <c r="G666" s="233" t="s">
        <v>425</v>
      </c>
      <c r="H666" s="233" t="s">
        <v>426</v>
      </c>
      <c r="I666" s="233" t="s">
        <v>427</v>
      </c>
      <c r="J666" s="233" t="s">
        <v>428</v>
      </c>
      <c r="K666" s="233" t="s">
        <v>429</v>
      </c>
      <c r="L666" s="233" t="s">
        <v>430</v>
      </c>
      <c r="M666" s="233" t="s">
        <v>431</v>
      </c>
      <c r="BG666" s="158"/>
    </row>
    <row r="667" spans="2:59" ht="14.5" thickBot="1">
      <c r="B667" s="163"/>
      <c r="C667" s="233">
        <v>-2</v>
      </c>
      <c r="D667" s="233" t="s">
        <v>155</v>
      </c>
      <c r="E667" s="233" t="s">
        <v>588</v>
      </c>
      <c r="F667" s="233" t="s">
        <v>653</v>
      </c>
      <c r="G667" s="233" t="s">
        <v>137</v>
      </c>
      <c r="H667" s="233" t="s">
        <v>155</v>
      </c>
      <c r="I667" s="233" t="s">
        <v>155</v>
      </c>
      <c r="J667" s="233" t="s">
        <v>155</v>
      </c>
      <c r="K667" s="233" t="s">
        <v>155</v>
      </c>
      <c r="L667" s="233">
        <v>0</v>
      </c>
      <c r="M667" s="233" t="s">
        <v>155</v>
      </c>
      <c r="BG667" s="158"/>
    </row>
    <row r="668" spans="2:59" ht="13.5" thickBot="1">
      <c r="B668" s="163"/>
      <c r="BG668" s="158"/>
    </row>
    <row r="669" spans="2:59" ht="15" thickBot="1">
      <c r="B669" s="104" t="s">
        <v>555</v>
      </c>
      <c r="C669" s="105" t="s">
        <v>556</v>
      </c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  <c r="BF669" s="105"/>
      <c r="BG669" s="158"/>
    </row>
    <row r="670" spans="2:59" ht="14" thickBot="1">
      <c r="B670" s="140" t="s">
        <v>620</v>
      </c>
      <c r="C670" s="105" t="s">
        <v>447</v>
      </c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58"/>
    </row>
    <row r="671" spans="2:59">
      <c r="B671" s="163"/>
      <c r="BG671" s="158"/>
    </row>
    <row r="672" spans="2:59" ht="13.5">
      <c r="B672" s="163"/>
      <c r="C672" s="161" t="s">
        <v>228</v>
      </c>
      <c r="BG672" s="158"/>
    </row>
    <row r="673" spans="2:59" ht="13.5">
      <c r="B673" s="163"/>
      <c r="C673" s="161" t="s">
        <v>557</v>
      </c>
      <c r="BG673" s="158"/>
    </row>
    <row r="674" spans="2:59">
      <c r="B674" s="163"/>
      <c r="BG674" s="158"/>
    </row>
    <row r="675" spans="2:59" ht="15">
      <c r="B675" s="106"/>
      <c r="C675" s="257" t="s">
        <v>268</v>
      </c>
      <c r="D675" s="258"/>
      <c r="E675" s="258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  <c r="Z675" s="260"/>
      <c r="AA675" s="66"/>
      <c r="AB675" s="66"/>
      <c r="AC675" s="66"/>
      <c r="AD675" s="66"/>
      <c r="BG675" s="158"/>
    </row>
    <row r="676" spans="2:59" ht="15">
      <c r="B676" s="106"/>
      <c r="C676" s="127"/>
      <c r="D676" s="127"/>
      <c r="E676" s="127"/>
      <c r="F676" s="124" t="s">
        <v>168</v>
      </c>
      <c r="G676" s="124" t="s">
        <v>168</v>
      </c>
      <c r="H676" s="124" t="s">
        <v>168</v>
      </c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BG676" s="158"/>
    </row>
    <row r="677" spans="2:59" ht="13.5">
      <c r="B677" s="106"/>
      <c r="C677" s="117" t="s">
        <v>171</v>
      </c>
      <c r="D677" s="117" t="s">
        <v>172</v>
      </c>
      <c r="E677" s="117" t="s">
        <v>173</v>
      </c>
      <c r="F677" s="119" t="s">
        <v>91</v>
      </c>
      <c r="G677" s="119" t="s">
        <v>67</v>
      </c>
      <c r="H677" s="119" t="s">
        <v>69</v>
      </c>
      <c r="I677" s="119" t="s">
        <v>289</v>
      </c>
      <c r="J677" s="119" t="s">
        <v>290</v>
      </c>
      <c r="K677" s="119" t="s">
        <v>291</v>
      </c>
      <c r="L677" s="119" t="s">
        <v>292</v>
      </c>
      <c r="M677" s="119" t="s">
        <v>293</v>
      </c>
      <c r="N677" s="119" t="s">
        <v>294</v>
      </c>
      <c r="O677" s="119" t="s">
        <v>295</v>
      </c>
      <c r="P677" s="119" t="s">
        <v>296</v>
      </c>
      <c r="Q677" s="119" t="s">
        <v>297</v>
      </c>
      <c r="R677" s="119" t="s">
        <v>298</v>
      </c>
      <c r="S677" s="119" t="s">
        <v>299</v>
      </c>
      <c r="T677" s="119" t="s">
        <v>300</v>
      </c>
      <c r="U677" s="119" t="s">
        <v>301</v>
      </c>
      <c r="V677" s="119" t="s">
        <v>302</v>
      </c>
      <c r="W677" s="119" t="s">
        <v>303</v>
      </c>
      <c r="X677" s="119" t="s">
        <v>229</v>
      </c>
      <c r="Y677" s="119" t="s">
        <v>230</v>
      </c>
      <c r="Z677" s="119" t="s">
        <v>231</v>
      </c>
      <c r="AA677" s="119" t="s">
        <v>232</v>
      </c>
      <c r="AB677" s="119" t="s">
        <v>150</v>
      </c>
      <c r="AC677" s="119" t="s">
        <v>151</v>
      </c>
      <c r="AD677" s="119" t="s">
        <v>233</v>
      </c>
      <c r="BG677" s="158"/>
    </row>
    <row r="678" spans="2:59" ht="13.5">
      <c r="B678" s="106"/>
      <c r="C678" s="117" t="s">
        <v>205</v>
      </c>
      <c r="D678" s="117" t="s">
        <v>214</v>
      </c>
      <c r="E678" s="117" t="s">
        <v>222</v>
      </c>
      <c r="F678" s="118" t="s">
        <v>250</v>
      </c>
      <c r="G678" s="118" t="s">
        <v>251</v>
      </c>
      <c r="H678" s="118" t="s">
        <v>253</v>
      </c>
      <c r="I678" s="118" t="s">
        <v>252</v>
      </c>
      <c r="J678" s="118" t="s">
        <v>254</v>
      </c>
      <c r="K678" s="118" t="s">
        <v>255</v>
      </c>
      <c r="L678" s="118" t="s">
        <v>256</v>
      </c>
      <c r="M678" s="118" t="s">
        <v>257</v>
      </c>
      <c r="N678" s="118" t="s">
        <v>258</v>
      </c>
      <c r="O678" s="118" t="s">
        <v>259</v>
      </c>
      <c r="P678" s="118" t="s">
        <v>260</v>
      </c>
      <c r="Q678" s="118" t="s">
        <v>261</v>
      </c>
      <c r="R678" s="118" t="s">
        <v>262</v>
      </c>
      <c r="S678" s="118" t="s">
        <v>263</v>
      </c>
      <c r="T678" s="118" t="s">
        <v>264</v>
      </c>
      <c r="U678" s="118" t="s">
        <v>265</v>
      </c>
      <c r="V678" s="118" t="s">
        <v>266</v>
      </c>
      <c r="W678" s="118" t="s">
        <v>267</v>
      </c>
      <c r="X678" s="118" t="s">
        <v>235</v>
      </c>
      <c r="Y678" s="118" t="s">
        <v>236</v>
      </c>
      <c r="Z678" s="118" t="s">
        <v>237</v>
      </c>
      <c r="AA678" s="118" t="s">
        <v>238</v>
      </c>
      <c r="AB678" s="118" t="s">
        <v>239</v>
      </c>
      <c r="AC678" s="118" t="s">
        <v>240</v>
      </c>
      <c r="AD678" s="118" t="s">
        <v>241</v>
      </c>
      <c r="BG678" s="158"/>
    </row>
    <row r="679" spans="2:59" ht="13.5">
      <c r="B679" s="122"/>
      <c r="C679" s="117" t="s">
        <v>304</v>
      </c>
      <c r="D679" s="117" t="s">
        <v>305</v>
      </c>
      <c r="E679" s="117" t="s">
        <v>305</v>
      </c>
      <c r="F679" s="119" t="s">
        <v>306</v>
      </c>
      <c r="G679" s="119" t="s">
        <v>306</v>
      </c>
      <c r="H679" s="119" t="s">
        <v>307</v>
      </c>
      <c r="I679" s="119" t="s">
        <v>306</v>
      </c>
      <c r="J679" s="119" t="s">
        <v>308</v>
      </c>
      <c r="K679" s="119" t="s">
        <v>309</v>
      </c>
      <c r="L679" s="118" t="s">
        <v>310</v>
      </c>
      <c r="M679" s="119" t="s">
        <v>310</v>
      </c>
      <c r="N679" s="119" t="s">
        <v>311</v>
      </c>
      <c r="O679" s="119" t="s">
        <v>306</v>
      </c>
      <c r="P679" s="119" t="s">
        <v>312</v>
      </c>
      <c r="Q679" s="119" t="s">
        <v>313</v>
      </c>
      <c r="R679" s="119" t="s">
        <v>312</v>
      </c>
      <c r="S679" s="119" t="s">
        <v>314</v>
      </c>
      <c r="T679" s="118" t="s">
        <v>315</v>
      </c>
      <c r="U679" s="119" t="s">
        <v>315</v>
      </c>
      <c r="V679" s="119" t="s">
        <v>316</v>
      </c>
      <c r="W679" s="119" t="s">
        <v>306</v>
      </c>
      <c r="X679" s="119" t="s">
        <v>317</v>
      </c>
      <c r="Y679" s="119" t="s">
        <v>319</v>
      </c>
      <c r="Z679" s="119" t="s">
        <v>320</v>
      </c>
      <c r="AA679" s="119" t="s">
        <v>320</v>
      </c>
      <c r="AB679" s="118" t="s">
        <v>318</v>
      </c>
      <c r="AC679" s="119" t="s">
        <v>320</v>
      </c>
      <c r="AD679" s="119" t="s">
        <v>320</v>
      </c>
      <c r="BG679" s="158"/>
    </row>
    <row r="680" spans="2:59" ht="25">
      <c r="B680" s="122" t="s">
        <v>244</v>
      </c>
      <c r="C680" s="121" t="s">
        <v>269</v>
      </c>
      <c r="D680" s="118" t="s">
        <v>270</v>
      </c>
      <c r="E680" s="119" t="s">
        <v>270</v>
      </c>
      <c r="F680" s="119" t="s">
        <v>182</v>
      </c>
      <c r="G680" s="119" t="s">
        <v>271</v>
      </c>
      <c r="H680" s="119" t="s">
        <v>183</v>
      </c>
      <c r="I680" s="119" t="s">
        <v>271</v>
      </c>
      <c r="J680" s="119" t="s">
        <v>272</v>
      </c>
      <c r="K680" s="119" t="s">
        <v>243</v>
      </c>
      <c r="L680" s="118" t="s">
        <v>155</v>
      </c>
      <c r="M680" s="119" t="s">
        <v>273</v>
      </c>
      <c r="N680" s="119"/>
      <c r="O680" s="119" t="s">
        <v>182</v>
      </c>
      <c r="P680" s="119" t="s">
        <v>155</v>
      </c>
      <c r="Q680" s="119" t="s">
        <v>274</v>
      </c>
      <c r="R680" s="119" t="s">
        <v>275</v>
      </c>
      <c r="S680" s="119"/>
      <c r="T680" s="118" t="s">
        <v>155</v>
      </c>
      <c r="U680" s="119" t="s">
        <v>155</v>
      </c>
      <c r="V680" s="119" t="s">
        <v>155</v>
      </c>
      <c r="W680" s="119"/>
      <c r="X680" s="119" t="s">
        <v>243</v>
      </c>
      <c r="Y680" s="119" t="s">
        <v>276</v>
      </c>
      <c r="Z680" s="119" t="s">
        <v>277</v>
      </c>
      <c r="AA680" s="119" t="s">
        <v>277</v>
      </c>
      <c r="AB680" s="118" t="s">
        <v>278</v>
      </c>
      <c r="AC680" s="119" t="s">
        <v>279</v>
      </c>
      <c r="AD680" s="119" t="s">
        <v>279</v>
      </c>
      <c r="BG680" s="158"/>
    </row>
    <row r="681" spans="2:59" ht="25">
      <c r="B681" s="120" t="s">
        <v>242</v>
      </c>
      <c r="C681" s="141" t="s">
        <v>269</v>
      </c>
      <c r="D681" s="131" t="s">
        <v>270</v>
      </c>
      <c r="E681" s="142" t="s">
        <v>181</v>
      </c>
      <c r="F681" s="116" t="s">
        <v>182</v>
      </c>
      <c r="G681" s="118" t="s">
        <v>271</v>
      </c>
      <c r="H681" s="116" t="s">
        <v>183</v>
      </c>
      <c r="I681" s="118" t="s">
        <v>271</v>
      </c>
      <c r="J681" s="116" t="s">
        <v>183</v>
      </c>
      <c r="K681" s="116" t="s">
        <v>243</v>
      </c>
      <c r="L681" s="131" t="s">
        <v>280</v>
      </c>
      <c r="M681" s="116" t="s">
        <v>273</v>
      </c>
      <c r="N681" s="116"/>
      <c r="O681" s="116" t="s">
        <v>243</v>
      </c>
      <c r="P681" s="116" t="s">
        <v>155</v>
      </c>
      <c r="Q681" s="116" t="s">
        <v>183</v>
      </c>
      <c r="R681" s="116" t="s">
        <v>281</v>
      </c>
      <c r="S681" s="116"/>
      <c r="T681" s="131" t="s">
        <v>155</v>
      </c>
      <c r="U681" s="116" t="s">
        <v>155</v>
      </c>
      <c r="V681" s="116" t="s">
        <v>155</v>
      </c>
      <c r="W681" s="116"/>
      <c r="X681" s="116" t="s">
        <v>243</v>
      </c>
      <c r="Y681" s="116" t="s">
        <v>282</v>
      </c>
      <c r="Z681" s="116" t="s">
        <v>283</v>
      </c>
      <c r="AA681" s="116">
        <v>470195</v>
      </c>
      <c r="AB681" s="131" t="s">
        <v>282</v>
      </c>
      <c r="AC681" s="116">
        <v>470195</v>
      </c>
      <c r="AD681" s="116" t="s">
        <v>283</v>
      </c>
      <c r="BG681" s="158"/>
    </row>
    <row r="682" spans="2:59" ht="14">
      <c r="B682" s="120" t="s">
        <v>242</v>
      </c>
      <c r="C682" s="142" t="s">
        <v>476</v>
      </c>
      <c r="D682" s="121" t="s">
        <v>270</v>
      </c>
      <c r="E682" s="121" t="s">
        <v>270</v>
      </c>
      <c r="F682" s="121" t="s">
        <v>182</v>
      </c>
      <c r="G682" s="121" t="s">
        <v>271</v>
      </c>
      <c r="H682" s="121" t="s">
        <v>183</v>
      </c>
      <c r="I682" s="121" t="s">
        <v>271</v>
      </c>
      <c r="J682" s="121" t="s">
        <v>477</v>
      </c>
      <c r="K682" s="121" t="s">
        <v>243</v>
      </c>
      <c r="L682" s="121" t="s">
        <v>155</v>
      </c>
      <c r="M682" s="121" t="s">
        <v>273</v>
      </c>
      <c r="N682" s="121"/>
      <c r="O682" s="121" t="s">
        <v>182</v>
      </c>
      <c r="P682" s="121" t="s">
        <v>155</v>
      </c>
      <c r="Q682" s="121" t="s">
        <v>274</v>
      </c>
      <c r="R682" s="121" t="s">
        <v>478</v>
      </c>
      <c r="S682" s="121"/>
      <c r="T682" s="121" t="s">
        <v>479</v>
      </c>
      <c r="U682" s="121" t="s">
        <v>480</v>
      </c>
      <c r="V682" s="121" t="s">
        <v>481</v>
      </c>
      <c r="W682" s="121"/>
      <c r="X682" s="121" t="s">
        <v>243</v>
      </c>
      <c r="Y682" s="121" t="s">
        <v>276</v>
      </c>
      <c r="Z682" s="121" t="s">
        <v>277</v>
      </c>
      <c r="AA682" s="121" t="s">
        <v>277</v>
      </c>
      <c r="AB682" s="121" t="s">
        <v>482</v>
      </c>
      <c r="AC682" s="121">
        <v>375901</v>
      </c>
      <c r="AD682" s="121" t="s">
        <v>483</v>
      </c>
      <c r="BG682" s="158"/>
    </row>
    <row r="683" spans="2:59" ht="14">
      <c r="B683" s="120" t="s">
        <v>242</v>
      </c>
      <c r="C683" s="142" t="s">
        <v>490</v>
      </c>
      <c r="D683" s="121" t="s">
        <v>270</v>
      </c>
      <c r="E683" s="121" t="s">
        <v>270</v>
      </c>
      <c r="F683" s="121" t="s">
        <v>182</v>
      </c>
      <c r="G683" s="121" t="s">
        <v>271</v>
      </c>
      <c r="H683" s="121" t="s">
        <v>183</v>
      </c>
      <c r="I683" s="121" t="s">
        <v>271</v>
      </c>
      <c r="J683" s="121" t="s">
        <v>484</v>
      </c>
      <c r="K683" s="121" t="s">
        <v>243</v>
      </c>
      <c r="L683" s="121" t="s">
        <v>485</v>
      </c>
      <c r="M683" s="121" t="s">
        <v>273</v>
      </c>
      <c r="N683" s="121"/>
      <c r="O683" s="121" t="s">
        <v>271</v>
      </c>
      <c r="P683" s="121" t="s">
        <v>155</v>
      </c>
      <c r="Q683" s="121" t="s">
        <v>486</v>
      </c>
      <c r="R683" s="121" t="s">
        <v>275</v>
      </c>
      <c r="S683" s="121"/>
      <c r="T683" s="121" t="s">
        <v>155</v>
      </c>
      <c r="U683" s="121" t="s">
        <v>155</v>
      </c>
      <c r="V683" s="121" t="s">
        <v>155</v>
      </c>
      <c r="W683" s="121"/>
      <c r="X683" s="121" t="s">
        <v>243</v>
      </c>
      <c r="Y683" s="121" t="s">
        <v>487</v>
      </c>
      <c r="Z683" s="121" t="s">
        <v>277</v>
      </c>
      <c r="AA683" s="121" t="s">
        <v>277</v>
      </c>
      <c r="AB683" s="121" t="s">
        <v>488</v>
      </c>
      <c r="AC683" s="121" t="s">
        <v>489</v>
      </c>
      <c r="AD683" s="121" t="s">
        <v>489</v>
      </c>
      <c r="BG683" s="158"/>
    </row>
    <row r="684" spans="2:59" ht="13.5">
      <c r="B684" s="106"/>
      <c r="C684" s="161"/>
      <c r="D684" s="161"/>
      <c r="E684" s="161"/>
      <c r="F684" s="161"/>
      <c r="G684" s="161"/>
      <c r="H684" s="161"/>
      <c r="I684" s="161"/>
      <c r="J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BG684" s="158"/>
    </row>
    <row r="685" spans="2:59" ht="15">
      <c r="B685" s="106"/>
      <c r="C685" s="265" t="s">
        <v>321</v>
      </c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90"/>
      <c r="V685" s="90"/>
      <c r="W685" s="90"/>
      <c r="X685" s="90"/>
      <c r="Y685" s="90"/>
      <c r="Z685" s="90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2"/>
      <c r="AQ685" s="92"/>
      <c r="AR685" s="92"/>
      <c r="AS685" s="92"/>
      <c r="AT685" s="92"/>
      <c r="AU685" s="92"/>
      <c r="AV685" s="92"/>
      <c r="AW685" s="92"/>
      <c r="AX685" s="92"/>
      <c r="AY685" s="92"/>
      <c r="AZ685" s="92"/>
      <c r="BA685" s="92"/>
      <c r="BB685" s="92"/>
      <c r="BC685" s="92"/>
      <c r="BD685" s="92"/>
      <c r="BE685" s="92"/>
      <c r="BF685" s="92"/>
      <c r="BG685" s="158"/>
    </row>
    <row r="686" spans="2:59" ht="15">
      <c r="B686" s="106"/>
      <c r="C686" s="127"/>
      <c r="D686" s="127"/>
      <c r="E686" s="127"/>
      <c r="F686" s="124" t="s">
        <v>168</v>
      </c>
      <c r="G686" s="124" t="s">
        <v>168</v>
      </c>
      <c r="H686" s="129" t="s">
        <v>168</v>
      </c>
      <c r="I686" s="124" t="s">
        <v>168</v>
      </c>
      <c r="J686" s="124" t="s">
        <v>168</v>
      </c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  <c r="AK686" s="130"/>
      <c r="AL686" s="130"/>
      <c r="AM686" s="130"/>
      <c r="AN686" s="130"/>
      <c r="AO686" s="130"/>
      <c r="AP686" s="130"/>
      <c r="AQ686" s="130"/>
      <c r="AR686" s="130"/>
      <c r="AS686" s="130"/>
      <c r="AT686" s="130"/>
      <c r="AU686" s="130"/>
      <c r="AV686" s="130"/>
      <c r="AW686" s="130"/>
      <c r="AX686" s="130"/>
      <c r="AY686" s="130"/>
      <c r="AZ686" s="130"/>
      <c r="BA686" s="130"/>
      <c r="BB686" s="130"/>
      <c r="BC686" s="130"/>
      <c r="BD686" s="130"/>
      <c r="BE686" s="130"/>
      <c r="BF686" s="130"/>
      <c r="BG686" s="158"/>
    </row>
    <row r="687" spans="2:59" ht="25">
      <c r="B687" s="106"/>
      <c r="C687" s="117" t="s">
        <v>365</v>
      </c>
      <c r="D687" s="117" t="s">
        <v>420</v>
      </c>
      <c r="E687" s="117" t="s">
        <v>421</v>
      </c>
      <c r="F687" s="119" t="s">
        <v>96</v>
      </c>
      <c r="G687" s="119" t="s">
        <v>99</v>
      </c>
      <c r="H687" s="119" t="s">
        <v>130</v>
      </c>
      <c r="I687" s="119" t="s">
        <v>391</v>
      </c>
      <c r="J687" s="119" t="s">
        <v>127</v>
      </c>
      <c r="K687" s="119" t="s">
        <v>67</v>
      </c>
      <c r="L687" s="119" t="s">
        <v>288</v>
      </c>
      <c r="M687" s="119" t="s">
        <v>366</v>
      </c>
      <c r="N687" s="119" t="s">
        <v>367</v>
      </c>
      <c r="O687" s="119" t="s">
        <v>368</v>
      </c>
      <c r="P687" s="119" t="s">
        <v>369</v>
      </c>
      <c r="Q687" s="119" t="s">
        <v>370</v>
      </c>
      <c r="R687" s="119" t="s">
        <v>371</v>
      </c>
      <c r="S687" s="119" t="s">
        <v>372</v>
      </c>
      <c r="T687" s="119" t="s">
        <v>373</v>
      </c>
      <c r="U687" s="119" t="s">
        <v>374</v>
      </c>
      <c r="V687" s="119" t="s">
        <v>375</v>
      </c>
      <c r="W687" s="119" t="s">
        <v>376</v>
      </c>
      <c r="X687" s="119" t="s">
        <v>377</v>
      </c>
      <c r="Y687" s="119" t="s">
        <v>378</v>
      </c>
      <c r="Z687" s="119" t="s">
        <v>379</v>
      </c>
      <c r="AA687" s="119" t="s">
        <v>380</v>
      </c>
      <c r="AB687" s="119" t="s">
        <v>381</v>
      </c>
      <c r="AC687" s="119" t="s">
        <v>382</v>
      </c>
      <c r="AD687" s="119" t="s">
        <v>383</v>
      </c>
      <c r="AE687" s="119" t="s">
        <v>384</v>
      </c>
      <c r="AF687" s="119" t="s">
        <v>385</v>
      </c>
      <c r="AG687" s="119" t="s">
        <v>386</v>
      </c>
      <c r="AH687" s="119" t="s">
        <v>387</v>
      </c>
      <c r="AI687" s="119" t="s">
        <v>388</v>
      </c>
      <c r="AJ687" s="119" t="s">
        <v>390</v>
      </c>
      <c r="AK687" s="119" t="s">
        <v>389</v>
      </c>
      <c r="AL687" s="119" t="s">
        <v>398</v>
      </c>
      <c r="AM687" s="119" t="s">
        <v>392</v>
      </c>
      <c r="AN687" s="119" t="s">
        <v>393</v>
      </c>
      <c r="AO687" s="119" t="s">
        <v>394</v>
      </c>
      <c r="AP687" s="119" t="s">
        <v>395</v>
      </c>
      <c r="AQ687" s="119" t="s">
        <v>399</v>
      </c>
      <c r="AR687" s="119" t="s">
        <v>396</v>
      </c>
      <c r="AS687" s="119" t="s">
        <v>397</v>
      </c>
      <c r="AT687" s="119" t="s">
        <v>400</v>
      </c>
      <c r="AU687" s="119" t="s">
        <v>401</v>
      </c>
      <c r="AV687" s="119" t="s">
        <v>402</v>
      </c>
      <c r="AW687" s="119" t="s">
        <v>403</v>
      </c>
      <c r="AX687" s="119" t="s">
        <v>404</v>
      </c>
      <c r="AY687" s="119" t="s">
        <v>405</v>
      </c>
      <c r="AZ687" s="119" t="s">
        <v>229</v>
      </c>
      <c r="BA687" s="119" t="s">
        <v>230</v>
      </c>
      <c r="BB687" s="119" t="s">
        <v>231</v>
      </c>
      <c r="BC687" s="119" t="s">
        <v>232</v>
      </c>
      <c r="BD687" s="119" t="s">
        <v>150</v>
      </c>
      <c r="BE687" s="119" t="s">
        <v>151</v>
      </c>
      <c r="BF687" s="119" t="s">
        <v>519</v>
      </c>
      <c r="BG687" s="158"/>
    </row>
    <row r="688" spans="2:59">
      <c r="B688" s="163"/>
      <c r="C688" s="117" t="s">
        <v>205</v>
      </c>
      <c r="D688" s="117" t="s">
        <v>214</v>
      </c>
      <c r="E688" s="117" t="s">
        <v>222</v>
      </c>
      <c r="F688" s="118" t="s">
        <v>322</v>
      </c>
      <c r="G688" s="118" t="s">
        <v>323</v>
      </c>
      <c r="H688" s="118" t="s">
        <v>324</v>
      </c>
      <c r="I688" s="118" t="s">
        <v>351</v>
      </c>
      <c r="J688" s="118" t="s">
        <v>357</v>
      </c>
      <c r="K688" s="118" t="s">
        <v>251</v>
      </c>
      <c r="L688" s="118" t="s">
        <v>252</v>
      </c>
      <c r="M688" s="118" t="s">
        <v>325</v>
      </c>
      <c r="N688" s="118" t="s">
        <v>326</v>
      </c>
      <c r="O688" s="118" t="s">
        <v>327</v>
      </c>
      <c r="P688" s="118" t="s">
        <v>328</v>
      </c>
      <c r="Q688" s="118" t="s">
        <v>329</v>
      </c>
      <c r="R688" s="118" t="s">
        <v>330</v>
      </c>
      <c r="S688" s="118" t="s">
        <v>331</v>
      </c>
      <c r="T688" s="118" t="s">
        <v>332</v>
      </c>
      <c r="U688" s="118" t="s">
        <v>333</v>
      </c>
      <c r="V688" s="118" t="s">
        <v>334</v>
      </c>
      <c r="W688" s="118" t="s">
        <v>335</v>
      </c>
      <c r="X688" s="118" t="s">
        <v>336</v>
      </c>
      <c r="Y688" s="118" t="s">
        <v>337</v>
      </c>
      <c r="Z688" s="118" t="s">
        <v>338</v>
      </c>
      <c r="AA688" s="118" t="s">
        <v>339</v>
      </c>
      <c r="AB688" s="118" t="s">
        <v>340</v>
      </c>
      <c r="AC688" s="118" t="s">
        <v>341</v>
      </c>
      <c r="AD688" s="118" t="s">
        <v>342</v>
      </c>
      <c r="AE688" s="118" t="s">
        <v>343</v>
      </c>
      <c r="AF688" s="118" t="s">
        <v>344</v>
      </c>
      <c r="AG688" s="118" t="s">
        <v>345</v>
      </c>
      <c r="AH688" s="118" t="s">
        <v>346</v>
      </c>
      <c r="AI688" s="118" t="s">
        <v>347</v>
      </c>
      <c r="AJ688" s="118" t="s">
        <v>348</v>
      </c>
      <c r="AK688" s="118" t="s">
        <v>349</v>
      </c>
      <c r="AL688" s="118" t="s">
        <v>350</v>
      </c>
      <c r="AM688" s="118" t="s">
        <v>352</v>
      </c>
      <c r="AN688" s="118" t="s">
        <v>353</v>
      </c>
      <c r="AO688" s="118" t="s">
        <v>354</v>
      </c>
      <c r="AP688" s="118" t="s">
        <v>234</v>
      </c>
      <c r="AQ688" s="118" t="s">
        <v>355</v>
      </c>
      <c r="AR688" s="118" t="s">
        <v>356</v>
      </c>
      <c r="AS688" s="118" t="s">
        <v>358</v>
      </c>
      <c r="AT688" s="118" t="s">
        <v>359</v>
      </c>
      <c r="AU688" s="118" t="s">
        <v>360</v>
      </c>
      <c r="AV688" s="118" t="s">
        <v>361</v>
      </c>
      <c r="AW688" s="118" t="s">
        <v>362</v>
      </c>
      <c r="AX688" s="118" t="s">
        <v>363</v>
      </c>
      <c r="AY688" s="118" t="s">
        <v>364</v>
      </c>
      <c r="AZ688" s="118" t="s">
        <v>235</v>
      </c>
      <c r="BA688" s="118" t="s">
        <v>236</v>
      </c>
      <c r="BB688" s="118" t="s">
        <v>237</v>
      </c>
      <c r="BC688" s="118" t="s">
        <v>238</v>
      </c>
      <c r="BD688" s="118" t="s">
        <v>239</v>
      </c>
      <c r="BE688" s="118" t="s">
        <v>240</v>
      </c>
      <c r="BF688" s="118" t="s">
        <v>241</v>
      </c>
      <c r="BG688" s="158"/>
    </row>
    <row r="689" spans="2:59">
      <c r="B689" s="163"/>
      <c r="C689" s="117" t="s">
        <v>304</v>
      </c>
      <c r="D689" s="117" t="s">
        <v>406</v>
      </c>
      <c r="E689" s="117" t="s">
        <v>305</v>
      </c>
      <c r="F689" s="131" t="s">
        <v>306</v>
      </c>
      <c r="G689" s="131" t="s">
        <v>306</v>
      </c>
      <c r="H689" s="131" t="s">
        <v>306</v>
      </c>
      <c r="I689" s="131" t="s">
        <v>306</v>
      </c>
      <c r="J689" s="131" t="s">
        <v>308</v>
      </c>
      <c r="K689" s="131" t="s">
        <v>306</v>
      </c>
      <c r="L689" s="131" t="s">
        <v>306</v>
      </c>
      <c r="M689" s="131" t="s">
        <v>407</v>
      </c>
      <c r="N689" s="131" t="s">
        <v>407</v>
      </c>
      <c r="O689" s="131" t="s">
        <v>305</v>
      </c>
      <c r="P689" s="131" t="s">
        <v>408</v>
      </c>
      <c r="Q689" s="131" t="s">
        <v>306</v>
      </c>
      <c r="R689" s="131" t="s">
        <v>313</v>
      </c>
      <c r="S689" s="131" t="s">
        <v>308</v>
      </c>
      <c r="T689" s="131" t="s">
        <v>313</v>
      </c>
      <c r="U689" s="131" t="s">
        <v>308</v>
      </c>
      <c r="V689" s="131" t="s">
        <v>308</v>
      </c>
      <c r="W689" s="131" t="s">
        <v>306</v>
      </c>
      <c r="X689" s="131" t="s">
        <v>409</v>
      </c>
      <c r="Y689" s="131" t="s">
        <v>409</v>
      </c>
      <c r="Z689" s="131" t="s">
        <v>310</v>
      </c>
      <c r="AA689" s="131" t="s">
        <v>408</v>
      </c>
      <c r="AB689" s="131" t="s">
        <v>408</v>
      </c>
      <c r="AC689" s="131" t="s">
        <v>308</v>
      </c>
      <c r="AD689" s="131" t="s">
        <v>312</v>
      </c>
      <c r="AE689" s="131" t="s">
        <v>313</v>
      </c>
      <c r="AF689" s="131" t="s">
        <v>313</v>
      </c>
      <c r="AG689" s="131" t="s">
        <v>410</v>
      </c>
      <c r="AH689" s="131" t="s">
        <v>410</v>
      </c>
      <c r="AI689" s="131" t="s">
        <v>313</v>
      </c>
      <c r="AJ689" s="131" t="s">
        <v>313</v>
      </c>
      <c r="AK689" s="131" t="s">
        <v>410</v>
      </c>
      <c r="AL689" s="131" t="s">
        <v>410</v>
      </c>
      <c r="AM689" s="131" t="s">
        <v>306</v>
      </c>
      <c r="AN689" s="131" t="s">
        <v>306</v>
      </c>
      <c r="AO689" s="131" t="s">
        <v>306</v>
      </c>
      <c r="AP689" s="131" t="s">
        <v>310</v>
      </c>
      <c r="AQ689" s="131" t="s">
        <v>305</v>
      </c>
      <c r="AR689" s="131" t="s">
        <v>306</v>
      </c>
      <c r="AS689" s="131" t="s">
        <v>308</v>
      </c>
      <c r="AT689" s="131" t="s">
        <v>306</v>
      </c>
      <c r="AU689" s="131" t="s">
        <v>411</v>
      </c>
      <c r="AV689" s="131" t="s">
        <v>313</v>
      </c>
      <c r="AW689" s="131" t="s">
        <v>310</v>
      </c>
      <c r="AX689" s="131" t="s">
        <v>306</v>
      </c>
      <c r="AY689" s="131" t="s">
        <v>306</v>
      </c>
      <c r="AZ689" s="131" t="s">
        <v>317</v>
      </c>
      <c r="BA689" s="131" t="s">
        <v>318</v>
      </c>
      <c r="BB689" s="131" t="s">
        <v>320</v>
      </c>
      <c r="BC689" s="131" t="s">
        <v>320</v>
      </c>
      <c r="BD689" s="131" t="s">
        <v>318</v>
      </c>
      <c r="BE689" s="131" t="s">
        <v>320</v>
      </c>
      <c r="BF689" s="131" t="s">
        <v>320</v>
      </c>
      <c r="BG689" s="158"/>
    </row>
    <row r="690" spans="2:59" ht="15">
      <c r="B690" s="122" t="s">
        <v>244</v>
      </c>
      <c r="C690" s="132" t="s">
        <v>269</v>
      </c>
      <c r="D690" s="132" t="s">
        <v>270</v>
      </c>
      <c r="E690" s="132" t="s">
        <v>270</v>
      </c>
      <c r="F690" s="133" t="s">
        <v>286</v>
      </c>
      <c r="G690" s="218" t="s">
        <v>243</v>
      </c>
      <c r="H690" s="132" t="s">
        <v>243</v>
      </c>
      <c r="I690" s="135">
        <v>1</v>
      </c>
      <c r="J690" s="136">
        <v>0</v>
      </c>
      <c r="K690" s="132" t="s">
        <v>271</v>
      </c>
      <c r="L690" s="132" t="s">
        <v>271</v>
      </c>
      <c r="M690" s="132" t="s">
        <v>155</v>
      </c>
      <c r="N690" s="132" t="s">
        <v>155</v>
      </c>
      <c r="O690" s="132" t="s">
        <v>155</v>
      </c>
      <c r="P690" s="132" t="s">
        <v>155</v>
      </c>
      <c r="Q690" s="134" t="s">
        <v>412</v>
      </c>
      <c r="R690" s="132" t="s">
        <v>243</v>
      </c>
      <c r="S690" s="132" t="s">
        <v>243</v>
      </c>
      <c r="T690" s="132" t="s">
        <v>413</v>
      </c>
      <c r="U690" s="132" t="s">
        <v>414</v>
      </c>
      <c r="V690" s="132" t="s">
        <v>182</v>
      </c>
      <c r="W690" s="132" t="s">
        <v>182</v>
      </c>
      <c r="X690" s="132" t="s">
        <v>243</v>
      </c>
      <c r="Y690" s="132" t="s">
        <v>243</v>
      </c>
      <c r="Z690" s="132"/>
      <c r="AA690" s="135"/>
      <c r="AB690" s="135" t="s">
        <v>155</v>
      </c>
      <c r="AC690" s="135">
        <v>1</v>
      </c>
      <c r="AD690" s="135">
        <v>99999999</v>
      </c>
      <c r="AE690" s="132" t="s">
        <v>243</v>
      </c>
      <c r="AF690" s="132" t="s">
        <v>243</v>
      </c>
      <c r="AG690" s="132" t="s">
        <v>243</v>
      </c>
      <c r="AH690" s="132" t="s">
        <v>243</v>
      </c>
      <c r="AI690" s="135">
        <v>0</v>
      </c>
      <c r="AJ690" s="135">
        <v>0</v>
      </c>
      <c r="AK690" s="135">
        <v>0</v>
      </c>
      <c r="AL690" s="135">
        <v>0</v>
      </c>
      <c r="AM690" s="132" t="s">
        <v>182</v>
      </c>
      <c r="AN690" s="135">
        <v>0</v>
      </c>
      <c r="AO690" s="132" t="s">
        <v>243</v>
      </c>
      <c r="AP690" s="135">
        <v>1</v>
      </c>
      <c r="AQ690" s="136" t="s">
        <v>155</v>
      </c>
      <c r="AR690" s="136" t="s">
        <v>415</v>
      </c>
      <c r="AS690" s="136">
        <v>0</v>
      </c>
      <c r="AT690" s="136">
        <v>1</v>
      </c>
      <c r="AU690" s="136">
        <v>0</v>
      </c>
      <c r="AV690" s="136">
        <v>0</v>
      </c>
      <c r="AW690" s="136">
        <v>0</v>
      </c>
      <c r="AX690" s="136">
        <v>0</v>
      </c>
      <c r="AY690" s="136">
        <v>1</v>
      </c>
      <c r="AZ690" s="136">
        <v>0</v>
      </c>
      <c r="BA690" s="137">
        <v>29705</v>
      </c>
      <c r="BB690" s="136" t="s">
        <v>277</v>
      </c>
      <c r="BC690" s="136" t="s">
        <v>277</v>
      </c>
      <c r="BD690" s="137">
        <v>36413</v>
      </c>
      <c r="BE690" s="136" t="s">
        <v>277</v>
      </c>
      <c r="BF690" s="136" t="s">
        <v>277</v>
      </c>
      <c r="BG690" s="158"/>
    </row>
    <row r="691" spans="2:59" ht="15">
      <c r="B691" s="120" t="s">
        <v>242</v>
      </c>
      <c r="C691" s="132" t="s">
        <v>269</v>
      </c>
      <c r="D691" s="132" t="s">
        <v>270</v>
      </c>
      <c r="E691" s="142" t="s">
        <v>181</v>
      </c>
      <c r="F691" s="133" t="s">
        <v>184</v>
      </c>
      <c r="G691" s="132" t="s">
        <v>243</v>
      </c>
      <c r="H691" s="132" t="s">
        <v>243</v>
      </c>
      <c r="I691" s="135">
        <v>0</v>
      </c>
      <c r="J691" s="136">
        <v>30</v>
      </c>
      <c r="K691" s="132" t="s">
        <v>271</v>
      </c>
      <c r="L691" s="132" t="s">
        <v>271</v>
      </c>
      <c r="M691" s="132" t="s">
        <v>155</v>
      </c>
      <c r="N691" s="132" t="s">
        <v>155</v>
      </c>
      <c r="O691" s="132" t="s">
        <v>416</v>
      </c>
      <c r="P691" s="132" t="s">
        <v>155</v>
      </c>
      <c r="Q691" s="134" t="s">
        <v>417</v>
      </c>
      <c r="R691" s="132" t="s">
        <v>182</v>
      </c>
      <c r="S691" s="132" t="s">
        <v>243</v>
      </c>
      <c r="T691" s="132" t="s">
        <v>413</v>
      </c>
      <c r="U691" s="132" t="s">
        <v>414</v>
      </c>
      <c r="V691" s="132" t="s">
        <v>418</v>
      </c>
      <c r="W691" s="132" t="s">
        <v>182</v>
      </c>
      <c r="X691" s="132" t="s">
        <v>243</v>
      </c>
      <c r="Y691" s="132" t="s">
        <v>243</v>
      </c>
      <c r="Z691" s="132"/>
      <c r="AA691" s="135"/>
      <c r="AB691" s="135" t="s">
        <v>419</v>
      </c>
      <c r="AC691" s="138">
        <v>5000</v>
      </c>
      <c r="AD691" s="135">
        <v>99999999</v>
      </c>
      <c r="AE691" s="132" t="s">
        <v>243</v>
      </c>
      <c r="AF691" s="132" t="s">
        <v>271</v>
      </c>
      <c r="AG691" s="132" t="s">
        <v>243</v>
      </c>
      <c r="AH691" s="132" t="s">
        <v>243</v>
      </c>
      <c r="AI691" s="135">
        <v>0</v>
      </c>
      <c r="AJ691" s="135">
        <v>0</v>
      </c>
      <c r="AK691" s="135">
        <v>0</v>
      </c>
      <c r="AL691" s="135">
        <v>0</v>
      </c>
      <c r="AM691" s="132" t="s">
        <v>182</v>
      </c>
      <c r="AN691" s="135">
        <v>0</v>
      </c>
      <c r="AO691" s="132" t="s">
        <v>243</v>
      </c>
      <c r="AP691" s="135">
        <v>1</v>
      </c>
      <c r="AQ691" s="136">
        <v>1111</v>
      </c>
      <c r="AR691" s="136" t="s">
        <v>415</v>
      </c>
      <c r="AS691" s="136">
        <v>10</v>
      </c>
      <c r="AT691" s="136">
        <v>1</v>
      </c>
      <c r="AU691" s="136">
        <v>0</v>
      </c>
      <c r="AV691" s="136">
        <v>0</v>
      </c>
      <c r="AW691" s="136">
        <v>0</v>
      </c>
      <c r="AX691" s="136">
        <v>0</v>
      </c>
      <c r="AY691" s="136">
        <v>1</v>
      </c>
      <c r="AZ691" s="136">
        <v>0</v>
      </c>
      <c r="BA691" s="137">
        <v>40640.750486111108</v>
      </c>
      <c r="BB691" s="136">
        <v>470195</v>
      </c>
      <c r="BC691" s="136">
        <v>470195</v>
      </c>
      <c r="BD691" s="137">
        <v>45392.67769675926</v>
      </c>
      <c r="BE691" s="136">
        <v>363363</v>
      </c>
      <c r="BF691" s="136">
        <v>363363</v>
      </c>
      <c r="BG691" s="158"/>
    </row>
    <row r="692" spans="2:59" ht="14">
      <c r="B692" s="120" t="s">
        <v>242</v>
      </c>
      <c r="C692" s="142" t="s">
        <v>476</v>
      </c>
      <c r="D692" s="132" t="s">
        <v>270</v>
      </c>
      <c r="E692" s="132" t="s">
        <v>270</v>
      </c>
      <c r="F692" s="132" t="s">
        <v>286</v>
      </c>
      <c r="G692" s="132" t="s">
        <v>243</v>
      </c>
      <c r="H692" s="132" t="s">
        <v>243</v>
      </c>
      <c r="I692" s="132">
        <v>1</v>
      </c>
      <c r="J692" s="132">
        <v>0</v>
      </c>
      <c r="K692" s="132" t="s">
        <v>271</v>
      </c>
      <c r="L692" s="132" t="s">
        <v>271</v>
      </c>
      <c r="M692" s="132" t="s">
        <v>155</v>
      </c>
      <c r="N692" s="132" t="s">
        <v>155</v>
      </c>
      <c r="O692" s="132" t="s">
        <v>155</v>
      </c>
      <c r="P692" s="132" t="s">
        <v>155</v>
      </c>
      <c r="Q692" s="132" t="s">
        <v>412</v>
      </c>
      <c r="R692" s="132" t="s">
        <v>243</v>
      </c>
      <c r="S692" s="132" t="s">
        <v>243</v>
      </c>
      <c r="T692" s="132" t="s">
        <v>413</v>
      </c>
      <c r="U692" s="132" t="s">
        <v>414</v>
      </c>
      <c r="V692" s="132" t="s">
        <v>182</v>
      </c>
      <c r="W692" s="132" t="s">
        <v>182</v>
      </c>
      <c r="X692" s="132" t="s">
        <v>243</v>
      </c>
      <c r="Y692" s="132" t="s">
        <v>243</v>
      </c>
      <c r="Z692" s="132"/>
      <c r="AA692" s="132"/>
      <c r="AB692" s="132" t="s">
        <v>155</v>
      </c>
      <c r="AC692" s="132">
        <v>1</v>
      </c>
      <c r="AD692" s="132">
        <v>99999999</v>
      </c>
      <c r="AE692" s="132">
        <v>0</v>
      </c>
      <c r="AF692" s="132">
        <v>0</v>
      </c>
      <c r="AG692" s="132">
        <v>0</v>
      </c>
      <c r="AH692" s="132">
        <v>0</v>
      </c>
      <c r="AI692" s="132">
        <v>0</v>
      </c>
      <c r="AJ692" s="132">
        <v>0</v>
      </c>
      <c r="AK692" s="132">
        <v>0</v>
      </c>
      <c r="AL692" s="132">
        <v>0</v>
      </c>
      <c r="AM692" s="132">
        <v>1</v>
      </c>
      <c r="AN692" s="132">
        <v>0</v>
      </c>
      <c r="AO692" s="132">
        <v>0</v>
      </c>
      <c r="AP692" s="132">
        <v>1</v>
      </c>
      <c r="AQ692" s="132" t="s">
        <v>155</v>
      </c>
      <c r="AR692" s="132" t="s">
        <v>415</v>
      </c>
      <c r="AS692" s="132">
        <v>0</v>
      </c>
      <c r="AT692" s="132">
        <v>1</v>
      </c>
      <c r="AU692" s="132">
        <v>0</v>
      </c>
      <c r="AV692" s="132">
        <v>0</v>
      </c>
      <c r="AW692" s="132">
        <v>0</v>
      </c>
      <c r="AX692" s="132">
        <v>0</v>
      </c>
      <c r="AY692" s="132">
        <v>1</v>
      </c>
      <c r="AZ692" s="132">
        <v>0</v>
      </c>
      <c r="BA692" s="132">
        <v>29705</v>
      </c>
      <c r="BB692" s="132" t="s">
        <v>277</v>
      </c>
      <c r="BC692" s="132" t="s">
        <v>277</v>
      </c>
      <c r="BD692" s="132">
        <v>39993.705960648149</v>
      </c>
      <c r="BE692" s="132">
        <v>375901</v>
      </c>
      <c r="BF692" s="132">
        <v>375901</v>
      </c>
      <c r="BG692" s="158"/>
    </row>
    <row r="693" spans="2:59" ht="14">
      <c r="B693" s="120" t="s">
        <v>242</v>
      </c>
      <c r="C693" s="142" t="s">
        <v>490</v>
      </c>
      <c r="D693" s="132" t="s">
        <v>270</v>
      </c>
      <c r="E693" s="132" t="s">
        <v>270</v>
      </c>
      <c r="F693" s="132" t="s">
        <v>286</v>
      </c>
      <c r="G693" s="132" t="s">
        <v>243</v>
      </c>
      <c r="H693" s="132" t="s">
        <v>243</v>
      </c>
      <c r="I693" s="132">
        <v>1</v>
      </c>
      <c r="J693" s="132">
        <v>0</v>
      </c>
      <c r="K693" s="132" t="s">
        <v>271</v>
      </c>
      <c r="L693" s="132" t="s">
        <v>271</v>
      </c>
      <c r="M693" s="132" t="s">
        <v>155</v>
      </c>
      <c r="N693" s="132" t="s">
        <v>155</v>
      </c>
      <c r="O693" s="132" t="s">
        <v>155</v>
      </c>
      <c r="P693" s="132" t="s">
        <v>155</v>
      </c>
      <c r="Q693" s="132" t="s">
        <v>412</v>
      </c>
      <c r="R693" s="132" t="s">
        <v>243</v>
      </c>
      <c r="S693" s="132" t="s">
        <v>243</v>
      </c>
      <c r="T693" s="132" t="s">
        <v>413</v>
      </c>
      <c r="U693" s="132" t="s">
        <v>414</v>
      </c>
      <c r="V693" s="132" t="s">
        <v>182</v>
      </c>
      <c r="W693" s="132" t="s">
        <v>182</v>
      </c>
      <c r="X693" s="132" t="s">
        <v>243</v>
      </c>
      <c r="Y693" s="132" t="s">
        <v>243</v>
      </c>
      <c r="Z693" s="132"/>
      <c r="AA693" s="132"/>
      <c r="AB693" s="132" t="s">
        <v>155</v>
      </c>
      <c r="AC693" s="132">
        <v>1</v>
      </c>
      <c r="AD693" s="132">
        <v>99999999</v>
      </c>
      <c r="AE693" s="132">
        <v>0</v>
      </c>
      <c r="AF693" s="132">
        <v>0</v>
      </c>
      <c r="AG693" s="132">
        <v>0</v>
      </c>
      <c r="AH693" s="132">
        <v>0</v>
      </c>
      <c r="AI693" s="132">
        <v>0</v>
      </c>
      <c r="AJ693" s="132">
        <v>0</v>
      </c>
      <c r="AK693" s="132">
        <v>0</v>
      </c>
      <c r="AL693" s="132">
        <v>0</v>
      </c>
      <c r="AM693" s="132">
        <v>1</v>
      </c>
      <c r="AN693" s="132">
        <v>0</v>
      </c>
      <c r="AO693" s="132">
        <v>0</v>
      </c>
      <c r="AP693" s="132">
        <v>1</v>
      </c>
      <c r="AQ693" s="132" t="s">
        <v>155</v>
      </c>
      <c r="AR693" s="132" t="s">
        <v>415</v>
      </c>
      <c r="AS693" s="132">
        <v>0</v>
      </c>
      <c r="AT693" s="132">
        <v>1</v>
      </c>
      <c r="AU693" s="132">
        <v>0</v>
      </c>
      <c r="AV693" s="132">
        <v>0</v>
      </c>
      <c r="AW693" s="132">
        <v>0</v>
      </c>
      <c r="AX693" s="132">
        <v>0</v>
      </c>
      <c r="AY693" s="132">
        <v>1</v>
      </c>
      <c r="AZ693" s="132">
        <v>0</v>
      </c>
      <c r="BA693" s="132">
        <v>31819</v>
      </c>
      <c r="BB693" s="132" t="s">
        <v>277</v>
      </c>
      <c r="BC693" s="132" t="s">
        <v>277</v>
      </c>
      <c r="BD693" s="132">
        <v>45636.056898148148</v>
      </c>
      <c r="BE693" s="132" t="s">
        <v>474</v>
      </c>
      <c r="BF693" s="132" t="s">
        <v>474</v>
      </c>
      <c r="BG693" s="158"/>
    </row>
    <row r="694" spans="2:59">
      <c r="B694" s="163"/>
      <c r="BG694" s="158"/>
    </row>
    <row r="695" spans="2:59" ht="14.5" thickBot="1">
      <c r="B695" s="163"/>
      <c r="C695" s="164" t="s">
        <v>152</v>
      </c>
      <c r="BG695" s="158"/>
    </row>
    <row r="696" spans="2:59" ht="14.5" thickBot="1">
      <c r="B696" s="163"/>
      <c r="C696" s="233" t="s">
        <v>422</v>
      </c>
      <c r="D696" s="233" t="s">
        <v>423</v>
      </c>
      <c r="E696" s="233" t="s">
        <v>158</v>
      </c>
      <c r="F696" s="233" t="s">
        <v>424</v>
      </c>
      <c r="G696" s="233" t="s">
        <v>425</v>
      </c>
      <c r="H696" s="233" t="s">
        <v>426</v>
      </c>
      <c r="I696" s="233" t="s">
        <v>427</v>
      </c>
      <c r="J696" s="233" t="s">
        <v>428</v>
      </c>
      <c r="K696" s="233" t="s">
        <v>429</v>
      </c>
      <c r="L696" s="233" t="s">
        <v>430</v>
      </c>
      <c r="M696" s="233" t="s">
        <v>431</v>
      </c>
      <c r="BG696" s="158"/>
    </row>
    <row r="697" spans="2:59" ht="14.5" thickBot="1">
      <c r="B697" s="163"/>
      <c r="C697" s="233">
        <v>-2</v>
      </c>
      <c r="D697" s="233" t="s">
        <v>155</v>
      </c>
      <c r="E697" s="233" t="s">
        <v>590</v>
      </c>
      <c r="F697" s="233" t="s">
        <v>654</v>
      </c>
      <c r="G697" s="233" t="s">
        <v>137</v>
      </c>
      <c r="H697" s="233" t="s">
        <v>155</v>
      </c>
      <c r="I697" s="233" t="s">
        <v>155</v>
      </c>
      <c r="J697" s="233" t="s">
        <v>155</v>
      </c>
      <c r="K697" s="233" t="s">
        <v>155</v>
      </c>
      <c r="L697" s="233">
        <v>0</v>
      </c>
      <c r="M697" s="233" t="s">
        <v>155</v>
      </c>
      <c r="BG697" s="158"/>
    </row>
    <row r="698" spans="2:59" ht="13.5" thickBot="1">
      <c r="B698" s="163"/>
      <c r="BG698" s="158"/>
    </row>
    <row r="699" spans="2:59" ht="15" thickBot="1">
      <c r="B699" s="104" t="s">
        <v>558</v>
      </c>
      <c r="C699" s="105" t="s">
        <v>559</v>
      </c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58"/>
    </row>
    <row r="700" spans="2:59" ht="14" thickBot="1">
      <c r="B700" s="140" t="s">
        <v>620</v>
      </c>
      <c r="C700" s="105" t="s">
        <v>447</v>
      </c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58"/>
    </row>
    <row r="701" spans="2:59">
      <c r="B701" s="163"/>
      <c r="BG701" s="158"/>
    </row>
    <row r="702" spans="2:59" ht="13.5">
      <c r="B702" s="163"/>
      <c r="C702" s="161" t="s">
        <v>228</v>
      </c>
      <c r="BG702" s="158"/>
    </row>
    <row r="703" spans="2:59" ht="13.5">
      <c r="B703" s="163"/>
      <c r="C703" s="161" t="s">
        <v>560</v>
      </c>
      <c r="BG703" s="158"/>
    </row>
    <row r="704" spans="2:59">
      <c r="B704" s="163"/>
      <c r="BG704" s="158"/>
    </row>
    <row r="705" spans="2:59" ht="15">
      <c r="B705" s="106"/>
      <c r="C705" s="257" t="s">
        <v>268</v>
      </c>
      <c r="D705" s="258"/>
      <c r="E705" s="258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  <c r="Z705" s="260"/>
      <c r="AA705" s="66"/>
      <c r="AB705" s="66"/>
      <c r="AC705" s="66"/>
      <c r="AD705" s="66"/>
      <c r="BG705" s="158"/>
    </row>
    <row r="706" spans="2:59" ht="15">
      <c r="B706" s="106"/>
      <c r="C706" s="127"/>
      <c r="D706" s="127"/>
      <c r="E706" s="127"/>
      <c r="F706" s="124" t="s">
        <v>168</v>
      </c>
      <c r="G706" s="124" t="s">
        <v>168</v>
      </c>
      <c r="H706" s="124" t="s">
        <v>168</v>
      </c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BG706" s="158"/>
    </row>
    <row r="707" spans="2:59" ht="13.5">
      <c r="B707" s="106"/>
      <c r="C707" s="117" t="s">
        <v>171</v>
      </c>
      <c r="D707" s="117" t="s">
        <v>172</v>
      </c>
      <c r="E707" s="117" t="s">
        <v>173</v>
      </c>
      <c r="F707" s="119" t="s">
        <v>91</v>
      </c>
      <c r="G707" s="119" t="s">
        <v>67</v>
      </c>
      <c r="H707" s="119" t="s">
        <v>69</v>
      </c>
      <c r="I707" s="119" t="s">
        <v>289</v>
      </c>
      <c r="J707" s="119" t="s">
        <v>290</v>
      </c>
      <c r="K707" s="119" t="s">
        <v>291</v>
      </c>
      <c r="L707" s="119" t="s">
        <v>292</v>
      </c>
      <c r="M707" s="119" t="s">
        <v>293</v>
      </c>
      <c r="N707" s="119" t="s">
        <v>294</v>
      </c>
      <c r="O707" s="119" t="s">
        <v>295</v>
      </c>
      <c r="P707" s="119" t="s">
        <v>296</v>
      </c>
      <c r="Q707" s="119" t="s">
        <v>297</v>
      </c>
      <c r="R707" s="119" t="s">
        <v>298</v>
      </c>
      <c r="S707" s="119" t="s">
        <v>299</v>
      </c>
      <c r="T707" s="119" t="s">
        <v>300</v>
      </c>
      <c r="U707" s="119" t="s">
        <v>301</v>
      </c>
      <c r="V707" s="119" t="s">
        <v>302</v>
      </c>
      <c r="W707" s="119" t="s">
        <v>303</v>
      </c>
      <c r="X707" s="119" t="s">
        <v>229</v>
      </c>
      <c r="Y707" s="119" t="s">
        <v>230</v>
      </c>
      <c r="Z707" s="119" t="s">
        <v>231</v>
      </c>
      <c r="AA707" s="119" t="s">
        <v>232</v>
      </c>
      <c r="AB707" s="119" t="s">
        <v>150</v>
      </c>
      <c r="AC707" s="119" t="s">
        <v>151</v>
      </c>
      <c r="AD707" s="119" t="s">
        <v>233</v>
      </c>
      <c r="BG707" s="158"/>
    </row>
    <row r="708" spans="2:59" ht="13.5">
      <c r="B708" s="106"/>
      <c r="C708" s="117" t="s">
        <v>205</v>
      </c>
      <c r="D708" s="117" t="s">
        <v>214</v>
      </c>
      <c r="E708" s="117" t="s">
        <v>222</v>
      </c>
      <c r="F708" s="118" t="s">
        <v>250</v>
      </c>
      <c r="G708" s="118" t="s">
        <v>251</v>
      </c>
      <c r="H708" s="118" t="s">
        <v>253</v>
      </c>
      <c r="I708" s="118" t="s">
        <v>252</v>
      </c>
      <c r="J708" s="118" t="s">
        <v>254</v>
      </c>
      <c r="K708" s="118" t="s">
        <v>255</v>
      </c>
      <c r="L708" s="118" t="s">
        <v>256</v>
      </c>
      <c r="M708" s="118" t="s">
        <v>257</v>
      </c>
      <c r="N708" s="118" t="s">
        <v>258</v>
      </c>
      <c r="O708" s="118" t="s">
        <v>259</v>
      </c>
      <c r="P708" s="118" t="s">
        <v>260</v>
      </c>
      <c r="Q708" s="118" t="s">
        <v>261</v>
      </c>
      <c r="R708" s="118" t="s">
        <v>262</v>
      </c>
      <c r="S708" s="118" t="s">
        <v>263</v>
      </c>
      <c r="T708" s="118" t="s">
        <v>264</v>
      </c>
      <c r="U708" s="118" t="s">
        <v>265</v>
      </c>
      <c r="V708" s="118" t="s">
        <v>266</v>
      </c>
      <c r="W708" s="118" t="s">
        <v>267</v>
      </c>
      <c r="X708" s="118" t="s">
        <v>235</v>
      </c>
      <c r="Y708" s="118" t="s">
        <v>236</v>
      </c>
      <c r="Z708" s="118" t="s">
        <v>237</v>
      </c>
      <c r="AA708" s="118" t="s">
        <v>238</v>
      </c>
      <c r="AB708" s="118" t="s">
        <v>239</v>
      </c>
      <c r="AC708" s="118" t="s">
        <v>240</v>
      </c>
      <c r="AD708" s="118" t="s">
        <v>241</v>
      </c>
      <c r="BG708" s="158"/>
    </row>
    <row r="709" spans="2:59" ht="13.5">
      <c r="B709" s="122"/>
      <c r="C709" s="117" t="s">
        <v>304</v>
      </c>
      <c r="D709" s="117" t="s">
        <v>305</v>
      </c>
      <c r="E709" s="117" t="s">
        <v>305</v>
      </c>
      <c r="F709" s="119" t="s">
        <v>306</v>
      </c>
      <c r="G709" s="119" t="s">
        <v>306</v>
      </c>
      <c r="H709" s="119" t="s">
        <v>307</v>
      </c>
      <c r="I709" s="119" t="s">
        <v>306</v>
      </c>
      <c r="J709" s="119" t="s">
        <v>308</v>
      </c>
      <c r="K709" s="119" t="s">
        <v>309</v>
      </c>
      <c r="L709" s="118" t="s">
        <v>310</v>
      </c>
      <c r="M709" s="119" t="s">
        <v>310</v>
      </c>
      <c r="N709" s="119" t="s">
        <v>311</v>
      </c>
      <c r="O709" s="119" t="s">
        <v>306</v>
      </c>
      <c r="P709" s="119" t="s">
        <v>312</v>
      </c>
      <c r="Q709" s="119" t="s">
        <v>313</v>
      </c>
      <c r="R709" s="119" t="s">
        <v>312</v>
      </c>
      <c r="S709" s="119" t="s">
        <v>314</v>
      </c>
      <c r="T709" s="118" t="s">
        <v>315</v>
      </c>
      <c r="U709" s="119" t="s">
        <v>315</v>
      </c>
      <c r="V709" s="119" t="s">
        <v>316</v>
      </c>
      <c r="W709" s="119" t="s">
        <v>306</v>
      </c>
      <c r="X709" s="119" t="s">
        <v>317</v>
      </c>
      <c r="Y709" s="119" t="s">
        <v>319</v>
      </c>
      <c r="Z709" s="119" t="s">
        <v>320</v>
      </c>
      <c r="AA709" s="119" t="s">
        <v>320</v>
      </c>
      <c r="AB709" s="118" t="s">
        <v>318</v>
      </c>
      <c r="AC709" s="119" t="s">
        <v>320</v>
      </c>
      <c r="AD709" s="119" t="s">
        <v>320</v>
      </c>
      <c r="BG709" s="158"/>
    </row>
    <row r="710" spans="2:59" ht="25">
      <c r="B710" s="122" t="s">
        <v>244</v>
      </c>
      <c r="C710" s="121" t="s">
        <v>269</v>
      </c>
      <c r="D710" s="118" t="s">
        <v>270</v>
      </c>
      <c r="E710" s="119" t="s">
        <v>270</v>
      </c>
      <c r="F710" s="119" t="s">
        <v>182</v>
      </c>
      <c r="G710" s="119" t="s">
        <v>271</v>
      </c>
      <c r="H710" s="119" t="s">
        <v>183</v>
      </c>
      <c r="I710" s="119" t="s">
        <v>271</v>
      </c>
      <c r="J710" s="119" t="s">
        <v>272</v>
      </c>
      <c r="K710" s="119" t="s">
        <v>243</v>
      </c>
      <c r="L710" s="118" t="s">
        <v>155</v>
      </c>
      <c r="M710" s="119" t="s">
        <v>273</v>
      </c>
      <c r="N710" s="119"/>
      <c r="O710" s="119" t="s">
        <v>182</v>
      </c>
      <c r="P710" s="119" t="s">
        <v>155</v>
      </c>
      <c r="Q710" s="119" t="s">
        <v>274</v>
      </c>
      <c r="R710" s="119" t="s">
        <v>275</v>
      </c>
      <c r="S710" s="119"/>
      <c r="T710" s="118" t="s">
        <v>155</v>
      </c>
      <c r="U710" s="119" t="s">
        <v>155</v>
      </c>
      <c r="V710" s="119" t="s">
        <v>155</v>
      </c>
      <c r="W710" s="119"/>
      <c r="X710" s="119" t="s">
        <v>243</v>
      </c>
      <c r="Y710" s="119" t="s">
        <v>276</v>
      </c>
      <c r="Z710" s="119" t="s">
        <v>277</v>
      </c>
      <c r="AA710" s="119" t="s">
        <v>277</v>
      </c>
      <c r="AB710" s="118" t="s">
        <v>278</v>
      </c>
      <c r="AC710" s="119" t="s">
        <v>279</v>
      </c>
      <c r="AD710" s="119" t="s">
        <v>279</v>
      </c>
      <c r="BG710" s="158"/>
    </row>
    <row r="711" spans="2:59" ht="25">
      <c r="B711" s="120" t="s">
        <v>242</v>
      </c>
      <c r="C711" s="141" t="s">
        <v>269</v>
      </c>
      <c r="D711" s="131" t="s">
        <v>270</v>
      </c>
      <c r="E711" s="142" t="s">
        <v>181</v>
      </c>
      <c r="F711" s="116" t="s">
        <v>182</v>
      </c>
      <c r="G711" s="132" t="s">
        <v>271</v>
      </c>
      <c r="H711" s="116" t="s">
        <v>183</v>
      </c>
      <c r="I711" s="132" t="s">
        <v>271</v>
      </c>
      <c r="J711" s="116" t="s">
        <v>183</v>
      </c>
      <c r="K711" s="116" t="s">
        <v>243</v>
      </c>
      <c r="L711" s="131" t="s">
        <v>280</v>
      </c>
      <c r="M711" s="116" t="s">
        <v>273</v>
      </c>
      <c r="N711" s="116"/>
      <c r="O711" s="116" t="s">
        <v>243</v>
      </c>
      <c r="P711" s="116" t="s">
        <v>155</v>
      </c>
      <c r="Q711" s="116" t="s">
        <v>183</v>
      </c>
      <c r="R711" s="116" t="s">
        <v>281</v>
      </c>
      <c r="S711" s="116"/>
      <c r="T711" s="131" t="s">
        <v>155</v>
      </c>
      <c r="U711" s="116" t="s">
        <v>155</v>
      </c>
      <c r="V711" s="116" t="s">
        <v>155</v>
      </c>
      <c r="W711" s="116"/>
      <c r="X711" s="116" t="s">
        <v>243</v>
      </c>
      <c r="Y711" s="116" t="s">
        <v>282</v>
      </c>
      <c r="Z711" s="116" t="s">
        <v>283</v>
      </c>
      <c r="AA711" s="116">
        <v>470195</v>
      </c>
      <c r="AB711" s="131" t="s">
        <v>282</v>
      </c>
      <c r="AC711" s="116">
        <v>470195</v>
      </c>
      <c r="AD711" s="116" t="s">
        <v>283</v>
      </c>
      <c r="BG711" s="158"/>
    </row>
    <row r="712" spans="2:59" ht="14">
      <c r="B712" s="120" t="s">
        <v>242</v>
      </c>
      <c r="C712" s="142" t="s">
        <v>476</v>
      </c>
      <c r="D712" s="121" t="s">
        <v>270</v>
      </c>
      <c r="E712" s="121" t="s">
        <v>270</v>
      </c>
      <c r="F712" s="121" t="s">
        <v>182</v>
      </c>
      <c r="G712" s="121" t="s">
        <v>271</v>
      </c>
      <c r="H712" s="121" t="s">
        <v>183</v>
      </c>
      <c r="I712" s="121" t="s">
        <v>271</v>
      </c>
      <c r="J712" s="121" t="s">
        <v>477</v>
      </c>
      <c r="K712" s="121" t="s">
        <v>243</v>
      </c>
      <c r="L712" s="121" t="s">
        <v>155</v>
      </c>
      <c r="M712" s="121" t="s">
        <v>273</v>
      </c>
      <c r="N712" s="121"/>
      <c r="O712" s="121" t="s">
        <v>182</v>
      </c>
      <c r="P712" s="121" t="s">
        <v>155</v>
      </c>
      <c r="Q712" s="121" t="s">
        <v>274</v>
      </c>
      <c r="R712" s="121" t="s">
        <v>478</v>
      </c>
      <c r="S712" s="121"/>
      <c r="T712" s="121" t="s">
        <v>479</v>
      </c>
      <c r="U712" s="121" t="s">
        <v>480</v>
      </c>
      <c r="V712" s="121" t="s">
        <v>481</v>
      </c>
      <c r="W712" s="121"/>
      <c r="X712" s="121" t="s">
        <v>243</v>
      </c>
      <c r="Y712" s="121" t="s">
        <v>276</v>
      </c>
      <c r="Z712" s="121" t="s">
        <v>277</v>
      </c>
      <c r="AA712" s="121" t="s">
        <v>277</v>
      </c>
      <c r="AB712" s="121" t="s">
        <v>482</v>
      </c>
      <c r="AC712" s="121">
        <v>375901</v>
      </c>
      <c r="AD712" s="121" t="s">
        <v>483</v>
      </c>
      <c r="BG712" s="158"/>
    </row>
    <row r="713" spans="2:59" ht="14">
      <c r="B713" s="120" t="s">
        <v>242</v>
      </c>
      <c r="C713" s="142" t="s">
        <v>490</v>
      </c>
      <c r="D713" s="121" t="s">
        <v>270</v>
      </c>
      <c r="E713" s="121" t="s">
        <v>270</v>
      </c>
      <c r="F713" s="121" t="s">
        <v>182</v>
      </c>
      <c r="G713" s="121" t="s">
        <v>271</v>
      </c>
      <c r="H713" s="121" t="s">
        <v>183</v>
      </c>
      <c r="I713" s="121" t="s">
        <v>271</v>
      </c>
      <c r="J713" s="121" t="s">
        <v>484</v>
      </c>
      <c r="K713" s="121" t="s">
        <v>243</v>
      </c>
      <c r="L713" s="121" t="s">
        <v>485</v>
      </c>
      <c r="M713" s="121" t="s">
        <v>273</v>
      </c>
      <c r="N713" s="121"/>
      <c r="O713" s="121" t="s">
        <v>271</v>
      </c>
      <c r="P713" s="121" t="s">
        <v>155</v>
      </c>
      <c r="Q713" s="121" t="s">
        <v>486</v>
      </c>
      <c r="R713" s="121" t="s">
        <v>275</v>
      </c>
      <c r="S713" s="121"/>
      <c r="T713" s="121" t="s">
        <v>155</v>
      </c>
      <c r="U713" s="121" t="s">
        <v>155</v>
      </c>
      <c r="V713" s="121" t="s">
        <v>155</v>
      </c>
      <c r="W713" s="121"/>
      <c r="X713" s="121" t="s">
        <v>243</v>
      </c>
      <c r="Y713" s="121" t="s">
        <v>487</v>
      </c>
      <c r="Z713" s="121" t="s">
        <v>277</v>
      </c>
      <c r="AA713" s="121" t="s">
        <v>277</v>
      </c>
      <c r="AB713" s="121" t="s">
        <v>488</v>
      </c>
      <c r="AC713" s="121" t="s">
        <v>489</v>
      </c>
      <c r="AD713" s="121" t="s">
        <v>489</v>
      </c>
      <c r="BG713" s="158"/>
    </row>
    <row r="714" spans="2:59" ht="13.5">
      <c r="B714" s="106"/>
      <c r="C714" s="161"/>
      <c r="D714" s="161"/>
      <c r="E714" s="161"/>
      <c r="F714" s="161"/>
      <c r="G714" s="161"/>
      <c r="H714" s="161"/>
      <c r="I714" s="161"/>
      <c r="J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BG714" s="158"/>
    </row>
    <row r="715" spans="2:59" ht="15">
      <c r="B715" s="106"/>
      <c r="C715" s="265" t="s">
        <v>321</v>
      </c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90"/>
      <c r="V715" s="90"/>
      <c r="W715" s="90"/>
      <c r="X715" s="90"/>
      <c r="Y715" s="90"/>
      <c r="Z715" s="90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2"/>
      <c r="AQ715" s="92"/>
      <c r="AR715" s="92"/>
      <c r="AS715" s="92"/>
      <c r="AT715" s="92"/>
      <c r="AU715" s="92"/>
      <c r="AV715" s="92"/>
      <c r="AW715" s="92"/>
      <c r="AX715" s="92"/>
      <c r="AY715" s="92"/>
      <c r="AZ715" s="92"/>
      <c r="BA715" s="92"/>
      <c r="BB715" s="92"/>
      <c r="BC715" s="92"/>
      <c r="BD715" s="92"/>
      <c r="BE715" s="92"/>
      <c r="BF715" s="92"/>
      <c r="BG715" s="158"/>
    </row>
    <row r="716" spans="2:59" ht="15">
      <c r="B716" s="106"/>
      <c r="C716" s="127"/>
      <c r="D716" s="127"/>
      <c r="E716" s="127"/>
      <c r="F716" s="124" t="s">
        <v>168</v>
      </c>
      <c r="G716" s="124" t="s">
        <v>168</v>
      </c>
      <c r="H716" s="129" t="s">
        <v>168</v>
      </c>
      <c r="I716" s="124" t="s">
        <v>168</v>
      </c>
      <c r="J716" s="124" t="s">
        <v>168</v>
      </c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30"/>
      <c r="AB716" s="130"/>
      <c r="AC716" s="130"/>
      <c r="AD716" s="130"/>
      <c r="AE716" s="130"/>
      <c r="AF716" s="130"/>
      <c r="AG716" s="130"/>
      <c r="AH716" s="130"/>
      <c r="AI716" s="130"/>
      <c r="AJ716" s="130"/>
      <c r="AK716" s="130"/>
      <c r="AL716" s="130"/>
      <c r="AM716" s="130"/>
      <c r="AN716" s="130"/>
      <c r="AO716" s="130"/>
      <c r="AP716" s="130"/>
      <c r="AQ716" s="130"/>
      <c r="AR716" s="130"/>
      <c r="AS716" s="130"/>
      <c r="AT716" s="130"/>
      <c r="AU716" s="130"/>
      <c r="AV716" s="130"/>
      <c r="AW716" s="130"/>
      <c r="AX716" s="130"/>
      <c r="AY716" s="130"/>
      <c r="AZ716" s="130"/>
      <c r="BA716" s="130"/>
      <c r="BB716" s="130"/>
      <c r="BC716" s="130"/>
      <c r="BD716" s="130"/>
      <c r="BE716" s="130"/>
      <c r="BF716" s="130"/>
      <c r="BG716" s="158"/>
    </row>
    <row r="717" spans="2:59" ht="25">
      <c r="B717" s="106"/>
      <c r="C717" s="117" t="s">
        <v>365</v>
      </c>
      <c r="D717" s="117" t="s">
        <v>420</v>
      </c>
      <c r="E717" s="117" t="s">
        <v>421</v>
      </c>
      <c r="F717" s="119" t="s">
        <v>96</v>
      </c>
      <c r="G717" s="119" t="s">
        <v>99</v>
      </c>
      <c r="H717" s="119" t="s">
        <v>130</v>
      </c>
      <c r="I717" s="119" t="s">
        <v>391</v>
      </c>
      <c r="J717" s="119" t="s">
        <v>127</v>
      </c>
      <c r="K717" s="119" t="s">
        <v>67</v>
      </c>
      <c r="L717" s="119" t="s">
        <v>288</v>
      </c>
      <c r="M717" s="119" t="s">
        <v>366</v>
      </c>
      <c r="N717" s="119" t="s">
        <v>367</v>
      </c>
      <c r="O717" s="119" t="s">
        <v>368</v>
      </c>
      <c r="P717" s="119" t="s">
        <v>369</v>
      </c>
      <c r="Q717" s="119" t="s">
        <v>370</v>
      </c>
      <c r="R717" s="119" t="s">
        <v>371</v>
      </c>
      <c r="S717" s="119" t="s">
        <v>372</v>
      </c>
      <c r="T717" s="119" t="s">
        <v>373</v>
      </c>
      <c r="U717" s="119" t="s">
        <v>374</v>
      </c>
      <c r="V717" s="119" t="s">
        <v>375</v>
      </c>
      <c r="W717" s="119" t="s">
        <v>376</v>
      </c>
      <c r="X717" s="119" t="s">
        <v>377</v>
      </c>
      <c r="Y717" s="119" t="s">
        <v>378</v>
      </c>
      <c r="Z717" s="119" t="s">
        <v>379</v>
      </c>
      <c r="AA717" s="119" t="s">
        <v>380</v>
      </c>
      <c r="AB717" s="119" t="s">
        <v>381</v>
      </c>
      <c r="AC717" s="119" t="s">
        <v>382</v>
      </c>
      <c r="AD717" s="119" t="s">
        <v>383</v>
      </c>
      <c r="AE717" s="119" t="s">
        <v>384</v>
      </c>
      <c r="AF717" s="119" t="s">
        <v>385</v>
      </c>
      <c r="AG717" s="119" t="s">
        <v>386</v>
      </c>
      <c r="AH717" s="119" t="s">
        <v>387</v>
      </c>
      <c r="AI717" s="119" t="s">
        <v>388</v>
      </c>
      <c r="AJ717" s="119" t="s">
        <v>390</v>
      </c>
      <c r="AK717" s="119" t="s">
        <v>389</v>
      </c>
      <c r="AL717" s="119" t="s">
        <v>398</v>
      </c>
      <c r="AM717" s="119" t="s">
        <v>392</v>
      </c>
      <c r="AN717" s="119" t="s">
        <v>393</v>
      </c>
      <c r="AO717" s="119" t="s">
        <v>394</v>
      </c>
      <c r="AP717" s="119" t="s">
        <v>395</v>
      </c>
      <c r="AQ717" s="119" t="s">
        <v>399</v>
      </c>
      <c r="AR717" s="119" t="s">
        <v>396</v>
      </c>
      <c r="AS717" s="119" t="s">
        <v>397</v>
      </c>
      <c r="AT717" s="119" t="s">
        <v>400</v>
      </c>
      <c r="AU717" s="119" t="s">
        <v>401</v>
      </c>
      <c r="AV717" s="119" t="s">
        <v>402</v>
      </c>
      <c r="AW717" s="119" t="s">
        <v>403</v>
      </c>
      <c r="AX717" s="119" t="s">
        <v>404</v>
      </c>
      <c r="AY717" s="119" t="s">
        <v>405</v>
      </c>
      <c r="AZ717" s="119" t="s">
        <v>229</v>
      </c>
      <c r="BA717" s="119" t="s">
        <v>230</v>
      </c>
      <c r="BB717" s="119" t="s">
        <v>231</v>
      </c>
      <c r="BC717" s="119" t="s">
        <v>232</v>
      </c>
      <c r="BD717" s="119" t="s">
        <v>150</v>
      </c>
      <c r="BE717" s="119" t="s">
        <v>151</v>
      </c>
      <c r="BF717" s="119" t="s">
        <v>519</v>
      </c>
      <c r="BG717" s="158"/>
    </row>
    <row r="718" spans="2:59">
      <c r="B718" s="163"/>
      <c r="C718" s="117" t="s">
        <v>205</v>
      </c>
      <c r="D718" s="117" t="s">
        <v>214</v>
      </c>
      <c r="E718" s="117" t="s">
        <v>222</v>
      </c>
      <c r="F718" s="118" t="s">
        <v>322</v>
      </c>
      <c r="G718" s="118" t="s">
        <v>323</v>
      </c>
      <c r="H718" s="118" t="s">
        <v>324</v>
      </c>
      <c r="I718" s="118" t="s">
        <v>351</v>
      </c>
      <c r="J718" s="118" t="s">
        <v>357</v>
      </c>
      <c r="K718" s="118" t="s">
        <v>251</v>
      </c>
      <c r="L718" s="118" t="s">
        <v>252</v>
      </c>
      <c r="M718" s="118" t="s">
        <v>325</v>
      </c>
      <c r="N718" s="118" t="s">
        <v>326</v>
      </c>
      <c r="O718" s="118" t="s">
        <v>327</v>
      </c>
      <c r="P718" s="118" t="s">
        <v>328</v>
      </c>
      <c r="Q718" s="118" t="s">
        <v>329</v>
      </c>
      <c r="R718" s="118" t="s">
        <v>330</v>
      </c>
      <c r="S718" s="118" t="s">
        <v>331</v>
      </c>
      <c r="T718" s="118" t="s">
        <v>332</v>
      </c>
      <c r="U718" s="118" t="s">
        <v>333</v>
      </c>
      <c r="V718" s="118" t="s">
        <v>334</v>
      </c>
      <c r="W718" s="118" t="s">
        <v>335</v>
      </c>
      <c r="X718" s="118" t="s">
        <v>336</v>
      </c>
      <c r="Y718" s="118" t="s">
        <v>337</v>
      </c>
      <c r="Z718" s="118" t="s">
        <v>338</v>
      </c>
      <c r="AA718" s="118" t="s">
        <v>339</v>
      </c>
      <c r="AB718" s="118" t="s">
        <v>340</v>
      </c>
      <c r="AC718" s="118" t="s">
        <v>341</v>
      </c>
      <c r="AD718" s="118" t="s">
        <v>342</v>
      </c>
      <c r="AE718" s="118" t="s">
        <v>343</v>
      </c>
      <c r="AF718" s="118" t="s">
        <v>344</v>
      </c>
      <c r="AG718" s="118" t="s">
        <v>345</v>
      </c>
      <c r="AH718" s="118" t="s">
        <v>346</v>
      </c>
      <c r="AI718" s="118" t="s">
        <v>347</v>
      </c>
      <c r="AJ718" s="118" t="s">
        <v>348</v>
      </c>
      <c r="AK718" s="118" t="s">
        <v>349</v>
      </c>
      <c r="AL718" s="118" t="s">
        <v>350</v>
      </c>
      <c r="AM718" s="118" t="s">
        <v>352</v>
      </c>
      <c r="AN718" s="118" t="s">
        <v>353</v>
      </c>
      <c r="AO718" s="118" t="s">
        <v>354</v>
      </c>
      <c r="AP718" s="118" t="s">
        <v>234</v>
      </c>
      <c r="AQ718" s="118" t="s">
        <v>355</v>
      </c>
      <c r="AR718" s="118" t="s">
        <v>356</v>
      </c>
      <c r="AS718" s="118" t="s">
        <v>358</v>
      </c>
      <c r="AT718" s="118" t="s">
        <v>359</v>
      </c>
      <c r="AU718" s="118" t="s">
        <v>360</v>
      </c>
      <c r="AV718" s="118" t="s">
        <v>361</v>
      </c>
      <c r="AW718" s="118" t="s">
        <v>362</v>
      </c>
      <c r="AX718" s="118" t="s">
        <v>363</v>
      </c>
      <c r="AY718" s="118" t="s">
        <v>364</v>
      </c>
      <c r="AZ718" s="118" t="s">
        <v>235</v>
      </c>
      <c r="BA718" s="118" t="s">
        <v>236</v>
      </c>
      <c r="BB718" s="118" t="s">
        <v>237</v>
      </c>
      <c r="BC718" s="118" t="s">
        <v>238</v>
      </c>
      <c r="BD718" s="118" t="s">
        <v>239</v>
      </c>
      <c r="BE718" s="118" t="s">
        <v>240</v>
      </c>
      <c r="BF718" s="118" t="s">
        <v>241</v>
      </c>
      <c r="BG718" s="158"/>
    </row>
    <row r="719" spans="2:59">
      <c r="B719" s="163"/>
      <c r="C719" s="117" t="s">
        <v>304</v>
      </c>
      <c r="D719" s="117" t="s">
        <v>406</v>
      </c>
      <c r="E719" s="117" t="s">
        <v>305</v>
      </c>
      <c r="F719" s="131" t="s">
        <v>306</v>
      </c>
      <c r="G719" s="131" t="s">
        <v>306</v>
      </c>
      <c r="H719" s="131" t="s">
        <v>306</v>
      </c>
      <c r="I719" s="131" t="s">
        <v>306</v>
      </c>
      <c r="J719" s="131" t="s">
        <v>308</v>
      </c>
      <c r="K719" s="131" t="s">
        <v>306</v>
      </c>
      <c r="L719" s="131" t="s">
        <v>306</v>
      </c>
      <c r="M719" s="131" t="s">
        <v>407</v>
      </c>
      <c r="N719" s="131" t="s">
        <v>407</v>
      </c>
      <c r="O719" s="131" t="s">
        <v>305</v>
      </c>
      <c r="P719" s="131" t="s">
        <v>408</v>
      </c>
      <c r="Q719" s="131" t="s">
        <v>306</v>
      </c>
      <c r="R719" s="131" t="s">
        <v>313</v>
      </c>
      <c r="S719" s="131" t="s">
        <v>308</v>
      </c>
      <c r="T719" s="131" t="s">
        <v>313</v>
      </c>
      <c r="U719" s="131" t="s">
        <v>308</v>
      </c>
      <c r="V719" s="131" t="s">
        <v>308</v>
      </c>
      <c r="W719" s="131" t="s">
        <v>306</v>
      </c>
      <c r="X719" s="131" t="s">
        <v>409</v>
      </c>
      <c r="Y719" s="131" t="s">
        <v>409</v>
      </c>
      <c r="Z719" s="131" t="s">
        <v>310</v>
      </c>
      <c r="AA719" s="131" t="s">
        <v>408</v>
      </c>
      <c r="AB719" s="131" t="s">
        <v>408</v>
      </c>
      <c r="AC719" s="131" t="s">
        <v>308</v>
      </c>
      <c r="AD719" s="131" t="s">
        <v>312</v>
      </c>
      <c r="AE719" s="131" t="s">
        <v>313</v>
      </c>
      <c r="AF719" s="131" t="s">
        <v>313</v>
      </c>
      <c r="AG719" s="131" t="s">
        <v>410</v>
      </c>
      <c r="AH719" s="131" t="s">
        <v>410</v>
      </c>
      <c r="AI719" s="131" t="s">
        <v>313</v>
      </c>
      <c r="AJ719" s="131" t="s">
        <v>313</v>
      </c>
      <c r="AK719" s="131" t="s">
        <v>410</v>
      </c>
      <c r="AL719" s="131" t="s">
        <v>410</v>
      </c>
      <c r="AM719" s="131" t="s">
        <v>306</v>
      </c>
      <c r="AN719" s="131" t="s">
        <v>306</v>
      </c>
      <c r="AO719" s="131" t="s">
        <v>306</v>
      </c>
      <c r="AP719" s="131" t="s">
        <v>310</v>
      </c>
      <c r="AQ719" s="131" t="s">
        <v>305</v>
      </c>
      <c r="AR719" s="131" t="s">
        <v>306</v>
      </c>
      <c r="AS719" s="131" t="s">
        <v>308</v>
      </c>
      <c r="AT719" s="131" t="s">
        <v>306</v>
      </c>
      <c r="AU719" s="131" t="s">
        <v>411</v>
      </c>
      <c r="AV719" s="131" t="s">
        <v>313</v>
      </c>
      <c r="AW719" s="131" t="s">
        <v>310</v>
      </c>
      <c r="AX719" s="131" t="s">
        <v>306</v>
      </c>
      <c r="AY719" s="131" t="s">
        <v>306</v>
      </c>
      <c r="AZ719" s="131" t="s">
        <v>317</v>
      </c>
      <c r="BA719" s="131" t="s">
        <v>318</v>
      </c>
      <c r="BB719" s="131" t="s">
        <v>320</v>
      </c>
      <c r="BC719" s="131" t="s">
        <v>320</v>
      </c>
      <c r="BD719" s="131" t="s">
        <v>318</v>
      </c>
      <c r="BE719" s="131" t="s">
        <v>320</v>
      </c>
      <c r="BF719" s="131" t="s">
        <v>320</v>
      </c>
      <c r="BG719" s="158"/>
    </row>
    <row r="720" spans="2:59" ht="15">
      <c r="B720" s="122" t="s">
        <v>244</v>
      </c>
      <c r="C720" s="132" t="s">
        <v>269</v>
      </c>
      <c r="D720" s="132" t="s">
        <v>270</v>
      </c>
      <c r="E720" s="132" t="s">
        <v>270</v>
      </c>
      <c r="F720" s="133" t="s">
        <v>286</v>
      </c>
      <c r="G720" s="132" t="s">
        <v>243</v>
      </c>
      <c r="H720" s="132" t="s">
        <v>243</v>
      </c>
      <c r="I720" s="220">
        <v>1</v>
      </c>
      <c r="J720" s="136">
        <v>0</v>
      </c>
      <c r="K720" s="132" t="s">
        <v>271</v>
      </c>
      <c r="L720" s="132" t="s">
        <v>271</v>
      </c>
      <c r="M720" s="132" t="s">
        <v>155</v>
      </c>
      <c r="N720" s="132" t="s">
        <v>155</v>
      </c>
      <c r="O720" s="132" t="s">
        <v>155</v>
      </c>
      <c r="P720" s="132" t="s">
        <v>155</v>
      </c>
      <c r="Q720" s="134" t="s">
        <v>412</v>
      </c>
      <c r="R720" s="132" t="s">
        <v>243</v>
      </c>
      <c r="S720" s="132" t="s">
        <v>243</v>
      </c>
      <c r="T720" s="132" t="s">
        <v>413</v>
      </c>
      <c r="U720" s="132" t="s">
        <v>414</v>
      </c>
      <c r="V720" s="132" t="s">
        <v>182</v>
      </c>
      <c r="W720" s="132" t="s">
        <v>182</v>
      </c>
      <c r="X720" s="132" t="s">
        <v>243</v>
      </c>
      <c r="Y720" s="132" t="s">
        <v>243</v>
      </c>
      <c r="Z720" s="132"/>
      <c r="AA720" s="135"/>
      <c r="AB720" s="135" t="s">
        <v>155</v>
      </c>
      <c r="AC720" s="135">
        <v>1</v>
      </c>
      <c r="AD720" s="135">
        <v>99999999</v>
      </c>
      <c r="AE720" s="132" t="s">
        <v>243</v>
      </c>
      <c r="AF720" s="132" t="s">
        <v>243</v>
      </c>
      <c r="AG720" s="132" t="s">
        <v>243</v>
      </c>
      <c r="AH720" s="132" t="s">
        <v>243</v>
      </c>
      <c r="AI720" s="135">
        <v>0</v>
      </c>
      <c r="AJ720" s="135">
        <v>0</v>
      </c>
      <c r="AK720" s="135">
        <v>0</v>
      </c>
      <c r="AL720" s="135">
        <v>0</v>
      </c>
      <c r="AM720" s="132" t="s">
        <v>182</v>
      </c>
      <c r="AN720" s="135">
        <v>0</v>
      </c>
      <c r="AO720" s="132" t="s">
        <v>243</v>
      </c>
      <c r="AP720" s="135">
        <v>1</v>
      </c>
      <c r="AQ720" s="136" t="s">
        <v>155</v>
      </c>
      <c r="AR720" s="136" t="s">
        <v>415</v>
      </c>
      <c r="AS720" s="136">
        <v>0</v>
      </c>
      <c r="AT720" s="136">
        <v>1</v>
      </c>
      <c r="AU720" s="136">
        <v>0</v>
      </c>
      <c r="AV720" s="136">
        <v>0</v>
      </c>
      <c r="AW720" s="136">
        <v>0</v>
      </c>
      <c r="AX720" s="136">
        <v>0</v>
      </c>
      <c r="AY720" s="136">
        <v>1</v>
      </c>
      <c r="AZ720" s="136">
        <v>0</v>
      </c>
      <c r="BA720" s="137">
        <v>29705</v>
      </c>
      <c r="BB720" s="136" t="s">
        <v>277</v>
      </c>
      <c r="BC720" s="136" t="s">
        <v>277</v>
      </c>
      <c r="BD720" s="137">
        <v>36413</v>
      </c>
      <c r="BE720" s="136" t="s">
        <v>277</v>
      </c>
      <c r="BF720" s="136" t="s">
        <v>277</v>
      </c>
      <c r="BG720" s="158"/>
    </row>
    <row r="721" spans="2:59" ht="15">
      <c r="B721" s="120" t="s">
        <v>242</v>
      </c>
      <c r="C721" s="132" t="s">
        <v>269</v>
      </c>
      <c r="D721" s="132" t="s">
        <v>270</v>
      </c>
      <c r="E721" s="142" t="s">
        <v>181</v>
      </c>
      <c r="F721" s="133" t="s">
        <v>184</v>
      </c>
      <c r="G721" s="132" t="s">
        <v>243</v>
      </c>
      <c r="H721" s="132" t="s">
        <v>243</v>
      </c>
      <c r="I721" s="135">
        <v>0</v>
      </c>
      <c r="J721" s="136">
        <v>30</v>
      </c>
      <c r="K721" s="132" t="s">
        <v>271</v>
      </c>
      <c r="L721" s="132" t="s">
        <v>271</v>
      </c>
      <c r="M721" s="132" t="s">
        <v>155</v>
      </c>
      <c r="N721" s="132" t="s">
        <v>155</v>
      </c>
      <c r="O721" s="132" t="s">
        <v>416</v>
      </c>
      <c r="P721" s="132" t="s">
        <v>155</v>
      </c>
      <c r="Q721" s="134" t="s">
        <v>417</v>
      </c>
      <c r="R721" s="132" t="s">
        <v>182</v>
      </c>
      <c r="S721" s="132" t="s">
        <v>243</v>
      </c>
      <c r="T721" s="132" t="s">
        <v>413</v>
      </c>
      <c r="U721" s="132" t="s">
        <v>414</v>
      </c>
      <c r="V721" s="132" t="s">
        <v>418</v>
      </c>
      <c r="W721" s="132" t="s">
        <v>182</v>
      </c>
      <c r="X721" s="132" t="s">
        <v>243</v>
      </c>
      <c r="Y721" s="132" t="s">
        <v>243</v>
      </c>
      <c r="Z721" s="132"/>
      <c r="AA721" s="135"/>
      <c r="AB721" s="135" t="s">
        <v>419</v>
      </c>
      <c r="AC721" s="138">
        <v>5000</v>
      </c>
      <c r="AD721" s="135">
        <v>99999999</v>
      </c>
      <c r="AE721" s="132" t="s">
        <v>243</v>
      </c>
      <c r="AF721" s="132" t="s">
        <v>271</v>
      </c>
      <c r="AG721" s="132" t="s">
        <v>243</v>
      </c>
      <c r="AH721" s="132" t="s">
        <v>243</v>
      </c>
      <c r="AI721" s="135">
        <v>0</v>
      </c>
      <c r="AJ721" s="135">
        <v>0</v>
      </c>
      <c r="AK721" s="135">
        <v>0</v>
      </c>
      <c r="AL721" s="135">
        <v>0</v>
      </c>
      <c r="AM721" s="132" t="s">
        <v>182</v>
      </c>
      <c r="AN721" s="135">
        <v>0</v>
      </c>
      <c r="AO721" s="132" t="s">
        <v>243</v>
      </c>
      <c r="AP721" s="135">
        <v>1</v>
      </c>
      <c r="AQ721" s="136">
        <v>1111</v>
      </c>
      <c r="AR721" s="136" t="s">
        <v>415</v>
      </c>
      <c r="AS721" s="136">
        <v>10</v>
      </c>
      <c r="AT721" s="136">
        <v>1</v>
      </c>
      <c r="AU721" s="136">
        <v>0</v>
      </c>
      <c r="AV721" s="136">
        <v>0</v>
      </c>
      <c r="AW721" s="136">
        <v>0</v>
      </c>
      <c r="AX721" s="136">
        <v>0</v>
      </c>
      <c r="AY721" s="136">
        <v>1</v>
      </c>
      <c r="AZ721" s="136">
        <v>0</v>
      </c>
      <c r="BA721" s="137">
        <v>40640.750486111108</v>
      </c>
      <c r="BB721" s="136">
        <v>470195</v>
      </c>
      <c r="BC721" s="136">
        <v>470195</v>
      </c>
      <c r="BD721" s="137">
        <v>45392.67769675926</v>
      </c>
      <c r="BE721" s="136">
        <v>363363</v>
      </c>
      <c r="BF721" s="136">
        <v>363363</v>
      </c>
      <c r="BG721" s="158"/>
    </row>
    <row r="722" spans="2:59" ht="14">
      <c r="B722" s="120" t="s">
        <v>242</v>
      </c>
      <c r="C722" s="142" t="s">
        <v>476</v>
      </c>
      <c r="D722" s="132" t="s">
        <v>270</v>
      </c>
      <c r="E722" s="132" t="s">
        <v>270</v>
      </c>
      <c r="F722" s="132" t="s">
        <v>286</v>
      </c>
      <c r="G722" s="132" t="s">
        <v>243</v>
      </c>
      <c r="H722" s="132" t="s">
        <v>243</v>
      </c>
      <c r="I722" s="132">
        <v>1</v>
      </c>
      <c r="J722" s="132">
        <v>0</v>
      </c>
      <c r="K722" s="132" t="s">
        <v>271</v>
      </c>
      <c r="L722" s="132" t="s">
        <v>271</v>
      </c>
      <c r="M722" s="132" t="s">
        <v>155</v>
      </c>
      <c r="N722" s="132" t="s">
        <v>155</v>
      </c>
      <c r="O722" s="132" t="s">
        <v>155</v>
      </c>
      <c r="P722" s="132" t="s">
        <v>155</v>
      </c>
      <c r="Q722" s="132" t="s">
        <v>412</v>
      </c>
      <c r="R722" s="132" t="s">
        <v>243</v>
      </c>
      <c r="S722" s="132" t="s">
        <v>243</v>
      </c>
      <c r="T722" s="132" t="s">
        <v>413</v>
      </c>
      <c r="U722" s="132" t="s">
        <v>414</v>
      </c>
      <c r="V722" s="132" t="s">
        <v>182</v>
      </c>
      <c r="W722" s="132" t="s">
        <v>182</v>
      </c>
      <c r="X722" s="132" t="s">
        <v>243</v>
      </c>
      <c r="Y722" s="132" t="s">
        <v>243</v>
      </c>
      <c r="Z722" s="132"/>
      <c r="AA722" s="132"/>
      <c r="AB722" s="132" t="s">
        <v>155</v>
      </c>
      <c r="AC722" s="132">
        <v>1</v>
      </c>
      <c r="AD722" s="132">
        <v>99999999</v>
      </c>
      <c r="AE722" s="132">
        <v>0</v>
      </c>
      <c r="AF722" s="132">
        <v>0</v>
      </c>
      <c r="AG722" s="132">
        <v>0</v>
      </c>
      <c r="AH722" s="132">
        <v>0</v>
      </c>
      <c r="AI722" s="132">
        <v>0</v>
      </c>
      <c r="AJ722" s="132">
        <v>0</v>
      </c>
      <c r="AK722" s="132">
        <v>0</v>
      </c>
      <c r="AL722" s="132">
        <v>0</v>
      </c>
      <c r="AM722" s="132">
        <v>1</v>
      </c>
      <c r="AN722" s="132">
        <v>0</v>
      </c>
      <c r="AO722" s="132">
        <v>0</v>
      </c>
      <c r="AP722" s="132">
        <v>1</v>
      </c>
      <c r="AQ722" s="132" t="s">
        <v>155</v>
      </c>
      <c r="AR722" s="132" t="s">
        <v>415</v>
      </c>
      <c r="AS722" s="132">
        <v>0</v>
      </c>
      <c r="AT722" s="132">
        <v>1</v>
      </c>
      <c r="AU722" s="132">
        <v>0</v>
      </c>
      <c r="AV722" s="132">
        <v>0</v>
      </c>
      <c r="AW722" s="132">
        <v>0</v>
      </c>
      <c r="AX722" s="132">
        <v>0</v>
      </c>
      <c r="AY722" s="132">
        <v>1</v>
      </c>
      <c r="AZ722" s="132">
        <v>0</v>
      </c>
      <c r="BA722" s="132">
        <v>29705</v>
      </c>
      <c r="BB722" s="132" t="s">
        <v>277</v>
      </c>
      <c r="BC722" s="132" t="s">
        <v>277</v>
      </c>
      <c r="BD722" s="132">
        <v>39993.705960648149</v>
      </c>
      <c r="BE722" s="132">
        <v>375901</v>
      </c>
      <c r="BF722" s="132">
        <v>375901</v>
      </c>
      <c r="BG722" s="158"/>
    </row>
    <row r="723" spans="2:59" ht="14">
      <c r="B723" s="120" t="s">
        <v>242</v>
      </c>
      <c r="C723" s="142" t="s">
        <v>490</v>
      </c>
      <c r="D723" s="132" t="s">
        <v>270</v>
      </c>
      <c r="E723" s="132" t="s">
        <v>270</v>
      </c>
      <c r="F723" s="132" t="s">
        <v>286</v>
      </c>
      <c r="G723" s="132" t="s">
        <v>243</v>
      </c>
      <c r="H723" s="132" t="s">
        <v>243</v>
      </c>
      <c r="I723" s="132">
        <v>1</v>
      </c>
      <c r="J723" s="132">
        <v>0</v>
      </c>
      <c r="K723" s="132" t="s">
        <v>271</v>
      </c>
      <c r="L723" s="132" t="s">
        <v>271</v>
      </c>
      <c r="M723" s="132" t="s">
        <v>155</v>
      </c>
      <c r="N723" s="132" t="s">
        <v>155</v>
      </c>
      <c r="O723" s="132" t="s">
        <v>155</v>
      </c>
      <c r="P723" s="132" t="s">
        <v>155</v>
      </c>
      <c r="Q723" s="132" t="s">
        <v>412</v>
      </c>
      <c r="R723" s="132" t="s">
        <v>243</v>
      </c>
      <c r="S723" s="132" t="s">
        <v>243</v>
      </c>
      <c r="T723" s="132" t="s">
        <v>413</v>
      </c>
      <c r="U723" s="132" t="s">
        <v>414</v>
      </c>
      <c r="V723" s="132" t="s">
        <v>182</v>
      </c>
      <c r="W723" s="132" t="s">
        <v>182</v>
      </c>
      <c r="X723" s="132" t="s">
        <v>243</v>
      </c>
      <c r="Y723" s="132" t="s">
        <v>243</v>
      </c>
      <c r="Z723" s="132"/>
      <c r="AA723" s="132"/>
      <c r="AB723" s="132" t="s">
        <v>155</v>
      </c>
      <c r="AC723" s="132">
        <v>1</v>
      </c>
      <c r="AD723" s="132">
        <v>99999999</v>
      </c>
      <c r="AE723" s="132">
        <v>0</v>
      </c>
      <c r="AF723" s="132">
        <v>0</v>
      </c>
      <c r="AG723" s="132">
        <v>0</v>
      </c>
      <c r="AH723" s="132">
        <v>0</v>
      </c>
      <c r="AI723" s="132">
        <v>0</v>
      </c>
      <c r="AJ723" s="132">
        <v>0</v>
      </c>
      <c r="AK723" s="132">
        <v>0</v>
      </c>
      <c r="AL723" s="132">
        <v>0</v>
      </c>
      <c r="AM723" s="132">
        <v>1</v>
      </c>
      <c r="AN723" s="132">
        <v>0</v>
      </c>
      <c r="AO723" s="132">
        <v>0</v>
      </c>
      <c r="AP723" s="132">
        <v>1</v>
      </c>
      <c r="AQ723" s="132" t="s">
        <v>155</v>
      </c>
      <c r="AR723" s="132" t="s">
        <v>415</v>
      </c>
      <c r="AS723" s="132">
        <v>0</v>
      </c>
      <c r="AT723" s="132">
        <v>1</v>
      </c>
      <c r="AU723" s="132">
        <v>0</v>
      </c>
      <c r="AV723" s="132">
        <v>0</v>
      </c>
      <c r="AW723" s="132">
        <v>0</v>
      </c>
      <c r="AX723" s="132">
        <v>0</v>
      </c>
      <c r="AY723" s="132">
        <v>1</v>
      </c>
      <c r="AZ723" s="132">
        <v>0</v>
      </c>
      <c r="BA723" s="132">
        <v>31819</v>
      </c>
      <c r="BB723" s="132" t="s">
        <v>277</v>
      </c>
      <c r="BC723" s="132" t="s">
        <v>277</v>
      </c>
      <c r="BD723" s="132">
        <v>45636.056898148148</v>
      </c>
      <c r="BE723" s="132" t="s">
        <v>474</v>
      </c>
      <c r="BF723" s="132" t="s">
        <v>474</v>
      </c>
      <c r="BG723" s="158"/>
    </row>
    <row r="724" spans="2:59">
      <c r="B724" s="163"/>
      <c r="BG724" s="158"/>
    </row>
    <row r="725" spans="2:59" ht="14.5" thickBot="1">
      <c r="B725" s="163"/>
      <c r="C725" s="164" t="s">
        <v>152</v>
      </c>
      <c r="BG725" s="158"/>
    </row>
    <row r="726" spans="2:59" ht="14.5" thickBot="1">
      <c r="B726" s="163"/>
      <c r="C726" s="233" t="s">
        <v>422</v>
      </c>
      <c r="D726" s="233" t="s">
        <v>423</v>
      </c>
      <c r="E726" s="233" t="s">
        <v>158</v>
      </c>
      <c r="F726" s="233" t="s">
        <v>424</v>
      </c>
      <c r="G726" s="233" t="s">
        <v>425</v>
      </c>
      <c r="H726" s="233" t="s">
        <v>426</v>
      </c>
      <c r="I726" s="233" t="s">
        <v>427</v>
      </c>
      <c r="J726" s="233" t="s">
        <v>428</v>
      </c>
      <c r="K726" s="233" t="s">
        <v>429</v>
      </c>
      <c r="L726" s="233" t="s">
        <v>430</v>
      </c>
      <c r="M726" s="233" t="s">
        <v>431</v>
      </c>
      <c r="BG726" s="158"/>
    </row>
    <row r="727" spans="2:59" ht="14.5" thickBot="1">
      <c r="B727" s="163"/>
      <c r="C727" s="233">
        <v>-2</v>
      </c>
      <c r="D727" s="233" t="s">
        <v>155</v>
      </c>
      <c r="E727" s="233" t="s">
        <v>592</v>
      </c>
      <c r="F727" s="233" t="s">
        <v>655</v>
      </c>
      <c r="G727" s="233" t="s">
        <v>137</v>
      </c>
      <c r="H727" s="233" t="s">
        <v>155</v>
      </c>
      <c r="I727" s="233" t="s">
        <v>155</v>
      </c>
      <c r="J727" s="233" t="s">
        <v>155</v>
      </c>
      <c r="K727" s="233" t="s">
        <v>155</v>
      </c>
      <c r="L727" s="233">
        <v>0</v>
      </c>
      <c r="M727" s="233" t="s">
        <v>155</v>
      </c>
      <c r="BG727" s="158"/>
    </row>
    <row r="728" spans="2:59">
      <c r="B728" s="163"/>
      <c r="BG728" s="158"/>
    </row>
    <row r="729" spans="2:59" ht="13.5" thickBot="1">
      <c r="B729" s="174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  <c r="AA729" s="175"/>
      <c r="AB729" s="175"/>
      <c r="AC729" s="175"/>
      <c r="AD729" s="175"/>
      <c r="AE729" s="175"/>
      <c r="AF729" s="175"/>
      <c r="AG729" s="175"/>
      <c r="AH729" s="175"/>
      <c r="AI729" s="175"/>
      <c r="AJ729" s="175"/>
      <c r="AK729" s="175"/>
      <c r="AL729" s="175"/>
      <c r="AM729" s="175"/>
      <c r="AN729" s="175"/>
      <c r="AO729" s="175"/>
      <c r="AP729" s="175"/>
      <c r="AQ729" s="175"/>
      <c r="AR729" s="175"/>
      <c r="AS729" s="175"/>
      <c r="AT729" s="175"/>
      <c r="AU729" s="175"/>
      <c r="AV729" s="175"/>
      <c r="AW729" s="175"/>
      <c r="AX729" s="175"/>
      <c r="AY729" s="175"/>
      <c r="AZ729" s="175"/>
      <c r="BA729" s="175"/>
      <c r="BB729" s="175"/>
      <c r="BC729" s="175"/>
      <c r="BD729" s="175"/>
      <c r="BE729" s="175"/>
      <c r="BF729" s="175"/>
      <c r="BG729" s="176"/>
    </row>
  </sheetData>
  <mergeCells count="39">
    <mergeCell ref="C202:T202"/>
    <mergeCell ref="C192:Z192"/>
    <mergeCell ref="C162:Z162"/>
    <mergeCell ref="C172:T172"/>
    <mergeCell ref="C12:Z12"/>
    <mergeCell ref="C22:T22"/>
    <mergeCell ref="C42:Z42"/>
    <mergeCell ref="C52:T52"/>
    <mergeCell ref="C82:T82"/>
    <mergeCell ref="C72:Z72"/>
    <mergeCell ref="C102:Z102"/>
    <mergeCell ref="C112:T112"/>
    <mergeCell ref="C132:Z132"/>
    <mergeCell ref="C142:T142"/>
    <mergeCell ref="C222:Z222"/>
    <mergeCell ref="C232:T232"/>
    <mergeCell ref="C252:Z252"/>
    <mergeCell ref="C262:T262"/>
    <mergeCell ref="C322:T322"/>
    <mergeCell ref="C292:T292"/>
    <mergeCell ref="C352:T352"/>
    <mergeCell ref="C382:T382"/>
    <mergeCell ref="C412:T412"/>
    <mergeCell ref="C442:T442"/>
    <mergeCell ref="C502:T502"/>
    <mergeCell ref="C472:T472"/>
    <mergeCell ref="C532:T532"/>
    <mergeCell ref="C552:Z552"/>
    <mergeCell ref="C565:T565"/>
    <mergeCell ref="C585:Z585"/>
    <mergeCell ref="C675:Z675"/>
    <mergeCell ref="C685:T685"/>
    <mergeCell ref="C705:Z705"/>
    <mergeCell ref="C715:T715"/>
    <mergeCell ref="C595:T595"/>
    <mergeCell ref="C615:Z615"/>
    <mergeCell ref="C625:T625"/>
    <mergeCell ref="C645:Z645"/>
    <mergeCell ref="C655:T655"/>
  </mergeCells>
  <phoneticPr fontId="3"/>
  <hyperlinks>
    <hyperlink ref="A1" location="TCS!A1" display="戻る" xr:uid="{8979719D-6CD6-40CF-A95A-DE59D3FDAFF5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e5c32e-5c31-4bc5-90ad-32aa3de5e370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C1A78C8BA617741815C408FC2226F78" ma:contentTypeVersion="5" ma:contentTypeDescription="新しいドキュメントを作成します。" ma:contentTypeScope="" ma:versionID="471a8c2dab4ccd4eab1f869bd178a018">
  <xsd:schema xmlns:xsd="http://www.w3.org/2001/XMLSchema" xmlns:xs="http://www.w3.org/2001/XMLSchema" xmlns:p="http://schemas.microsoft.com/office/2006/metadata/properties" xmlns:ns3="0be5c32e-5c31-4bc5-90ad-32aa3de5e370" targetNamespace="http://schemas.microsoft.com/office/2006/metadata/properties" ma:root="true" ma:fieldsID="e493ba474fa5c87bf5aa9e485136a040" ns3:_="">
    <xsd:import namespace="0be5c32e-5c31-4bc5-90ad-32aa3de5e3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5c32e-5c31-4bc5-90ad-32aa3de5e3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FADD67-DD7C-4D45-8940-C6EB8B5BA1F7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0be5c32e-5c31-4bc5-90ad-32aa3de5e37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F2B1990-BD69-40EB-A43C-6C4C780A6DE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6C043C0-55C4-4BC2-999C-6CD59D03BC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e5c32e-5c31-4bc5-90ad-32aa3de5e3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B6BF48-E3F6-4B13-9192-4EFFE42803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6684a67-d816-43ce-93f9-29b6f72f823f}" enabled="0" method="" siteId="{76684a67-d816-43ce-93f9-29b6f72f82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更新履歴</vt:lpstr>
      <vt:lpstr>TCS</vt:lpstr>
      <vt:lpstr>テストデータ</vt:lpstr>
      <vt:lpstr>引数チェック</vt:lpstr>
      <vt:lpstr>主処理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Yusuke</dc:creator>
  <cp:lastModifiedBy>Sun Sheng</cp:lastModifiedBy>
  <cp:lastPrinted>2012-11-07T00:24:04Z</cp:lastPrinted>
  <dcterms:created xsi:type="dcterms:W3CDTF">2006-06-14T00:06:44Z</dcterms:created>
  <dcterms:modified xsi:type="dcterms:W3CDTF">2025-11-03T00:28:09Z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0x0101008C1A78C8BA617741815C408FC2226F78</vt:lpwstr>
  </property>
  <property fmtid="{D5CDD505-2E9C-101B-9397-08002B2CF9AE}" pid="3" name="MediaServiceImageTags">
    <vt:lpwstr/>
  </property>
</Properties>
</file>