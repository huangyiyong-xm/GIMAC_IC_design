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mc:AlternateContent xmlns:mc="http://schemas.openxmlformats.org/markup-compatibility/2006">
    <mc:Choice Requires="x15">
      <x15ac:absPath xmlns:x15ac="http://schemas.microsoft.com/office/spreadsheetml/2010/11/ac" url="D:\tcs\"/>
    </mc:Choice>
  </mc:AlternateContent>
  <xr:revisionPtr revIDLastSave="0" documentId="13_ncr:1_{27491F14-9AB6-4EE5-9607-6D0FFB4A8A73}" xr6:coauthVersionLast="47" xr6:coauthVersionMax="47" xr10:uidLastSave="{00000000-0000-0000-0000-000000000000}"/>
  <bookViews>
    <workbookView xWindow="28680" yWindow="-120" windowWidth="38640" windowHeight="21120" tabRatio="815" xr2:uid="{00000000-000D-0000-FFFF-FFFF00000000}"/>
  </bookViews>
  <sheets>
    <sheet name="Cover" sheetId="115" r:id="rId1"/>
    <sheet name="更新履歴" sheetId="116" r:id="rId2"/>
    <sheet name="TCS" sheetId="117" r:id="rId3"/>
    <sheet name="テストデータ" sheetId="120" r:id="rId4"/>
    <sheet name="引数チェック" sheetId="121" r:id="rId5"/>
    <sheet name="主処理" sheetId="128" r:id="rId6"/>
    <sheet name="検索" sheetId="122" r:id="rId7"/>
    <sheet name="更新" sheetId="123" r:id="rId8"/>
    <sheet name="処理ﾊﾟﾀｰﾝ" sheetId="124" r:id="rId9"/>
    <sheet name="追加" sheetId="125" r:id="rId10"/>
    <sheet name="削除" sheetId="126" r:id="rId11"/>
    <sheet name="その他" sheetId="127" r:id="rId12"/>
  </sheets>
  <externalReferences>
    <externalReference r:id="rId13"/>
    <externalReference r:id="rId14"/>
    <externalReference r:id="rId15"/>
    <externalReference r:id="rId16"/>
    <externalReference r:id="rId17"/>
    <externalReference r:id="rId18"/>
    <externalReference r:id="rId19"/>
  </externalReferences>
  <definedNames>
    <definedName name="_xlnm._FilterDatabase" localSheetId="2" hidden="1">#REF!</definedName>
    <definedName name="_xlnm._FilterDatabase" hidden="1">#REF!</definedName>
    <definedName name="_Key1" localSheetId="2" hidden="1">#REF!</definedName>
    <definedName name="_Key1" hidden="1">#REF!</definedName>
    <definedName name="_Order1" hidden="1">255</definedName>
    <definedName name="_Regression_X" localSheetId="2" hidden="1">#REF!</definedName>
    <definedName name="_Regression_X" hidden="1">#REF!</definedName>
    <definedName name="_Sort" localSheetId="2" hidden="1">#REF!</definedName>
    <definedName name="_Sort" hidden="1">#REF!</definedName>
    <definedName name="Access_Button" hidden="1">"名簿_ｱｸｾｽ_List1"</definedName>
    <definedName name="AccessDatabase" hidden="1">"G:\_資金部\1総括\総括庶務\ｱｸｾｽ\ｱﾅｱｸｾｽ.MDB"</definedName>
    <definedName name="AS2DocOpenMode" hidden="1">"AS2DocumentEdit"</definedName>
    <definedName name="BS入力">[1]!BS入力</definedName>
    <definedName name="EditBack" localSheetId="2">#REF!</definedName>
    <definedName name="EditBack">#REF!</definedName>
    <definedName name="EditBar" localSheetId="2">#REF!</definedName>
    <definedName name="EditBar">#REF!</definedName>
    <definedName name="EditCommon" localSheetId="2">#REF!</definedName>
    <definedName name="EditCommon">#REF!</definedName>
    <definedName name="EditConf" localSheetId="2">#REF!</definedName>
    <definedName name="EditConf">#REF!</definedName>
    <definedName name="EditConfirm" localSheetId="2">#REF!</definedName>
    <definedName name="EditConfirm">#REF!</definedName>
    <definedName name="EditCopyUpdate" localSheetId="2">#REF!</definedName>
    <definedName name="EditCopyUpdate">#REF!</definedName>
    <definedName name="EditDelete" localSheetId="2">#REF!</definedName>
    <definedName name="EditDelete">#REF!</definedName>
    <definedName name="EditDeleteS" localSheetId="2">#REF!</definedName>
    <definedName name="EditDeleteS">#REF!</definedName>
    <definedName name="EditDeleteUpdate" localSheetId="2">#REF!</definedName>
    <definedName name="EditDeleteUpdate">#REF!</definedName>
    <definedName name="EditDetail" localSheetId="2">#REF!</definedName>
    <definedName name="EditDetail">#REF!</definedName>
    <definedName name="EditDetailTran" localSheetId="2">#REF!</definedName>
    <definedName name="EditDetailTran">#REF!</definedName>
    <definedName name="EditDetailTransaction" localSheetId="2">#REF!</definedName>
    <definedName name="EditDetailTransaction">#REF!</definedName>
    <definedName name="EditDownload" localSheetId="2">#REF!</definedName>
    <definedName name="EditDownload">#REF!</definedName>
    <definedName name="EditEdit" localSheetId="2">#REF!</definedName>
    <definedName name="EditEdit">#REF!</definedName>
    <definedName name="EditEditTran" localSheetId="2">#REF!</definedName>
    <definedName name="EditEditTran">#REF!</definedName>
    <definedName name="EditEditUpdate" localSheetId="2">#REF!</definedName>
    <definedName name="EditEditUpdate">#REF!</definedName>
    <definedName name="EditInitial" localSheetId="2">#REF!</definedName>
    <definedName name="EditInitial">#REF!</definedName>
    <definedName name="EditInsert" localSheetId="2">#REF!</definedName>
    <definedName name="EditInsert">#REF!</definedName>
    <definedName name="EditItemChange" localSheetId="2">#REF!</definedName>
    <definedName name="EditItemChange">#REF!</definedName>
    <definedName name="EditLoseFocus" localSheetId="2">#REF!</definedName>
    <definedName name="EditLoseFocus">#REF!</definedName>
    <definedName name="EditLoseFocus1" localSheetId="2">#REF!</definedName>
    <definedName name="EditLoseFocus1">#REF!</definedName>
    <definedName name="EditLoseFocus2" localSheetId="2">#REF!</definedName>
    <definedName name="EditLoseFocus2">#REF!</definedName>
    <definedName name="EditLoseFocus3" localSheetId="2">#REF!</definedName>
    <definedName name="EditLoseFocus3">#REF!</definedName>
    <definedName name="EditLoseFocus4" localSheetId="2">#REF!</definedName>
    <definedName name="EditLoseFocus4">#REF!</definedName>
    <definedName name="EditLoseFocus5" localSheetId="2">#REF!</definedName>
    <definedName name="EditLoseFocus5">#REF!</definedName>
    <definedName name="EditNew" localSheetId="2">#REF!</definedName>
    <definedName name="EditNew">#REF!</definedName>
    <definedName name="EditNewS" localSheetId="2">#REF!</definedName>
    <definedName name="EditNewS">#REF!</definedName>
    <definedName name="EditNewTran" localSheetId="2">#REF!</definedName>
    <definedName name="EditNewTran">#REF!</definedName>
    <definedName name="EditPrev" localSheetId="2">#REF!</definedName>
    <definedName name="EditPrev">#REF!</definedName>
    <definedName name="EditPrint" localSheetId="2">#REF!</definedName>
    <definedName name="EditPrint">#REF!</definedName>
    <definedName name="EditReset" localSheetId="2">#REF!</definedName>
    <definedName name="EditReset">#REF!</definedName>
    <definedName name="EditRetrieve" localSheetId="2">#REF!</definedName>
    <definedName name="EditRetrieve">#REF!</definedName>
    <definedName name="EditUpdateS" localSheetId="2">#REF!</definedName>
    <definedName name="EditUpdateS">#REF!</definedName>
    <definedName name="EditUpload" localSheetId="2">#REF!</definedName>
    <definedName name="EditUpload">#REF!</definedName>
    <definedName name="EditValuesList" localSheetId="2">#REF!</definedName>
    <definedName name="EditValuesList">#REF!</definedName>
    <definedName name="Event" localSheetId="2">#REF!</definedName>
    <definedName name="Event">#REF!</definedName>
    <definedName name="fl01AS1" localSheetId="2" hidden="1">[2]分录!#REF!</definedName>
    <definedName name="fl01AS1" hidden="1">[2]分录!#REF!</definedName>
    <definedName name="fl04AF1" localSheetId="2" hidden="1">[3]分录!#REF!</definedName>
    <definedName name="fl04AF1" hidden="1">[3]分录!#REF!</definedName>
    <definedName name="HeaderItemChanged" localSheetId="2">#REF!</definedName>
    <definedName name="HeaderItemChanged">#REF!</definedName>
    <definedName name="PL入力">[1]!PL入力</definedName>
    <definedName name="test" localSheetId="2">#REF!</definedName>
    <definedName name="test">#REF!</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pdateConfirm" localSheetId="2">#REF!</definedName>
    <definedName name="UpdateConfirm">#REF!</definedName>
    <definedName name="UpdatePrint" localSheetId="2">#REF!</definedName>
    <definedName name="UpdatePrint">#REF!</definedName>
    <definedName name="ValidationCommon" localSheetId="2">#REF!</definedName>
    <definedName name="ValidationCommon">#REF!</definedName>
    <definedName name="ValidationConfirm" localSheetId="2">#REF!</definedName>
    <definedName name="ValidationConfirm">#REF!</definedName>
    <definedName name="ValidationDelete" localSheetId="2">#REF!</definedName>
    <definedName name="ValidationDelete">#REF!</definedName>
    <definedName name="ValidationDetail" localSheetId="2">#REF!</definedName>
    <definedName name="ValidationDetail">#REF!</definedName>
    <definedName name="ValidationEdit" localSheetId="2">#REF!</definedName>
    <definedName name="ValidationEdit">#REF!</definedName>
    <definedName name="ValidationLoseFocus" localSheetId="2">#REF!</definedName>
    <definedName name="ValidationLoseFocus">#REF!</definedName>
    <definedName name="ValidationPrint" localSheetId="2">#REF!</definedName>
    <definedName name="ValidationPrint">#REF!</definedName>
    <definedName name="ValidationRetrieve" localSheetId="2">#REF!</definedName>
    <definedName name="ValidationRetrieve">#REF!</definedName>
    <definedName name="ValidRet" localSheetId="2">#REF!</definedName>
    <definedName name="ValidRet">#REF!</definedName>
    <definedName name="xxjj36" localSheetId="2">[4]已审CF!#REF!</definedName>
    <definedName name="xxjj36">[4]已审CF!#REF!</definedName>
    <definedName name="xxjj44" localSheetId="2">[4]已审CF!#REF!</definedName>
    <definedName name="xxjj44">[4]已审CF!#REF!</definedName>
    <definedName name="xxjj48" localSheetId="2">[4]已审CF!#REF!</definedName>
    <definedName name="xxjj48">[4]已审CF!#REF!</definedName>
    <definedName name="コメント入力">[1]!コメント入力</definedName>
    <definedName name="データ形式">[5]!テーブル56[ファイルデータ形式]</definedName>
    <definedName name="データ型">[5]!テーブル5[データ型]</definedName>
    <definedName name="データ型2">[5]!テーブル69[データ型]</definedName>
    <definedName name="デリミタ">[5]!テーブル3[デリミタ]</definedName>
    <definedName name="改行コード">[5]!テーブル6[改行コード]</definedName>
    <definedName name="固定可変">[5]!テーブル43[固定長/可変長]</definedName>
    <definedName name="関連表" localSheetId="2" hidden="1">#REF!</definedName>
    <definedName name="関連表" hidden="1">#REF!</definedName>
    <definedName name="稼働日" localSheetId="2">#REF!</definedName>
    <definedName name="稼働日">#REF!</definedName>
    <definedName name="客户">[6]索引!$C$4</definedName>
    <definedName name="栏目设置">[6]索引!$C$8</definedName>
    <definedName name="売上入力">[1]!売上入力</definedName>
    <definedName name="末尾デリミタ">[5]!テーブル7[末尾デリミタ文字]</definedName>
    <definedName name="期间">[6]索引!$C$6</definedName>
    <definedName name="人員入力">[1]!人員入力</definedName>
    <definedName name="入出力対象">[5]!テーブル4[入出力対象]</definedName>
    <definedName name="深夜開始">[7]初期値!$G$3</definedName>
    <definedName name="始業時間">[7]初期値!$C$3</definedName>
    <definedName name="文字コード">[5]!テーブル1[文字コード]</definedName>
    <definedName name="曜日" localSheetId="2">#REF!</definedName>
    <definedName name="曜日">#REF!</definedName>
    <definedName name="应付票据mxb" localSheetId="2" hidden="1">#REF!</definedName>
    <definedName name="应付票据mxb" hidden="1">#REF!</definedName>
    <definedName name="終業時間">[7]初期値!$F$3</definedName>
    <definedName name="総表印刷">[1]!総表印刷</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2" i="117" l="1"/>
  <c r="J2" i="117"/>
  <c r="G2" i="117"/>
  <c r="L2" i="117" l="1"/>
  <c r="G3" i="117"/>
  <c r="J3" i="1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Suzuki Yusuke</author>
  </authors>
  <commentList>
    <comment ref="F5" authorId="0" shapeId="0" xr:uid="{5C1326A4-549E-413B-BE9E-ED5283DCD2F7}">
      <text>
        <r>
          <rPr>
            <sz val="9"/>
            <color indexed="81"/>
            <rFont val="MS P ゴシック"/>
            <family val="3"/>
            <charset val="128"/>
          </rPr>
          <t>結果が保存されているシート名を記載する。
ファイルがない場合は「なし」と記載してください</t>
        </r>
      </text>
    </comment>
  </commentList>
</comments>
</file>

<file path=xl/sharedStrings.xml><?xml version="1.0" encoding="utf-8"?>
<sst xmlns="http://schemas.openxmlformats.org/spreadsheetml/2006/main" count="15472" uniqueCount="826">
  <si>
    <t>確認者</t>
    <rPh sb="0" eb="2">
      <t>カクニン</t>
    </rPh>
    <rPh sb="2" eb="3">
      <t>シャ</t>
    </rPh>
    <phoneticPr fontId="3"/>
  </si>
  <si>
    <t>作成者</t>
    <rPh sb="0" eb="3">
      <t>サクセイシャ</t>
    </rPh>
    <phoneticPr fontId="3"/>
  </si>
  <si>
    <t>日付</t>
    <rPh sb="0" eb="2">
      <t>ヒヅケ</t>
    </rPh>
    <phoneticPr fontId="3"/>
  </si>
  <si>
    <t>IC</t>
    <phoneticPr fontId="3"/>
  </si>
  <si>
    <t>更新者</t>
    <rPh sb="0" eb="3">
      <t>コウシンシャ</t>
    </rPh>
    <phoneticPr fontId="3"/>
  </si>
  <si>
    <t>モジュール名</t>
    <rPh sb="5" eb="6">
      <t>メイ</t>
    </rPh>
    <phoneticPr fontId="11"/>
  </si>
  <si>
    <t>プログラムID</t>
    <phoneticPr fontId="11"/>
  </si>
  <si>
    <t>プログラム名</t>
    <phoneticPr fontId="11"/>
  </si>
  <si>
    <t>Project Name</t>
    <phoneticPr fontId="11"/>
  </si>
  <si>
    <t>Yamaha-motor Next Stage</t>
    <phoneticPr fontId="11"/>
  </si>
  <si>
    <t>Workstream</t>
    <phoneticPr fontId="11"/>
  </si>
  <si>
    <t>Document Scope</t>
    <phoneticPr fontId="11"/>
  </si>
  <si>
    <t>TCS作成</t>
    <rPh sb="3" eb="5">
      <t>サクセイ</t>
    </rPh>
    <phoneticPr fontId="11"/>
  </si>
  <si>
    <t>承認者</t>
    <rPh sb="0" eb="3">
      <t>ショウニンシャ</t>
    </rPh>
    <phoneticPr fontId="3"/>
  </si>
  <si>
    <t>名前</t>
    <rPh sb="0" eb="2">
      <t>ナマエ</t>
    </rPh>
    <phoneticPr fontId="3"/>
  </si>
  <si>
    <t>テスト実施</t>
    <rPh sb="3" eb="5">
      <t>ジッシ</t>
    </rPh>
    <phoneticPr fontId="11"/>
  </si>
  <si>
    <t>テスト担当者</t>
    <rPh sb="3" eb="6">
      <t>タントウシャ</t>
    </rPh>
    <phoneticPr fontId="3"/>
  </si>
  <si>
    <t>Ver</t>
    <phoneticPr fontId="3"/>
  </si>
  <si>
    <t>更新日</t>
    <rPh sb="0" eb="2">
      <t>コウシン</t>
    </rPh>
    <rPh sb="2" eb="3">
      <t>ビ</t>
    </rPh>
    <phoneticPr fontId="3"/>
  </si>
  <si>
    <t>更新シート</t>
    <rPh sb="0" eb="2">
      <t>コウシン</t>
    </rPh>
    <phoneticPr fontId="3"/>
  </si>
  <si>
    <t>更新内容</t>
    <rPh sb="0" eb="2">
      <t>コウシン</t>
    </rPh>
    <rPh sb="2" eb="4">
      <t>ナイヨウ</t>
    </rPh>
    <phoneticPr fontId="3"/>
  </si>
  <si>
    <t>確認日</t>
    <rPh sb="0" eb="2">
      <t>カクニン</t>
    </rPh>
    <rPh sb="2" eb="3">
      <t>ビ</t>
    </rPh>
    <phoneticPr fontId="11"/>
  </si>
  <si>
    <t>確認者</t>
    <rPh sb="0" eb="2">
      <t>カクニン</t>
    </rPh>
    <rPh sb="2" eb="3">
      <t>シャ</t>
    </rPh>
    <phoneticPr fontId="11"/>
  </si>
  <si>
    <t>承認日</t>
    <rPh sb="0" eb="2">
      <t>ショウニン</t>
    </rPh>
    <rPh sb="2" eb="3">
      <t>ビ</t>
    </rPh>
    <phoneticPr fontId="11"/>
  </si>
  <si>
    <t>承認者</t>
    <rPh sb="0" eb="2">
      <t>ショウニン</t>
    </rPh>
    <rPh sb="2" eb="3">
      <t>シャ</t>
    </rPh>
    <phoneticPr fontId="11"/>
  </si>
  <si>
    <t>備考</t>
    <rPh sb="0" eb="2">
      <t>ビコウ</t>
    </rPh>
    <phoneticPr fontId="3"/>
  </si>
  <si>
    <t>*</t>
    <phoneticPr fontId="11"/>
  </si>
  <si>
    <t>テスト概要</t>
    <rPh sb="3" eb="5">
      <t>ｶﾞｲﾖｳ</t>
    </rPh>
    <phoneticPr fontId="18" type="noConversion"/>
  </si>
  <si>
    <t>テストケース数</t>
    <rPh sb="6" eb="7">
      <t>ｽｳ</t>
    </rPh>
    <phoneticPr fontId="18" type="noConversion"/>
  </si>
  <si>
    <t>テスト実施数</t>
    <rPh sb="3" eb="5">
      <t>ｼﾞｯｼ</t>
    </rPh>
    <rPh sb="5" eb="6">
      <t>ｽｳ</t>
    </rPh>
    <phoneticPr fontId="18" type="noConversion"/>
  </si>
  <si>
    <t>テスト未実施数</t>
    <rPh sb="3" eb="6">
      <t>ﾐｼﾞｯｼ</t>
    </rPh>
    <rPh sb="6" eb="7">
      <t>ｽｳ</t>
    </rPh>
    <phoneticPr fontId="18" type="noConversion"/>
  </si>
  <si>
    <t>合格ケース数</t>
    <rPh sb="0" eb="2">
      <t>ｺﾞｳｶｸ</t>
    </rPh>
    <rPh sb="5" eb="6">
      <t>ｽｳ</t>
    </rPh>
    <phoneticPr fontId="18" type="noConversion"/>
  </si>
  <si>
    <t>進捗率</t>
    <rPh sb="0" eb="2">
      <t>ｼﾝﾁｮｸ</t>
    </rPh>
    <rPh sb="2" eb="3">
      <t>ﾘﾂ</t>
    </rPh>
    <phoneticPr fontId="18" type="noConversion"/>
  </si>
  <si>
    <t>ケース合格率</t>
    <rPh sb="3" eb="5">
      <t>ｺﾞｳｶｸ</t>
    </rPh>
    <rPh sb="5" eb="6">
      <t>ﾘﾂ</t>
    </rPh>
    <phoneticPr fontId="18" type="noConversion"/>
  </si>
  <si>
    <t>開発者</t>
    <rPh sb="0" eb="3">
      <t>ｶｲﾊﾂｼｬ</t>
    </rPh>
    <phoneticPr fontId="18" type="noConversion"/>
  </si>
  <si>
    <t>検収者</t>
    <rPh sb="0" eb="2">
      <t>ｹﾝｼｭｳ</t>
    </rPh>
    <rPh sb="2" eb="3">
      <t>ｼｬ</t>
    </rPh>
    <phoneticPr fontId="18" type="noConversion"/>
  </si>
  <si>
    <t>No</t>
    <phoneticPr fontId="18" type="noConversion"/>
  </si>
  <si>
    <t>テスト動作</t>
  </si>
  <si>
    <t>項目名</t>
    <rPh sb="0" eb="2">
      <t>ｺｳﾓｸ</t>
    </rPh>
    <rPh sb="2" eb="3">
      <t>ﾒｲ</t>
    </rPh>
    <phoneticPr fontId="18" type="noConversion"/>
  </si>
  <si>
    <t>テストケース</t>
    <phoneticPr fontId="18" type="noConversion"/>
  </si>
  <si>
    <t>チェックポイント</t>
    <phoneticPr fontId="18" type="noConversion"/>
  </si>
  <si>
    <t>確認資料</t>
    <rPh sb="0" eb="4">
      <t>ｶｸﾆﾝｼﾘｮｳ</t>
    </rPh>
    <phoneticPr fontId="18" type="noConversion"/>
  </si>
  <si>
    <t>生成AI/手動</t>
    <rPh sb="0" eb="2">
      <t>ｾｲｾｲ</t>
    </rPh>
    <rPh sb="5" eb="7">
      <t>ｼｭﾄﾞｳ</t>
    </rPh>
    <phoneticPr fontId="18" type="noConversion"/>
  </si>
  <si>
    <t>テスト方法</t>
    <rPh sb="3" eb="5">
      <t>ﾎｳﾎｳ</t>
    </rPh>
    <phoneticPr fontId="18" type="noConversion"/>
  </si>
  <si>
    <t>エビデンス
要否</t>
    <rPh sb="6" eb="8">
      <t>ﾖｳﾋ</t>
    </rPh>
    <phoneticPr fontId="18" type="noConversion"/>
  </si>
  <si>
    <t>ケース
レビュー</t>
    <phoneticPr fontId="18" type="noConversion"/>
  </si>
  <si>
    <t>テスト担当者</t>
    <rPh sb="3" eb="6">
      <t>ﾀﾝﾄｳｼｬ</t>
    </rPh>
    <phoneticPr fontId="18" type="noConversion"/>
  </si>
  <si>
    <t>テスト
結果</t>
    <rPh sb="4" eb="6">
      <t>ｹｯｶ</t>
    </rPh>
    <phoneticPr fontId="18" type="noConversion"/>
  </si>
  <si>
    <t>テスト実施
レビュー</t>
    <rPh sb="3" eb="5">
      <t>ｼﾞｯｼ</t>
    </rPh>
    <phoneticPr fontId="18" type="noConversion"/>
  </si>
  <si>
    <t>コメント</t>
    <phoneticPr fontId="18" type="noConversion"/>
  </si>
  <si>
    <t>引数</t>
  </si>
  <si>
    <t>引数.処理識別がブランクの場合</t>
  </si>
  <si>
    <t>生成AI</t>
  </si>
  <si>
    <t>引数.処理識別がNULLの場合</t>
  </si>
  <si>
    <t>引数.品目番号がブランクの場合</t>
  </si>
  <si>
    <t>引数.品目番号がNULLの場合</t>
  </si>
  <si>
    <t>引数.供給者がブランクの場合</t>
  </si>
  <si>
    <t>引数.供給者がNULLの場合</t>
  </si>
  <si>
    <t>引数.使用者がブランクの場合</t>
  </si>
  <si>
    <t>引数.使用者がNULLの場合</t>
  </si>
  <si>
    <t>検索</t>
  </si>
  <si>
    <t>品目マスター</t>
  </si>
  <si>
    <t>MRP情報値</t>
  </si>
  <si>
    <t>テーブル結合</t>
  </si>
  <si>
    <t>両テーブルの結合条件（品目番号、供給者、使用者）が適切に処理されている</t>
  </si>
  <si>
    <t>検索結果なし</t>
  </si>
  <si>
    <t>品目クラスチェック</t>
  </si>
  <si>
    <t>品目クラス</t>
  </si>
  <si>
    <t>品目ステータスチェック</t>
  </si>
  <si>
    <t>品目ステータス</t>
  </si>
  <si>
    <t>フラグ設定</t>
  </si>
  <si>
    <t>LD11</t>
  </si>
  <si>
    <t>品目タイプフラグ2、MRP需要方針フラグ5、Wビン管理フラグ7が'Y'に設定されている</t>
  </si>
  <si>
    <t>LD41</t>
  </si>
  <si>
    <t>品目タイプフラグ2、品目クラスフラグ3、MRP需要方針フラグ5、Wビン管理フラグ7が'Y'に設定されている</t>
  </si>
  <si>
    <t>LD71</t>
  </si>
  <si>
    <t>品目タイプフラグ2、品目クラスフラグ3、MRP需要方針フラグ6、Wビン管理フラグ8が'Y'に設定されている</t>
  </si>
  <si>
    <t>LD21等</t>
  </si>
  <si>
    <t>品目タイプフラグ1が'Y'に設定されている</t>
  </si>
  <si>
    <t>LD14</t>
  </si>
  <si>
    <t>品目タイプフラグ1、Wビン管理フラグ7、AIRSサインフラグ9が'Y'に設定されている</t>
  </si>
  <si>
    <t>LD24</t>
  </si>
  <si>
    <t>LD44</t>
  </si>
  <si>
    <t>品目タイプフラグ1、AIRSサインフラグ9が'Y'に設定されている</t>
  </si>
  <si>
    <t>LD74</t>
  </si>
  <si>
    <t>品目タイプフラグ1、Wビン管理フラグ8が'Y'に設定されている</t>
  </si>
  <si>
    <t>LD78等</t>
  </si>
  <si>
    <t>品目タイプフラグ2が'Y'に設定されている</t>
  </si>
  <si>
    <t>LD81</t>
  </si>
  <si>
    <t>品目クラスフラグ4が'Y'に設定されている</t>
  </si>
  <si>
    <t>品目タイプフラグ1</t>
  </si>
  <si>
    <t>品目タイプ</t>
  </si>
  <si>
    <t>品目タイプフラグ2</t>
  </si>
  <si>
    <t>品目クラスフラグ3</t>
  </si>
  <si>
    <t>品目クラスフラグ4</t>
  </si>
  <si>
    <t>MRP需要方針フラグ5</t>
  </si>
  <si>
    <t>MRP需要方針コード</t>
  </si>
  <si>
    <t>MRP需要方針フラグ6</t>
  </si>
  <si>
    <t>Wビン管理フラグ7</t>
  </si>
  <si>
    <t>Wビン管理コード</t>
  </si>
  <si>
    <t>Wビン管理フラグ8</t>
  </si>
  <si>
    <t>AIRSサインフラグ9</t>
  </si>
  <si>
    <t>AIRSサイン</t>
  </si>
  <si>
    <t>正常終了</t>
  </si>
  <si>
    <t>処理ステータス</t>
  </si>
  <si>
    <t>正常終了時の処理ステータス</t>
  </si>
  <si>
    <t>処理ステータスが0で設定されている</t>
  </si>
  <si>
    <t>SQLコード</t>
  </si>
  <si>
    <t>正常終了時のSQLコード</t>
  </si>
  <si>
    <t>SQLコードが'0'で設定されている</t>
  </si>
  <si>
    <t>エラーコード</t>
  </si>
  <si>
    <t>正常終了時のエラーコード</t>
  </si>
  <si>
    <t>エラーコードが'0'で設定されている</t>
  </si>
  <si>
    <t>エラーメッセージ</t>
  </si>
  <si>
    <t>正常終了時のエラーメッセージ</t>
  </si>
  <si>
    <t>エラーメッセージがスペースで設定されている</t>
  </si>
  <si>
    <t>エラー位置</t>
  </si>
  <si>
    <t>正常終了時のエラー位置</t>
  </si>
  <si>
    <t>エラー位置がスペースで設定されている</t>
  </si>
  <si>
    <t>正常終了時の品目クラス</t>
  </si>
  <si>
    <t>取得した品目クラスが正しく設定されている</t>
  </si>
  <si>
    <t>正常終了時の品目ステータス</t>
  </si>
  <si>
    <t>取得した品目ステータスが正しく設定されている</t>
  </si>
  <si>
    <t>正常終了時のMRP需要方針コード</t>
  </si>
  <si>
    <t>取得したMRP需要方針コードが正しく設定されている</t>
  </si>
  <si>
    <t>正常終了時のAIRSサイン</t>
  </si>
  <si>
    <t>取得したAIRSサインが正しく設定されている</t>
  </si>
  <si>
    <t>変動安全在庫数</t>
  </si>
  <si>
    <t>正常終了時の変動安全在庫数</t>
  </si>
  <si>
    <t>取得した変動安全在庫数が正しく設定されている</t>
  </si>
  <si>
    <t>シンクロ管理コード</t>
  </si>
  <si>
    <t>正常終了時のシンクロ管理コード</t>
  </si>
  <si>
    <t>取得したシンクロ管理コードが正しく設定されている</t>
  </si>
  <si>
    <t>SQLエラー発生時の処理ステータス</t>
  </si>
  <si>
    <t>処理ステータスが-1で設定されている</t>
  </si>
  <si>
    <t>PGMエラー発生時の処理ステータス</t>
  </si>
  <si>
    <t>処理ステータスが-2で設定されている</t>
  </si>
  <si>
    <t>LDAS0300</t>
    <phoneticPr fontId="3"/>
  </si>
  <si>
    <t>Valid／品目妥当性チェック</t>
    <phoneticPr fontId="3"/>
  </si>
  <si>
    <t>余</t>
    <phoneticPr fontId="3"/>
  </si>
  <si>
    <t>要</t>
  </si>
  <si>
    <t>3. 処理パターン</t>
    <phoneticPr fontId="3"/>
  </si>
  <si>
    <t>2.検索(select)</t>
    <phoneticPr fontId="3"/>
  </si>
  <si>
    <t>1.引数チェック</t>
    <phoneticPr fontId="3"/>
  </si>
  <si>
    <t>4.戻り値</t>
    <phoneticPr fontId="3"/>
  </si>
  <si>
    <t>戻る</t>
    <rPh sb="0" eb="1">
      <t>モド</t>
    </rPh>
    <phoneticPr fontId="3"/>
  </si>
  <si>
    <t>引数チェック</t>
    <phoneticPr fontId="3"/>
  </si>
  <si>
    <t>No.</t>
    <phoneticPr fontId="3"/>
  </si>
  <si>
    <t>テスト項目</t>
    <rPh sb="3" eb="5">
      <t>コウモク</t>
    </rPh>
    <phoneticPr fontId="3"/>
  </si>
  <si>
    <t>● 仕様：</t>
    <rPh sb="2" eb="4">
      <t>シヨウ</t>
    </rPh>
    <phoneticPr fontId="3"/>
  </si>
  <si>
    <t>【実行形式】</t>
    <rPh sb="1" eb="3">
      <t>ジッコウ</t>
    </rPh>
    <rPh sb="3" eb="5">
      <t>ケイシキ</t>
    </rPh>
    <phoneticPr fontId="3"/>
  </si>
  <si>
    <t>更新日時</t>
  </si>
  <si>
    <t>更新者</t>
  </si>
  <si>
    <t>【戻り値】</t>
    <rPh sb="1" eb="2">
      <t>モド</t>
    </rPh>
    <rPh sb="3" eb="4">
      <t>チ</t>
    </rPh>
    <phoneticPr fontId="3"/>
  </si>
  <si>
    <t>rn_status</t>
  </si>
  <si>
    <t>rs_sql_code</t>
  </si>
  <si>
    <t xml:space="preserve"> </t>
  </si>
  <si>
    <t>rs_err_code</t>
  </si>
  <si>
    <t>rs_err_msg</t>
  </si>
  <si>
    <t>rs_err_code</t>
    <phoneticPr fontId="3"/>
  </si>
  <si>
    <t>テストデータ</t>
    <phoneticPr fontId="3"/>
  </si>
  <si>
    <t>色説明 ：</t>
    <rPh sb="0" eb="1">
      <t>イロ</t>
    </rPh>
    <rPh sb="1" eb="3">
      <t>セツメイ</t>
    </rPh>
    <phoneticPr fontId="3"/>
  </si>
  <si>
    <t>条件項目</t>
    <rPh sb="0" eb="2">
      <t>ジョウケン</t>
    </rPh>
    <rPh sb="2" eb="4">
      <t>コウモク</t>
    </rPh>
    <phoneticPr fontId="3"/>
  </si>
  <si>
    <t>使用しない項目</t>
    <rPh sb="0" eb="2">
      <t>シヨウ</t>
    </rPh>
    <rPh sb="5" eb="7">
      <t>コウモク</t>
    </rPh>
    <phoneticPr fontId="3"/>
  </si>
  <si>
    <t>対象外の値</t>
    <rPh sb="0" eb="3">
      <t>タイショウガイ</t>
    </rPh>
    <rPh sb="4" eb="5">
      <t>アタイ</t>
    </rPh>
    <phoneticPr fontId="3"/>
  </si>
  <si>
    <t>更新項目</t>
    <rPh sb="0" eb="2">
      <t>コウシン</t>
    </rPh>
    <rPh sb="2" eb="4">
      <t>コウモク</t>
    </rPh>
    <phoneticPr fontId="3"/>
  </si>
  <si>
    <t>追加項目</t>
    <rPh sb="0" eb="2">
      <t>ツイカ</t>
    </rPh>
    <rPh sb="2" eb="4">
      <t>コウモク</t>
    </rPh>
    <phoneticPr fontId="3"/>
  </si>
  <si>
    <t>削除項目</t>
    <rPh sb="0" eb="2">
      <t>サクジョ</t>
    </rPh>
    <rPh sb="2" eb="4">
      <t>コウモク</t>
    </rPh>
    <phoneticPr fontId="3"/>
  </si>
  <si>
    <t>検索項目</t>
    <rPh sb="0" eb="2">
      <t>ケンサク</t>
    </rPh>
    <rPh sb="2" eb="4">
      <t>コウモク</t>
    </rPh>
    <phoneticPr fontId="3"/>
  </si>
  <si>
    <t>●</t>
    <phoneticPr fontId="3"/>
  </si>
  <si>
    <t>データNo</t>
    <phoneticPr fontId="3"/>
  </si>
  <si>
    <t>抽出レコード</t>
    <rPh sb="0" eb="2">
      <t>チュウシュツ</t>
    </rPh>
    <phoneticPr fontId="3"/>
  </si>
  <si>
    <t>品目番号</t>
    <rPh sb="0" eb="2">
      <t>ヒンモク</t>
    </rPh>
    <rPh sb="2" eb="4">
      <t>バンゴウ</t>
    </rPh>
    <phoneticPr fontId="3"/>
  </si>
  <si>
    <t>供給者</t>
    <rPh sb="0" eb="3">
      <t>キョウキュウシャ</t>
    </rPh>
    <phoneticPr fontId="3"/>
  </si>
  <si>
    <t>使用者</t>
    <rPh sb="0" eb="3">
      <t>シヨウシャ</t>
    </rPh>
    <phoneticPr fontId="3"/>
  </si>
  <si>
    <t>2</t>
    <phoneticPr fontId="3"/>
  </si>
  <si>
    <t>7</t>
    <phoneticPr fontId="3"/>
  </si>
  <si>
    <t>8</t>
    <phoneticPr fontId="3"/>
  </si>
  <si>
    <t>9</t>
    <phoneticPr fontId="3"/>
  </si>
  <si>
    <t>3</t>
    <phoneticPr fontId="3"/>
  </si>
  <si>
    <t>1</t>
    <phoneticPr fontId="3"/>
  </si>
  <si>
    <t>4</t>
    <phoneticPr fontId="3"/>
  </si>
  <si>
    <t>1234</t>
    <phoneticPr fontId="3"/>
  </si>
  <si>
    <t>1</t>
  </si>
  <si>
    <t>4</t>
  </si>
  <si>
    <t>5</t>
  </si>
  <si>
    <t>7</t>
  </si>
  <si>
    <r>
      <t>【ﾁｪｯｸﾘｽﾄの解説資料】　</t>
    </r>
    <r>
      <rPr>
        <b/>
        <sz val="18"/>
        <color indexed="18"/>
        <rFont val="Meiryo UI"/>
        <family val="3"/>
        <charset val="128"/>
      </rPr>
      <t>検索</t>
    </r>
    <rPh sb="9" eb="11">
      <t>カイセツ</t>
    </rPh>
    <rPh sb="11" eb="13">
      <t>シリョウ</t>
    </rPh>
    <rPh sb="15" eb="17">
      <t>ケンサク</t>
    </rPh>
    <phoneticPr fontId="3"/>
  </si>
  <si>
    <t>b1～b2</t>
    <phoneticPr fontId="3"/>
  </si>
  <si>
    <t>　検索条件がある場合</t>
    <phoneticPr fontId="3"/>
  </si>
  <si>
    <t>実行結果：</t>
    <rPh sb="0" eb="2">
      <t>ジッコウ</t>
    </rPh>
    <rPh sb="2" eb="4">
      <t>ケッカ</t>
    </rPh>
    <phoneticPr fontId="3"/>
  </si>
  <si>
    <t>b3</t>
    <phoneticPr fontId="3"/>
  </si>
  <si>
    <t>　グループ化を行う場合</t>
    <rPh sb="5" eb="6">
      <t>カ</t>
    </rPh>
    <rPh sb="7" eb="8">
      <t>オコナ</t>
    </rPh>
    <rPh sb="9" eb="11">
      <t>バアイ</t>
    </rPh>
    <phoneticPr fontId="3"/>
  </si>
  <si>
    <t>b4～b6</t>
    <phoneticPr fontId="3"/>
  </si>
  <si>
    <t>　複数のテーブルを結合する場合</t>
  </si>
  <si>
    <t>■内部（単純） 結合</t>
    <rPh sb="1" eb="3">
      <t>ナイブ</t>
    </rPh>
    <rPh sb="4" eb="6">
      <t>タンジュン</t>
    </rPh>
    <rPh sb="8" eb="10">
      <t>ケツゴウ</t>
    </rPh>
    <phoneticPr fontId="3"/>
  </si>
  <si>
    <t>■外部（OUTER ) 結合</t>
    <rPh sb="1" eb="3">
      <t>ガイブ</t>
    </rPh>
    <rPh sb="12" eb="14">
      <t>ケツゴウ</t>
    </rPh>
    <phoneticPr fontId="3"/>
  </si>
  <si>
    <t>■UNION 結合</t>
    <rPh sb="7" eb="9">
      <t>ケツゴウ</t>
    </rPh>
    <phoneticPr fontId="3"/>
  </si>
  <si>
    <t>b7</t>
    <phoneticPr fontId="3"/>
  </si>
  <si>
    <t>　検索対象レコードが存在しない場合</t>
  </si>
  <si>
    <r>
      <t>　　　　　◆　例として示すプログラムは、検索対象レコードが存在しない場合に　</t>
    </r>
    <r>
      <rPr>
        <b/>
        <sz val="9"/>
        <color indexed="48"/>
        <rFont val="Meiryo UI"/>
        <family val="3"/>
        <charset val="128"/>
      </rPr>
      <t>return -3,　0,　0,　"0009",　" ",　" ",　0;</t>
    </r>
    <r>
      <rPr>
        <b/>
        <sz val="9"/>
        <color indexed="59"/>
        <rFont val="Meiryo UI"/>
        <family val="3"/>
        <charset val="128"/>
      </rPr>
      <t>　</t>
    </r>
    <r>
      <rPr>
        <sz val="9"/>
        <color indexed="59"/>
        <rFont val="Meiryo UI"/>
        <family val="3"/>
        <charset val="128"/>
      </rPr>
      <t>を実行する</t>
    </r>
    <rPh sb="7" eb="8">
      <t>レイ</t>
    </rPh>
    <rPh sb="11" eb="12">
      <t>シメ</t>
    </rPh>
    <rPh sb="20" eb="22">
      <t>ケンサク</t>
    </rPh>
    <rPh sb="22" eb="24">
      <t>タイショウ</t>
    </rPh>
    <rPh sb="29" eb="31">
      <t>ソンザイ</t>
    </rPh>
    <rPh sb="34" eb="36">
      <t>バアイ</t>
    </rPh>
    <rPh sb="77" eb="79">
      <t>ジッコウ</t>
    </rPh>
    <phoneticPr fontId="3"/>
  </si>
  <si>
    <t>→　仕様通りの戻り値を確認。</t>
    <rPh sb="2" eb="4">
      <t>シヨウ</t>
    </rPh>
    <rPh sb="4" eb="5">
      <t>トオ</t>
    </rPh>
    <rPh sb="7" eb="8">
      <t>モド</t>
    </rPh>
    <rPh sb="9" eb="10">
      <t>チ</t>
    </rPh>
    <rPh sb="11" eb="13">
      <t>カクニン</t>
    </rPh>
    <phoneticPr fontId="3"/>
  </si>
  <si>
    <t>b8</t>
    <phoneticPr fontId="3"/>
  </si>
  <si>
    <t>　1件しか入っていないはずのテーブルに複数件のデータが存在する場合</t>
    <rPh sb="2" eb="3">
      <t>ケン</t>
    </rPh>
    <rPh sb="5" eb="6">
      <t>ハイ</t>
    </rPh>
    <rPh sb="19" eb="21">
      <t>フクスウ</t>
    </rPh>
    <rPh sb="21" eb="22">
      <t>ケン</t>
    </rPh>
    <rPh sb="27" eb="29">
      <t>ソンザイ</t>
    </rPh>
    <rPh sb="31" eb="33">
      <t>バアイ</t>
    </rPh>
    <phoneticPr fontId="3"/>
  </si>
  <si>
    <t>→　SQLエラーコードの戻り値を確認。</t>
    <rPh sb="12" eb="13">
      <t>モド</t>
    </rPh>
    <rPh sb="14" eb="15">
      <t>チ</t>
    </rPh>
    <rPh sb="16" eb="18">
      <t>カクニン</t>
    </rPh>
    <phoneticPr fontId="3"/>
  </si>
  <si>
    <t>b9</t>
    <phoneticPr fontId="3"/>
  </si>
  <si>
    <t>　検索対象テーブルが存在しない場合</t>
  </si>
  <si>
    <t>b10</t>
    <phoneticPr fontId="3"/>
  </si>
  <si>
    <t>　検索対象テーブルがロックされている場合</t>
  </si>
  <si>
    <r>
      <t>【ﾁｪｯｸﾘｽﾄの解説資料】　</t>
    </r>
    <r>
      <rPr>
        <b/>
        <sz val="18"/>
        <color indexed="18"/>
        <rFont val="Meiryo UI"/>
        <family val="3"/>
        <charset val="128"/>
      </rPr>
      <t>更新</t>
    </r>
    <rPh sb="9" eb="11">
      <t>カイセツ</t>
    </rPh>
    <rPh sb="11" eb="13">
      <t>シリョウ</t>
    </rPh>
    <rPh sb="15" eb="17">
      <t>コウシン</t>
    </rPh>
    <phoneticPr fontId="3"/>
  </si>
  <si>
    <t>d1～d5</t>
    <phoneticPr fontId="3"/>
  </si>
  <si>
    <t>　更新</t>
  </si>
  <si>
    <t>　</t>
    <phoneticPr fontId="3"/>
  </si>
  <si>
    <t>実行前</t>
    <rPh sb="0" eb="2">
      <t>ジッコウ</t>
    </rPh>
    <rPh sb="2" eb="3">
      <t>マエ</t>
    </rPh>
    <phoneticPr fontId="3"/>
  </si>
  <si>
    <t xml:space="preserve">　　在庫マスタ　　kkzaiko </t>
    <rPh sb="2" eb="4">
      <t>ザイコ</t>
    </rPh>
    <phoneticPr fontId="3"/>
  </si>
  <si>
    <t>倉庫番号</t>
  </si>
  <si>
    <t>商品コード</t>
  </si>
  <si>
    <t>在庫台数</t>
  </si>
  <si>
    <t>登録日時</t>
    <rPh sb="0" eb="2">
      <t>トウロク</t>
    </rPh>
    <rPh sb="2" eb="4">
      <t>ニチジ</t>
    </rPh>
    <phoneticPr fontId="76"/>
  </si>
  <si>
    <t>登録者</t>
    <rPh sb="0" eb="2">
      <t>トウロク</t>
    </rPh>
    <rPh sb="2" eb="3">
      <t>モノ</t>
    </rPh>
    <phoneticPr fontId="76"/>
  </si>
  <si>
    <t>更新日時</t>
    <rPh sb="0" eb="2">
      <t>コウシン</t>
    </rPh>
    <rPh sb="2" eb="4">
      <t>ニチジ</t>
    </rPh>
    <phoneticPr fontId="76"/>
  </si>
  <si>
    <t>更新者</t>
    <rPh sb="0" eb="2">
      <t>コウシン</t>
    </rPh>
    <rPh sb="2" eb="3">
      <t>シャ</t>
    </rPh>
    <phoneticPr fontId="76"/>
  </si>
  <si>
    <t>char （4）</t>
    <phoneticPr fontId="3"/>
  </si>
  <si>
    <t>char （10）</t>
    <phoneticPr fontId="3"/>
  </si>
  <si>
    <t>decimal(15,0)</t>
    <phoneticPr fontId="3"/>
  </si>
  <si>
    <t>regdate</t>
  </si>
  <si>
    <t>regid</t>
  </si>
  <si>
    <t>upddate</t>
    <phoneticPr fontId="76"/>
  </si>
  <si>
    <t>updid</t>
  </si>
  <si>
    <t>W001</t>
    <phoneticPr fontId="3"/>
  </si>
  <si>
    <t>Y_BIKE_002</t>
    <phoneticPr fontId="3"/>
  </si>
  <si>
    <t>2006-08-24 08:49:44</t>
  </si>
  <si>
    <t>LE_M010</t>
    <phoneticPr fontId="3"/>
  </si>
  <si>
    <t>Y_SHIP_001</t>
    <phoneticPr fontId="3"/>
  </si>
  <si>
    <t>W002</t>
    <phoneticPr fontId="3"/>
  </si>
  <si>
    <t>Y_BIKE_003</t>
    <phoneticPr fontId="3"/>
  </si>
  <si>
    <t>Y_BIKE_004</t>
    <phoneticPr fontId="3"/>
  </si>
  <si>
    <t>Y_SHIP_002</t>
    <phoneticPr fontId="3"/>
  </si>
  <si>
    <t>W003</t>
    <phoneticPr fontId="3"/>
  </si>
  <si>
    <t>LE_M010</t>
  </si>
  <si>
    <t>W004</t>
    <phoneticPr fontId="3"/>
  </si>
  <si>
    <t>W005</t>
    <phoneticPr fontId="3"/>
  </si>
  <si>
    <t>Y_BIKE_001</t>
    <phoneticPr fontId="3"/>
  </si>
  <si>
    <t>Y_SHIP_003</t>
    <phoneticPr fontId="3"/>
  </si>
  <si>
    <t>Y_SHIP_004</t>
    <phoneticPr fontId="3"/>
  </si>
  <si>
    <t>Y_SHIP_005</t>
    <phoneticPr fontId="3"/>
  </si>
  <si>
    <t>Y_SHIP_006</t>
    <phoneticPr fontId="3"/>
  </si>
  <si>
    <t>Y_ZZZZ_001</t>
    <phoneticPr fontId="3"/>
  </si>
  <si>
    <t>W006</t>
    <phoneticPr fontId="3"/>
  </si>
  <si>
    <t>Y_ｱa1*_002</t>
    <phoneticPr fontId="3"/>
  </si>
  <si>
    <t>実行後</t>
    <rPh sb="0" eb="2">
      <t>ジッコウ</t>
    </rPh>
    <rPh sb="2" eb="3">
      <t>ゴ</t>
    </rPh>
    <phoneticPr fontId="3"/>
  </si>
  <si>
    <t>2006-10-25 15:03:28</t>
    <phoneticPr fontId="3"/>
  </si>
  <si>
    <t>SYSTEM</t>
  </si>
  <si>
    <t>2006-10-25 15:03:28</t>
  </si>
  <si>
    <t>d6</t>
    <phoneticPr fontId="3"/>
  </si>
  <si>
    <t>　正常に処理が終了した場合の戻り値</t>
  </si>
  <si>
    <r>
      <t>　　　　　◆　例として示すプログラムは、　</t>
    </r>
    <r>
      <rPr>
        <b/>
        <sz val="9"/>
        <color indexed="48"/>
        <rFont val="Meiryo UI"/>
        <family val="3"/>
        <charset val="128"/>
      </rPr>
      <t>return 0,　0,　0,　" ",  " ",  " ",  0;</t>
    </r>
    <r>
      <rPr>
        <b/>
        <sz val="9"/>
        <color indexed="59"/>
        <rFont val="Meiryo UI"/>
        <family val="3"/>
        <charset val="128"/>
      </rPr>
      <t>　</t>
    </r>
    <r>
      <rPr>
        <sz val="9"/>
        <color indexed="59"/>
        <rFont val="Meiryo UI"/>
        <family val="3"/>
        <charset val="128"/>
      </rPr>
      <t>を実行する</t>
    </r>
    <rPh sb="7" eb="8">
      <t>レイ</t>
    </rPh>
    <rPh sb="11" eb="12">
      <t>シメ</t>
    </rPh>
    <rPh sb="59" eb="61">
      <t>ジッコウ</t>
    </rPh>
    <phoneticPr fontId="3"/>
  </si>
  <si>
    <t>d7</t>
    <phoneticPr fontId="3"/>
  </si>
  <si>
    <t>　更新対象レコードが存在しない場合</t>
    <phoneticPr fontId="3"/>
  </si>
  <si>
    <r>
      <t>　　　　　◆　例として示すプログラムは、　</t>
    </r>
    <r>
      <rPr>
        <b/>
        <sz val="9"/>
        <color indexed="48"/>
        <rFont val="Meiryo UI"/>
        <family val="3"/>
        <charset val="128"/>
      </rPr>
      <t>return -3,　0,　0,　"0009",　" ",　" ",　0;</t>
    </r>
    <r>
      <rPr>
        <b/>
        <sz val="9"/>
        <color indexed="59"/>
        <rFont val="Meiryo UI"/>
        <family val="3"/>
        <charset val="128"/>
      </rPr>
      <t>　</t>
    </r>
    <r>
      <rPr>
        <sz val="9"/>
        <color indexed="59"/>
        <rFont val="Meiryo UI"/>
        <family val="3"/>
        <charset val="128"/>
      </rPr>
      <t>を実行する</t>
    </r>
    <rPh sb="7" eb="8">
      <t>レイ</t>
    </rPh>
    <rPh sb="11" eb="12">
      <t>シメ</t>
    </rPh>
    <rPh sb="60" eb="62">
      <t>ジッコウ</t>
    </rPh>
    <phoneticPr fontId="3"/>
  </si>
  <si>
    <t>d8</t>
    <phoneticPr fontId="3"/>
  </si>
  <si>
    <t>　更新対象テーブルが存在しない場合</t>
    <phoneticPr fontId="3"/>
  </si>
  <si>
    <t>d9</t>
    <phoneticPr fontId="3"/>
  </si>
  <si>
    <t>　更新対象テーブルがロックされている場合</t>
    <phoneticPr fontId="3"/>
  </si>
  <si>
    <r>
      <t>【ﾁｪｯｸﾘｽﾄの解説資料】　</t>
    </r>
    <r>
      <rPr>
        <b/>
        <sz val="18"/>
        <color indexed="18"/>
        <rFont val="Meiryo UI"/>
        <family val="3"/>
        <charset val="128"/>
      </rPr>
      <t>処理パターン</t>
    </r>
    <rPh sb="9" eb="11">
      <t>カイセツ</t>
    </rPh>
    <rPh sb="11" eb="13">
      <t>シリョウ</t>
    </rPh>
    <rPh sb="15" eb="17">
      <t>ショリ</t>
    </rPh>
    <phoneticPr fontId="3"/>
  </si>
  <si>
    <t>c1</t>
    <phoneticPr fontId="3"/>
  </si>
  <si>
    <t>　受け取った引数によって処理が分岐する場合</t>
    <rPh sb="1" eb="2">
      <t>ウ</t>
    </rPh>
    <rPh sb="3" eb="4">
      <t>ト</t>
    </rPh>
    <rPh sb="6" eb="8">
      <t>ヒキスウ</t>
    </rPh>
    <rPh sb="12" eb="14">
      <t>ショリ</t>
    </rPh>
    <rPh sb="15" eb="17">
      <t>ブンキ</t>
    </rPh>
    <rPh sb="19" eb="21">
      <t>バアイ</t>
    </rPh>
    <phoneticPr fontId="3"/>
  </si>
  <si>
    <t>　計算値</t>
    <rPh sb="1" eb="4">
      <t>ケイサンチ</t>
    </rPh>
    <phoneticPr fontId="3"/>
  </si>
  <si>
    <r>
      <t>　　　</t>
    </r>
    <r>
      <rPr>
        <b/>
        <sz val="10"/>
        <color indexed="8"/>
        <rFont val="Meiryo UI"/>
        <family val="3"/>
        <charset val="128"/>
      </rPr>
      <t>第1引数</t>
    </r>
    <r>
      <rPr>
        <sz val="10"/>
        <color indexed="8"/>
        <rFont val="Meiryo UI"/>
        <family val="3"/>
        <charset val="128"/>
      </rPr>
      <t>が1の時はテーブルに追加し、２の時はテーブルから削除する</t>
    </r>
    <rPh sb="3" eb="4">
      <t>ダイ</t>
    </rPh>
    <rPh sb="5" eb="7">
      <t>ヒキスウ</t>
    </rPh>
    <rPh sb="10" eb="11">
      <t>トキ</t>
    </rPh>
    <rPh sb="17" eb="19">
      <t>ツイカ</t>
    </rPh>
    <rPh sb="23" eb="24">
      <t>トキ</t>
    </rPh>
    <rPh sb="31" eb="33">
      <t>サクジョ</t>
    </rPh>
    <phoneticPr fontId="3"/>
  </si>
  <si>
    <r>
      <t>lh0slm330(</t>
    </r>
    <r>
      <rPr>
        <b/>
        <sz val="10"/>
        <color indexed="59"/>
        <rFont val="Meiryo UI"/>
        <family val="3"/>
        <charset val="128"/>
      </rPr>
      <t>処理区分</t>
    </r>
    <r>
      <rPr>
        <sz val="10"/>
        <color indexed="59"/>
        <rFont val="Meiryo UI"/>
        <family val="3"/>
        <charset val="128"/>
      </rPr>
      <t>、</t>
    </r>
    <r>
      <rPr>
        <sz val="10"/>
        <color indexed="12"/>
        <rFont val="Meiryo UI"/>
        <family val="3"/>
        <charset val="128"/>
      </rPr>
      <t>倉庫番号</t>
    </r>
    <r>
      <rPr>
        <sz val="10"/>
        <color indexed="59"/>
        <rFont val="Meiryo UI"/>
        <family val="3"/>
        <charset val="128"/>
      </rPr>
      <t>、</t>
    </r>
    <r>
      <rPr>
        <sz val="10"/>
        <color indexed="12"/>
        <rFont val="Meiryo UI"/>
        <family val="3"/>
        <charset val="128"/>
      </rPr>
      <t>商品コード</t>
    </r>
    <r>
      <rPr>
        <sz val="10"/>
        <color indexed="59"/>
        <rFont val="Meiryo UI"/>
        <family val="3"/>
        <charset val="128"/>
      </rPr>
      <t>、在庫台数)</t>
    </r>
    <rPh sb="10" eb="12">
      <t>ショリ</t>
    </rPh>
    <rPh sb="12" eb="14">
      <t>クブン</t>
    </rPh>
    <rPh sb="15" eb="17">
      <t>ソウコ</t>
    </rPh>
    <rPh sb="17" eb="19">
      <t>バンゴウ</t>
    </rPh>
    <rPh sb="20" eb="22">
      <t>ショウヒン</t>
    </rPh>
    <rPh sb="26" eb="28">
      <t>ザイコ</t>
    </rPh>
    <rPh sb="28" eb="30">
      <t>ダイスウ</t>
    </rPh>
    <phoneticPr fontId="3"/>
  </si>
  <si>
    <t>※第2，3引数はそれぞれ倉庫番号、商品コードを表し、追加、削除の条件キーとする</t>
    <rPh sb="1" eb="2">
      <t>ダイ</t>
    </rPh>
    <rPh sb="5" eb="7">
      <t>ヒキスウ</t>
    </rPh>
    <rPh sb="12" eb="14">
      <t>ソウコ</t>
    </rPh>
    <rPh sb="14" eb="16">
      <t>バンゴウ</t>
    </rPh>
    <rPh sb="17" eb="19">
      <t>ショウヒン</t>
    </rPh>
    <rPh sb="23" eb="24">
      <t>アラワ</t>
    </rPh>
    <rPh sb="26" eb="28">
      <t>ツイカ</t>
    </rPh>
    <rPh sb="29" eb="31">
      <t>サクジョ</t>
    </rPh>
    <rPh sb="32" eb="34">
      <t>ジョウケン</t>
    </rPh>
    <phoneticPr fontId="3"/>
  </si>
  <si>
    <t xml:space="preserve">    実行例１</t>
    <rPh sb="4" eb="6">
      <t>ジッコウ</t>
    </rPh>
    <rPh sb="6" eb="7">
      <t>レイ</t>
    </rPh>
    <phoneticPr fontId="3"/>
  </si>
  <si>
    <t>execute　procedure　lh0slm330("1", " W001", "Y_BIKE_003", "100")</t>
    <phoneticPr fontId="3"/>
  </si>
  <si>
    <t>　execute　procedure　lh0slm330("1", " W001", "Y_BIKE_003", "100")</t>
    <phoneticPr fontId="3"/>
  </si>
  <si>
    <t xml:space="preserve">    実行例2</t>
    <rPh sb="4" eb="6">
      <t>ジッコウ</t>
    </rPh>
    <rPh sb="6" eb="7">
      <t>レイ</t>
    </rPh>
    <phoneticPr fontId="3"/>
  </si>
  <si>
    <t>　execute　procedure　lh0slm330("2", " W001", "Y_BIKE_002", "")</t>
    <phoneticPr fontId="3"/>
  </si>
  <si>
    <t>c2</t>
    <phoneticPr fontId="3"/>
  </si>
  <si>
    <t>例として示すプログラムでは、レコードを1件ずつ読み込んで、計算結果をreturnする仕様になっている</t>
    <rPh sb="0" eb="1">
      <t>レイ</t>
    </rPh>
    <rPh sb="4" eb="5">
      <t>シメ</t>
    </rPh>
    <rPh sb="20" eb="21">
      <t>ケン</t>
    </rPh>
    <rPh sb="23" eb="24">
      <t>ヨ</t>
    </rPh>
    <rPh sb="25" eb="26">
      <t>コ</t>
    </rPh>
    <rPh sb="29" eb="31">
      <t>ケイサン</t>
    </rPh>
    <rPh sb="31" eb="33">
      <t>ケッカ</t>
    </rPh>
    <rPh sb="42" eb="44">
      <t>シヨウ</t>
    </rPh>
    <phoneticPr fontId="3"/>
  </si>
  <si>
    <r>
      <t xml:space="preserve">　　　計算後のデータ </t>
    </r>
    <r>
      <rPr>
        <sz val="10"/>
        <color indexed="59"/>
        <rFont val="Meiryo UI"/>
        <family val="3"/>
        <charset val="128"/>
      </rPr>
      <t>( 売上高 ＝ 営業価格 ＊ 数量 )</t>
    </r>
    <rPh sb="3" eb="5">
      <t>ケイサン</t>
    </rPh>
    <rPh sb="5" eb="6">
      <t>ゴ</t>
    </rPh>
    <rPh sb="13" eb="15">
      <t>ウリアゲ</t>
    </rPh>
    <rPh sb="15" eb="16">
      <t>ダカ</t>
    </rPh>
    <rPh sb="19" eb="21">
      <t>エイギョウ</t>
    </rPh>
    <rPh sb="21" eb="23">
      <t>カカク</t>
    </rPh>
    <rPh sb="26" eb="28">
      <t>スウリョウ</t>
    </rPh>
    <phoneticPr fontId="3"/>
  </si>
  <si>
    <t>c3</t>
    <phoneticPr fontId="3"/>
  </si>
  <si>
    <t>　小数の計算</t>
    <rPh sb="1" eb="3">
      <t>ショウスウ</t>
    </rPh>
    <rPh sb="4" eb="6">
      <t>ケイサン</t>
    </rPh>
    <phoneticPr fontId="3"/>
  </si>
  <si>
    <t>　小数点計算</t>
    <rPh sb="1" eb="4">
      <t>ショウスウテン</t>
    </rPh>
    <rPh sb="4" eb="6">
      <t>ケイサン</t>
    </rPh>
    <phoneticPr fontId="3"/>
  </si>
  <si>
    <r>
      <t xml:space="preserve">　　　計算後のデータ </t>
    </r>
    <r>
      <rPr>
        <sz val="10"/>
        <color indexed="59"/>
        <rFont val="Meiryo UI"/>
        <family val="3"/>
        <charset val="128"/>
      </rPr>
      <t xml:space="preserve">( </t>
    </r>
    <r>
      <rPr>
        <sz val="10"/>
        <color indexed="53"/>
        <rFont val="Meiryo UI"/>
        <family val="3"/>
        <charset val="128"/>
      </rPr>
      <t>調達合計費</t>
    </r>
    <r>
      <rPr>
        <sz val="10"/>
        <color indexed="59"/>
        <rFont val="Meiryo UI"/>
        <family val="3"/>
        <charset val="128"/>
      </rPr>
      <t xml:space="preserve"> ＝ 調達材料費 ＋ 調達加工費 ＋ 調達２４回型費 )</t>
    </r>
    <rPh sb="3" eb="5">
      <t>ケイサン</t>
    </rPh>
    <rPh sb="5" eb="6">
      <t>ゴ</t>
    </rPh>
    <phoneticPr fontId="3"/>
  </si>
  <si>
    <t>c4</t>
    <phoneticPr fontId="3"/>
  </si>
  <si>
    <t>　端数処理</t>
    <rPh sb="1" eb="3">
      <t>ハスウ</t>
    </rPh>
    <rPh sb="3" eb="5">
      <t>ショリ</t>
    </rPh>
    <phoneticPr fontId="3"/>
  </si>
  <si>
    <t>　四捨五入</t>
    <rPh sb="1" eb="5">
      <t>シシャゴニュウ</t>
    </rPh>
    <phoneticPr fontId="3"/>
  </si>
  <si>
    <r>
      <t>例として示すプログラムでは、レコードを1件ずつ読み込んで、3つの小数型データを少数第1位で</t>
    </r>
    <r>
      <rPr>
        <sz val="10"/>
        <color indexed="10"/>
        <rFont val="Meiryo UI"/>
        <family val="3"/>
        <charset val="128"/>
      </rPr>
      <t>四捨五入</t>
    </r>
    <r>
      <rPr>
        <sz val="10"/>
        <color indexed="8"/>
        <rFont val="Meiryo UI"/>
        <family val="3"/>
        <charset val="128"/>
      </rPr>
      <t>し、returnする仕様になっている</t>
    </r>
    <rPh sb="0" eb="1">
      <t>レイ</t>
    </rPh>
    <rPh sb="4" eb="5">
      <t>シメ</t>
    </rPh>
    <rPh sb="20" eb="21">
      <t>ケン</t>
    </rPh>
    <rPh sb="23" eb="24">
      <t>ヨ</t>
    </rPh>
    <rPh sb="25" eb="26">
      <t>コ</t>
    </rPh>
    <rPh sb="32" eb="34">
      <t>ショウスウ</t>
    </rPh>
    <rPh sb="34" eb="35">
      <t>カタ</t>
    </rPh>
    <rPh sb="39" eb="41">
      <t>ショウスウ</t>
    </rPh>
    <rPh sb="41" eb="42">
      <t>ダイ</t>
    </rPh>
    <rPh sb="43" eb="44">
      <t>イ</t>
    </rPh>
    <rPh sb="45" eb="49">
      <t>シシャゴニュウ</t>
    </rPh>
    <rPh sb="59" eb="61">
      <t>シヨウ</t>
    </rPh>
    <phoneticPr fontId="3"/>
  </si>
  <si>
    <r>
      <t>例として示すプログラムでは、レコードを1件ずつ読み込んで、3つの小数型データの少数点以下を</t>
    </r>
    <r>
      <rPr>
        <sz val="10"/>
        <color indexed="10"/>
        <rFont val="Meiryo UI"/>
        <family val="3"/>
        <charset val="128"/>
      </rPr>
      <t>切り上げて</t>
    </r>
    <r>
      <rPr>
        <sz val="10"/>
        <color indexed="8"/>
        <rFont val="Meiryo UI"/>
        <family val="3"/>
        <charset val="128"/>
      </rPr>
      <t>、returnする仕様になっている</t>
    </r>
    <rPh sb="0" eb="1">
      <t>レイ</t>
    </rPh>
    <rPh sb="4" eb="5">
      <t>シメ</t>
    </rPh>
    <rPh sb="20" eb="21">
      <t>ケン</t>
    </rPh>
    <rPh sb="23" eb="24">
      <t>ヨ</t>
    </rPh>
    <rPh sb="25" eb="26">
      <t>コ</t>
    </rPh>
    <rPh sb="32" eb="34">
      <t>ショウスウ</t>
    </rPh>
    <rPh sb="34" eb="35">
      <t>カタ</t>
    </rPh>
    <rPh sb="39" eb="41">
      <t>ショウスウ</t>
    </rPh>
    <rPh sb="41" eb="42">
      <t>テン</t>
    </rPh>
    <rPh sb="42" eb="44">
      <t>イカ</t>
    </rPh>
    <rPh sb="45" eb="46">
      <t>キ</t>
    </rPh>
    <rPh sb="47" eb="48">
      <t>ア</t>
    </rPh>
    <rPh sb="59" eb="61">
      <t>シヨウ</t>
    </rPh>
    <phoneticPr fontId="3"/>
  </si>
  <si>
    <r>
      <t>例として示すプログラムでは、レコードを1件ずつ読み込んで、3つの小数型データの少数点以下を</t>
    </r>
    <r>
      <rPr>
        <sz val="10"/>
        <color indexed="10"/>
        <rFont val="Meiryo UI"/>
        <family val="3"/>
        <charset val="128"/>
      </rPr>
      <t>切り捨て</t>
    </r>
    <r>
      <rPr>
        <sz val="10"/>
        <color indexed="8"/>
        <rFont val="Meiryo UI"/>
        <family val="3"/>
        <charset val="128"/>
      </rPr>
      <t>、returnする仕様になっている</t>
    </r>
    <rPh sb="0" eb="1">
      <t>レイ</t>
    </rPh>
    <rPh sb="4" eb="5">
      <t>シメ</t>
    </rPh>
    <rPh sb="20" eb="21">
      <t>ケン</t>
    </rPh>
    <rPh sb="23" eb="24">
      <t>ヨ</t>
    </rPh>
    <rPh sb="25" eb="26">
      <t>コ</t>
    </rPh>
    <rPh sb="32" eb="34">
      <t>ショウスウ</t>
    </rPh>
    <rPh sb="34" eb="35">
      <t>カタ</t>
    </rPh>
    <rPh sb="39" eb="41">
      <t>ショウスウ</t>
    </rPh>
    <rPh sb="41" eb="42">
      <t>テン</t>
    </rPh>
    <rPh sb="42" eb="44">
      <t>イカ</t>
    </rPh>
    <rPh sb="45" eb="46">
      <t>キ</t>
    </rPh>
    <rPh sb="47" eb="48">
      <t>ス</t>
    </rPh>
    <rPh sb="58" eb="60">
      <t>シヨウ</t>
    </rPh>
    <phoneticPr fontId="3"/>
  </si>
  <si>
    <t>c5</t>
    <phoneticPr fontId="3"/>
  </si>
  <si>
    <t>　日付型の計算</t>
  </si>
  <si>
    <t xml:space="preserve"> 日付型の増減</t>
    <rPh sb="1" eb="4">
      <t>ヒヅケガタ</t>
    </rPh>
    <rPh sb="5" eb="7">
      <t>ゾウゲン</t>
    </rPh>
    <phoneticPr fontId="3"/>
  </si>
  <si>
    <r>
      <t>例として示すプログラムでは、レコードを1件ずつ読み込んで、貸出日から</t>
    </r>
    <r>
      <rPr>
        <sz val="10"/>
        <color indexed="10"/>
        <rFont val="Meiryo UI"/>
        <family val="3"/>
        <charset val="128"/>
      </rPr>
      <t>1週間後の日付を計算</t>
    </r>
    <r>
      <rPr>
        <sz val="10"/>
        <color indexed="8"/>
        <rFont val="Meiryo UI"/>
        <family val="3"/>
        <charset val="128"/>
      </rPr>
      <t>し、returnする仕様になっている</t>
    </r>
    <rPh sb="0" eb="1">
      <t>レイ</t>
    </rPh>
    <rPh sb="4" eb="5">
      <t>シメ</t>
    </rPh>
    <rPh sb="20" eb="21">
      <t>ケン</t>
    </rPh>
    <rPh sb="23" eb="24">
      <t>ヨ</t>
    </rPh>
    <rPh sb="25" eb="26">
      <t>コ</t>
    </rPh>
    <rPh sb="29" eb="32">
      <t>カシダシビ</t>
    </rPh>
    <rPh sb="35" eb="37">
      <t>シュウカン</t>
    </rPh>
    <rPh sb="37" eb="38">
      <t>ゴ</t>
    </rPh>
    <rPh sb="39" eb="41">
      <t>ヒヅケ</t>
    </rPh>
    <rPh sb="42" eb="44">
      <t>ケイサン</t>
    </rPh>
    <rPh sb="54" eb="56">
      <t>シヨウ</t>
    </rPh>
    <phoneticPr fontId="3"/>
  </si>
  <si>
    <t>c6</t>
    <phoneticPr fontId="3"/>
  </si>
  <si>
    <t>　オーバフロー</t>
  </si>
  <si>
    <t>　オーバフロー</t>
    <phoneticPr fontId="3"/>
  </si>
  <si>
    <r>
      <t>例として示すプログラムでは、レコードを1件ずつ読み込んで、</t>
    </r>
    <r>
      <rPr>
        <sz val="10"/>
        <color indexed="10"/>
        <rFont val="Meiryo UI"/>
        <family val="3"/>
        <charset val="128"/>
      </rPr>
      <t>調達合計費を計算</t>
    </r>
    <r>
      <rPr>
        <sz val="10"/>
        <color indexed="8"/>
        <rFont val="Meiryo UI"/>
        <family val="3"/>
        <charset val="128"/>
      </rPr>
      <t>し、returnする仕様になっている</t>
    </r>
    <rPh sb="0" eb="1">
      <t>レイ</t>
    </rPh>
    <rPh sb="4" eb="5">
      <t>シメ</t>
    </rPh>
    <rPh sb="20" eb="21">
      <t>ケン</t>
    </rPh>
    <rPh sb="23" eb="24">
      <t>ヨ</t>
    </rPh>
    <rPh sb="25" eb="26">
      <t>コ</t>
    </rPh>
    <rPh sb="29" eb="31">
      <t>チョウタツ</t>
    </rPh>
    <rPh sb="31" eb="33">
      <t>ゴウケイ</t>
    </rPh>
    <rPh sb="33" eb="34">
      <t>ヒ</t>
    </rPh>
    <rPh sb="35" eb="37">
      <t>ケイサン</t>
    </rPh>
    <rPh sb="47" eb="49">
      <t>シヨウ</t>
    </rPh>
    <phoneticPr fontId="3"/>
  </si>
  <si>
    <r>
      <t>　　計算後のデータ</t>
    </r>
    <r>
      <rPr>
        <sz val="10"/>
        <color indexed="59"/>
        <rFont val="Meiryo UI"/>
        <family val="3"/>
        <charset val="128"/>
      </rPr>
      <t xml:space="preserve"> ( 調達合計費 ＝ 調達材料費 ＋ 調達加工費 ＋ 調達２４回型費 )</t>
    </r>
    <rPh sb="2" eb="4">
      <t>ケイサン</t>
    </rPh>
    <rPh sb="4" eb="5">
      <t>ゴ</t>
    </rPh>
    <rPh sb="12" eb="14">
      <t>チョウタツ</t>
    </rPh>
    <rPh sb="14" eb="16">
      <t>ゴウケイ</t>
    </rPh>
    <rPh sb="16" eb="17">
      <t>ヒ</t>
    </rPh>
    <rPh sb="20" eb="22">
      <t>チョウタツ</t>
    </rPh>
    <rPh sb="22" eb="25">
      <t>ザイリョウヒ</t>
    </rPh>
    <rPh sb="28" eb="30">
      <t>チョウタツ</t>
    </rPh>
    <rPh sb="30" eb="33">
      <t>カコウヒ</t>
    </rPh>
    <rPh sb="36" eb="38">
      <t>チョウタツ</t>
    </rPh>
    <rPh sb="40" eb="41">
      <t>カイ</t>
    </rPh>
    <rPh sb="41" eb="42">
      <t>カタ</t>
    </rPh>
    <rPh sb="42" eb="43">
      <t>ヒ</t>
    </rPh>
    <phoneticPr fontId="3"/>
  </si>
  <si>
    <t>c7</t>
    <phoneticPr fontId="3"/>
  </si>
  <si>
    <t>　変数を分母とする割り算を行う場合</t>
    <phoneticPr fontId="3"/>
  </si>
  <si>
    <t>　　入力データ</t>
    <rPh sb="2" eb="4">
      <t>ニュウリョク</t>
    </rPh>
    <phoneticPr fontId="3"/>
  </si>
  <si>
    <t>　　実行後の伝票出力</t>
    <rPh sb="2" eb="4">
      <t>ジッコウ</t>
    </rPh>
    <rPh sb="4" eb="5">
      <t>ゴ</t>
    </rPh>
    <rPh sb="6" eb="8">
      <t>デンピョウ</t>
    </rPh>
    <rPh sb="8" eb="10">
      <t>シュツリョク</t>
    </rPh>
    <phoneticPr fontId="3"/>
  </si>
  <si>
    <r>
      <t>( 売上高割合　＝ 各商品の売上高／</t>
    </r>
    <r>
      <rPr>
        <b/>
        <sz val="11"/>
        <color indexed="10"/>
        <rFont val="Meiryo UI"/>
        <family val="3"/>
        <charset val="128"/>
      </rPr>
      <t>合計の売上高</t>
    </r>
    <r>
      <rPr>
        <sz val="11"/>
        <rFont val="Meiryo UI"/>
        <family val="3"/>
        <charset val="128"/>
      </rPr>
      <t xml:space="preserve"> )</t>
    </r>
    <phoneticPr fontId="3"/>
  </si>
  <si>
    <t>　　0除算テスト用入力データ</t>
    <rPh sb="3" eb="5">
      <t>ジョザン</t>
    </rPh>
    <rPh sb="8" eb="9">
      <t>ヨウ</t>
    </rPh>
    <rPh sb="9" eb="11">
      <t>ニュウリョク</t>
    </rPh>
    <phoneticPr fontId="3"/>
  </si>
  <si>
    <t>c8～c10</t>
    <phoneticPr fontId="3"/>
  </si>
  <si>
    <t xml:space="preserve">  マッチング処理</t>
  </si>
  <si>
    <t>・商品単価マスタと商品単価変更ＴＢＬの２つのテーブルでマッチングを行なう場合</t>
    <rPh sb="1" eb="3">
      <t>ショウヒン</t>
    </rPh>
    <rPh sb="3" eb="5">
      <t>タンカ</t>
    </rPh>
    <rPh sb="9" eb="11">
      <t>ショウヒン</t>
    </rPh>
    <rPh sb="11" eb="13">
      <t>タンカ</t>
    </rPh>
    <rPh sb="13" eb="15">
      <t>ヘンコウ</t>
    </rPh>
    <rPh sb="33" eb="34">
      <t>オコ</t>
    </rPh>
    <rPh sb="36" eb="38">
      <t>バアイ</t>
    </rPh>
    <phoneticPr fontId="3"/>
  </si>
  <si>
    <t>～仕様～</t>
    <rPh sb="1" eb="3">
      <t>シヨウ</t>
    </rPh>
    <phoneticPr fontId="3"/>
  </si>
  <si>
    <t>　　商品マスタにあって、商品単価変更ＴＢＬにない場合　　　→　そのまま</t>
    <rPh sb="2" eb="4">
      <t>ショウヒン</t>
    </rPh>
    <rPh sb="12" eb="14">
      <t>ショウヒン</t>
    </rPh>
    <rPh sb="14" eb="16">
      <t>タンカ</t>
    </rPh>
    <rPh sb="16" eb="18">
      <t>ヘンコウ</t>
    </rPh>
    <rPh sb="24" eb="26">
      <t>バアイ</t>
    </rPh>
    <phoneticPr fontId="3"/>
  </si>
  <si>
    <t>　　商品マスタにはないが、商品単価変更ＴＢＬにある場合　→　商品マスタへ追加</t>
    <rPh sb="2" eb="4">
      <t>ショウヒン</t>
    </rPh>
    <rPh sb="13" eb="15">
      <t>ショウヒン</t>
    </rPh>
    <rPh sb="15" eb="17">
      <t>タンカ</t>
    </rPh>
    <rPh sb="17" eb="19">
      <t>ヘンコウ</t>
    </rPh>
    <rPh sb="25" eb="27">
      <t>バアイ</t>
    </rPh>
    <rPh sb="30" eb="32">
      <t>ショウヒン</t>
    </rPh>
    <rPh sb="36" eb="38">
      <t>ツイカ</t>
    </rPh>
    <phoneticPr fontId="3"/>
  </si>
  <si>
    <t>　　両方にある場合　　　　　　　　　　　　　　　　　　　　　　　　→　　商品マスタの単価を商品単価変更ＴＢＬで更新する</t>
    <rPh sb="2" eb="4">
      <t>リョウホウ</t>
    </rPh>
    <rPh sb="7" eb="9">
      <t>バアイ</t>
    </rPh>
    <rPh sb="36" eb="38">
      <t>ショウヒン</t>
    </rPh>
    <rPh sb="42" eb="44">
      <t>タンカ</t>
    </rPh>
    <rPh sb="45" eb="47">
      <t>ショウヒン</t>
    </rPh>
    <rPh sb="47" eb="49">
      <t>タンカ</t>
    </rPh>
    <rPh sb="49" eb="51">
      <t>ヘンコウ</t>
    </rPh>
    <rPh sb="55" eb="57">
      <t>コウシン</t>
    </rPh>
    <phoneticPr fontId="3"/>
  </si>
  <si>
    <r>
      <t>マッチング処理を行なう場合、テーブルのデータ数が</t>
    </r>
    <r>
      <rPr>
        <b/>
        <sz val="10"/>
        <color indexed="10"/>
        <rFont val="Meiryo UI"/>
        <family val="3"/>
        <charset val="128"/>
      </rPr>
      <t>１：１　　１：Ｎ　　Ｎ：Ｎ</t>
    </r>
    <r>
      <rPr>
        <sz val="10"/>
        <color indexed="8"/>
        <rFont val="Meiryo UI"/>
        <family val="3"/>
        <charset val="128"/>
      </rPr>
      <t>　　について、テストを行なう</t>
    </r>
    <rPh sb="5" eb="7">
      <t>ショリ</t>
    </rPh>
    <rPh sb="8" eb="9">
      <t>オコ</t>
    </rPh>
    <rPh sb="11" eb="13">
      <t>バアイ</t>
    </rPh>
    <rPh sb="22" eb="23">
      <t>スウ</t>
    </rPh>
    <rPh sb="48" eb="49">
      <t>オコ</t>
    </rPh>
    <phoneticPr fontId="3"/>
  </si>
  <si>
    <t>c8</t>
    <phoneticPr fontId="3"/>
  </si>
  <si>
    <t xml:space="preserve">   １：１のテスト</t>
    <phoneticPr fontId="3"/>
  </si>
  <si>
    <t>　　　実行前データ</t>
    <rPh sb="3" eb="5">
      <t>ジッコウ</t>
    </rPh>
    <rPh sb="5" eb="6">
      <t>マエ</t>
    </rPh>
    <phoneticPr fontId="3"/>
  </si>
  <si>
    <t>　　実行後データ</t>
    <rPh sb="2" eb="4">
      <t>ジッコウ</t>
    </rPh>
    <rPh sb="4" eb="5">
      <t>ゴ</t>
    </rPh>
    <phoneticPr fontId="3"/>
  </si>
  <si>
    <t>c9</t>
    <phoneticPr fontId="3"/>
  </si>
  <si>
    <t xml:space="preserve">   １：Nのテスト</t>
    <phoneticPr fontId="3"/>
  </si>
  <si>
    <t>　　　実行後データ</t>
    <rPh sb="3" eb="5">
      <t>ジッコウ</t>
    </rPh>
    <rPh sb="5" eb="6">
      <t>ゴ</t>
    </rPh>
    <phoneticPr fontId="3"/>
  </si>
  <si>
    <t>c10</t>
    <phoneticPr fontId="3"/>
  </si>
  <si>
    <t xml:space="preserve">   N：Nのテスト</t>
    <phoneticPr fontId="3"/>
  </si>
  <si>
    <t>　　実行前データ</t>
    <rPh sb="2" eb="4">
      <t>ジッコウ</t>
    </rPh>
    <rPh sb="4" eb="5">
      <t>マエ</t>
    </rPh>
    <phoneticPr fontId="3"/>
  </si>
  <si>
    <r>
      <t>【ﾁｪｯｸﾘｽﾄの解説資料】　</t>
    </r>
    <r>
      <rPr>
        <b/>
        <sz val="18"/>
        <color indexed="18"/>
        <rFont val="Meiryo UI"/>
        <family val="3"/>
        <charset val="128"/>
      </rPr>
      <t>追加</t>
    </r>
    <rPh sb="9" eb="11">
      <t>カイセツ</t>
    </rPh>
    <rPh sb="11" eb="13">
      <t>シリョウ</t>
    </rPh>
    <rPh sb="15" eb="17">
      <t>ツイカ</t>
    </rPh>
    <phoneticPr fontId="3"/>
  </si>
  <si>
    <t>e1～e3</t>
    <phoneticPr fontId="3"/>
  </si>
  <si>
    <t>　追加</t>
  </si>
  <si>
    <t>e4</t>
    <phoneticPr fontId="3"/>
  </si>
  <si>
    <t>e5</t>
    <phoneticPr fontId="3"/>
  </si>
  <si>
    <t>　追加レコードと同じキーのレコードが既に存在する場合</t>
    <phoneticPr fontId="3"/>
  </si>
  <si>
    <t>e6</t>
    <phoneticPr fontId="3"/>
  </si>
  <si>
    <t>　追加対象テーブルが存在しない場合</t>
  </si>
  <si>
    <t>e7</t>
    <phoneticPr fontId="3"/>
  </si>
  <si>
    <t>　追加対象テーブルがロックされている場合</t>
  </si>
  <si>
    <r>
      <t>【ﾁｪｯｸﾘｽﾄの解説資料】　</t>
    </r>
    <r>
      <rPr>
        <b/>
        <sz val="18"/>
        <color indexed="18"/>
        <rFont val="Meiryo UI"/>
        <family val="3"/>
        <charset val="128"/>
      </rPr>
      <t>削除</t>
    </r>
    <rPh sb="9" eb="11">
      <t>カイセツ</t>
    </rPh>
    <rPh sb="11" eb="13">
      <t>シリョウ</t>
    </rPh>
    <rPh sb="15" eb="17">
      <t>サクジョ</t>
    </rPh>
    <phoneticPr fontId="3"/>
  </si>
  <si>
    <t>f1</t>
    <phoneticPr fontId="3"/>
  </si>
  <si>
    <t>　物理削除</t>
  </si>
  <si>
    <t>f2</t>
    <phoneticPr fontId="3"/>
  </si>
  <si>
    <t>f3</t>
    <phoneticPr fontId="3"/>
  </si>
  <si>
    <t>　削除対象レコードが存在しない場合</t>
    <phoneticPr fontId="3"/>
  </si>
  <si>
    <r>
      <t>　　　　　◆　例として示すプログラムでは、</t>
    </r>
    <r>
      <rPr>
        <b/>
        <sz val="9"/>
        <color indexed="48"/>
        <rFont val="Meiryo UI"/>
        <family val="3"/>
        <charset val="128"/>
      </rPr>
      <t>return -3,　0,　0,　"0009",　" ",　" ",　0;</t>
    </r>
    <r>
      <rPr>
        <b/>
        <sz val="9"/>
        <color indexed="59"/>
        <rFont val="Meiryo UI"/>
        <family val="3"/>
        <charset val="128"/>
      </rPr>
      <t>　</t>
    </r>
    <r>
      <rPr>
        <sz val="9"/>
        <color indexed="59"/>
        <rFont val="Meiryo UI"/>
        <family val="3"/>
        <charset val="128"/>
      </rPr>
      <t>を実行する</t>
    </r>
    <rPh sb="7" eb="8">
      <t>レイ</t>
    </rPh>
    <rPh sb="11" eb="12">
      <t>シメ</t>
    </rPh>
    <rPh sb="60" eb="62">
      <t>ジッコウ</t>
    </rPh>
    <phoneticPr fontId="3"/>
  </si>
  <si>
    <t>f4</t>
    <phoneticPr fontId="3"/>
  </si>
  <si>
    <t>　削除対象テーブルが存在しない場合</t>
  </si>
  <si>
    <t>f5</t>
    <phoneticPr fontId="3"/>
  </si>
  <si>
    <t>　削除対象テーブルがロックされている場合</t>
  </si>
  <si>
    <r>
      <t>【ﾁｪｯｸﾘｽﾄの解説資料】　</t>
    </r>
    <r>
      <rPr>
        <b/>
        <sz val="18"/>
        <color indexed="18"/>
        <rFont val="Meiryo UI"/>
        <family val="3"/>
        <charset val="128"/>
      </rPr>
      <t>その他</t>
    </r>
    <rPh sb="9" eb="11">
      <t>カイセツ</t>
    </rPh>
    <rPh sb="11" eb="13">
      <t>シリョウ</t>
    </rPh>
    <rPh sb="17" eb="18">
      <t>タ</t>
    </rPh>
    <phoneticPr fontId="3"/>
  </si>
  <si>
    <t>g1</t>
    <phoneticPr fontId="3"/>
  </si>
  <si>
    <t>　他のSPをＣＡＬＬし、その戻り値が正常でない場合</t>
    <rPh sb="1" eb="2">
      <t>タ</t>
    </rPh>
    <rPh sb="14" eb="15">
      <t>モド</t>
    </rPh>
    <rPh sb="16" eb="17">
      <t>チ</t>
    </rPh>
    <rPh sb="18" eb="20">
      <t>セイジョウ</t>
    </rPh>
    <rPh sb="23" eb="25">
      <t>バアイ</t>
    </rPh>
    <phoneticPr fontId="3"/>
  </si>
  <si>
    <t>g2</t>
    <phoneticPr fontId="3"/>
  </si>
  <si>
    <t>　他のＳＰをＣＡＬＬし、そのＳＰがＤＢ上に登録されていなかった場合</t>
    <rPh sb="1" eb="2">
      <t>ホカ</t>
    </rPh>
    <rPh sb="19" eb="20">
      <t>ジョウ</t>
    </rPh>
    <rPh sb="21" eb="23">
      <t>トウロク</t>
    </rPh>
    <rPh sb="31" eb="33">
      <t>バアイ</t>
    </rPh>
    <phoneticPr fontId="3"/>
  </si>
  <si>
    <t>g3</t>
    <phoneticPr fontId="3"/>
  </si>
  <si>
    <t>　実際の運用時のデータで実行する</t>
    <phoneticPr fontId="3"/>
  </si>
  <si>
    <t>→　実行時間：2秒</t>
    <rPh sb="2" eb="4">
      <t>ジッコウ</t>
    </rPh>
    <rPh sb="4" eb="6">
      <t>ジカン</t>
    </rPh>
    <rPh sb="8" eb="9">
      <t>ビョウ</t>
    </rPh>
    <phoneticPr fontId="3"/>
  </si>
  <si>
    <t>手動</t>
  </si>
  <si>
    <t>OK</t>
  </si>
  <si>
    <t>1~2</t>
    <phoneticPr fontId="24" type="noConversion"/>
  </si>
  <si>
    <t>确定処理識別</t>
    <phoneticPr fontId="24" type="noConversion"/>
  </si>
  <si>
    <t>SELECT * FROM LDAS0300('','10225137000080','0800','0800')</t>
    <phoneticPr fontId="24" type="noConversion"/>
  </si>
  <si>
    <t>rs_err_focus</t>
  </si>
  <si>
    <t>rs_item_class</t>
  </si>
  <si>
    <t>rs_item_status</t>
  </si>
  <si>
    <t>rs_demand_policy_code</t>
  </si>
  <si>
    <t>rs_airs_sign</t>
  </si>
  <si>
    <t>rn_float_safety_stock_qty</t>
  </si>
  <si>
    <t>rs_synchro_control_code</t>
  </si>
  <si>
    <t>Specify the Deal Flag.</t>
  </si>
  <si>
    <t xml:space="preserve">operation_id </t>
  </si>
  <si>
    <t>3~4</t>
    <phoneticPr fontId="24" type="noConversion"/>
  </si>
  <si>
    <t>确定品目番号</t>
    <phoneticPr fontId="24" type="noConversion"/>
  </si>
  <si>
    <t>SELECT * FROM LDAS0300(null,'10225137000080','0800','0800')</t>
  </si>
  <si>
    <r>
      <t>引数</t>
    </r>
    <r>
      <rPr>
        <sz val="10"/>
        <color rgb="FF008000"/>
        <rFont val="等线"/>
        <family val="3"/>
        <charset val="134"/>
      </rPr>
      <t>.</t>
    </r>
    <r>
      <rPr>
        <sz val="10"/>
        <color indexed="17"/>
        <rFont val="Meiryo UI"/>
        <family val="3"/>
        <charset val="128"/>
      </rPr>
      <t>処理識別</t>
    </r>
    <r>
      <rPr>
        <sz val="10"/>
        <color rgb="FF008000"/>
        <rFont val="等线"/>
        <family val="3"/>
        <charset val="134"/>
      </rPr>
      <t>がスペースの場合</t>
    </r>
    <phoneticPr fontId="24" type="noConversion"/>
  </si>
  <si>
    <r>
      <t>引数</t>
    </r>
    <r>
      <rPr>
        <sz val="10"/>
        <color rgb="FF008000"/>
        <rFont val="等线"/>
        <family val="3"/>
        <charset val="134"/>
      </rPr>
      <t>.</t>
    </r>
    <r>
      <rPr>
        <sz val="10"/>
        <color indexed="17"/>
        <rFont val="Meiryo UI"/>
        <family val="3"/>
        <charset val="128"/>
      </rPr>
      <t xml:space="preserve">処理識别がNULLの場合 </t>
    </r>
    <phoneticPr fontId="24" type="noConversion"/>
  </si>
  <si>
    <t xml:space="preserve">Specify the Item Number </t>
  </si>
  <si>
    <t>itemno</t>
  </si>
  <si>
    <t>SELECT * FROM LDAS0300('LD11',' ','0800','0800')</t>
  </si>
  <si>
    <t>引数.部品番号がNULL の場合</t>
    <phoneticPr fontId="24" type="noConversion"/>
  </si>
  <si>
    <t>SELECT * FROM LDAS0300('LD11',NULL,'0800','0800')</t>
  </si>
  <si>
    <t>5~6</t>
    <phoneticPr fontId="24" type="noConversion"/>
  </si>
  <si>
    <t>确定供給者</t>
    <phoneticPr fontId="24" type="noConversion"/>
  </si>
  <si>
    <t>引数.部品番号がスペースの場合</t>
    <phoneticPr fontId="24" type="noConversion"/>
  </si>
  <si>
    <t>引数.供給者がスペースの場合</t>
    <phoneticPr fontId="24" type="noConversion"/>
  </si>
  <si>
    <t>SELECT * FROM LDAS0300('LD11','10225137000080',' ','0800')</t>
  </si>
  <si>
    <t xml:space="preserve">Specify the Supplier </t>
  </si>
  <si>
    <t>supplier</t>
  </si>
  <si>
    <t>引数.供給者がNULL の場合</t>
    <phoneticPr fontId="24" type="noConversion"/>
  </si>
  <si>
    <t>SELECT * FROM LDAS0300('LD11','10225137000080',NULL,'0800')</t>
  </si>
  <si>
    <t>rs_err_msg</t>
    <phoneticPr fontId="24" type="noConversion"/>
  </si>
  <si>
    <t>确定使用者</t>
    <phoneticPr fontId="24" type="noConversion"/>
  </si>
  <si>
    <t>引数.使用者がスペースの場合</t>
    <phoneticPr fontId="24" type="noConversion"/>
  </si>
  <si>
    <t>引数.使用者がNULL の場合</t>
    <phoneticPr fontId="24" type="noConversion"/>
  </si>
  <si>
    <t>SELECT * FROM LDAS0300('LD11','10225137000080','0800',' ')</t>
  </si>
  <si>
    <t xml:space="preserve">Specify the User. </t>
  </si>
  <si>
    <t>usercd</t>
  </si>
  <si>
    <t>SELECT * FROM LDAS0300('LD11','10225137000080','0800',NULL)</t>
  </si>
  <si>
    <t>7~8</t>
    <phoneticPr fontId="24" type="noConversion"/>
  </si>
  <si>
    <t>処理</t>
    <phoneticPr fontId="3"/>
  </si>
  <si>
    <t>検索1</t>
    <phoneticPr fontId="3"/>
  </si>
  <si>
    <t>正常終了</t>
    <phoneticPr fontId="3"/>
  </si>
  <si>
    <t>【実行形式】</t>
    <phoneticPr fontId="3"/>
  </si>
  <si>
    <t>更新カウンタ</t>
  </si>
  <si>
    <t>登録日時</t>
  </si>
  <si>
    <t>登録者</t>
  </si>
  <si>
    <t>登録PGID</t>
  </si>
  <si>
    <t>更新PGID</t>
  </si>
  <si>
    <t>fix_period_id</t>
  </si>
  <si>
    <t>update_counter</t>
  </si>
  <si>
    <t>create_datetime</t>
  </si>
  <si>
    <t>create_author</t>
  </si>
  <si>
    <t>create_pgmid</t>
  </si>
  <si>
    <t>update_datetime</t>
  </si>
  <si>
    <t>update_author</t>
  </si>
  <si>
    <t>update_pgmid</t>
  </si>
  <si>
    <t>検索対象外</t>
    <phoneticPr fontId="3"/>
  </si>
  <si>
    <t>0</t>
  </si>
  <si>
    <t>検索対象</t>
    <phoneticPr fontId="3"/>
  </si>
  <si>
    <t>01</t>
  </si>
  <si>
    <t>品目マスターから指定品目の情報を正常に検索</t>
    <phoneticPr fontId="3"/>
  </si>
  <si>
    <r>
      <t>検索</t>
    </r>
    <r>
      <rPr>
        <b/>
        <sz val="10"/>
        <color rgb="FFFFFFFF"/>
        <rFont val="Meiryo UI"/>
        <family val="2"/>
      </rPr>
      <t>2</t>
    </r>
    <phoneticPr fontId="3"/>
  </si>
  <si>
    <t>MRP情報値から指定品目のMRP情報を正常に検索</t>
    <phoneticPr fontId="3"/>
  </si>
  <si>
    <t>主処理</t>
  </si>
  <si>
    <t>item_type</t>
  </si>
  <si>
    <t>item_class</t>
  </si>
  <si>
    <t>item_class_sub</t>
  </si>
  <si>
    <t>item_status</t>
  </si>
  <si>
    <t>weight</t>
  </si>
  <si>
    <t>add_weight</t>
  </si>
  <si>
    <t>bom_charge_code</t>
  </si>
  <si>
    <t>process_no</t>
  </si>
  <si>
    <t>free_comment</t>
  </si>
  <si>
    <t>service_parts_code</t>
  </si>
  <si>
    <t>primary_lot_ymd</t>
  </si>
  <si>
    <t>low_level_code</t>
  </si>
  <si>
    <t>cur_status_ymd</t>
  </si>
  <si>
    <t>cur_status_usr</t>
  </si>
  <si>
    <t>status_history1</t>
  </si>
  <si>
    <t>status_history2</t>
  </si>
  <si>
    <t>status_history3</t>
  </si>
  <si>
    <t>discontinue_sign</t>
  </si>
  <si>
    <r>
      <t>(BOM)品目マスタ</t>
    </r>
    <r>
      <rPr>
        <sz val="11"/>
        <color rgb="FFFFFFFF"/>
        <rFont val="Meiryo UI"/>
        <family val="2"/>
      </rPr>
      <t>(la_itemmast)</t>
    </r>
    <rPh sb="11" eb="13">
      <t>ユニュウ</t>
    </rPh>
    <rPh sb="13" eb="15">
      <t>ブヒン</t>
    </rPh>
    <phoneticPr fontId="3"/>
  </si>
  <si>
    <t>10225137000080</t>
  </si>
  <si>
    <t>0800</t>
  </si>
  <si>
    <t>2</t>
  </si>
  <si>
    <t>14</t>
  </si>
  <si>
    <t>00</t>
  </si>
  <si>
    <t>10</t>
  </si>
  <si>
    <t>19990910</t>
  </si>
  <si>
    <t>1981-04-29 00:00:00.000</t>
  </si>
  <si>
    <t>CONV</t>
  </si>
  <si>
    <t>2009-08-06 20:22:32.000</t>
  </si>
  <si>
    <t>04li301</t>
  </si>
  <si>
    <t>09</t>
  </si>
  <si>
    <t>20110407</t>
  </si>
  <si>
    <t>2011-04-07 18:00:42.000</t>
  </si>
  <si>
    <t>0470195</t>
  </si>
  <si>
    <t>3548</t>
  </si>
  <si>
    <t>1234</t>
  </si>
  <si>
    <t>3</t>
  </si>
  <si>
    <t xml:space="preserve">04li301	</t>
  </si>
  <si>
    <t>品目サブクラス</t>
  </si>
  <si>
    <t>品目サブクラス</t>
    <phoneticPr fontId="24" type="noConversion"/>
  </si>
  <si>
    <t>重量</t>
  </si>
  <si>
    <t>付加重量</t>
    <phoneticPr fontId="24" type="noConversion"/>
  </si>
  <si>
    <t>部品表担当</t>
  </si>
  <si>
    <t>工程番号</t>
    <phoneticPr fontId="24" type="noConversion"/>
  </si>
  <si>
    <t>フリーコメント</t>
    <phoneticPr fontId="24" type="noConversion"/>
  </si>
  <si>
    <t>サービスパーツコード</t>
  </si>
  <si>
    <t>初ロット年月日</t>
  </si>
  <si>
    <t>ロウレベルコード</t>
  </si>
  <si>
    <t>現在STS更新日</t>
    <phoneticPr fontId="24" type="noConversion"/>
  </si>
  <si>
    <t>現在STS更新者</t>
  </si>
  <si>
    <t>STS更新履歴１</t>
  </si>
  <si>
    <r>
      <t>STS更新履歴</t>
    </r>
    <r>
      <rPr>
        <sz val="9"/>
        <rFont val="Meiryo UI"/>
        <family val="2"/>
      </rPr>
      <t>2</t>
    </r>
    <phoneticPr fontId="24" type="noConversion"/>
  </si>
  <si>
    <t>STS更新履歴３</t>
    <rPh sb="0" eb="2">
      <t>チャクシュ</t>
    </rPh>
    <rPh sb="2" eb="3">
      <t>ビ</t>
    </rPh>
    <phoneticPr fontId="3"/>
  </si>
  <si>
    <t>使用禁止サイン</t>
  </si>
  <si>
    <t>varchar(30)</t>
    <phoneticPr fontId="24" type="noConversion"/>
  </si>
  <si>
    <t>varchar(4)</t>
  </si>
  <si>
    <t>varchar(1)</t>
  </si>
  <si>
    <t>varchar(1)</t>
    <phoneticPr fontId="24" type="noConversion"/>
  </si>
  <si>
    <t>numeric(15, 5)</t>
  </si>
  <si>
    <t>numeric(15, 5)</t>
    <phoneticPr fontId="24" type="noConversion"/>
  </si>
  <si>
    <t>varchar(2)</t>
  </si>
  <si>
    <t>varchar(64)</t>
  </si>
  <si>
    <t>varchar(8)</t>
  </si>
  <si>
    <t>numeric(3)</t>
  </si>
  <si>
    <t>varchar(10)</t>
  </si>
  <si>
    <t>varchar(19)</t>
  </si>
  <si>
    <t>varchar(19)</t>
    <phoneticPr fontId="24" type="noConversion"/>
  </si>
  <si>
    <t>int4</t>
  </si>
  <si>
    <t>timestamp(6)</t>
  </si>
  <si>
    <t>timestamp(6)</t>
    <phoneticPr fontId="24" type="noConversion"/>
  </si>
  <si>
    <t>varchar(20)</t>
  </si>
  <si>
    <r>
      <t>MRP情報値</t>
    </r>
    <r>
      <rPr>
        <sz val="9"/>
        <color rgb="FFFFFFFF"/>
        <rFont val="Meiryo UI"/>
        <family val="2"/>
      </rPr>
      <t>(le_mst_mrp_information)</t>
    </r>
    <phoneticPr fontId="3"/>
  </si>
  <si>
    <t>demand_policy_code</t>
  </si>
  <si>
    <t>wbin_control_code</t>
  </si>
  <si>
    <t>synchro_control_code</t>
  </si>
  <si>
    <t>input_work_center</t>
  </si>
  <si>
    <t>load_sum_code</t>
  </si>
  <si>
    <t>deliv_pf_no</t>
  </si>
  <si>
    <t>stock_location_no</t>
  </si>
  <si>
    <t>order_policy_code</t>
  </si>
  <si>
    <t>minimum_period</t>
  </si>
  <si>
    <t>minimum_qty</t>
  </si>
  <si>
    <t>maximum_period</t>
  </si>
  <si>
    <t>maximum_qty</t>
  </si>
  <si>
    <t>multiple_qty</t>
  </si>
  <si>
    <t>lot_size_fraction_flg</t>
  </si>
  <si>
    <t>manuf_scrap_ratio</t>
  </si>
  <si>
    <t>use_scrap_ratio</t>
  </si>
  <si>
    <t>shift_division_no</t>
  </si>
  <si>
    <t>shift_pattern_no</t>
  </si>
  <si>
    <t>tote_code</t>
  </si>
  <si>
    <t>tote_qty</t>
  </si>
  <si>
    <t>lt_effect_date</t>
  </si>
  <si>
    <t>manuf_lt</t>
  </si>
  <si>
    <t>precede_lt</t>
  </si>
  <si>
    <t>manuf_shift_lt</t>
  </si>
  <si>
    <t>precede_shift_lt</t>
  </si>
  <si>
    <t>effect_manuf_lt</t>
  </si>
  <si>
    <t>effect_precede_lt</t>
  </si>
  <si>
    <t>effect_manuf_shift_lt</t>
  </si>
  <si>
    <t>effect_precede_shift_lt</t>
  </si>
  <si>
    <t>airs_sign</t>
  </si>
  <si>
    <t>shipping_notice_sign</t>
  </si>
  <si>
    <t>external_plan_class</t>
  </si>
  <si>
    <t>inspection_class</t>
  </si>
  <si>
    <t>collect_info_code</t>
  </si>
  <si>
    <t>mat_used_level</t>
  </si>
  <si>
    <t>float_safety_stock_qty</t>
  </si>
  <si>
    <t>reorder_point</t>
  </si>
  <si>
    <t>float_safety_stock_req_sign</t>
  </si>
  <si>
    <t>fix_safety_stock_qty</t>
  </si>
  <si>
    <t>fix_safety_stock_ratio</t>
  </si>
  <si>
    <t>req_issue_control</t>
  </si>
  <si>
    <t>through_no_valid_flg</t>
  </si>
  <si>
    <t>order_recreate_class</t>
  </si>
  <si>
    <t>品目番号</t>
    <phoneticPr fontId="3"/>
  </si>
  <si>
    <t>投入作業区</t>
  </si>
  <si>
    <t>負荷集計コード</t>
  </si>
  <si>
    <t>納入PF番号</t>
  </si>
  <si>
    <t>格納ロケーション</t>
  </si>
  <si>
    <t>発注方針コード</t>
  </si>
  <si>
    <t>最小指定期間</t>
  </si>
  <si>
    <t>最小指定数量</t>
  </si>
  <si>
    <t>最大指定期間</t>
  </si>
  <si>
    <t>最大指定数量</t>
  </si>
  <si>
    <t>倍数数量</t>
    <rPh sb="0" eb="4">
      <t>クブン</t>
    </rPh>
    <phoneticPr fontId="3"/>
  </si>
  <si>
    <t>ロット編成端数フラグ</t>
    <rPh sb="0" eb="3">
      <t>タントウカ</t>
    </rPh>
    <phoneticPr fontId="3"/>
  </si>
  <si>
    <t>製造中仕損率</t>
    <rPh sb="0" eb="3">
      <t>タントウシャ</t>
    </rPh>
    <phoneticPr fontId="3"/>
  </si>
  <si>
    <t>使用中仕損率</t>
    <rPh sb="0" eb="2">
      <t>ハイフ</t>
    </rPh>
    <rPh sb="2" eb="5">
      <t>タントウカ</t>
    </rPh>
    <phoneticPr fontId="3"/>
  </si>
  <si>
    <t>シフト分割数</t>
  </si>
  <si>
    <t>シフトパターン番号</t>
  </si>
  <si>
    <t>荷姿コード</t>
  </si>
  <si>
    <t>荷姿収容数</t>
  </si>
  <si>
    <t>リードタイム適用日</t>
  </si>
  <si>
    <t>製造リードタイム</t>
  </si>
  <si>
    <t>先行リードタイム</t>
  </si>
  <si>
    <t>製造シフトリードタイム</t>
  </si>
  <si>
    <t>先行シフトリードタイム</t>
  </si>
  <si>
    <t>適用後製造リードタイム</t>
    <rPh sb="0" eb="2">
      <t>ノウキ</t>
    </rPh>
    <rPh sb="2" eb="4">
      <t>シジ</t>
    </rPh>
    <rPh sb="4" eb="6">
      <t>クブン</t>
    </rPh>
    <phoneticPr fontId="3"/>
  </si>
  <si>
    <t>適用後製造シフトリードタイム</t>
    <rPh sb="2" eb="4">
      <t>サクセイ</t>
    </rPh>
    <phoneticPr fontId="3"/>
  </si>
  <si>
    <t>適用後先行リードタイムサイン</t>
    <rPh sb="0" eb="2">
      <t>ジドウ</t>
    </rPh>
    <phoneticPr fontId="3"/>
  </si>
  <si>
    <t>AIRSサイン</t>
    <rPh sb="0" eb="2">
      <t>ツウカ</t>
    </rPh>
    <phoneticPr fontId="3"/>
  </si>
  <si>
    <t>出荷連絡サイン</t>
    <rPh sb="0" eb="2">
      <t>トウロク</t>
    </rPh>
    <rPh sb="2" eb="4">
      <t>ニチジ</t>
    </rPh>
    <phoneticPr fontId="3"/>
  </si>
  <si>
    <t>外部計画区分</t>
    <rPh sb="0" eb="3">
      <t>トウロクシャ</t>
    </rPh>
    <phoneticPr fontId="3"/>
  </si>
  <si>
    <t>検査区分</t>
    <rPh sb="0" eb="2">
      <t>コウシン</t>
    </rPh>
    <rPh sb="2" eb="4">
      <t>ニチジ</t>
    </rPh>
    <phoneticPr fontId="3"/>
  </si>
  <si>
    <t>確定期間ID</t>
    <rPh sb="0" eb="3">
      <t>コウシンシャ</t>
    </rPh>
    <phoneticPr fontId="3"/>
  </si>
  <si>
    <t>MAT採用レベル</t>
  </si>
  <si>
    <t>再発注点</t>
  </si>
  <si>
    <t>適用後先行シフトリードタイム連係区分</t>
    <rPh sb="6" eb="7">
      <t>レン</t>
    </rPh>
    <rPh sb="7" eb="8">
      <t>カカ</t>
    </rPh>
    <rPh sb="8" eb="10">
      <t>クブン</t>
    </rPh>
    <phoneticPr fontId="3"/>
  </si>
  <si>
    <t>集荷情報コード</t>
  </si>
  <si>
    <t>変動安全在庫所要量確認サイン</t>
    <phoneticPr fontId="3"/>
  </si>
  <si>
    <t>固定安全在庫数</t>
    <phoneticPr fontId="3"/>
  </si>
  <si>
    <t>固定安全在庫比率</t>
  </si>
  <si>
    <t>所要量出庫管理コード</t>
    <phoneticPr fontId="3"/>
  </si>
  <si>
    <t>通し番号発注適用フラグ</t>
  </si>
  <si>
    <t>オーダー再作成区分</t>
  </si>
  <si>
    <r>
      <t>varchar</t>
    </r>
    <r>
      <rPr>
        <sz val="9"/>
        <rFont val="Meiryo UI"/>
        <family val="2"/>
      </rPr>
      <t>(4</t>
    </r>
    <r>
      <rPr>
        <sz val="9"/>
        <rFont val="Meiryo UI"/>
        <family val="3"/>
        <charset val="128"/>
      </rPr>
      <t>)</t>
    </r>
    <phoneticPr fontId="3"/>
  </si>
  <si>
    <t>varchar(3)</t>
  </si>
  <si>
    <t>varchar(5)</t>
  </si>
  <si>
    <t>numeric(5, 3)</t>
  </si>
  <si>
    <t>numeric(2)</t>
  </si>
  <si>
    <t>numeric(15, 5)</t>
    <phoneticPr fontId="3"/>
  </si>
  <si>
    <t>D</t>
  </si>
  <si>
    <t>999</t>
  </si>
  <si>
    <t>9,999,999</t>
  </si>
  <si>
    <t>C</t>
  </si>
  <si>
    <t>9AS1</t>
  </si>
  <si>
    <t>P</t>
  </si>
  <si>
    <t>5,000</t>
  </si>
  <si>
    <t>2ABNG</t>
  </si>
  <si>
    <t>供給者</t>
    <phoneticPr fontId="3"/>
  </si>
  <si>
    <t>使用者</t>
    <phoneticPr fontId="3"/>
  </si>
  <si>
    <t>rn_status</t>
    <phoneticPr fontId="3"/>
  </si>
  <si>
    <t>rs_sql_code</t>
    <phoneticPr fontId="3"/>
  </si>
  <si>
    <t>rs_err_msg</t>
    <phoneticPr fontId="3"/>
  </si>
  <si>
    <t>rs_err_focus</t>
    <phoneticPr fontId="3"/>
  </si>
  <si>
    <t>rs_item_class</t>
    <phoneticPr fontId="3"/>
  </si>
  <si>
    <t>rs_item_status</t>
    <phoneticPr fontId="3"/>
  </si>
  <si>
    <t>rs_demand_policy_code</t>
    <phoneticPr fontId="3"/>
  </si>
  <si>
    <t>rs_airs_sign</t>
    <phoneticPr fontId="3"/>
  </si>
  <si>
    <t>rn_float_safety_stock_qty</t>
    <phoneticPr fontId="3"/>
  </si>
  <si>
    <t>rs_synchro_control_code</t>
    <phoneticPr fontId="3"/>
  </si>
  <si>
    <t xml:space="preserve"> </t>
    <phoneticPr fontId="3"/>
  </si>
  <si>
    <r>
      <t>戻り値1~</t>
    </r>
    <r>
      <rPr>
        <b/>
        <sz val="10"/>
        <color rgb="FFFFFFFF"/>
        <rFont val="Meiryo UI"/>
        <family val="2"/>
      </rPr>
      <t>11</t>
    </r>
    <phoneticPr fontId="3"/>
  </si>
  <si>
    <t>品目マスターとMRP情報値のJOIN検索</t>
    <phoneticPr fontId="3"/>
  </si>
  <si>
    <r>
      <t>検索</t>
    </r>
    <r>
      <rPr>
        <b/>
        <sz val="10"/>
        <color rgb="FFFFFFFF"/>
        <rFont val="Meiryo UI"/>
        <family val="2"/>
      </rPr>
      <t>3</t>
    </r>
    <phoneticPr fontId="3"/>
  </si>
  <si>
    <r>
      <t>検索</t>
    </r>
    <r>
      <rPr>
        <b/>
        <sz val="10"/>
        <color rgb="FFFFFFFF"/>
        <rFont val="Meiryo UI"/>
        <family val="2"/>
      </rPr>
      <t>4</t>
    </r>
    <phoneticPr fontId="3"/>
  </si>
  <si>
    <t>指定した品目が品目マスターに存在しない場合</t>
    <phoneticPr fontId="3"/>
  </si>
  <si>
    <t>品目クラス='M'の場合</t>
    <phoneticPr fontId="3"/>
  </si>
  <si>
    <t>品目タイプフラグ2='Y'かつ品目タイプ≠'1'、≠'2'の場合</t>
    <phoneticPr fontId="3"/>
  </si>
  <si>
    <r>
      <t>処理パターン</t>
    </r>
    <r>
      <rPr>
        <b/>
        <sz val="10"/>
        <color rgb="FFFFFFFF"/>
        <rFont val="Meiryo UI"/>
        <family val="2"/>
      </rPr>
      <t>1</t>
    </r>
    <phoneticPr fontId="3"/>
  </si>
  <si>
    <t>SELECT * FROM LDAS0300('LD11','10225137000080','1234','1234')</t>
  </si>
  <si>
    <t>1212</t>
  </si>
  <si>
    <t>M</t>
  </si>
  <si>
    <t>1235</t>
  </si>
  <si>
    <t>2345</t>
  </si>
  <si>
    <t>K</t>
  </si>
  <si>
    <t>異常終了</t>
    <phoneticPr fontId="3"/>
  </si>
  <si>
    <r>
      <t>処理パターン</t>
    </r>
    <r>
      <rPr>
        <b/>
        <sz val="10"/>
        <color rgb="FFFFFFFF"/>
        <rFont val="Meiryo UI"/>
        <family val="2"/>
      </rPr>
      <t>2</t>
    </r>
    <phoneticPr fontId="3"/>
  </si>
  <si>
    <t>品目クラス='K'の場合</t>
    <phoneticPr fontId="3"/>
  </si>
  <si>
    <t>SELECT * FROM LDAS0300('LD11','10225137000080','2345','2345')</t>
  </si>
  <si>
    <t>品目ステータス='1'の場合</t>
    <phoneticPr fontId="3"/>
  </si>
  <si>
    <r>
      <t>処理パターン</t>
    </r>
    <r>
      <rPr>
        <b/>
        <sz val="10"/>
        <color rgb="FFFFFFFF"/>
        <rFont val="Meiryo UI"/>
        <family val="2"/>
      </rPr>
      <t>3</t>
    </r>
    <phoneticPr fontId="3"/>
  </si>
  <si>
    <t>SELECT * FROM LDAS0300('LD11','10225137000080','1235','1235')</t>
  </si>
  <si>
    <t>エラー位置が'LDAS0300'で設定されている</t>
    <phoneticPr fontId="3"/>
  </si>
  <si>
    <t>LDAS0300</t>
  </si>
  <si>
    <r>
      <t>処理パターン</t>
    </r>
    <r>
      <rPr>
        <b/>
        <sz val="10"/>
        <color rgb="FFFFFFFF"/>
        <rFont val="Meiryo UI"/>
        <family val="2"/>
      </rPr>
      <t>4</t>
    </r>
    <phoneticPr fontId="3"/>
  </si>
  <si>
    <t>処理識別='LD11'の場合</t>
    <phoneticPr fontId="3"/>
  </si>
  <si>
    <t>select * from LDAS0300('LD11','10225137000080','0800','0800')</t>
    <phoneticPr fontId="3"/>
  </si>
  <si>
    <r>
      <t>処理パターン</t>
    </r>
    <r>
      <rPr>
        <b/>
        <sz val="10"/>
        <color rgb="FFFFFFFF"/>
        <rFont val="Meiryo UI"/>
        <family val="2"/>
      </rPr>
      <t>14</t>
    </r>
    <phoneticPr fontId="3"/>
  </si>
  <si>
    <t>品目タイプフラグ1='Y'かつ品目タイプ≠'1'の場合</t>
    <phoneticPr fontId="3"/>
  </si>
  <si>
    <t>3548</t>
    <phoneticPr fontId="3"/>
  </si>
  <si>
    <t>0800</t>
    <phoneticPr fontId="3"/>
  </si>
  <si>
    <t>1235</t>
    <phoneticPr fontId="3"/>
  </si>
  <si>
    <t>2345</t>
    <phoneticPr fontId="3"/>
  </si>
  <si>
    <t>5</t>
    <phoneticPr fontId="3"/>
  </si>
  <si>
    <t>6</t>
    <phoneticPr fontId="3"/>
  </si>
  <si>
    <t>×</t>
  </si>
  <si>
    <t>処理識別='LD41'の場合</t>
    <phoneticPr fontId="3"/>
  </si>
  <si>
    <t>SELECT * FROM LDAS0300('LD41','10225137000080','0800','0800')</t>
  </si>
  <si>
    <r>
      <t>処理パターン</t>
    </r>
    <r>
      <rPr>
        <b/>
        <sz val="10"/>
        <color rgb="FFFFFFFF"/>
        <rFont val="Meiryo UI"/>
        <family val="2"/>
      </rPr>
      <t>5</t>
    </r>
    <phoneticPr fontId="3"/>
  </si>
  <si>
    <r>
      <t>処理パターン</t>
    </r>
    <r>
      <rPr>
        <b/>
        <sz val="10"/>
        <color rgb="FFFFFFFF"/>
        <rFont val="Meiryo UI"/>
        <family val="2"/>
      </rPr>
      <t>6</t>
    </r>
    <phoneticPr fontId="3"/>
  </si>
  <si>
    <t>処理識別='LD71'の場合</t>
    <phoneticPr fontId="3"/>
  </si>
  <si>
    <t>21416119000080</t>
  </si>
  <si>
    <t>34125137000080</t>
  </si>
  <si>
    <t>LA0DS02</t>
  </si>
  <si>
    <t>10</t>
    <phoneticPr fontId="3"/>
  </si>
  <si>
    <t>21416119000080</t>
    <phoneticPr fontId="3"/>
  </si>
  <si>
    <t>100</t>
  </si>
  <si>
    <t>20090629</t>
  </si>
  <si>
    <t>720090523</t>
  </si>
  <si>
    <t>420090411</t>
  </si>
  <si>
    <t>720081015</t>
  </si>
  <si>
    <t>2009-06-29 16:56:35.000</t>
  </si>
  <si>
    <t>0375901</t>
  </si>
  <si>
    <t>12</t>
  </si>
  <si>
    <t>04</t>
  </si>
  <si>
    <t>11</t>
  </si>
  <si>
    <t>1987-02-11 00:00:00.000</t>
  </si>
  <si>
    <t>2002-08-20 19:24:59.000</t>
  </si>
  <si>
    <t>LA11</t>
  </si>
  <si>
    <t>34125137000080</t>
    <phoneticPr fontId="3"/>
  </si>
  <si>
    <t>処理識別='LD21,LD15,LD18,LD28,LD33,LD46,LD48,LD52,LD68'の場合</t>
    <phoneticPr fontId="3"/>
  </si>
  <si>
    <r>
      <t>処理パターン</t>
    </r>
    <r>
      <rPr>
        <b/>
        <sz val="10"/>
        <color rgb="FFFFFFFF"/>
        <rFont val="Meiryo UI"/>
        <family val="2"/>
      </rPr>
      <t>7</t>
    </r>
    <phoneticPr fontId="3"/>
  </si>
  <si>
    <t>SELECT * FROM LDAS0300('LD68','10225137000080','0800','0800');</t>
  </si>
  <si>
    <r>
      <t>処理パターン</t>
    </r>
    <r>
      <rPr>
        <b/>
        <sz val="10"/>
        <color rgb="FFFFFFFF"/>
        <rFont val="Meiryo UI"/>
        <family val="2"/>
      </rPr>
      <t>8</t>
    </r>
    <phoneticPr fontId="3"/>
  </si>
  <si>
    <t>処理識別='LD14'の場合</t>
    <phoneticPr fontId="3"/>
  </si>
  <si>
    <t>14.00000</t>
  </si>
  <si>
    <t>0.00000</t>
  </si>
  <si>
    <t>9999999.00000</t>
  </si>
  <si>
    <t>5000.00000</t>
  </si>
  <si>
    <t>0.000</t>
  </si>
  <si>
    <t>11</t>
    <phoneticPr fontId="3"/>
  </si>
  <si>
    <t>12</t>
    <phoneticPr fontId="3"/>
  </si>
  <si>
    <t>1236</t>
    <phoneticPr fontId="3"/>
  </si>
  <si>
    <t>99999999</t>
  </si>
  <si>
    <t>1111</t>
  </si>
  <si>
    <t>30.00000</t>
  </si>
  <si>
    <t>10.00000</t>
  </si>
  <si>
    <t>2024-04-10 16:15:53.000</t>
  </si>
  <si>
    <t>0363363</t>
  </si>
  <si>
    <t>10226137000080</t>
  </si>
  <si>
    <t>10226137000080</t>
    <phoneticPr fontId="3"/>
  </si>
  <si>
    <t>13</t>
    <phoneticPr fontId="3"/>
  </si>
  <si>
    <t>14</t>
    <phoneticPr fontId="3"/>
  </si>
  <si>
    <t>15</t>
    <phoneticPr fontId="3"/>
  </si>
  <si>
    <t>10225137000080</t>
    <phoneticPr fontId="3"/>
  </si>
  <si>
    <t>10225137000090</t>
    <phoneticPr fontId="3"/>
  </si>
  <si>
    <t>SELECT * FROM LDAS0300('LD14','10225137000080','0800','1234');</t>
    <phoneticPr fontId="3"/>
  </si>
  <si>
    <t>品目タイプフラグ1、Wビン管理フラグ7が'Y'に設定されている</t>
    <phoneticPr fontId="3"/>
  </si>
  <si>
    <t>更新PGID</t>
    <phoneticPr fontId="3"/>
  </si>
  <si>
    <t>処理識別='LD24'の場合</t>
    <phoneticPr fontId="3"/>
  </si>
  <si>
    <t>処理パターン9</t>
    <phoneticPr fontId="3"/>
  </si>
  <si>
    <t>SELECT * FROM LDAS0300('LD24','10225137000080','0800','1234');</t>
    <phoneticPr fontId="3"/>
  </si>
  <si>
    <t>処理識別='LD44'の場合</t>
    <phoneticPr fontId="3"/>
  </si>
  <si>
    <t>処理パターン10</t>
    <phoneticPr fontId="3"/>
  </si>
  <si>
    <t>SELECT * FROM LDAS0300('LD44','10225137000080','0800','1234');</t>
    <phoneticPr fontId="3"/>
  </si>
  <si>
    <t>処理識別='LD74'の場合</t>
    <phoneticPr fontId="3"/>
  </si>
  <si>
    <t>処理パターン11</t>
    <phoneticPr fontId="3"/>
  </si>
  <si>
    <t>処理パターン12</t>
    <phoneticPr fontId="3"/>
  </si>
  <si>
    <t>処理識別='LD78,LD80'の場合</t>
    <phoneticPr fontId="3"/>
  </si>
  <si>
    <t>SELECT * FROM LDAS0300('LD80','10225137000090','0800','0800');</t>
    <phoneticPr fontId="3"/>
  </si>
  <si>
    <t>処理パターン13</t>
    <phoneticPr fontId="3"/>
  </si>
  <si>
    <t>処理識別='LD81'の場合</t>
    <phoneticPr fontId="3"/>
  </si>
  <si>
    <t>0900</t>
  </si>
  <si>
    <t>E</t>
  </si>
  <si>
    <t>16</t>
    <phoneticPr fontId="3"/>
  </si>
  <si>
    <t>SELECT * FROM LDAS0300('LD81','10225137000080','0900','1234');</t>
    <phoneticPr fontId="3"/>
  </si>
  <si>
    <t>SELECT * FROM LDAS0300('LD11','10225137000080','0900','1234');</t>
  </si>
  <si>
    <t>品目クラスフラグ3='Y'かつ品目クラス≠'0'、≠'1'、≠'2'の場合</t>
    <phoneticPr fontId="3"/>
  </si>
  <si>
    <r>
      <t>処理パターン</t>
    </r>
    <r>
      <rPr>
        <b/>
        <sz val="10"/>
        <color rgb="FFFFFFFF"/>
        <rFont val="Meiryo UI"/>
        <family val="2"/>
      </rPr>
      <t>15</t>
    </r>
    <phoneticPr fontId="3"/>
  </si>
  <si>
    <r>
      <t>処理パターン</t>
    </r>
    <r>
      <rPr>
        <b/>
        <sz val="10"/>
        <color rgb="FFFFFFFF"/>
        <rFont val="Meiryo UI"/>
        <family val="2"/>
      </rPr>
      <t>16</t>
    </r>
    <phoneticPr fontId="3"/>
  </si>
  <si>
    <t>4.00000</t>
  </si>
  <si>
    <r>
      <t>処理パターン</t>
    </r>
    <r>
      <rPr>
        <b/>
        <sz val="10"/>
        <color rgb="FFFFFFFF"/>
        <rFont val="Meiryo UI"/>
        <family val="2"/>
      </rPr>
      <t>17</t>
    </r>
    <phoneticPr fontId="3"/>
  </si>
  <si>
    <t>品目クラスフラグ4='Y'かつ品目クラス≠'E'、≠'F'の場合</t>
    <phoneticPr fontId="3"/>
  </si>
  <si>
    <t>SELECT * FROM LDAS0300('LD81','10225137000080','0800','0800');</t>
  </si>
  <si>
    <t>MRP需要方針フラグ5='Y'かつMRP需要方針コード&lt;'1'または&gt;'6'の場合</t>
    <phoneticPr fontId="3"/>
  </si>
  <si>
    <r>
      <t>処理パターン</t>
    </r>
    <r>
      <rPr>
        <b/>
        <sz val="10"/>
        <color rgb="FFFFFFFF"/>
        <rFont val="Meiryo UI"/>
        <family val="2"/>
      </rPr>
      <t>1</t>
    </r>
    <r>
      <rPr>
        <b/>
        <sz val="10"/>
        <color rgb="FFFFFFFF"/>
        <rFont val="微软雅黑"/>
        <family val="2"/>
        <charset val="134"/>
      </rPr>
      <t>8</t>
    </r>
    <phoneticPr fontId="3"/>
  </si>
  <si>
    <r>
      <t>SELECT * FROM LDAS0300('LD21','10225137000080','1212','1</t>
    </r>
    <r>
      <rPr>
        <sz val="10"/>
        <rFont val="微软雅黑"/>
        <family val="3"/>
        <charset val="134"/>
      </rPr>
      <t>234</t>
    </r>
    <r>
      <rPr>
        <sz val="10"/>
        <rFont val="Meiryo UI"/>
        <family val="3"/>
        <charset val="128"/>
      </rPr>
      <t>')</t>
    </r>
    <phoneticPr fontId="3"/>
  </si>
  <si>
    <t>MRP需要方針フラグ6='Y'かつMRP需要方針コード≠'2'の場合</t>
    <phoneticPr fontId="3"/>
  </si>
  <si>
    <r>
      <t>処理パターン</t>
    </r>
    <r>
      <rPr>
        <b/>
        <sz val="10"/>
        <color rgb="FFFFFFFF"/>
        <rFont val="Meiryo UI"/>
        <family val="2"/>
      </rPr>
      <t>1</t>
    </r>
    <r>
      <rPr>
        <b/>
        <sz val="10"/>
        <color rgb="FFFFFFFF"/>
        <rFont val="微软雅黑"/>
        <family val="2"/>
        <charset val="134"/>
      </rPr>
      <t>9</t>
    </r>
    <phoneticPr fontId="3"/>
  </si>
  <si>
    <t>You can specify only the item of which MRP Demand Policy Code is 1 to 6</t>
  </si>
  <si>
    <t xml:space="preserve">You can specify only the item of which MRP Demand Policy Code is 2(Manual Control) </t>
  </si>
  <si>
    <t>Wビン管理フラグ7='Y'かつWビン管理コード≠'0'の場合</t>
    <phoneticPr fontId="3"/>
  </si>
  <si>
    <r>
      <t>処理パターン</t>
    </r>
    <r>
      <rPr>
        <b/>
        <sz val="10"/>
        <color rgb="FFFFFFFF"/>
        <rFont val="微软雅黑"/>
        <family val="3"/>
        <charset val="134"/>
      </rPr>
      <t>20</t>
    </r>
    <phoneticPr fontId="3"/>
  </si>
  <si>
    <t>SELECT * FROM LDAS0300('LD14','10225137000090','0800','0800');</t>
    <phoneticPr fontId="3"/>
  </si>
  <si>
    <t>SELECT * FROM LDAS0300('LD74','10225137000090','0800','0800');</t>
    <phoneticPr fontId="3"/>
  </si>
  <si>
    <t>SELECT * FROM LDAS0300('LD71','10225137000090','0800','0800')</t>
  </si>
  <si>
    <t>You can specify only the item of which W-bin Control Code is 0(Out of an object of control)</t>
  </si>
  <si>
    <r>
      <t>処理パターン</t>
    </r>
    <r>
      <rPr>
        <b/>
        <sz val="10"/>
        <color rgb="FFFFFFFF"/>
        <rFont val="微软雅黑"/>
        <family val="3"/>
        <charset val="134"/>
      </rPr>
      <t>21</t>
    </r>
    <phoneticPr fontId="3"/>
  </si>
  <si>
    <t>Wビン管理フラグ8='Y'かつWビン管理コード≠'1'の場合</t>
    <phoneticPr fontId="3"/>
  </si>
  <si>
    <t>SELECT * FROM LDAS0300('LD74','10225137000080','0800','0800');</t>
    <phoneticPr fontId="3"/>
  </si>
  <si>
    <t>You can specify only the item of which  W-bin Control Code is 1(An object of control)</t>
  </si>
  <si>
    <r>
      <t>処理パターン</t>
    </r>
    <r>
      <rPr>
        <b/>
        <sz val="10"/>
        <color rgb="FFFFFFFF"/>
        <rFont val="微软雅黑"/>
        <family val="3"/>
        <charset val="134"/>
      </rPr>
      <t>22</t>
    </r>
    <phoneticPr fontId="3"/>
  </si>
  <si>
    <t>AIRSサインフラグ9='Y'かつAIRSサイン='1'の場合</t>
    <phoneticPr fontId="3"/>
  </si>
  <si>
    <t>SELECT * FROM LDAS0300('LD44','10225137000080','0800','0800');</t>
    <phoneticPr fontId="3"/>
  </si>
  <si>
    <t>You cannot specify AIRS Item</t>
  </si>
  <si>
    <r>
      <t>select * from LDAS0300('LD11','1022513700008</t>
    </r>
    <r>
      <rPr>
        <sz val="10"/>
        <rFont val="微软雅黑"/>
        <family val="3"/>
        <charset val="134"/>
      </rPr>
      <t>1</t>
    </r>
    <r>
      <rPr>
        <sz val="10"/>
        <rFont val="Meiryo UI"/>
        <family val="3"/>
        <charset val="128"/>
      </rPr>
      <t>','0800','0800')</t>
    </r>
    <phoneticPr fontId="3"/>
  </si>
  <si>
    <t>17</t>
    <phoneticPr fontId="3"/>
  </si>
  <si>
    <r>
      <t>MRP情報値</t>
    </r>
    <r>
      <rPr>
        <sz val="11"/>
        <color rgb="FFFFFFFF"/>
        <rFont val="Meiryo UI"/>
        <family val="2"/>
      </rPr>
      <t>(le_mst_mrp_information)</t>
    </r>
    <phoneticPr fontId="3"/>
  </si>
  <si>
    <t>ld.E.LDP10054</t>
  </si>
  <si>
    <t>ld.E.LDP10055</t>
  </si>
  <si>
    <t>ld.E.LDP10056</t>
  </si>
  <si>
    <t>ld.E.LDP10057</t>
  </si>
  <si>
    <t>ld.E.LDP10054</t>
    <phoneticPr fontId="3"/>
  </si>
  <si>
    <t>エラーコードld.E.LDP10054、エラーメッセージ'Specify the Deal Flag.'が出力され処理終了している</t>
    <phoneticPr fontId="3"/>
  </si>
  <si>
    <t>ld.E.LDP10055</t>
    <phoneticPr fontId="3"/>
  </si>
  <si>
    <t>エラーコードld.E.LDP10055、エラーメッセージ'Specify the Item Number.'が出力され処理終了している</t>
    <phoneticPr fontId="3"/>
  </si>
  <si>
    <t>ld.E.LDP10056</t>
    <phoneticPr fontId="3"/>
  </si>
  <si>
    <t>エラーコードld.E.LDP10056、エラーメッセージ'Specify the Supplier.'が出力され処理終了している</t>
    <phoneticPr fontId="3"/>
  </si>
  <si>
    <t>ld.E.LDP10057</t>
    <phoneticPr fontId="3"/>
  </si>
  <si>
    <t>エラーコードld.E.LDP10057、エラーメッセージ'Specify the User.'が出力され処理終了している</t>
    <phoneticPr fontId="3"/>
  </si>
  <si>
    <t>Item does not exist in the item master</t>
  </si>
  <si>
    <t>ld.E.LDP10037</t>
  </si>
  <si>
    <t>You cannot specify Product, CBU Model or CKD Model</t>
  </si>
  <si>
    <t>You cannot specify the item of which Item Status is 1(Technical Trial)</t>
  </si>
  <si>
    <t xml:space="preserve">You cannot specify the item of which Item Status is 1(Technical Trial) </t>
  </si>
  <si>
    <t>You can specify only the item of which Item Type is 1(Standard) or 2(B/T)</t>
  </si>
  <si>
    <t>You cannot specify Parts</t>
  </si>
  <si>
    <t>ld.E.LDP10019</t>
    <phoneticPr fontId="3"/>
  </si>
  <si>
    <t>エラーコードld.E.LDP10019、エラーメッセージ'Item does not exist in the item master'が出力され処理終了している</t>
    <phoneticPr fontId="3"/>
  </si>
  <si>
    <t>ld.E.LDP10037</t>
    <phoneticPr fontId="3"/>
  </si>
  <si>
    <t>エラーコードld.E.LDP10037、エラーメッセージ'You cannot specify Product、 CBU Model or CKD Model'が出力され処理終了している</t>
    <phoneticPr fontId="3"/>
  </si>
  <si>
    <t>ld.E.LDP10024</t>
    <phoneticPr fontId="3"/>
  </si>
  <si>
    <t>エラーコードld.E.LDP10024、エラーメッセージ'You cannot specify the item of which Item Status is 1(Technical Trial)'が出力され処理終了している</t>
    <phoneticPr fontId="3"/>
  </si>
  <si>
    <t>ld.E.LDP10020</t>
    <phoneticPr fontId="3"/>
  </si>
  <si>
    <t>エラーコードld.E.LDP10020、エラーメッセージ'You can specify only the item of which Item Type is 1(Standard)'が出力され処理終了している</t>
    <phoneticPr fontId="3"/>
  </si>
  <si>
    <t>ld.E.LDP10021</t>
    <phoneticPr fontId="3"/>
  </si>
  <si>
    <t>エラーコードld.E.LDP10021、エラーメッセージ'You can specify only the item of which Item Type is 1(Standard) or 2(B/T)'が出力され処理終了している</t>
    <phoneticPr fontId="3"/>
  </si>
  <si>
    <t>ld.E.LDP10058</t>
    <phoneticPr fontId="3"/>
  </si>
  <si>
    <t>エラーコードld.E.LDP10058、エラーメッセージ'You cannot specify Parts'が出力され処理終了している</t>
    <phoneticPr fontId="3"/>
  </si>
  <si>
    <t>エラーコードld.E.LDP10026、エラーメッセージ'You can specify only the item of which MRP Demand Policy Code is 1 to 6'が出力され処理終了している</t>
    <phoneticPr fontId="3"/>
  </si>
  <si>
    <t>ld.E.LDP10028</t>
    <phoneticPr fontId="3"/>
  </si>
  <si>
    <t>エラーコードld.E.LDP10028、エラーメッセージ'You can specify only the item of which MRP Demand Policy Code is 2(Manual Control)'が出力され処理終了している</t>
    <phoneticPr fontId="3"/>
  </si>
  <si>
    <t>ld.E.LDP10029</t>
    <phoneticPr fontId="3"/>
  </si>
  <si>
    <t>エラーコードld.E.LDP10029、エラーメッセージ'You can specify only the item of which W-bin Control Code is 0(Out of an object of control)'が出力され処理終了している</t>
    <phoneticPr fontId="3"/>
  </si>
  <si>
    <t>ld.E.LDP10030</t>
    <phoneticPr fontId="3"/>
  </si>
  <si>
    <t>エラーコードld.E.LDP10030、エラーメッセージ'You can specify only the item of which W-bin Control Code is 1(An object of control)'が出力され処理終了している</t>
    <phoneticPr fontId="3"/>
  </si>
  <si>
    <t>ld.E.LDP10034</t>
    <phoneticPr fontId="3"/>
  </si>
  <si>
    <t>エラーコードld.E.LDP10034、エラーメッセージ'You cannot specify AIRS Item'が出力され処理終了している</t>
    <phoneticPr fontId="3"/>
  </si>
  <si>
    <t>処理識別</t>
  </si>
  <si>
    <t>品目番号</t>
  </si>
  <si>
    <t>供給者</t>
  </si>
  <si>
    <t>使用者</t>
  </si>
  <si>
    <t>SELECT * FROM LDAS0300('LD11','10225137000080','1200','1234');</t>
  </si>
  <si>
    <t>ld.E.LDP10026</t>
  </si>
  <si>
    <t>1200</t>
  </si>
  <si>
    <t>18</t>
    <phoneticPr fontId="3"/>
  </si>
  <si>
    <t>品目番号、供給者、使用者に該当する品目情報を正常に取得している</t>
    <phoneticPr fontId="3"/>
  </si>
  <si>
    <t>品目タイプの妥当性チェック</t>
    <phoneticPr fontId="3"/>
  </si>
  <si>
    <t>MRP需要方針コードの妥当性チェック</t>
  </si>
  <si>
    <t>Wビン管理コードの妥当性チェック</t>
  </si>
  <si>
    <t>1000</t>
  </si>
  <si>
    <t>19</t>
    <phoneticPr fontId="3"/>
  </si>
  <si>
    <t>対応するエラーコードをreturnしている</t>
  </si>
  <si>
    <t>対応するエラーメッセージをreturnしている</t>
  </si>
  <si>
    <t>エラー発生時のエラー位置</t>
    <phoneticPr fontId="3"/>
  </si>
  <si>
    <t>エラーコード</t>
    <phoneticPr fontId="3"/>
  </si>
  <si>
    <t>エラー発生時のエラーコード</t>
    <phoneticPr fontId="3"/>
  </si>
  <si>
    <t>エラーメッセージ</t>
    <phoneticPr fontId="3"/>
  </si>
  <si>
    <t>エラー発生時のエラーメッセージ</t>
    <phoneticPr fontId="3"/>
  </si>
  <si>
    <t>Wビン管理コード</t>
    <phoneticPr fontId="3"/>
  </si>
  <si>
    <t>シンクロ管理コード</t>
    <phoneticPr fontId="3"/>
  </si>
  <si>
    <t>変動安全在庫数</t>
    <phoneticPr fontId="3"/>
  </si>
  <si>
    <t>MRP需要方針コード、Wビン管理コード、シンクロ管理コード、AIRSサイン、変動安全在庫数に該当するMRP情報を正常に取得している</t>
    <phoneticPr fontId="3"/>
  </si>
  <si>
    <r>
      <t>戻り値13~1</t>
    </r>
    <r>
      <rPr>
        <b/>
        <sz val="10"/>
        <color rgb="FFFFFFFF"/>
        <rFont val="Meiryo UI"/>
        <family val="2"/>
      </rPr>
      <t>6</t>
    </r>
    <phoneticPr fontId="3"/>
  </si>
  <si>
    <r>
      <t>戻り値</t>
    </r>
    <r>
      <rPr>
        <b/>
        <sz val="10"/>
        <color rgb="FFFFFFFF"/>
        <rFont val="Meiryo UI"/>
        <family val="2"/>
      </rPr>
      <t>13~16</t>
    </r>
    <phoneticPr fontId="3"/>
  </si>
  <si>
    <t>戻り値13~16</t>
    <phoneticPr fontId="3"/>
  </si>
  <si>
    <t>ld.E.LDP10022</t>
    <phoneticPr fontId="3"/>
  </si>
  <si>
    <t>エラーコードld.E.LDP10022、エラーメッセージ'You can specify only the item of which Item Cl. is 0(Packing Materials) or 1(Raw Materials) or 2(Parts)'が出力され処理終了している</t>
    <phoneticPr fontId="3"/>
  </si>
  <si>
    <t xml:space="preserve">You can specify only the item of which Item Cl. is 0(Packing Materials) or 1(Raw Materials) or 2(Parts)  </t>
    <phoneticPr fontId="3"/>
  </si>
  <si>
    <t>SELECT * FROM LDAS0300('LD41','10225137000080','1000','1234');</t>
    <phoneticPr fontId="3"/>
  </si>
  <si>
    <t>SELECT * FROM LDAS0300('LD71','10225137000080','1200','1234');</t>
  </si>
  <si>
    <t>M</t>
    <phoneticPr fontId="3"/>
  </si>
  <si>
    <t>品目クラス</t>
    <phoneticPr fontId="3"/>
  </si>
  <si>
    <t>品目サブクラス</t>
    <phoneticPr fontId="3"/>
  </si>
  <si>
    <t>MRP需要方針コード</t>
    <phoneticPr fontId="3"/>
  </si>
  <si>
    <t>品目タイプ</t>
    <phoneticPr fontId="3"/>
  </si>
  <si>
    <t>item_class_sub</t>
    <phoneticPr fontId="3"/>
  </si>
  <si>
    <t>SELECT * FROM LDAS0300('LD11','10225137000080','0800','0800')</t>
    <phoneticPr fontId="3"/>
  </si>
  <si>
    <t>孫</t>
    <phoneticPr fontId="3"/>
  </si>
  <si>
    <t>初期作成</t>
    <phoneticPr fontId="3"/>
  </si>
  <si>
    <t>品目の各項目に対してバリデーションチェックを行う。</t>
    <phoneticPr fontId="3"/>
  </si>
  <si>
    <t>孫勝</t>
    <phoneticPr fontId="3"/>
  </si>
  <si>
    <t>Specify the Deal Flag.</t>
    <phoneticPr fontId="3"/>
  </si>
  <si>
    <t>Specify the Item Number</t>
    <phoneticPr fontId="3"/>
  </si>
  <si>
    <t>Specify the Supplier</t>
    <phoneticPr fontId="3"/>
  </si>
  <si>
    <t>Specify the User</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</si>
</sst>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Red]\(#,##0\)"/>
  </numFmts>
  <fonts count="109">
    <font>
      <sz val="11"/>
      <name val="ＭＳ Ｐゴシック"/>
      <family val="3"/>
      <charset val="128"/>
    </font>
    <font>
      <sz val="11"/>
      <color theme="1"/>
      <name val="宋体"/>
      <family val="2"/>
      <charset val="128"/>
      <scheme val="minor"/>
    </font>
    <font>
      <sz val="11"/>
      <name val="ＭＳ Ｐゴシック"/>
      <family val="3"/>
      <charset val="128"/>
    </font>
    <font>
      <sz val="6"/>
      <name val="ＭＳ Ｐゴシック"/>
      <family val="3"/>
      <charset val="128"/>
    </font>
    <font>
      <b/>
      <sz val="10"/>
      <name val="Meiryo UI"/>
      <family val="3"/>
      <charset val="128"/>
    </font>
    <font>
      <sz val="9"/>
      <name val="Meiryo UI"/>
      <family val="3"/>
      <charset val="128"/>
    </font>
    <font>
      <sz val="10"/>
      <name val="Meiryo UI"/>
      <family val="3"/>
      <charset val="128"/>
    </font>
    <font>
      <sz val="11"/>
      <name val="ＭＳ ゴシック"/>
      <family val="3"/>
      <charset val="128"/>
    </font>
    <font>
      <sz val="18"/>
      <color theme="3"/>
      <name val="宋体"/>
      <family val="2"/>
      <charset val="128"/>
      <scheme val="major"/>
    </font>
    <font>
      <b/>
      <sz val="15"/>
      <color theme="3"/>
      <name val="宋体"/>
      <family val="2"/>
      <charset val="128"/>
      <scheme val="minor"/>
    </font>
    <font>
      <b/>
      <sz val="9"/>
      <color theme="0"/>
      <name val="Meiryo UI"/>
      <family val="3"/>
      <charset val="128"/>
    </font>
    <font>
      <sz val="6"/>
      <name val="宋体"/>
      <family val="2"/>
      <charset val="128"/>
      <scheme val="minor"/>
    </font>
    <font>
      <sz val="11"/>
      <color theme="1"/>
      <name val="Meiryo UI"/>
      <family val="3"/>
      <charset val="128"/>
    </font>
    <font>
      <b/>
      <sz val="11"/>
      <color theme="1"/>
      <name val="Meiryo UI"/>
      <family val="3"/>
      <charset val="128"/>
    </font>
    <font>
      <sz val="9"/>
      <color theme="1"/>
      <name val="Meiryo UI"/>
      <family val="3"/>
      <charset val="128"/>
    </font>
    <font>
      <b/>
      <sz val="9"/>
      <color theme="1"/>
      <name val="Meiryo UI"/>
      <family val="3"/>
      <charset val="128"/>
    </font>
    <font>
      <b/>
      <sz val="11"/>
      <color theme="0"/>
      <name val="Meiryo UI"/>
      <family val="2"/>
      <charset val="128"/>
    </font>
    <font>
      <sz val="11"/>
      <name val="Meiryo UI"/>
      <family val="2"/>
      <charset val="128"/>
    </font>
    <font>
      <sz val="8"/>
      <name val="ＭＳ Ｐゴシック"/>
      <family val="3"/>
      <charset val="128"/>
    </font>
    <font>
      <u/>
      <sz val="9"/>
      <color indexed="12"/>
      <name val="Meiryo UI"/>
      <family val="3"/>
      <charset val="128"/>
    </font>
    <font>
      <sz val="9"/>
      <color indexed="81"/>
      <name val="MS P ゴシック"/>
      <family val="3"/>
      <charset val="128"/>
    </font>
    <font>
      <b/>
      <sz val="11"/>
      <color theme="1"/>
      <name val="Meiryo UI"/>
      <family val="2"/>
    </font>
    <font>
      <b/>
      <sz val="9"/>
      <color rgb="FF0000FF"/>
      <name val="Meiryo UI"/>
      <family val="3"/>
      <charset val="128"/>
    </font>
    <font>
      <u/>
      <sz val="11"/>
      <color theme="10"/>
      <name val="Meiryo UI"/>
      <family val="3"/>
      <charset val="128"/>
    </font>
    <font>
      <sz val="9"/>
      <name val="宋体"/>
      <family val="3"/>
      <charset val="134"/>
    </font>
    <font>
      <sz val="11"/>
      <name val="Meiryo UI"/>
      <family val="3"/>
      <charset val="128"/>
    </font>
    <font>
      <u/>
      <sz val="11"/>
      <color theme="10"/>
      <name val="ＭＳ Ｐゴシック"/>
      <family val="3"/>
      <charset val="128"/>
    </font>
    <font>
      <b/>
      <sz val="24"/>
      <color indexed="18"/>
      <name val="Meiryo UI"/>
      <family val="3"/>
      <charset val="128"/>
    </font>
    <font>
      <b/>
      <sz val="18"/>
      <color indexed="18"/>
      <name val="Meiryo UI"/>
      <family val="3"/>
      <charset val="128"/>
    </font>
    <font>
      <b/>
      <sz val="11"/>
      <color indexed="18"/>
      <name val="Meiryo UI"/>
      <family val="3"/>
      <charset val="128"/>
    </font>
    <font>
      <b/>
      <sz val="9"/>
      <name val="Meiryo UI"/>
      <family val="3"/>
      <charset val="128"/>
    </font>
    <font>
      <b/>
      <sz val="10"/>
      <color indexed="9"/>
      <name val="Meiryo UI"/>
      <family val="3"/>
      <charset val="128"/>
    </font>
    <font>
      <sz val="10"/>
      <color indexed="8"/>
      <name val="Meiryo UI"/>
      <family val="3"/>
      <charset val="128"/>
    </font>
    <font>
      <sz val="8"/>
      <name val="Meiryo UI"/>
      <family val="3"/>
      <charset val="128"/>
    </font>
    <font>
      <sz val="10"/>
      <color indexed="53"/>
      <name val="Meiryo UI"/>
      <family val="3"/>
      <charset val="128"/>
    </font>
    <font>
      <sz val="10"/>
      <color indexed="59"/>
      <name val="Meiryo UI"/>
      <family val="3"/>
      <charset val="128"/>
    </font>
    <font>
      <sz val="10"/>
      <color indexed="10"/>
      <name val="Meiryo UI"/>
      <family val="3"/>
      <charset val="128"/>
    </font>
    <font>
      <sz val="10"/>
      <color indexed="17"/>
      <name val="Meiryo UI"/>
      <family val="3"/>
      <charset val="128"/>
    </font>
    <font>
      <b/>
      <sz val="10"/>
      <color indexed="59"/>
      <name val="Meiryo UI"/>
      <family val="3"/>
      <charset val="128"/>
    </font>
    <font>
      <sz val="6"/>
      <name val="Meiryo UI"/>
      <family val="3"/>
      <charset val="128"/>
    </font>
    <font>
      <sz val="10"/>
      <color indexed="63"/>
      <name val="Meiryo UI"/>
      <family val="3"/>
      <charset val="128"/>
    </font>
    <font>
      <sz val="8"/>
      <color indexed="8"/>
      <name val="Meiryo UI"/>
      <family val="3"/>
      <charset val="128"/>
    </font>
    <font>
      <sz val="9"/>
      <color indexed="8"/>
      <name val="Meiryo UI"/>
      <family val="3"/>
      <charset val="128"/>
    </font>
    <font>
      <sz val="9"/>
      <color indexed="59"/>
      <name val="Meiryo UI"/>
      <family val="3"/>
      <charset val="128"/>
    </font>
    <font>
      <b/>
      <sz val="10"/>
      <color indexed="12"/>
      <name val="Meiryo UI"/>
      <family val="3"/>
      <charset val="128"/>
    </font>
    <font>
      <sz val="10"/>
      <color indexed="12"/>
      <name val="Meiryo UI"/>
      <family val="3"/>
      <charset val="128"/>
    </font>
    <font>
      <sz val="11"/>
      <color indexed="60"/>
      <name val="Meiryo UI"/>
      <family val="3"/>
      <charset val="128"/>
    </font>
    <font>
      <b/>
      <sz val="18"/>
      <color indexed="8"/>
      <name val="Meiryo UI"/>
      <family val="3"/>
      <charset val="128"/>
    </font>
    <font>
      <sz val="11"/>
      <color indexed="18"/>
      <name val="Meiryo UI"/>
      <family val="3"/>
      <charset val="128"/>
    </font>
    <font>
      <b/>
      <sz val="8"/>
      <color indexed="61"/>
      <name val="Meiryo UI"/>
      <family val="3"/>
      <charset val="128"/>
    </font>
    <font>
      <sz val="11"/>
      <color indexed="9"/>
      <name val="Meiryo UI"/>
      <family val="3"/>
      <charset val="128"/>
    </font>
    <font>
      <b/>
      <sz val="11"/>
      <name val="Meiryo UI"/>
      <family val="3"/>
      <charset val="128"/>
    </font>
    <font>
      <sz val="9"/>
      <color indexed="53"/>
      <name val="Meiryo UI"/>
      <family val="3"/>
      <charset val="128"/>
    </font>
    <font>
      <sz val="10"/>
      <color indexed="61"/>
      <name val="Meiryo UI"/>
      <family val="3"/>
      <charset val="128"/>
    </font>
    <font>
      <sz val="8"/>
      <color indexed="61"/>
      <name val="Meiryo UI"/>
      <family val="3"/>
      <charset val="128"/>
    </font>
    <font>
      <sz val="11"/>
      <color indexed="53"/>
      <name val="Meiryo UI"/>
      <family val="3"/>
      <charset val="128"/>
    </font>
    <font>
      <sz val="9"/>
      <color indexed="61"/>
      <name val="Meiryo UI"/>
      <family val="3"/>
      <charset val="128"/>
    </font>
    <font>
      <sz val="11"/>
      <color indexed="61"/>
      <name val="Meiryo UI"/>
      <family val="3"/>
      <charset val="128"/>
    </font>
    <font>
      <b/>
      <sz val="11"/>
      <color indexed="61"/>
      <name val="Meiryo UI"/>
      <family val="3"/>
      <charset val="128"/>
    </font>
    <font>
      <sz val="11"/>
      <color indexed="63"/>
      <name val="Meiryo UI"/>
      <family val="3"/>
      <charset val="128"/>
    </font>
    <font>
      <sz val="11"/>
      <color indexed="17"/>
      <name val="Meiryo UI"/>
      <family val="3"/>
      <charset val="128"/>
    </font>
    <font>
      <sz val="9"/>
      <color indexed="10"/>
      <name val="Meiryo UI"/>
      <family val="3"/>
      <charset val="128"/>
    </font>
    <font>
      <sz val="11"/>
      <color indexed="12"/>
      <name val="Meiryo UI"/>
      <family val="3"/>
      <charset val="128"/>
    </font>
    <font>
      <sz val="9"/>
      <color indexed="9"/>
      <name val="Meiryo UI"/>
      <family val="3"/>
      <charset val="128"/>
    </font>
    <font>
      <i/>
      <sz val="8"/>
      <color indexed="61"/>
      <name val="Meiryo UI"/>
      <family val="3"/>
      <charset val="128"/>
    </font>
    <font>
      <sz val="10"/>
      <color indexed="23"/>
      <name val="Meiryo UI"/>
      <family val="3"/>
      <charset val="128"/>
    </font>
    <font>
      <b/>
      <sz val="16"/>
      <color indexed="18"/>
      <name val="Meiryo UI"/>
      <family val="3"/>
      <charset val="128"/>
    </font>
    <font>
      <sz val="16"/>
      <name val="Meiryo UI"/>
      <family val="3"/>
      <charset val="128"/>
    </font>
    <font>
      <sz val="11"/>
      <color indexed="10"/>
      <name val="Meiryo UI"/>
      <family val="3"/>
      <charset val="128"/>
    </font>
    <font>
      <b/>
      <sz val="9"/>
      <color indexed="48"/>
      <name val="Meiryo UI"/>
      <family val="3"/>
      <charset val="128"/>
    </font>
    <font>
      <b/>
      <sz val="9"/>
      <color indexed="59"/>
      <name val="Meiryo UI"/>
      <family val="3"/>
      <charset val="128"/>
    </font>
    <font>
      <sz val="11"/>
      <color indexed="41"/>
      <name val="Meiryo UI"/>
      <family val="3"/>
      <charset val="128"/>
    </font>
    <font>
      <sz val="11"/>
      <color indexed="8"/>
      <name val="Meiryo UI"/>
      <family val="3"/>
      <charset val="128"/>
    </font>
    <font>
      <sz val="11"/>
      <color indexed="22"/>
      <name val="Meiryo UI"/>
      <family val="3"/>
      <charset val="128"/>
    </font>
    <font>
      <sz val="9"/>
      <color indexed="48"/>
      <name val="Meiryo UI"/>
      <family val="3"/>
      <charset val="128"/>
    </font>
    <font>
      <sz val="8"/>
      <color indexed="63"/>
      <name val="Meiryo UI"/>
      <family val="3"/>
      <charset val="128"/>
    </font>
    <font>
      <sz val="6"/>
      <name val="ＭＳ ゴシック"/>
      <family val="3"/>
      <charset val="128"/>
    </font>
    <font>
      <sz val="9"/>
      <color indexed="62"/>
      <name val="Meiryo UI"/>
      <family val="3"/>
      <charset val="128"/>
    </font>
    <font>
      <sz val="9"/>
      <color indexed="23"/>
      <name val="Meiryo UI"/>
      <family val="3"/>
      <charset val="128"/>
    </font>
    <font>
      <sz val="9"/>
      <color indexed="63"/>
      <name val="Meiryo UI"/>
      <family val="3"/>
      <charset val="128"/>
    </font>
    <font>
      <sz val="9"/>
      <color indexed="22"/>
      <name val="Meiryo UI"/>
      <family val="3"/>
      <charset val="128"/>
    </font>
    <font>
      <sz val="9"/>
      <color indexed="12"/>
      <name val="Meiryo UI"/>
      <family val="3"/>
      <charset val="128"/>
    </font>
    <font>
      <b/>
      <sz val="10"/>
      <color indexed="8"/>
      <name val="Meiryo UI"/>
      <family val="3"/>
      <charset val="128"/>
    </font>
    <font>
      <sz val="11"/>
      <color indexed="59"/>
      <name val="Meiryo UI"/>
      <family val="3"/>
      <charset val="128"/>
    </font>
    <font>
      <b/>
      <sz val="11"/>
      <color indexed="9"/>
      <name val="Meiryo UI"/>
      <family val="3"/>
      <charset val="128"/>
    </font>
    <font>
      <b/>
      <sz val="11"/>
      <color indexed="10"/>
      <name val="Meiryo UI"/>
      <family val="3"/>
      <charset val="128"/>
    </font>
    <font>
      <sz val="12"/>
      <color indexed="8"/>
      <name val="Meiryo UI"/>
      <family val="3"/>
      <charset val="128"/>
    </font>
    <font>
      <sz val="12"/>
      <name val="Meiryo UI"/>
      <family val="3"/>
      <charset val="128"/>
    </font>
    <font>
      <b/>
      <sz val="10"/>
      <color indexed="10"/>
      <name val="Meiryo UI"/>
      <family val="3"/>
      <charset val="128"/>
    </font>
    <font>
      <b/>
      <sz val="11"/>
      <color indexed="62"/>
      <name val="Meiryo UI"/>
      <family val="3"/>
      <charset val="128"/>
    </font>
    <font>
      <sz val="9"/>
      <color indexed="55"/>
      <name val="Meiryo UI"/>
      <family val="3"/>
      <charset val="128"/>
    </font>
    <font>
      <sz val="10"/>
      <color rgb="FF008000"/>
      <name val="等线"/>
      <family val="3"/>
      <charset val="134"/>
    </font>
    <font>
      <b/>
      <sz val="10"/>
      <color rgb="FFFFFFFF"/>
      <name val="Meiryo UI"/>
      <family val="3"/>
      <charset val="128"/>
    </font>
    <font>
      <sz val="9"/>
      <name val="Meiryo UI"/>
      <family val="2"/>
    </font>
    <font>
      <sz val="10"/>
      <color theme="1"/>
      <name val="Meiryo UI"/>
      <family val="3"/>
      <charset val="128"/>
    </font>
    <font>
      <b/>
      <sz val="10"/>
      <color rgb="FFFFFFFF"/>
      <name val="Meiryo UI"/>
      <family val="2"/>
    </font>
    <font>
      <b/>
      <sz val="10"/>
      <color rgb="FFFFFFFF"/>
      <name val="Meiryo UI"/>
      <family val="2"/>
      <charset val="128"/>
    </font>
    <font>
      <sz val="11"/>
      <color rgb="FFFFFFFF"/>
      <name val="Meiryo UI"/>
      <family val="2"/>
    </font>
    <font>
      <sz val="9"/>
      <color rgb="FFFFFFFF"/>
      <name val="Meiryo UI"/>
      <family val="2"/>
    </font>
    <font>
      <sz val="11"/>
      <color rgb="FF993366"/>
      <name val="等线"/>
      <family val="3"/>
      <charset val="134"/>
    </font>
    <font>
      <b/>
      <sz val="9"/>
      <color indexed="61"/>
      <name val="Meiryo UI"/>
      <family val="2"/>
    </font>
    <font>
      <b/>
      <sz val="10"/>
      <color rgb="FFFFFFFF"/>
      <name val="微软雅黑"/>
      <family val="2"/>
      <charset val="134"/>
    </font>
    <font>
      <sz val="10"/>
      <name val="微软雅黑"/>
      <family val="3"/>
      <charset val="134"/>
    </font>
    <font>
      <sz val="9"/>
      <name val="微软雅黑"/>
      <family val="3"/>
      <charset val="134"/>
    </font>
    <font>
      <b/>
      <sz val="10"/>
      <color rgb="FFFFFFFF"/>
      <name val="微软雅黑"/>
      <family val="3"/>
      <charset val="134"/>
    </font>
    <font>
      <sz val="11"/>
      <color rgb="FF993366"/>
      <name val="微软雅黑"/>
      <family val="3"/>
      <charset val="134"/>
    </font>
    <font>
      <sz val="9"/>
      <color theme="1"/>
      <name val="微软雅黑"/>
      <family val="3"/>
      <charset val="134"/>
    </font>
    <font>
      <sz val="11"/>
      <name val="等线"/>
      <family val="2"/>
      <charset val="134"/>
    </font>
    <font>
      <sz val="9"/>
      <name val="微软雅黑"/>
      <family val="2"/>
      <charset val="134"/>
    </font>
  </fonts>
  <fills count="23">
    <fill>
      <patternFill patternType="none"/>
    </fill>
    <fill>
      <patternFill patternType="gray125"/>
    </fill>
    <fill>
      <patternFill patternType="solid">
        <fgColor indexed="42"/>
        <bgColor indexed="64"/>
      </patternFill>
    </fill>
    <fill>
      <patternFill patternType="solid">
        <fgColor indexed="44"/>
        <bgColor indexed="64"/>
      </patternFill>
    </fill>
    <fill>
      <patternFill patternType="solid">
        <fgColor indexed="9"/>
        <bgColor indexed="64"/>
      </patternFill>
    </fill>
    <fill>
      <patternFill patternType="solid">
        <fgColor rgb="FF002060"/>
        <bgColor indexed="64"/>
      </patternFill>
    </fill>
    <fill>
      <patternFill patternType="solid">
        <fgColor rgb="FF1D4D77"/>
        <bgColor indexed="64"/>
      </patternFill>
    </fill>
    <fill>
      <patternFill patternType="solid">
        <fgColor rgb="FFCCFFCC"/>
        <bgColor indexed="64"/>
      </patternFill>
    </fill>
    <fill>
      <patternFill patternType="solid">
        <fgColor rgb="FF99CCFF"/>
        <bgColor indexed="64"/>
      </patternFill>
    </fill>
    <fill>
      <patternFill patternType="solid">
        <fgColor indexed="41"/>
        <bgColor indexed="64"/>
      </patternFill>
    </fill>
    <fill>
      <patternFill patternType="solid">
        <fgColor indexed="17"/>
        <bgColor indexed="64"/>
      </patternFill>
    </fill>
    <fill>
      <patternFill patternType="solid">
        <fgColor indexed="13"/>
        <bgColor indexed="64"/>
      </patternFill>
    </fill>
    <fill>
      <patternFill patternType="solid">
        <fgColor indexed="43"/>
        <bgColor indexed="64"/>
      </patternFill>
    </fill>
    <fill>
      <patternFill patternType="solid">
        <fgColor indexed="47"/>
        <bgColor indexed="64"/>
      </patternFill>
    </fill>
    <fill>
      <patternFill patternType="solid">
        <fgColor indexed="22"/>
        <bgColor indexed="64"/>
      </patternFill>
    </fill>
    <fill>
      <patternFill patternType="solid">
        <fgColor indexed="45"/>
        <bgColor indexed="64"/>
      </patternFill>
    </fill>
    <fill>
      <patternFill patternType="solid">
        <fgColor indexed="63"/>
        <bgColor indexed="64"/>
      </patternFill>
    </fill>
    <fill>
      <patternFill patternType="solid">
        <fgColor indexed="55"/>
        <bgColor indexed="64"/>
      </patternFill>
    </fill>
    <fill>
      <patternFill patternType="solid">
        <fgColor theme="0"/>
        <bgColor indexed="64"/>
      </patternFill>
    </fill>
    <fill>
      <patternFill patternType="solid">
        <fgColor theme="0" tint="-0.14999847407452621"/>
        <bgColor indexed="64"/>
      </patternFill>
    </fill>
    <fill>
      <patternFill patternType="solid">
        <fgColor theme="0"/>
        <bgColor indexed="45"/>
      </patternFill>
    </fill>
    <fill>
      <patternFill patternType="solid">
        <fgColor theme="0"/>
        <bgColor indexed="40"/>
      </patternFill>
    </fill>
    <fill>
      <patternFill patternType="solid">
        <fgColor rgb="FF92D050"/>
        <bgColor indexed="64"/>
      </patternFill>
    </fill>
  </fills>
  <borders count="78">
    <border>
      <left/>
      <right/>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top/>
      <bottom style="thick">
        <color theme="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right/>
      <top/>
      <bottom style="thick">
        <color indexed="18"/>
      </bottom>
      <diagonal/>
    </border>
    <border>
      <left style="medium">
        <color indexed="64"/>
      </left>
      <right style="medium">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ck">
        <color indexed="8"/>
      </bottom>
      <diagonal/>
    </border>
    <border>
      <left style="thin">
        <color indexed="23"/>
      </left>
      <right style="thin">
        <color indexed="23"/>
      </right>
      <top style="thin">
        <color indexed="23"/>
      </top>
      <bottom style="thin">
        <color indexed="23"/>
      </bottom>
      <diagonal/>
    </border>
    <border>
      <left/>
      <right style="thin">
        <color indexed="64"/>
      </right>
      <top/>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style="hair">
        <color indexed="64"/>
      </top>
      <bottom/>
      <diagonal/>
    </border>
    <border>
      <left style="hair">
        <color indexed="64"/>
      </left>
      <right style="hair">
        <color indexed="64"/>
      </right>
      <top style="hair">
        <color indexed="64"/>
      </top>
      <bottom/>
      <diagonal/>
    </border>
    <border>
      <left style="hair">
        <color indexed="64"/>
      </left>
      <right style="thin">
        <color indexed="64"/>
      </right>
      <top style="hair">
        <color indexed="64"/>
      </top>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indexed="64"/>
      </left>
      <right style="hair">
        <color indexed="64"/>
      </right>
      <top/>
      <bottom/>
      <diagonal/>
    </border>
    <border>
      <left style="thin">
        <color indexed="64"/>
      </left>
      <right style="hair">
        <color indexed="64"/>
      </right>
      <top style="thin">
        <color indexed="64"/>
      </top>
      <bottom style="hair">
        <color indexed="64"/>
      </bottom>
      <diagonal/>
    </border>
    <border>
      <left style="thin">
        <color indexed="64"/>
      </left>
      <right style="hair">
        <color indexed="64"/>
      </right>
      <top style="hair">
        <color indexed="64"/>
      </top>
      <bottom style="thin">
        <color indexed="64"/>
      </bottom>
      <diagonal/>
    </border>
    <border>
      <left style="medium">
        <color indexed="64"/>
      </left>
      <right/>
      <top style="mediumDashed">
        <color indexed="55"/>
      </top>
      <bottom/>
      <diagonal/>
    </border>
    <border>
      <left/>
      <right/>
      <top style="mediumDashed">
        <color indexed="55"/>
      </top>
      <bottom/>
      <diagonal/>
    </border>
    <border>
      <left/>
      <right style="medium">
        <color indexed="64"/>
      </right>
      <top style="mediumDashed">
        <color indexed="55"/>
      </top>
      <bottom/>
      <diagonal/>
    </border>
    <border>
      <left style="hair">
        <color indexed="64"/>
      </left>
      <right/>
      <top style="thin">
        <color indexed="64"/>
      </top>
      <bottom style="hair">
        <color indexed="64"/>
      </bottom>
      <diagonal/>
    </border>
    <border>
      <left style="thin">
        <color indexed="64"/>
      </left>
      <right style="hair">
        <color indexed="64"/>
      </right>
      <top/>
      <bottom/>
      <diagonal/>
    </border>
    <border>
      <left style="hair">
        <color indexed="64"/>
      </left>
      <right style="thin">
        <color indexed="64"/>
      </right>
      <top/>
      <bottom/>
      <diagonal/>
    </border>
    <border>
      <left style="thin">
        <color indexed="64"/>
      </left>
      <right style="hair">
        <color indexed="64"/>
      </right>
      <top/>
      <bottom style="hair">
        <color indexed="64"/>
      </bottom>
      <diagonal/>
    </border>
    <border>
      <left style="hair">
        <color indexed="64"/>
      </left>
      <right style="hair">
        <color indexed="64"/>
      </right>
      <top/>
      <bottom style="hair">
        <color indexed="64"/>
      </bottom>
      <diagonal/>
    </border>
    <border>
      <left style="hair">
        <color indexed="64"/>
      </left>
      <right style="thin">
        <color indexed="64"/>
      </right>
      <top/>
      <bottom style="hair">
        <color indexed="64"/>
      </bottom>
      <diagonal/>
    </border>
    <border>
      <left style="thin">
        <color indexed="64"/>
      </left>
      <right style="hair">
        <color indexed="23"/>
      </right>
      <top style="hair">
        <color indexed="64"/>
      </top>
      <bottom style="hair">
        <color indexed="23"/>
      </bottom>
      <diagonal/>
    </border>
    <border>
      <left style="hair">
        <color indexed="23"/>
      </left>
      <right style="hair">
        <color indexed="23"/>
      </right>
      <top style="hair">
        <color indexed="64"/>
      </top>
      <bottom style="hair">
        <color indexed="23"/>
      </bottom>
      <diagonal/>
    </border>
    <border>
      <left style="thin">
        <color indexed="64"/>
      </left>
      <right style="hair">
        <color indexed="23"/>
      </right>
      <top style="hair">
        <color indexed="23"/>
      </top>
      <bottom style="hair">
        <color indexed="23"/>
      </bottom>
      <diagonal/>
    </border>
    <border>
      <left style="hair">
        <color indexed="23"/>
      </left>
      <right style="hair">
        <color indexed="23"/>
      </right>
      <top style="hair">
        <color indexed="23"/>
      </top>
      <bottom style="hair">
        <color indexed="23"/>
      </bottom>
      <diagonal/>
    </border>
    <border>
      <left style="hair">
        <color indexed="23"/>
      </left>
      <right style="thin">
        <color indexed="64"/>
      </right>
      <top style="hair">
        <color indexed="23"/>
      </top>
      <bottom style="hair">
        <color indexed="23"/>
      </bottom>
      <diagonal/>
    </border>
    <border>
      <left style="thin">
        <color indexed="64"/>
      </left>
      <right style="hair">
        <color indexed="23"/>
      </right>
      <top style="hair">
        <color indexed="23"/>
      </top>
      <bottom style="thin">
        <color indexed="64"/>
      </bottom>
      <diagonal/>
    </border>
    <border>
      <left style="hair">
        <color indexed="23"/>
      </left>
      <right style="hair">
        <color indexed="23"/>
      </right>
      <top style="hair">
        <color indexed="23"/>
      </top>
      <bottom style="thin">
        <color indexed="64"/>
      </bottom>
      <diagonal/>
    </border>
    <border>
      <left style="hair">
        <color indexed="23"/>
      </left>
      <right style="thin">
        <color indexed="64"/>
      </right>
      <top style="hair">
        <color indexed="23"/>
      </top>
      <bottom style="thin">
        <color indexed="64"/>
      </bottom>
      <diagonal/>
    </border>
    <border>
      <left style="thin">
        <color indexed="64"/>
      </left>
      <right/>
      <top/>
      <bottom/>
      <diagonal/>
    </border>
    <border>
      <left style="medium">
        <color indexed="64"/>
      </left>
      <right/>
      <top/>
      <bottom style="mediumDashed">
        <color indexed="23"/>
      </bottom>
      <diagonal/>
    </border>
    <border>
      <left/>
      <right/>
      <top/>
      <bottom style="mediumDashed">
        <color indexed="23"/>
      </bottom>
      <diagonal/>
    </border>
    <border>
      <left/>
      <right style="medium">
        <color indexed="64"/>
      </right>
      <top/>
      <bottom style="mediumDashed">
        <color indexed="23"/>
      </bottom>
      <diagonal/>
    </border>
    <border>
      <left style="medium">
        <color indexed="64"/>
      </left>
      <right/>
      <top style="medium">
        <color indexed="64"/>
      </top>
      <bottom/>
      <diagonal/>
    </border>
    <border>
      <left style="medium">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hair">
        <color indexed="23"/>
      </left>
      <right style="thin">
        <color indexed="64"/>
      </right>
      <top style="hair">
        <color indexed="64"/>
      </top>
      <bottom style="hair">
        <color indexed="23"/>
      </bottom>
      <diagonal/>
    </border>
    <border>
      <left style="thin">
        <color indexed="64"/>
      </left>
      <right style="hair">
        <color indexed="23"/>
      </right>
      <top style="thin">
        <color indexed="64"/>
      </top>
      <bottom style="hair">
        <color indexed="23"/>
      </bottom>
      <diagonal/>
    </border>
    <border>
      <left style="hair">
        <color indexed="23"/>
      </left>
      <right/>
      <top style="thin">
        <color indexed="64"/>
      </top>
      <bottom style="hair">
        <color indexed="23"/>
      </bottom>
      <diagonal/>
    </border>
    <border>
      <left/>
      <right/>
      <top style="thin">
        <color indexed="64"/>
      </top>
      <bottom style="hair">
        <color indexed="23"/>
      </bottom>
      <diagonal/>
    </border>
    <border>
      <left/>
      <right style="thin">
        <color indexed="64"/>
      </right>
      <top style="thin">
        <color indexed="64"/>
      </top>
      <bottom style="hair">
        <color indexed="23"/>
      </bottom>
      <diagonal/>
    </border>
    <border>
      <left style="thin">
        <color indexed="23"/>
      </left>
      <right style="medium">
        <color indexed="64"/>
      </right>
      <top/>
      <bottom/>
      <diagonal/>
    </border>
    <border>
      <left style="hair">
        <color indexed="23"/>
      </left>
      <right/>
      <top style="hair">
        <color indexed="23"/>
      </top>
      <bottom style="hair">
        <color indexed="23"/>
      </bottom>
      <diagonal/>
    </border>
    <border>
      <left style="hair">
        <color indexed="23"/>
      </left>
      <right/>
      <top style="hair">
        <color indexed="23"/>
      </top>
      <bottom style="thin">
        <color indexed="64"/>
      </bottom>
      <diagonal/>
    </border>
    <border>
      <left style="medium">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top style="thin">
        <color indexed="64"/>
      </top>
      <bottom/>
      <diagonal/>
    </border>
    <border>
      <left style="medium">
        <color indexed="64"/>
      </left>
      <right/>
      <top/>
      <bottom style="thick">
        <color indexed="18"/>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s>
  <cellStyleXfs count="13">
    <xf numFmtId="0" fontId="0" fillId="0" borderId="0"/>
    <xf numFmtId="0" fontId="8" fillId="0" borderId="0" applyNumberFormat="0" applyFill="0" applyBorder="0" applyAlignment="0" applyProtection="0">
      <alignment vertical="center"/>
    </xf>
    <xf numFmtId="0" fontId="9" fillId="0" borderId="5" applyNumberFormat="0" applyFill="0" applyAlignment="0" applyProtection="0">
      <alignment vertical="center"/>
    </xf>
    <xf numFmtId="0" fontId="7" fillId="0" borderId="0"/>
    <xf numFmtId="0" fontId="1" fillId="0" borderId="0"/>
    <xf numFmtId="0" fontId="1" fillId="0" borderId="0">
      <alignment vertical="center"/>
    </xf>
    <xf numFmtId="0" fontId="2" fillId="0" borderId="0"/>
    <xf numFmtId="9" fontId="2" fillId="0" borderId="0" applyFont="0" applyFill="0" applyBorder="0" applyAlignment="0" applyProtection="0">
      <alignment vertical="center"/>
    </xf>
    <xf numFmtId="0" fontId="19" fillId="0" borderId="0" applyNumberFormat="0" applyFill="0" applyBorder="0" applyAlignment="0" applyProtection="0">
      <alignment vertical="top"/>
      <protection locked="0"/>
    </xf>
    <xf numFmtId="0" fontId="26" fillId="0" borderId="0" applyNumberFormat="0" applyFill="0" applyBorder="0" applyAlignment="0" applyProtection="0"/>
    <xf numFmtId="0" fontId="2" fillId="0" borderId="0"/>
    <xf numFmtId="0" fontId="7" fillId="0" borderId="0"/>
    <xf numFmtId="0" fontId="7" fillId="0" borderId="0"/>
  </cellStyleXfs>
  <cellXfs count="478">
    <xf numFmtId="0" fontId="0" fillId="0" borderId="0" xfId="0"/>
    <xf numFmtId="0" fontId="12" fillId="0" borderId="0" xfId="4" applyFont="1" applyAlignment="1">
      <alignment vertical="center"/>
    </xf>
    <xf numFmtId="0" fontId="14" fillId="0" borderId="2" xfId="4" applyFont="1" applyBorder="1" applyAlignment="1">
      <alignment vertical="center"/>
    </xf>
    <xf numFmtId="0" fontId="15" fillId="0" borderId="2" xfId="4" applyFont="1" applyBorder="1" applyAlignment="1">
      <alignment horizontal="center" vertical="center"/>
    </xf>
    <xf numFmtId="0" fontId="16" fillId="5" borderId="6" xfId="5" applyFont="1" applyFill="1" applyBorder="1" applyAlignment="1">
      <alignment horizontal="center" vertical="center" wrapText="1" readingOrder="1"/>
    </xf>
    <xf numFmtId="0" fontId="17" fillId="0" borderId="0" xfId="6" applyFont="1"/>
    <xf numFmtId="2" fontId="17" fillId="0" borderId="2" xfId="6" applyNumberFormat="1" applyFont="1" applyBorder="1"/>
    <xf numFmtId="14" fontId="17" fillId="0" borderId="2" xfId="6" applyNumberFormat="1" applyFont="1" applyBorder="1"/>
    <xf numFmtId="0" fontId="17" fillId="0" borderId="2" xfId="6" applyFont="1" applyBorder="1"/>
    <xf numFmtId="0" fontId="5" fillId="0" borderId="0" xfId="0" applyFont="1" applyAlignment="1">
      <alignment horizontal="right" vertical="center" wrapText="1"/>
    </xf>
    <xf numFmtId="9" fontId="5" fillId="7" borderId="7" xfId="0" applyNumberFormat="1" applyFont="1" applyFill="1" applyBorder="1" applyAlignment="1">
      <alignment horizontal="center" vertical="center" wrapText="1"/>
    </xf>
    <xf numFmtId="0" fontId="5" fillId="0" borderId="7" xfId="0" applyFont="1" applyBorder="1" applyAlignment="1">
      <alignment horizontal="center" vertical="center" wrapText="1"/>
    </xf>
    <xf numFmtId="9" fontId="5" fillId="2" borderId="7" xfId="0" applyNumberFormat="1" applyFont="1" applyFill="1" applyBorder="1" applyAlignment="1">
      <alignment horizontal="center" vertical="center" wrapText="1"/>
    </xf>
    <xf numFmtId="0" fontId="6" fillId="2" borderId="7" xfId="0" applyFont="1" applyFill="1" applyBorder="1" applyAlignment="1">
      <alignment horizontal="center" vertical="center" wrapText="1"/>
    </xf>
    <xf numFmtId="0" fontId="5" fillId="0" borderId="0" xfId="0" applyFont="1" applyAlignment="1">
      <alignment horizontal="left" vertical="center" wrapText="1"/>
    </xf>
    <xf numFmtId="9" fontId="5" fillId="0" borderId="7" xfId="7" applyFont="1" applyBorder="1" applyAlignment="1">
      <alignment horizontal="center" vertical="center" wrapText="1"/>
    </xf>
    <xf numFmtId="0" fontId="5" fillId="0" borderId="0" xfId="0" applyFont="1" applyAlignment="1">
      <alignment horizontal="center" vertical="center" wrapText="1"/>
    </xf>
    <xf numFmtId="0" fontId="6" fillId="2" borderId="8" xfId="0" applyFont="1" applyFill="1" applyBorder="1" applyAlignment="1">
      <alignment horizontal="center" vertical="center" wrapText="1"/>
    </xf>
    <xf numFmtId="0" fontId="4" fillId="0" borderId="0" xfId="0" applyFont="1" applyAlignment="1">
      <alignment horizontal="center" vertical="center" wrapText="1"/>
    </xf>
    <xf numFmtId="0" fontId="5" fillId="3" borderId="9" xfId="0" applyFont="1" applyFill="1" applyBorder="1" applyAlignment="1">
      <alignment horizontal="left" vertical="center" wrapText="1"/>
    </xf>
    <xf numFmtId="0" fontId="5" fillId="0" borderId="7" xfId="0" applyFont="1" applyBorder="1" applyAlignment="1">
      <alignment horizontal="right" vertical="center" wrapText="1"/>
    </xf>
    <xf numFmtId="0" fontId="5" fillId="0" borderId="7" xfId="0" applyFont="1" applyBorder="1" applyAlignment="1">
      <alignment horizontal="left" vertical="center" wrapText="1"/>
    </xf>
    <xf numFmtId="0" fontId="5" fillId="4" borderId="7" xfId="0" applyFont="1" applyFill="1" applyBorder="1" applyAlignment="1">
      <alignment horizontal="left" vertical="center" wrapText="1"/>
    </xf>
    <xf numFmtId="0" fontId="5" fillId="3" borderId="9" xfId="0" applyFont="1" applyFill="1" applyBorder="1" applyAlignment="1">
      <alignment horizontal="left" vertical="center"/>
    </xf>
    <xf numFmtId="0" fontId="22" fillId="8" borderId="7" xfId="0" applyFont="1" applyFill="1" applyBorder="1" applyAlignment="1">
      <alignment horizontal="left" vertical="center"/>
    </xf>
    <xf numFmtId="0" fontId="22" fillId="8" borderId="3" xfId="0" applyFont="1" applyFill="1" applyBorder="1" applyAlignment="1">
      <alignment horizontal="left" vertical="center"/>
    </xf>
    <xf numFmtId="0" fontId="22" fillId="8" borderId="1" xfId="0" applyFont="1" applyFill="1" applyBorder="1" applyAlignment="1">
      <alignment horizontal="left" vertical="center"/>
    </xf>
    <xf numFmtId="0" fontId="25" fillId="0" borderId="0" xfId="0" applyFont="1"/>
    <xf numFmtId="0" fontId="23" fillId="0" borderId="0" xfId="9" applyFont="1" applyAlignment="1"/>
    <xf numFmtId="0" fontId="6" fillId="0" borderId="0" xfId="0" applyFont="1"/>
    <xf numFmtId="0" fontId="27" fillId="9" borderId="10" xfId="0" applyFont="1" applyFill="1" applyBorder="1" applyAlignment="1">
      <alignment horizontal="left"/>
    </xf>
    <xf numFmtId="0" fontId="28" fillId="9" borderId="10" xfId="0" applyFont="1" applyFill="1" applyBorder="1" applyAlignment="1">
      <alignment horizontal="left"/>
    </xf>
    <xf numFmtId="0" fontId="29" fillId="9" borderId="10" xfId="0" applyFont="1" applyFill="1" applyBorder="1" applyAlignment="1">
      <alignment horizontal="left"/>
    </xf>
    <xf numFmtId="0" fontId="30" fillId="0" borderId="0" xfId="0" applyFont="1"/>
    <xf numFmtId="0" fontId="4" fillId="0" borderId="0" xfId="0" applyFont="1"/>
    <xf numFmtId="0" fontId="32" fillId="11" borderId="12" xfId="0" applyFont="1" applyFill="1" applyBorder="1" applyAlignment="1">
      <alignment vertical="center"/>
    </xf>
    <xf numFmtId="0" fontId="32" fillId="11" borderId="13" xfId="0" applyFont="1" applyFill="1" applyBorder="1" applyAlignment="1">
      <alignment vertical="center"/>
    </xf>
    <xf numFmtId="0" fontId="35" fillId="0" borderId="18" xfId="0" applyFont="1" applyBorder="1"/>
    <xf numFmtId="0" fontId="35" fillId="0" borderId="0" xfId="0" applyFont="1"/>
    <xf numFmtId="0" fontId="35" fillId="0" borderId="19" xfId="0" applyFont="1" applyBorder="1"/>
    <xf numFmtId="0" fontId="36" fillId="0" borderId="18" xfId="0" applyFont="1" applyBorder="1"/>
    <xf numFmtId="0" fontId="32" fillId="0" borderId="19" xfId="0" applyFont="1" applyBorder="1"/>
    <xf numFmtId="0" fontId="39" fillId="0" borderId="0" xfId="0" applyFont="1"/>
    <xf numFmtId="0" fontId="6" fillId="0" borderId="18" xfId="0" applyFont="1" applyBorder="1"/>
    <xf numFmtId="0" fontId="32" fillId="0" borderId="0" xfId="0" applyFont="1"/>
    <xf numFmtId="0" fontId="42" fillId="0" borderId="0" xfId="0" applyFont="1"/>
    <xf numFmtId="0" fontId="45" fillId="0" borderId="0" xfId="0" applyFont="1"/>
    <xf numFmtId="0" fontId="6" fillId="0" borderId="20" xfId="0" applyFont="1" applyBorder="1"/>
    <xf numFmtId="0" fontId="6" fillId="0" borderId="21" xfId="0" applyFont="1" applyBorder="1"/>
    <xf numFmtId="0" fontId="32" fillId="0" borderId="21" xfId="0" applyFont="1" applyBorder="1"/>
    <xf numFmtId="0" fontId="32" fillId="0" borderId="22" xfId="0" applyFont="1" applyBorder="1"/>
    <xf numFmtId="0" fontId="46" fillId="12" borderId="23" xfId="10" applyFont="1" applyFill="1" applyBorder="1"/>
    <xf numFmtId="0" fontId="25" fillId="0" borderId="0" xfId="10" applyFont="1"/>
    <xf numFmtId="0" fontId="48" fillId="0" borderId="0" xfId="10" applyFont="1"/>
    <xf numFmtId="0" fontId="28" fillId="0" borderId="0" xfId="10" applyFont="1" applyAlignment="1">
      <alignment horizontal="left"/>
    </xf>
    <xf numFmtId="0" fontId="29" fillId="0" borderId="0" xfId="10" applyFont="1" applyAlignment="1">
      <alignment horizontal="left"/>
    </xf>
    <xf numFmtId="0" fontId="4" fillId="0" borderId="0" xfId="10" applyFont="1" applyAlignment="1">
      <alignment horizontal="left"/>
    </xf>
    <xf numFmtId="49" fontId="5" fillId="0" borderId="0" xfId="0" applyNumberFormat="1" applyFont="1"/>
    <xf numFmtId="49" fontId="5" fillId="13" borderId="24" xfId="0" applyNumberFormat="1" applyFont="1" applyFill="1" applyBorder="1" applyAlignment="1">
      <alignment horizontal="center"/>
    </xf>
    <xf numFmtId="49" fontId="5" fillId="14" borderId="24" xfId="0" applyNumberFormat="1" applyFont="1" applyFill="1" applyBorder="1" applyAlignment="1">
      <alignment horizontal="center"/>
    </xf>
    <xf numFmtId="49" fontId="5" fillId="15" borderId="24" xfId="0" applyNumberFormat="1" applyFont="1" applyFill="1" applyBorder="1" applyAlignment="1">
      <alignment horizontal="center"/>
    </xf>
    <xf numFmtId="0" fontId="6" fillId="0" borderId="24" xfId="10" applyFont="1" applyBorder="1" applyAlignment="1">
      <alignment horizontal="center"/>
    </xf>
    <xf numFmtId="49" fontId="5" fillId="4" borderId="0" xfId="0" applyNumberFormat="1" applyFont="1" applyFill="1"/>
    <xf numFmtId="49" fontId="5" fillId="4" borderId="0" xfId="0" applyNumberFormat="1" applyFont="1" applyFill="1" applyAlignment="1">
      <alignment horizontal="center"/>
    </xf>
    <xf numFmtId="0" fontId="6" fillId="4" borderId="0" xfId="10" applyFont="1" applyFill="1" applyAlignment="1">
      <alignment horizontal="center"/>
    </xf>
    <xf numFmtId="0" fontId="6" fillId="0" borderId="0" xfId="10" applyFont="1" applyAlignment="1">
      <alignment horizontal="center"/>
    </xf>
    <xf numFmtId="49" fontId="25" fillId="0" borderId="0" xfId="0" applyNumberFormat="1" applyFont="1"/>
    <xf numFmtId="0" fontId="49" fillId="0" borderId="25" xfId="0" applyFont="1" applyBorder="1" applyAlignment="1">
      <alignment horizontal="center" textRotation="255"/>
    </xf>
    <xf numFmtId="0" fontId="25" fillId="16" borderId="0" xfId="0" applyFont="1" applyFill="1" applyAlignment="1">
      <alignment horizontal="center"/>
    </xf>
    <xf numFmtId="0" fontId="25" fillId="4" borderId="0" xfId="0" applyFont="1" applyFill="1" applyAlignment="1">
      <alignment horizontal="center"/>
    </xf>
    <xf numFmtId="0" fontId="25" fillId="0" borderId="0" xfId="0" applyFont="1" applyAlignment="1">
      <alignment horizontal="center"/>
    </xf>
    <xf numFmtId="0" fontId="51" fillId="4" borderId="0" xfId="0" applyFont="1" applyFill="1" applyAlignment="1">
      <alignment horizontal="center"/>
    </xf>
    <xf numFmtId="0" fontId="51" fillId="0" borderId="0" xfId="0" applyFont="1" applyAlignment="1">
      <alignment horizontal="center"/>
    </xf>
    <xf numFmtId="0" fontId="52" fillId="0" borderId="0" xfId="0" applyFont="1" applyAlignment="1">
      <alignment horizontal="center" textRotation="255" wrapText="1"/>
    </xf>
    <xf numFmtId="49" fontId="53" fillId="0" borderId="0" xfId="0" applyNumberFormat="1" applyFont="1" applyAlignment="1">
      <alignment textRotation="255"/>
    </xf>
    <xf numFmtId="0" fontId="54" fillId="0" borderId="25" xfId="0" applyFont="1" applyBorder="1" applyAlignment="1">
      <alignment horizontal="center" textRotation="255"/>
    </xf>
    <xf numFmtId="0" fontId="5" fillId="4" borderId="0" xfId="0" applyFont="1" applyFill="1" applyAlignment="1">
      <alignment horizontal="center" textRotation="255"/>
    </xf>
    <xf numFmtId="0" fontId="25" fillId="0" borderId="0" xfId="0" applyFont="1" applyAlignment="1">
      <alignment horizontal="center" textRotation="255"/>
    </xf>
    <xf numFmtId="0" fontId="25" fillId="0" borderId="0" xfId="0" applyFont="1" applyAlignment="1">
      <alignment textRotation="255"/>
    </xf>
    <xf numFmtId="0" fontId="55" fillId="0" borderId="0" xfId="0" applyFont="1" applyAlignment="1">
      <alignment horizontal="center"/>
    </xf>
    <xf numFmtId="49" fontId="56" fillId="0" borderId="0" xfId="0" applyNumberFormat="1" applyFont="1" applyAlignment="1">
      <alignment horizontal="center"/>
    </xf>
    <xf numFmtId="0" fontId="57" fillId="0" borderId="0" xfId="0" applyFont="1" applyAlignment="1">
      <alignment horizontal="center"/>
    </xf>
    <xf numFmtId="0" fontId="55" fillId="0" borderId="0" xfId="0" applyFont="1" applyAlignment="1">
      <alignment horizontal="center" vertical="center"/>
    </xf>
    <xf numFmtId="49" fontId="57" fillId="0" borderId="0" xfId="0" applyNumberFormat="1" applyFont="1" applyAlignment="1">
      <alignment horizontal="right"/>
    </xf>
    <xf numFmtId="0" fontId="58" fillId="0" borderId="0" xfId="0" applyFont="1" applyAlignment="1">
      <alignment horizontal="center"/>
    </xf>
    <xf numFmtId="49" fontId="25" fillId="4" borderId="0" xfId="0" applyNumberFormat="1" applyFont="1" applyFill="1" applyAlignment="1">
      <alignment horizontal="center"/>
    </xf>
    <xf numFmtId="0" fontId="59" fillId="0" borderId="0" xfId="0" applyFont="1" applyAlignment="1">
      <alignment horizontal="center" vertical="center"/>
    </xf>
    <xf numFmtId="0" fontId="60" fillId="0" borderId="0" xfId="0" applyFont="1" applyAlignment="1">
      <alignment horizontal="center" vertical="center"/>
    </xf>
    <xf numFmtId="0" fontId="57" fillId="0" borderId="0" xfId="0" applyFont="1"/>
    <xf numFmtId="49" fontId="25" fillId="0" borderId="0" xfId="0" applyNumberFormat="1" applyFont="1" applyAlignment="1">
      <alignment horizontal="center"/>
    </xf>
    <xf numFmtId="49" fontId="62" fillId="0" borderId="0" xfId="0" applyNumberFormat="1" applyFont="1" applyAlignment="1">
      <alignment horizontal="center"/>
    </xf>
    <xf numFmtId="49" fontId="51" fillId="0" borderId="0" xfId="0" applyNumberFormat="1" applyFont="1" applyAlignment="1">
      <alignment horizontal="center"/>
    </xf>
    <xf numFmtId="49" fontId="63" fillId="16" borderId="0" xfId="0" applyNumberFormat="1" applyFont="1" applyFill="1" applyAlignment="1">
      <alignment horizontal="center" vertical="center"/>
    </xf>
    <xf numFmtId="0" fontId="5" fillId="16" borderId="0" xfId="0" applyFont="1" applyFill="1" applyAlignment="1">
      <alignment horizontal="center"/>
    </xf>
    <xf numFmtId="0" fontId="5" fillId="16" borderId="0" xfId="0" applyFont="1" applyFill="1"/>
    <xf numFmtId="0" fontId="64" fillId="0" borderId="25" xfId="0" applyFont="1" applyBorder="1" applyAlignment="1">
      <alignment horizontal="center" textRotation="255"/>
    </xf>
    <xf numFmtId="0" fontId="48" fillId="9" borderId="10" xfId="10" applyFont="1" applyFill="1" applyBorder="1"/>
    <xf numFmtId="0" fontId="32" fillId="11" borderId="12" xfId="10" applyFont="1" applyFill="1" applyBorder="1" applyAlignment="1">
      <alignment vertical="center"/>
    </xf>
    <xf numFmtId="0" fontId="32" fillId="11" borderId="13" xfId="10" applyFont="1" applyFill="1" applyBorder="1" applyAlignment="1">
      <alignment vertical="center"/>
    </xf>
    <xf numFmtId="0" fontId="43" fillId="0" borderId="18" xfId="0" applyFont="1" applyBorder="1"/>
    <xf numFmtId="0" fontId="43" fillId="0" borderId="0" xfId="0" applyFont="1"/>
    <xf numFmtId="0" fontId="43" fillId="0" borderId="19" xfId="0" applyFont="1" applyBorder="1"/>
    <xf numFmtId="0" fontId="25" fillId="0" borderId="18" xfId="0" applyFont="1" applyBorder="1"/>
    <xf numFmtId="0" fontId="68" fillId="0" borderId="18" xfId="0" applyFont="1" applyBorder="1"/>
    <xf numFmtId="0" fontId="68" fillId="0" borderId="0" xfId="0" applyFont="1"/>
    <xf numFmtId="0" fontId="38" fillId="0" borderId="0" xfId="0" applyFont="1"/>
    <xf numFmtId="0" fontId="43" fillId="0" borderId="39" xfId="0" applyFont="1" applyBorder="1"/>
    <xf numFmtId="0" fontId="43" fillId="0" borderId="40" xfId="0" applyFont="1" applyBorder="1"/>
    <xf numFmtId="0" fontId="43" fillId="0" borderId="41" xfId="0" applyFont="1" applyBorder="1"/>
    <xf numFmtId="0" fontId="25" fillId="0" borderId="15" xfId="0" applyFont="1" applyBorder="1"/>
    <xf numFmtId="0" fontId="25" fillId="0" borderId="16" xfId="0" applyFont="1" applyBorder="1"/>
    <xf numFmtId="0" fontId="32" fillId="0" borderId="16" xfId="0" applyFont="1" applyBorder="1"/>
    <xf numFmtId="0" fontId="32" fillId="0" borderId="17" xfId="0" applyFont="1" applyBorder="1"/>
    <xf numFmtId="0" fontId="43" fillId="0" borderId="18" xfId="0" applyFont="1" applyBorder="1" applyAlignment="1">
      <alignment vertical="top"/>
    </xf>
    <xf numFmtId="0" fontId="43" fillId="0" borderId="0" xfId="0" applyFont="1" applyAlignment="1">
      <alignment vertical="center"/>
    </xf>
    <xf numFmtId="0" fontId="43" fillId="0" borderId="19" xfId="0" applyFont="1" applyBorder="1" applyAlignment="1">
      <alignment vertical="center"/>
    </xf>
    <xf numFmtId="0" fontId="52" fillId="0" borderId="0" xfId="0" applyFont="1"/>
    <xf numFmtId="0" fontId="25" fillId="0" borderId="20" xfId="0" applyFont="1" applyBorder="1"/>
    <xf numFmtId="0" fontId="25" fillId="0" borderId="21" xfId="0" applyFont="1" applyBorder="1"/>
    <xf numFmtId="0" fontId="71" fillId="0" borderId="0" xfId="10" applyFont="1"/>
    <xf numFmtId="0" fontId="72" fillId="0" borderId="18" xfId="0" applyFont="1" applyBorder="1"/>
    <xf numFmtId="0" fontId="73" fillId="0" borderId="0" xfId="0" applyFont="1"/>
    <xf numFmtId="0" fontId="25" fillId="0" borderId="19" xfId="0" applyFont="1" applyBorder="1"/>
    <xf numFmtId="49" fontId="63" fillId="16" borderId="37" xfId="0" applyNumberFormat="1" applyFont="1" applyFill="1" applyBorder="1" applyAlignment="1">
      <alignment horizontal="center" vertical="center"/>
    </xf>
    <xf numFmtId="0" fontId="25" fillId="0" borderId="19" xfId="0" applyFont="1" applyBorder="1" applyAlignment="1">
      <alignment horizontal="left" vertical="center"/>
    </xf>
    <xf numFmtId="0" fontId="5" fillId="0" borderId="0" xfId="0" applyFont="1" applyAlignment="1">
      <alignment horizontal="left"/>
    </xf>
    <xf numFmtId="0" fontId="74" fillId="0" borderId="18" xfId="11" applyFont="1" applyBorder="1" applyAlignment="1">
      <alignment horizontal="center" vertical="center"/>
    </xf>
    <xf numFmtId="0" fontId="6" fillId="2" borderId="28" xfId="0" applyFont="1" applyFill="1" applyBorder="1" applyAlignment="1">
      <alignment horizontal="center"/>
    </xf>
    <xf numFmtId="0" fontId="6" fillId="2" borderId="29" xfId="0" applyFont="1" applyFill="1" applyBorder="1" applyAlignment="1">
      <alignment horizontal="center"/>
    </xf>
    <xf numFmtId="0" fontId="75" fillId="2" borderId="29" xfId="12" applyFont="1" applyFill="1" applyBorder="1" applyAlignment="1">
      <alignment horizontal="center"/>
    </xf>
    <xf numFmtId="0" fontId="75" fillId="2" borderId="30" xfId="12" applyFont="1" applyFill="1" applyBorder="1" applyAlignment="1">
      <alignment horizontal="center"/>
    </xf>
    <xf numFmtId="0" fontId="75" fillId="0" borderId="19" xfId="12" applyFont="1" applyBorder="1" applyAlignment="1">
      <alignment horizontal="center"/>
    </xf>
    <xf numFmtId="0" fontId="33" fillId="0" borderId="0" xfId="3" applyFont="1" applyAlignment="1">
      <alignment horizontal="center"/>
    </xf>
    <xf numFmtId="49" fontId="5" fillId="0" borderId="18" xfId="0" applyNumberFormat="1" applyFont="1" applyBorder="1" applyAlignment="1">
      <alignment horizontal="center"/>
    </xf>
    <xf numFmtId="0" fontId="5" fillId="2" borderId="28" xfId="0" applyFont="1" applyFill="1" applyBorder="1" applyAlignment="1">
      <alignment horizontal="center"/>
    </xf>
    <xf numFmtId="0" fontId="5" fillId="2" borderId="29" xfId="0" applyFont="1" applyFill="1" applyBorder="1" applyAlignment="1">
      <alignment horizontal="center"/>
    </xf>
    <xf numFmtId="0" fontId="77" fillId="2" borderId="29" xfId="11" applyFont="1" applyFill="1" applyBorder="1" applyAlignment="1">
      <alignment horizontal="center" vertical="center"/>
    </xf>
    <xf numFmtId="0" fontId="77" fillId="2" borderId="30" xfId="11" applyFont="1" applyFill="1" applyBorder="1" applyAlignment="1">
      <alignment horizontal="center" vertical="center"/>
    </xf>
    <xf numFmtId="0" fontId="77" fillId="0" borderId="19" xfId="11" applyFont="1" applyBorder="1" applyAlignment="1">
      <alignment horizontal="center" vertical="center"/>
    </xf>
    <xf numFmtId="0" fontId="77" fillId="0" borderId="0" xfId="3" applyFont="1" applyAlignment="1">
      <alignment horizontal="center"/>
    </xf>
    <xf numFmtId="0" fontId="78" fillId="0" borderId="28" xfId="0" applyFont="1" applyBorder="1" applyAlignment="1">
      <alignment horizontal="center"/>
    </xf>
    <xf numFmtId="0" fontId="78" fillId="0" borderId="29" xfId="0" applyFont="1" applyBorder="1" applyAlignment="1">
      <alignment horizontal="center"/>
    </xf>
    <xf numFmtId="176" fontId="78" fillId="0" borderId="29" xfId="0" applyNumberFormat="1" applyFont="1" applyBorder="1"/>
    <xf numFmtId="49" fontId="78" fillId="0" borderId="29" xfId="0" applyNumberFormat="1" applyFont="1" applyBorder="1" applyAlignment="1">
      <alignment horizontal="center"/>
    </xf>
    <xf numFmtId="49" fontId="78" fillId="0" borderId="30" xfId="0" applyNumberFormat="1" applyFont="1" applyBorder="1" applyAlignment="1">
      <alignment horizontal="center"/>
    </xf>
    <xf numFmtId="49" fontId="78" fillId="0" borderId="19" xfId="0" applyNumberFormat="1" applyFont="1" applyBorder="1" applyAlignment="1">
      <alignment horizontal="center"/>
    </xf>
    <xf numFmtId="49" fontId="5" fillId="0" borderId="0" xfId="0" applyNumberFormat="1" applyFont="1" applyAlignment="1">
      <alignment horizontal="center"/>
    </xf>
    <xf numFmtId="0" fontId="79" fillId="13" borderId="28" xfId="0" applyFont="1" applyFill="1" applyBorder="1" applyAlignment="1">
      <alignment horizontal="center"/>
    </xf>
    <xf numFmtId="0" fontId="79" fillId="13" borderId="29" xfId="0" applyFont="1" applyFill="1" applyBorder="1" applyAlignment="1">
      <alignment horizontal="center"/>
    </xf>
    <xf numFmtId="176" fontId="79" fillId="13" borderId="29" xfId="0" applyNumberFormat="1" applyFont="1" applyFill="1" applyBorder="1"/>
    <xf numFmtId="49" fontId="79" fillId="13" borderId="29" xfId="0" applyNumberFormat="1" applyFont="1" applyFill="1" applyBorder="1" applyAlignment="1">
      <alignment horizontal="center"/>
    </xf>
    <xf numFmtId="49" fontId="79" fillId="13" borderId="30" xfId="0" applyNumberFormat="1" applyFont="1" applyFill="1" applyBorder="1" applyAlignment="1">
      <alignment horizontal="center"/>
    </xf>
    <xf numFmtId="49" fontId="79" fillId="0" borderId="0" xfId="0" applyNumberFormat="1" applyFont="1" applyAlignment="1">
      <alignment horizontal="center"/>
    </xf>
    <xf numFmtId="0" fontId="5" fillId="0" borderId="0" xfId="0" applyFont="1"/>
    <xf numFmtId="0" fontId="78" fillId="0" borderId="38" xfId="0" applyFont="1" applyBorder="1" applyAlignment="1">
      <alignment horizontal="center"/>
    </xf>
    <xf numFmtId="0" fontId="78" fillId="0" borderId="34" xfId="0" applyFont="1" applyBorder="1" applyAlignment="1">
      <alignment horizontal="center"/>
    </xf>
    <xf numFmtId="176" fontId="78" fillId="0" borderId="34" xfId="0" applyNumberFormat="1" applyFont="1" applyBorder="1" applyAlignment="1">
      <alignment horizontal="right"/>
    </xf>
    <xf numFmtId="49" fontId="78" fillId="0" borderId="34" xfId="0" applyNumberFormat="1" applyFont="1" applyBorder="1" applyAlignment="1">
      <alignment horizontal="center"/>
    </xf>
    <xf numFmtId="49" fontId="78" fillId="0" borderId="35" xfId="0" applyNumberFormat="1" applyFont="1" applyBorder="1" applyAlignment="1">
      <alignment horizontal="center"/>
    </xf>
    <xf numFmtId="0" fontId="80" fillId="0" borderId="0" xfId="0" applyFont="1" applyAlignment="1">
      <alignment horizontal="center"/>
    </xf>
    <xf numFmtId="176" fontId="80" fillId="0" borderId="0" xfId="0" applyNumberFormat="1" applyFont="1" applyAlignment="1">
      <alignment horizontal="right"/>
    </xf>
    <xf numFmtId="49" fontId="80" fillId="0" borderId="0" xfId="0" applyNumberFormat="1" applyFont="1" applyAlignment="1">
      <alignment horizontal="center"/>
    </xf>
    <xf numFmtId="176" fontId="80" fillId="0" borderId="0" xfId="0" applyNumberFormat="1" applyFont="1"/>
    <xf numFmtId="0" fontId="81" fillId="0" borderId="0" xfId="0" applyFont="1" applyAlignment="1">
      <alignment horizontal="center" wrapText="1"/>
    </xf>
    <xf numFmtId="0" fontId="81" fillId="0" borderId="0" xfId="0" applyFont="1"/>
    <xf numFmtId="49" fontId="78" fillId="0" borderId="0" xfId="0" applyNumberFormat="1" applyFont="1" applyAlignment="1">
      <alignment horizontal="center"/>
    </xf>
    <xf numFmtId="0" fontId="81" fillId="0" borderId="0" xfId="0" applyFont="1" applyAlignment="1">
      <alignment horizontal="left" wrapText="1"/>
    </xf>
    <xf numFmtId="49" fontId="5" fillId="0" borderId="19" xfId="0" applyNumberFormat="1" applyFont="1" applyBorder="1" applyAlignment="1">
      <alignment horizontal="center"/>
    </xf>
    <xf numFmtId="0" fontId="78" fillId="0" borderId="31" xfId="0" applyFont="1" applyBorder="1" applyAlignment="1">
      <alignment horizontal="center"/>
    </xf>
    <xf numFmtId="0" fontId="78" fillId="0" borderId="32" xfId="0" applyFont="1" applyBorder="1" applyAlignment="1">
      <alignment horizontal="center"/>
    </xf>
    <xf numFmtId="176" fontId="78" fillId="0" borderId="32" xfId="0" applyNumberFormat="1" applyFont="1" applyBorder="1"/>
    <xf numFmtId="49" fontId="78" fillId="0" borderId="32" xfId="0" applyNumberFormat="1" applyFont="1" applyBorder="1" applyAlignment="1">
      <alignment horizontal="center"/>
    </xf>
    <xf numFmtId="49" fontId="78" fillId="0" borderId="33" xfId="0" applyNumberFormat="1" applyFont="1" applyBorder="1" applyAlignment="1">
      <alignment horizontal="center"/>
    </xf>
    <xf numFmtId="0" fontId="78" fillId="0" borderId="43" xfId="0" applyFont="1" applyBorder="1" applyAlignment="1">
      <alignment horizontal="center"/>
    </xf>
    <xf numFmtId="0" fontId="78" fillId="0" borderId="36" xfId="0" applyFont="1" applyBorder="1" applyAlignment="1">
      <alignment horizontal="center"/>
    </xf>
    <xf numFmtId="176" fontId="78" fillId="0" borderId="36" xfId="0" applyNumberFormat="1" applyFont="1" applyBorder="1"/>
    <xf numFmtId="49" fontId="78" fillId="0" borderId="36" xfId="0" applyNumberFormat="1" applyFont="1" applyBorder="1" applyAlignment="1">
      <alignment horizontal="center"/>
    </xf>
    <xf numFmtId="49" fontId="78" fillId="0" borderId="44" xfId="0" applyNumberFormat="1" applyFont="1" applyBorder="1" applyAlignment="1">
      <alignment horizontal="center"/>
    </xf>
    <xf numFmtId="0" fontId="78" fillId="0" borderId="45" xfId="0" applyFont="1" applyBorder="1" applyAlignment="1">
      <alignment horizontal="center"/>
    </xf>
    <xf numFmtId="0" fontId="78" fillId="0" borderId="46" xfId="0" applyFont="1" applyBorder="1" applyAlignment="1">
      <alignment horizontal="center"/>
    </xf>
    <xf numFmtId="176" fontId="78" fillId="0" borderId="46" xfId="0" applyNumberFormat="1" applyFont="1" applyBorder="1"/>
    <xf numFmtId="49" fontId="78" fillId="0" borderId="46" xfId="0" applyNumberFormat="1" applyFont="1" applyBorder="1" applyAlignment="1">
      <alignment horizontal="center"/>
    </xf>
    <xf numFmtId="49" fontId="78" fillId="0" borderId="47" xfId="0" applyNumberFormat="1" applyFont="1" applyBorder="1" applyAlignment="1">
      <alignment horizontal="center"/>
    </xf>
    <xf numFmtId="0" fontId="78" fillId="0" borderId="48" xfId="0" applyFont="1" applyBorder="1" applyAlignment="1">
      <alignment horizontal="center"/>
    </xf>
    <xf numFmtId="0" fontId="78" fillId="0" borderId="49" xfId="0" applyFont="1" applyBorder="1" applyAlignment="1">
      <alignment horizontal="center"/>
    </xf>
    <xf numFmtId="176" fontId="78" fillId="0" borderId="49" xfId="0" applyNumberFormat="1" applyFont="1" applyBorder="1"/>
    <xf numFmtId="49" fontId="78" fillId="0" borderId="49" xfId="0" applyNumberFormat="1" applyFont="1" applyBorder="1" applyAlignment="1">
      <alignment horizontal="center"/>
    </xf>
    <xf numFmtId="0" fontId="78" fillId="0" borderId="50" xfId="0" applyFont="1" applyBorder="1" applyAlignment="1">
      <alignment horizontal="center"/>
    </xf>
    <xf numFmtId="0" fontId="78" fillId="0" borderId="51" xfId="0" applyFont="1" applyBorder="1" applyAlignment="1">
      <alignment horizontal="center"/>
    </xf>
    <xf numFmtId="176" fontId="78" fillId="0" borderId="51" xfId="0" applyNumberFormat="1" applyFont="1" applyBorder="1"/>
    <xf numFmtId="49" fontId="78" fillId="0" borderId="51" xfId="0" applyNumberFormat="1" applyFont="1" applyBorder="1" applyAlignment="1">
      <alignment horizontal="center"/>
    </xf>
    <xf numFmtId="176" fontId="52" fillId="0" borderId="51" xfId="0" applyNumberFormat="1" applyFont="1" applyBorder="1"/>
    <xf numFmtId="49" fontId="81" fillId="0" borderId="51" xfId="0" applyNumberFormat="1" applyFont="1" applyBorder="1" applyAlignment="1">
      <alignment horizontal="center"/>
    </xf>
    <xf numFmtId="49" fontId="81" fillId="0" borderId="29" xfId="0" applyNumberFormat="1" applyFont="1" applyBorder="1" applyAlignment="1">
      <alignment horizontal="center"/>
    </xf>
    <xf numFmtId="49" fontId="52" fillId="0" borderId="51" xfId="0" applyNumberFormat="1" applyFont="1" applyBorder="1" applyAlignment="1">
      <alignment horizontal="center"/>
    </xf>
    <xf numFmtId="49" fontId="52" fillId="0" borderId="52" xfId="0" applyNumberFormat="1" applyFont="1" applyBorder="1" applyAlignment="1">
      <alignment horizontal="center"/>
    </xf>
    <xf numFmtId="176" fontId="78" fillId="0" borderId="51" xfId="0" applyNumberFormat="1" applyFont="1" applyBorder="1" applyAlignment="1">
      <alignment horizontal="right"/>
    </xf>
    <xf numFmtId="49" fontId="78" fillId="0" borderId="52" xfId="0" applyNumberFormat="1" applyFont="1" applyBorder="1" applyAlignment="1">
      <alignment horizontal="center"/>
    </xf>
    <xf numFmtId="0" fontId="78" fillId="0" borderId="53" xfId="0" applyFont="1" applyBorder="1" applyAlignment="1">
      <alignment horizontal="center"/>
    </xf>
    <xf numFmtId="0" fontId="78" fillId="0" borderId="54" xfId="0" applyFont="1" applyBorder="1" applyAlignment="1">
      <alignment horizontal="center"/>
    </xf>
    <xf numFmtId="176" fontId="78" fillId="0" borderId="54" xfId="0" applyNumberFormat="1" applyFont="1" applyBorder="1"/>
    <xf numFmtId="49" fontId="78" fillId="0" borderId="54" xfId="0" applyNumberFormat="1" applyFont="1" applyBorder="1" applyAlignment="1">
      <alignment horizontal="center"/>
    </xf>
    <xf numFmtId="49" fontId="78" fillId="0" borderId="55" xfId="0" applyNumberFormat="1" applyFont="1" applyBorder="1" applyAlignment="1">
      <alignment horizontal="center"/>
    </xf>
    <xf numFmtId="0" fontId="78" fillId="0" borderId="0" xfId="0" applyFont="1" applyAlignment="1">
      <alignment horizontal="center"/>
    </xf>
    <xf numFmtId="176" fontId="61" fillId="0" borderId="0" xfId="0" applyNumberFormat="1" applyFont="1" applyAlignment="1">
      <alignment horizontal="right"/>
    </xf>
    <xf numFmtId="0" fontId="73" fillId="0" borderId="18" xfId="0" applyFont="1" applyBorder="1"/>
    <xf numFmtId="0" fontId="73" fillId="0" borderId="15" xfId="0" applyFont="1" applyBorder="1"/>
    <xf numFmtId="0" fontId="73" fillId="0" borderId="16" xfId="0" applyFont="1" applyBorder="1"/>
    <xf numFmtId="0" fontId="25" fillId="0" borderId="17" xfId="0" applyFont="1" applyBorder="1"/>
    <xf numFmtId="0" fontId="78" fillId="0" borderId="18" xfId="0" applyFont="1" applyBorder="1"/>
    <xf numFmtId="0" fontId="25" fillId="0" borderId="22" xfId="0" applyFont="1" applyBorder="1"/>
    <xf numFmtId="0" fontId="32" fillId="0" borderId="18" xfId="0" applyFont="1" applyBorder="1"/>
    <xf numFmtId="0" fontId="82" fillId="0" borderId="0" xfId="0" applyFont="1"/>
    <xf numFmtId="0" fontId="82" fillId="0" borderId="56" xfId="0" applyFont="1" applyBorder="1"/>
    <xf numFmtId="0" fontId="38" fillId="0" borderId="18" xfId="0" applyFont="1" applyBorder="1"/>
    <xf numFmtId="0" fontId="45" fillId="0" borderId="19" xfId="0" applyFont="1" applyBorder="1"/>
    <xf numFmtId="0" fontId="42" fillId="0" borderId="18" xfId="0" applyFont="1" applyBorder="1"/>
    <xf numFmtId="0" fontId="83" fillId="0" borderId="0" xfId="0" applyFont="1"/>
    <xf numFmtId="0" fontId="84" fillId="0" borderId="18" xfId="10" applyFont="1" applyBorder="1"/>
    <xf numFmtId="0" fontId="32" fillId="0" borderId="0" xfId="10" applyFont="1"/>
    <xf numFmtId="0" fontId="32" fillId="0" borderId="19" xfId="10" applyFont="1" applyBorder="1"/>
    <xf numFmtId="0" fontId="45" fillId="0" borderId="18" xfId="0" applyFont="1" applyBorder="1"/>
    <xf numFmtId="0" fontId="42" fillId="0" borderId="19" xfId="0" applyFont="1" applyBorder="1"/>
    <xf numFmtId="0" fontId="5" fillId="0" borderId="18" xfId="0" applyFont="1" applyBorder="1"/>
    <xf numFmtId="0" fontId="62" fillId="0" borderId="18" xfId="0" applyFont="1" applyBorder="1"/>
    <xf numFmtId="0" fontId="25" fillId="0" borderId="57" xfId="0" applyFont="1" applyBorder="1"/>
    <xf numFmtId="0" fontId="25" fillId="0" borderId="58" xfId="0" applyFont="1" applyBorder="1"/>
    <xf numFmtId="0" fontId="32" fillId="0" borderId="58" xfId="0" applyFont="1" applyBorder="1"/>
    <xf numFmtId="0" fontId="32" fillId="0" borderId="59" xfId="0" applyFont="1" applyBorder="1"/>
    <xf numFmtId="0" fontId="62" fillId="0" borderId="0" xfId="0" applyFont="1"/>
    <xf numFmtId="0" fontId="65" fillId="0" borderId="18" xfId="0" applyFont="1" applyBorder="1"/>
    <xf numFmtId="0" fontId="78" fillId="0" borderId="0" xfId="0" applyFont="1"/>
    <xf numFmtId="0" fontId="78" fillId="0" borderId="19" xfId="0" applyFont="1" applyBorder="1"/>
    <xf numFmtId="0" fontId="36" fillId="0" borderId="0" xfId="0" applyFont="1"/>
    <xf numFmtId="0" fontId="25" fillId="0" borderId="0" xfId="0" applyFont="1" applyAlignment="1">
      <alignment horizontal="right"/>
    </xf>
    <xf numFmtId="0" fontId="86" fillId="0" borderId="0" xfId="0" applyFont="1"/>
    <xf numFmtId="0" fontId="87" fillId="0" borderId="0" xfId="0" applyFont="1"/>
    <xf numFmtId="0" fontId="87" fillId="0" borderId="19" xfId="0" applyFont="1" applyBorder="1"/>
    <xf numFmtId="0" fontId="89" fillId="9" borderId="61" xfId="10" applyFont="1" applyFill="1" applyBorder="1" applyAlignment="1">
      <alignment horizontal="center"/>
    </xf>
    <xf numFmtId="0" fontId="32" fillId="0" borderId="62" xfId="10" applyFont="1" applyBorder="1"/>
    <xf numFmtId="0" fontId="32" fillId="0" borderId="63" xfId="10" applyFont="1" applyBorder="1"/>
    <xf numFmtId="0" fontId="34" fillId="0" borderId="19" xfId="0" applyFont="1" applyBorder="1" applyAlignment="1">
      <alignment horizontal="left"/>
    </xf>
    <xf numFmtId="0" fontId="32" fillId="0" borderId="19" xfId="0" applyFont="1" applyBorder="1" applyAlignment="1">
      <alignment horizontal="left"/>
    </xf>
    <xf numFmtId="0" fontId="52" fillId="0" borderId="0" xfId="0" applyFont="1" applyAlignment="1">
      <alignment horizontal="center"/>
    </xf>
    <xf numFmtId="176" fontId="52" fillId="0" borderId="0" xfId="0" applyNumberFormat="1" applyFont="1" applyAlignment="1">
      <alignment horizontal="right"/>
    </xf>
    <xf numFmtId="49" fontId="52" fillId="0" borderId="0" xfId="0" applyNumberFormat="1" applyFont="1" applyAlignment="1">
      <alignment horizontal="center"/>
    </xf>
    <xf numFmtId="176" fontId="52" fillId="0" borderId="0" xfId="0" applyNumberFormat="1" applyFont="1"/>
    <xf numFmtId="49" fontId="78" fillId="0" borderId="64" xfId="0" applyNumberFormat="1" applyFont="1" applyBorder="1" applyAlignment="1">
      <alignment horizontal="center"/>
    </xf>
    <xf numFmtId="0" fontId="52" fillId="0" borderId="50" xfId="0" applyFont="1" applyBorder="1" applyAlignment="1">
      <alignment horizontal="center"/>
    </xf>
    <xf numFmtId="0" fontId="52" fillId="0" borderId="51" xfId="0" applyFont="1" applyBorder="1" applyAlignment="1">
      <alignment horizontal="center"/>
    </xf>
    <xf numFmtId="176" fontId="52" fillId="0" borderId="51" xfId="0" applyNumberFormat="1" applyFont="1" applyBorder="1" applyAlignment="1">
      <alignment horizontal="right"/>
    </xf>
    <xf numFmtId="0" fontId="52" fillId="0" borderId="53" xfId="0" applyFont="1" applyBorder="1" applyAlignment="1">
      <alignment horizontal="center"/>
    </xf>
    <xf numFmtId="0" fontId="52" fillId="0" borderId="54" xfId="0" applyFont="1" applyBorder="1" applyAlignment="1">
      <alignment horizontal="center"/>
    </xf>
    <xf numFmtId="176" fontId="52" fillId="0" borderId="54" xfId="0" applyNumberFormat="1" applyFont="1" applyBorder="1"/>
    <xf numFmtId="49" fontId="52" fillId="0" borderId="54" xfId="0" applyNumberFormat="1" applyFont="1" applyBorder="1" applyAlignment="1">
      <alignment horizontal="center"/>
    </xf>
    <xf numFmtId="49" fontId="52" fillId="0" borderId="55" xfId="0" applyNumberFormat="1" applyFont="1" applyBorder="1" applyAlignment="1">
      <alignment horizontal="center"/>
    </xf>
    <xf numFmtId="49" fontId="63" fillId="16" borderId="65" xfId="0" applyNumberFormat="1" applyFont="1" applyFill="1" applyBorder="1" applyAlignment="1">
      <alignment horizontal="center" vertical="center"/>
    </xf>
    <xf numFmtId="49" fontId="50" fillId="0" borderId="19" xfId="0" applyNumberFormat="1" applyFont="1" applyBorder="1" applyAlignment="1">
      <alignment horizontal="left" vertical="center"/>
    </xf>
    <xf numFmtId="0" fontId="25" fillId="0" borderId="0" xfId="0" applyFont="1" applyAlignment="1">
      <alignment horizontal="left" vertical="center"/>
    </xf>
    <xf numFmtId="0" fontId="6" fillId="2" borderId="50" xfId="0" applyFont="1" applyFill="1" applyBorder="1" applyAlignment="1">
      <alignment horizontal="center"/>
    </xf>
    <xf numFmtId="0" fontId="6" fillId="2" borderId="51" xfId="0" applyFont="1" applyFill="1" applyBorder="1" applyAlignment="1">
      <alignment horizontal="center"/>
    </xf>
    <xf numFmtId="0" fontId="75" fillId="2" borderId="51" xfId="12" applyFont="1" applyFill="1" applyBorder="1" applyAlignment="1">
      <alignment horizontal="center"/>
    </xf>
    <xf numFmtId="0" fontId="75" fillId="2" borderId="52" xfId="12" applyFont="1" applyFill="1" applyBorder="1" applyAlignment="1">
      <alignment horizontal="center"/>
    </xf>
    <xf numFmtId="0" fontId="75" fillId="0" borderId="0" xfId="12" applyFont="1" applyAlignment="1">
      <alignment horizontal="center"/>
    </xf>
    <xf numFmtId="0" fontId="5" fillId="2" borderId="50" xfId="0" applyFont="1" applyFill="1" applyBorder="1" applyAlignment="1">
      <alignment horizontal="center"/>
    </xf>
    <xf numFmtId="0" fontId="5" fillId="2" borderId="51" xfId="0" applyFont="1" applyFill="1" applyBorder="1" applyAlignment="1">
      <alignment horizontal="center"/>
    </xf>
    <xf numFmtId="0" fontId="77" fillId="2" borderId="51" xfId="11" applyFont="1" applyFill="1" applyBorder="1" applyAlignment="1">
      <alignment horizontal="center" vertical="center"/>
    </xf>
    <xf numFmtId="0" fontId="77" fillId="2" borderId="52" xfId="11" applyFont="1" applyFill="1" applyBorder="1" applyAlignment="1">
      <alignment horizontal="center" vertical="center"/>
    </xf>
    <xf numFmtId="0" fontId="77" fillId="0" borderId="0" xfId="11" applyFont="1" applyAlignment="1">
      <alignment horizontal="center" vertical="center"/>
    </xf>
    <xf numFmtId="0" fontId="79" fillId="13" borderId="50" xfId="0" applyFont="1" applyFill="1" applyBorder="1" applyAlignment="1">
      <alignment horizontal="center"/>
    </xf>
    <xf numFmtId="0" fontId="79" fillId="13" borderId="51" xfId="0" applyFont="1" applyFill="1" applyBorder="1" applyAlignment="1">
      <alignment horizontal="center"/>
    </xf>
    <xf numFmtId="176" fontId="79" fillId="13" borderId="51" xfId="0" applyNumberFormat="1" applyFont="1" applyFill="1" applyBorder="1"/>
    <xf numFmtId="49" fontId="79" fillId="13" borderId="51" xfId="0" applyNumberFormat="1" applyFont="1" applyFill="1" applyBorder="1" applyAlignment="1">
      <alignment horizontal="center"/>
    </xf>
    <xf numFmtId="49" fontId="79" fillId="13" borderId="52" xfId="0" applyNumberFormat="1" applyFont="1" applyFill="1" applyBorder="1" applyAlignment="1">
      <alignment horizontal="center"/>
    </xf>
    <xf numFmtId="49" fontId="79" fillId="0" borderId="19" xfId="0" applyNumberFormat="1" applyFont="1" applyBorder="1" applyAlignment="1">
      <alignment horizontal="center"/>
    </xf>
    <xf numFmtId="0" fontId="90" fillId="0" borderId="50" xfId="0" applyFont="1" applyBorder="1" applyAlignment="1">
      <alignment horizontal="center"/>
    </xf>
    <xf numFmtId="0" fontId="90" fillId="0" borderId="51" xfId="0" applyFont="1" applyBorder="1" applyAlignment="1">
      <alignment horizontal="center"/>
    </xf>
    <xf numFmtId="176" fontId="90" fillId="0" borderId="51" xfId="0" applyNumberFormat="1" applyFont="1" applyBorder="1"/>
    <xf numFmtId="49" fontId="90" fillId="0" borderId="51" xfId="0" applyNumberFormat="1" applyFont="1" applyBorder="1" applyAlignment="1">
      <alignment horizontal="center"/>
    </xf>
    <xf numFmtId="49" fontId="90" fillId="0" borderId="52" xfId="0" applyNumberFormat="1" applyFont="1" applyBorder="1" applyAlignment="1">
      <alignment horizontal="center"/>
    </xf>
    <xf numFmtId="176" fontId="78" fillId="0" borderId="54" xfId="0" applyNumberFormat="1" applyFont="1" applyBorder="1" applyAlignment="1">
      <alignment horizontal="right"/>
    </xf>
    <xf numFmtId="49" fontId="80" fillId="0" borderId="19" xfId="0" applyNumberFormat="1" applyFont="1" applyBorder="1" applyAlignment="1">
      <alignment horizontal="center"/>
    </xf>
    <xf numFmtId="49" fontId="50" fillId="0" borderId="69" xfId="0" applyNumberFormat="1" applyFont="1" applyBorder="1" applyAlignment="1">
      <alignment horizontal="left" vertical="center"/>
    </xf>
    <xf numFmtId="0" fontId="75" fillId="2" borderId="70" xfId="12" applyFont="1" applyFill="1" applyBorder="1" applyAlignment="1">
      <alignment horizontal="center"/>
    </xf>
    <xf numFmtId="0" fontId="75" fillId="0" borderId="69" xfId="12" applyFont="1" applyBorder="1" applyAlignment="1">
      <alignment horizontal="center"/>
    </xf>
    <xf numFmtId="0" fontId="77" fillId="2" borderId="70" xfId="11" applyFont="1" applyFill="1" applyBorder="1" applyAlignment="1">
      <alignment horizontal="center" vertical="center"/>
    </xf>
    <xf numFmtId="0" fontId="77" fillId="0" borderId="69" xfId="11" applyFont="1" applyBorder="1" applyAlignment="1">
      <alignment horizontal="center" vertical="center"/>
    </xf>
    <xf numFmtId="49" fontId="78" fillId="0" borderId="70" xfId="0" applyNumberFormat="1" applyFont="1" applyBorder="1" applyAlignment="1">
      <alignment horizontal="center"/>
    </xf>
    <xf numFmtId="49" fontId="78" fillId="0" borderId="69" xfId="0" applyNumberFormat="1" applyFont="1" applyBorder="1" applyAlignment="1">
      <alignment horizontal="center"/>
    </xf>
    <xf numFmtId="49" fontId="78" fillId="0" borderId="71" xfId="0" applyNumberFormat="1" applyFont="1" applyBorder="1" applyAlignment="1">
      <alignment horizontal="center"/>
    </xf>
    <xf numFmtId="0" fontId="6" fillId="0" borderId="19" xfId="0" applyFont="1" applyBorder="1"/>
    <xf numFmtId="49" fontId="50" fillId="16" borderId="26" xfId="0" applyNumberFormat="1" applyFont="1" applyFill="1" applyBorder="1" applyAlignment="1">
      <alignment horizontal="left" vertical="center"/>
    </xf>
    <xf numFmtId="49" fontId="50" fillId="16" borderId="27" xfId="0" applyNumberFormat="1" applyFont="1" applyFill="1" applyBorder="1" applyAlignment="1">
      <alignment horizontal="left" vertical="center"/>
    </xf>
    <xf numFmtId="0" fontId="30" fillId="0" borderId="0" xfId="0" applyFont="1" applyAlignment="1">
      <alignment horizontal="right"/>
    </xf>
    <xf numFmtId="0" fontId="26" fillId="0" borderId="7" xfId="9" applyBorder="1" applyAlignment="1" applyProtection="1">
      <alignment horizontal="center" vertical="center" wrapText="1"/>
    </xf>
    <xf numFmtId="0" fontId="26" fillId="0" borderId="0" xfId="9" applyAlignment="1"/>
    <xf numFmtId="0" fontId="27" fillId="9" borderId="10" xfId="0" applyFont="1" applyFill="1" applyBorder="1" applyAlignment="1">
      <alignment horizontal="left" vertical="center"/>
    </xf>
    <xf numFmtId="0" fontId="29" fillId="9" borderId="10" xfId="0" applyFont="1" applyFill="1" applyBorder="1" applyAlignment="1">
      <alignment horizontal="left" vertical="center"/>
    </xf>
    <xf numFmtId="0" fontId="26" fillId="0" borderId="0" xfId="9" applyFill="1" applyAlignment="1">
      <alignment horizontal="left" vertical="center"/>
    </xf>
    <xf numFmtId="0" fontId="92" fillId="10" borderId="72" xfId="0" applyFont="1" applyFill="1" applyBorder="1" applyAlignment="1">
      <alignment horizontal="left" vertical="center"/>
    </xf>
    <xf numFmtId="0" fontId="32" fillId="11" borderId="73" xfId="0" applyFont="1" applyFill="1" applyBorder="1" applyAlignment="1">
      <alignment horizontal="left" vertical="center"/>
    </xf>
    <xf numFmtId="0" fontId="6" fillId="0" borderId="18" xfId="0" applyFont="1" applyBorder="1" applyAlignment="1">
      <alignment horizontal="left" vertical="center"/>
    </xf>
    <xf numFmtId="0" fontId="26" fillId="0" borderId="7" xfId="9" applyFill="1" applyBorder="1" applyAlignment="1">
      <alignment horizontal="center" vertical="center"/>
    </xf>
    <xf numFmtId="0" fontId="25" fillId="18" borderId="0" xfId="0" applyFont="1" applyFill="1" applyAlignment="1">
      <alignment horizontal="center"/>
    </xf>
    <xf numFmtId="0" fontId="51" fillId="18" borderId="0" xfId="0" applyFont="1" applyFill="1" applyAlignment="1">
      <alignment horizontal="center"/>
    </xf>
    <xf numFmtId="0" fontId="5" fillId="18" borderId="0" xfId="0" applyFont="1" applyFill="1" applyAlignment="1">
      <alignment horizontal="center" textRotation="255" wrapText="1"/>
    </xf>
    <xf numFmtId="0" fontId="25" fillId="16" borderId="8" xfId="0" applyFont="1" applyFill="1" applyBorder="1" applyAlignment="1">
      <alignment horizontal="center"/>
    </xf>
    <xf numFmtId="49" fontId="5" fillId="18" borderId="0" xfId="0" applyNumberFormat="1" applyFont="1" applyFill="1" applyAlignment="1">
      <alignment horizontal="center"/>
    </xf>
    <xf numFmtId="49" fontId="6" fillId="18" borderId="0" xfId="0" applyNumberFormat="1" applyFont="1" applyFill="1" applyAlignment="1">
      <alignment horizontal="center"/>
    </xf>
    <xf numFmtId="49" fontId="42" fillId="18" borderId="0" xfId="0" applyNumberFormat="1" applyFont="1" applyFill="1" applyAlignment="1">
      <alignment horizontal="center"/>
    </xf>
    <xf numFmtId="49" fontId="25" fillId="18" borderId="0" xfId="0" applyNumberFormat="1" applyFont="1" applyFill="1" applyAlignment="1">
      <alignment horizontal="center"/>
    </xf>
    <xf numFmtId="49" fontId="93" fillId="18" borderId="8" xfId="0" applyNumberFormat="1" applyFont="1" applyFill="1" applyBorder="1" applyAlignment="1">
      <alignment horizontal="left" vertical="center" wrapText="1"/>
    </xf>
    <xf numFmtId="49" fontId="5" fillId="13" borderId="7" xfId="0" applyNumberFormat="1" applyFont="1" applyFill="1" applyBorder="1" applyAlignment="1">
      <alignment horizontal="left" vertical="center"/>
    </xf>
    <xf numFmtId="49" fontId="5" fillId="18" borderId="7" xfId="0" applyNumberFormat="1" applyFont="1" applyFill="1" applyBorder="1" applyAlignment="1">
      <alignment horizontal="left" vertical="center"/>
    </xf>
    <xf numFmtId="49" fontId="93" fillId="18" borderId="7" xfId="0" applyNumberFormat="1" applyFont="1" applyFill="1" applyBorder="1" applyAlignment="1">
      <alignment horizontal="left" vertical="center" wrapText="1"/>
    </xf>
    <xf numFmtId="0" fontId="94" fillId="19" borderId="18" xfId="0" applyFont="1" applyFill="1" applyBorder="1" applyAlignment="1">
      <alignment horizontal="right" vertical="center"/>
    </xf>
    <xf numFmtId="49" fontId="5" fillId="0" borderId="7" xfId="0" applyNumberFormat="1" applyFont="1" applyBorder="1" applyAlignment="1">
      <alignment horizontal="left"/>
    </xf>
    <xf numFmtId="0" fontId="94" fillId="0" borderId="18" xfId="0" applyFont="1" applyBorder="1" applyAlignment="1">
      <alignment horizontal="right" vertical="center"/>
    </xf>
    <xf numFmtId="0" fontId="54" fillId="0" borderId="0" xfId="0" applyFont="1" applyAlignment="1">
      <alignment horizontal="center" textRotation="255"/>
    </xf>
    <xf numFmtId="49" fontId="51" fillId="18" borderId="7" xfId="0" applyNumberFormat="1" applyFont="1" applyFill="1" applyBorder="1" applyAlignment="1">
      <alignment horizontal="center" vertical="center"/>
    </xf>
    <xf numFmtId="49" fontId="50" fillId="16" borderId="74" xfId="0" applyNumberFormat="1" applyFont="1" applyFill="1" applyBorder="1" applyAlignment="1">
      <alignment horizontal="left" vertical="center"/>
    </xf>
    <xf numFmtId="49" fontId="50" fillId="16" borderId="62" xfId="0" applyNumberFormat="1" applyFont="1" applyFill="1" applyBorder="1" applyAlignment="1">
      <alignment horizontal="left" vertical="center"/>
    </xf>
    <xf numFmtId="49" fontId="51" fillId="13" borderId="7" xfId="0" applyNumberFormat="1" applyFont="1" applyFill="1" applyBorder="1" applyAlignment="1">
      <alignment horizontal="center" vertical="center"/>
    </xf>
    <xf numFmtId="0" fontId="64" fillId="0" borderId="0" xfId="0" applyFont="1" applyAlignment="1">
      <alignment horizontal="center" textRotation="255"/>
    </xf>
    <xf numFmtId="49" fontId="30" fillId="18" borderId="7" xfId="0" applyNumberFormat="1" applyFont="1" applyFill="1" applyBorder="1" applyAlignment="1">
      <alignment horizontal="center" vertical="center"/>
    </xf>
    <xf numFmtId="0" fontId="30" fillId="18" borderId="7" xfId="0" applyFont="1" applyFill="1" applyBorder="1" applyAlignment="1">
      <alignment horizontal="center"/>
    </xf>
    <xf numFmtId="49" fontId="5" fillId="18" borderId="8" xfId="0" applyNumberFormat="1" applyFont="1" applyFill="1" applyBorder="1" applyAlignment="1">
      <alignment horizontal="left" vertical="center"/>
    </xf>
    <xf numFmtId="49" fontId="5" fillId="18" borderId="7" xfId="0" applyNumberFormat="1" applyFont="1" applyFill="1" applyBorder="1" applyAlignment="1">
      <alignment horizontal="left"/>
    </xf>
    <xf numFmtId="49" fontId="5" fillId="20" borderId="7" xfId="0" applyNumberFormat="1" applyFont="1" applyFill="1" applyBorder="1" applyAlignment="1">
      <alignment horizontal="left"/>
    </xf>
    <xf numFmtId="49" fontId="42" fillId="18" borderId="7" xfId="0" applyNumberFormat="1" applyFont="1" applyFill="1" applyBorder="1" applyAlignment="1">
      <alignment horizontal="left"/>
    </xf>
    <xf numFmtId="0" fontId="5" fillId="18" borderId="7" xfId="0" applyFont="1" applyFill="1" applyBorder="1" applyAlignment="1">
      <alignment horizontal="left"/>
    </xf>
    <xf numFmtId="0" fontId="25" fillId="0" borderId="7" xfId="0" applyFont="1" applyBorder="1" applyAlignment="1">
      <alignment horizontal="left"/>
    </xf>
    <xf numFmtId="47" fontId="25" fillId="0" borderId="7" xfId="0" applyNumberFormat="1" applyFont="1" applyBorder="1" applyAlignment="1">
      <alignment horizontal="left"/>
    </xf>
    <xf numFmtId="3" fontId="5" fillId="18" borderId="7" xfId="0" applyNumberFormat="1" applyFont="1" applyFill="1" applyBorder="1" applyAlignment="1">
      <alignment horizontal="left"/>
    </xf>
    <xf numFmtId="49" fontId="5" fillId="21" borderId="7" xfId="0" applyNumberFormat="1" applyFont="1" applyFill="1" applyBorder="1" applyAlignment="1">
      <alignment horizontal="left"/>
    </xf>
    <xf numFmtId="0" fontId="96" fillId="10" borderId="72" xfId="0" applyFont="1" applyFill="1" applyBorder="1" applyAlignment="1">
      <alignment horizontal="left" vertical="center"/>
    </xf>
    <xf numFmtId="49" fontId="5" fillId="0" borderId="8" xfId="0" applyNumberFormat="1" applyFont="1" applyBorder="1" applyAlignment="1">
      <alignment horizontal="left"/>
    </xf>
    <xf numFmtId="49" fontId="5" fillId="15" borderId="24" xfId="0" applyNumberFormat="1" applyFont="1" applyFill="1" applyBorder="1" applyAlignment="1">
      <alignment horizontal="left"/>
    </xf>
    <xf numFmtId="49" fontId="5" fillId="18" borderId="24" xfId="0" applyNumberFormat="1" applyFont="1" applyFill="1" applyBorder="1" applyAlignment="1">
      <alignment horizontal="left"/>
    </xf>
    <xf numFmtId="49" fontId="99" fillId="0" borderId="0" xfId="0" applyNumberFormat="1" applyFont="1" applyAlignment="1">
      <alignment horizontal="right"/>
    </xf>
    <xf numFmtId="0" fontId="57" fillId="0" borderId="0" xfId="0" applyFont="1" applyAlignment="1">
      <alignment horizontal="right"/>
    </xf>
    <xf numFmtId="49" fontId="100" fillId="0" borderId="0" xfId="0" applyNumberFormat="1" applyFont="1" applyAlignment="1">
      <alignment horizontal="center"/>
    </xf>
    <xf numFmtId="0" fontId="99" fillId="0" borderId="0" xfId="0" applyFont="1" applyAlignment="1">
      <alignment horizontal="right"/>
    </xf>
    <xf numFmtId="0" fontId="94" fillId="18" borderId="18" xfId="0" applyFont="1" applyFill="1" applyBorder="1" applyAlignment="1">
      <alignment horizontal="right" vertical="center"/>
    </xf>
    <xf numFmtId="49" fontId="5" fillId="18" borderId="0" xfId="0" applyNumberFormat="1" applyFont="1" applyFill="1" applyAlignment="1">
      <alignment horizontal="left"/>
    </xf>
    <xf numFmtId="49" fontId="103" fillId="0" borderId="7" xfId="0" applyNumberFormat="1" applyFont="1" applyBorder="1" applyAlignment="1">
      <alignment horizontal="left"/>
    </xf>
    <xf numFmtId="49" fontId="103" fillId="18" borderId="7" xfId="0" applyNumberFormat="1" applyFont="1" applyFill="1" applyBorder="1" applyAlignment="1">
      <alignment horizontal="left"/>
    </xf>
    <xf numFmtId="0" fontId="25" fillId="0" borderId="60" xfId="0" applyFont="1" applyBorder="1" applyAlignment="1">
      <alignment horizontal="left" vertical="center"/>
    </xf>
    <xf numFmtId="0" fontId="25" fillId="0" borderId="12" xfId="0" applyFont="1" applyBorder="1" applyAlignment="1">
      <alignment horizontal="left" vertical="center"/>
    </xf>
    <xf numFmtId="0" fontId="6" fillId="0" borderId="12" xfId="0" applyFont="1" applyBorder="1" applyAlignment="1">
      <alignment horizontal="left" vertical="center"/>
    </xf>
    <xf numFmtId="0" fontId="0" fillId="0" borderId="12" xfId="0" applyBorder="1"/>
    <xf numFmtId="0" fontId="0" fillId="0" borderId="13" xfId="0" applyBorder="1"/>
    <xf numFmtId="0" fontId="28" fillId="9" borderId="75" xfId="0" applyFont="1" applyFill="1" applyBorder="1" applyAlignment="1">
      <alignment horizontal="left" vertical="center"/>
    </xf>
    <xf numFmtId="0" fontId="0" fillId="0" borderId="19" xfId="0" applyBorder="1"/>
    <xf numFmtId="0" fontId="30" fillId="0" borderId="18" xfId="0" applyFont="1" applyBorder="1" applyAlignment="1">
      <alignment horizontal="left" vertical="center"/>
    </xf>
    <xf numFmtId="0" fontId="30" fillId="0" borderId="0" xfId="0" applyFont="1" applyAlignment="1">
      <alignment horizontal="left" vertical="center"/>
    </xf>
    <xf numFmtId="0" fontId="6" fillId="0" borderId="0" xfId="0" applyFont="1" applyAlignment="1">
      <alignment horizontal="left" vertical="center"/>
    </xf>
    <xf numFmtId="0" fontId="32" fillId="0" borderId="0" xfId="0" applyFont="1" applyAlignment="1">
      <alignment horizontal="left" vertical="center"/>
    </xf>
    <xf numFmtId="0" fontId="0" fillId="0" borderId="18" xfId="0" applyBorder="1"/>
    <xf numFmtId="0" fontId="40" fillId="0" borderId="0" xfId="0" applyFont="1" applyAlignment="1">
      <alignment horizontal="left"/>
    </xf>
    <xf numFmtId="49" fontId="5" fillId="18" borderId="0" xfId="0" applyNumberFormat="1" applyFont="1" applyFill="1" applyAlignment="1">
      <alignment horizontal="left" vertical="center"/>
    </xf>
    <xf numFmtId="49" fontId="93" fillId="18" borderId="0" xfId="0" applyNumberFormat="1" applyFont="1" applyFill="1" applyAlignment="1">
      <alignment horizontal="left" vertical="center" wrapText="1"/>
    </xf>
    <xf numFmtId="49" fontId="25" fillId="0" borderId="18" xfId="0" applyNumberFormat="1" applyFont="1" applyBorder="1"/>
    <xf numFmtId="0" fontId="30" fillId="0" borderId="18" xfId="0" applyFont="1" applyBorder="1" applyAlignment="1">
      <alignment horizontal="right"/>
    </xf>
    <xf numFmtId="0" fontId="51" fillId="0" borderId="19" xfId="0" applyFont="1" applyBorder="1" applyAlignment="1">
      <alignment horizontal="center"/>
    </xf>
    <xf numFmtId="49" fontId="53" fillId="0" borderId="18" xfId="0" applyNumberFormat="1" applyFont="1" applyBorder="1" applyAlignment="1">
      <alignment textRotation="255"/>
    </xf>
    <xf numFmtId="0" fontId="25" fillId="0" borderId="19" xfId="0" applyFont="1" applyBorder="1" applyAlignment="1">
      <alignment textRotation="255"/>
    </xf>
    <xf numFmtId="49" fontId="56" fillId="0" borderId="18" xfId="0" applyNumberFormat="1" applyFont="1" applyBorder="1" applyAlignment="1">
      <alignment horizontal="center"/>
    </xf>
    <xf numFmtId="0" fontId="25" fillId="0" borderId="19" xfId="0" applyFont="1" applyBorder="1" applyAlignment="1">
      <alignment horizontal="center"/>
    </xf>
    <xf numFmtId="0" fontId="0" fillId="0" borderId="20" xfId="0" applyBorder="1"/>
    <xf numFmtId="0" fontId="0" fillId="0" borderId="21" xfId="0" applyBorder="1"/>
    <xf numFmtId="0" fontId="0" fillId="0" borderId="22" xfId="0" applyBorder="1"/>
    <xf numFmtId="49" fontId="105" fillId="0" borderId="0" xfId="0" applyNumberFormat="1" applyFont="1" applyAlignment="1">
      <alignment horizontal="right"/>
    </xf>
    <xf numFmtId="49" fontId="25" fillId="18" borderId="0" xfId="0" applyNumberFormat="1" applyFont="1" applyFill="1"/>
    <xf numFmtId="0" fontId="25" fillId="18" borderId="0" xfId="0" applyFont="1" applyFill="1"/>
    <xf numFmtId="0" fontId="57" fillId="18" borderId="0" xfId="0" applyFont="1" applyFill="1" applyAlignment="1">
      <alignment horizontal="center"/>
    </xf>
    <xf numFmtId="0" fontId="49" fillId="18" borderId="0" xfId="0" applyFont="1" applyFill="1" applyAlignment="1">
      <alignment horizontal="center" textRotation="255"/>
    </xf>
    <xf numFmtId="0" fontId="52" fillId="18" borderId="0" xfId="0" applyFont="1" applyFill="1" applyAlignment="1">
      <alignment horizontal="center" textRotation="255" wrapText="1"/>
    </xf>
    <xf numFmtId="49" fontId="53" fillId="18" borderId="0" xfId="0" applyNumberFormat="1" applyFont="1" applyFill="1" applyAlignment="1">
      <alignment textRotation="255"/>
    </xf>
    <xf numFmtId="0" fontId="54" fillId="18" borderId="0" xfId="0" applyFont="1" applyFill="1" applyAlignment="1">
      <alignment horizontal="center" textRotation="255"/>
    </xf>
    <xf numFmtId="0" fontId="55" fillId="18" borderId="0" xfId="0" applyFont="1" applyFill="1" applyAlignment="1">
      <alignment horizontal="center"/>
    </xf>
    <xf numFmtId="49" fontId="56" fillId="18" borderId="0" xfId="0" applyNumberFormat="1" applyFont="1" applyFill="1" applyAlignment="1">
      <alignment horizontal="center"/>
    </xf>
    <xf numFmtId="0" fontId="59" fillId="18" borderId="0" xfId="0" applyFont="1" applyFill="1" applyAlignment="1">
      <alignment horizontal="center" vertical="center"/>
    </xf>
    <xf numFmtId="49" fontId="57" fillId="18" borderId="0" xfId="0" applyNumberFormat="1" applyFont="1" applyFill="1" applyAlignment="1">
      <alignment horizontal="right"/>
    </xf>
    <xf numFmtId="0" fontId="58" fillId="18" borderId="0" xfId="0" applyFont="1" applyFill="1" applyAlignment="1">
      <alignment horizontal="center"/>
    </xf>
    <xf numFmtId="0" fontId="31" fillId="10" borderId="76" xfId="0" applyFont="1" applyFill="1" applyBorder="1" applyAlignment="1">
      <alignment vertical="center"/>
    </xf>
    <xf numFmtId="0" fontId="37" fillId="2" borderId="0" xfId="0" applyFont="1" applyFill="1" applyAlignment="1">
      <alignment horizontal="right"/>
    </xf>
    <xf numFmtId="0" fontId="37" fillId="2" borderId="0" xfId="0" applyFont="1" applyFill="1"/>
    <xf numFmtId="0" fontId="38" fillId="2" borderId="0" xfId="0" applyFont="1" applyFill="1"/>
    <xf numFmtId="0" fontId="35" fillId="2" borderId="0" xfId="0" applyFont="1" applyFill="1"/>
    <xf numFmtId="0" fontId="41" fillId="18" borderId="0" xfId="0" applyFont="1" applyFill="1"/>
    <xf numFmtId="0" fontId="41" fillId="18" borderId="19" xfId="0" applyFont="1" applyFill="1" applyBorder="1"/>
    <xf numFmtId="0" fontId="35" fillId="18" borderId="0" xfId="0" applyFont="1" applyFill="1"/>
    <xf numFmtId="0" fontId="5" fillId="18" borderId="0" xfId="0" applyFont="1" applyFill="1"/>
    <xf numFmtId="0" fontId="31" fillId="10" borderId="77" xfId="0" applyFont="1" applyFill="1" applyBorder="1" applyAlignment="1">
      <alignment vertical="center"/>
    </xf>
    <xf numFmtId="0" fontId="33" fillId="0" borderId="0" xfId="0" applyFont="1"/>
    <xf numFmtId="0" fontId="39" fillId="18" borderId="0" xfId="0" applyFont="1" applyFill="1"/>
    <xf numFmtId="0" fontId="32" fillId="18" borderId="0" xfId="0" applyFont="1" applyFill="1"/>
    <xf numFmtId="0" fontId="42" fillId="18" borderId="0" xfId="0" applyFont="1" applyFill="1"/>
    <xf numFmtId="0" fontId="44" fillId="0" borderId="0" xfId="0" applyFont="1"/>
    <xf numFmtId="0" fontId="32" fillId="18" borderId="0" xfId="0" applyFont="1" applyFill="1" applyAlignment="1">
      <alignment horizontal="left"/>
    </xf>
    <xf numFmtId="0" fontId="32" fillId="18" borderId="19" xfId="0" applyFont="1" applyFill="1" applyBorder="1" applyAlignment="1">
      <alignment horizontal="left"/>
    </xf>
    <xf numFmtId="49" fontId="51" fillId="18" borderId="0" xfId="0" applyNumberFormat="1" applyFont="1" applyFill="1" applyAlignment="1">
      <alignment horizontal="center" vertical="center"/>
    </xf>
    <xf numFmtId="49" fontId="25" fillId="18" borderId="0" xfId="0" applyNumberFormat="1" applyFont="1" applyFill="1" applyAlignment="1">
      <alignment horizontal="center" vertical="center"/>
    </xf>
    <xf numFmtId="49" fontId="30" fillId="18" borderId="0" xfId="0" applyNumberFormat="1" applyFont="1" applyFill="1" applyAlignment="1">
      <alignment textRotation="255"/>
    </xf>
    <xf numFmtId="49" fontId="30" fillId="18" borderId="0" xfId="0" applyNumberFormat="1" applyFont="1" applyFill="1" applyAlignment="1">
      <alignment textRotation="255" wrapText="1"/>
    </xf>
    <xf numFmtId="49" fontId="5" fillId="18" borderId="0" xfId="0" applyNumberFormat="1" applyFont="1" applyFill="1" applyAlignment="1">
      <alignment textRotation="255"/>
    </xf>
    <xf numFmtId="49" fontId="5" fillId="18" borderId="0" xfId="0" applyNumberFormat="1" applyFont="1" applyFill="1" applyAlignment="1">
      <alignment textRotation="255" wrapText="1"/>
    </xf>
    <xf numFmtId="49" fontId="5" fillId="18" borderId="0" xfId="0" applyNumberFormat="1" applyFont="1" applyFill="1" applyAlignment="1">
      <alignment horizontal="center" textRotation="255" wrapText="1"/>
    </xf>
    <xf numFmtId="49" fontId="5" fillId="18" borderId="0" xfId="0" applyNumberFormat="1" applyFont="1" applyFill="1" applyAlignment="1">
      <alignment horizontal="center" textRotation="255"/>
    </xf>
    <xf numFmtId="49" fontId="30" fillId="18" borderId="0" xfId="0" applyNumberFormat="1" applyFont="1" applyFill="1" applyAlignment="1">
      <alignment horizontal="center" textRotation="255"/>
    </xf>
    <xf numFmtId="0" fontId="5" fillId="18" borderId="0" xfId="0" applyFont="1" applyFill="1" applyAlignment="1">
      <alignment horizontal="center" textRotation="255"/>
    </xf>
    <xf numFmtId="49" fontId="5" fillId="18" borderId="0" xfId="0" applyNumberFormat="1" applyFont="1" applyFill="1" applyAlignment="1">
      <alignment horizontal="center" wrapText="1"/>
    </xf>
    <xf numFmtId="49" fontId="5" fillId="22" borderId="7" xfId="0" applyNumberFormat="1" applyFont="1" applyFill="1" applyBorder="1" applyAlignment="1">
      <alignment horizontal="left"/>
    </xf>
    <xf numFmtId="49" fontId="93" fillId="22" borderId="7" xfId="0" applyNumberFormat="1" applyFont="1" applyFill="1" applyBorder="1" applyAlignment="1">
      <alignment horizontal="left" vertical="center" wrapText="1"/>
    </xf>
    <xf numFmtId="0" fontId="5" fillId="22" borderId="7" xfId="0" applyFont="1" applyFill="1" applyBorder="1" applyAlignment="1">
      <alignment horizontal="left"/>
    </xf>
    <xf numFmtId="49" fontId="50" fillId="16" borderId="1" xfId="0" applyNumberFormat="1" applyFont="1" applyFill="1" applyBorder="1" applyAlignment="1">
      <alignment vertical="center"/>
    </xf>
    <xf numFmtId="49" fontId="50" fillId="16" borderId="9" xfId="0" applyNumberFormat="1" applyFont="1" applyFill="1" applyBorder="1" applyAlignment="1">
      <alignment vertical="center"/>
    </xf>
    <xf numFmtId="49" fontId="50" fillId="16" borderId="3" xfId="0" applyNumberFormat="1" applyFont="1" applyFill="1" applyBorder="1" applyAlignment="1">
      <alignment vertical="center"/>
    </xf>
    <xf numFmtId="49" fontId="24" fillId="0" borderId="7" xfId="0" applyNumberFormat="1" applyFont="1" applyBorder="1" applyAlignment="1">
      <alignment horizontal="left"/>
    </xf>
    <xf numFmtId="49" fontId="24" fillId="18" borderId="7" xfId="0" applyNumberFormat="1" applyFont="1" applyFill="1" applyBorder="1" applyAlignment="1">
      <alignment horizontal="left"/>
    </xf>
    <xf numFmtId="0" fontId="107" fillId="0" borderId="7" xfId="6" applyFont="1" applyBorder="1" applyAlignment="1">
      <alignment horizontal="center" vertical="center"/>
    </xf>
    <xf numFmtId="0" fontId="17" fillId="0" borderId="7" xfId="6" applyFont="1" applyBorder="1"/>
    <xf numFmtId="0" fontId="14" fillId="0" borderId="7" xfId="4" applyFont="1" applyBorder="1" applyAlignment="1">
      <alignment vertical="center"/>
    </xf>
    <xf numFmtId="14" fontId="17" fillId="0" borderId="7" xfId="6" applyNumberFormat="1" applyFont="1" applyBorder="1" applyAlignment="1">
      <alignment horizontal="center" vertical="center"/>
    </xf>
    <xf numFmtId="0" fontId="108" fillId="0" borderId="7" xfId="0" applyFont="1" applyBorder="1" applyAlignment="1">
      <alignment horizontal="left" vertical="center" wrapText="1"/>
    </xf>
    <xf numFmtId="0" fontId="10" fillId="6" borderId="1" xfId="4" applyFont="1" applyFill="1" applyBorder="1" applyAlignment="1">
      <alignment horizontal="center" vertical="center"/>
    </xf>
    <xf numFmtId="0" fontId="10" fillId="6" borderId="3" xfId="4" applyFont="1" applyFill="1" applyBorder="1" applyAlignment="1">
      <alignment horizontal="center" vertical="center"/>
    </xf>
    <xf numFmtId="0" fontId="10" fillId="6" borderId="4" xfId="4" applyFont="1" applyFill="1" applyBorder="1" applyAlignment="1">
      <alignment horizontal="center" vertical="center"/>
    </xf>
    <xf numFmtId="0" fontId="13" fillId="0" borderId="1" xfId="4" applyFont="1" applyBorder="1" applyAlignment="1">
      <alignment horizontal="center" vertical="center"/>
    </xf>
    <xf numFmtId="0" fontId="13" fillId="0" borderId="3" xfId="4" applyFont="1" applyBorder="1" applyAlignment="1">
      <alignment horizontal="center" vertical="center"/>
    </xf>
    <xf numFmtId="0" fontId="13" fillId="0" borderId="2" xfId="4" applyFont="1" applyBorder="1" applyAlignment="1">
      <alignment horizontal="center" vertical="center"/>
    </xf>
    <xf numFmtId="0" fontId="21" fillId="0" borderId="2" xfId="4" applyFont="1" applyBorder="1" applyAlignment="1">
      <alignment horizontal="center" vertical="center"/>
    </xf>
    <xf numFmtId="0" fontId="13" fillId="0" borderId="4" xfId="4" applyFont="1" applyBorder="1" applyAlignment="1">
      <alignment horizontal="center" vertical="center"/>
    </xf>
    <xf numFmtId="0" fontId="12" fillId="0" borderId="1" xfId="4" applyFont="1" applyBorder="1" applyAlignment="1">
      <alignment horizontal="center" vertical="center"/>
    </xf>
    <xf numFmtId="0" fontId="12" fillId="0" borderId="4" xfId="4" applyFont="1" applyBorder="1" applyAlignment="1">
      <alignment horizontal="center" vertical="center"/>
    </xf>
    <xf numFmtId="0" fontId="12" fillId="0" borderId="3" xfId="4" applyFont="1" applyBorder="1" applyAlignment="1">
      <alignment horizontal="center" vertical="center"/>
    </xf>
    <xf numFmtId="0" fontId="15" fillId="0" borderId="1" xfId="4" applyFont="1" applyBorder="1" applyAlignment="1">
      <alignment horizontal="center" vertical="center"/>
    </xf>
    <xf numFmtId="0" fontId="15" fillId="0" borderId="3" xfId="4" applyFont="1" applyBorder="1" applyAlignment="1">
      <alignment horizontal="center" vertical="center"/>
    </xf>
    <xf numFmtId="0" fontId="14" fillId="0" borderId="2" xfId="4" applyFont="1" applyBorder="1" applyAlignment="1">
      <alignment horizontal="center" vertical="center"/>
    </xf>
    <xf numFmtId="14" fontId="14" fillId="0" borderId="2" xfId="4" applyNumberFormat="1" applyFont="1" applyBorder="1" applyAlignment="1">
      <alignment horizontal="center" vertical="center"/>
    </xf>
    <xf numFmtId="0" fontId="106" fillId="0" borderId="7" xfId="4" applyFont="1" applyBorder="1" applyAlignment="1">
      <alignment horizontal="center" vertical="center"/>
    </xf>
    <xf numFmtId="0" fontId="14" fillId="0" borderId="7" xfId="4" applyFont="1" applyBorder="1" applyAlignment="1">
      <alignment horizontal="center" vertical="center"/>
    </xf>
    <xf numFmtId="0" fontId="5" fillId="7" borderId="7" xfId="0" applyFont="1" applyFill="1" applyBorder="1" applyAlignment="1">
      <alignment horizontal="center" vertical="center" wrapText="1"/>
    </xf>
    <xf numFmtId="0" fontId="5" fillId="0" borderId="7" xfId="0" applyFont="1" applyBorder="1" applyAlignment="1">
      <alignment horizontal="center" vertical="center" wrapText="1"/>
    </xf>
    <xf numFmtId="9" fontId="5" fillId="2" borderId="7" xfId="0" applyNumberFormat="1" applyFont="1" applyFill="1" applyBorder="1" applyAlignment="1">
      <alignment horizontal="center" vertical="center" wrapText="1"/>
    </xf>
    <xf numFmtId="49" fontId="50" fillId="18" borderId="0" xfId="0" applyNumberFormat="1" applyFont="1" applyFill="1" applyAlignment="1">
      <alignment horizontal="left" vertical="center"/>
    </xf>
    <xf numFmtId="0" fontId="30" fillId="18" borderId="0" xfId="0" applyFont="1" applyFill="1" applyAlignment="1">
      <alignment horizontal="right"/>
    </xf>
    <xf numFmtId="0" fontId="47" fillId="12" borderId="23" xfId="10" applyFont="1" applyFill="1" applyBorder="1" applyAlignment="1">
      <alignment horizontal="left"/>
    </xf>
    <xf numFmtId="49" fontId="50" fillId="16" borderId="74" xfId="0" applyNumberFormat="1" applyFont="1" applyFill="1" applyBorder="1" applyAlignment="1">
      <alignment horizontal="left" vertical="center"/>
    </xf>
    <xf numFmtId="49" fontId="50" fillId="16" borderId="62" xfId="0" applyNumberFormat="1" applyFont="1" applyFill="1" applyBorder="1" applyAlignment="1">
      <alignment horizontal="left" vertical="center"/>
    </xf>
    <xf numFmtId="49" fontId="50" fillId="16" borderId="26" xfId="0" applyNumberFormat="1" applyFont="1" applyFill="1" applyBorder="1" applyAlignment="1">
      <alignment horizontal="left" vertical="center"/>
    </xf>
    <xf numFmtId="49" fontId="50" fillId="16" borderId="27" xfId="0" applyNumberFormat="1" applyFont="1" applyFill="1" applyBorder="1" applyAlignment="1">
      <alignment horizontal="left" vertical="center"/>
    </xf>
    <xf numFmtId="0" fontId="30" fillId="0" borderId="0" xfId="0" applyFont="1" applyAlignment="1">
      <alignment horizontal="right"/>
    </xf>
    <xf numFmtId="0" fontId="30" fillId="0" borderId="25" xfId="0" applyFont="1" applyBorder="1" applyAlignment="1">
      <alignment horizontal="right"/>
    </xf>
    <xf numFmtId="0" fontId="66" fillId="18" borderId="0" xfId="0" applyFont="1" applyFill="1" applyAlignment="1">
      <alignment horizontal="left"/>
    </xf>
    <xf numFmtId="0" fontId="67" fillId="18" borderId="0" xfId="0" applyFont="1" applyFill="1" applyAlignment="1">
      <alignment horizontal="left"/>
    </xf>
    <xf numFmtId="49" fontId="50" fillId="16" borderId="56" xfId="0" applyNumberFormat="1" applyFont="1" applyFill="1" applyBorder="1" applyAlignment="1">
      <alignment horizontal="left" vertical="center"/>
    </xf>
    <xf numFmtId="49" fontId="50" fillId="16" borderId="0" xfId="0" applyNumberFormat="1" applyFont="1" applyFill="1" applyAlignment="1">
      <alignment horizontal="left" vertical="center"/>
    </xf>
    <xf numFmtId="49" fontId="50" fillId="16" borderId="1" xfId="0" applyNumberFormat="1" applyFont="1" applyFill="1" applyBorder="1" applyAlignment="1">
      <alignment horizontal="left" vertical="center"/>
    </xf>
    <xf numFmtId="49" fontId="50" fillId="16" borderId="9" xfId="0" applyNumberFormat="1" applyFont="1" applyFill="1" applyBorder="1" applyAlignment="1">
      <alignment horizontal="left" vertical="center"/>
    </xf>
    <xf numFmtId="49" fontId="50" fillId="16" borderId="3" xfId="0" applyNumberFormat="1" applyFont="1" applyFill="1" applyBorder="1" applyAlignment="1">
      <alignment horizontal="left" vertical="center"/>
    </xf>
    <xf numFmtId="0" fontId="29" fillId="9" borderId="11" xfId="10" applyFont="1" applyFill="1" applyBorder="1" applyAlignment="1">
      <alignment horizontal="center" vertical="center"/>
    </xf>
    <xf numFmtId="0" fontId="29" fillId="9" borderId="14" xfId="10" applyFont="1" applyFill="1" applyBorder="1" applyAlignment="1">
      <alignment horizontal="center" vertical="center"/>
    </xf>
    <xf numFmtId="0" fontId="33" fillId="12" borderId="15" xfId="0" applyFont="1" applyFill="1" applyBorder="1" applyAlignment="1">
      <alignment horizontal="center" vertical="center"/>
    </xf>
    <xf numFmtId="0" fontId="33" fillId="12" borderId="16" xfId="0" applyFont="1" applyFill="1" applyBorder="1" applyAlignment="1">
      <alignment horizontal="center" vertical="center"/>
    </xf>
    <xf numFmtId="0" fontId="34" fillId="12" borderId="16" xfId="0" applyFont="1" applyFill="1" applyBorder="1" applyAlignment="1">
      <alignment horizontal="left" vertical="center"/>
    </xf>
    <xf numFmtId="0" fontId="34" fillId="12" borderId="17" xfId="0" applyFont="1" applyFill="1" applyBorder="1" applyAlignment="1">
      <alignment horizontal="left" vertical="center"/>
    </xf>
    <xf numFmtId="0" fontId="29" fillId="9" borderId="10" xfId="10" applyFont="1" applyFill="1" applyBorder="1" applyAlignment="1">
      <alignment horizontal="left"/>
    </xf>
    <xf numFmtId="49" fontId="50" fillId="17" borderId="42" xfId="0" applyNumberFormat="1" applyFont="1" applyFill="1" applyBorder="1" applyAlignment="1">
      <alignment horizontal="left" vertical="center"/>
    </xf>
    <xf numFmtId="49" fontId="50" fillId="17" borderId="26" xfId="0" applyNumberFormat="1" applyFont="1" applyFill="1" applyBorder="1" applyAlignment="1">
      <alignment horizontal="left" vertical="center"/>
    </xf>
    <xf numFmtId="49" fontId="50" fillId="17" borderId="27" xfId="0" applyNumberFormat="1" applyFont="1" applyFill="1" applyBorder="1" applyAlignment="1">
      <alignment horizontal="left" vertical="center"/>
    </xf>
    <xf numFmtId="0" fontId="32" fillId="11" borderId="60" xfId="10" applyFont="1" applyFill="1" applyBorder="1" applyAlignment="1">
      <alignment horizontal="left" vertical="center"/>
    </xf>
    <xf numFmtId="0" fontId="32" fillId="11" borderId="12" xfId="10" applyFont="1" applyFill="1" applyBorder="1" applyAlignment="1">
      <alignment horizontal="left" vertical="center"/>
    </xf>
    <xf numFmtId="49" fontId="50" fillId="17" borderId="66" xfId="0" applyNumberFormat="1" applyFont="1" applyFill="1" applyBorder="1" applyAlignment="1">
      <alignment horizontal="left" vertical="center"/>
    </xf>
    <xf numFmtId="49" fontId="50" fillId="17" borderId="67" xfId="0" applyNumberFormat="1" applyFont="1" applyFill="1" applyBorder="1" applyAlignment="1">
      <alignment horizontal="left" vertical="center"/>
    </xf>
    <xf numFmtId="0" fontId="25" fillId="0" borderId="67" xfId="0" applyFont="1" applyBorder="1" applyAlignment="1">
      <alignment horizontal="left" vertical="center"/>
    </xf>
    <xf numFmtId="0" fontId="25" fillId="0" borderId="68" xfId="0" applyFont="1" applyBorder="1" applyAlignment="1">
      <alignment horizontal="left" vertical="center"/>
    </xf>
  </cellXfs>
  <cellStyles count="13">
    <cellStyle name="ハイパーリンク 2" xfId="8" xr:uid="{D149D991-5776-4CD5-AAF4-AEFD62EAA993}"/>
    <cellStyle name="百分比" xfId="7" builtinId="5"/>
    <cellStyle name="标题" xfId="1" builtinId="15" hidden="1"/>
    <cellStyle name="标题 1" xfId="2" builtinId="16" hidden="1"/>
    <cellStyle name="標準 12" xfId="4" xr:uid="{2BAF3A1B-EF41-4FCB-8C53-3F485AF21B48}"/>
    <cellStyle name="標準 2" xfId="5" xr:uid="{013EF616-11C4-47C2-968D-263E3B0DFBF8}"/>
    <cellStyle name="標準 2 2" xfId="6" xr:uid="{92D69C64-EA5E-472F-9369-EA5A714066A4}"/>
    <cellStyle name="標準_com_calendar" xfId="3" xr:uid="{3F5F8C79-3F40-4195-AB61-8D095C796329}"/>
    <cellStyle name="標準_mrp_fix_period" xfId="12" xr:uid="{BC2B2EA1-CD5C-46B2-8741-6ADE4D577893}"/>
    <cellStyle name="標準_mrp_fix_period(2)" xfId="11" xr:uid="{AF026F69-D099-4F0E-9C2E-922249F40E0D}"/>
    <cellStyle name="標準_ＴＣＮ（4GL）" xfId="10" xr:uid="{1128C2DA-1FED-43C6-98CD-F56FD3B3A6CC}"/>
    <cellStyle name="常规" xfId="0" builtinId="0"/>
    <cellStyle name="超链接" xfId="9" builtinId="8"/>
  </cellStyles>
  <dxfs count="3">
    <dxf>
      <fill>
        <patternFill>
          <bgColor indexed="10"/>
        </patternFill>
      </fill>
    </dxf>
    <dxf>
      <fill>
        <patternFill>
          <bgColor indexed="10"/>
        </patternFill>
      </fill>
    </dxf>
    <dxf>
      <fill>
        <patternFill>
          <fgColor theme="0" tint="-0.34998626667073579"/>
          <bgColor theme="0" tint="-0.3499862666707357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99"/>
      <rgbColor rgb="00FF00FF"/>
      <rgbColor rgb="0000FFFF"/>
      <rgbColor rgb="00800000"/>
      <rgbColor rgb="00008000"/>
      <rgbColor rgb="00000080"/>
      <rgbColor rgb="00808000"/>
      <rgbColor rgb="00800080"/>
      <rgbColor rgb="00008080"/>
      <rgbColor rgb="00C0C0C0"/>
      <rgbColor rgb="00808080"/>
      <rgbColor rgb="009999FF"/>
      <rgbColor rgb="00993366"/>
      <rgbColor rgb="00FFFFE7"/>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DD"/>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5F5F5F"/>
      <rgbColor rgb="00993300"/>
      <rgbColor rgb="00993366"/>
      <rgbColor rgb="00333399"/>
      <rgbColor rgb="00333333"/>
    </indexedColors>
    <mruColors>
      <color rgb="FF99FF99"/>
      <color rgb="FFCCFFCC"/>
      <color rgb="FFCCFF99"/>
      <color rgb="FF0000CC"/>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externalLink" Target="externalLinks/externalLink6.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externalLink" Target="externalLinks/externalLink4.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sharedStrings" Target="sharedStrings.xml"/><Relationship Id="rId27" Type="http://schemas.openxmlformats.org/officeDocument/2006/relationships/customXml" Target="../customXml/item4.xml"/></Relationships>
</file>

<file path=xl/drawings/_rels/drawing3.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4.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png"/><Relationship Id="rId1" Type="http://schemas.openxmlformats.org/officeDocument/2006/relationships/image" Target="../media/image15.png"/><Relationship Id="rId4" Type="http://schemas.openxmlformats.org/officeDocument/2006/relationships/image" Target="../media/image13.png"/></Relationships>
</file>

<file path=xl/drawings/_rels/drawing5.xml.rels><?xml version="1.0" encoding="UTF-8" standalone="yes"?>
<Relationships xmlns="http://schemas.openxmlformats.org/package/2006/relationships"><Relationship Id="rId8" Type="http://schemas.openxmlformats.org/officeDocument/2006/relationships/image" Target="../media/image23.png"/><Relationship Id="rId13" Type="http://schemas.openxmlformats.org/officeDocument/2006/relationships/image" Target="../media/image28.emf"/><Relationship Id="rId18" Type="http://schemas.openxmlformats.org/officeDocument/2006/relationships/image" Target="../media/image33.emf"/><Relationship Id="rId26" Type="http://schemas.openxmlformats.org/officeDocument/2006/relationships/image" Target="../media/image41.png"/><Relationship Id="rId3" Type="http://schemas.openxmlformats.org/officeDocument/2006/relationships/image" Target="../media/image18.png"/><Relationship Id="rId21" Type="http://schemas.openxmlformats.org/officeDocument/2006/relationships/image" Target="../media/image36.png"/><Relationship Id="rId7" Type="http://schemas.openxmlformats.org/officeDocument/2006/relationships/image" Target="../media/image22.png"/><Relationship Id="rId12" Type="http://schemas.openxmlformats.org/officeDocument/2006/relationships/image" Target="../media/image27.emf"/><Relationship Id="rId17" Type="http://schemas.openxmlformats.org/officeDocument/2006/relationships/image" Target="../media/image32.emf"/><Relationship Id="rId25" Type="http://schemas.openxmlformats.org/officeDocument/2006/relationships/image" Target="../media/image40.png"/><Relationship Id="rId2" Type="http://schemas.openxmlformats.org/officeDocument/2006/relationships/image" Target="../media/image17.png"/><Relationship Id="rId16" Type="http://schemas.openxmlformats.org/officeDocument/2006/relationships/image" Target="../media/image31.emf"/><Relationship Id="rId20" Type="http://schemas.openxmlformats.org/officeDocument/2006/relationships/image" Target="../media/image35.png"/><Relationship Id="rId1" Type="http://schemas.openxmlformats.org/officeDocument/2006/relationships/image" Target="../media/image16.png"/><Relationship Id="rId6" Type="http://schemas.openxmlformats.org/officeDocument/2006/relationships/image" Target="../media/image21.png"/><Relationship Id="rId11" Type="http://schemas.openxmlformats.org/officeDocument/2006/relationships/image" Target="../media/image26.emf"/><Relationship Id="rId24" Type="http://schemas.openxmlformats.org/officeDocument/2006/relationships/image" Target="../media/image39.png"/><Relationship Id="rId5" Type="http://schemas.openxmlformats.org/officeDocument/2006/relationships/image" Target="../media/image20.png"/><Relationship Id="rId15" Type="http://schemas.openxmlformats.org/officeDocument/2006/relationships/image" Target="../media/image30.emf"/><Relationship Id="rId23" Type="http://schemas.openxmlformats.org/officeDocument/2006/relationships/image" Target="../media/image38.png"/><Relationship Id="rId10" Type="http://schemas.openxmlformats.org/officeDocument/2006/relationships/image" Target="../media/image25.emf"/><Relationship Id="rId19" Type="http://schemas.openxmlformats.org/officeDocument/2006/relationships/image" Target="../media/image34.emf"/><Relationship Id="rId4" Type="http://schemas.openxmlformats.org/officeDocument/2006/relationships/image" Target="../media/image19.png"/><Relationship Id="rId9" Type="http://schemas.openxmlformats.org/officeDocument/2006/relationships/image" Target="../media/image24.png"/><Relationship Id="rId14" Type="http://schemas.openxmlformats.org/officeDocument/2006/relationships/image" Target="../media/image29.emf"/><Relationship Id="rId22" Type="http://schemas.openxmlformats.org/officeDocument/2006/relationships/image" Target="../media/image37.png"/><Relationship Id="rId27" Type="http://schemas.openxmlformats.org/officeDocument/2006/relationships/image" Target="../media/image42.png"/></Relationships>
</file>

<file path=xl/drawings/_rels/drawing6.xml.rels><?xml version="1.0" encoding="UTF-8" standalone="yes"?>
<Relationships xmlns="http://schemas.openxmlformats.org/package/2006/relationships"><Relationship Id="rId3" Type="http://schemas.openxmlformats.org/officeDocument/2006/relationships/image" Target="../media/image13.png"/><Relationship Id="rId2" Type="http://schemas.openxmlformats.org/officeDocument/2006/relationships/image" Target="../media/image11.png"/><Relationship Id="rId1" Type="http://schemas.openxmlformats.org/officeDocument/2006/relationships/image" Target="../media/image15.png"/><Relationship Id="rId4" Type="http://schemas.openxmlformats.org/officeDocument/2006/relationships/image" Target="../media/image43.png"/></Relationships>
</file>

<file path=xl/drawings/_rels/drawing7.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2.png"/><Relationship Id="rId1" Type="http://schemas.openxmlformats.org/officeDocument/2006/relationships/image" Target="../media/image15.png"/><Relationship Id="rId4" Type="http://schemas.openxmlformats.org/officeDocument/2006/relationships/image" Target="../media/image13.png"/></Relationships>
</file>

<file path=xl/drawings/_rels/drawing8.xml.rels><?xml version="1.0" encoding="UTF-8" standalone="yes"?>
<Relationships xmlns="http://schemas.openxmlformats.org/package/2006/relationships"><Relationship Id="rId2" Type="http://schemas.openxmlformats.org/officeDocument/2006/relationships/image" Target="../media/image45.png"/><Relationship Id="rId1" Type="http://schemas.openxmlformats.org/officeDocument/2006/relationships/image" Target="../media/image44.png"/></Relationships>
</file>

<file path=xl/drawings/drawing1.xml><?xml version="1.0" encoding="utf-8"?>
<xdr:wsDr xmlns:xdr="http://schemas.openxmlformats.org/drawingml/2006/spreadsheetDrawing" xmlns:a="http://schemas.openxmlformats.org/drawingml/2006/main">
  <xdr:twoCellAnchor>
    <xdr:from>
      <xdr:col>0</xdr:col>
      <xdr:colOff>23812</xdr:colOff>
      <xdr:row>6</xdr:row>
      <xdr:rowOff>105227</xdr:rowOff>
    </xdr:from>
    <xdr:to>
      <xdr:col>9</xdr:col>
      <xdr:colOff>590550</xdr:colOff>
      <xdr:row>9</xdr:row>
      <xdr:rowOff>63500</xdr:rowOff>
    </xdr:to>
    <xdr:sp macro="" textlink="" fLocksText="0">
      <xdr:nvSpPr>
        <xdr:cNvPr id="2" name="Rectangle 1">
          <a:extLst>
            <a:ext uri="{FF2B5EF4-FFF2-40B4-BE49-F238E27FC236}">
              <a16:creationId xmlns:a16="http://schemas.microsoft.com/office/drawing/2014/main" id="{340824CD-C5C0-4A4C-9FD9-C55F36393FA1}"/>
            </a:ext>
          </a:extLst>
        </xdr:cNvPr>
        <xdr:cNvSpPr>
          <a:spLocks noChangeArrowheads="1"/>
        </xdr:cNvSpPr>
      </xdr:nvSpPr>
      <xdr:spPr bwMode="auto">
        <a:xfrm>
          <a:off x="23812" y="1305377"/>
          <a:ext cx="5710238" cy="558348"/>
        </a:xfrm>
        <a:prstGeom prst="rect">
          <a:avLst/>
        </a:prstGeom>
        <a:solidFill>
          <a:srgbClr val="FFFFFF">
            <a:alpha val="7999"/>
          </a:srgbClr>
        </a:solidFill>
        <a:ln w="9525">
          <a:noFill/>
          <a:round/>
          <a:headEnd/>
          <a:tailEnd/>
        </a:ln>
        <a:effectLst/>
      </xdr:spPr>
      <xdr:txBody>
        <a:bodyPr vertOverflow="clip" wrap="square" lIns="20160" tIns="20160" rIns="20160" bIns="20160" anchor="t" upright="1"/>
        <a:lstStyle/>
        <a:p>
          <a:pPr algn="ctr" rtl="0">
            <a:defRPr sz="1000"/>
          </a:pPr>
          <a:r>
            <a:rPr lang="en-US" altLang="ja-JP" sz="2800" b="1" i="0" u="none" strike="noStrike" baseline="0">
              <a:solidFill>
                <a:srgbClr val="0070C0"/>
              </a:solidFill>
              <a:latin typeface="Meiryo UI" panose="020B0604030504040204" pitchFamily="50" charset="-128"/>
              <a:ea typeface="Meiryo UI" panose="020B0604030504040204" pitchFamily="50" charset="-128"/>
              <a:cs typeface="Arial" panose="020B0604020202020204" pitchFamily="34" charset="0"/>
            </a:rPr>
            <a:t>TCS(PLpgSQL)</a:t>
          </a:r>
        </a:p>
      </xdr:txBody>
    </xdr:sp>
    <xdr:clientData/>
  </xdr:twoCellAnchor>
  <xdr:twoCellAnchor>
    <xdr:from>
      <xdr:col>3</xdr:col>
      <xdr:colOff>60960</xdr:colOff>
      <xdr:row>17</xdr:row>
      <xdr:rowOff>49213</xdr:rowOff>
    </xdr:from>
    <xdr:to>
      <xdr:col>3</xdr:col>
      <xdr:colOff>198120</xdr:colOff>
      <xdr:row>17</xdr:row>
      <xdr:rowOff>171133</xdr:rowOff>
    </xdr:to>
    <xdr:sp macro="" textlink="">
      <xdr:nvSpPr>
        <xdr:cNvPr id="3" name="正方形/長方形 2">
          <a:extLst>
            <a:ext uri="{FF2B5EF4-FFF2-40B4-BE49-F238E27FC236}">
              <a16:creationId xmlns:a16="http://schemas.microsoft.com/office/drawing/2014/main" id="{0A4B78B9-999B-48C1-BBEE-EB557A01D44B}"/>
            </a:ext>
          </a:extLst>
        </xdr:cNvPr>
        <xdr:cNvSpPr/>
      </xdr:nvSpPr>
      <xdr:spPr>
        <a:xfrm>
          <a:off x="1518285" y="3449638"/>
          <a:ext cx="137160" cy="121920"/>
        </a:xfrm>
        <a:prstGeom prst="rect">
          <a:avLst/>
        </a:prstGeom>
        <a:solidFill>
          <a:srgbClr val="1D4D77"/>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lIns="180000" tIns="0" rIns="0" bIns="0" rtlCol="0" anchor="ctr" anchorCtr="0"/>
        <a:lstStyle/>
        <a:p>
          <a:pPr algn="l"/>
          <a:r>
            <a:rPr kumimoji="1" lang="en-US" altLang="ja-JP" sz="700">
              <a:solidFill>
                <a:sysClr val="windowText" lastClr="000000"/>
              </a:solidFill>
              <a:latin typeface="Meiryo UI" panose="020B0604030504040204" pitchFamily="50" charset="-128"/>
              <a:ea typeface="Meiryo UI" panose="020B0604030504040204" pitchFamily="50" charset="-128"/>
            </a:rPr>
            <a:t>Global</a:t>
          </a:r>
          <a:endParaRPr kumimoji="1" lang="ja-JP" altLang="en-US"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3</xdr:col>
      <xdr:colOff>599122</xdr:colOff>
      <xdr:row>17</xdr:row>
      <xdr:rowOff>45720</xdr:rowOff>
    </xdr:from>
    <xdr:to>
      <xdr:col>3</xdr:col>
      <xdr:colOff>730250</xdr:colOff>
      <xdr:row>17</xdr:row>
      <xdr:rowOff>174626</xdr:rowOff>
    </xdr:to>
    <xdr:sp macro="" textlink="">
      <xdr:nvSpPr>
        <xdr:cNvPr id="4" name="正方形/長方形 3">
          <a:extLst>
            <a:ext uri="{FF2B5EF4-FFF2-40B4-BE49-F238E27FC236}">
              <a16:creationId xmlns:a16="http://schemas.microsoft.com/office/drawing/2014/main" id="{8177F76B-C214-4A45-B42D-1109CCD78704}"/>
            </a:ext>
          </a:extLst>
        </xdr:cNvPr>
        <xdr:cNvSpPr/>
      </xdr:nvSpPr>
      <xdr:spPr>
        <a:xfrm>
          <a:off x="2056447" y="3446145"/>
          <a:ext cx="112078" cy="128906"/>
        </a:xfrm>
        <a:prstGeom prst="rect">
          <a:avLst/>
        </a:prstGeom>
        <a:solidFill>
          <a:sysClr val="window" lastClr="FFFFFF"/>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lIns="180000" tIns="0" rIns="0" bIns="0" rtlCol="0" anchor="ctr" anchorCtr="0"/>
        <a:lstStyle/>
        <a:p>
          <a:pPr algn="l"/>
          <a:r>
            <a:rPr kumimoji="1" lang="en-US" altLang="ja-JP" sz="700">
              <a:solidFill>
                <a:sysClr val="windowText" lastClr="000000"/>
              </a:solidFill>
              <a:latin typeface="Meiryo UI" panose="020B0604030504040204" pitchFamily="50" charset="-128"/>
              <a:ea typeface="Meiryo UI" panose="020B0604030504040204" pitchFamily="50" charset="-128"/>
            </a:rPr>
            <a:t>Local [ *Region Name ]</a:t>
          </a:r>
          <a:endParaRPr kumimoji="1" lang="ja-JP" altLang="en-US" sz="700">
            <a:solidFill>
              <a:sysClr val="windowText" lastClr="000000"/>
            </a:solidFill>
            <a:latin typeface="Meiryo UI" panose="020B0604030504040204" pitchFamily="50" charset="-128"/>
            <a:ea typeface="Meiryo UI" panose="020B0604030504040204" pitchFamily="50" charset="-128"/>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95250</xdr:colOff>
      <xdr:row>9</xdr:row>
      <xdr:rowOff>0</xdr:rowOff>
    </xdr:from>
    <xdr:to>
      <xdr:col>9</xdr:col>
      <xdr:colOff>2295525</xdr:colOff>
      <xdr:row>9</xdr:row>
      <xdr:rowOff>0</xdr:rowOff>
    </xdr:to>
    <xdr:sp macro="" textlink="">
      <xdr:nvSpPr>
        <xdr:cNvPr id="2" name="Rectangle 1">
          <a:extLst>
            <a:ext uri="{FF2B5EF4-FFF2-40B4-BE49-F238E27FC236}">
              <a16:creationId xmlns:a16="http://schemas.microsoft.com/office/drawing/2014/main" id="{2A8DCEC8-F953-4CF1-80D7-C8508F91CF24}"/>
            </a:ext>
          </a:extLst>
        </xdr:cNvPr>
        <xdr:cNvSpPr>
          <a:spLocks noChangeArrowheads="1"/>
        </xdr:cNvSpPr>
      </xdr:nvSpPr>
      <xdr:spPr bwMode="auto">
        <a:xfrm>
          <a:off x="333375" y="1704975"/>
          <a:ext cx="6524625" cy="0"/>
        </a:xfrm>
        <a:prstGeom prst="rect">
          <a:avLst/>
        </a:prstGeom>
        <a:noFill/>
        <a:ln w="9525">
          <a:solidFill>
            <a:srgbClr xmlns:mc="http://schemas.openxmlformats.org/markup-compatibility/2006" xmlns:a14="http://schemas.microsoft.com/office/drawing/2010/main" val="969696" mc:Ignorable="a14" a14:legacySpreadsheetColorIndex="55"/>
          </a:solidFill>
          <a:miter lim="800000"/>
          <a:headEnd/>
          <a:tailEnd/>
        </a:ln>
        <a:extLst>
          <a:ext uri="{909E8E84-426E-40DD-AFC4-6F175D3DCCD1}">
            <a14:hiddenFill xmlns:a14="http://schemas.microsoft.com/office/drawing/2010/main">
              <a:solidFill>
                <a:srgbClr xmlns:mc="http://schemas.openxmlformats.org/markup-compatibility/2006" val="FFFFDD" mc:Ignorable="a14" a14:legacySpreadsheetColorIndex="43"/>
              </a:solidFill>
            </a14:hiddenFill>
          </a:ext>
        </a:extLst>
      </xdr:spPr>
      <xdr:txBody>
        <a:bodyPr vertOverflow="clip" wrap="square" lIns="27432" tIns="18288" rIns="0" bIns="0" anchor="t" upright="1"/>
        <a:lstStyle/>
        <a:p>
          <a:pPr algn="l" rtl="0">
            <a:defRPr sz="1000"/>
          </a:pPr>
          <a:endParaRPr lang="ja-JP" altLang="en-US" sz="900" b="0" i="0" u="none" strike="noStrike" baseline="0">
            <a:solidFill>
              <a:srgbClr val="808080"/>
            </a:solidFill>
            <a:latin typeface="ＭＳ ゴシック"/>
            <a:ea typeface="ＭＳ ゴシック"/>
          </a:endParaRPr>
        </a:p>
        <a:p>
          <a:pPr algn="l" rtl="0">
            <a:defRPr sz="1000"/>
          </a:pPr>
          <a:r>
            <a:rPr lang="ja-JP" altLang="en-US" sz="900" b="0" i="0" u="none" strike="noStrike" baseline="0">
              <a:solidFill>
                <a:srgbClr val="808080"/>
              </a:solidFill>
              <a:latin typeface="ＭＳ ゴシック"/>
              <a:ea typeface="ＭＳ ゴシック"/>
            </a:rPr>
            <a:t>--- &lt;&lt;&lt; LG44LT020.4GL &gt;&gt;&gt; --------- ( Start Time : 2006-08-29 14:23:20 ) --- </a:t>
          </a:r>
        </a:p>
        <a:p>
          <a:pPr algn="l" rtl="0">
            <a:defRPr sz="1000"/>
          </a:pPr>
          <a:endParaRPr lang="ja-JP" altLang="en-US" sz="900" b="0" i="0" u="none" strike="noStrike" baseline="0">
            <a:solidFill>
              <a:srgbClr val="808080"/>
            </a:solidFill>
            <a:latin typeface="ＭＳ ゴシック"/>
            <a:ea typeface="ＭＳ ゴシック"/>
          </a:endParaRPr>
        </a:p>
        <a:p>
          <a:pPr algn="l" rtl="0">
            <a:defRPr sz="1000"/>
          </a:pPr>
          <a:r>
            <a:rPr lang="ja-JP" altLang="en-US" sz="900" b="0" i="0" u="none" strike="noStrike" baseline="0">
              <a:solidFill>
                <a:srgbClr val="808080"/>
              </a:solidFill>
              <a:latin typeface="ＭＳ ゴシック"/>
              <a:ea typeface="ＭＳ ゴシック"/>
            </a:rPr>
            <a:t>        [cc3_acum_cost]   Delete Count =           2</a:t>
          </a:r>
        </a:p>
        <a:p>
          <a:pPr algn="l" rtl="0">
            <a:defRPr sz="1000"/>
          </a:pPr>
          <a:r>
            <a:rPr lang="ja-JP" altLang="en-US" sz="900" b="0" i="0" u="none" strike="noStrike" baseline="0">
              <a:solidFill>
                <a:srgbClr val="808080"/>
              </a:solidFill>
              <a:latin typeface="ＭＳ ゴシック"/>
              <a:ea typeface="ＭＳ ゴシック"/>
            </a:rPr>
            <a:t>        [cc_acum_cost_dt] Select Count =           3</a:t>
          </a:r>
        </a:p>
        <a:p>
          <a:pPr algn="l" rtl="0">
            <a:defRPr sz="1000"/>
          </a:pPr>
          <a:r>
            <a:rPr lang="ja-JP" altLang="en-US" sz="900" b="0" i="0" u="none" strike="noStrike" baseline="0">
              <a:solidFill>
                <a:srgbClr val="808080"/>
              </a:solidFill>
              <a:latin typeface="ＭＳ ゴシック"/>
              <a:ea typeface="ＭＳ ゴシック"/>
            </a:rPr>
            <a:t>        [cc3_acum_cost]   Insert Count =           3</a:t>
          </a:r>
        </a:p>
        <a:p>
          <a:pPr algn="l" rtl="0">
            <a:defRPr sz="1000"/>
          </a:pPr>
          <a:r>
            <a:rPr lang="ja-JP" altLang="en-US" sz="900" b="0" i="0" u="none" strike="noStrike" baseline="0">
              <a:solidFill>
                <a:srgbClr val="808080"/>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&lt;&lt;&lt; LG44LT020.4GL &gt;&gt;&gt; --------- ( End   Time : 2006-08-29 14:23:21 ) --- ( Exec :   0:00:00.687 SEC ) --- </a:t>
          </a:r>
        </a:p>
        <a:p>
          <a:pPr algn="l" rtl="0">
            <a:defRPr sz="1000"/>
          </a:pPr>
          <a:endParaRPr lang="ja-JP" altLang="en-US" sz="900" b="0" i="0" u="none" strike="noStrike" baseline="0">
            <a:solidFill>
              <a:srgbClr val="808080"/>
            </a:solidFill>
            <a:latin typeface="ＭＳ ゴシック"/>
            <a:ea typeface="ＭＳ ゴシック"/>
          </a:endParaRPr>
        </a:p>
        <a:p>
          <a:pPr algn="l" rtl="0">
            <a:defRPr sz="1000"/>
          </a:pPr>
          <a:endParaRPr lang="ja-JP" altLang="en-US" sz="900" b="0" i="0" u="none" strike="noStrike" baseline="0">
            <a:solidFill>
              <a:srgbClr val="808080"/>
            </a:solidFill>
            <a:latin typeface="ＭＳ ゴシック"/>
            <a:ea typeface="ＭＳ ゴシック"/>
          </a:endParaRPr>
        </a:p>
      </xdr:txBody>
    </xdr:sp>
    <xdr:clientData/>
  </xdr:twoCellAnchor>
  <xdr:twoCellAnchor>
    <xdr:from>
      <xdr:col>7</xdr:col>
      <xdr:colOff>561975</xdr:colOff>
      <xdr:row>58</xdr:row>
      <xdr:rowOff>0</xdr:rowOff>
    </xdr:from>
    <xdr:to>
      <xdr:col>10</xdr:col>
      <xdr:colOff>314325</xdr:colOff>
      <xdr:row>58</xdr:row>
      <xdr:rowOff>0</xdr:rowOff>
    </xdr:to>
    <xdr:sp macro="" textlink="">
      <xdr:nvSpPr>
        <xdr:cNvPr id="3" name="Rectangle 2">
          <a:extLst>
            <a:ext uri="{FF2B5EF4-FFF2-40B4-BE49-F238E27FC236}">
              <a16:creationId xmlns:a16="http://schemas.microsoft.com/office/drawing/2014/main" id="{F6A6CB29-39B1-4C52-AD04-E177D565F59D}"/>
            </a:ext>
          </a:extLst>
        </xdr:cNvPr>
        <xdr:cNvSpPr>
          <a:spLocks noChangeArrowheads="1"/>
        </xdr:cNvSpPr>
      </xdr:nvSpPr>
      <xdr:spPr bwMode="auto">
        <a:xfrm>
          <a:off x="5057775" y="12020550"/>
          <a:ext cx="2114550" cy="0"/>
        </a:xfrm>
        <a:prstGeom prst="rect">
          <a:avLst/>
        </a:prstGeom>
        <a:solidFill>
          <a:srgbClr xmlns:mc="http://schemas.openxmlformats.org/markup-compatibility/2006" xmlns:a14="http://schemas.microsoft.com/office/drawing/2010/main" val="CCFFCC" mc:Ignorable="a14" a14:legacySpreadsheetColorIndex="42"/>
        </a:solidFill>
        <a:ln>
          <a:noFill/>
        </a:ln>
        <a:effectLst/>
        <a:extLs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　　 where　 a．serial_no  = b．serial_no</a:t>
          </a:r>
        </a:p>
        <a:p>
          <a:pPr algn="l" rtl="0">
            <a:defRPr sz="1000"/>
          </a:pPr>
          <a:r>
            <a:rPr lang="ja-JP" altLang="en-US" sz="1100" b="0" i="0" u="none" strike="noStrike" baseline="0">
              <a:solidFill>
                <a:srgbClr val="000000"/>
              </a:solidFill>
              <a:latin typeface="ＭＳ Ｐゴシック"/>
              <a:ea typeface="ＭＳ Ｐゴシック"/>
            </a:rPr>
            <a:t>      　and　 a．data_seq  = l_data_seq　（4-1取得）</a:t>
          </a:r>
        </a:p>
        <a:p>
          <a:pPr algn="l" rtl="0">
            <a:defRPr sz="1000"/>
          </a:pPr>
          <a:r>
            <a:rPr lang="ja-JP" altLang="en-US" sz="1100" b="0" i="0" u="none" strike="noStrike" baseline="0">
              <a:solidFill>
                <a:srgbClr val="000000"/>
              </a:solidFill>
              <a:latin typeface="ＭＳ Ｐゴシック"/>
              <a:ea typeface="ＭＳ Ｐゴシック"/>
            </a:rPr>
            <a:t> 　　   and　 b．y_itemno  = r_y_itemno　（4-1取得）</a:t>
          </a:r>
        </a:p>
        <a:p>
          <a:pPr algn="l" rtl="0">
            <a:defRPr sz="1000"/>
          </a:pPr>
          <a:r>
            <a:rPr lang="ja-JP" altLang="en-US" sz="1100" b="0" i="0" u="none" strike="noStrike" baseline="0">
              <a:solidFill>
                <a:srgbClr val="000000"/>
              </a:solidFill>
              <a:latin typeface="ＭＳ Ｐゴシック"/>
              <a:ea typeface="ＭＳ Ｐゴシック"/>
            </a:rPr>
            <a:t>  order by　 b．transfer_date</a:t>
          </a:r>
        </a:p>
      </xdr:txBody>
    </xdr:sp>
    <xdr:clientData/>
  </xdr:twoCellAnchor>
  <xdr:twoCellAnchor>
    <xdr:from>
      <xdr:col>8</xdr:col>
      <xdr:colOff>409575</xdr:colOff>
      <xdr:row>58</xdr:row>
      <xdr:rowOff>0</xdr:rowOff>
    </xdr:from>
    <xdr:to>
      <xdr:col>8</xdr:col>
      <xdr:colOff>800100</xdr:colOff>
      <xdr:row>58</xdr:row>
      <xdr:rowOff>0</xdr:rowOff>
    </xdr:to>
    <xdr:sp macro="" textlink="">
      <xdr:nvSpPr>
        <xdr:cNvPr id="4" name="AutoShape 3">
          <a:extLst>
            <a:ext uri="{FF2B5EF4-FFF2-40B4-BE49-F238E27FC236}">
              <a16:creationId xmlns:a16="http://schemas.microsoft.com/office/drawing/2014/main" id="{11726696-FAAC-48A9-AC9B-56EAD6A46AE4}"/>
            </a:ext>
          </a:extLst>
        </xdr:cNvPr>
        <xdr:cNvSpPr>
          <a:spLocks noChangeArrowheads="1"/>
        </xdr:cNvSpPr>
      </xdr:nvSpPr>
      <xdr:spPr bwMode="auto">
        <a:xfrm>
          <a:off x="5619750" y="12020550"/>
          <a:ext cx="390525" cy="0"/>
        </a:xfrm>
        <a:prstGeom prst="upArrow">
          <a:avLst>
            <a:gd name="adj1" fmla="val 51519"/>
            <a:gd name="adj2" fmla="val -2147483648"/>
          </a:avLst>
        </a:prstGeom>
        <a:solidFill>
          <a:srgbClr xmlns:mc="http://schemas.openxmlformats.org/markup-compatibility/2006" xmlns:a14="http://schemas.microsoft.com/office/drawing/2010/main" val="FF0000" mc:Ignorable="a14" a14:legacySpreadsheetColorIndex="10"/>
        </a:solidFill>
        <a:ln>
          <a:noFill/>
        </a:ln>
        <a:effectLst/>
        <a:extLs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12</xdr:col>
      <xdr:colOff>495300</xdr:colOff>
      <xdr:row>37</xdr:row>
      <xdr:rowOff>0</xdr:rowOff>
    </xdr:from>
    <xdr:to>
      <xdr:col>14</xdr:col>
      <xdr:colOff>361950</xdr:colOff>
      <xdr:row>37</xdr:row>
      <xdr:rowOff>0</xdr:rowOff>
    </xdr:to>
    <xdr:sp macro="" textlink="">
      <xdr:nvSpPr>
        <xdr:cNvPr id="5" name="AutoShape 4">
          <a:extLst>
            <a:ext uri="{FF2B5EF4-FFF2-40B4-BE49-F238E27FC236}">
              <a16:creationId xmlns:a16="http://schemas.microsoft.com/office/drawing/2014/main" id="{3C6D7AD3-56FB-499B-AD29-A81A8F51EEF3}"/>
            </a:ext>
          </a:extLst>
        </xdr:cNvPr>
        <xdr:cNvSpPr>
          <a:spLocks noChangeArrowheads="1"/>
        </xdr:cNvSpPr>
      </xdr:nvSpPr>
      <xdr:spPr bwMode="auto">
        <a:xfrm>
          <a:off x="8782050" y="7515225"/>
          <a:ext cx="1238250" cy="0"/>
        </a:xfrm>
        <a:prstGeom prst="wedgeRectCallout">
          <a:avLst>
            <a:gd name="adj1" fmla="val -20000"/>
            <a:gd name="adj2" fmla="val -150000"/>
          </a:avLst>
        </a:prstGeom>
        <a:solidFill>
          <a:srgbClr xmlns:mc="http://schemas.openxmlformats.org/markup-compatibility/2006" xmlns:a14="http://schemas.microsoft.com/office/drawing/2010/main" val="99CCFF" mc:Ignorable="a14" a14:legacySpreadsheetColorIndex="44"/>
        </a:solidFill>
        <a:ln>
          <a:noFill/>
        </a:ln>
        <a:effectLst/>
        <a:extLs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引数：200409で実行</a:t>
          </a:r>
        </a:p>
      </xdr:txBody>
    </xdr:sp>
    <xdr:clientData/>
  </xdr:twoCellAnchor>
  <xdr:twoCellAnchor>
    <xdr:from>
      <xdr:col>10</xdr:col>
      <xdr:colOff>628650</xdr:colOff>
      <xdr:row>58</xdr:row>
      <xdr:rowOff>0</xdr:rowOff>
    </xdr:from>
    <xdr:to>
      <xdr:col>10</xdr:col>
      <xdr:colOff>742950</xdr:colOff>
      <xdr:row>58</xdr:row>
      <xdr:rowOff>0</xdr:rowOff>
    </xdr:to>
    <xdr:sp macro="" textlink="">
      <xdr:nvSpPr>
        <xdr:cNvPr id="6" name="AutoShape 5">
          <a:extLst>
            <a:ext uri="{FF2B5EF4-FFF2-40B4-BE49-F238E27FC236}">
              <a16:creationId xmlns:a16="http://schemas.microsoft.com/office/drawing/2014/main" id="{DADA28D6-ED9F-4CE5-98EB-EA9BD0C27322}"/>
            </a:ext>
          </a:extLst>
        </xdr:cNvPr>
        <xdr:cNvSpPr>
          <a:spLocks noChangeArrowheads="1"/>
        </xdr:cNvSpPr>
      </xdr:nvSpPr>
      <xdr:spPr bwMode="auto">
        <a:xfrm>
          <a:off x="7486650" y="12020550"/>
          <a:ext cx="114300" cy="0"/>
        </a:xfrm>
        <a:prstGeom prst="upArrow">
          <a:avLst>
            <a:gd name="adj1" fmla="val 51519"/>
            <a:gd name="adj2" fmla="val -2147483648"/>
          </a:avLst>
        </a:prstGeom>
        <a:solidFill>
          <a:srgbClr xmlns:mc="http://schemas.openxmlformats.org/markup-compatibility/2006" xmlns:a14="http://schemas.microsoft.com/office/drawing/2010/main" val="FF0000" mc:Ignorable="a14" a14:legacySpreadsheetColorIndex="10"/>
        </a:solidFill>
        <a:ln>
          <a:noFill/>
        </a:ln>
        <a:effectLst/>
        <a:extLs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514350</xdr:colOff>
      <xdr:row>3</xdr:row>
      <xdr:rowOff>0</xdr:rowOff>
    </xdr:from>
    <xdr:to>
      <xdr:col>15</xdr:col>
      <xdr:colOff>180975</xdr:colOff>
      <xdr:row>7</xdr:row>
      <xdr:rowOff>0</xdr:rowOff>
    </xdr:to>
    <xdr:sp macro="" textlink="">
      <xdr:nvSpPr>
        <xdr:cNvPr id="11" name="AutoShape 22">
          <a:extLst>
            <a:ext uri="{FF2B5EF4-FFF2-40B4-BE49-F238E27FC236}">
              <a16:creationId xmlns:a16="http://schemas.microsoft.com/office/drawing/2014/main" id="{31164851-C4FD-415B-BD5D-4B5403FE7606}"/>
            </a:ext>
          </a:extLst>
        </xdr:cNvPr>
        <xdr:cNvSpPr>
          <a:spLocks noChangeArrowheads="1"/>
        </xdr:cNvSpPr>
      </xdr:nvSpPr>
      <xdr:spPr bwMode="auto">
        <a:xfrm>
          <a:off x="6572250" y="676275"/>
          <a:ext cx="3952875" cy="685800"/>
        </a:xfrm>
        <a:prstGeom prst="wedgeRoundRectCallout">
          <a:avLst>
            <a:gd name="adj1" fmla="val -61565"/>
            <a:gd name="adj2" fmla="val -33333"/>
            <a:gd name="adj3" fmla="val 16667"/>
          </a:avLst>
        </a:prstGeom>
        <a:solidFill>
          <a:srgbClr xmlns:mc="http://schemas.openxmlformats.org/markup-compatibility/2006" xmlns:a14="http://schemas.microsoft.com/office/drawing/2010/main" val="FFFFDD" mc:Ignorable="a14" a14:legacySpreadsheetColorIndex="43"/>
        </a:solidFill>
        <a:ln w="19050">
          <a:solidFill>
            <a:srgbClr xmlns:mc="http://schemas.openxmlformats.org/markup-compatibility/2006" xmlns:a14="http://schemas.microsoft.com/office/drawing/2010/main" val="FF6600" mc:Ignorable="a14" a14:legacySpreadsheetColorIndex="53"/>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576" tIns="18288" rIns="36576" bIns="18288" anchor="ctr" upright="1"/>
        <a:lstStyle/>
        <a:p>
          <a:pPr algn="ctr" rtl="0">
            <a:lnSpc>
              <a:spcPts val="1200"/>
            </a:lnSpc>
            <a:defRPr sz="1000"/>
          </a:pPr>
          <a:r>
            <a:rPr lang="ja-JP" altLang="en-US" sz="1100" b="1" i="0" u="none" strike="noStrike" baseline="0">
              <a:solidFill>
                <a:srgbClr val="000000"/>
              </a:solidFill>
              <a:latin typeface="ＭＳ Ｐゴシック"/>
              <a:ea typeface="ＭＳ Ｐゴシック"/>
            </a:rPr>
            <a:t>"更新項目"や"削除項目"への色分けが必要な場合</a:t>
          </a:r>
        </a:p>
        <a:p>
          <a:pPr algn="ctr" rtl="0">
            <a:lnSpc>
              <a:spcPts val="1200"/>
            </a:lnSpc>
            <a:defRPr sz="1000"/>
          </a:pPr>
          <a:r>
            <a:rPr lang="ja-JP" altLang="en-US" sz="1100" b="1" i="0" u="none" strike="noStrike" baseline="0">
              <a:solidFill>
                <a:srgbClr val="000000"/>
              </a:solidFill>
              <a:latin typeface="ＭＳ Ｐゴシック"/>
              <a:ea typeface="ＭＳ Ｐゴシック"/>
            </a:rPr>
            <a:t>開発者は任意の色を指定し、テストデータと対応させる。</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314325</xdr:colOff>
      <xdr:row>161</xdr:row>
      <xdr:rowOff>38100</xdr:rowOff>
    </xdr:from>
    <xdr:to>
      <xdr:col>9</xdr:col>
      <xdr:colOff>381000</xdr:colOff>
      <xdr:row>175</xdr:row>
      <xdr:rowOff>76200</xdr:rowOff>
    </xdr:to>
    <xdr:grpSp>
      <xdr:nvGrpSpPr>
        <xdr:cNvPr id="2" name="Group 136">
          <a:extLst>
            <a:ext uri="{FF2B5EF4-FFF2-40B4-BE49-F238E27FC236}">
              <a16:creationId xmlns:a16="http://schemas.microsoft.com/office/drawing/2014/main" id="{BF8F902E-0FCF-4FCD-9705-6A6E2FE7FF07}"/>
            </a:ext>
          </a:extLst>
        </xdr:cNvPr>
        <xdr:cNvGrpSpPr>
          <a:grpSpLocks/>
        </xdr:cNvGrpSpPr>
      </xdr:nvGrpSpPr>
      <xdr:grpSpPr bwMode="auto">
        <a:xfrm>
          <a:off x="539750" y="30737175"/>
          <a:ext cx="4013200" cy="2705100"/>
          <a:chOff x="59" y="3465"/>
          <a:chExt cx="439" cy="256"/>
        </a:xfrm>
      </xdr:grpSpPr>
      <xdr:grpSp>
        <xdr:nvGrpSpPr>
          <xdr:cNvPr id="3" name="Group 132">
            <a:extLst>
              <a:ext uri="{FF2B5EF4-FFF2-40B4-BE49-F238E27FC236}">
                <a16:creationId xmlns:a16="http://schemas.microsoft.com/office/drawing/2014/main" id="{C7C26B52-35D0-0162-CDCC-8EE3C2DF172D}"/>
              </a:ext>
            </a:extLst>
          </xdr:cNvPr>
          <xdr:cNvGrpSpPr>
            <a:grpSpLocks/>
          </xdr:cNvGrpSpPr>
        </xdr:nvGrpSpPr>
        <xdr:grpSpPr bwMode="auto">
          <a:xfrm>
            <a:off x="59" y="3465"/>
            <a:ext cx="439" cy="256"/>
            <a:chOff x="358" y="3464"/>
            <a:chExt cx="439" cy="256"/>
          </a:xfrm>
        </xdr:grpSpPr>
        <xdr:pic>
          <xdr:nvPicPr>
            <xdr:cNvPr id="5" name="Picture 127">
              <a:extLst>
                <a:ext uri="{FF2B5EF4-FFF2-40B4-BE49-F238E27FC236}">
                  <a16:creationId xmlns:a16="http://schemas.microsoft.com/office/drawing/2014/main" id="{448082CF-3E8C-6EBC-77C4-42C451ED1DC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l="22969" t="21582" r="42734" b="53418"/>
            <a:stretch>
              <a:fillRect/>
            </a:stretch>
          </xdr:blipFill>
          <xdr:spPr bwMode="auto">
            <a:xfrm>
              <a:off x="358" y="3464"/>
              <a:ext cx="439" cy="256"/>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pic>
          <xdr:nvPicPr>
            <xdr:cNvPr id="6" name="Picture 131">
              <a:extLst>
                <a:ext uri="{FF2B5EF4-FFF2-40B4-BE49-F238E27FC236}">
                  <a16:creationId xmlns:a16="http://schemas.microsoft.com/office/drawing/2014/main" id="{FA54F35D-B933-9247-D9A1-EF9326CDAD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367" y="3599"/>
              <a:ext cx="423" cy="114"/>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grpSp>
      <xdr:pic>
        <xdr:nvPicPr>
          <xdr:cNvPr id="4" name="Picture 135">
            <a:extLst>
              <a:ext uri="{FF2B5EF4-FFF2-40B4-BE49-F238E27FC236}">
                <a16:creationId xmlns:a16="http://schemas.microsoft.com/office/drawing/2014/main" id="{9CC80490-24E1-867C-3B58-23899D1650CA}"/>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68" y="3600"/>
            <a:ext cx="423" cy="112"/>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grpSp>
    <xdr:clientData/>
  </xdr:twoCellAnchor>
  <xdr:twoCellAnchor editAs="oneCell">
    <xdr:from>
      <xdr:col>2</xdr:col>
      <xdr:colOff>38100</xdr:colOff>
      <xdr:row>150</xdr:row>
      <xdr:rowOff>0</xdr:rowOff>
    </xdr:from>
    <xdr:to>
      <xdr:col>9</xdr:col>
      <xdr:colOff>3028950</xdr:colOff>
      <xdr:row>154</xdr:row>
      <xdr:rowOff>66675</xdr:rowOff>
    </xdr:to>
    <xdr:pic>
      <xdr:nvPicPr>
        <xdr:cNvPr id="7" name="Picture 123">
          <a:extLst>
            <a:ext uri="{FF2B5EF4-FFF2-40B4-BE49-F238E27FC236}">
              <a16:creationId xmlns:a16="http://schemas.microsoft.com/office/drawing/2014/main" id="{5C054271-C2B3-4B3C-AF4D-8692CB06B25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828675" y="29889450"/>
          <a:ext cx="6753225" cy="8667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2</xdr:col>
      <xdr:colOff>9525</xdr:colOff>
      <xdr:row>75</xdr:row>
      <xdr:rowOff>85725</xdr:rowOff>
    </xdr:from>
    <xdr:to>
      <xdr:col>9</xdr:col>
      <xdr:colOff>1600200</xdr:colOff>
      <xdr:row>78</xdr:row>
      <xdr:rowOff>180975</xdr:rowOff>
    </xdr:to>
    <xdr:pic>
      <xdr:nvPicPr>
        <xdr:cNvPr id="8" name="Picture 118">
          <a:extLst>
            <a:ext uri="{FF2B5EF4-FFF2-40B4-BE49-F238E27FC236}">
              <a16:creationId xmlns:a16="http://schemas.microsoft.com/office/drawing/2014/main" id="{6F773585-7B3D-42A1-A58C-6AB5240C1B7F}"/>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800100" y="14992350"/>
          <a:ext cx="5353050" cy="69532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2</xdr:col>
      <xdr:colOff>9525</xdr:colOff>
      <xdr:row>37</xdr:row>
      <xdr:rowOff>38100</xdr:rowOff>
    </xdr:from>
    <xdr:to>
      <xdr:col>9</xdr:col>
      <xdr:colOff>2314575</xdr:colOff>
      <xdr:row>44</xdr:row>
      <xdr:rowOff>47625</xdr:rowOff>
    </xdr:to>
    <xdr:pic>
      <xdr:nvPicPr>
        <xdr:cNvPr id="9" name="Picture 116">
          <a:extLst>
            <a:ext uri="{FF2B5EF4-FFF2-40B4-BE49-F238E27FC236}">
              <a16:creationId xmlns:a16="http://schemas.microsoft.com/office/drawing/2014/main" id="{C2E053BC-831F-4C15-AA83-35050EEC5A7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800100" y="7372350"/>
          <a:ext cx="6067425" cy="1409700"/>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219075</xdr:colOff>
      <xdr:row>1</xdr:row>
      <xdr:rowOff>0</xdr:rowOff>
    </xdr:from>
    <xdr:to>
      <xdr:col>8</xdr:col>
      <xdr:colOff>57150</xdr:colOff>
      <xdr:row>1</xdr:row>
      <xdr:rowOff>0</xdr:rowOff>
    </xdr:to>
    <xdr:sp macro="" textlink="">
      <xdr:nvSpPr>
        <xdr:cNvPr id="10" name="Rectangle 1">
          <a:extLst>
            <a:ext uri="{FF2B5EF4-FFF2-40B4-BE49-F238E27FC236}">
              <a16:creationId xmlns:a16="http://schemas.microsoft.com/office/drawing/2014/main" id="{71F0AAD4-A2E3-4267-B286-0D7A856FA61A}"/>
            </a:ext>
          </a:extLst>
        </xdr:cNvPr>
        <xdr:cNvSpPr>
          <a:spLocks noChangeArrowheads="1"/>
        </xdr:cNvSpPr>
      </xdr:nvSpPr>
      <xdr:spPr bwMode="auto">
        <a:xfrm>
          <a:off x="466725" y="200025"/>
          <a:ext cx="3600450" cy="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C0C0C0" mc:Ignorable="a14" a14:legacySpreadsheetColorIndex="22"/>
          </a:solidFill>
          <a:miter lim="800000"/>
          <a:headEnd/>
          <a:tailEnd/>
        </a:ln>
      </xdr:spPr>
    </xdr:sp>
    <xdr:clientData/>
  </xdr:twoCellAnchor>
  <xdr:twoCellAnchor>
    <xdr:from>
      <xdr:col>1</xdr:col>
      <xdr:colOff>228600</xdr:colOff>
      <xdr:row>1</xdr:row>
      <xdr:rowOff>0</xdr:rowOff>
    </xdr:from>
    <xdr:to>
      <xdr:col>9</xdr:col>
      <xdr:colOff>1076325</xdr:colOff>
      <xdr:row>1</xdr:row>
      <xdr:rowOff>0</xdr:rowOff>
    </xdr:to>
    <xdr:sp macro="" textlink="">
      <xdr:nvSpPr>
        <xdr:cNvPr id="11" name="Rectangle 2">
          <a:extLst>
            <a:ext uri="{FF2B5EF4-FFF2-40B4-BE49-F238E27FC236}">
              <a16:creationId xmlns:a16="http://schemas.microsoft.com/office/drawing/2014/main" id="{3356F75C-DCDE-4093-950F-845ED387A822}"/>
            </a:ext>
          </a:extLst>
        </xdr:cNvPr>
        <xdr:cNvSpPr>
          <a:spLocks noChangeArrowheads="1"/>
        </xdr:cNvSpPr>
      </xdr:nvSpPr>
      <xdr:spPr bwMode="auto">
        <a:xfrm>
          <a:off x="476250" y="200025"/>
          <a:ext cx="5153025" cy="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C0C0C0" mc:Ignorable="a14" a14:legacySpreadsheetColorIndex="22"/>
          </a:solidFill>
          <a:miter lim="800000"/>
          <a:headEnd/>
          <a:tailEnd/>
        </a:ln>
      </xdr:spPr>
      <xdr:txBody>
        <a:bodyPr vertOverflow="clip" wrap="square" lIns="27432" tIns="18288" rIns="0" bIns="0" anchor="t" upright="1"/>
        <a:lstStyle/>
        <a:p>
          <a:pPr algn="l" rtl="0">
            <a:defRPr sz="1000"/>
          </a:pPr>
          <a:r>
            <a:rPr lang="ja-JP" altLang="en-US" sz="900" b="0" i="0" u="none" strike="noStrike" baseline="0">
              <a:solidFill>
                <a:srgbClr val="808080"/>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&lt;&lt;&lt; KK0320_01 &gt;&gt;&gt; --------- ( Start Time : 2006-08-03 09:08:15 ) --- </a:t>
          </a:r>
        </a:p>
        <a:p>
          <a:pPr algn="l" rtl="0">
            <a:defRPr sz="1000"/>
          </a:pPr>
          <a:r>
            <a:rPr lang="ja-JP" altLang="en-US" sz="900" b="0" i="0" u="none" strike="noStrike" baseline="0">
              <a:solidFill>
                <a:srgbClr val="808080"/>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[kknippo_0320] Select Count =           0</a:t>
          </a:r>
        </a:p>
      </xdr:txBody>
    </xdr:sp>
    <xdr:clientData/>
  </xdr:twoCellAnchor>
  <xdr:twoCellAnchor>
    <xdr:from>
      <xdr:col>1</xdr:col>
      <xdr:colOff>228600</xdr:colOff>
      <xdr:row>1</xdr:row>
      <xdr:rowOff>0</xdr:rowOff>
    </xdr:from>
    <xdr:to>
      <xdr:col>9</xdr:col>
      <xdr:colOff>1485900</xdr:colOff>
      <xdr:row>1</xdr:row>
      <xdr:rowOff>0</xdr:rowOff>
    </xdr:to>
    <xdr:sp macro="" textlink="">
      <xdr:nvSpPr>
        <xdr:cNvPr id="12" name="Rectangle 3">
          <a:extLst>
            <a:ext uri="{FF2B5EF4-FFF2-40B4-BE49-F238E27FC236}">
              <a16:creationId xmlns:a16="http://schemas.microsoft.com/office/drawing/2014/main" id="{E1BB40E3-9075-4DF8-AA58-B764AD1DBBD3}"/>
            </a:ext>
          </a:extLst>
        </xdr:cNvPr>
        <xdr:cNvSpPr>
          <a:spLocks noChangeArrowheads="1"/>
        </xdr:cNvSpPr>
      </xdr:nvSpPr>
      <xdr:spPr bwMode="auto">
        <a:xfrm>
          <a:off x="476250" y="200025"/>
          <a:ext cx="5562600" cy="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C0C0C0" mc:Ignorable="a14" a14:legacySpreadsheetColorIndex="22"/>
          </a:solidFill>
          <a:miter lim="800000"/>
          <a:headEnd/>
          <a:tailEnd/>
        </a:ln>
      </xdr:spPr>
      <xdr:txBody>
        <a:bodyPr vertOverflow="clip" wrap="square" lIns="27432" tIns="18288" rIns="0" bIns="0" anchor="t" upright="1"/>
        <a:lstStyle/>
        <a:p>
          <a:pPr algn="l" rtl="0">
            <a:defRPr sz="1000"/>
          </a:pPr>
          <a:r>
            <a:rPr lang="ja-JP" altLang="en-US" sz="900" b="0" i="0" u="none" strike="noStrike" baseline="0">
              <a:solidFill>
                <a:srgbClr val="808080"/>
              </a:solidFill>
              <a:latin typeface="ＭＳ ゴシック"/>
              <a:ea typeface="ＭＳ ゴシック"/>
            </a:rPr>
            <a:t> </a:t>
          </a:r>
        </a:p>
        <a:p>
          <a:pPr algn="l" rtl="0">
            <a:defRPr sz="1000"/>
          </a:pPr>
          <a:endParaRPr lang="ja-JP" altLang="en-US" sz="900" b="0" i="0" u="none" strike="noStrike" baseline="0">
            <a:solidFill>
              <a:srgbClr val="000000"/>
            </a:solidFill>
            <a:latin typeface="ＭＳ ゴシック"/>
            <a:ea typeface="ＭＳ ゴシック"/>
          </a:endParaRPr>
        </a:p>
        <a:p>
          <a:pPr algn="l" rtl="0">
            <a:defRPr sz="1000"/>
          </a:pPr>
          <a:endParaRPr lang="ja-JP" altLang="en-US" sz="900" b="0" i="0" u="none" strike="noStrike" baseline="0">
            <a:solidFill>
              <a:srgbClr val="000000"/>
            </a:solidFill>
            <a:latin typeface="ＭＳ ゴシック"/>
            <a:ea typeface="ＭＳ ゴシック"/>
          </a:endParaRPr>
        </a:p>
      </xdr:txBody>
    </xdr:sp>
    <xdr:clientData/>
  </xdr:twoCellAnchor>
  <xdr:twoCellAnchor>
    <xdr:from>
      <xdr:col>1</xdr:col>
      <xdr:colOff>238125</xdr:colOff>
      <xdr:row>1</xdr:row>
      <xdr:rowOff>0</xdr:rowOff>
    </xdr:from>
    <xdr:to>
      <xdr:col>9</xdr:col>
      <xdr:colOff>1114425</xdr:colOff>
      <xdr:row>1</xdr:row>
      <xdr:rowOff>0</xdr:rowOff>
    </xdr:to>
    <xdr:sp macro="" textlink="">
      <xdr:nvSpPr>
        <xdr:cNvPr id="13" name="Rectangle 4">
          <a:extLst>
            <a:ext uri="{FF2B5EF4-FFF2-40B4-BE49-F238E27FC236}">
              <a16:creationId xmlns:a16="http://schemas.microsoft.com/office/drawing/2014/main" id="{EFA24CAB-1EBE-43B8-A6C7-972AF13FC5C6}"/>
            </a:ext>
          </a:extLst>
        </xdr:cNvPr>
        <xdr:cNvSpPr>
          <a:spLocks noChangeArrowheads="1"/>
        </xdr:cNvSpPr>
      </xdr:nvSpPr>
      <xdr:spPr bwMode="auto">
        <a:xfrm>
          <a:off x="485775" y="200025"/>
          <a:ext cx="5181600" cy="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C0C0C0" mc:Ignorable="a14" a14:legacySpreadsheetColorIndex="22"/>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endParaRPr lang="ja-JP" altLang="en-US" sz="900" b="0" i="0" u="none" strike="noStrike" baseline="0">
            <a:solidFill>
              <a:srgbClr val="000000"/>
            </a:solidFill>
            <a:latin typeface="ＭＳ ゴシック"/>
            <a:ea typeface="ＭＳ ゴシック"/>
          </a:endParaRPr>
        </a:p>
        <a:p>
          <a:pPr algn="l" rtl="0">
            <a:defRPr sz="1000"/>
          </a:pPr>
          <a:endParaRPr lang="ja-JP" altLang="en-US" sz="900" b="0" i="0" u="none" strike="noStrike" baseline="0">
            <a:solidFill>
              <a:srgbClr val="000000"/>
            </a:solidFill>
            <a:latin typeface="ＭＳ ゴシック"/>
            <a:ea typeface="ＭＳ ゴシック"/>
          </a:endParaRPr>
        </a:p>
        <a:p>
          <a:pPr algn="l" rtl="0">
            <a:defRPr sz="1000"/>
          </a:pPr>
          <a:r>
            <a:rPr lang="ja-JP" altLang="en-US" sz="900" b="0" i="0" u="none" strike="noStrike" baseline="0">
              <a:solidFill>
                <a:srgbClr val="000000"/>
              </a:solidFill>
              <a:latin typeface="ＭＳ ゴシック"/>
              <a:ea typeface="ＭＳ ゴシック"/>
            </a:rPr>
            <a:t> </a:t>
          </a:r>
        </a:p>
      </xdr:txBody>
    </xdr:sp>
    <xdr:clientData/>
  </xdr:twoCellAnchor>
  <xdr:twoCellAnchor>
    <xdr:from>
      <xdr:col>1</xdr:col>
      <xdr:colOff>228600</xdr:colOff>
      <xdr:row>1</xdr:row>
      <xdr:rowOff>0</xdr:rowOff>
    </xdr:from>
    <xdr:to>
      <xdr:col>9</xdr:col>
      <xdr:colOff>1485900</xdr:colOff>
      <xdr:row>1</xdr:row>
      <xdr:rowOff>0</xdr:rowOff>
    </xdr:to>
    <xdr:sp macro="" textlink="">
      <xdr:nvSpPr>
        <xdr:cNvPr id="14" name="Rectangle 5">
          <a:extLst>
            <a:ext uri="{FF2B5EF4-FFF2-40B4-BE49-F238E27FC236}">
              <a16:creationId xmlns:a16="http://schemas.microsoft.com/office/drawing/2014/main" id="{8A84F691-CDB1-4AA7-AF2E-4F05A3965939}"/>
            </a:ext>
          </a:extLst>
        </xdr:cNvPr>
        <xdr:cNvSpPr>
          <a:spLocks noChangeArrowheads="1"/>
        </xdr:cNvSpPr>
      </xdr:nvSpPr>
      <xdr:spPr bwMode="auto">
        <a:xfrm>
          <a:off x="476250" y="200025"/>
          <a:ext cx="5562600" cy="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C0C0C0" mc:Ignorable="a14" a14:legacySpreadsheetColorIndex="22"/>
          </a:solidFill>
          <a:miter lim="800000"/>
          <a:headEnd/>
          <a:tailEnd/>
        </a:ln>
      </xdr:spPr>
      <xdr:txBody>
        <a:bodyPr vertOverflow="clip" wrap="square" lIns="27432" tIns="18288" rIns="0" bIns="0" anchor="t" upright="1"/>
        <a:lstStyle/>
        <a:p>
          <a:pPr algn="l" rtl="0">
            <a:defRPr sz="1000"/>
          </a:pPr>
          <a:endParaRPr lang="ja-JP" altLang="en-US" sz="900" b="0" i="0" u="none" strike="noStrike" baseline="0">
            <a:solidFill>
              <a:srgbClr val="808080"/>
            </a:solidFill>
            <a:latin typeface="ＭＳ ゴシック"/>
            <a:ea typeface="ＭＳ ゴシック"/>
          </a:endParaRPr>
        </a:p>
        <a:p>
          <a:pPr algn="l" rtl="0">
            <a:defRPr sz="1000"/>
          </a:pPr>
          <a:endParaRPr lang="ja-JP" altLang="en-US" sz="900" b="0" i="0" u="none" strike="noStrike" baseline="0">
            <a:solidFill>
              <a:srgbClr val="000000"/>
            </a:solidFill>
            <a:latin typeface="ＭＳ ゴシック"/>
            <a:ea typeface="ＭＳ ゴシック"/>
          </a:endParaRPr>
        </a:p>
        <a:p>
          <a:pPr algn="l" rtl="0">
            <a:defRPr sz="1000"/>
          </a:pPr>
          <a:endParaRPr lang="ja-JP" altLang="en-US" sz="900" b="0" i="0" u="none" strike="noStrike" baseline="0">
            <a:solidFill>
              <a:srgbClr val="000000"/>
            </a:solidFill>
            <a:latin typeface="ＭＳ ゴシック"/>
            <a:ea typeface="ＭＳ ゴシック"/>
          </a:endParaRPr>
        </a:p>
      </xdr:txBody>
    </xdr:sp>
    <xdr:clientData/>
  </xdr:twoCellAnchor>
  <xdr:twoCellAnchor>
    <xdr:from>
      <xdr:col>1</xdr:col>
      <xdr:colOff>247650</xdr:colOff>
      <xdr:row>237</xdr:row>
      <xdr:rowOff>85725</xdr:rowOff>
    </xdr:from>
    <xdr:to>
      <xdr:col>4</xdr:col>
      <xdr:colOff>419100</xdr:colOff>
      <xdr:row>238</xdr:row>
      <xdr:rowOff>142875</xdr:rowOff>
    </xdr:to>
    <xdr:sp macro="" textlink="">
      <xdr:nvSpPr>
        <xdr:cNvPr id="15" name="AutoShape 8">
          <a:extLst>
            <a:ext uri="{FF2B5EF4-FFF2-40B4-BE49-F238E27FC236}">
              <a16:creationId xmlns:a16="http://schemas.microsoft.com/office/drawing/2014/main" id="{79CD5C99-CBBD-4664-A07A-301D03E1F27A}"/>
            </a:ext>
          </a:extLst>
        </xdr:cNvPr>
        <xdr:cNvSpPr>
          <a:spLocks noChangeArrowheads="1"/>
        </xdr:cNvSpPr>
      </xdr:nvSpPr>
      <xdr:spPr bwMode="auto">
        <a:xfrm>
          <a:off x="495300" y="47301150"/>
          <a:ext cx="1266825" cy="2571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1</xdr:col>
      <xdr:colOff>228600</xdr:colOff>
      <xdr:row>246</xdr:row>
      <xdr:rowOff>114300</xdr:rowOff>
    </xdr:from>
    <xdr:to>
      <xdr:col>4</xdr:col>
      <xdr:colOff>381000</xdr:colOff>
      <xdr:row>248</xdr:row>
      <xdr:rowOff>0</xdr:rowOff>
    </xdr:to>
    <xdr:sp macro="" textlink="">
      <xdr:nvSpPr>
        <xdr:cNvPr id="16" name="AutoShape 9">
          <a:extLst>
            <a:ext uri="{FF2B5EF4-FFF2-40B4-BE49-F238E27FC236}">
              <a16:creationId xmlns:a16="http://schemas.microsoft.com/office/drawing/2014/main" id="{377C1602-CC12-4A70-B5C1-5EAE80097C49}"/>
            </a:ext>
          </a:extLst>
        </xdr:cNvPr>
        <xdr:cNvSpPr>
          <a:spLocks noChangeArrowheads="1"/>
        </xdr:cNvSpPr>
      </xdr:nvSpPr>
      <xdr:spPr bwMode="auto">
        <a:xfrm>
          <a:off x="476250" y="49101375"/>
          <a:ext cx="1247775" cy="28575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editAs="oneCell">
    <xdr:from>
      <xdr:col>1</xdr:col>
      <xdr:colOff>200025</xdr:colOff>
      <xdr:row>48</xdr:row>
      <xdr:rowOff>9525</xdr:rowOff>
    </xdr:from>
    <xdr:to>
      <xdr:col>9</xdr:col>
      <xdr:colOff>1323975</xdr:colOff>
      <xdr:row>58</xdr:row>
      <xdr:rowOff>76200</xdr:rowOff>
    </xdr:to>
    <xdr:pic>
      <xdr:nvPicPr>
        <xdr:cNvPr id="17" name="Picture 26">
          <a:extLst>
            <a:ext uri="{FF2B5EF4-FFF2-40B4-BE49-F238E27FC236}">
              <a16:creationId xmlns:a16="http://schemas.microsoft.com/office/drawing/2014/main" id="{857DBACD-0369-45A6-9384-5C2D4492ACC7}"/>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l="26718" t="25293" r="28751" b="53516"/>
        <a:stretch>
          <a:fillRect/>
        </a:stretch>
      </xdr:blipFill>
      <xdr:spPr bwMode="auto">
        <a:xfrm>
          <a:off x="447675" y="9515475"/>
          <a:ext cx="5429250" cy="206692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285750</xdr:colOff>
      <xdr:row>74</xdr:row>
      <xdr:rowOff>0</xdr:rowOff>
    </xdr:from>
    <xdr:to>
      <xdr:col>5</xdr:col>
      <xdr:colOff>180975</xdr:colOff>
      <xdr:row>75</xdr:row>
      <xdr:rowOff>47625</xdr:rowOff>
    </xdr:to>
    <xdr:sp macro="" textlink="">
      <xdr:nvSpPr>
        <xdr:cNvPr id="18" name="AutoShape 29">
          <a:extLst>
            <a:ext uri="{FF2B5EF4-FFF2-40B4-BE49-F238E27FC236}">
              <a16:creationId xmlns:a16="http://schemas.microsoft.com/office/drawing/2014/main" id="{6B673D4C-C840-4221-AB55-6B19481DE82A}"/>
            </a:ext>
          </a:extLst>
        </xdr:cNvPr>
        <xdr:cNvSpPr>
          <a:spLocks noChangeArrowheads="1"/>
        </xdr:cNvSpPr>
      </xdr:nvSpPr>
      <xdr:spPr bwMode="auto">
        <a:xfrm>
          <a:off x="533400" y="14706600"/>
          <a:ext cx="1676400" cy="24765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9</xdr:col>
      <xdr:colOff>390525</xdr:colOff>
      <xdr:row>76</xdr:row>
      <xdr:rowOff>57150</xdr:rowOff>
    </xdr:from>
    <xdr:to>
      <xdr:col>9</xdr:col>
      <xdr:colOff>1590675</xdr:colOff>
      <xdr:row>79</xdr:row>
      <xdr:rowOff>104775</xdr:rowOff>
    </xdr:to>
    <xdr:sp macro="" textlink="">
      <xdr:nvSpPr>
        <xdr:cNvPr id="19" name="Rectangle 35">
          <a:extLst>
            <a:ext uri="{FF2B5EF4-FFF2-40B4-BE49-F238E27FC236}">
              <a16:creationId xmlns:a16="http://schemas.microsoft.com/office/drawing/2014/main" id="{C141B797-FB1D-48B8-95B9-A2F11CED2957}"/>
            </a:ext>
          </a:extLst>
        </xdr:cNvPr>
        <xdr:cNvSpPr>
          <a:spLocks noChangeArrowheads="1"/>
        </xdr:cNvSpPr>
      </xdr:nvSpPr>
      <xdr:spPr bwMode="auto">
        <a:xfrm>
          <a:off x="4943475" y="15163800"/>
          <a:ext cx="1200150" cy="647700"/>
        </a:xfrm>
        <a:prstGeom prst="rect">
          <a:avLst/>
        </a:prstGeom>
        <a:noFill/>
        <a:ln w="15875">
          <a:solidFill>
            <a:srgbClr xmlns:mc="http://schemas.openxmlformats.org/markup-compatibility/2006" xmlns:a14="http://schemas.microsoft.com/office/drawing/2010/main" val="339966" mc:Ignorable="a14" a14:legacySpreadsheetColorIndex="57"/>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219075</xdr:colOff>
      <xdr:row>69</xdr:row>
      <xdr:rowOff>142875</xdr:rowOff>
    </xdr:from>
    <xdr:to>
      <xdr:col>9</xdr:col>
      <xdr:colOff>2638425</xdr:colOff>
      <xdr:row>74</xdr:row>
      <xdr:rowOff>38100</xdr:rowOff>
    </xdr:to>
    <xdr:sp macro="" textlink="">
      <xdr:nvSpPr>
        <xdr:cNvPr id="20" name="AutoShape 36">
          <a:extLst>
            <a:ext uri="{FF2B5EF4-FFF2-40B4-BE49-F238E27FC236}">
              <a16:creationId xmlns:a16="http://schemas.microsoft.com/office/drawing/2014/main" id="{949A74AA-59D1-43E2-AC3F-02BDD5D4DD8C}"/>
            </a:ext>
          </a:extLst>
        </xdr:cNvPr>
        <xdr:cNvSpPr>
          <a:spLocks noChangeArrowheads="1"/>
        </xdr:cNvSpPr>
      </xdr:nvSpPr>
      <xdr:spPr bwMode="auto">
        <a:xfrm>
          <a:off x="4772025" y="13849350"/>
          <a:ext cx="2419350" cy="895350"/>
        </a:xfrm>
        <a:prstGeom prst="wedgeRectCallout">
          <a:avLst>
            <a:gd name="adj1" fmla="val -29134"/>
            <a:gd name="adj2" fmla="val 82912"/>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8000" mc:Ignorable="a14" a14:legacySpreadsheetColorIndex="17"/>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lnSpc>
              <a:spcPts val="1100"/>
            </a:lnSpc>
            <a:defRPr sz="1000"/>
          </a:pPr>
          <a:r>
            <a:rPr lang="ja-JP" altLang="en-US" sz="900" b="0" i="0" u="none" strike="noStrike" baseline="0">
              <a:solidFill>
                <a:srgbClr val="000000"/>
              </a:solidFill>
              <a:latin typeface="ＭＳ Ｐゴシック"/>
              <a:ea typeface="ＭＳ Ｐゴシック"/>
            </a:rPr>
            <a:t>指定したキーによって正しく</a:t>
          </a:r>
        </a:p>
        <a:p>
          <a:pPr algn="ctr" rtl="0">
            <a:lnSpc>
              <a:spcPts val="1100"/>
            </a:lnSpc>
            <a:defRPr sz="1000"/>
          </a:pPr>
          <a:r>
            <a:rPr lang="ja-JP" altLang="en-US" sz="900" b="0" i="0" u="none" strike="noStrike" baseline="0">
              <a:solidFill>
                <a:srgbClr val="000000"/>
              </a:solidFill>
              <a:latin typeface="ＭＳ Ｐゴシック"/>
              <a:ea typeface="ＭＳ Ｐゴシック"/>
            </a:rPr>
            <a:t>グループ化されていることを確認。</a:t>
          </a:r>
        </a:p>
        <a:p>
          <a:pPr algn="ctr" rtl="0">
            <a:lnSpc>
              <a:spcPts val="1000"/>
            </a:lnSpc>
            <a:defRPr sz="1000"/>
          </a:pPr>
          <a:r>
            <a:rPr lang="ja-JP" altLang="en-US" sz="900" b="0" i="0" u="none" strike="noStrike" baseline="0">
              <a:solidFill>
                <a:srgbClr val="000000"/>
              </a:solidFill>
              <a:latin typeface="ＭＳ Ｐゴシック"/>
              <a:ea typeface="ＭＳ Ｐゴシック"/>
            </a:rPr>
            <a:t>　</a:t>
          </a:r>
        </a:p>
        <a:p>
          <a:pPr algn="ctr" rtl="0">
            <a:lnSpc>
              <a:spcPts val="1000"/>
            </a:lnSpc>
            <a:defRPr sz="1000"/>
          </a:pPr>
          <a:r>
            <a:rPr lang="ja-JP" altLang="en-US" sz="900" b="0" i="0" u="none" strike="noStrike" baseline="0">
              <a:solidFill>
                <a:srgbClr val="000000"/>
              </a:solidFill>
              <a:latin typeface="ＭＳ Ｐゴシック"/>
              <a:ea typeface="ＭＳ Ｐゴシック"/>
            </a:rPr>
            <a:t>集計計算が正しいことを確認。</a:t>
          </a:r>
        </a:p>
      </xdr:txBody>
    </xdr:sp>
    <xdr:clientData/>
  </xdr:twoCellAnchor>
  <xdr:twoCellAnchor>
    <xdr:from>
      <xdr:col>1</xdr:col>
      <xdr:colOff>238125</xdr:colOff>
      <xdr:row>109</xdr:row>
      <xdr:rowOff>95250</xdr:rowOff>
    </xdr:from>
    <xdr:to>
      <xdr:col>5</xdr:col>
      <xdr:colOff>133350</xdr:colOff>
      <xdr:row>110</xdr:row>
      <xdr:rowOff>152400</xdr:rowOff>
    </xdr:to>
    <xdr:sp macro="" textlink="">
      <xdr:nvSpPr>
        <xdr:cNvPr id="21" name="AutoShape 39">
          <a:extLst>
            <a:ext uri="{FF2B5EF4-FFF2-40B4-BE49-F238E27FC236}">
              <a16:creationId xmlns:a16="http://schemas.microsoft.com/office/drawing/2014/main" id="{7D347271-B444-4847-8D49-D276C42A1CD3}"/>
            </a:ext>
          </a:extLst>
        </xdr:cNvPr>
        <xdr:cNvSpPr>
          <a:spLocks noChangeArrowheads="1"/>
        </xdr:cNvSpPr>
      </xdr:nvSpPr>
      <xdr:spPr bwMode="auto">
        <a:xfrm>
          <a:off x="485775" y="21774150"/>
          <a:ext cx="1676400" cy="2571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editAs="oneCell">
    <xdr:from>
      <xdr:col>1</xdr:col>
      <xdr:colOff>152400</xdr:colOff>
      <xdr:row>85</xdr:row>
      <xdr:rowOff>66675</xdr:rowOff>
    </xdr:from>
    <xdr:to>
      <xdr:col>9</xdr:col>
      <xdr:colOff>2828925</xdr:colOff>
      <xdr:row>93</xdr:row>
      <xdr:rowOff>133350</xdr:rowOff>
    </xdr:to>
    <xdr:pic>
      <xdr:nvPicPr>
        <xdr:cNvPr id="22" name="Picture 40">
          <a:extLst>
            <a:ext uri="{FF2B5EF4-FFF2-40B4-BE49-F238E27FC236}">
              <a16:creationId xmlns:a16="http://schemas.microsoft.com/office/drawing/2014/main" id="{49CA27A9-54C2-41A8-AEBB-B150EC3F094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l="14766" t="23047" r="27968" b="60254"/>
        <a:stretch>
          <a:fillRect/>
        </a:stretch>
      </xdr:blipFill>
      <xdr:spPr bwMode="auto">
        <a:xfrm>
          <a:off x="400050" y="16944975"/>
          <a:ext cx="6981825" cy="1666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285750</xdr:colOff>
      <xdr:row>148</xdr:row>
      <xdr:rowOff>0</xdr:rowOff>
    </xdr:from>
    <xdr:to>
      <xdr:col>5</xdr:col>
      <xdr:colOff>180975</xdr:colOff>
      <xdr:row>149</xdr:row>
      <xdr:rowOff>47625</xdr:rowOff>
    </xdr:to>
    <xdr:sp macro="" textlink="">
      <xdr:nvSpPr>
        <xdr:cNvPr id="23" name="AutoShape 43">
          <a:extLst>
            <a:ext uri="{FF2B5EF4-FFF2-40B4-BE49-F238E27FC236}">
              <a16:creationId xmlns:a16="http://schemas.microsoft.com/office/drawing/2014/main" id="{6508BF0C-AC9C-4100-BC2F-99BEE9C3063E}"/>
            </a:ext>
          </a:extLst>
        </xdr:cNvPr>
        <xdr:cNvSpPr>
          <a:spLocks noChangeArrowheads="1"/>
        </xdr:cNvSpPr>
      </xdr:nvSpPr>
      <xdr:spPr bwMode="auto">
        <a:xfrm>
          <a:off x="533400" y="29489400"/>
          <a:ext cx="1676400" cy="24765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出力レポート sample</a:t>
          </a:r>
        </a:p>
      </xdr:txBody>
    </xdr:sp>
    <xdr:clientData/>
  </xdr:twoCellAnchor>
  <xdr:twoCellAnchor editAs="oneCell">
    <xdr:from>
      <xdr:col>1</xdr:col>
      <xdr:colOff>152400</xdr:colOff>
      <xdr:row>119</xdr:row>
      <xdr:rowOff>66675</xdr:rowOff>
    </xdr:from>
    <xdr:to>
      <xdr:col>9</xdr:col>
      <xdr:colOff>2828925</xdr:colOff>
      <xdr:row>127</xdr:row>
      <xdr:rowOff>95250</xdr:rowOff>
    </xdr:to>
    <xdr:pic>
      <xdr:nvPicPr>
        <xdr:cNvPr id="24" name="Picture 44">
          <a:extLst>
            <a:ext uri="{FF2B5EF4-FFF2-40B4-BE49-F238E27FC236}">
              <a16:creationId xmlns:a16="http://schemas.microsoft.com/office/drawing/2014/main" id="{2B4FDE99-D1A0-4D1D-8C0D-0FAB15419BD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l="14766" t="23047" r="27968" b="60254"/>
        <a:stretch>
          <a:fillRect/>
        </a:stretch>
      </xdr:blipFill>
      <xdr:spPr bwMode="auto">
        <a:xfrm>
          <a:off x="400050" y="23755350"/>
          <a:ext cx="6981825" cy="16287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276225</xdr:colOff>
      <xdr:row>204</xdr:row>
      <xdr:rowOff>0</xdr:rowOff>
    </xdr:from>
    <xdr:to>
      <xdr:col>5</xdr:col>
      <xdr:colOff>171450</xdr:colOff>
      <xdr:row>205</xdr:row>
      <xdr:rowOff>47625</xdr:rowOff>
    </xdr:to>
    <xdr:sp macro="" textlink="">
      <xdr:nvSpPr>
        <xdr:cNvPr id="25" name="AutoShape 47">
          <a:extLst>
            <a:ext uri="{FF2B5EF4-FFF2-40B4-BE49-F238E27FC236}">
              <a16:creationId xmlns:a16="http://schemas.microsoft.com/office/drawing/2014/main" id="{D407D165-13B8-4609-947F-310A5FB066DA}"/>
            </a:ext>
          </a:extLst>
        </xdr:cNvPr>
        <xdr:cNvSpPr>
          <a:spLocks noChangeArrowheads="1"/>
        </xdr:cNvSpPr>
      </xdr:nvSpPr>
      <xdr:spPr bwMode="auto">
        <a:xfrm>
          <a:off x="523875" y="40700325"/>
          <a:ext cx="1676400" cy="24765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9</xdr:col>
      <xdr:colOff>2152650</xdr:colOff>
      <xdr:row>156</xdr:row>
      <xdr:rowOff>28575</xdr:rowOff>
    </xdr:from>
    <xdr:to>
      <xdr:col>12</xdr:col>
      <xdr:colOff>704850</xdr:colOff>
      <xdr:row>162</xdr:row>
      <xdr:rowOff>57150</xdr:rowOff>
    </xdr:to>
    <xdr:sp macro="" textlink="">
      <xdr:nvSpPr>
        <xdr:cNvPr id="26" name="AutoShape 49">
          <a:extLst>
            <a:ext uri="{FF2B5EF4-FFF2-40B4-BE49-F238E27FC236}">
              <a16:creationId xmlns:a16="http://schemas.microsoft.com/office/drawing/2014/main" id="{EBBAD766-CF62-41A6-907D-C470B43D3096}"/>
            </a:ext>
          </a:extLst>
        </xdr:cNvPr>
        <xdr:cNvSpPr>
          <a:spLocks noChangeArrowheads="1"/>
        </xdr:cNvSpPr>
      </xdr:nvSpPr>
      <xdr:spPr bwMode="auto">
        <a:xfrm>
          <a:off x="6705600" y="31118175"/>
          <a:ext cx="3124200" cy="1238250"/>
        </a:xfrm>
        <a:prstGeom prst="wedgeRectCallout">
          <a:avLst>
            <a:gd name="adj1" fmla="val -50000"/>
            <a:gd name="adj2" fmla="val -66069"/>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8000" mc:Ignorable="a14" a14:legacySpreadsheetColorIndex="17"/>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576" tIns="18288" rIns="0" bIns="0" anchor="t" upright="1"/>
        <a:lstStyle/>
        <a:p>
          <a:pPr algn="l" rtl="0">
            <a:lnSpc>
              <a:spcPts val="1300"/>
            </a:lnSpc>
            <a:defRPr sz="1000"/>
          </a:pPr>
          <a:r>
            <a:rPr lang="ja-JP" altLang="en-US" sz="1100" b="1" i="0" u="none" strike="noStrike" baseline="0">
              <a:solidFill>
                <a:srgbClr val="008000"/>
              </a:solidFill>
              <a:latin typeface="ＭＳ Ｐゴシック"/>
              <a:ea typeface="ＭＳ Ｐゴシック"/>
            </a:rPr>
            <a:t>　</a:t>
          </a:r>
        </a:p>
        <a:p>
          <a:pPr algn="l" rtl="0">
            <a:lnSpc>
              <a:spcPts val="1300"/>
            </a:lnSpc>
            <a:defRPr sz="1000"/>
          </a:pPr>
          <a:r>
            <a:rPr lang="ja-JP" altLang="en-US" sz="1100" b="1" i="0" u="none" strike="noStrike" baseline="0">
              <a:solidFill>
                <a:srgbClr val="008000"/>
              </a:solidFill>
              <a:latin typeface="ＭＳ Ｐゴシック"/>
              <a:ea typeface="ＭＳ Ｐゴシック"/>
            </a:rPr>
            <a:t> b5 ：</a:t>
          </a:r>
          <a:r>
            <a:rPr lang="ja-JP" altLang="en-US" sz="1000" b="1" i="0" u="none" strike="noStrike" baseline="0">
              <a:solidFill>
                <a:srgbClr val="008000"/>
              </a:solidFill>
              <a:latin typeface="ＭＳ Ｐゴシック"/>
              <a:ea typeface="ＭＳ Ｐゴシック"/>
            </a:rPr>
            <a:t> </a:t>
          </a:r>
          <a:r>
            <a:rPr lang="ja-JP" altLang="en-US" sz="1000" b="0" i="0" u="none" strike="noStrike" baseline="0">
              <a:solidFill>
                <a:srgbClr val="000000"/>
              </a:solidFill>
              <a:latin typeface="ＭＳ Ｐゴシック"/>
              <a:ea typeface="ＭＳ Ｐゴシック"/>
            </a:rPr>
            <a:t>結合キーによって、</a:t>
          </a:r>
        </a:p>
        <a:p>
          <a:pPr algn="l" rtl="0">
            <a:lnSpc>
              <a:spcPts val="1200"/>
            </a:lnSpc>
            <a:defRPr sz="1000"/>
          </a:pPr>
          <a:r>
            <a:rPr lang="ja-JP" altLang="en-US" sz="1000" b="0" i="0" u="none" strike="noStrike" baseline="0">
              <a:solidFill>
                <a:srgbClr val="000000"/>
              </a:solidFill>
              <a:latin typeface="ＭＳ Ｐゴシック"/>
              <a:ea typeface="ＭＳ Ｐゴシック"/>
            </a:rPr>
            <a:t>　 　　　 正しく結合されていることを確認。</a:t>
          </a:r>
        </a:p>
        <a:p>
          <a:pPr algn="l" rtl="0">
            <a:lnSpc>
              <a:spcPts val="1200"/>
            </a:lnSpc>
            <a:defRPr sz="1000"/>
          </a:pPr>
          <a:endParaRPr lang="ja-JP" altLang="en-US" sz="1000" b="0" i="0" u="none" strike="noStrike" baseline="0">
            <a:solidFill>
              <a:srgbClr val="000000"/>
            </a:solidFill>
            <a:latin typeface="ＭＳ Ｐゴシック"/>
            <a:ea typeface="ＭＳ Ｐゴシック"/>
          </a:endParaRPr>
        </a:p>
        <a:p>
          <a:pPr algn="l" rtl="0">
            <a:defRPr sz="1000"/>
          </a:pPr>
          <a:r>
            <a:rPr lang="ja-JP" altLang="en-US" sz="1000" b="0" i="0" u="none" strike="noStrike" baseline="0">
              <a:solidFill>
                <a:srgbClr val="000000"/>
              </a:solidFill>
              <a:latin typeface="ＭＳ Ｐゴシック"/>
              <a:ea typeface="ＭＳ Ｐゴシック"/>
            </a:rPr>
            <a:t> 　　　　 商品マスタに該当データが存在しない場合も</a:t>
          </a:r>
        </a:p>
        <a:p>
          <a:pPr algn="l" rtl="0">
            <a:lnSpc>
              <a:spcPts val="1200"/>
            </a:lnSpc>
            <a:defRPr sz="1000"/>
          </a:pPr>
          <a:r>
            <a:rPr lang="ja-JP" altLang="en-US" sz="1000" b="0" i="0" u="none" strike="noStrike" baseline="0">
              <a:solidFill>
                <a:srgbClr val="000000"/>
              </a:solidFill>
              <a:latin typeface="ＭＳ Ｐゴシック"/>
              <a:ea typeface="ＭＳ Ｐゴシック"/>
            </a:rPr>
            <a:t> 　　　 　出力していることを確認。</a:t>
          </a:r>
          <a:endParaRPr lang="ja-JP" altLang="en-US" sz="900" b="0" i="0" u="none" strike="noStrike" baseline="0">
            <a:solidFill>
              <a:srgbClr val="000000"/>
            </a:solidFill>
            <a:latin typeface="ＭＳ Ｐゴシック"/>
            <a:ea typeface="ＭＳ Ｐゴシック"/>
          </a:endParaRPr>
        </a:p>
        <a:p>
          <a:pPr algn="l" rtl="0">
            <a:lnSpc>
              <a:spcPts val="1100"/>
            </a:lnSpc>
            <a:defRPr sz="1000"/>
          </a:pPr>
          <a:r>
            <a:rPr lang="ja-JP" altLang="en-US" sz="900" b="0" i="0" u="none" strike="noStrike" baseline="0">
              <a:solidFill>
                <a:srgbClr val="000000"/>
              </a:solidFill>
              <a:latin typeface="ＭＳ Ｐゴシック"/>
              <a:ea typeface="ＭＳ Ｐゴシック"/>
            </a:rPr>
            <a:t>　　　　　　　　　　　</a:t>
          </a:r>
        </a:p>
      </xdr:txBody>
    </xdr:sp>
    <xdr:clientData/>
  </xdr:twoCellAnchor>
  <xdr:twoCellAnchor>
    <xdr:from>
      <xdr:col>9</xdr:col>
      <xdr:colOff>1733550</xdr:colOff>
      <xdr:row>154</xdr:row>
      <xdr:rowOff>38100</xdr:rowOff>
    </xdr:from>
    <xdr:to>
      <xdr:col>9</xdr:col>
      <xdr:colOff>2228850</xdr:colOff>
      <xdr:row>154</xdr:row>
      <xdr:rowOff>152400</xdr:rowOff>
    </xdr:to>
    <xdr:sp macro="" textlink="">
      <xdr:nvSpPr>
        <xdr:cNvPr id="27" name="Rectangle 50">
          <a:extLst>
            <a:ext uri="{FF2B5EF4-FFF2-40B4-BE49-F238E27FC236}">
              <a16:creationId xmlns:a16="http://schemas.microsoft.com/office/drawing/2014/main" id="{B5E340AC-10D0-4725-8E7F-A3EB167DCFE6}"/>
            </a:ext>
          </a:extLst>
        </xdr:cNvPr>
        <xdr:cNvSpPr>
          <a:spLocks noChangeArrowheads="1"/>
        </xdr:cNvSpPr>
      </xdr:nvSpPr>
      <xdr:spPr bwMode="auto">
        <a:xfrm>
          <a:off x="6286500" y="30727650"/>
          <a:ext cx="495300" cy="114300"/>
        </a:xfrm>
        <a:prstGeom prst="rect">
          <a:avLst/>
        </a:prstGeom>
        <a:noFill/>
        <a:ln w="12700">
          <a:solidFill>
            <a:srgbClr xmlns:mc="http://schemas.openxmlformats.org/markup-compatibility/2006" xmlns:a14="http://schemas.microsoft.com/office/drawing/2010/main" val="339966" mc:Ignorable="a14" a14:legacySpreadsheetColorIndex="57"/>
          </a:solidFill>
          <a:miter lim="800000"/>
          <a:headEnd/>
          <a:tailEnd/>
        </a:ln>
        <a:effectLst/>
        <a:extLst>
          <a:ext uri="{909E8E84-426E-40DD-AFC4-6F175D3DCCD1}">
            <a14:hiddenFill xmlns:a14="http://schemas.microsoft.com/office/drawing/2010/main">
              <a:solidFill>
                <a:srgbClr xmlns:mc="http://schemas.openxmlformats.org/markup-compatibility/2006" val="CCFFCC" mc:Ignorable="a14" a14:legacySpreadsheetColorIndex="42">
                  <a:alpha val="50000"/>
                </a:srgbClr>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3</xdr:col>
      <xdr:colOff>304800</xdr:colOff>
      <xdr:row>115</xdr:row>
      <xdr:rowOff>0</xdr:rowOff>
    </xdr:from>
    <xdr:to>
      <xdr:col>9</xdr:col>
      <xdr:colOff>2828925</xdr:colOff>
      <xdr:row>115</xdr:row>
      <xdr:rowOff>104775</xdr:rowOff>
    </xdr:to>
    <xdr:sp macro="" textlink="">
      <xdr:nvSpPr>
        <xdr:cNvPr id="28" name="Rectangle 53">
          <a:extLst>
            <a:ext uri="{FF2B5EF4-FFF2-40B4-BE49-F238E27FC236}">
              <a16:creationId xmlns:a16="http://schemas.microsoft.com/office/drawing/2014/main" id="{A60D9C86-C00E-4A9C-AD57-C37B20A18C46}"/>
            </a:ext>
          </a:extLst>
        </xdr:cNvPr>
        <xdr:cNvSpPr>
          <a:spLocks noChangeArrowheads="1"/>
        </xdr:cNvSpPr>
      </xdr:nvSpPr>
      <xdr:spPr bwMode="auto">
        <a:xfrm>
          <a:off x="1333500" y="22879050"/>
          <a:ext cx="6048375" cy="104775"/>
        </a:xfrm>
        <a:prstGeom prst="rect">
          <a:avLst/>
        </a:prstGeom>
        <a:solidFill>
          <a:srgbClr xmlns:mc="http://schemas.openxmlformats.org/markup-compatibility/2006" xmlns:a14="http://schemas.microsoft.com/office/drawing/2010/main" val="CCFFCC" mc:Ignorable="a14" a14:legacySpreadsheetColorIndex="42">
            <a:alpha val="50000"/>
          </a:srgbClr>
        </a:solidFill>
        <a:ln w="12700">
          <a:solidFill>
            <a:srgbClr xmlns:mc="http://schemas.openxmlformats.org/markup-compatibility/2006" xmlns:a14="http://schemas.microsoft.com/office/drawing/2010/main" val="339966" mc:Ignorable="a14" a14:legacySpreadsheetColorIndex="57"/>
          </a:solidFill>
          <a:prstDash val="dash"/>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editAs="oneCell">
    <xdr:from>
      <xdr:col>1</xdr:col>
      <xdr:colOff>200025</xdr:colOff>
      <xdr:row>10</xdr:row>
      <xdr:rowOff>9525</xdr:rowOff>
    </xdr:from>
    <xdr:to>
      <xdr:col>9</xdr:col>
      <xdr:colOff>1323975</xdr:colOff>
      <xdr:row>20</xdr:row>
      <xdr:rowOff>76200</xdr:rowOff>
    </xdr:to>
    <xdr:pic>
      <xdr:nvPicPr>
        <xdr:cNvPr id="29" name="Picture 70">
          <a:extLst>
            <a:ext uri="{FF2B5EF4-FFF2-40B4-BE49-F238E27FC236}">
              <a16:creationId xmlns:a16="http://schemas.microsoft.com/office/drawing/2014/main" id="{D020FF6C-335B-4128-95FC-281FA499B5FF}"/>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l="26718" t="25293" r="28751" b="53516"/>
        <a:stretch>
          <a:fillRect/>
        </a:stretch>
      </xdr:blipFill>
      <xdr:spPr bwMode="auto">
        <a:xfrm>
          <a:off x="447675" y="1943100"/>
          <a:ext cx="5429250" cy="206692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342900</xdr:colOff>
      <xdr:row>35</xdr:row>
      <xdr:rowOff>133350</xdr:rowOff>
    </xdr:from>
    <xdr:to>
      <xdr:col>5</xdr:col>
      <xdr:colOff>238125</xdr:colOff>
      <xdr:row>37</xdr:row>
      <xdr:rowOff>19050</xdr:rowOff>
    </xdr:to>
    <xdr:sp macro="" textlink="">
      <xdr:nvSpPr>
        <xdr:cNvPr id="30" name="AutoShape 73">
          <a:extLst>
            <a:ext uri="{FF2B5EF4-FFF2-40B4-BE49-F238E27FC236}">
              <a16:creationId xmlns:a16="http://schemas.microsoft.com/office/drawing/2014/main" id="{90091FF3-55A3-4B64-A35B-35E6DE5B92CE}"/>
            </a:ext>
          </a:extLst>
        </xdr:cNvPr>
        <xdr:cNvSpPr>
          <a:spLocks noChangeArrowheads="1"/>
        </xdr:cNvSpPr>
      </xdr:nvSpPr>
      <xdr:spPr bwMode="auto">
        <a:xfrm>
          <a:off x="590550" y="7067550"/>
          <a:ext cx="1676400" cy="28575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9</xdr:col>
      <xdr:colOff>381000</xdr:colOff>
      <xdr:row>38</xdr:row>
      <xdr:rowOff>28575</xdr:rowOff>
    </xdr:from>
    <xdr:to>
      <xdr:col>9</xdr:col>
      <xdr:colOff>1581150</xdr:colOff>
      <xdr:row>45</xdr:row>
      <xdr:rowOff>47625</xdr:rowOff>
    </xdr:to>
    <xdr:sp macro="" textlink="">
      <xdr:nvSpPr>
        <xdr:cNvPr id="31" name="Rectangle 75">
          <a:extLst>
            <a:ext uri="{FF2B5EF4-FFF2-40B4-BE49-F238E27FC236}">
              <a16:creationId xmlns:a16="http://schemas.microsoft.com/office/drawing/2014/main" id="{52F10F5A-8054-44A4-893A-C757E16EE51E}"/>
            </a:ext>
          </a:extLst>
        </xdr:cNvPr>
        <xdr:cNvSpPr>
          <a:spLocks noChangeArrowheads="1"/>
        </xdr:cNvSpPr>
      </xdr:nvSpPr>
      <xdr:spPr bwMode="auto">
        <a:xfrm>
          <a:off x="4933950" y="7562850"/>
          <a:ext cx="1200150" cy="1419225"/>
        </a:xfrm>
        <a:prstGeom prst="rect">
          <a:avLst/>
        </a:prstGeom>
        <a:noFill/>
        <a:ln w="19050">
          <a:solidFill>
            <a:srgbClr xmlns:mc="http://schemas.openxmlformats.org/markup-compatibility/2006" xmlns:a14="http://schemas.microsoft.com/office/drawing/2010/main" val="008000" mc:Ignorable="a14" a14:legacySpreadsheetColorIndex="17"/>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190500</xdr:colOff>
      <xdr:row>30</xdr:row>
      <xdr:rowOff>47625</xdr:rowOff>
    </xdr:from>
    <xdr:to>
      <xdr:col>10</xdr:col>
      <xdr:colOff>371475</xdr:colOff>
      <xdr:row>35</xdr:row>
      <xdr:rowOff>66675</xdr:rowOff>
    </xdr:to>
    <xdr:sp macro="" textlink="">
      <xdr:nvSpPr>
        <xdr:cNvPr id="32" name="AutoShape 76">
          <a:extLst>
            <a:ext uri="{FF2B5EF4-FFF2-40B4-BE49-F238E27FC236}">
              <a16:creationId xmlns:a16="http://schemas.microsoft.com/office/drawing/2014/main" id="{1CE134ED-79E0-4ECD-9DAA-CAA4EC135422}"/>
            </a:ext>
          </a:extLst>
        </xdr:cNvPr>
        <xdr:cNvSpPr>
          <a:spLocks noChangeArrowheads="1"/>
        </xdr:cNvSpPr>
      </xdr:nvSpPr>
      <xdr:spPr bwMode="auto">
        <a:xfrm>
          <a:off x="4743450" y="5981700"/>
          <a:ext cx="3324225" cy="1019175"/>
        </a:xfrm>
        <a:prstGeom prst="wedgeRectCallout">
          <a:avLst>
            <a:gd name="adj1" fmla="val -21347"/>
            <a:gd name="adj2" fmla="val 86843"/>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8000" mc:Ignorable="a14" a14:legacySpreadsheetColorIndex="17"/>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576" tIns="18288" rIns="0" bIns="0" anchor="t" upright="1"/>
        <a:lstStyle/>
        <a:p>
          <a:pPr algn="l" rtl="0">
            <a:defRPr sz="1000"/>
          </a:pPr>
          <a:r>
            <a:rPr lang="ja-JP" altLang="en-US" sz="1100" b="1" i="0" u="none" strike="noStrike" baseline="0">
              <a:solidFill>
                <a:srgbClr val="008000"/>
              </a:solidFill>
              <a:latin typeface="ＭＳ Ｐゴシック"/>
              <a:ea typeface="ＭＳ Ｐゴシック"/>
            </a:rPr>
            <a:t>　b1： </a:t>
          </a:r>
          <a:r>
            <a:rPr lang="ja-JP" altLang="en-US" sz="900" b="0" i="0" u="none" strike="noStrike" baseline="0">
              <a:solidFill>
                <a:srgbClr val="000000"/>
              </a:solidFill>
              <a:latin typeface="ＭＳ Ｐゴシック"/>
              <a:ea typeface="ＭＳ Ｐゴシック"/>
            </a:rPr>
            <a:t>検索条件に該当するデータを</a:t>
          </a:r>
        </a:p>
        <a:p>
          <a:pPr algn="l" rtl="0">
            <a:lnSpc>
              <a:spcPts val="1100"/>
            </a:lnSpc>
            <a:defRPr sz="1000"/>
          </a:pPr>
          <a:r>
            <a:rPr lang="ja-JP" altLang="en-US" sz="900" b="0" i="0" u="none" strike="noStrike" baseline="0">
              <a:solidFill>
                <a:srgbClr val="000000"/>
              </a:solidFill>
              <a:latin typeface="ＭＳ Ｐゴシック"/>
              <a:ea typeface="ＭＳ Ｐゴシック"/>
            </a:rPr>
            <a:t>　　　　　　　　　</a:t>
          </a:r>
          <a:r>
            <a:rPr lang="ja-JP" altLang="en-US" sz="900" b="1" i="0" u="none" strike="noStrike" baseline="0">
              <a:solidFill>
                <a:srgbClr val="000000"/>
              </a:solidFill>
              <a:latin typeface="ＭＳ Ｐゴシック"/>
              <a:ea typeface="ＭＳ Ｐゴシック"/>
            </a:rPr>
            <a:t>すべて</a:t>
          </a:r>
          <a:r>
            <a:rPr lang="ja-JP" altLang="en-US" sz="900" b="0" i="0" u="none" strike="noStrike" baseline="0">
              <a:solidFill>
                <a:srgbClr val="000000"/>
              </a:solidFill>
              <a:latin typeface="ＭＳ Ｐゴシック"/>
              <a:ea typeface="ＭＳ Ｐゴシック"/>
            </a:rPr>
            <a:t>抽出していることを確認。</a:t>
          </a:r>
        </a:p>
        <a:p>
          <a:pPr algn="l" rtl="0">
            <a:lnSpc>
              <a:spcPts val="1100"/>
            </a:lnSpc>
            <a:defRPr sz="1000"/>
          </a:pPr>
          <a:r>
            <a:rPr lang="ja-JP" altLang="en-US" sz="900" b="0" i="0" u="none" strike="noStrike" baseline="0">
              <a:solidFill>
                <a:srgbClr val="000000"/>
              </a:solidFill>
              <a:latin typeface="ＭＳ Ｐゴシック"/>
              <a:ea typeface="ＭＳ Ｐゴシック"/>
            </a:rPr>
            <a:t>　　　　　　　　（抽出対象外のデータを抽出していないことを確認。）</a:t>
          </a:r>
          <a:endParaRPr lang="ja-JP" altLang="en-US" sz="1100" b="0" i="0" u="none" strike="noStrike" baseline="0">
            <a:solidFill>
              <a:srgbClr val="000000"/>
            </a:solidFill>
            <a:latin typeface="ＭＳ Ｐゴシック"/>
            <a:ea typeface="ＭＳ Ｐゴシック"/>
          </a:endParaRPr>
        </a:p>
        <a:p>
          <a:pPr algn="l" rtl="0">
            <a:defRPr sz="1000"/>
          </a:pPr>
          <a:endParaRPr lang="ja-JP" altLang="en-US" sz="1100" b="0" i="0" u="none" strike="noStrike" baseline="0">
            <a:solidFill>
              <a:srgbClr val="000000"/>
            </a:solidFill>
            <a:latin typeface="ＭＳ Ｐゴシック"/>
            <a:ea typeface="ＭＳ Ｐゴシック"/>
          </a:endParaRPr>
        </a:p>
        <a:p>
          <a:pPr algn="l" rtl="0">
            <a:lnSpc>
              <a:spcPts val="1300"/>
            </a:lnSpc>
            <a:defRPr sz="1000"/>
          </a:pPr>
          <a:r>
            <a:rPr lang="ja-JP" altLang="en-US" sz="1100" b="0" i="0" u="none" strike="noStrike" baseline="0">
              <a:solidFill>
                <a:srgbClr val="000000"/>
              </a:solidFill>
              <a:latin typeface="ＭＳ Ｐゴシック"/>
              <a:ea typeface="ＭＳ Ｐゴシック"/>
            </a:rPr>
            <a:t>　</a:t>
          </a:r>
          <a:r>
            <a:rPr lang="ja-JP" altLang="en-US" sz="1100" b="1" i="0" u="none" strike="noStrike" baseline="0">
              <a:solidFill>
                <a:srgbClr val="008000"/>
              </a:solidFill>
              <a:latin typeface="ＭＳ Ｐゴシック"/>
              <a:ea typeface="ＭＳ Ｐゴシック"/>
            </a:rPr>
            <a:t>b2：　</a:t>
          </a:r>
          <a:r>
            <a:rPr lang="ja-JP" altLang="en-US" sz="900" b="0" i="0" u="none" strike="noStrike" baseline="0">
              <a:solidFill>
                <a:srgbClr val="000000"/>
              </a:solidFill>
              <a:latin typeface="ＭＳ Ｐゴシック"/>
              <a:ea typeface="ＭＳ Ｐゴシック"/>
            </a:rPr>
            <a:t>ソート順が正しいことを確認。</a:t>
          </a:r>
        </a:p>
      </xdr:txBody>
    </xdr:sp>
    <xdr:clientData/>
  </xdr:twoCellAnchor>
  <xdr:twoCellAnchor>
    <xdr:from>
      <xdr:col>4</xdr:col>
      <xdr:colOff>457200</xdr:colOff>
      <xdr:row>14</xdr:row>
      <xdr:rowOff>133350</xdr:rowOff>
    </xdr:from>
    <xdr:to>
      <xdr:col>6</xdr:col>
      <xdr:colOff>638175</xdr:colOff>
      <xdr:row>19</xdr:row>
      <xdr:rowOff>142875</xdr:rowOff>
    </xdr:to>
    <xdr:sp macro="" textlink="">
      <xdr:nvSpPr>
        <xdr:cNvPr id="33" name="Rectangle 81">
          <a:extLst>
            <a:ext uri="{FF2B5EF4-FFF2-40B4-BE49-F238E27FC236}">
              <a16:creationId xmlns:a16="http://schemas.microsoft.com/office/drawing/2014/main" id="{87F9F945-B7C4-4709-AC1E-72C77909848C}"/>
            </a:ext>
          </a:extLst>
        </xdr:cNvPr>
        <xdr:cNvSpPr>
          <a:spLocks noChangeArrowheads="1"/>
        </xdr:cNvSpPr>
      </xdr:nvSpPr>
      <xdr:spPr bwMode="auto">
        <a:xfrm>
          <a:off x="1800225" y="2867025"/>
          <a:ext cx="1552575" cy="1009650"/>
        </a:xfrm>
        <a:prstGeom prst="rect">
          <a:avLst/>
        </a:prstGeom>
        <a:noFill/>
        <a:ln w="28575">
          <a:solidFill>
            <a:srgbClr xmlns:mc="http://schemas.openxmlformats.org/markup-compatibility/2006" xmlns:a14="http://schemas.microsoft.com/office/drawing/2010/main" val="FF99CC" mc:Ignorable="a14" a14:legacySpreadsheetColorIndex="45"/>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4</xdr:col>
      <xdr:colOff>457200</xdr:colOff>
      <xdr:row>52</xdr:row>
      <xdr:rowOff>123825</xdr:rowOff>
    </xdr:from>
    <xdr:to>
      <xdr:col>5</xdr:col>
      <xdr:colOff>466725</xdr:colOff>
      <xdr:row>57</xdr:row>
      <xdr:rowOff>152400</xdr:rowOff>
    </xdr:to>
    <xdr:sp macro="" textlink="">
      <xdr:nvSpPr>
        <xdr:cNvPr id="34" name="Rectangle 82">
          <a:extLst>
            <a:ext uri="{FF2B5EF4-FFF2-40B4-BE49-F238E27FC236}">
              <a16:creationId xmlns:a16="http://schemas.microsoft.com/office/drawing/2014/main" id="{2A099FAC-E469-4C59-BA8C-2524A6A5B5E8}"/>
            </a:ext>
          </a:extLst>
        </xdr:cNvPr>
        <xdr:cNvSpPr>
          <a:spLocks noChangeArrowheads="1"/>
        </xdr:cNvSpPr>
      </xdr:nvSpPr>
      <xdr:spPr bwMode="auto">
        <a:xfrm>
          <a:off x="1800225" y="10429875"/>
          <a:ext cx="695325" cy="1028700"/>
        </a:xfrm>
        <a:prstGeom prst="rect">
          <a:avLst/>
        </a:prstGeom>
        <a:noFill/>
        <a:ln w="28575">
          <a:solidFill>
            <a:srgbClr xmlns:mc="http://schemas.openxmlformats.org/markup-compatibility/2006" xmlns:a14="http://schemas.microsoft.com/office/drawing/2010/main" val="FF99CC" mc:Ignorable="a14" a14:legacySpreadsheetColorIndex="45"/>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6</xdr:col>
      <xdr:colOff>638175</xdr:colOff>
      <xdr:row>52</xdr:row>
      <xdr:rowOff>123825</xdr:rowOff>
    </xdr:from>
    <xdr:to>
      <xdr:col>8</xdr:col>
      <xdr:colOff>257175</xdr:colOff>
      <xdr:row>57</xdr:row>
      <xdr:rowOff>152400</xdr:rowOff>
    </xdr:to>
    <xdr:sp macro="" textlink="">
      <xdr:nvSpPr>
        <xdr:cNvPr id="35" name="Rectangle 84">
          <a:extLst>
            <a:ext uri="{FF2B5EF4-FFF2-40B4-BE49-F238E27FC236}">
              <a16:creationId xmlns:a16="http://schemas.microsoft.com/office/drawing/2014/main" id="{78D22140-DE92-4266-8F0B-C644159CC472}"/>
            </a:ext>
          </a:extLst>
        </xdr:cNvPr>
        <xdr:cNvSpPr>
          <a:spLocks noChangeArrowheads="1"/>
        </xdr:cNvSpPr>
      </xdr:nvSpPr>
      <xdr:spPr bwMode="auto">
        <a:xfrm>
          <a:off x="3352800" y="10429875"/>
          <a:ext cx="914400" cy="1028700"/>
        </a:xfrm>
        <a:prstGeom prst="rect">
          <a:avLst/>
        </a:prstGeom>
        <a:noFill/>
        <a:ln w="28575">
          <a:solidFill>
            <a:srgbClr xmlns:mc="http://schemas.openxmlformats.org/markup-compatibility/2006" xmlns:a14="http://schemas.microsoft.com/office/drawing/2010/main" val="FF99CC" mc:Ignorable="a14" a14:legacySpreadsheetColorIndex="45"/>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2</xdr:col>
      <xdr:colOff>114300</xdr:colOff>
      <xdr:row>165</xdr:row>
      <xdr:rowOff>66675</xdr:rowOff>
    </xdr:from>
    <xdr:to>
      <xdr:col>6</xdr:col>
      <xdr:colOff>628650</xdr:colOff>
      <xdr:row>168</xdr:row>
      <xdr:rowOff>9525</xdr:rowOff>
    </xdr:to>
    <xdr:sp macro="" textlink="">
      <xdr:nvSpPr>
        <xdr:cNvPr id="36" name="Rectangle 87">
          <a:extLst>
            <a:ext uri="{FF2B5EF4-FFF2-40B4-BE49-F238E27FC236}">
              <a16:creationId xmlns:a16="http://schemas.microsoft.com/office/drawing/2014/main" id="{1D937A3B-AE4E-4085-87EA-25E94E045AA0}"/>
            </a:ext>
          </a:extLst>
        </xdr:cNvPr>
        <xdr:cNvSpPr>
          <a:spLocks noChangeArrowheads="1"/>
        </xdr:cNvSpPr>
      </xdr:nvSpPr>
      <xdr:spPr bwMode="auto">
        <a:xfrm>
          <a:off x="904875" y="32966025"/>
          <a:ext cx="2438400" cy="542925"/>
        </a:xfrm>
        <a:prstGeom prst="rect">
          <a:avLst/>
        </a:prstGeom>
        <a:noFill/>
        <a:ln w="28575">
          <a:solidFill>
            <a:srgbClr xmlns:mc="http://schemas.openxmlformats.org/markup-compatibility/2006" xmlns:a14="http://schemas.microsoft.com/office/drawing/2010/main" val="FF99CC" mc:Ignorable="a14" a14:legacySpreadsheetColorIndex="45"/>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2</xdr:col>
      <xdr:colOff>123825</xdr:colOff>
      <xdr:row>172</xdr:row>
      <xdr:rowOff>19050</xdr:rowOff>
    </xdr:from>
    <xdr:to>
      <xdr:col>6</xdr:col>
      <xdr:colOff>638175</xdr:colOff>
      <xdr:row>174</xdr:row>
      <xdr:rowOff>133350</xdr:rowOff>
    </xdr:to>
    <xdr:sp macro="" textlink="">
      <xdr:nvSpPr>
        <xdr:cNvPr id="37" name="Rectangle 88">
          <a:extLst>
            <a:ext uri="{FF2B5EF4-FFF2-40B4-BE49-F238E27FC236}">
              <a16:creationId xmlns:a16="http://schemas.microsoft.com/office/drawing/2014/main" id="{28CD2C6A-2DC2-4F4B-A6A5-E97088FBDEBD}"/>
            </a:ext>
          </a:extLst>
        </xdr:cNvPr>
        <xdr:cNvSpPr>
          <a:spLocks noChangeArrowheads="1"/>
        </xdr:cNvSpPr>
      </xdr:nvSpPr>
      <xdr:spPr bwMode="auto">
        <a:xfrm>
          <a:off x="914400" y="34318575"/>
          <a:ext cx="2438400" cy="514350"/>
        </a:xfrm>
        <a:prstGeom prst="rect">
          <a:avLst/>
        </a:prstGeom>
        <a:noFill/>
        <a:ln w="28575">
          <a:solidFill>
            <a:srgbClr xmlns:mc="http://schemas.openxmlformats.org/markup-compatibility/2006" xmlns:a14="http://schemas.microsoft.com/office/drawing/2010/main" val="FF99CC" mc:Ignorable="a14" a14:legacySpreadsheetColorIndex="45"/>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1</xdr:col>
      <xdr:colOff>247650</xdr:colOff>
      <xdr:row>219</xdr:row>
      <xdr:rowOff>47625</xdr:rowOff>
    </xdr:from>
    <xdr:to>
      <xdr:col>4</xdr:col>
      <xdr:colOff>419100</xdr:colOff>
      <xdr:row>220</xdr:row>
      <xdr:rowOff>104775</xdr:rowOff>
    </xdr:to>
    <xdr:sp macro="" textlink="">
      <xdr:nvSpPr>
        <xdr:cNvPr id="38" name="AutoShape 93">
          <a:extLst>
            <a:ext uri="{FF2B5EF4-FFF2-40B4-BE49-F238E27FC236}">
              <a16:creationId xmlns:a16="http://schemas.microsoft.com/office/drawing/2014/main" id="{AEF6C11C-53D6-45D2-A3F2-18B2DEC3FD72}"/>
            </a:ext>
          </a:extLst>
        </xdr:cNvPr>
        <xdr:cNvSpPr>
          <a:spLocks noChangeArrowheads="1"/>
        </xdr:cNvSpPr>
      </xdr:nvSpPr>
      <xdr:spPr bwMode="auto">
        <a:xfrm>
          <a:off x="495300" y="43719750"/>
          <a:ext cx="1266825" cy="2571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1</xdr:col>
      <xdr:colOff>304800</xdr:colOff>
      <xdr:row>21</xdr:row>
      <xdr:rowOff>114300</xdr:rowOff>
    </xdr:from>
    <xdr:to>
      <xdr:col>7</xdr:col>
      <xdr:colOff>542925</xdr:colOff>
      <xdr:row>34</xdr:row>
      <xdr:rowOff>104775</xdr:rowOff>
    </xdr:to>
    <xdr:sp macro="" textlink="">
      <xdr:nvSpPr>
        <xdr:cNvPr id="39" name="Text Box 111">
          <a:extLst>
            <a:ext uri="{FF2B5EF4-FFF2-40B4-BE49-F238E27FC236}">
              <a16:creationId xmlns:a16="http://schemas.microsoft.com/office/drawing/2014/main" id="{61C14398-0BCA-4443-82E1-C4822A4C2910}"/>
            </a:ext>
          </a:extLst>
        </xdr:cNvPr>
        <xdr:cNvSpPr txBox="1">
          <a:spLocks noChangeArrowheads="1"/>
        </xdr:cNvSpPr>
      </xdr:nvSpPr>
      <xdr:spPr bwMode="auto">
        <a:xfrm>
          <a:off x="552450" y="4248150"/>
          <a:ext cx="3390900" cy="2590800"/>
        </a:xfrm>
        <a:prstGeom prst="rect">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CC99" mc:Ignorable="a14" a14:legacySpreadsheetColorIndex="47"/>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lnSpc>
              <a:spcPts val="1100"/>
            </a:lnSpc>
            <a:defRPr sz="1000"/>
          </a:pPr>
          <a:r>
            <a:rPr lang="ja-JP" altLang="en-US" sz="900" b="0" i="0" u="none" strike="noStrike" baseline="0">
              <a:solidFill>
                <a:srgbClr val="000000"/>
              </a:solidFill>
              <a:latin typeface="ＭＳ ゴシック"/>
              <a:ea typeface="ＭＳ ゴシック"/>
            </a:rPr>
            <a:t>　　</a:t>
          </a:r>
          <a:r>
            <a:rPr lang="ja-JP" altLang="en-US" sz="900" b="0" i="0" u="none" strike="noStrike" baseline="0">
              <a:solidFill>
                <a:srgbClr val="FF6600"/>
              </a:solidFill>
              <a:latin typeface="ＭＳ ゴシック"/>
              <a:ea typeface="ＭＳ ゴシック"/>
            </a:rPr>
            <a:t>例えば途中に こんな処理があった場合・・・</a:t>
          </a:r>
        </a:p>
        <a:p>
          <a:pPr algn="l" rtl="0">
            <a:lnSpc>
              <a:spcPts val="1100"/>
            </a:lnSpc>
            <a:defRPr sz="1000"/>
          </a:pPr>
          <a:endParaRPr lang="ja-JP" altLang="en-US" sz="900" b="0" i="0" u="none" strike="noStrike" baseline="0">
            <a:solidFill>
              <a:srgbClr val="FF6600"/>
            </a:solidFill>
            <a:latin typeface="ＭＳ ゴシック"/>
            <a:ea typeface="ＭＳ ゴシック"/>
          </a:endParaRPr>
        </a:p>
        <a:p>
          <a:pPr algn="l" rtl="0">
            <a:lnSpc>
              <a:spcPts val="1100"/>
            </a:lnSpc>
            <a:defRPr sz="1000"/>
          </a:pPr>
          <a:r>
            <a:rPr lang="ja-JP" altLang="en-US" sz="900" b="0" i="0" u="none" strike="noStrike" baseline="0">
              <a:solidFill>
                <a:srgbClr val="000000"/>
              </a:solidFill>
              <a:latin typeface="ＭＳ ゴシック"/>
              <a:ea typeface="ＭＳ ゴシック"/>
            </a:rPr>
            <a:t>foreach</a:t>
          </a:r>
        </a:p>
        <a:p>
          <a:pPr algn="l" rtl="0">
            <a:lnSpc>
              <a:spcPts val="1100"/>
            </a:lnSpc>
            <a:defRPr sz="1000"/>
          </a:pPr>
          <a:r>
            <a:rPr lang="ja-JP" altLang="en-US" sz="900" b="0" i="0" u="none" strike="noStrike" baseline="0">
              <a:solidFill>
                <a:srgbClr val="000000"/>
              </a:solidFill>
              <a:latin typeface="ＭＳ ゴシック"/>
              <a:ea typeface="ＭＳ ゴシック"/>
            </a:rPr>
            <a:t>　　select   倉庫番号，商品コード，在庫台数,</a:t>
          </a:r>
        </a:p>
        <a:p>
          <a:pPr algn="l" rtl="0">
            <a:lnSpc>
              <a:spcPts val="1100"/>
            </a:lnSpc>
            <a:defRPr sz="1000"/>
          </a:pPr>
          <a:r>
            <a:rPr lang="ja-JP" altLang="en-US" sz="900" b="0" i="0" u="none" strike="noStrike" baseline="0">
              <a:solidFill>
                <a:srgbClr val="000000"/>
              </a:solidFill>
              <a:latin typeface="ＭＳ ゴシック"/>
              <a:ea typeface="ＭＳ ゴシック"/>
            </a:rPr>
            <a:t>    into     l_倉庫番号, l_商品コード, l_在庫台数</a:t>
          </a:r>
        </a:p>
        <a:p>
          <a:pPr algn="l" rtl="0">
            <a:lnSpc>
              <a:spcPts val="1100"/>
            </a:lnSpc>
            <a:defRPr sz="1000"/>
          </a:pPr>
          <a:r>
            <a:rPr lang="ja-JP" altLang="en-US" sz="900" b="0" i="0" u="none" strike="noStrike" baseline="0">
              <a:solidFill>
                <a:srgbClr val="000000"/>
              </a:solidFill>
              <a:latin typeface="ＭＳ ゴシック"/>
              <a:ea typeface="ＭＳ ゴシック"/>
            </a:rPr>
            <a:t>　  from     在庫マスタ</a:t>
          </a:r>
          <a:endParaRPr lang="ja-JP" altLang="en-US" sz="900" b="0" i="0" u="none" strike="noStrike" baseline="0">
            <a:solidFill>
              <a:srgbClr val="339966"/>
            </a:solidFill>
            <a:latin typeface="ＭＳ ゴシック"/>
            <a:ea typeface="ＭＳ ゴシック"/>
          </a:endParaRPr>
        </a:p>
        <a:p>
          <a:pPr algn="l" rtl="0">
            <a:lnSpc>
              <a:spcPts val="1100"/>
            </a:lnSpc>
            <a:defRPr sz="1000"/>
          </a:pPr>
          <a:r>
            <a:rPr lang="ja-JP" altLang="en-US" sz="900" b="0" i="0" u="none" strike="noStrike" baseline="0">
              <a:solidFill>
                <a:srgbClr val="339966"/>
              </a:solidFill>
              <a:latin typeface="ＭＳ ゴシック"/>
              <a:ea typeface="ＭＳ ゴシック"/>
            </a:rPr>
            <a:t>    </a:t>
          </a:r>
          <a:r>
            <a:rPr lang="ja-JP" altLang="en-US" sz="900" b="0" i="0" u="none" strike="noStrike" baseline="0">
              <a:solidFill>
                <a:srgbClr val="000000"/>
              </a:solidFill>
              <a:latin typeface="ＭＳ ゴシック"/>
              <a:ea typeface="ＭＳ ゴシック"/>
            </a:rPr>
            <a:t>where    年月　＝　'200607'</a:t>
          </a:r>
        </a:p>
        <a:p>
          <a:pPr algn="l" rtl="0">
            <a:lnSpc>
              <a:spcPts val="1100"/>
            </a:lnSpc>
            <a:defRPr sz="1000"/>
          </a:pPr>
          <a:r>
            <a:rPr lang="ja-JP" altLang="en-US" sz="900" b="0" i="0" u="none" strike="noStrike" baseline="0">
              <a:solidFill>
                <a:srgbClr val="000000"/>
              </a:solidFill>
              <a:latin typeface="ＭＳ ゴシック"/>
              <a:ea typeface="ＭＳ ゴシック"/>
            </a:rPr>
            <a:t>　  order by 倉庫番号, 商品コード</a:t>
          </a:r>
        </a:p>
        <a:p>
          <a:pPr algn="l" rtl="0">
            <a:lnSpc>
              <a:spcPts val="1100"/>
            </a:lnSpc>
            <a:defRPr sz="1000"/>
          </a:pPr>
          <a:endParaRPr lang="ja-JP" altLang="en-US" sz="900" b="0" i="0" u="none" strike="noStrike" baseline="0">
            <a:solidFill>
              <a:srgbClr val="000000"/>
            </a:solidFill>
            <a:latin typeface="ＭＳ ゴシック"/>
            <a:ea typeface="ＭＳ ゴシック"/>
          </a:endParaRPr>
        </a:p>
        <a:p>
          <a:pPr algn="l" rtl="0">
            <a:defRPr sz="1000"/>
          </a:pPr>
          <a:r>
            <a:rPr lang="ja-JP" altLang="en-US" sz="900" b="0" i="0" u="none" strike="noStrike" baseline="0">
              <a:solidFill>
                <a:srgbClr val="000000"/>
              </a:solidFill>
              <a:latin typeface="ＭＳ ゴシック"/>
              <a:ea typeface="ＭＳ ゴシック"/>
            </a:rPr>
            <a:t>  　return  0, 0, 0, " ",</a:t>
          </a:r>
        </a:p>
        <a:p>
          <a:pPr algn="l" rtl="0">
            <a:lnSpc>
              <a:spcPts val="1100"/>
            </a:lnSpc>
            <a:defRPr sz="1000"/>
          </a:pPr>
          <a:r>
            <a:rPr lang="ja-JP" altLang="en-US" sz="900" b="0" i="0" u="none" strike="noStrike" baseline="0">
              <a:solidFill>
                <a:srgbClr val="000000"/>
              </a:solidFill>
              <a:latin typeface="ＭＳ ゴシック"/>
              <a:ea typeface="ＭＳ ゴシック"/>
            </a:rPr>
            <a:t>            l_倉庫番号,</a:t>
          </a:r>
        </a:p>
        <a:p>
          <a:pPr algn="l" rtl="0">
            <a:defRPr sz="1000"/>
          </a:pPr>
          <a:r>
            <a:rPr lang="ja-JP" altLang="en-US" sz="900" b="0" i="0" u="none" strike="noStrike" baseline="0">
              <a:solidFill>
                <a:srgbClr val="000000"/>
              </a:solidFill>
              <a:latin typeface="ＭＳ ゴシック"/>
              <a:ea typeface="ＭＳ ゴシック"/>
            </a:rPr>
            <a:t>　　 　　　 l_商品コード,</a:t>
          </a:r>
        </a:p>
        <a:p>
          <a:pPr algn="l" rtl="0">
            <a:defRPr sz="1000"/>
          </a:pPr>
          <a:r>
            <a:rPr lang="ja-JP" altLang="en-US" sz="900" b="0" i="0" u="none" strike="noStrike" baseline="0">
              <a:solidFill>
                <a:srgbClr val="000000"/>
              </a:solidFill>
              <a:latin typeface="ＭＳ ゴシック"/>
              <a:ea typeface="ＭＳ ゴシック"/>
            </a:rPr>
            <a:t>　　 　　　 l_在庫台数</a:t>
          </a:r>
        </a:p>
        <a:p>
          <a:pPr algn="l" rtl="0">
            <a:lnSpc>
              <a:spcPts val="1100"/>
            </a:lnSpc>
            <a:defRPr sz="1000"/>
          </a:pPr>
          <a:r>
            <a:rPr lang="ja-JP" altLang="en-US" sz="900" b="0" i="0" u="none" strike="noStrike" baseline="0">
              <a:solidFill>
                <a:srgbClr val="000000"/>
              </a:solidFill>
              <a:latin typeface="ＭＳ ゴシック"/>
              <a:ea typeface="ＭＳ ゴシック"/>
            </a:rPr>
            <a:t>    with resume；</a:t>
          </a:r>
        </a:p>
        <a:p>
          <a:pPr algn="l" rtl="0">
            <a:defRPr sz="1000"/>
          </a:pPr>
          <a:r>
            <a:rPr lang="ja-JP" altLang="en-US" sz="900" b="0" i="0" u="none" strike="noStrike" baseline="0">
              <a:solidFill>
                <a:srgbClr val="000000"/>
              </a:solidFill>
              <a:latin typeface="ＭＳ ゴシック"/>
              <a:ea typeface="ＭＳ ゴシック"/>
            </a:rPr>
            <a:t>end foreach</a:t>
          </a:r>
        </a:p>
      </xdr:txBody>
    </xdr:sp>
    <xdr:clientData/>
  </xdr:twoCellAnchor>
  <xdr:twoCellAnchor>
    <xdr:from>
      <xdr:col>7</xdr:col>
      <xdr:colOff>247650</xdr:colOff>
      <xdr:row>21</xdr:row>
      <xdr:rowOff>114300</xdr:rowOff>
    </xdr:from>
    <xdr:to>
      <xdr:col>8</xdr:col>
      <xdr:colOff>352425</xdr:colOff>
      <xdr:row>34</xdr:row>
      <xdr:rowOff>66675</xdr:rowOff>
    </xdr:to>
    <xdr:sp macro="" textlink="">
      <xdr:nvSpPr>
        <xdr:cNvPr id="40" name="AutoShape 74">
          <a:extLst>
            <a:ext uri="{FF2B5EF4-FFF2-40B4-BE49-F238E27FC236}">
              <a16:creationId xmlns:a16="http://schemas.microsoft.com/office/drawing/2014/main" id="{85FEBBA0-F9D6-47A4-B6D4-C8012B609B0D}"/>
            </a:ext>
          </a:extLst>
        </xdr:cNvPr>
        <xdr:cNvSpPr>
          <a:spLocks noChangeArrowheads="1"/>
        </xdr:cNvSpPr>
      </xdr:nvSpPr>
      <xdr:spPr bwMode="auto">
        <a:xfrm>
          <a:off x="3648075" y="4248150"/>
          <a:ext cx="714375" cy="2552700"/>
        </a:xfrm>
        <a:prstGeom prst="downArrow">
          <a:avLst>
            <a:gd name="adj1" fmla="val 50000"/>
            <a:gd name="adj2" fmla="val 77333"/>
          </a:avLst>
        </a:prstGeom>
        <a:solidFill>
          <a:srgbClr xmlns:mc="http://schemas.openxmlformats.org/markup-compatibility/2006" xmlns:a14="http://schemas.microsoft.com/office/drawing/2010/main" val="FFFFFF" mc:Ignorable="a14" a14:legacySpreadsheetColorIndex="9"/>
        </a:solidFill>
        <a:ln w="12700">
          <a:solidFill>
            <a:srgbClr xmlns:mc="http://schemas.openxmlformats.org/markup-compatibility/2006" xmlns:a14="http://schemas.microsoft.com/office/drawing/2010/main" val="FF9900" mc:Ignorable="a14" a14:legacySpreadsheetColorIndex="52"/>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3</xdr:col>
      <xdr:colOff>228600</xdr:colOff>
      <xdr:row>60</xdr:row>
      <xdr:rowOff>0</xdr:rowOff>
    </xdr:from>
    <xdr:to>
      <xdr:col>7</xdr:col>
      <xdr:colOff>571500</xdr:colOff>
      <xdr:row>71</xdr:row>
      <xdr:rowOff>133350</xdr:rowOff>
    </xdr:to>
    <xdr:sp macro="" textlink="">
      <xdr:nvSpPr>
        <xdr:cNvPr id="41" name="Text Box 117">
          <a:extLst>
            <a:ext uri="{FF2B5EF4-FFF2-40B4-BE49-F238E27FC236}">
              <a16:creationId xmlns:a16="http://schemas.microsoft.com/office/drawing/2014/main" id="{192A1E3C-2232-4DC0-A2E7-46A26524ECC6}"/>
            </a:ext>
          </a:extLst>
        </xdr:cNvPr>
        <xdr:cNvSpPr txBox="1">
          <a:spLocks noChangeArrowheads="1"/>
        </xdr:cNvSpPr>
      </xdr:nvSpPr>
      <xdr:spPr bwMode="auto">
        <a:xfrm>
          <a:off x="1257300" y="11906250"/>
          <a:ext cx="2714625" cy="2333625"/>
        </a:xfrm>
        <a:prstGeom prst="rect">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CC99" mc:Ignorable="a14" a14:legacySpreadsheetColorIndex="47"/>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lnSpc>
              <a:spcPts val="1100"/>
            </a:lnSpc>
            <a:defRPr sz="1000"/>
          </a:pPr>
          <a:r>
            <a:rPr lang="ja-JP" altLang="en-US" sz="900" b="0" i="0" u="none" strike="noStrike" baseline="0">
              <a:solidFill>
                <a:srgbClr val="000000"/>
              </a:solidFill>
              <a:latin typeface="ＭＳ ゴシック"/>
              <a:ea typeface="ＭＳ ゴシック"/>
            </a:rPr>
            <a:t>　　</a:t>
          </a:r>
          <a:r>
            <a:rPr lang="ja-JP" altLang="en-US" sz="900" b="0" i="0" u="none" strike="noStrike" baseline="0">
              <a:solidFill>
                <a:srgbClr val="FF6600"/>
              </a:solidFill>
              <a:latin typeface="ＭＳ ゴシック"/>
              <a:ea typeface="ＭＳ ゴシック"/>
            </a:rPr>
            <a:t>例えば途中に こんな処理があった場合・・・</a:t>
          </a:r>
        </a:p>
        <a:p>
          <a:pPr algn="l" rtl="0">
            <a:lnSpc>
              <a:spcPts val="1100"/>
            </a:lnSpc>
            <a:defRPr sz="1000"/>
          </a:pPr>
          <a:r>
            <a:rPr lang="ja-JP" altLang="en-US" sz="900" b="0" i="0" u="none" strike="noStrike" baseline="0">
              <a:solidFill>
                <a:srgbClr val="000000"/>
              </a:solidFill>
              <a:latin typeface="ＭＳ ゴシック"/>
              <a:ea typeface="ＭＳ ゴシック"/>
            </a:rPr>
            <a:t>foreach</a:t>
          </a:r>
        </a:p>
        <a:p>
          <a:pPr algn="l" rtl="0">
            <a:lnSpc>
              <a:spcPts val="1100"/>
            </a:lnSpc>
            <a:defRPr sz="1000"/>
          </a:pPr>
          <a:r>
            <a:rPr lang="ja-JP" altLang="en-US" sz="900" b="0" i="0" u="none" strike="noStrike" baseline="0">
              <a:solidFill>
                <a:srgbClr val="000000"/>
              </a:solidFill>
              <a:latin typeface="ＭＳ ゴシック"/>
              <a:ea typeface="ＭＳ ゴシック"/>
            </a:rPr>
            <a:t>　　select    倉庫番号，sum(在庫台数)</a:t>
          </a:r>
        </a:p>
        <a:p>
          <a:pPr algn="l" rtl="0">
            <a:lnSpc>
              <a:spcPts val="1100"/>
            </a:lnSpc>
            <a:defRPr sz="1000"/>
          </a:pPr>
          <a:r>
            <a:rPr lang="ja-JP" altLang="en-US" sz="900" b="0" i="0" u="none" strike="noStrike" baseline="0">
              <a:solidFill>
                <a:srgbClr val="000000"/>
              </a:solidFill>
              <a:latin typeface="ＭＳ ゴシック"/>
              <a:ea typeface="ＭＳ ゴシック"/>
            </a:rPr>
            <a:t>    into      l_倉庫番号, l_在庫台数</a:t>
          </a:r>
        </a:p>
        <a:p>
          <a:pPr algn="l" rtl="0">
            <a:lnSpc>
              <a:spcPts val="1100"/>
            </a:lnSpc>
            <a:defRPr sz="1000"/>
          </a:pPr>
          <a:r>
            <a:rPr lang="ja-JP" altLang="en-US" sz="900" b="0" i="0" u="none" strike="noStrike" baseline="0">
              <a:solidFill>
                <a:srgbClr val="000000"/>
              </a:solidFill>
              <a:latin typeface="ＭＳ ゴシック"/>
              <a:ea typeface="ＭＳ ゴシック"/>
            </a:rPr>
            <a:t>　  from      在庫マスタ</a:t>
          </a:r>
        </a:p>
        <a:p>
          <a:pPr algn="l" rtl="0">
            <a:lnSpc>
              <a:spcPts val="1100"/>
            </a:lnSpc>
            <a:defRPr sz="1000"/>
          </a:pPr>
          <a:r>
            <a:rPr lang="ja-JP" altLang="en-US" sz="900" b="0" i="0" u="none" strike="noStrike" baseline="0">
              <a:solidFill>
                <a:srgbClr val="000000"/>
              </a:solidFill>
              <a:latin typeface="ＭＳ ゴシック"/>
              <a:ea typeface="ＭＳ ゴシック"/>
            </a:rPr>
            <a:t>    where     年月　＝　'200607'</a:t>
          </a:r>
        </a:p>
        <a:p>
          <a:pPr algn="l" rtl="0">
            <a:lnSpc>
              <a:spcPts val="1100"/>
            </a:lnSpc>
            <a:defRPr sz="1000"/>
          </a:pPr>
          <a:r>
            <a:rPr lang="ja-JP" altLang="en-US" sz="900" b="0" i="0" u="none" strike="noStrike" baseline="0">
              <a:solidFill>
                <a:srgbClr val="000000"/>
              </a:solidFill>
              <a:latin typeface="ＭＳ ゴシック"/>
              <a:ea typeface="ＭＳ ゴシック"/>
            </a:rPr>
            <a:t>　  group by  倉庫番号</a:t>
          </a:r>
        </a:p>
        <a:p>
          <a:pPr algn="l" rtl="0">
            <a:lnSpc>
              <a:spcPts val="1100"/>
            </a:lnSpc>
            <a:defRPr sz="1000"/>
          </a:pPr>
          <a:endParaRPr lang="ja-JP" altLang="en-US" sz="900" b="0" i="0" u="none" strike="noStrike" baseline="0">
            <a:solidFill>
              <a:srgbClr val="000000"/>
            </a:solidFill>
            <a:latin typeface="ＭＳ ゴシック"/>
            <a:ea typeface="ＭＳ ゴシック"/>
          </a:endParaRPr>
        </a:p>
        <a:p>
          <a:pPr algn="l" rtl="0">
            <a:defRPr sz="1000"/>
          </a:pPr>
          <a:r>
            <a:rPr lang="ja-JP" altLang="en-US" sz="900" b="0" i="0" u="none" strike="noStrike" baseline="0">
              <a:solidFill>
                <a:srgbClr val="000000"/>
              </a:solidFill>
              <a:latin typeface="ＭＳ ゴシック"/>
              <a:ea typeface="ＭＳ ゴシック"/>
            </a:rPr>
            <a:t>  　return  0, 0, 0, " ",</a:t>
          </a:r>
        </a:p>
        <a:p>
          <a:pPr algn="l" rtl="0">
            <a:lnSpc>
              <a:spcPts val="1100"/>
            </a:lnSpc>
            <a:defRPr sz="1000"/>
          </a:pPr>
          <a:r>
            <a:rPr lang="ja-JP" altLang="en-US" sz="900" b="0" i="0" u="none" strike="noStrike" baseline="0">
              <a:solidFill>
                <a:srgbClr val="000000"/>
              </a:solidFill>
              <a:latin typeface="ＭＳ ゴシック"/>
              <a:ea typeface="ＭＳ ゴシック"/>
            </a:rPr>
            <a:t>            l_倉庫番号,</a:t>
          </a:r>
        </a:p>
        <a:p>
          <a:pPr algn="l" rtl="0">
            <a:defRPr sz="1000"/>
          </a:pPr>
          <a:r>
            <a:rPr lang="ja-JP" altLang="en-US" sz="900" b="0" i="0" u="none" strike="noStrike" baseline="0">
              <a:solidFill>
                <a:srgbClr val="000000"/>
              </a:solidFill>
              <a:latin typeface="ＭＳ ゴシック"/>
              <a:ea typeface="ＭＳ ゴシック"/>
            </a:rPr>
            <a:t>　　 　　　 l_在庫台数</a:t>
          </a:r>
        </a:p>
        <a:p>
          <a:pPr algn="l" rtl="0">
            <a:defRPr sz="1000"/>
          </a:pPr>
          <a:r>
            <a:rPr lang="ja-JP" altLang="en-US" sz="900" b="0" i="0" u="none" strike="noStrike" baseline="0">
              <a:solidFill>
                <a:srgbClr val="000000"/>
              </a:solidFill>
              <a:latin typeface="ＭＳ ゴシック"/>
              <a:ea typeface="ＭＳ ゴシック"/>
            </a:rPr>
            <a:t>    with resume;</a:t>
          </a:r>
        </a:p>
        <a:p>
          <a:pPr algn="l" rtl="0">
            <a:lnSpc>
              <a:spcPts val="1100"/>
            </a:lnSpc>
            <a:defRPr sz="1000"/>
          </a:pPr>
          <a:r>
            <a:rPr lang="ja-JP" altLang="en-US" sz="900" b="0" i="0" u="none" strike="noStrike" baseline="0">
              <a:solidFill>
                <a:srgbClr val="000000"/>
              </a:solidFill>
              <a:latin typeface="ＭＳ ゴシック"/>
              <a:ea typeface="ＭＳ ゴシック"/>
            </a:rPr>
            <a:t>end foreach</a:t>
          </a:r>
        </a:p>
      </xdr:txBody>
    </xdr:sp>
    <xdr:clientData/>
  </xdr:twoCellAnchor>
  <xdr:twoCellAnchor>
    <xdr:from>
      <xdr:col>7</xdr:col>
      <xdr:colOff>228600</xdr:colOff>
      <xdr:row>59</xdr:row>
      <xdr:rowOff>152400</xdr:rowOff>
    </xdr:from>
    <xdr:to>
      <xdr:col>8</xdr:col>
      <xdr:colOff>333375</xdr:colOff>
      <xdr:row>71</xdr:row>
      <xdr:rowOff>152400</xdr:rowOff>
    </xdr:to>
    <xdr:sp macro="" textlink="">
      <xdr:nvSpPr>
        <xdr:cNvPr id="42" name="AutoShape 28">
          <a:extLst>
            <a:ext uri="{FF2B5EF4-FFF2-40B4-BE49-F238E27FC236}">
              <a16:creationId xmlns:a16="http://schemas.microsoft.com/office/drawing/2014/main" id="{2031BEBF-1EE9-40EF-92AC-99163CF05056}"/>
            </a:ext>
          </a:extLst>
        </xdr:cNvPr>
        <xdr:cNvSpPr>
          <a:spLocks noChangeArrowheads="1"/>
        </xdr:cNvSpPr>
      </xdr:nvSpPr>
      <xdr:spPr bwMode="auto">
        <a:xfrm>
          <a:off x="3629025" y="11858625"/>
          <a:ext cx="714375" cy="2400300"/>
        </a:xfrm>
        <a:prstGeom prst="downArrow">
          <a:avLst>
            <a:gd name="adj1" fmla="val 50000"/>
            <a:gd name="adj2" fmla="val 72000"/>
          </a:avLst>
        </a:prstGeom>
        <a:solidFill>
          <a:srgbClr xmlns:mc="http://schemas.openxmlformats.org/markup-compatibility/2006" xmlns:a14="http://schemas.microsoft.com/office/drawing/2010/main" val="FFFFFF" mc:Ignorable="a14" a14:legacySpreadsheetColorIndex="9"/>
        </a:solidFill>
        <a:ln w="12700">
          <a:solidFill>
            <a:srgbClr xmlns:mc="http://schemas.openxmlformats.org/markup-compatibility/2006" xmlns:a14="http://schemas.microsoft.com/office/drawing/2010/main" val="FF9900" mc:Ignorable="a14" a14:legacySpreadsheetColorIndex="52"/>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1</xdr:col>
      <xdr:colOff>247650</xdr:colOff>
      <xdr:row>95</xdr:row>
      <xdr:rowOff>28575</xdr:rowOff>
    </xdr:from>
    <xdr:to>
      <xdr:col>9</xdr:col>
      <xdr:colOff>476250</xdr:colOff>
      <xdr:row>108</xdr:row>
      <xdr:rowOff>38100</xdr:rowOff>
    </xdr:to>
    <xdr:sp macro="" textlink="">
      <xdr:nvSpPr>
        <xdr:cNvPr id="43" name="Text Box 119">
          <a:extLst>
            <a:ext uri="{FF2B5EF4-FFF2-40B4-BE49-F238E27FC236}">
              <a16:creationId xmlns:a16="http://schemas.microsoft.com/office/drawing/2014/main" id="{17C5C1EA-5CB7-4F7E-BD00-4FDF738F24F7}"/>
            </a:ext>
          </a:extLst>
        </xdr:cNvPr>
        <xdr:cNvSpPr txBox="1">
          <a:spLocks noChangeArrowheads="1"/>
        </xdr:cNvSpPr>
      </xdr:nvSpPr>
      <xdr:spPr bwMode="auto">
        <a:xfrm>
          <a:off x="495300" y="18907125"/>
          <a:ext cx="4533900" cy="2609850"/>
        </a:xfrm>
        <a:prstGeom prst="rect">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CC99" mc:Ignorable="a14" a14:legacySpreadsheetColorIndex="47"/>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lnSpc>
              <a:spcPts val="1100"/>
            </a:lnSpc>
            <a:defRPr sz="1000"/>
          </a:pPr>
          <a:r>
            <a:rPr lang="ja-JP" altLang="en-US" sz="900" b="0" i="0" u="none" strike="noStrike" baseline="0">
              <a:solidFill>
                <a:srgbClr val="000000"/>
              </a:solidFill>
              <a:latin typeface="ＭＳ ゴシック"/>
              <a:ea typeface="ＭＳ ゴシック"/>
            </a:rPr>
            <a:t>　　</a:t>
          </a:r>
          <a:r>
            <a:rPr lang="ja-JP" altLang="en-US" sz="900" b="0" i="0" u="none" strike="noStrike" baseline="0">
              <a:solidFill>
                <a:srgbClr val="FF6600"/>
              </a:solidFill>
              <a:latin typeface="ＭＳ ゴシック"/>
              <a:ea typeface="ＭＳ ゴシック"/>
            </a:rPr>
            <a:t>例えば途中に こんな処理があった場合・・・</a:t>
          </a:r>
        </a:p>
        <a:p>
          <a:pPr algn="l" rtl="0">
            <a:lnSpc>
              <a:spcPts val="1100"/>
            </a:lnSpc>
            <a:defRPr sz="1000"/>
          </a:pPr>
          <a:endParaRPr lang="ja-JP" altLang="en-US" sz="900" b="0" i="0" u="none" strike="noStrike" baseline="0">
            <a:solidFill>
              <a:srgbClr val="000000"/>
            </a:solidFill>
            <a:latin typeface="ＭＳ ゴシック"/>
            <a:ea typeface="ＭＳ ゴシック"/>
          </a:endParaRPr>
        </a:p>
        <a:p>
          <a:pPr algn="l" rtl="0">
            <a:lnSpc>
              <a:spcPts val="1100"/>
            </a:lnSpc>
            <a:defRPr sz="1000"/>
          </a:pPr>
          <a:r>
            <a:rPr lang="ja-JP" altLang="en-US" sz="900" b="0" i="0" u="none" strike="noStrike" baseline="0">
              <a:solidFill>
                <a:srgbClr val="000000"/>
              </a:solidFill>
              <a:latin typeface="ＭＳ ゴシック"/>
              <a:ea typeface="ＭＳ ゴシック"/>
            </a:rPr>
            <a:t>foreach</a:t>
          </a:r>
        </a:p>
        <a:p>
          <a:pPr algn="l" rtl="0">
            <a:lnSpc>
              <a:spcPts val="1100"/>
            </a:lnSpc>
            <a:defRPr sz="1000"/>
          </a:pPr>
          <a:r>
            <a:rPr lang="ja-JP" altLang="en-US" sz="900" b="0" i="0" u="none" strike="noStrike" baseline="0">
              <a:solidFill>
                <a:srgbClr val="000000"/>
              </a:solidFill>
              <a:latin typeface="ＭＳ ゴシック"/>
              <a:ea typeface="ＭＳ ゴシック"/>
            </a:rPr>
            <a:t>　　select  </a:t>
          </a:r>
          <a:r>
            <a:rPr lang="ja-JP" altLang="en-US" sz="900" b="0" i="0" u="none" strike="noStrike" baseline="0">
              <a:solidFill>
                <a:srgbClr val="0000FF"/>
              </a:solidFill>
              <a:latin typeface="ＭＳ ゴシック"/>
              <a:ea typeface="ＭＳ ゴシック"/>
            </a:rPr>
            <a:t>ａ．</a:t>
          </a:r>
          <a:r>
            <a:rPr lang="ja-JP" altLang="en-US" sz="900" b="0" i="0" u="none" strike="noStrike" baseline="0">
              <a:solidFill>
                <a:srgbClr val="000000"/>
              </a:solidFill>
              <a:latin typeface="ＭＳ ゴシック"/>
              <a:ea typeface="ＭＳ ゴシック"/>
            </a:rPr>
            <a:t>倉庫番号，</a:t>
          </a:r>
          <a:r>
            <a:rPr lang="ja-JP" altLang="en-US" sz="900" b="0" i="0" u="none" strike="noStrike" baseline="0">
              <a:solidFill>
                <a:srgbClr val="0000FF"/>
              </a:solidFill>
              <a:latin typeface="ＭＳ ゴシック"/>
              <a:ea typeface="ＭＳ ゴシック"/>
            </a:rPr>
            <a:t>ａ．</a:t>
          </a:r>
          <a:r>
            <a:rPr lang="ja-JP" altLang="en-US" sz="900" b="0" i="0" u="none" strike="noStrike" baseline="0">
              <a:solidFill>
                <a:srgbClr val="000000"/>
              </a:solidFill>
              <a:latin typeface="ＭＳ ゴシック"/>
              <a:ea typeface="ＭＳ ゴシック"/>
            </a:rPr>
            <a:t>商品コード，　</a:t>
          </a:r>
          <a:r>
            <a:rPr lang="ja-JP" altLang="en-US" sz="900" b="0" i="0" u="none" strike="noStrike" baseline="0">
              <a:solidFill>
                <a:srgbClr val="339966"/>
              </a:solidFill>
              <a:latin typeface="ＭＳ ゴシック"/>
              <a:ea typeface="ＭＳ ゴシック"/>
            </a:rPr>
            <a:t>ｂ．</a:t>
          </a:r>
          <a:r>
            <a:rPr lang="ja-JP" altLang="en-US" sz="900" b="0" i="0" u="none" strike="noStrike" baseline="0">
              <a:solidFill>
                <a:srgbClr val="000000"/>
              </a:solidFill>
              <a:latin typeface="ＭＳ ゴシック"/>
              <a:ea typeface="ＭＳ ゴシック"/>
            </a:rPr>
            <a:t>商品名称，　</a:t>
          </a:r>
          <a:r>
            <a:rPr lang="ja-JP" altLang="en-US" sz="900" b="0" i="0" u="none" strike="noStrike" baseline="0">
              <a:solidFill>
                <a:srgbClr val="0000FF"/>
              </a:solidFill>
              <a:latin typeface="ＭＳ ゴシック"/>
              <a:ea typeface="ＭＳ ゴシック"/>
            </a:rPr>
            <a:t>ａ．</a:t>
          </a:r>
          <a:r>
            <a:rPr lang="ja-JP" altLang="en-US" sz="900" b="0" i="0" u="none" strike="noStrike" baseline="0">
              <a:solidFill>
                <a:srgbClr val="000000"/>
              </a:solidFill>
              <a:latin typeface="ＭＳ ゴシック"/>
              <a:ea typeface="ＭＳ ゴシック"/>
            </a:rPr>
            <a:t>在庫台数</a:t>
          </a:r>
        </a:p>
        <a:p>
          <a:pPr algn="l" rtl="0">
            <a:lnSpc>
              <a:spcPts val="1100"/>
            </a:lnSpc>
            <a:defRPr sz="1000"/>
          </a:pPr>
          <a:r>
            <a:rPr lang="ja-JP" altLang="en-US" sz="900" b="0" i="0" u="none" strike="noStrike" baseline="0">
              <a:solidFill>
                <a:srgbClr val="000000"/>
              </a:solidFill>
              <a:latin typeface="ＭＳ ゴシック"/>
              <a:ea typeface="ＭＳ ゴシック"/>
            </a:rPr>
            <a:t>　　into    l_倉庫番号, l_商品コード, l_商品名称, l_在庫台数</a:t>
          </a:r>
        </a:p>
        <a:p>
          <a:pPr algn="l" rtl="0">
            <a:lnSpc>
              <a:spcPts val="1100"/>
            </a:lnSpc>
            <a:defRPr sz="1000"/>
          </a:pPr>
          <a:r>
            <a:rPr lang="ja-JP" altLang="en-US" sz="900" b="0" i="0" u="none" strike="noStrike" baseline="0">
              <a:solidFill>
                <a:srgbClr val="000000"/>
              </a:solidFill>
              <a:latin typeface="ＭＳ ゴシック"/>
              <a:ea typeface="ＭＳ ゴシック"/>
            </a:rPr>
            <a:t>　　from    在庫マスタ　</a:t>
          </a:r>
          <a:r>
            <a:rPr lang="ja-JP" altLang="en-US" sz="900" b="0" i="0" u="none" strike="noStrike" baseline="0">
              <a:solidFill>
                <a:srgbClr val="0000FF"/>
              </a:solidFill>
              <a:latin typeface="ＭＳ ゴシック"/>
              <a:ea typeface="ＭＳ ゴシック"/>
            </a:rPr>
            <a:t>ａ</a:t>
          </a:r>
          <a:r>
            <a:rPr lang="ja-JP" altLang="en-US" sz="900" b="0" i="0" u="none" strike="noStrike" baseline="0">
              <a:solidFill>
                <a:srgbClr val="000000"/>
              </a:solidFill>
              <a:latin typeface="ＭＳ ゴシック"/>
              <a:ea typeface="ＭＳ ゴシック"/>
            </a:rPr>
            <a:t>，　商品マスタ　</a:t>
          </a:r>
          <a:r>
            <a:rPr lang="ja-JP" altLang="en-US" sz="900" b="0" i="0" u="none" strike="noStrike" baseline="0">
              <a:solidFill>
                <a:srgbClr val="339966"/>
              </a:solidFill>
              <a:latin typeface="ＭＳ ゴシック"/>
              <a:ea typeface="ＭＳ ゴシック"/>
            </a:rPr>
            <a:t>ｂ</a:t>
          </a:r>
        </a:p>
        <a:p>
          <a:pPr algn="l" rtl="0">
            <a:lnSpc>
              <a:spcPts val="1100"/>
            </a:lnSpc>
            <a:defRPr sz="1000"/>
          </a:pPr>
          <a:r>
            <a:rPr lang="ja-JP" altLang="en-US" sz="900" b="0" i="0" u="none" strike="noStrike" baseline="0">
              <a:solidFill>
                <a:srgbClr val="339966"/>
              </a:solidFill>
              <a:latin typeface="ＭＳ ゴシック"/>
              <a:ea typeface="ＭＳ ゴシック"/>
            </a:rPr>
            <a:t> 　 </a:t>
          </a:r>
          <a:r>
            <a:rPr lang="ja-JP" altLang="en-US" sz="900" b="0" i="0" u="none" strike="noStrike" baseline="0">
              <a:solidFill>
                <a:srgbClr val="000000"/>
              </a:solidFill>
              <a:latin typeface="ＭＳ ゴシック"/>
              <a:ea typeface="ＭＳ ゴシック"/>
            </a:rPr>
            <a:t>where </a:t>
          </a:r>
          <a:r>
            <a:rPr lang="ja-JP" altLang="en-US" sz="900" b="0" i="0" u="none" strike="noStrike" baseline="0">
              <a:solidFill>
                <a:srgbClr val="339966"/>
              </a:solidFill>
              <a:latin typeface="ＭＳ ゴシック"/>
              <a:ea typeface="ＭＳ ゴシック"/>
            </a:rPr>
            <a:t>  </a:t>
          </a:r>
          <a:r>
            <a:rPr lang="ja-JP" altLang="en-US" sz="900" b="0" i="0" u="none" strike="noStrike" baseline="0">
              <a:solidFill>
                <a:srgbClr val="0000FF"/>
              </a:solidFill>
              <a:latin typeface="ＭＳ ゴシック"/>
              <a:ea typeface="ＭＳ ゴシック"/>
            </a:rPr>
            <a:t>ａ．</a:t>
          </a:r>
          <a:r>
            <a:rPr lang="ja-JP" altLang="en-US" sz="900" b="0" i="0" u="none" strike="noStrike" baseline="0">
              <a:solidFill>
                <a:srgbClr val="000000"/>
              </a:solidFill>
              <a:latin typeface="ＭＳ ゴシック"/>
              <a:ea typeface="ＭＳ ゴシック"/>
            </a:rPr>
            <a:t>商品コード　＝</a:t>
          </a:r>
          <a:r>
            <a:rPr lang="ja-JP" altLang="en-US" sz="900" b="0" i="0" u="none" strike="noStrike" baseline="0">
              <a:solidFill>
                <a:srgbClr val="339966"/>
              </a:solidFill>
              <a:latin typeface="ＭＳ ゴシック"/>
              <a:ea typeface="ＭＳ ゴシック"/>
            </a:rPr>
            <a:t>　ｂ．</a:t>
          </a:r>
          <a:r>
            <a:rPr lang="ja-JP" altLang="en-US" sz="900" b="0" i="0" u="none" strike="noStrike" baseline="0">
              <a:solidFill>
                <a:srgbClr val="000000"/>
              </a:solidFill>
              <a:latin typeface="ＭＳ ゴシック"/>
              <a:ea typeface="ＭＳ ゴシック"/>
            </a:rPr>
            <a:t>商品コード</a:t>
          </a:r>
        </a:p>
        <a:p>
          <a:pPr algn="l" rtl="0">
            <a:lnSpc>
              <a:spcPts val="1100"/>
            </a:lnSpc>
            <a:defRPr sz="1000"/>
          </a:pPr>
          <a:endParaRPr lang="ja-JP" altLang="en-US" sz="900" b="0" i="0" u="none" strike="noStrike" baseline="0">
            <a:solidFill>
              <a:srgbClr val="000000"/>
            </a:solidFill>
            <a:latin typeface="ＭＳ ゴシック"/>
            <a:ea typeface="ＭＳ ゴシック"/>
          </a:endParaRPr>
        </a:p>
        <a:p>
          <a:pPr algn="l" rtl="0">
            <a:lnSpc>
              <a:spcPts val="1100"/>
            </a:lnSpc>
            <a:defRPr sz="1000"/>
          </a:pPr>
          <a:r>
            <a:rPr lang="ja-JP" altLang="en-US" sz="900" b="0" i="0" u="none" strike="noStrike" baseline="0">
              <a:solidFill>
                <a:srgbClr val="000000"/>
              </a:solidFill>
              <a:latin typeface="ＭＳ ゴシック"/>
              <a:ea typeface="ＭＳ ゴシック"/>
            </a:rPr>
            <a:t>  　return  0, 0, 0, " ",</a:t>
          </a:r>
        </a:p>
        <a:p>
          <a:pPr algn="l" rtl="0">
            <a:defRPr sz="1000"/>
          </a:pPr>
          <a:r>
            <a:rPr lang="ja-JP" altLang="en-US" sz="900" b="0" i="0" u="none" strike="noStrike" baseline="0">
              <a:solidFill>
                <a:srgbClr val="000000"/>
              </a:solidFill>
              <a:latin typeface="ＭＳ ゴシック"/>
              <a:ea typeface="ＭＳ ゴシック"/>
            </a:rPr>
            <a:t>            l_倉庫番号,</a:t>
          </a:r>
        </a:p>
        <a:p>
          <a:pPr algn="l" rtl="0">
            <a:lnSpc>
              <a:spcPts val="1100"/>
            </a:lnSpc>
            <a:defRPr sz="1000"/>
          </a:pPr>
          <a:r>
            <a:rPr lang="ja-JP" altLang="en-US" sz="900" b="0" i="0" u="none" strike="noStrike" baseline="0">
              <a:solidFill>
                <a:srgbClr val="000000"/>
              </a:solidFill>
              <a:latin typeface="ＭＳ ゴシック"/>
              <a:ea typeface="ＭＳ ゴシック"/>
            </a:rPr>
            <a:t>　　 　　　 l_商品コード,</a:t>
          </a:r>
        </a:p>
        <a:p>
          <a:pPr algn="l" rtl="0">
            <a:defRPr sz="1000"/>
          </a:pPr>
          <a:r>
            <a:rPr lang="ja-JP" altLang="en-US" sz="900" b="0" i="0" u="none" strike="noStrike" baseline="0">
              <a:solidFill>
                <a:srgbClr val="000000"/>
              </a:solidFill>
              <a:latin typeface="ＭＳ ゴシック"/>
              <a:ea typeface="ＭＳ ゴシック"/>
            </a:rPr>
            <a:t>　　 　　　 l_商品名称,</a:t>
          </a:r>
        </a:p>
        <a:p>
          <a:pPr algn="l" rtl="0">
            <a:defRPr sz="1000"/>
          </a:pPr>
          <a:r>
            <a:rPr lang="ja-JP" altLang="en-US" sz="900" b="0" i="0" u="none" strike="noStrike" baseline="0">
              <a:solidFill>
                <a:srgbClr val="000000"/>
              </a:solidFill>
              <a:latin typeface="ＭＳ ゴシック"/>
              <a:ea typeface="ＭＳ ゴシック"/>
            </a:rPr>
            <a:t>            l_在庫台数</a:t>
          </a:r>
        </a:p>
        <a:p>
          <a:pPr algn="l" rtl="0">
            <a:lnSpc>
              <a:spcPts val="1100"/>
            </a:lnSpc>
            <a:defRPr sz="1000"/>
          </a:pPr>
          <a:r>
            <a:rPr lang="ja-JP" altLang="en-US" sz="900" b="0" i="0" u="none" strike="noStrike" baseline="0">
              <a:solidFill>
                <a:srgbClr val="000000"/>
              </a:solidFill>
              <a:latin typeface="ＭＳ ゴシック"/>
              <a:ea typeface="ＭＳ ゴシック"/>
            </a:rPr>
            <a:t>            with resume;</a:t>
          </a:r>
        </a:p>
        <a:p>
          <a:pPr algn="l" rtl="0">
            <a:defRPr sz="1000"/>
          </a:pPr>
          <a:r>
            <a:rPr lang="ja-JP" altLang="en-US" sz="900" b="0" i="0" u="none" strike="noStrike" baseline="0">
              <a:solidFill>
                <a:srgbClr val="000000"/>
              </a:solidFill>
              <a:latin typeface="ＭＳ ゴシック"/>
              <a:ea typeface="ＭＳ ゴシック"/>
            </a:rPr>
            <a:t>end foreach</a:t>
          </a:r>
        </a:p>
      </xdr:txBody>
    </xdr:sp>
    <xdr:clientData/>
  </xdr:twoCellAnchor>
  <xdr:twoCellAnchor>
    <xdr:from>
      <xdr:col>9</xdr:col>
      <xdr:colOff>228600</xdr:colOff>
      <xdr:row>95</xdr:row>
      <xdr:rowOff>9525</xdr:rowOff>
    </xdr:from>
    <xdr:to>
      <xdr:col>9</xdr:col>
      <xdr:colOff>942975</xdr:colOff>
      <xdr:row>108</xdr:row>
      <xdr:rowOff>114300</xdr:rowOff>
    </xdr:to>
    <xdr:sp macro="" textlink="">
      <xdr:nvSpPr>
        <xdr:cNvPr id="44" name="AutoShape 38">
          <a:extLst>
            <a:ext uri="{FF2B5EF4-FFF2-40B4-BE49-F238E27FC236}">
              <a16:creationId xmlns:a16="http://schemas.microsoft.com/office/drawing/2014/main" id="{DC462F3F-4FD2-4018-9EEB-5AA8311B606F}"/>
            </a:ext>
          </a:extLst>
        </xdr:cNvPr>
        <xdr:cNvSpPr>
          <a:spLocks noChangeArrowheads="1"/>
        </xdr:cNvSpPr>
      </xdr:nvSpPr>
      <xdr:spPr bwMode="auto">
        <a:xfrm>
          <a:off x="4781550" y="18888075"/>
          <a:ext cx="714375" cy="2705100"/>
        </a:xfrm>
        <a:prstGeom prst="downArrow">
          <a:avLst>
            <a:gd name="adj1" fmla="val 50000"/>
            <a:gd name="adj2" fmla="val 81667"/>
          </a:avLst>
        </a:prstGeom>
        <a:solidFill>
          <a:srgbClr xmlns:mc="http://schemas.openxmlformats.org/markup-compatibility/2006" xmlns:a14="http://schemas.microsoft.com/office/drawing/2010/main" val="FFFFFF" mc:Ignorable="a14" a14:legacySpreadsheetColorIndex="9"/>
        </a:solidFill>
        <a:ln w="12700">
          <a:solidFill>
            <a:srgbClr xmlns:mc="http://schemas.openxmlformats.org/markup-compatibility/2006" xmlns:a14="http://schemas.microsoft.com/office/drawing/2010/main" val="FF9900" mc:Ignorable="a14" a14:legacySpreadsheetColorIndex="52"/>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1</xdr:col>
      <xdr:colOff>304800</xdr:colOff>
      <xdr:row>129</xdr:row>
      <xdr:rowOff>76200</xdr:rowOff>
    </xdr:from>
    <xdr:to>
      <xdr:col>9</xdr:col>
      <xdr:colOff>533400</xdr:colOff>
      <xdr:row>146</xdr:row>
      <xdr:rowOff>76200</xdr:rowOff>
    </xdr:to>
    <xdr:sp macro="" textlink="">
      <xdr:nvSpPr>
        <xdr:cNvPr id="45" name="Text Box 121">
          <a:extLst>
            <a:ext uri="{FF2B5EF4-FFF2-40B4-BE49-F238E27FC236}">
              <a16:creationId xmlns:a16="http://schemas.microsoft.com/office/drawing/2014/main" id="{5C84A3A7-FCA2-4755-8592-42870F5011C9}"/>
            </a:ext>
          </a:extLst>
        </xdr:cNvPr>
        <xdr:cNvSpPr txBox="1">
          <a:spLocks noChangeArrowheads="1"/>
        </xdr:cNvSpPr>
      </xdr:nvSpPr>
      <xdr:spPr bwMode="auto">
        <a:xfrm>
          <a:off x="552450" y="25765125"/>
          <a:ext cx="4533900" cy="3400425"/>
        </a:xfrm>
        <a:prstGeom prst="rect">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CC99" mc:Ignorable="a14" a14:legacySpreadsheetColorIndex="47"/>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lnSpc>
              <a:spcPts val="1100"/>
            </a:lnSpc>
            <a:defRPr sz="1000"/>
          </a:pPr>
          <a:r>
            <a:rPr lang="ja-JP" altLang="en-US" sz="900" b="0" i="0" u="none" strike="noStrike" baseline="0">
              <a:solidFill>
                <a:srgbClr val="000000"/>
              </a:solidFill>
              <a:latin typeface="ＭＳ ゴシック"/>
              <a:ea typeface="ＭＳ ゴシック"/>
            </a:rPr>
            <a:t>　　</a:t>
          </a:r>
          <a:r>
            <a:rPr lang="ja-JP" altLang="en-US" sz="900" b="0" i="0" u="none" strike="noStrike" baseline="0">
              <a:solidFill>
                <a:srgbClr val="FF6600"/>
              </a:solidFill>
              <a:latin typeface="ＭＳ ゴシック"/>
              <a:ea typeface="ＭＳ ゴシック"/>
            </a:rPr>
            <a:t>例えば途中に こんな処理があった場合・・・</a:t>
          </a:r>
        </a:p>
        <a:p>
          <a:pPr algn="l" rtl="0">
            <a:lnSpc>
              <a:spcPts val="1100"/>
            </a:lnSpc>
            <a:defRPr sz="1000"/>
          </a:pPr>
          <a:endParaRPr lang="ja-JP" altLang="en-US" sz="900" b="0" i="0" u="none" strike="noStrike" baseline="0">
            <a:solidFill>
              <a:srgbClr val="FF6600"/>
            </a:solidFill>
            <a:latin typeface="ＭＳ ゴシック"/>
            <a:ea typeface="ＭＳ ゴシック"/>
          </a:endParaRPr>
        </a:p>
        <a:p>
          <a:pPr algn="l" rtl="0">
            <a:lnSpc>
              <a:spcPts val="1100"/>
            </a:lnSpc>
            <a:defRPr sz="1000"/>
          </a:pPr>
          <a:r>
            <a:rPr lang="ja-JP" altLang="en-US" sz="900" b="0" i="0" u="none" strike="noStrike" baseline="0">
              <a:solidFill>
                <a:srgbClr val="000000"/>
              </a:solidFill>
              <a:latin typeface="ＭＳ ゴシック"/>
              <a:ea typeface="ＭＳ ゴシック"/>
            </a:rPr>
            <a:t>foreach</a:t>
          </a:r>
        </a:p>
        <a:p>
          <a:pPr algn="l" rtl="0">
            <a:lnSpc>
              <a:spcPts val="1100"/>
            </a:lnSpc>
            <a:defRPr sz="1000"/>
          </a:pPr>
          <a:r>
            <a:rPr lang="ja-JP" altLang="en-US" sz="900" b="0" i="0" u="none" strike="noStrike" baseline="0">
              <a:solidFill>
                <a:srgbClr val="000000"/>
              </a:solidFill>
              <a:latin typeface="ＭＳ ゴシック"/>
              <a:ea typeface="ＭＳ ゴシック"/>
            </a:rPr>
            <a:t>　select   </a:t>
          </a:r>
          <a:r>
            <a:rPr lang="ja-JP" altLang="en-US" sz="900" b="0" i="0" u="none" strike="noStrike" baseline="0">
              <a:solidFill>
                <a:srgbClr val="0000FF"/>
              </a:solidFill>
              <a:latin typeface="ＭＳ ゴシック"/>
              <a:ea typeface="ＭＳ ゴシック"/>
            </a:rPr>
            <a:t>ａ．</a:t>
          </a:r>
          <a:r>
            <a:rPr lang="ja-JP" altLang="en-US" sz="900" b="0" i="0" u="none" strike="noStrike" baseline="0">
              <a:solidFill>
                <a:srgbClr val="000000"/>
              </a:solidFill>
              <a:latin typeface="ＭＳ ゴシック"/>
              <a:ea typeface="ＭＳ ゴシック"/>
            </a:rPr>
            <a:t>倉庫番号，</a:t>
          </a:r>
          <a:r>
            <a:rPr lang="ja-JP" altLang="en-US" sz="900" b="0" i="0" u="none" strike="noStrike" baseline="0">
              <a:solidFill>
                <a:srgbClr val="0000FF"/>
              </a:solidFill>
              <a:latin typeface="ＭＳ ゴシック"/>
              <a:ea typeface="ＭＳ ゴシック"/>
            </a:rPr>
            <a:t>ａ．</a:t>
          </a:r>
          <a:r>
            <a:rPr lang="ja-JP" altLang="en-US" sz="900" b="0" i="0" u="none" strike="noStrike" baseline="0">
              <a:solidFill>
                <a:srgbClr val="000000"/>
              </a:solidFill>
              <a:latin typeface="ＭＳ ゴシック"/>
              <a:ea typeface="ＭＳ ゴシック"/>
            </a:rPr>
            <a:t>商品コード，　</a:t>
          </a:r>
          <a:r>
            <a:rPr lang="ja-JP" altLang="en-US" sz="900" b="0" i="0" u="none" strike="noStrike" baseline="0">
              <a:solidFill>
                <a:srgbClr val="339966"/>
              </a:solidFill>
              <a:latin typeface="ＭＳ ゴシック"/>
              <a:ea typeface="ＭＳ ゴシック"/>
            </a:rPr>
            <a:t>ｂ．</a:t>
          </a:r>
          <a:r>
            <a:rPr lang="ja-JP" altLang="en-US" sz="900" b="0" i="0" u="none" strike="noStrike" baseline="0">
              <a:solidFill>
                <a:srgbClr val="000000"/>
              </a:solidFill>
              <a:latin typeface="ＭＳ ゴシック"/>
              <a:ea typeface="ＭＳ ゴシック"/>
            </a:rPr>
            <a:t>商品名称，　</a:t>
          </a:r>
          <a:r>
            <a:rPr lang="ja-JP" altLang="en-US" sz="900" b="0" i="0" u="none" strike="noStrike" baseline="0">
              <a:solidFill>
                <a:srgbClr val="0000FF"/>
              </a:solidFill>
              <a:latin typeface="ＭＳ ゴシック"/>
              <a:ea typeface="ＭＳ ゴシック"/>
            </a:rPr>
            <a:t>ａ．</a:t>
          </a:r>
          <a:r>
            <a:rPr lang="ja-JP" altLang="en-US" sz="900" b="0" i="0" u="none" strike="noStrike" baseline="0">
              <a:solidFill>
                <a:srgbClr val="000000"/>
              </a:solidFill>
              <a:latin typeface="ＭＳ ゴシック"/>
              <a:ea typeface="ＭＳ ゴシック"/>
            </a:rPr>
            <a:t>在庫台数</a:t>
          </a:r>
        </a:p>
        <a:p>
          <a:pPr algn="l" rtl="0">
            <a:lnSpc>
              <a:spcPts val="1100"/>
            </a:lnSpc>
            <a:defRPr sz="1000"/>
          </a:pPr>
          <a:r>
            <a:rPr lang="ja-JP" altLang="en-US" sz="900" b="0" i="0" u="none" strike="noStrike" baseline="0">
              <a:solidFill>
                <a:srgbClr val="000000"/>
              </a:solidFill>
              <a:latin typeface="ＭＳ ゴシック"/>
              <a:ea typeface="ＭＳ ゴシック"/>
            </a:rPr>
            <a:t>　　into   l_倉庫番号, l_商品コード, l_商品名称, l_在庫台数</a:t>
          </a:r>
        </a:p>
        <a:p>
          <a:pPr algn="l" rtl="0">
            <a:lnSpc>
              <a:spcPts val="1100"/>
            </a:lnSpc>
            <a:defRPr sz="1000"/>
          </a:pPr>
          <a:r>
            <a:rPr lang="ja-JP" altLang="en-US" sz="900" b="0" i="0" u="none" strike="noStrike" baseline="0">
              <a:solidFill>
                <a:srgbClr val="000000"/>
              </a:solidFill>
              <a:latin typeface="ＭＳ ゴシック"/>
              <a:ea typeface="ＭＳ ゴシック"/>
            </a:rPr>
            <a:t>　　from    在庫マスタ　</a:t>
          </a:r>
          <a:r>
            <a:rPr lang="ja-JP" altLang="en-US" sz="900" b="0" i="0" u="none" strike="noStrike" baseline="0">
              <a:solidFill>
                <a:srgbClr val="0000FF"/>
              </a:solidFill>
              <a:latin typeface="ＭＳ ゴシック"/>
              <a:ea typeface="ＭＳ ゴシック"/>
            </a:rPr>
            <a:t>ａ</a:t>
          </a:r>
          <a:r>
            <a:rPr lang="ja-JP" altLang="en-US" sz="900" b="0" i="0" u="none" strike="noStrike" baseline="0">
              <a:solidFill>
                <a:srgbClr val="000000"/>
              </a:solidFill>
              <a:latin typeface="ＭＳ ゴシック"/>
              <a:ea typeface="ＭＳ ゴシック"/>
            </a:rPr>
            <a:t>，</a:t>
          </a:r>
          <a:r>
            <a:rPr lang="ja-JP" altLang="en-US" sz="900" b="1" i="0" u="none" strike="noStrike" baseline="0">
              <a:solidFill>
                <a:srgbClr val="FF0000"/>
              </a:solidFill>
              <a:latin typeface="ＭＳ ゴシック"/>
              <a:ea typeface="ＭＳ ゴシック"/>
            </a:rPr>
            <a:t>outer</a:t>
          </a:r>
          <a:r>
            <a:rPr lang="ja-JP" altLang="en-US" sz="900" b="0" i="0" u="none" strike="noStrike" baseline="0">
              <a:solidFill>
                <a:srgbClr val="000000"/>
              </a:solidFill>
              <a:latin typeface="ＭＳ ゴシック"/>
              <a:ea typeface="ＭＳ ゴシック"/>
            </a:rPr>
            <a:t>  商品マスタ　</a:t>
          </a:r>
          <a:r>
            <a:rPr lang="ja-JP" altLang="en-US" sz="900" b="0" i="0" u="none" strike="noStrike" baseline="0">
              <a:solidFill>
                <a:srgbClr val="339966"/>
              </a:solidFill>
              <a:latin typeface="ＭＳ ゴシック"/>
              <a:ea typeface="ＭＳ ゴシック"/>
            </a:rPr>
            <a:t>ｂ</a:t>
          </a:r>
        </a:p>
        <a:p>
          <a:pPr algn="l" rtl="0">
            <a:lnSpc>
              <a:spcPts val="1100"/>
            </a:lnSpc>
            <a:defRPr sz="1000"/>
          </a:pPr>
          <a:r>
            <a:rPr lang="ja-JP" altLang="en-US" sz="900" b="0" i="0" u="none" strike="noStrike" baseline="0">
              <a:solidFill>
                <a:srgbClr val="339966"/>
              </a:solidFill>
              <a:latin typeface="ＭＳ ゴシック"/>
              <a:ea typeface="ＭＳ ゴシック"/>
            </a:rPr>
            <a:t> 　 </a:t>
          </a:r>
          <a:r>
            <a:rPr lang="ja-JP" altLang="en-US" sz="900" b="0" i="0" u="none" strike="noStrike" baseline="0">
              <a:solidFill>
                <a:srgbClr val="000000"/>
              </a:solidFill>
              <a:latin typeface="ＭＳ ゴシック"/>
              <a:ea typeface="ＭＳ ゴシック"/>
            </a:rPr>
            <a:t>where </a:t>
          </a:r>
          <a:r>
            <a:rPr lang="ja-JP" altLang="en-US" sz="900" b="0" i="0" u="none" strike="noStrike" baseline="0">
              <a:solidFill>
                <a:srgbClr val="339966"/>
              </a:solidFill>
              <a:latin typeface="ＭＳ ゴシック"/>
              <a:ea typeface="ＭＳ ゴシック"/>
            </a:rPr>
            <a:t>  </a:t>
          </a:r>
          <a:r>
            <a:rPr lang="ja-JP" altLang="en-US" sz="900" b="0" i="0" u="none" strike="noStrike" baseline="0">
              <a:solidFill>
                <a:srgbClr val="0000FF"/>
              </a:solidFill>
              <a:latin typeface="ＭＳ ゴシック"/>
              <a:ea typeface="ＭＳ ゴシック"/>
            </a:rPr>
            <a:t>ａ．</a:t>
          </a:r>
          <a:r>
            <a:rPr lang="ja-JP" altLang="en-US" sz="900" b="0" i="0" u="none" strike="noStrike" baseline="0">
              <a:solidFill>
                <a:srgbClr val="000000"/>
              </a:solidFill>
              <a:latin typeface="ＭＳ ゴシック"/>
              <a:ea typeface="ＭＳ ゴシック"/>
            </a:rPr>
            <a:t>商品コード　＝</a:t>
          </a:r>
          <a:r>
            <a:rPr lang="ja-JP" altLang="en-US" sz="900" b="0" i="0" u="none" strike="noStrike" baseline="0">
              <a:solidFill>
                <a:srgbClr val="339966"/>
              </a:solidFill>
              <a:latin typeface="ＭＳ ゴシック"/>
              <a:ea typeface="ＭＳ ゴシック"/>
            </a:rPr>
            <a:t>　ｂ．</a:t>
          </a:r>
          <a:r>
            <a:rPr lang="ja-JP" altLang="en-US" sz="900" b="0" i="0" u="none" strike="noStrike" baseline="0">
              <a:solidFill>
                <a:srgbClr val="000000"/>
              </a:solidFill>
              <a:latin typeface="ＭＳ ゴシック"/>
              <a:ea typeface="ＭＳ ゴシック"/>
            </a:rPr>
            <a:t>商品コード</a:t>
          </a:r>
        </a:p>
        <a:p>
          <a:pPr algn="l" rtl="0">
            <a:lnSpc>
              <a:spcPts val="1100"/>
            </a:lnSpc>
            <a:defRPr sz="1000"/>
          </a:pPr>
          <a:endParaRPr lang="ja-JP" altLang="en-US" sz="900" b="0" i="0" u="none" strike="noStrike" baseline="0">
            <a:solidFill>
              <a:srgbClr val="000000"/>
            </a:solidFill>
            <a:latin typeface="ＭＳ ゴシック"/>
            <a:ea typeface="ＭＳ ゴシック"/>
          </a:endParaRPr>
        </a:p>
        <a:p>
          <a:pPr algn="l" rtl="0">
            <a:lnSpc>
              <a:spcPts val="1100"/>
            </a:lnSpc>
            <a:defRPr sz="1000"/>
          </a:pPr>
          <a:r>
            <a:rPr lang="ja-JP" altLang="en-US" sz="900" b="0" i="0" u="none" strike="noStrike" baseline="0">
              <a:solidFill>
                <a:srgbClr val="000000"/>
              </a:solidFill>
              <a:latin typeface="ＭＳ ゴシック"/>
              <a:ea typeface="ＭＳ ゴシック"/>
            </a:rPr>
            <a:t>  return  0, 0, 0, " ",</a:t>
          </a:r>
        </a:p>
        <a:p>
          <a:pPr algn="l" rtl="0">
            <a:lnSpc>
              <a:spcPts val="1100"/>
            </a:lnSpc>
            <a:defRPr sz="1000"/>
          </a:pPr>
          <a:r>
            <a:rPr lang="ja-JP" altLang="en-US" sz="900" b="0" i="0" u="none" strike="noStrike" baseline="0">
              <a:solidFill>
                <a:srgbClr val="000000"/>
              </a:solidFill>
              <a:latin typeface="ＭＳ ゴシック"/>
              <a:ea typeface="ＭＳ ゴシック"/>
            </a:rPr>
            <a:t>             l_倉庫番号,</a:t>
          </a:r>
        </a:p>
        <a:p>
          <a:pPr algn="l" rtl="0">
            <a:defRPr sz="1000"/>
          </a:pPr>
          <a:r>
            <a:rPr lang="ja-JP" altLang="en-US" sz="900" b="0" i="0" u="none" strike="noStrike" baseline="0">
              <a:solidFill>
                <a:srgbClr val="000000"/>
              </a:solidFill>
              <a:latin typeface="ＭＳ ゴシック"/>
              <a:ea typeface="ＭＳ ゴシック"/>
            </a:rPr>
            <a:t>　　　　　　 l_商品コード,</a:t>
          </a:r>
        </a:p>
        <a:p>
          <a:pPr algn="l" rtl="0">
            <a:lnSpc>
              <a:spcPts val="1100"/>
            </a:lnSpc>
            <a:defRPr sz="1000"/>
          </a:pPr>
          <a:r>
            <a:rPr lang="ja-JP" altLang="en-US" sz="900" b="0" i="0" u="none" strike="noStrike" baseline="0">
              <a:solidFill>
                <a:srgbClr val="000000"/>
              </a:solidFill>
              <a:latin typeface="ＭＳ ゴシック"/>
              <a:ea typeface="ＭＳ ゴシック"/>
            </a:rPr>
            <a:t>　　　　　　 l_商品名称,</a:t>
          </a:r>
        </a:p>
        <a:p>
          <a:pPr algn="l" rtl="0">
            <a:defRPr sz="1000"/>
          </a:pPr>
          <a:r>
            <a:rPr lang="ja-JP" altLang="en-US" sz="900" b="0" i="0" u="none" strike="noStrike" baseline="0">
              <a:solidFill>
                <a:srgbClr val="000000"/>
              </a:solidFill>
              <a:latin typeface="ＭＳ ゴシック"/>
              <a:ea typeface="ＭＳ ゴシック"/>
            </a:rPr>
            <a:t>             l_在庫台数</a:t>
          </a:r>
        </a:p>
        <a:p>
          <a:pPr algn="l" rtl="0">
            <a:defRPr sz="1000"/>
          </a:pPr>
          <a:r>
            <a:rPr lang="ja-JP" altLang="en-US" sz="900" b="0" i="0" u="none" strike="noStrike" baseline="0">
              <a:solidFill>
                <a:srgbClr val="000000"/>
              </a:solidFill>
              <a:latin typeface="ＭＳ ゴシック"/>
              <a:ea typeface="ＭＳ ゴシック"/>
            </a:rPr>
            <a:t>   with resume;</a:t>
          </a:r>
        </a:p>
        <a:p>
          <a:pPr algn="l" rtl="0">
            <a:defRPr sz="1000"/>
          </a:pPr>
          <a:endParaRPr lang="ja-JP" altLang="en-US" sz="900" b="0" i="0" u="none" strike="noStrike" baseline="0">
            <a:solidFill>
              <a:srgbClr val="000000"/>
            </a:solidFill>
            <a:latin typeface="ＭＳ ゴシック"/>
            <a:ea typeface="ＭＳ ゴシック"/>
          </a:endParaRPr>
        </a:p>
        <a:p>
          <a:pPr algn="l" rtl="0">
            <a:lnSpc>
              <a:spcPts val="1100"/>
            </a:lnSpc>
            <a:defRPr sz="1000"/>
          </a:pPr>
          <a:r>
            <a:rPr lang="ja-JP" altLang="en-US" sz="900" b="0" i="0" u="none" strike="noStrike" baseline="0">
              <a:solidFill>
                <a:srgbClr val="000000"/>
              </a:solidFill>
              <a:latin typeface="ＭＳ ゴシック"/>
              <a:ea typeface="ＭＳ ゴシック"/>
            </a:rPr>
            <a:t>end foreach</a:t>
          </a:r>
        </a:p>
      </xdr:txBody>
    </xdr:sp>
    <xdr:clientData/>
  </xdr:twoCellAnchor>
  <xdr:twoCellAnchor>
    <xdr:from>
      <xdr:col>9</xdr:col>
      <xdr:colOff>333375</xdr:colOff>
      <xdr:row>129</xdr:row>
      <xdr:rowOff>9525</xdr:rowOff>
    </xdr:from>
    <xdr:to>
      <xdr:col>9</xdr:col>
      <xdr:colOff>1047750</xdr:colOff>
      <xdr:row>148</xdr:row>
      <xdr:rowOff>9525</xdr:rowOff>
    </xdr:to>
    <xdr:sp macro="" textlink="">
      <xdr:nvSpPr>
        <xdr:cNvPr id="46" name="AutoShape 42">
          <a:extLst>
            <a:ext uri="{FF2B5EF4-FFF2-40B4-BE49-F238E27FC236}">
              <a16:creationId xmlns:a16="http://schemas.microsoft.com/office/drawing/2014/main" id="{45D72717-4FEA-4BC8-93C3-5EF7D66F1626}"/>
            </a:ext>
          </a:extLst>
        </xdr:cNvPr>
        <xdr:cNvSpPr>
          <a:spLocks noChangeArrowheads="1"/>
        </xdr:cNvSpPr>
      </xdr:nvSpPr>
      <xdr:spPr bwMode="auto">
        <a:xfrm>
          <a:off x="4886325" y="25698450"/>
          <a:ext cx="714375" cy="3800475"/>
        </a:xfrm>
        <a:prstGeom prst="downArrow">
          <a:avLst>
            <a:gd name="adj1" fmla="val 50000"/>
            <a:gd name="adj2" fmla="val 114000"/>
          </a:avLst>
        </a:prstGeom>
        <a:solidFill>
          <a:srgbClr xmlns:mc="http://schemas.openxmlformats.org/markup-compatibility/2006" xmlns:a14="http://schemas.microsoft.com/office/drawing/2010/main" val="FFFFFF" mc:Ignorable="a14" a14:legacySpreadsheetColorIndex="9"/>
        </a:solidFill>
        <a:ln w="12700">
          <a:solidFill>
            <a:srgbClr xmlns:mc="http://schemas.openxmlformats.org/markup-compatibility/2006" xmlns:a14="http://schemas.microsoft.com/office/drawing/2010/main" val="FF9900" mc:Ignorable="a14" a14:legacySpreadsheetColorIndex="52"/>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editAs="oneCell">
    <xdr:from>
      <xdr:col>1</xdr:col>
      <xdr:colOff>209550</xdr:colOff>
      <xdr:row>110</xdr:row>
      <xdr:rowOff>152400</xdr:rowOff>
    </xdr:from>
    <xdr:to>
      <xdr:col>9</xdr:col>
      <xdr:colOff>2657475</xdr:colOff>
      <xdr:row>114</xdr:row>
      <xdr:rowOff>47625</xdr:rowOff>
    </xdr:to>
    <xdr:pic>
      <xdr:nvPicPr>
        <xdr:cNvPr id="47" name="Picture 124">
          <a:extLst>
            <a:ext uri="{FF2B5EF4-FFF2-40B4-BE49-F238E27FC236}">
              <a16:creationId xmlns:a16="http://schemas.microsoft.com/office/drawing/2014/main" id="{8137CC58-942E-4C7C-9BC8-6B96A5E27D7F}"/>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457200" y="22031325"/>
          <a:ext cx="6753225" cy="69532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9</xdr:col>
      <xdr:colOff>2876550</xdr:colOff>
      <xdr:row>105</xdr:row>
      <xdr:rowOff>57150</xdr:rowOff>
    </xdr:from>
    <xdr:to>
      <xdr:col>13</xdr:col>
      <xdr:colOff>381000</xdr:colOff>
      <xdr:row>112</xdr:row>
      <xdr:rowOff>28575</xdr:rowOff>
    </xdr:to>
    <xdr:sp macro="" textlink="">
      <xdr:nvSpPr>
        <xdr:cNvPr id="48" name="AutoShape 80">
          <a:extLst>
            <a:ext uri="{FF2B5EF4-FFF2-40B4-BE49-F238E27FC236}">
              <a16:creationId xmlns:a16="http://schemas.microsoft.com/office/drawing/2014/main" id="{3AB87AAB-D3A1-4C82-A184-2E71CA853F4C}"/>
            </a:ext>
          </a:extLst>
        </xdr:cNvPr>
        <xdr:cNvSpPr>
          <a:spLocks noChangeArrowheads="1"/>
        </xdr:cNvSpPr>
      </xdr:nvSpPr>
      <xdr:spPr bwMode="auto">
        <a:xfrm>
          <a:off x="7429500" y="20935950"/>
          <a:ext cx="2857500" cy="1371600"/>
        </a:xfrm>
        <a:prstGeom prst="wedgeRectCallout">
          <a:avLst>
            <a:gd name="adj1" fmla="val -49333"/>
            <a:gd name="adj2" fmla="val 68699"/>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8000" mc:Ignorable="a14" a14:legacySpreadsheetColorIndex="17"/>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576" tIns="18288" rIns="0" bIns="0" anchor="t" upright="1"/>
        <a:lstStyle/>
        <a:p>
          <a:pPr algn="l" rtl="0">
            <a:lnSpc>
              <a:spcPts val="1300"/>
            </a:lnSpc>
            <a:defRPr sz="1000"/>
          </a:pPr>
          <a:r>
            <a:rPr lang="ja-JP" altLang="en-US" sz="1100" b="1" i="0" u="none" strike="noStrike" baseline="0">
              <a:solidFill>
                <a:srgbClr val="008000"/>
              </a:solidFill>
              <a:latin typeface="ＭＳ Ｐゴシック"/>
              <a:ea typeface="ＭＳ Ｐゴシック"/>
            </a:rPr>
            <a:t>　</a:t>
          </a:r>
        </a:p>
        <a:p>
          <a:pPr algn="l" rtl="0">
            <a:lnSpc>
              <a:spcPts val="1300"/>
            </a:lnSpc>
            <a:defRPr sz="1000"/>
          </a:pPr>
          <a:r>
            <a:rPr lang="ja-JP" altLang="en-US" sz="1100" b="1" i="0" u="none" strike="noStrike" baseline="0">
              <a:solidFill>
                <a:srgbClr val="008000"/>
              </a:solidFill>
              <a:latin typeface="ＭＳ Ｐゴシック"/>
              <a:ea typeface="ＭＳ Ｐゴシック"/>
            </a:rPr>
            <a:t> b4：</a:t>
          </a:r>
          <a:r>
            <a:rPr lang="ja-JP" altLang="en-US" sz="1000" b="1" i="0" u="none" strike="noStrike" baseline="0">
              <a:solidFill>
                <a:srgbClr val="008000"/>
              </a:solidFill>
              <a:latin typeface="ＭＳ Ｐゴシック"/>
              <a:ea typeface="ＭＳ Ｐゴシック"/>
            </a:rPr>
            <a:t>  </a:t>
          </a:r>
          <a:r>
            <a:rPr lang="ja-JP" altLang="en-US" sz="1000" b="0" i="0" u="none" strike="noStrike" baseline="0">
              <a:solidFill>
                <a:srgbClr val="000000"/>
              </a:solidFill>
              <a:latin typeface="ＭＳ Ｐゴシック"/>
              <a:ea typeface="ＭＳ Ｐゴシック"/>
            </a:rPr>
            <a:t>結合キーによって、</a:t>
          </a:r>
        </a:p>
        <a:p>
          <a:pPr algn="l" rtl="0">
            <a:lnSpc>
              <a:spcPts val="1200"/>
            </a:lnSpc>
            <a:defRPr sz="1000"/>
          </a:pPr>
          <a:r>
            <a:rPr lang="ja-JP" altLang="en-US" sz="1000" b="0" i="0" u="none" strike="noStrike" baseline="0">
              <a:solidFill>
                <a:srgbClr val="000000"/>
              </a:solidFill>
              <a:latin typeface="ＭＳ Ｐゴシック"/>
              <a:ea typeface="ＭＳ Ｐゴシック"/>
            </a:rPr>
            <a:t>　 　　　正しく結合されていることを確認。</a:t>
          </a:r>
        </a:p>
        <a:p>
          <a:pPr algn="l" rtl="0">
            <a:lnSpc>
              <a:spcPts val="1200"/>
            </a:lnSpc>
            <a:defRPr sz="1000"/>
          </a:pPr>
          <a:endParaRPr lang="ja-JP" altLang="en-US" sz="1000" b="0" i="0" u="none" strike="noStrike" baseline="0">
            <a:solidFill>
              <a:srgbClr val="000000"/>
            </a:solidFill>
            <a:latin typeface="ＭＳ Ｐゴシック"/>
            <a:ea typeface="ＭＳ Ｐゴシック"/>
          </a:endParaRPr>
        </a:p>
        <a:p>
          <a:pPr algn="l" rtl="0">
            <a:lnSpc>
              <a:spcPts val="1200"/>
            </a:lnSpc>
            <a:defRPr sz="1000"/>
          </a:pPr>
          <a:r>
            <a:rPr lang="ja-JP" altLang="en-US" sz="1000" b="0" i="0" u="none" strike="noStrike" baseline="0">
              <a:solidFill>
                <a:srgbClr val="000000"/>
              </a:solidFill>
              <a:latin typeface="ＭＳ Ｐゴシック"/>
              <a:ea typeface="ＭＳ Ｐゴシック"/>
            </a:rPr>
            <a:t> 　　　　商品マスタに該当データが存在しない場合は</a:t>
          </a:r>
        </a:p>
        <a:p>
          <a:pPr algn="l" rtl="0">
            <a:lnSpc>
              <a:spcPts val="1200"/>
            </a:lnSpc>
            <a:defRPr sz="1000"/>
          </a:pPr>
          <a:r>
            <a:rPr lang="ja-JP" altLang="en-US" sz="1000" b="0" i="0" u="none" strike="noStrike" baseline="0">
              <a:solidFill>
                <a:srgbClr val="000000"/>
              </a:solidFill>
              <a:latin typeface="ＭＳ Ｐゴシック"/>
              <a:ea typeface="ＭＳ Ｐゴシック"/>
            </a:rPr>
            <a:t> 　　　　出力していないことを確認。</a:t>
          </a:r>
          <a:endParaRPr lang="ja-JP" altLang="en-US" sz="900" b="0" i="0" u="none" strike="noStrike" baseline="0">
            <a:solidFill>
              <a:srgbClr val="000000"/>
            </a:solidFill>
            <a:latin typeface="ＭＳ Ｐゴシック"/>
            <a:ea typeface="ＭＳ Ｐゴシック"/>
          </a:endParaRPr>
        </a:p>
        <a:p>
          <a:pPr algn="l" rtl="0">
            <a:lnSpc>
              <a:spcPts val="1100"/>
            </a:lnSpc>
            <a:defRPr sz="1000"/>
          </a:pPr>
          <a:r>
            <a:rPr lang="ja-JP" altLang="en-US" sz="900" b="0" i="0" u="none" strike="noStrike" baseline="0">
              <a:solidFill>
                <a:srgbClr val="000000"/>
              </a:solidFill>
              <a:latin typeface="ＭＳ Ｐゴシック"/>
              <a:ea typeface="ＭＳ Ｐゴシック"/>
            </a:rPr>
            <a:t>　</a:t>
          </a:r>
        </a:p>
        <a:p>
          <a:pPr algn="l" rtl="0">
            <a:defRPr sz="1000"/>
          </a:pPr>
          <a:r>
            <a:rPr lang="ja-JP" altLang="en-US" sz="900" b="0" i="0" u="none" strike="noStrike" baseline="0">
              <a:solidFill>
                <a:srgbClr val="000000"/>
              </a:solidFill>
              <a:latin typeface="ＭＳ Ｐゴシック"/>
              <a:ea typeface="ＭＳ Ｐゴシック"/>
            </a:rPr>
            <a:t>　　　　　　　　　　</a:t>
          </a:r>
        </a:p>
      </xdr:txBody>
    </xdr:sp>
    <xdr:clientData/>
  </xdr:twoCellAnchor>
  <xdr:twoCellAnchor>
    <xdr:from>
      <xdr:col>2</xdr:col>
      <xdr:colOff>47625</xdr:colOff>
      <xdr:row>176</xdr:row>
      <xdr:rowOff>85725</xdr:rowOff>
    </xdr:from>
    <xdr:to>
      <xdr:col>8</xdr:col>
      <xdr:colOff>209550</xdr:colOff>
      <xdr:row>203</xdr:row>
      <xdr:rowOff>38100</xdr:rowOff>
    </xdr:to>
    <xdr:sp macro="" textlink="">
      <xdr:nvSpPr>
        <xdr:cNvPr id="49" name="Text Box 125">
          <a:extLst>
            <a:ext uri="{FF2B5EF4-FFF2-40B4-BE49-F238E27FC236}">
              <a16:creationId xmlns:a16="http://schemas.microsoft.com/office/drawing/2014/main" id="{F238AE3E-5807-492D-93F8-FA87D76ADB2D}"/>
            </a:ext>
          </a:extLst>
        </xdr:cNvPr>
        <xdr:cNvSpPr txBox="1">
          <a:spLocks noChangeArrowheads="1"/>
        </xdr:cNvSpPr>
      </xdr:nvSpPr>
      <xdr:spPr bwMode="auto">
        <a:xfrm>
          <a:off x="838200" y="35185350"/>
          <a:ext cx="3381375" cy="5353050"/>
        </a:xfrm>
        <a:prstGeom prst="rect">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CC99" mc:Ignorable="a14" a14:legacySpreadsheetColorIndex="47"/>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lnSpc>
              <a:spcPts val="1100"/>
            </a:lnSpc>
            <a:defRPr sz="1000"/>
          </a:pPr>
          <a:r>
            <a:rPr lang="ja-JP" altLang="en-US" sz="900" b="0" i="0" u="none" strike="noStrike" baseline="0">
              <a:solidFill>
                <a:srgbClr val="000000"/>
              </a:solidFill>
              <a:latin typeface="ＭＳ ゴシック"/>
              <a:ea typeface="ＭＳ ゴシック"/>
            </a:rPr>
            <a:t>　　</a:t>
          </a:r>
          <a:r>
            <a:rPr lang="ja-JP" altLang="en-US" sz="900" b="0" i="0" u="none" strike="noStrike" baseline="0">
              <a:solidFill>
                <a:srgbClr val="FF6600"/>
              </a:solidFill>
              <a:latin typeface="ＭＳ ゴシック"/>
              <a:ea typeface="ＭＳ ゴシック"/>
            </a:rPr>
            <a:t>例えば途中に こんな処理があった場合・・・</a:t>
          </a:r>
        </a:p>
        <a:p>
          <a:pPr algn="l" rtl="0">
            <a:lnSpc>
              <a:spcPts val="1100"/>
            </a:lnSpc>
            <a:defRPr sz="1000"/>
          </a:pPr>
          <a:endParaRPr lang="ja-JP" altLang="en-US" sz="900" b="0" i="0" u="none" strike="noStrike" baseline="0">
            <a:solidFill>
              <a:srgbClr val="FF6600"/>
            </a:solidFill>
            <a:latin typeface="ＭＳ ゴシック"/>
            <a:ea typeface="ＭＳ ゴシック"/>
          </a:endParaRPr>
        </a:p>
        <a:p>
          <a:pPr algn="l" rtl="0">
            <a:defRPr sz="1000"/>
          </a:pPr>
          <a:r>
            <a:rPr lang="ja-JP" altLang="en-US" sz="1100" b="0" i="0" u="none" strike="noStrike" baseline="0">
              <a:solidFill>
                <a:srgbClr val="FF00FF"/>
              </a:solidFill>
              <a:latin typeface="ＭＳ ゴシック"/>
              <a:ea typeface="ＭＳ ゴシック"/>
            </a:rPr>
            <a:t>foreach</a:t>
          </a:r>
        </a:p>
        <a:p>
          <a:pPr algn="l" rtl="0">
            <a:defRPr sz="1000"/>
          </a:pPr>
          <a:endParaRPr lang="ja-JP" altLang="en-US" sz="1100" b="0" i="0" u="none" strike="noStrike" baseline="0">
            <a:solidFill>
              <a:srgbClr val="FF00FF"/>
            </a:solidFill>
            <a:latin typeface="ＭＳ ゴシック"/>
            <a:ea typeface="ＭＳ ゴシック"/>
          </a:endParaRPr>
        </a:p>
        <a:p>
          <a:pPr algn="l" rtl="0">
            <a:defRPr sz="1000"/>
          </a:pPr>
          <a:endParaRPr lang="ja-JP" altLang="en-US" sz="1100" b="0" i="0" u="none" strike="noStrike" baseline="0">
            <a:solidFill>
              <a:srgbClr val="FF00FF"/>
            </a:solidFill>
            <a:latin typeface="ＭＳ ゴシック"/>
            <a:ea typeface="ＭＳ ゴシック"/>
          </a:endParaRPr>
        </a:p>
        <a:p>
          <a:pPr algn="l" rtl="0">
            <a:defRPr sz="1000"/>
          </a:pPr>
          <a:endParaRPr lang="ja-JP" altLang="en-US" sz="1100" b="0" i="0" u="none" strike="noStrike" baseline="0">
            <a:solidFill>
              <a:srgbClr val="000000"/>
            </a:solidFill>
            <a:latin typeface="ＭＳ ゴシック"/>
            <a:ea typeface="ＭＳ ゴシック"/>
          </a:endParaRPr>
        </a:p>
        <a:p>
          <a:pPr algn="l" rtl="0">
            <a:defRPr sz="1000"/>
          </a:pPr>
          <a:r>
            <a:rPr lang="ja-JP" altLang="en-US" sz="1100" b="0" i="0" u="none" strike="noStrike" baseline="0">
              <a:solidFill>
                <a:srgbClr val="000000"/>
              </a:solidFill>
              <a:latin typeface="ＭＳ ゴシック"/>
              <a:ea typeface="ＭＳ ゴシック"/>
            </a:rPr>
            <a:t>　select  </a:t>
          </a:r>
          <a:r>
            <a:rPr lang="ja-JP" altLang="en-US" sz="900" b="0" i="0" u="none" strike="noStrike" baseline="0">
              <a:solidFill>
                <a:srgbClr val="000000"/>
              </a:solidFill>
              <a:latin typeface="ＭＳ ゴシック"/>
              <a:ea typeface="ＭＳ ゴシック"/>
            </a:rPr>
            <a:t>倉庫番号，商品コード，在庫台数</a:t>
          </a:r>
          <a:endParaRPr lang="ja-JP" altLang="en-US" sz="1100" b="0" i="0" u="none" strike="noStrike" baseline="0">
            <a:solidFill>
              <a:srgbClr val="000000"/>
            </a:solidFill>
            <a:latin typeface="ＭＳ ゴシック"/>
            <a:ea typeface="ＭＳ ゴシック"/>
          </a:endParaRPr>
        </a:p>
        <a:p>
          <a:pPr algn="l" rtl="0">
            <a:defRPr sz="1000"/>
          </a:pPr>
          <a:r>
            <a:rPr lang="ja-JP" altLang="en-US" sz="1100" b="0" i="0" u="none" strike="noStrike" baseline="0">
              <a:solidFill>
                <a:srgbClr val="000000"/>
              </a:solidFill>
              <a:latin typeface="ＭＳ ゴシック"/>
              <a:ea typeface="ＭＳ ゴシック"/>
            </a:rPr>
            <a:t>　　from  </a:t>
          </a:r>
          <a:r>
            <a:rPr lang="ja-JP" altLang="en-US" sz="900" b="0" i="0" u="none" strike="noStrike" baseline="0">
              <a:solidFill>
                <a:srgbClr val="000000"/>
              </a:solidFill>
              <a:latin typeface="ＭＳ ゴシック"/>
              <a:ea typeface="ＭＳ ゴシック"/>
            </a:rPr>
            <a:t>倉庫1在庫マスタ</a:t>
          </a:r>
          <a:endParaRPr lang="ja-JP" altLang="en-US" sz="900" b="0" i="0" u="none" strike="noStrike" baseline="0">
            <a:solidFill>
              <a:srgbClr val="339966"/>
            </a:solidFill>
            <a:latin typeface="ＭＳ ゴシック"/>
            <a:ea typeface="ＭＳ ゴシック"/>
          </a:endParaRPr>
        </a:p>
        <a:p>
          <a:pPr algn="l" rtl="0">
            <a:defRPr sz="1000"/>
          </a:pPr>
          <a:r>
            <a:rPr lang="ja-JP" altLang="en-US" sz="900" b="0" i="0" u="none" strike="noStrike" baseline="0">
              <a:solidFill>
                <a:srgbClr val="339966"/>
              </a:solidFill>
              <a:latin typeface="ＭＳ ゴシック"/>
              <a:ea typeface="ＭＳ ゴシック"/>
            </a:rPr>
            <a:t> 　 </a:t>
          </a:r>
          <a:r>
            <a:rPr lang="ja-JP" altLang="en-US" sz="1100" b="0" i="0" u="none" strike="noStrike" baseline="0">
              <a:solidFill>
                <a:srgbClr val="000000"/>
              </a:solidFill>
              <a:latin typeface="ＭＳ ゴシック"/>
              <a:ea typeface="ＭＳ ゴシック"/>
            </a:rPr>
            <a:t>where  </a:t>
          </a:r>
          <a:r>
            <a:rPr lang="ja-JP" altLang="en-US" sz="900" b="0" i="0" u="none" strike="noStrike" baseline="0">
              <a:solidFill>
                <a:srgbClr val="000000"/>
              </a:solidFill>
              <a:latin typeface="ＭＳ ゴシック"/>
              <a:ea typeface="ＭＳ ゴシック"/>
            </a:rPr>
            <a:t>商品コード　＝  l_商品コード</a:t>
          </a:r>
        </a:p>
        <a:p>
          <a:pPr algn="l" rtl="0">
            <a:lnSpc>
              <a:spcPts val="1100"/>
            </a:lnSpc>
            <a:defRPr sz="1000"/>
          </a:pPr>
          <a:endParaRPr lang="ja-JP" altLang="en-US" sz="900" b="0" i="0" u="none" strike="noStrike" baseline="0">
            <a:solidFill>
              <a:srgbClr val="000000"/>
            </a:solidFill>
            <a:latin typeface="ＭＳ ゴシック"/>
            <a:ea typeface="ＭＳ ゴシック"/>
          </a:endParaRPr>
        </a:p>
        <a:p>
          <a:pPr algn="l" rtl="0">
            <a:lnSpc>
              <a:spcPts val="1100"/>
            </a:lnSpc>
            <a:defRPr sz="1000"/>
          </a:pPr>
          <a:r>
            <a:rPr lang="ja-JP" altLang="en-US" sz="900" b="1" i="0" u="none" strike="noStrike" baseline="0">
              <a:solidFill>
                <a:srgbClr val="FF0000"/>
              </a:solidFill>
              <a:latin typeface="ＭＳ ゴシック"/>
              <a:ea typeface="ＭＳ ゴシック"/>
            </a:rPr>
            <a:t>　　union</a:t>
          </a:r>
          <a:endParaRPr lang="ja-JP" altLang="en-US" sz="900" b="0" i="0" u="none" strike="noStrike" baseline="0">
            <a:solidFill>
              <a:srgbClr val="000000"/>
            </a:solidFill>
            <a:latin typeface="ＭＳ ゴシック"/>
            <a:ea typeface="ＭＳ ゴシック"/>
          </a:endParaRPr>
        </a:p>
        <a:p>
          <a:pPr algn="l" rtl="0">
            <a:lnSpc>
              <a:spcPts val="1100"/>
            </a:lnSpc>
            <a:defRPr sz="1000"/>
          </a:pPr>
          <a:endParaRPr lang="ja-JP" altLang="en-US" sz="900" b="0" i="0" u="none" strike="noStrike" baseline="0">
            <a:solidFill>
              <a:srgbClr val="000000"/>
            </a:solidFill>
            <a:latin typeface="ＭＳ ゴシック"/>
            <a:ea typeface="ＭＳ ゴシック"/>
          </a:endParaRPr>
        </a:p>
        <a:p>
          <a:pPr algn="l" rtl="0">
            <a:defRPr sz="1000"/>
          </a:pPr>
          <a:r>
            <a:rPr lang="ja-JP" altLang="en-US" sz="1100" b="0" i="0" u="none" strike="noStrike" baseline="0">
              <a:solidFill>
                <a:srgbClr val="000000"/>
              </a:solidFill>
              <a:latin typeface="ＭＳ ゴシック"/>
              <a:ea typeface="ＭＳ ゴシック"/>
            </a:rPr>
            <a:t>　select  </a:t>
          </a:r>
          <a:r>
            <a:rPr lang="ja-JP" altLang="en-US" sz="900" b="0" i="0" u="none" strike="noStrike" baseline="0">
              <a:solidFill>
                <a:srgbClr val="000000"/>
              </a:solidFill>
              <a:latin typeface="ＭＳ ゴシック"/>
              <a:ea typeface="ＭＳ ゴシック"/>
            </a:rPr>
            <a:t>倉庫番号，商品コード，在庫台数</a:t>
          </a:r>
        </a:p>
        <a:p>
          <a:pPr algn="l" rtl="0">
            <a:defRPr sz="1000"/>
          </a:pPr>
          <a:r>
            <a:rPr lang="ja-JP" altLang="en-US" sz="1100" b="0" i="0" u="none" strike="noStrike" baseline="0">
              <a:solidFill>
                <a:srgbClr val="000000"/>
              </a:solidFill>
              <a:latin typeface="ＭＳ ゴシック"/>
              <a:ea typeface="ＭＳ ゴシック"/>
            </a:rPr>
            <a:t>　　into  </a:t>
          </a:r>
          <a:r>
            <a:rPr lang="ja-JP" altLang="en-US" sz="900" b="0" i="0" u="none" strike="noStrike" baseline="0">
              <a:solidFill>
                <a:srgbClr val="000000"/>
              </a:solidFill>
              <a:latin typeface="ＭＳ ゴシック"/>
              <a:ea typeface="ＭＳ ゴシック"/>
            </a:rPr>
            <a:t> l_倉庫番号, l_商品コード, l_在庫台数</a:t>
          </a:r>
        </a:p>
        <a:p>
          <a:pPr algn="l" rtl="0">
            <a:defRPr sz="1000"/>
          </a:pPr>
          <a:r>
            <a:rPr lang="ja-JP" altLang="en-US" sz="1100" b="0" i="0" u="none" strike="noStrike" baseline="0">
              <a:solidFill>
                <a:srgbClr val="000000"/>
              </a:solidFill>
              <a:latin typeface="ＭＳ ゴシック"/>
              <a:ea typeface="ＭＳ ゴシック"/>
            </a:rPr>
            <a:t>　　from   </a:t>
          </a:r>
          <a:r>
            <a:rPr lang="ja-JP" altLang="en-US" sz="900" b="0" i="0" u="none" strike="noStrike" baseline="0">
              <a:solidFill>
                <a:srgbClr val="000000"/>
              </a:solidFill>
              <a:latin typeface="ＭＳ ゴシック"/>
              <a:ea typeface="ＭＳ ゴシック"/>
            </a:rPr>
            <a:t>倉庫2在庫マスタ</a:t>
          </a:r>
        </a:p>
        <a:p>
          <a:pPr algn="l" rtl="0">
            <a:lnSpc>
              <a:spcPts val="1300"/>
            </a:lnSpc>
            <a:defRPr sz="1000"/>
          </a:pPr>
          <a:r>
            <a:rPr lang="ja-JP" altLang="en-US" sz="900" b="0" i="0" u="none" strike="noStrike" baseline="0">
              <a:solidFill>
                <a:srgbClr val="000000"/>
              </a:solidFill>
              <a:latin typeface="ＭＳ ゴシック"/>
              <a:ea typeface="ＭＳ ゴシック"/>
            </a:rPr>
            <a:t> </a:t>
          </a:r>
          <a:r>
            <a:rPr lang="ja-JP" altLang="en-US" sz="1100" b="0" i="0" u="none" strike="noStrike" baseline="0">
              <a:solidFill>
                <a:srgbClr val="000000"/>
              </a:solidFill>
              <a:latin typeface="ＭＳ ゴシック"/>
              <a:ea typeface="ＭＳ ゴシック"/>
            </a:rPr>
            <a:t>　where</a:t>
          </a:r>
          <a:r>
            <a:rPr lang="ja-JP" altLang="en-US" sz="900" b="0" i="0" u="none" strike="noStrike" baseline="0">
              <a:solidFill>
                <a:srgbClr val="000000"/>
              </a:solidFill>
              <a:latin typeface="ＭＳ ゴシック"/>
              <a:ea typeface="ＭＳ ゴシック"/>
            </a:rPr>
            <a:t>    not exists(</a:t>
          </a:r>
        </a:p>
        <a:p>
          <a:pPr algn="l" rtl="0">
            <a:lnSpc>
              <a:spcPts val="1100"/>
            </a:lnSpc>
            <a:defRPr sz="1000"/>
          </a:pPr>
          <a:r>
            <a:rPr lang="ja-JP" altLang="en-US" sz="900" b="0" i="0" u="none" strike="noStrike" baseline="0">
              <a:solidFill>
                <a:srgbClr val="000000"/>
              </a:solidFill>
              <a:latin typeface="ＭＳ ゴシック"/>
              <a:ea typeface="ＭＳ ゴシック"/>
            </a:rPr>
            <a:t>                  Select  1</a:t>
          </a:r>
        </a:p>
        <a:p>
          <a:pPr algn="l" rtl="0">
            <a:lnSpc>
              <a:spcPts val="1100"/>
            </a:lnSpc>
            <a:defRPr sz="1000"/>
          </a:pPr>
          <a:r>
            <a:rPr lang="ja-JP" altLang="en-US" sz="900" b="0" i="0" u="none" strike="noStrike" baseline="0">
              <a:solidFill>
                <a:srgbClr val="000000"/>
              </a:solidFill>
              <a:latin typeface="ＭＳ ゴシック"/>
              <a:ea typeface="ＭＳ ゴシック"/>
            </a:rPr>
            <a:t>                    from  倉庫1在庫マスタ</a:t>
          </a:r>
        </a:p>
        <a:p>
          <a:pPr algn="l" rtl="0">
            <a:lnSpc>
              <a:spcPts val="1100"/>
            </a:lnSpc>
            <a:defRPr sz="1000"/>
          </a:pPr>
          <a:r>
            <a:rPr lang="ja-JP" altLang="en-US" sz="900" b="0" i="0" u="none" strike="noStrike" baseline="0">
              <a:solidFill>
                <a:srgbClr val="000000"/>
              </a:solidFill>
              <a:latin typeface="ＭＳ ゴシック"/>
              <a:ea typeface="ＭＳ ゴシック"/>
            </a:rPr>
            <a:t>　　　　　　　     where  商品コード　＝  l_商品コード)</a:t>
          </a:r>
        </a:p>
        <a:p>
          <a:pPr algn="l" rtl="0">
            <a:lnSpc>
              <a:spcPts val="1100"/>
            </a:lnSpc>
            <a:defRPr sz="1000"/>
          </a:pPr>
          <a:r>
            <a:rPr lang="ja-JP" altLang="en-US" sz="900" b="0" i="0" u="none" strike="noStrike" baseline="0">
              <a:solidFill>
                <a:srgbClr val="000000"/>
              </a:solidFill>
              <a:latin typeface="ＭＳ ゴシック"/>
              <a:ea typeface="ＭＳ ゴシック"/>
            </a:rPr>
            <a:t>        and  商品コード　＝  l_商品コード</a:t>
          </a:r>
        </a:p>
        <a:p>
          <a:pPr algn="l" rtl="0">
            <a:defRPr sz="1000"/>
          </a:pPr>
          <a:endParaRPr lang="ja-JP" altLang="en-US" sz="1100" b="0" i="0" u="none" strike="noStrike" baseline="0">
            <a:solidFill>
              <a:srgbClr val="000000"/>
            </a:solidFill>
            <a:latin typeface="ＭＳ ゴシック"/>
            <a:ea typeface="ＭＳ ゴシック"/>
          </a:endParaRPr>
        </a:p>
        <a:p>
          <a:pPr algn="l" rtl="0">
            <a:lnSpc>
              <a:spcPts val="1300"/>
            </a:lnSpc>
            <a:defRPr sz="1000"/>
          </a:pPr>
          <a:r>
            <a:rPr lang="ja-JP" altLang="en-US" sz="1100" b="0" i="0" u="none" strike="noStrike" baseline="0">
              <a:solidFill>
                <a:srgbClr val="000000"/>
              </a:solidFill>
              <a:latin typeface="ＭＳ ゴシック"/>
              <a:ea typeface="ＭＳ ゴシック"/>
            </a:rPr>
            <a:t>  return  </a:t>
          </a:r>
          <a:r>
            <a:rPr lang="ja-JP" altLang="en-US" sz="900" b="0" i="0" u="none" strike="noStrike" baseline="0">
              <a:solidFill>
                <a:srgbClr val="000000"/>
              </a:solidFill>
              <a:latin typeface="ＭＳ ゴシック"/>
              <a:ea typeface="ＭＳ ゴシック"/>
            </a:rPr>
            <a:t>0, 0, 0, " ",</a:t>
          </a:r>
        </a:p>
        <a:p>
          <a:pPr algn="l" rtl="0">
            <a:lnSpc>
              <a:spcPts val="1100"/>
            </a:lnSpc>
            <a:defRPr sz="1000"/>
          </a:pPr>
          <a:r>
            <a:rPr lang="ja-JP" altLang="en-US" sz="900" b="0" i="0" u="none" strike="noStrike" baseline="0">
              <a:solidFill>
                <a:srgbClr val="000000"/>
              </a:solidFill>
              <a:latin typeface="ＭＳ ゴシック"/>
              <a:ea typeface="ＭＳ ゴシック"/>
            </a:rPr>
            <a:t>             l_倉庫番号,</a:t>
          </a:r>
        </a:p>
        <a:p>
          <a:pPr algn="l" rtl="0">
            <a:lnSpc>
              <a:spcPts val="1100"/>
            </a:lnSpc>
            <a:defRPr sz="1000"/>
          </a:pPr>
          <a:r>
            <a:rPr lang="ja-JP" altLang="en-US" sz="900" b="0" i="0" u="none" strike="noStrike" baseline="0">
              <a:solidFill>
                <a:srgbClr val="000000"/>
              </a:solidFill>
              <a:latin typeface="ＭＳ ゴシック"/>
              <a:ea typeface="ＭＳ ゴシック"/>
            </a:rPr>
            <a:t>　　　　　　 l_商品コード,</a:t>
          </a:r>
        </a:p>
        <a:p>
          <a:pPr algn="l" rtl="0">
            <a:lnSpc>
              <a:spcPts val="1100"/>
            </a:lnSpc>
            <a:defRPr sz="1000"/>
          </a:pPr>
          <a:r>
            <a:rPr lang="ja-JP" altLang="en-US" sz="900" b="0" i="0" u="none" strike="noStrike" baseline="0">
              <a:solidFill>
                <a:srgbClr val="000000"/>
              </a:solidFill>
              <a:latin typeface="ＭＳ ゴシック"/>
              <a:ea typeface="ＭＳ ゴシック"/>
            </a:rPr>
            <a:t>             l_在庫台数</a:t>
          </a:r>
        </a:p>
        <a:p>
          <a:pPr algn="l" rtl="0">
            <a:lnSpc>
              <a:spcPts val="1100"/>
            </a:lnSpc>
            <a:defRPr sz="1000"/>
          </a:pPr>
          <a:r>
            <a:rPr lang="ja-JP" altLang="en-US" sz="900" b="0" i="0" u="none" strike="noStrike" baseline="0">
              <a:solidFill>
                <a:srgbClr val="000000"/>
              </a:solidFill>
              <a:latin typeface="ＭＳ ゴシック"/>
              <a:ea typeface="ＭＳ ゴシック"/>
            </a:rPr>
            <a:t>             with resume</a:t>
          </a:r>
        </a:p>
        <a:p>
          <a:pPr algn="l" rtl="0">
            <a:lnSpc>
              <a:spcPts val="1100"/>
            </a:lnSpc>
            <a:defRPr sz="1000"/>
          </a:pPr>
          <a:r>
            <a:rPr lang="ja-JP" altLang="en-US" sz="900" b="0" i="0" u="none" strike="noStrike" baseline="0">
              <a:solidFill>
                <a:srgbClr val="000000"/>
              </a:solidFill>
              <a:latin typeface="ＭＳ ゴシック"/>
              <a:ea typeface="ＭＳ ゴシック"/>
            </a:rPr>
            <a:t>  ;</a:t>
          </a:r>
        </a:p>
        <a:p>
          <a:pPr algn="l" rtl="0">
            <a:lnSpc>
              <a:spcPts val="1100"/>
            </a:lnSpc>
            <a:defRPr sz="1000"/>
          </a:pPr>
          <a:endParaRPr lang="ja-JP" altLang="en-US" sz="900" b="0" i="0" u="none" strike="noStrike" baseline="0">
            <a:solidFill>
              <a:srgbClr val="000000"/>
            </a:solidFill>
            <a:latin typeface="ＭＳ ゴシック"/>
            <a:ea typeface="ＭＳ ゴシック"/>
          </a:endParaRPr>
        </a:p>
        <a:p>
          <a:pPr algn="l" rtl="0">
            <a:lnSpc>
              <a:spcPts val="1300"/>
            </a:lnSpc>
            <a:defRPr sz="1000"/>
          </a:pPr>
          <a:r>
            <a:rPr lang="ja-JP" altLang="en-US" sz="1100" b="0" i="0" u="none" strike="noStrike" baseline="0">
              <a:solidFill>
                <a:srgbClr val="FF00FF"/>
              </a:solidFill>
              <a:latin typeface="ＭＳ ゴシック"/>
              <a:ea typeface="ＭＳ ゴシック"/>
            </a:rPr>
            <a:t>end foreach</a:t>
          </a:r>
          <a:endParaRPr lang="ja-JP" altLang="en-US" sz="900" b="0" i="0" u="none" strike="noStrike" baseline="0">
            <a:solidFill>
              <a:srgbClr val="000000"/>
            </a:solidFill>
            <a:latin typeface="ＭＳ ゴシック"/>
            <a:ea typeface="ＭＳ ゴシック"/>
          </a:endParaRPr>
        </a:p>
        <a:p>
          <a:pPr algn="l" rtl="0">
            <a:defRPr sz="1000"/>
          </a:pPr>
          <a:endParaRPr lang="ja-JP" altLang="en-US" sz="900" b="0" i="0" u="none" strike="noStrike" baseline="0">
            <a:solidFill>
              <a:srgbClr val="000000"/>
            </a:solidFill>
            <a:latin typeface="ＭＳ ゴシック"/>
            <a:ea typeface="ＭＳ ゴシック"/>
          </a:endParaRPr>
        </a:p>
      </xdr:txBody>
    </xdr:sp>
    <xdr:clientData/>
  </xdr:twoCellAnchor>
  <xdr:twoCellAnchor>
    <xdr:from>
      <xdr:col>8</xdr:col>
      <xdr:colOff>190500</xdr:colOff>
      <xdr:row>175</xdr:row>
      <xdr:rowOff>104775</xdr:rowOff>
    </xdr:from>
    <xdr:to>
      <xdr:col>9</xdr:col>
      <xdr:colOff>180975</xdr:colOff>
      <xdr:row>203</xdr:row>
      <xdr:rowOff>19050</xdr:rowOff>
    </xdr:to>
    <xdr:sp macro="" textlink="">
      <xdr:nvSpPr>
        <xdr:cNvPr id="50" name="AutoShape 46">
          <a:extLst>
            <a:ext uri="{FF2B5EF4-FFF2-40B4-BE49-F238E27FC236}">
              <a16:creationId xmlns:a16="http://schemas.microsoft.com/office/drawing/2014/main" id="{8B973AC3-FEB5-4C4B-B1DF-C1996B5DE7A2}"/>
            </a:ext>
          </a:extLst>
        </xdr:cNvPr>
        <xdr:cNvSpPr>
          <a:spLocks noChangeArrowheads="1"/>
        </xdr:cNvSpPr>
      </xdr:nvSpPr>
      <xdr:spPr bwMode="auto">
        <a:xfrm>
          <a:off x="4200525" y="35004375"/>
          <a:ext cx="533400" cy="5514975"/>
        </a:xfrm>
        <a:prstGeom prst="downArrow">
          <a:avLst>
            <a:gd name="adj1" fmla="val 50000"/>
            <a:gd name="adj2" fmla="val 220982"/>
          </a:avLst>
        </a:prstGeom>
        <a:solidFill>
          <a:srgbClr xmlns:mc="http://schemas.openxmlformats.org/markup-compatibility/2006" xmlns:a14="http://schemas.microsoft.com/office/drawing/2010/main" val="FFFFFF" mc:Ignorable="a14" a14:legacySpreadsheetColorIndex="9"/>
        </a:solidFill>
        <a:ln w="12700">
          <a:solidFill>
            <a:srgbClr xmlns:mc="http://schemas.openxmlformats.org/markup-compatibility/2006" xmlns:a14="http://schemas.microsoft.com/office/drawing/2010/main" val="FF9900" mc:Ignorable="a14" a14:legacySpreadsheetColorIndex="52"/>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0</xdr:colOff>
      <xdr:row>176</xdr:row>
      <xdr:rowOff>104775</xdr:rowOff>
    </xdr:from>
    <xdr:to>
      <xdr:col>9</xdr:col>
      <xdr:colOff>2419350</xdr:colOff>
      <xdr:row>181</xdr:row>
      <xdr:rowOff>57150</xdr:rowOff>
    </xdr:to>
    <xdr:sp macro="" textlink="">
      <xdr:nvSpPr>
        <xdr:cNvPr id="51" name="AutoShape 138">
          <a:extLst>
            <a:ext uri="{FF2B5EF4-FFF2-40B4-BE49-F238E27FC236}">
              <a16:creationId xmlns:a16="http://schemas.microsoft.com/office/drawing/2014/main" id="{59963DCC-22D2-41DA-94E1-39D8A0946426}"/>
            </a:ext>
          </a:extLst>
        </xdr:cNvPr>
        <xdr:cNvSpPr>
          <a:spLocks noChangeArrowheads="1"/>
        </xdr:cNvSpPr>
      </xdr:nvSpPr>
      <xdr:spPr bwMode="auto">
        <a:xfrm>
          <a:off x="4552950" y="35204400"/>
          <a:ext cx="2419350" cy="952500"/>
        </a:xfrm>
        <a:prstGeom prst="wedgeRectCallout">
          <a:avLst>
            <a:gd name="adj1" fmla="val -66144"/>
            <a:gd name="adj2" fmla="val 39657"/>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8000" mc:Ignorable="a14" a14:legacySpreadsheetColorIndex="17"/>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lnSpc>
              <a:spcPts val="1100"/>
            </a:lnSpc>
            <a:defRPr sz="1000"/>
          </a:pPr>
          <a:r>
            <a:rPr lang="ja-JP" altLang="en-US" sz="900" b="0" i="0" u="none" strike="noStrike" baseline="0">
              <a:solidFill>
                <a:srgbClr val="000000"/>
              </a:solidFill>
              <a:latin typeface="ＭＳ Ｐゴシック"/>
              <a:ea typeface="ＭＳ Ｐゴシック"/>
            </a:rPr>
            <a:t>処理内でl_商品コードは</a:t>
          </a:r>
        </a:p>
        <a:p>
          <a:pPr algn="l" rtl="0">
            <a:lnSpc>
              <a:spcPts val="1100"/>
            </a:lnSpc>
            <a:defRPr sz="1000"/>
          </a:pPr>
          <a:r>
            <a:rPr lang="ja-JP" altLang="en-US" sz="900" b="0" i="0" u="none" strike="noStrike" baseline="0">
              <a:solidFill>
                <a:srgbClr val="000000"/>
              </a:solidFill>
              <a:latin typeface="ＭＳ Ｐゴシック"/>
              <a:ea typeface="ＭＳ Ｐゴシック"/>
            </a:rPr>
            <a:t>　　　foreachループ1回目　→　Y_BIKE_001</a:t>
          </a:r>
        </a:p>
        <a:p>
          <a:pPr algn="l" rtl="0">
            <a:lnSpc>
              <a:spcPts val="1100"/>
            </a:lnSpc>
            <a:defRPr sz="1000"/>
          </a:pPr>
          <a:r>
            <a:rPr lang="ja-JP" altLang="en-US" sz="900" b="0" i="0" u="none" strike="noStrike" baseline="0">
              <a:solidFill>
                <a:srgbClr val="000000"/>
              </a:solidFill>
              <a:latin typeface="ＭＳ Ｐゴシック"/>
              <a:ea typeface="ＭＳ Ｐゴシック"/>
            </a:rPr>
            <a:t>　　　foreachループ2回目　→　Y_BIKE_004</a:t>
          </a:r>
        </a:p>
        <a:p>
          <a:pPr algn="l" rtl="0">
            <a:lnSpc>
              <a:spcPts val="1100"/>
            </a:lnSpc>
            <a:defRPr sz="1000"/>
          </a:pPr>
          <a:r>
            <a:rPr lang="ja-JP" altLang="en-US" sz="900" b="0" i="0" u="none" strike="noStrike" baseline="0">
              <a:solidFill>
                <a:srgbClr val="000000"/>
              </a:solidFill>
              <a:latin typeface="ＭＳ Ｐゴシック"/>
              <a:ea typeface="ＭＳ Ｐゴシック"/>
            </a:rPr>
            <a:t>　　　foreachループ3回目　→　Y_BIKE_005</a:t>
          </a:r>
        </a:p>
        <a:p>
          <a:pPr algn="l" rtl="0">
            <a:lnSpc>
              <a:spcPts val="1100"/>
            </a:lnSpc>
            <a:defRPr sz="1000"/>
          </a:pPr>
          <a:r>
            <a:rPr lang="ja-JP" altLang="en-US" sz="900" b="0" i="0" u="none" strike="noStrike" baseline="0">
              <a:solidFill>
                <a:srgbClr val="000000"/>
              </a:solidFill>
              <a:latin typeface="ＭＳ Ｐゴシック"/>
              <a:ea typeface="ＭＳ Ｐゴシック"/>
            </a:rPr>
            <a:t>と変化するものとする</a:t>
          </a:r>
        </a:p>
      </xdr:txBody>
    </xdr:sp>
    <xdr:clientData/>
  </xdr:twoCellAnchor>
  <xdr:twoCellAnchor>
    <xdr:from>
      <xdr:col>2</xdr:col>
      <xdr:colOff>152400</xdr:colOff>
      <xdr:row>179</xdr:row>
      <xdr:rowOff>123825</xdr:rowOff>
    </xdr:from>
    <xdr:to>
      <xdr:col>8</xdr:col>
      <xdr:colOff>123825</xdr:colOff>
      <xdr:row>181</xdr:row>
      <xdr:rowOff>114300</xdr:rowOff>
    </xdr:to>
    <xdr:sp macro="" textlink="">
      <xdr:nvSpPr>
        <xdr:cNvPr id="52" name="Rectangle 139">
          <a:extLst>
            <a:ext uri="{FF2B5EF4-FFF2-40B4-BE49-F238E27FC236}">
              <a16:creationId xmlns:a16="http://schemas.microsoft.com/office/drawing/2014/main" id="{CACF5F3D-9860-451A-91CE-C1E91BA2A04E}"/>
            </a:ext>
          </a:extLst>
        </xdr:cNvPr>
        <xdr:cNvSpPr>
          <a:spLocks noChangeArrowheads="1"/>
        </xdr:cNvSpPr>
      </xdr:nvSpPr>
      <xdr:spPr bwMode="auto">
        <a:xfrm>
          <a:off x="942975" y="35823525"/>
          <a:ext cx="3190875" cy="390525"/>
        </a:xfrm>
        <a:prstGeom prst="rect">
          <a:avLst/>
        </a:prstGeom>
        <a:solidFill>
          <a:srgbClr xmlns:mc="http://schemas.openxmlformats.org/markup-compatibility/2006" xmlns:a14="http://schemas.microsoft.com/office/drawing/2010/main" val="FFFFFF" mc:Ignorable="a14" a14:legacySpreadsheetColorIndex="65"/>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576" tIns="22860" rIns="36576" bIns="0" anchor="t" upright="1"/>
        <a:lstStyle/>
        <a:p>
          <a:pPr algn="ctr" rtl="0">
            <a:defRPr sz="1000"/>
          </a:pPr>
          <a:r>
            <a:rPr lang="ja-JP" altLang="en-US" sz="1800" b="0" i="0" u="none" strike="noStrike" baseline="0">
              <a:solidFill>
                <a:srgbClr val="FF0000"/>
              </a:solidFill>
              <a:latin typeface="ＭＳ Ｐゴシック"/>
              <a:ea typeface="ＭＳ Ｐゴシック"/>
            </a:rPr>
            <a:t>処理</a:t>
          </a:r>
        </a:p>
      </xdr:txBody>
    </xdr:sp>
    <xdr:clientData/>
  </xdr:twoCellAnchor>
  <xdr:twoCellAnchor editAs="oneCell">
    <xdr:from>
      <xdr:col>1</xdr:col>
      <xdr:colOff>276225</xdr:colOff>
      <xdr:row>205</xdr:row>
      <xdr:rowOff>85725</xdr:rowOff>
    </xdr:from>
    <xdr:to>
      <xdr:col>9</xdr:col>
      <xdr:colOff>2028825</xdr:colOff>
      <xdr:row>209</xdr:row>
      <xdr:rowOff>152400</xdr:rowOff>
    </xdr:to>
    <xdr:pic>
      <xdr:nvPicPr>
        <xdr:cNvPr id="53" name="Picture 141">
          <a:extLst>
            <a:ext uri="{FF2B5EF4-FFF2-40B4-BE49-F238E27FC236}">
              <a16:creationId xmlns:a16="http://schemas.microsoft.com/office/drawing/2014/main" id="{11E69DF9-E2EE-435D-BAAE-A80D320C07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523875" y="40986075"/>
          <a:ext cx="6057900" cy="8667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7</xdr:col>
      <xdr:colOff>533400</xdr:colOff>
      <xdr:row>211</xdr:row>
      <xdr:rowOff>152400</xdr:rowOff>
    </xdr:from>
    <xdr:to>
      <xdr:col>9</xdr:col>
      <xdr:colOff>2447925</xdr:colOff>
      <xdr:row>213</xdr:row>
      <xdr:rowOff>47625</xdr:rowOff>
    </xdr:to>
    <xdr:sp macro="" textlink="">
      <xdr:nvSpPr>
        <xdr:cNvPr id="54" name="AutoShape 56">
          <a:extLst>
            <a:ext uri="{FF2B5EF4-FFF2-40B4-BE49-F238E27FC236}">
              <a16:creationId xmlns:a16="http://schemas.microsoft.com/office/drawing/2014/main" id="{B9686A0B-0B23-401A-B2AF-10CA56BBB3A0}"/>
            </a:ext>
          </a:extLst>
        </xdr:cNvPr>
        <xdr:cNvSpPr>
          <a:spLocks noChangeArrowheads="1"/>
        </xdr:cNvSpPr>
      </xdr:nvSpPr>
      <xdr:spPr bwMode="auto">
        <a:xfrm>
          <a:off x="3933825" y="42252900"/>
          <a:ext cx="3067050" cy="295275"/>
        </a:xfrm>
        <a:prstGeom prst="wedgeRectCallout">
          <a:avLst>
            <a:gd name="adj1" fmla="val -13977"/>
            <a:gd name="adj2" fmla="val -154000"/>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8000" mc:Ignorable="a14" a14:legacySpreadsheetColorIndex="17"/>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576" tIns="18288" rIns="36576" bIns="0" anchor="t" upright="1"/>
        <a:lstStyle/>
        <a:p>
          <a:pPr algn="ctr" rtl="0">
            <a:defRPr sz="1000"/>
          </a:pPr>
          <a:r>
            <a:rPr lang="ja-JP" altLang="en-US" sz="1100" b="1" i="0" u="none" strike="noStrike" baseline="0">
              <a:solidFill>
                <a:srgbClr val="008000"/>
              </a:solidFill>
              <a:latin typeface="ＭＳ Ｐゴシック"/>
              <a:ea typeface="ＭＳ Ｐゴシック"/>
            </a:rPr>
            <a:t> b6：</a:t>
          </a:r>
          <a:r>
            <a:rPr lang="ja-JP" altLang="en-US" sz="1000" b="1" i="0" u="none" strike="noStrike" baseline="0">
              <a:solidFill>
                <a:srgbClr val="008000"/>
              </a:solidFill>
              <a:latin typeface="ＭＳ Ｐゴシック"/>
              <a:ea typeface="ＭＳ Ｐゴシック"/>
            </a:rPr>
            <a:t> </a:t>
          </a:r>
          <a:r>
            <a:rPr lang="ja-JP" altLang="en-US" sz="1000" b="0" i="0" u="none" strike="noStrike" baseline="0">
              <a:solidFill>
                <a:srgbClr val="000000"/>
              </a:solidFill>
              <a:latin typeface="ＭＳ Ｐゴシック"/>
              <a:ea typeface="ＭＳ Ｐゴシック"/>
            </a:rPr>
            <a:t>結合が正しく行われていることを確認。</a:t>
          </a:r>
        </a:p>
      </xdr:txBody>
    </xdr:sp>
    <xdr:clientData/>
  </xdr:twoCellAnchor>
  <xdr:twoCellAnchor editAs="oneCell">
    <xdr:from>
      <xdr:col>1</xdr:col>
      <xdr:colOff>276225</xdr:colOff>
      <xdr:row>239</xdr:row>
      <xdr:rowOff>0</xdr:rowOff>
    </xdr:from>
    <xdr:to>
      <xdr:col>9</xdr:col>
      <xdr:colOff>1704975</xdr:colOff>
      <xdr:row>241</xdr:row>
      <xdr:rowOff>152400</xdr:rowOff>
    </xdr:to>
    <xdr:pic>
      <xdr:nvPicPr>
        <xdr:cNvPr id="55" name="Picture 170">
          <a:extLst>
            <a:ext uri="{FF2B5EF4-FFF2-40B4-BE49-F238E27FC236}">
              <a16:creationId xmlns:a16="http://schemas.microsoft.com/office/drawing/2014/main" id="{A194A87C-955B-405D-B236-FC508F2DD0D3}"/>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523875" y="47615475"/>
          <a:ext cx="5734050" cy="552450"/>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266700</xdr:colOff>
      <xdr:row>248</xdr:row>
      <xdr:rowOff>38100</xdr:rowOff>
    </xdr:from>
    <xdr:to>
      <xdr:col>9</xdr:col>
      <xdr:colOff>1695450</xdr:colOff>
      <xdr:row>250</xdr:row>
      <xdr:rowOff>161925</xdr:rowOff>
    </xdr:to>
    <xdr:pic>
      <xdr:nvPicPr>
        <xdr:cNvPr id="56" name="Picture 171">
          <a:extLst>
            <a:ext uri="{FF2B5EF4-FFF2-40B4-BE49-F238E27FC236}">
              <a16:creationId xmlns:a16="http://schemas.microsoft.com/office/drawing/2014/main" id="{0EE04D1F-E918-4A20-886F-A22EEAD4D5B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514350" y="49425225"/>
          <a:ext cx="5734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314325</xdr:colOff>
      <xdr:row>220</xdr:row>
      <xdr:rowOff>142875</xdr:rowOff>
    </xdr:from>
    <xdr:to>
      <xdr:col>9</xdr:col>
      <xdr:colOff>1743075</xdr:colOff>
      <xdr:row>223</xdr:row>
      <xdr:rowOff>66675</xdr:rowOff>
    </xdr:to>
    <xdr:pic>
      <xdr:nvPicPr>
        <xdr:cNvPr id="57" name="Picture 173">
          <a:extLst>
            <a:ext uri="{FF2B5EF4-FFF2-40B4-BE49-F238E27FC236}">
              <a16:creationId xmlns:a16="http://schemas.microsoft.com/office/drawing/2014/main" id="{9C6E773E-2669-40FE-AB00-F33F855043E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561975" y="44015025"/>
          <a:ext cx="5734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247650</xdr:colOff>
      <xdr:row>228</xdr:row>
      <xdr:rowOff>85725</xdr:rowOff>
    </xdr:from>
    <xdr:to>
      <xdr:col>4</xdr:col>
      <xdr:colOff>419100</xdr:colOff>
      <xdr:row>229</xdr:row>
      <xdr:rowOff>142875</xdr:rowOff>
    </xdr:to>
    <xdr:sp macro="" textlink="">
      <xdr:nvSpPr>
        <xdr:cNvPr id="58" name="AutoShape 175">
          <a:extLst>
            <a:ext uri="{FF2B5EF4-FFF2-40B4-BE49-F238E27FC236}">
              <a16:creationId xmlns:a16="http://schemas.microsoft.com/office/drawing/2014/main" id="{FE08A3BE-1984-4C64-A95B-80496E1E8ECA}"/>
            </a:ext>
          </a:extLst>
        </xdr:cNvPr>
        <xdr:cNvSpPr>
          <a:spLocks noChangeArrowheads="1"/>
        </xdr:cNvSpPr>
      </xdr:nvSpPr>
      <xdr:spPr bwMode="auto">
        <a:xfrm>
          <a:off x="495300" y="45529500"/>
          <a:ext cx="1266825" cy="2571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1</xdr:col>
      <xdr:colOff>276225</xdr:colOff>
      <xdr:row>230</xdr:row>
      <xdr:rowOff>0</xdr:rowOff>
    </xdr:from>
    <xdr:to>
      <xdr:col>9</xdr:col>
      <xdr:colOff>1704975</xdr:colOff>
      <xdr:row>233</xdr:row>
      <xdr:rowOff>38100</xdr:rowOff>
    </xdr:to>
    <xdr:grpSp>
      <xdr:nvGrpSpPr>
        <xdr:cNvPr id="59" name="Group 179">
          <a:extLst>
            <a:ext uri="{FF2B5EF4-FFF2-40B4-BE49-F238E27FC236}">
              <a16:creationId xmlns:a16="http://schemas.microsoft.com/office/drawing/2014/main" id="{DE4F9056-99FE-4D96-B6F9-610B28CA3318}"/>
            </a:ext>
          </a:extLst>
        </xdr:cNvPr>
        <xdr:cNvGrpSpPr>
          <a:grpSpLocks/>
        </xdr:cNvGrpSpPr>
      </xdr:nvGrpSpPr>
      <xdr:grpSpPr bwMode="auto">
        <a:xfrm>
          <a:off x="501650" y="43824525"/>
          <a:ext cx="5372100" cy="609600"/>
          <a:chOff x="55" y="4087"/>
          <a:chExt cx="602" cy="58"/>
        </a:xfrm>
      </xdr:grpSpPr>
      <xdr:pic>
        <xdr:nvPicPr>
          <xdr:cNvPr id="60" name="Picture 176">
            <a:extLst>
              <a:ext uri="{FF2B5EF4-FFF2-40B4-BE49-F238E27FC236}">
                <a16:creationId xmlns:a16="http://schemas.microsoft.com/office/drawing/2014/main" id="{5BC5D88E-3B81-31F8-D49A-46636AE1D8EE}"/>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55" y="4087"/>
            <a:ext cx="602" cy="58"/>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pic>
        <xdr:nvPicPr>
          <xdr:cNvPr id="61" name="Picture 177">
            <a:extLst>
              <a:ext uri="{FF2B5EF4-FFF2-40B4-BE49-F238E27FC236}">
                <a16:creationId xmlns:a16="http://schemas.microsoft.com/office/drawing/2014/main" id="{19DB6B10-B328-598D-5A9E-535189C350C0}"/>
              </a:ext>
            </a:extLst>
          </xdr:cNvPr>
          <xdr:cNvPicPr>
            <a:picLocks noChangeAspect="1" noChangeArrowheads="1"/>
          </xdr:cNvPicPr>
        </xdr:nvPicPr>
        <xdr:blipFill>
          <a:blip xmlns:r="http://schemas.openxmlformats.org/officeDocument/2006/relationships" r:embed="rId14">
            <a:extLst>
              <a:ext uri="{28A0092B-C50C-407E-A947-70E740481C1C}">
                <a14:useLocalDpi xmlns:a14="http://schemas.microsoft.com/office/drawing/2010/main" val="0"/>
              </a:ext>
            </a:extLst>
          </a:blip>
          <a:srcRect/>
          <a:stretch>
            <a:fillRect/>
          </a:stretch>
        </xdr:blipFill>
        <xdr:spPr bwMode="auto">
          <a:xfrm>
            <a:off x="261" y="4127"/>
            <a:ext cx="34" cy="16"/>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grpSp>
    <xdr:clientData/>
  </xdr:twoCellAnchor>
  <xdr:twoCellAnchor>
    <xdr:from>
      <xdr:col>1</xdr:col>
      <xdr:colOff>323850</xdr:colOff>
      <xdr:row>2</xdr:row>
      <xdr:rowOff>133350</xdr:rowOff>
    </xdr:from>
    <xdr:to>
      <xdr:col>9</xdr:col>
      <xdr:colOff>2476500</xdr:colOff>
      <xdr:row>5</xdr:row>
      <xdr:rowOff>104775</xdr:rowOff>
    </xdr:to>
    <xdr:sp macro="" textlink="">
      <xdr:nvSpPr>
        <xdr:cNvPr id="62" name="Rectangle 180">
          <a:extLst>
            <a:ext uri="{FF2B5EF4-FFF2-40B4-BE49-F238E27FC236}">
              <a16:creationId xmlns:a16="http://schemas.microsoft.com/office/drawing/2014/main" id="{10AA3D03-724F-4973-9A16-F3FED979F690}"/>
            </a:ext>
          </a:extLst>
        </xdr:cNvPr>
        <xdr:cNvSpPr>
          <a:spLocks noChangeArrowheads="1"/>
        </xdr:cNvSpPr>
      </xdr:nvSpPr>
      <xdr:spPr bwMode="auto">
        <a:xfrm>
          <a:off x="571500" y="638175"/>
          <a:ext cx="6457950" cy="485775"/>
        </a:xfrm>
        <a:prstGeom prst="rect">
          <a:avLst/>
        </a:prstGeom>
        <a:solidFill>
          <a:srgbClr xmlns:mc="http://schemas.openxmlformats.org/markup-compatibility/2006" xmlns:a14="http://schemas.microsoft.com/office/drawing/2010/main" val="FFFFE7" mc:Ignorable="a14" a14:legacySpreadsheetColorIndex="26">
            <a:alpha val="50000"/>
          </a:srgbClr>
        </a:solidFill>
        <a:ln w="5715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lnSpc>
              <a:spcPts val="1500"/>
            </a:lnSpc>
            <a:defRPr sz="1000"/>
          </a:pPr>
          <a:r>
            <a:rPr lang="ja-JP" altLang="en-US" sz="1200" b="0" i="0" u="none" strike="noStrike" baseline="0">
              <a:solidFill>
                <a:srgbClr val="FF0000"/>
              </a:solidFill>
              <a:latin typeface="ＭＳ ゴシック"/>
              <a:ea typeface="ＭＳ ゴシック"/>
            </a:rPr>
            <a:t>※　INPUT情報に対するSELECT文とOUTPUT情報から正しい結果である事を確認する</a:t>
          </a:r>
        </a:p>
        <a:p>
          <a:pPr algn="ctr" rtl="0">
            <a:lnSpc>
              <a:spcPts val="1400"/>
            </a:lnSpc>
            <a:defRPr sz="1000"/>
          </a:pPr>
          <a:r>
            <a:rPr lang="ja-JP" altLang="en-US" sz="1200" b="0" i="0" u="none" strike="noStrike" baseline="0">
              <a:solidFill>
                <a:srgbClr val="FF0000"/>
              </a:solidFill>
              <a:latin typeface="ＭＳ ゴシック"/>
              <a:ea typeface="ＭＳ ゴシック"/>
            </a:rPr>
            <a:t>（ 検索結果を確認するために処理の途中経過をUNLOADする必要はありません。）</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9</xdr:col>
      <xdr:colOff>38100</xdr:colOff>
      <xdr:row>9</xdr:row>
      <xdr:rowOff>28575</xdr:rowOff>
    </xdr:from>
    <xdr:to>
      <xdr:col>9</xdr:col>
      <xdr:colOff>180975</xdr:colOff>
      <xdr:row>12</xdr:row>
      <xdr:rowOff>123825</xdr:rowOff>
    </xdr:to>
    <xdr:sp macro="" textlink="">
      <xdr:nvSpPr>
        <xdr:cNvPr id="2" name="AutoShape 4">
          <a:extLst>
            <a:ext uri="{FF2B5EF4-FFF2-40B4-BE49-F238E27FC236}">
              <a16:creationId xmlns:a16="http://schemas.microsoft.com/office/drawing/2014/main" id="{0ADB282C-6AEB-4E0A-A62F-BBCD3D673567}"/>
            </a:ext>
          </a:extLst>
        </xdr:cNvPr>
        <xdr:cNvSpPr>
          <a:spLocks/>
        </xdr:cNvSpPr>
      </xdr:nvSpPr>
      <xdr:spPr bwMode="auto">
        <a:xfrm>
          <a:off x="7277100" y="1838325"/>
          <a:ext cx="142875" cy="552450"/>
        </a:xfrm>
        <a:prstGeom prst="rightBrace">
          <a:avLst>
            <a:gd name="adj1" fmla="val 32222"/>
            <a:gd name="adj2" fmla="val 45681"/>
          </a:avLst>
        </a:prstGeom>
        <a:noFill/>
        <a:ln w="9525">
          <a:solidFill>
            <a:srgbClr xmlns:mc="http://schemas.openxmlformats.org/markup-compatibility/2006" xmlns:a14="http://schemas.microsoft.com/office/drawing/2010/main" val="969696" mc:Ignorable="a14" a14:legacySpreadsheetColorIndex="55"/>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57150</xdr:colOff>
      <xdr:row>21</xdr:row>
      <xdr:rowOff>66675</xdr:rowOff>
    </xdr:from>
    <xdr:to>
      <xdr:col>9</xdr:col>
      <xdr:colOff>219075</xdr:colOff>
      <xdr:row>24</xdr:row>
      <xdr:rowOff>123825</xdr:rowOff>
    </xdr:to>
    <xdr:sp macro="" textlink="">
      <xdr:nvSpPr>
        <xdr:cNvPr id="3" name="AutoShape 5">
          <a:extLst>
            <a:ext uri="{FF2B5EF4-FFF2-40B4-BE49-F238E27FC236}">
              <a16:creationId xmlns:a16="http://schemas.microsoft.com/office/drawing/2014/main" id="{B50B838F-D48C-4EC2-82AC-4009B673734E}"/>
            </a:ext>
          </a:extLst>
        </xdr:cNvPr>
        <xdr:cNvSpPr>
          <a:spLocks/>
        </xdr:cNvSpPr>
      </xdr:nvSpPr>
      <xdr:spPr bwMode="auto">
        <a:xfrm>
          <a:off x="7296150" y="3705225"/>
          <a:ext cx="161925" cy="504825"/>
        </a:xfrm>
        <a:prstGeom prst="rightBrace">
          <a:avLst>
            <a:gd name="adj1" fmla="val 25980"/>
            <a:gd name="adj2" fmla="val 45681"/>
          </a:avLst>
        </a:prstGeom>
        <a:noFill/>
        <a:ln w="9525">
          <a:solidFill>
            <a:srgbClr xmlns:mc="http://schemas.openxmlformats.org/markup-compatibility/2006" xmlns:a14="http://schemas.microsoft.com/office/drawing/2010/main" val="969696" mc:Ignorable="a14" a14:legacySpreadsheetColorIndex="55"/>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219075</xdr:colOff>
      <xdr:row>9</xdr:row>
      <xdr:rowOff>66675</xdr:rowOff>
    </xdr:from>
    <xdr:to>
      <xdr:col>10</xdr:col>
      <xdr:colOff>361950</xdr:colOff>
      <xdr:row>12</xdr:row>
      <xdr:rowOff>0</xdr:rowOff>
    </xdr:to>
    <xdr:sp macro="" textlink="">
      <xdr:nvSpPr>
        <xdr:cNvPr id="4" name="Text Box 6">
          <a:extLst>
            <a:ext uri="{FF2B5EF4-FFF2-40B4-BE49-F238E27FC236}">
              <a16:creationId xmlns:a16="http://schemas.microsoft.com/office/drawing/2014/main" id="{0FCCE614-84F2-48A5-A0BB-E5E33580975D}"/>
            </a:ext>
          </a:extLst>
        </xdr:cNvPr>
        <xdr:cNvSpPr txBox="1">
          <a:spLocks noChangeArrowheads="1"/>
        </xdr:cNvSpPr>
      </xdr:nvSpPr>
      <xdr:spPr bwMode="auto">
        <a:xfrm>
          <a:off x="7458075" y="1876425"/>
          <a:ext cx="1381125" cy="3905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100"/>
            </a:lnSpc>
            <a:defRPr sz="1000"/>
          </a:pPr>
          <a:endParaRPr lang="ja-JP" altLang="en-US" sz="900" b="0" i="0" u="none" strike="noStrike" baseline="0">
            <a:solidFill>
              <a:srgbClr val="808080"/>
            </a:solidFill>
            <a:latin typeface="ＭＳ Ｐゴシック"/>
            <a:ea typeface="ＭＳ Ｐゴシック"/>
          </a:endParaRPr>
        </a:p>
        <a:p>
          <a:pPr algn="l" rtl="0">
            <a:lnSpc>
              <a:spcPts val="1000"/>
            </a:lnSpc>
            <a:defRPr sz="1000"/>
          </a:pPr>
          <a:r>
            <a:rPr lang="ja-JP" altLang="en-US" sz="900" b="0" i="0" u="none" strike="noStrike" baseline="0">
              <a:solidFill>
                <a:srgbClr val="808080"/>
              </a:solidFill>
              <a:latin typeface="ＭＳ Ｐゴシック"/>
              <a:ea typeface="ＭＳ Ｐゴシック"/>
            </a:rPr>
            <a:t> 削除対象</a:t>
          </a:r>
        </a:p>
      </xdr:txBody>
    </xdr:sp>
    <xdr:clientData/>
  </xdr:twoCellAnchor>
  <xdr:twoCellAnchor>
    <xdr:from>
      <xdr:col>9</xdr:col>
      <xdr:colOff>247650</xdr:colOff>
      <xdr:row>21</xdr:row>
      <xdr:rowOff>123825</xdr:rowOff>
    </xdr:from>
    <xdr:to>
      <xdr:col>10</xdr:col>
      <xdr:colOff>504825</xdr:colOff>
      <xdr:row>23</xdr:row>
      <xdr:rowOff>114300</xdr:rowOff>
    </xdr:to>
    <xdr:sp macro="" textlink="">
      <xdr:nvSpPr>
        <xdr:cNvPr id="5" name="Text Box 7">
          <a:extLst>
            <a:ext uri="{FF2B5EF4-FFF2-40B4-BE49-F238E27FC236}">
              <a16:creationId xmlns:a16="http://schemas.microsoft.com/office/drawing/2014/main" id="{342003EB-035F-472E-9CC1-BAEB5EB41DE9}"/>
            </a:ext>
          </a:extLst>
        </xdr:cNvPr>
        <xdr:cNvSpPr txBox="1">
          <a:spLocks noChangeArrowheads="1"/>
        </xdr:cNvSpPr>
      </xdr:nvSpPr>
      <xdr:spPr bwMode="auto">
        <a:xfrm>
          <a:off x="7486650" y="3762375"/>
          <a:ext cx="1495425" cy="2952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100"/>
            </a:lnSpc>
            <a:defRPr sz="1000"/>
          </a:pPr>
          <a:endParaRPr lang="ja-JP" altLang="en-US" sz="900" b="0" i="0" u="none" strike="noStrike" baseline="0">
            <a:solidFill>
              <a:srgbClr val="808080"/>
            </a:solidFill>
            <a:latin typeface="ＭＳ Ｐゴシック"/>
            <a:ea typeface="ＭＳ Ｐゴシック"/>
          </a:endParaRPr>
        </a:p>
        <a:p>
          <a:pPr algn="l" rtl="0">
            <a:lnSpc>
              <a:spcPts val="1000"/>
            </a:lnSpc>
            <a:defRPr sz="1000"/>
          </a:pPr>
          <a:r>
            <a:rPr lang="ja-JP" altLang="en-US" sz="900" b="0" i="0" u="none" strike="noStrike" baseline="0">
              <a:solidFill>
                <a:srgbClr val="808080"/>
              </a:solidFill>
              <a:latin typeface="ＭＳ Ｐゴシック"/>
              <a:ea typeface="ＭＳ Ｐゴシック"/>
            </a:rPr>
            <a:t>追加対象</a:t>
          </a:r>
        </a:p>
      </xdr:txBody>
    </xdr:sp>
    <xdr:clientData/>
  </xdr:twoCellAnchor>
  <xdr:twoCellAnchor>
    <xdr:from>
      <xdr:col>9</xdr:col>
      <xdr:colOff>190500</xdr:colOff>
      <xdr:row>15</xdr:row>
      <xdr:rowOff>142875</xdr:rowOff>
    </xdr:from>
    <xdr:to>
      <xdr:col>10</xdr:col>
      <xdr:colOff>400050</xdr:colOff>
      <xdr:row>17</xdr:row>
      <xdr:rowOff>38100</xdr:rowOff>
    </xdr:to>
    <xdr:sp macro="" textlink="">
      <xdr:nvSpPr>
        <xdr:cNvPr id="6" name="Text Box 8">
          <a:extLst>
            <a:ext uri="{FF2B5EF4-FFF2-40B4-BE49-F238E27FC236}">
              <a16:creationId xmlns:a16="http://schemas.microsoft.com/office/drawing/2014/main" id="{CDDD39BE-F560-4B01-9629-51BBE00C78F7}"/>
            </a:ext>
          </a:extLst>
        </xdr:cNvPr>
        <xdr:cNvSpPr txBox="1">
          <a:spLocks noChangeArrowheads="1"/>
        </xdr:cNvSpPr>
      </xdr:nvSpPr>
      <xdr:spPr bwMode="auto">
        <a:xfrm>
          <a:off x="7429500" y="2867025"/>
          <a:ext cx="1447800" cy="2000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900" b="0" i="0" u="none" strike="noStrike" baseline="0">
              <a:solidFill>
                <a:srgbClr val="FF6600"/>
              </a:solidFill>
              <a:latin typeface="ＭＳ Ｐゴシック"/>
              <a:ea typeface="ＭＳ Ｐゴシック"/>
            </a:rPr>
            <a:t>　更新対象</a:t>
          </a:r>
        </a:p>
      </xdr:txBody>
    </xdr:sp>
    <xdr:clientData/>
  </xdr:twoCellAnchor>
  <xdr:twoCellAnchor>
    <xdr:from>
      <xdr:col>4</xdr:col>
      <xdr:colOff>771525</xdr:colOff>
      <xdr:row>25</xdr:row>
      <xdr:rowOff>114300</xdr:rowOff>
    </xdr:from>
    <xdr:to>
      <xdr:col>5</xdr:col>
      <xdr:colOff>1162050</xdr:colOff>
      <xdr:row>28</xdr:row>
      <xdr:rowOff>19050</xdr:rowOff>
    </xdr:to>
    <xdr:sp macro="" textlink="">
      <xdr:nvSpPr>
        <xdr:cNvPr id="7" name="AutoShape 9">
          <a:extLst>
            <a:ext uri="{FF2B5EF4-FFF2-40B4-BE49-F238E27FC236}">
              <a16:creationId xmlns:a16="http://schemas.microsoft.com/office/drawing/2014/main" id="{A0F73D5F-142C-4681-82DF-736CF214DCFE}"/>
            </a:ext>
          </a:extLst>
        </xdr:cNvPr>
        <xdr:cNvSpPr>
          <a:spLocks noChangeArrowheads="1"/>
        </xdr:cNvSpPr>
      </xdr:nvSpPr>
      <xdr:spPr bwMode="auto">
        <a:xfrm>
          <a:off x="3314700" y="4400550"/>
          <a:ext cx="1524000" cy="504825"/>
        </a:xfrm>
        <a:prstGeom prst="downArrow">
          <a:avLst>
            <a:gd name="adj1" fmla="val 49407"/>
            <a:gd name="adj2" fmla="val 61704"/>
          </a:avLst>
        </a:prstGeom>
        <a:solidFill>
          <a:srgbClr xmlns:mc="http://schemas.openxmlformats.org/markup-compatibility/2006" xmlns:a14="http://schemas.microsoft.com/office/drawing/2010/main" val="C0C0C0" mc:Ignorable="a14" a14:legacySpreadsheetColorIndex="22"/>
        </a:solidFill>
        <a:ln>
          <a:noFill/>
        </a:ln>
        <a:effectLst/>
        <a:extLst>
          <a:ext uri="{91240B29-F687-4F45-9708-019B960494DF}">
            <a14:hiddenLine xmlns:a14="http://schemas.microsoft.com/office/drawing/2010/main" w="12700">
              <a:solidFill>
                <a:srgbClr xmlns:mc="http://schemas.openxmlformats.org/markup-compatibility/2006" val="FF0000" mc:Ignorable="a14" a14:legacySpreadsheetColorIndex="1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38100</xdr:colOff>
      <xdr:row>32</xdr:row>
      <xdr:rowOff>28575</xdr:rowOff>
    </xdr:from>
    <xdr:to>
      <xdr:col>9</xdr:col>
      <xdr:colOff>180975</xdr:colOff>
      <xdr:row>35</xdr:row>
      <xdr:rowOff>123825</xdr:rowOff>
    </xdr:to>
    <xdr:sp macro="" textlink="">
      <xdr:nvSpPr>
        <xdr:cNvPr id="8" name="AutoShape 10">
          <a:extLst>
            <a:ext uri="{FF2B5EF4-FFF2-40B4-BE49-F238E27FC236}">
              <a16:creationId xmlns:a16="http://schemas.microsoft.com/office/drawing/2014/main" id="{ECC277AA-E7B2-47CB-8E42-5AE5AF8960B0}"/>
            </a:ext>
          </a:extLst>
        </xdr:cNvPr>
        <xdr:cNvSpPr>
          <a:spLocks/>
        </xdr:cNvSpPr>
      </xdr:nvSpPr>
      <xdr:spPr bwMode="auto">
        <a:xfrm>
          <a:off x="7277100" y="5676900"/>
          <a:ext cx="142875" cy="552450"/>
        </a:xfrm>
        <a:prstGeom prst="rightBrace">
          <a:avLst>
            <a:gd name="adj1" fmla="val 32222"/>
            <a:gd name="adj2" fmla="val 45681"/>
          </a:avLst>
        </a:prstGeom>
        <a:noFill/>
        <a:ln w="9525">
          <a:solidFill>
            <a:srgbClr xmlns:mc="http://schemas.openxmlformats.org/markup-compatibility/2006" xmlns:a14="http://schemas.microsoft.com/office/drawing/2010/main" val="969696" mc:Ignorable="a14" a14:legacySpreadsheetColorIndex="55"/>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38100</xdr:colOff>
      <xdr:row>44</xdr:row>
      <xdr:rowOff>9525</xdr:rowOff>
    </xdr:from>
    <xdr:to>
      <xdr:col>9</xdr:col>
      <xdr:colOff>219075</xdr:colOff>
      <xdr:row>47</xdr:row>
      <xdr:rowOff>0</xdr:rowOff>
    </xdr:to>
    <xdr:sp macro="" textlink="">
      <xdr:nvSpPr>
        <xdr:cNvPr id="9" name="AutoShape 11">
          <a:extLst>
            <a:ext uri="{FF2B5EF4-FFF2-40B4-BE49-F238E27FC236}">
              <a16:creationId xmlns:a16="http://schemas.microsoft.com/office/drawing/2014/main" id="{F3EF1B9A-6F30-4458-BB61-1F76CC5810DA}"/>
            </a:ext>
          </a:extLst>
        </xdr:cNvPr>
        <xdr:cNvSpPr>
          <a:spLocks/>
        </xdr:cNvSpPr>
      </xdr:nvSpPr>
      <xdr:spPr bwMode="auto">
        <a:xfrm>
          <a:off x="7277100" y="7486650"/>
          <a:ext cx="180975" cy="438150"/>
        </a:xfrm>
        <a:prstGeom prst="rightBrace">
          <a:avLst>
            <a:gd name="adj1" fmla="val 20175"/>
            <a:gd name="adj2" fmla="val 45681"/>
          </a:avLst>
        </a:prstGeom>
        <a:noFill/>
        <a:ln w="9525">
          <a:solidFill>
            <a:srgbClr xmlns:mc="http://schemas.openxmlformats.org/markup-compatibility/2006" xmlns:a14="http://schemas.microsoft.com/office/drawing/2010/main" val="969696" mc:Ignorable="a14" a14:legacySpreadsheetColorIndex="55"/>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219075</xdr:colOff>
      <xdr:row>32</xdr:row>
      <xdr:rowOff>66675</xdr:rowOff>
    </xdr:from>
    <xdr:to>
      <xdr:col>10</xdr:col>
      <xdr:colOff>361950</xdr:colOff>
      <xdr:row>35</xdr:row>
      <xdr:rowOff>0</xdr:rowOff>
    </xdr:to>
    <xdr:sp macro="" textlink="">
      <xdr:nvSpPr>
        <xdr:cNvPr id="10" name="Text Box 12">
          <a:extLst>
            <a:ext uri="{FF2B5EF4-FFF2-40B4-BE49-F238E27FC236}">
              <a16:creationId xmlns:a16="http://schemas.microsoft.com/office/drawing/2014/main" id="{44400E48-26EB-4521-9335-6ACDD7F5B475}"/>
            </a:ext>
          </a:extLst>
        </xdr:cNvPr>
        <xdr:cNvSpPr txBox="1">
          <a:spLocks noChangeArrowheads="1"/>
        </xdr:cNvSpPr>
      </xdr:nvSpPr>
      <xdr:spPr bwMode="auto">
        <a:xfrm>
          <a:off x="7458075" y="5715000"/>
          <a:ext cx="1381125" cy="3905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100"/>
            </a:lnSpc>
            <a:defRPr sz="1000"/>
          </a:pPr>
          <a:endParaRPr lang="ja-JP" altLang="en-US" sz="900" b="0" i="0" u="none" strike="noStrike" baseline="0">
            <a:solidFill>
              <a:srgbClr val="969696"/>
            </a:solidFill>
            <a:latin typeface="ＭＳ Ｐゴシック"/>
            <a:ea typeface="ＭＳ Ｐゴシック"/>
          </a:endParaRPr>
        </a:p>
        <a:p>
          <a:pPr algn="l" rtl="0">
            <a:lnSpc>
              <a:spcPts val="1000"/>
            </a:lnSpc>
            <a:defRPr sz="1000"/>
          </a:pPr>
          <a:r>
            <a:rPr lang="ja-JP" altLang="en-US" sz="900" b="0" i="0" u="none" strike="noStrike" baseline="0">
              <a:solidFill>
                <a:srgbClr val="969696"/>
              </a:solidFill>
              <a:latin typeface="ＭＳ Ｐゴシック"/>
              <a:ea typeface="ＭＳ Ｐゴシック"/>
            </a:rPr>
            <a:t> 削除</a:t>
          </a:r>
        </a:p>
      </xdr:txBody>
    </xdr:sp>
    <xdr:clientData/>
  </xdr:twoCellAnchor>
  <xdr:twoCellAnchor>
    <xdr:from>
      <xdr:col>9</xdr:col>
      <xdr:colOff>247650</xdr:colOff>
      <xdr:row>44</xdr:row>
      <xdr:rowOff>85725</xdr:rowOff>
    </xdr:from>
    <xdr:to>
      <xdr:col>10</xdr:col>
      <xdr:colOff>504825</xdr:colOff>
      <xdr:row>46</xdr:row>
      <xdr:rowOff>76200</xdr:rowOff>
    </xdr:to>
    <xdr:sp macro="" textlink="">
      <xdr:nvSpPr>
        <xdr:cNvPr id="11" name="Text Box 13">
          <a:extLst>
            <a:ext uri="{FF2B5EF4-FFF2-40B4-BE49-F238E27FC236}">
              <a16:creationId xmlns:a16="http://schemas.microsoft.com/office/drawing/2014/main" id="{FE1A8C9B-1781-47F6-BB6D-F333DF4E3C81}"/>
            </a:ext>
          </a:extLst>
        </xdr:cNvPr>
        <xdr:cNvSpPr txBox="1">
          <a:spLocks noChangeArrowheads="1"/>
        </xdr:cNvSpPr>
      </xdr:nvSpPr>
      <xdr:spPr bwMode="auto">
        <a:xfrm>
          <a:off x="7486650" y="7562850"/>
          <a:ext cx="1495425" cy="2952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100"/>
            </a:lnSpc>
            <a:defRPr sz="1000"/>
          </a:pPr>
          <a:endParaRPr lang="ja-JP" altLang="en-US" sz="900" b="0" i="0" u="none" strike="noStrike" baseline="0">
            <a:solidFill>
              <a:srgbClr val="969696"/>
            </a:solidFill>
            <a:latin typeface="ＭＳ Ｐゴシック"/>
            <a:ea typeface="ＭＳ Ｐゴシック"/>
          </a:endParaRPr>
        </a:p>
        <a:p>
          <a:pPr algn="l" rtl="0">
            <a:lnSpc>
              <a:spcPts val="1000"/>
            </a:lnSpc>
            <a:defRPr sz="1000"/>
          </a:pPr>
          <a:r>
            <a:rPr lang="ja-JP" altLang="en-US" sz="900" b="0" i="0" u="none" strike="noStrike" baseline="0">
              <a:solidFill>
                <a:srgbClr val="969696"/>
              </a:solidFill>
              <a:latin typeface="ＭＳ Ｐゴシック"/>
              <a:ea typeface="ＭＳ Ｐゴシック"/>
            </a:rPr>
            <a:t>追加</a:t>
          </a:r>
        </a:p>
      </xdr:txBody>
    </xdr:sp>
    <xdr:clientData/>
  </xdr:twoCellAnchor>
  <xdr:twoCellAnchor>
    <xdr:from>
      <xdr:col>9</xdr:col>
      <xdr:colOff>171450</xdr:colOff>
      <xdr:row>38</xdr:row>
      <xdr:rowOff>142875</xdr:rowOff>
    </xdr:from>
    <xdr:to>
      <xdr:col>10</xdr:col>
      <xdr:colOff>381000</xdr:colOff>
      <xdr:row>40</xdr:row>
      <xdr:rowOff>38100</xdr:rowOff>
    </xdr:to>
    <xdr:sp macro="" textlink="">
      <xdr:nvSpPr>
        <xdr:cNvPr id="12" name="Text Box 14">
          <a:extLst>
            <a:ext uri="{FF2B5EF4-FFF2-40B4-BE49-F238E27FC236}">
              <a16:creationId xmlns:a16="http://schemas.microsoft.com/office/drawing/2014/main" id="{DD99A9E3-F821-4C46-8CC4-CA1D9A5A389C}"/>
            </a:ext>
          </a:extLst>
        </xdr:cNvPr>
        <xdr:cNvSpPr txBox="1">
          <a:spLocks noChangeArrowheads="1"/>
        </xdr:cNvSpPr>
      </xdr:nvSpPr>
      <xdr:spPr bwMode="auto">
        <a:xfrm>
          <a:off x="7410450" y="6705600"/>
          <a:ext cx="1447800" cy="2000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900" b="0" i="0" u="none" strike="noStrike" baseline="0">
              <a:solidFill>
                <a:srgbClr val="FF6600"/>
              </a:solidFill>
              <a:latin typeface="ＭＳ Ｐゴシック"/>
              <a:ea typeface="ＭＳ Ｐゴシック"/>
            </a:rPr>
            <a:t>　更新</a:t>
          </a:r>
        </a:p>
      </xdr:txBody>
    </xdr:sp>
    <xdr:clientData/>
  </xdr:twoCellAnchor>
  <xdr:twoCellAnchor>
    <xdr:from>
      <xdr:col>9</xdr:col>
      <xdr:colOff>47625</xdr:colOff>
      <xdr:row>14</xdr:row>
      <xdr:rowOff>142875</xdr:rowOff>
    </xdr:from>
    <xdr:to>
      <xdr:col>9</xdr:col>
      <xdr:colOff>238125</xdr:colOff>
      <xdr:row>18</xdr:row>
      <xdr:rowOff>0</xdr:rowOff>
    </xdr:to>
    <xdr:sp macro="" textlink="">
      <xdr:nvSpPr>
        <xdr:cNvPr id="13" name="AutoShape 15">
          <a:extLst>
            <a:ext uri="{FF2B5EF4-FFF2-40B4-BE49-F238E27FC236}">
              <a16:creationId xmlns:a16="http://schemas.microsoft.com/office/drawing/2014/main" id="{E5DA99E0-EFA4-434C-91BE-EA59D8AFDC86}"/>
            </a:ext>
          </a:extLst>
        </xdr:cNvPr>
        <xdr:cNvSpPr>
          <a:spLocks/>
        </xdr:cNvSpPr>
      </xdr:nvSpPr>
      <xdr:spPr bwMode="auto">
        <a:xfrm>
          <a:off x="7286625" y="2714625"/>
          <a:ext cx="190500" cy="466725"/>
        </a:xfrm>
        <a:prstGeom prst="rightBrace">
          <a:avLst>
            <a:gd name="adj1" fmla="val 20417"/>
            <a:gd name="adj2" fmla="val 45681"/>
          </a:avLst>
        </a:prstGeom>
        <a:noFill/>
        <a:ln w="9525">
          <a:solidFill>
            <a:srgbClr xmlns:mc="http://schemas.openxmlformats.org/markup-compatibility/2006" xmlns:a14="http://schemas.microsoft.com/office/drawing/2010/main" val="FF6600" mc:Ignorable="a14" a14:legacySpreadsheetColorIndex="53"/>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28575</xdr:colOff>
      <xdr:row>38</xdr:row>
      <xdr:rowOff>0</xdr:rowOff>
    </xdr:from>
    <xdr:to>
      <xdr:col>9</xdr:col>
      <xdr:colOff>219075</xdr:colOff>
      <xdr:row>41</xdr:row>
      <xdr:rowOff>9525</xdr:rowOff>
    </xdr:to>
    <xdr:sp macro="" textlink="">
      <xdr:nvSpPr>
        <xdr:cNvPr id="14" name="AutoShape 16">
          <a:extLst>
            <a:ext uri="{FF2B5EF4-FFF2-40B4-BE49-F238E27FC236}">
              <a16:creationId xmlns:a16="http://schemas.microsoft.com/office/drawing/2014/main" id="{0C807A45-0433-4486-B498-40E65A826C5E}"/>
            </a:ext>
          </a:extLst>
        </xdr:cNvPr>
        <xdr:cNvSpPr>
          <a:spLocks/>
        </xdr:cNvSpPr>
      </xdr:nvSpPr>
      <xdr:spPr bwMode="auto">
        <a:xfrm>
          <a:off x="7267575" y="6562725"/>
          <a:ext cx="190500" cy="466725"/>
        </a:xfrm>
        <a:prstGeom prst="rightBrace">
          <a:avLst>
            <a:gd name="adj1" fmla="val 20417"/>
            <a:gd name="adj2" fmla="val 45681"/>
          </a:avLst>
        </a:prstGeom>
        <a:noFill/>
        <a:ln w="9525">
          <a:solidFill>
            <a:srgbClr xmlns:mc="http://schemas.openxmlformats.org/markup-compatibility/2006" xmlns:a14="http://schemas.microsoft.com/office/drawing/2010/main" val="FF6600" mc:Ignorable="a14" a14:legacySpreadsheetColorIndex="53"/>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5</xdr:col>
      <xdr:colOff>847725</xdr:colOff>
      <xdr:row>32</xdr:row>
      <xdr:rowOff>142875</xdr:rowOff>
    </xdr:from>
    <xdr:to>
      <xdr:col>7</xdr:col>
      <xdr:colOff>676275</xdr:colOff>
      <xdr:row>36</xdr:row>
      <xdr:rowOff>0</xdr:rowOff>
    </xdr:to>
    <xdr:sp macro="" textlink="">
      <xdr:nvSpPr>
        <xdr:cNvPr id="15" name="AutoShape 17">
          <a:extLst>
            <a:ext uri="{FF2B5EF4-FFF2-40B4-BE49-F238E27FC236}">
              <a16:creationId xmlns:a16="http://schemas.microsoft.com/office/drawing/2014/main" id="{81BBAA97-B036-4C2D-AB64-768C854B7CB5}"/>
            </a:ext>
          </a:extLst>
        </xdr:cNvPr>
        <xdr:cNvSpPr>
          <a:spLocks noChangeArrowheads="1"/>
        </xdr:cNvSpPr>
      </xdr:nvSpPr>
      <xdr:spPr bwMode="auto">
        <a:xfrm>
          <a:off x="4524375" y="5791200"/>
          <a:ext cx="1609725" cy="466725"/>
        </a:xfrm>
        <a:prstGeom prst="wedgeRectCallout">
          <a:avLst>
            <a:gd name="adj1" fmla="val 55917"/>
            <a:gd name="adj2" fmla="val 115306"/>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0000" mc:Ignorable="a14" a14:legacySpreadsheetColorIndex="64"/>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lnSpc>
              <a:spcPts val="1300"/>
            </a:lnSpc>
            <a:defRPr sz="1000"/>
          </a:pPr>
          <a:r>
            <a:rPr lang="ja-JP" altLang="en-US" sz="1100" b="0" i="0" u="none" strike="noStrike" baseline="0">
              <a:solidFill>
                <a:srgbClr val="000000"/>
              </a:solidFill>
              <a:latin typeface="ＭＳ Ｐゴシック"/>
              <a:ea typeface="ＭＳ Ｐゴシック"/>
            </a:rPr>
            <a:t>　</a:t>
          </a:r>
          <a:r>
            <a:rPr lang="ja-JP" altLang="en-US" sz="1100" b="1" i="0" u="none" strike="noStrike" baseline="0">
              <a:solidFill>
                <a:srgbClr val="008000"/>
              </a:solidFill>
              <a:latin typeface="ＭＳ Ｐゴシック"/>
              <a:ea typeface="ＭＳ Ｐゴシック"/>
            </a:rPr>
            <a:t>d5:</a:t>
          </a:r>
          <a:endParaRPr lang="ja-JP" altLang="en-US" sz="1100" b="0" i="0" u="none" strike="noStrike" baseline="0">
            <a:solidFill>
              <a:srgbClr val="000000"/>
            </a:solidFill>
            <a:latin typeface="ＭＳ Ｐゴシック"/>
            <a:ea typeface="ＭＳ Ｐゴシック"/>
          </a:endParaRPr>
        </a:p>
        <a:p>
          <a:pPr algn="l" rtl="0">
            <a:lnSpc>
              <a:spcPts val="1300"/>
            </a:lnSpc>
            <a:defRPr sz="1000"/>
          </a:pPr>
          <a:r>
            <a:rPr lang="ja-JP" altLang="en-US" sz="1100" b="0" i="0" u="none" strike="noStrike" baseline="0">
              <a:solidFill>
                <a:srgbClr val="000000"/>
              </a:solidFill>
              <a:latin typeface="ＭＳ Ｐゴシック"/>
              <a:ea typeface="ＭＳ Ｐゴシック"/>
            </a:rPr>
            <a:t> </a:t>
          </a:r>
          <a:r>
            <a:rPr lang="ja-JP" altLang="en-US" sz="900" b="0" i="0" u="none" strike="noStrike" baseline="0">
              <a:solidFill>
                <a:srgbClr val="000000"/>
              </a:solidFill>
              <a:latin typeface="ＭＳ Ｐゴシック"/>
              <a:ea typeface="ＭＳ Ｐゴシック"/>
            </a:rPr>
            <a:t>更新日：システム日付で更新</a:t>
          </a:r>
        </a:p>
      </xdr:txBody>
    </xdr:sp>
    <xdr:clientData/>
  </xdr:twoCellAnchor>
  <xdr:twoCellAnchor>
    <xdr:from>
      <xdr:col>3</xdr:col>
      <xdr:colOff>361950</xdr:colOff>
      <xdr:row>42</xdr:row>
      <xdr:rowOff>38100</xdr:rowOff>
    </xdr:from>
    <xdr:to>
      <xdr:col>4</xdr:col>
      <xdr:colOff>1000125</xdr:colOff>
      <xdr:row>43</xdr:row>
      <xdr:rowOff>133350</xdr:rowOff>
    </xdr:to>
    <xdr:sp macro="" textlink="">
      <xdr:nvSpPr>
        <xdr:cNvPr id="16" name="AutoShape 19">
          <a:extLst>
            <a:ext uri="{FF2B5EF4-FFF2-40B4-BE49-F238E27FC236}">
              <a16:creationId xmlns:a16="http://schemas.microsoft.com/office/drawing/2014/main" id="{75D47392-B844-422E-89C8-32197DA861CA}"/>
            </a:ext>
          </a:extLst>
        </xdr:cNvPr>
        <xdr:cNvSpPr>
          <a:spLocks noChangeArrowheads="1"/>
        </xdr:cNvSpPr>
      </xdr:nvSpPr>
      <xdr:spPr bwMode="auto">
        <a:xfrm>
          <a:off x="1962150" y="7210425"/>
          <a:ext cx="1581150" cy="247650"/>
        </a:xfrm>
        <a:prstGeom prst="wedgeRectCallout">
          <a:avLst>
            <a:gd name="adj1" fmla="val 31926"/>
            <a:gd name="adj2" fmla="val -130769"/>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0000" mc:Ignorable="a14" a14:legacySpreadsheetColorIndex="64"/>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576" tIns="18288" rIns="0" bIns="0" anchor="t" upright="1"/>
        <a:lstStyle/>
        <a:p>
          <a:pPr algn="l" rtl="0">
            <a:defRPr sz="1000"/>
          </a:pPr>
          <a:r>
            <a:rPr lang="ja-JP" altLang="en-US" sz="1100" b="1" i="0" u="none" strike="noStrike" baseline="0">
              <a:solidFill>
                <a:srgbClr val="008000"/>
              </a:solidFill>
              <a:latin typeface="ＭＳ Ｐゴシック"/>
              <a:ea typeface="ＭＳ Ｐゴシック"/>
            </a:rPr>
            <a:t> d2:</a:t>
          </a:r>
          <a:r>
            <a:rPr lang="ja-JP" altLang="en-US" sz="1100" b="0" i="0" u="none" strike="noStrike" baseline="0">
              <a:solidFill>
                <a:srgbClr val="000000"/>
              </a:solidFill>
              <a:latin typeface="ＭＳ Ｐゴシック"/>
              <a:ea typeface="ＭＳ Ｐゴシック"/>
            </a:rPr>
            <a:t>　</a:t>
          </a:r>
          <a:r>
            <a:rPr lang="ja-JP" altLang="en-US" sz="1000" b="0" i="0" u="none" strike="noStrike" baseline="0">
              <a:solidFill>
                <a:srgbClr val="000000"/>
              </a:solidFill>
              <a:latin typeface="ＭＳ Ｐゴシック"/>
              <a:ea typeface="ＭＳ Ｐゴシック"/>
            </a:rPr>
            <a:t>ＦＵＬＬ桁チェック</a:t>
          </a:r>
        </a:p>
      </xdr:txBody>
    </xdr:sp>
    <xdr:clientData/>
  </xdr:twoCellAnchor>
  <xdr:twoCellAnchor>
    <xdr:from>
      <xdr:col>1</xdr:col>
      <xdr:colOff>247650</xdr:colOff>
      <xdr:row>78</xdr:row>
      <xdr:rowOff>28575</xdr:rowOff>
    </xdr:from>
    <xdr:to>
      <xdr:col>3</xdr:col>
      <xdr:colOff>171450</xdr:colOff>
      <xdr:row>79</xdr:row>
      <xdr:rowOff>85725</xdr:rowOff>
    </xdr:to>
    <xdr:sp macro="" textlink="">
      <xdr:nvSpPr>
        <xdr:cNvPr id="17" name="AutoShape 22">
          <a:extLst>
            <a:ext uri="{FF2B5EF4-FFF2-40B4-BE49-F238E27FC236}">
              <a16:creationId xmlns:a16="http://schemas.microsoft.com/office/drawing/2014/main" id="{A745804E-A738-496D-A4E0-DC98831ACC9A}"/>
            </a:ext>
          </a:extLst>
        </xdr:cNvPr>
        <xdr:cNvSpPr>
          <a:spLocks noChangeArrowheads="1"/>
        </xdr:cNvSpPr>
      </xdr:nvSpPr>
      <xdr:spPr bwMode="auto">
        <a:xfrm>
          <a:off x="495300" y="14068425"/>
          <a:ext cx="1276350" cy="2571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6</xdr:col>
      <xdr:colOff>342900</xdr:colOff>
      <xdr:row>45</xdr:row>
      <xdr:rowOff>19050</xdr:rowOff>
    </xdr:from>
    <xdr:to>
      <xdr:col>9</xdr:col>
      <xdr:colOff>9525</xdr:colOff>
      <xdr:row>48</xdr:row>
      <xdr:rowOff>9525</xdr:rowOff>
    </xdr:to>
    <xdr:sp macro="" textlink="">
      <xdr:nvSpPr>
        <xdr:cNvPr id="18" name="AutoShape 24">
          <a:extLst>
            <a:ext uri="{FF2B5EF4-FFF2-40B4-BE49-F238E27FC236}">
              <a16:creationId xmlns:a16="http://schemas.microsoft.com/office/drawing/2014/main" id="{A6A9B159-A07E-4143-873C-18EB7FBBE5AD}"/>
            </a:ext>
          </a:extLst>
        </xdr:cNvPr>
        <xdr:cNvSpPr>
          <a:spLocks noChangeArrowheads="1"/>
        </xdr:cNvSpPr>
      </xdr:nvSpPr>
      <xdr:spPr bwMode="auto">
        <a:xfrm>
          <a:off x="5267325" y="7648575"/>
          <a:ext cx="1981200" cy="485775"/>
        </a:xfrm>
        <a:prstGeom prst="wedgeRectCallout">
          <a:avLst>
            <a:gd name="adj1" fmla="val -68269"/>
            <a:gd name="adj2" fmla="val -187880"/>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0000" mc:Ignorable="a14" a14:legacySpreadsheetColorIndex="64"/>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lnSpc>
              <a:spcPts val="1300"/>
            </a:lnSpc>
            <a:defRPr sz="1000"/>
          </a:pPr>
          <a:r>
            <a:rPr lang="ja-JP" altLang="en-US" sz="900" b="1" i="0" u="none" strike="noStrike" baseline="0">
              <a:solidFill>
                <a:srgbClr val="008000"/>
              </a:solidFill>
              <a:latin typeface="ＭＳ Ｐゴシック"/>
              <a:ea typeface="ＭＳ Ｐゴシック"/>
            </a:rPr>
            <a:t>　</a:t>
          </a:r>
          <a:r>
            <a:rPr lang="ja-JP" altLang="en-US" sz="1100" b="1" i="0" u="none" strike="noStrike" baseline="0">
              <a:solidFill>
                <a:srgbClr val="008000"/>
              </a:solidFill>
              <a:latin typeface="ＭＳ Ｐゴシック"/>
              <a:ea typeface="ＭＳ Ｐゴシック"/>
            </a:rPr>
            <a:t>d3:</a:t>
          </a:r>
          <a:endParaRPr lang="ja-JP" altLang="en-US" sz="900" b="0" i="0" u="none" strike="noStrike" baseline="0">
            <a:solidFill>
              <a:srgbClr val="000000"/>
            </a:solidFill>
            <a:latin typeface="ＭＳ Ｐゴシック"/>
            <a:ea typeface="ＭＳ Ｐゴシック"/>
          </a:endParaRPr>
        </a:p>
        <a:p>
          <a:pPr algn="l" rtl="0">
            <a:lnSpc>
              <a:spcPts val="1000"/>
            </a:lnSpc>
            <a:defRPr sz="1000"/>
          </a:pPr>
          <a:r>
            <a:rPr lang="ja-JP" altLang="en-US" sz="900" b="0" i="0" u="none" strike="noStrike" baseline="0">
              <a:solidFill>
                <a:srgbClr val="000000"/>
              </a:solidFill>
              <a:latin typeface="ＭＳ Ｐゴシック"/>
              <a:ea typeface="ＭＳ Ｐゴシック"/>
            </a:rPr>
            <a:t>登録日と登録者は更新されていない</a:t>
          </a:r>
        </a:p>
      </xdr:txBody>
    </xdr:sp>
    <xdr:clientData/>
  </xdr:twoCellAnchor>
  <xdr:twoCellAnchor>
    <xdr:from>
      <xdr:col>9</xdr:col>
      <xdr:colOff>466725</xdr:colOff>
      <xdr:row>40</xdr:row>
      <xdr:rowOff>95250</xdr:rowOff>
    </xdr:from>
    <xdr:to>
      <xdr:col>12</xdr:col>
      <xdr:colOff>123825</xdr:colOff>
      <xdr:row>43</xdr:row>
      <xdr:rowOff>57150</xdr:rowOff>
    </xdr:to>
    <xdr:sp macro="" textlink="">
      <xdr:nvSpPr>
        <xdr:cNvPr id="19" name="AutoShape 25">
          <a:extLst>
            <a:ext uri="{FF2B5EF4-FFF2-40B4-BE49-F238E27FC236}">
              <a16:creationId xmlns:a16="http://schemas.microsoft.com/office/drawing/2014/main" id="{5A8DE643-C8A1-4E3A-BF62-6C09FE5EBB9C}"/>
            </a:ext>
          </a:extLst>
        </xdr:cNvPr>
        <xdr:cNvSpPr>
          <a:spLocks noChangeArrowheads="1"/>
        </xdr:cNvSpPr>
      </xdr:nvSpPr>
      <xdr:spPr bwMode="auto">
        <a:xfrm>
          <a:off x="7705725" y="6962775"/>
          <a:ext cx="2266950" cy="419100"/>
        </a:xfrm>
        <a:prstGeom prst="wedgeRectCallout">
          <a:avLst>
            <a:gd name="adj1" fmla="val -70120"/>
            <a:gd name="adj2" fmla="val -61366"/>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0000" mc:Ignorable="a14" a14:legacySpreadsheetColorIndex="64"/>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lnSpc>
              <a:spcPts val="1300"/>
            </a:lnSpc>
            <a:defRPr sz="1000"/>
          </a:pPr>
          <a:r>
            <a:rPr lang="ja-JP" altLang="en-US" sz="1100" b="0" i="0" u="none" strike="noStrike" baseline="0">
              <a:solidFill>
                <a:srgbClr val="000000"/>
              </a:solidFill>
              <a:latin typeface="ＭＳ Ｐゴシック"/>
              <a:ea typeface="ＭＳ Ｐゴシック"/>
            </a:rPr>
            <a:t>　</a:t>
          </a:r>
          <a:r>
            <a:rPr lang="ja-JP" altLang="en-US" sz="1100" b="1" i="0" u="none" strike="noStrike" baseline="0">
              <a:solidFill>
                <a:srgbClr val="008000"/>
              </a:solidFill>
              <a:latin typeface="ＭＳ Ｐゴシック"/>
              <a:ea typeface="ＭＳ Ｐゴシック"/>
            </a:rPr>
            <a:t>d4:</a:t>
          </a:r>
          <a:endParaRPr lang="ja-JP" altLang="en-US" sz="900" b="0" i="0" u="none" strike="noStrike" baseline="0">
            <a:solidFill>
              <a:srgbClr val="000000"/>
            </a:solidFill>
            <a:latin typeface="ＭＳ Ｐゴシック"/>
            <a:ea typeface="ＭＳ Ｐゴシック"/>
          </a:endParaRPr>
        </a:p>
        <a:p>
          <a:pPr algn="l" rtl="0">
            <a:lnSpc>
              <a:spcPts val="1000"/>
            </a:lnSpc>
            <a:defRPr sz="1000"/>
          </a:pPr>
          <a:r>
            <a:rPr lang="ja-JP" altLang="en-US" sz="900" b="0" i="0" u="none" strike="noStrike" baseline="0">
              <a:solidFill>
                <a:srgbClr val="000000"/>
              </a:solidFill>
              <a:latin typeface="ＭＳ Ｐゴシック"/>
              <a:ea typeface="ＭＳ Ｐゴシック"/>
            </a:rPr>
            <a:t> 更新者：仕様通りの値で更新</a:t>
          </a:r>
        </a:p>
      </xdr:txBody>
    </xdr:sp>
    <xdr:clientData/>
  </xdr:twoCellAnchor>
  <xdr:twoCellAnchor>
    <xdr:from>
      <xdr:col>2</xdr:col>
      <xdr:colOff>0</xdr:colOff>
      <xdr:row>87</xdr:row>
      <xdr:rowOff>161925</xdr:rowOff>
    </xdr:from>
    <xdr:to>
      <xdr:col>3</xdr:col>
      <xdr:colOff>314325</xdr:colOff>
      <xdr:row>89</xdr:row>
      <xdr:rowOff>47625</xdr:rowOff>
    </xdr:to>
    <xdr:sp macro="" textlink="">
      <xdr:nvSpPr>
        <xdr:cNvPr id="20" name="AutoShape 31">
          <a:extLst>
            <a:ext uri="{FF2B5EF4-FFF2-40B4-BE49-F238E27FC236}">
              <a16:creationId xmlns:a16="http://schemas.microsoft.com/office/drawing/2014/main" id="{ED5F0489-90CF-4F42-A474-92A56D3A45E7}"/>
            </a:ext>
          </a:extLst>
        </xdr:cNvPr>
        <xdr:cNvSpPr>
          <a:spLocks noChangeArrowheads="1"/>
        </xdr:cNvSpPr>
      </xdr:nvSpPr>
      <xdr:spPr bwMode="auto">
        <a:xfrm>
          <a:off x="838200" y="15973425"/>
          <a:ext cx="1076325" cy="28575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1</xdr:col>
      <xdr:colOff>361950</xdr:colOff>
      <xdr:row>68</xdr:row>
      <xdr:rowOff>38100</xdr:rowOff>
    </xdr:from>
    <xdr:to>
      <xdr:col>3</xdr:col>
      <xdr:colOff>285750</xdr:colOff>
      <xdr:row>69</xdr:row>
      <xdr:rowOff>95250</xdr:rowOff>
    </xdr:to>
    <xdr:sp macro="" textlink="">
      <xdr:nvSpPr>
        <xdr:cNvPr id="21" name="AutoShape 36">
          <a:extLst>
            <a:ext uri="{FF2B5EF4-FFF2-40B4-BE49-F238E27FC236}">
              <a16:creationId xmlns:a16="http://schemas.microsoft.com/office/drawing/2014/main" id="{D187848A-301F-410B-90B6-386484FA538E}"/>
            </a:ext>
          </a:extLst>
        </xdr:cNvPr>
        <xdr:cNvSpPr>
          <a:spLocks noChangeArrowheads="1"/>
        </xdr:cNvSpPr>
      </xdr:nvSpPr>
      <xdr:spPr bwMode="auto">
        <a:xfrm>
          <a:off x="609600" y="12106275"/>
          <a:ext cx="1276350" cy="2571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1</xdr:col>
      <xdr:colOff>361950</xdr:colOff>
      <xdr:row>54</xdr:row>
      <xdr:rowOff>152400</xdr:rowOff>
    </xdr:from>
    <xdr:to>
      <xdr:col>3</xdr:col>
      <xdr:colOff>285750</xdr:colOff>
      <xdr:row>56</xdr:row>
      <xdr:rowOff>38100</xdr:rowOff>
    </xdr:to>
    <xdr:sp macro="" textlink="">
      <xdr:nvSpPr>
        <xdr:cNvPr id="22" name="AutoShape 39">
          <a:extLst>
            <a:ext uri="{FF2B5EF4-FFF2-40B4-BE49-F238E27FC236}">
              <a16:creationId xmlns:a16="http://schemas.microsoft.com/office/drawing/2014/main" id="{81B9251F-9581-4C0A-AF84-8CBF9B9FDAAF}"/>
            </a:ext>
          </a:extLst>
        </xdr:cNvPr>
        <xdr:cNvSpPr>
          <a:spLocks noChangeArrowheads="1"/>
        </xdr:cNvSpPr>
      </xdr:nvSpPr>
      <xdr:spPr bwMode="auto">
        <a:xfrm>
          <a:off x="609600" y="9448800"/>
          <a:ext cx="1276350" cy="28575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editAs="oneCell">
    <xdr:from>
      <xdr:col>1</xdr:col>
      <xdr:colOff>371475</xdr:colOff>
      <xdr:row>56</xdr:row>
      <xdr:rowOff>104775</xdr:rowOff>
    </xdr:from>
    <xdr:to>
      <xdr:col>7</xdr:col>
      <xdr:colOff>895350</xdr:colOff>
      <xdr:row>59</xdr:row>
      <xdr:rowOff>28575</xdr:rowOff>
    </xdr:to>
    <xdr:pic>
      <xdr:nvPicPr>
        <xdr:cNvPr id="23" name="Picture 47">
          <a:extLst>
            <a:ext uri="{FF2B5EF4-FFF2-40B4-BE49-F238E27FC236}">
              <a16:creationId xmlns:a16="http://schemas.microsoft.com/office/drawing/2014/main" id="{9BCCF88A-87A1-410F-BD84-C0EEB93C72F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19125" y="9801225"/>
          <a:ext cx="5734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314325</xdr:colOff>
      <xdr:row>79</xdr:row>
      <xdr:rowOff>104775</xdr:rowOff>
    </xdr:from>
    <xdr:to>
      <xdr:col>7</xdr:col>
      <xdr:colOff>838200</xdr:colOff>
      <xdr:row>82</xdr:row>
      <xdr:rowOff>28575</xdr:rowOff>
    </xdr:to>
    <xdr:pic>
      <xdr:nvPicPr>
        <xdr:cNvPr id="24" name="Picture 48">
          <a:extLst>
            <a:ext uri="{FF2B5EF4-FFF2-40B4-BE49-F238E27FC236}">
              <a16:creationId xmlns:a16="http://schemas.microsoft.com/office/drawing/2014/main" id="{B97BAB22-CDFA-4E30-AAAF-8BD3553142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561975" y="14344650"/>
          <a:ext cx="5734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2</xdr:col>
      <xdr:colOff>9525</xdr:colOff>
      <xdr:row>89</xdr:row>
      <xdr:rowOff>76200</xdr:rowOff>
    </xdr:from>
    <xdr:to>
      <xdr:col>7</xdr:col>
      <xdr:colOff>1123950</xdr:colOff>
      <xdr:row>92</xdr:row>
      <xdr:rowOff>0</xdr:rowOff>
    </xdr:to>
    <xdr:pic>
      <xdr:nvPicPr>
        <xdr:cNvPr id="25" name="Picture 49">
          <a:extLst>
            <a:ext uri="{FF2B5EF4-FFF2-40B4-BE49-F238E27FC236}">
              <a16:creationId xmlns:a16="http://schemas.microsoft.com/office/drawing/2014/main" id="{4B173B97-289C-4A21-B4E7-6A970F3260AF}"/>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847725" y="16287750"/>
          <a:ext cx="5734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381000</xdr:colOff>
      <xdr:row>69</xdr:row>
      <xdr:rowOff>142875</xdr:rowOff>
    </xdr:from>
    <xdr:to>
      <xdr:col>7</xdr:col>
      <xdr:colOff>904875</xdr:colOff>
      <xdr:row>72</xdr:row>
      <xdr:rowOff>66675</xdr:rowOff>
    </xdr:to>
    <xdr:pic>
      <xdr:nvPicPr>
        <xdr:cNvPr id="26" name="Picture 51">
          <a:extLst>
            <a:ext uri="{FF2B5EF4-FFF2-40B4-BE49-F238E27FC236}">
              <a16:creationId xmlns:a16="http://schemas.microsoft.com/office/drawing/2014/main" id="{A3209F27-EB16-457F-A436-5DF0BAD3DA15}"/>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628650" y="12411075"/>
          <a:ext cx="5734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171450</xdr:colOff>
      <xdr:row>33</xdr:row>
      <xdr:rowOff>57150</xdr:rowOff>
    </xdr:from>
    <xdr:to>
      <xdr:col>4</xdr:col>
      <xdr:colOff>857250</xdr:colOff>
      <xdr:row>37</xdr:row>
      <xdr:rowOff>0</xdr:rowOff>
    </xdr:to>
    <xdr:sp macro="" textlink="">
      <xdr:nvSpPr>
        <xdr:cNvPr id="27" name="AutoShape 52">
          <a:extLst>
            <a:ext uri="{FF2B5EF4-FFF2-40B4-BE49-F238E27FC236}">
              <a16:creationId xmlns:a16="http://schemas.microsoft.com/office/drawing/2014/main" id="{BDBAA80F-0494-4963-962C-5C78407D2DD2}"/>
            </a:ext>
          </a:extLst>
        </xdr:cNvPr>
        <xdr:cNvSpPr>
          <a:spLocks noChangeArrowheads="1"/>
        </xdr:cNvSpPr>
      </xdr:nvSpPr>
      <xdr:spPr bwMode="auto">
        <a:xfrm>
          <a:off x="419100" y="5857875"/>
          <a:ext cx="2981325" cy="552450"/>
        </a:xfrm>
        <a:prstGeom prst="wedgeRectCallout">
          <a:avLst>
            <a:gd name="adj1" fmla="val 43931"/>
            <a:gd name="adj2" fmla="val 79310"/>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0000" mc:Ignorable="a14" a14:legacySpreadsheetColorIndex="64"/>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　</a:t>
          </a:r>
          <a:r>
            <a:rPr lang="ja-JP" altLang="en-US" sz="1100" b="1" i="0" u="none" strike="noStrike" baseline="0">
              <a:solidFill>
                <a:srgbClr val="008000"/>
              </a:solidFill>
              <a:latin typeface="ＭＳ Ｐゴシック"/>
              <a:ea typeface="ＭＳ Ｐゴシック"/>
            </a:rPr>
            <a:t>d1:</a:t>
          </a:r>
          <a:endParaRPr lang="ja-JP" altLang="en-US" sz="1100" b="0" i="0" u="none" strike="noStrike" baseline="0">
            <a:solidFill>
              <a:srgbClr val="000000"/>
            </a:solidFill>
            <a:latin typeface="ＭＳ Ｐゴシック"/>
            <a:ea typeface="ＭＳ Ｐゴシック"/>
          </a:endParaRPr>
        </a:p>
        <a:p>
          <a:pPr algn="l" rtl="0">
            <a:defRPr sz="1000"/>
          </a:pPr>
          <a:r>
            <a:rPr lang="ja-JP" altLang="en-US" sz="1000" b="0" i="0" u="none" strike="noStrike" baseline="0">
              <a:solidFill>
                <a:srgbClr val="000000"/>
              </a:solidFill>
              <a:latin typeface="ＭＳ Ｐゴシック"/>
              <a:ea typeface="ＭＳ Ｐゴシック"/>
            </a:rPr>
            <a:t>　更新条件に該当するレコードを更新している ことを確認</a:t>
          </a:r>
          <a:endParaRPr lang="ja-JP" altLang="en-US" sz="1100" b="0" i="0" u="none" strike="noStrike" baseline="0">
            <a:solidFill>
              <a:srgbClr val="000000"/>
            </a:solidFill>
            <a:latin typeface="ＭＳ Ｐゴシック"/>
            <a:ea typeface="ＭＳ Ｐゴシック"/>
          </a:endParaRPr>
        </a:p>
        <a:p>
          <a:pPr algn="l" rtl="0">
            <a:defRPr sz="1000"/>
          </a:pPr>
          <a:r>
            <a:rPr lang="ja-JP" altLang="en-US" sz="1100" b="0" i="0" u="none" strike="noStrike" baseline="0">
              <a:solidFill>
                <a:srgbClr val="000000"/>
              </a:solidFill>
              <a:latin typeface="ＭＳ Ｐゴシック"/>
              <a:ea typeface="ＭＳ Ｐゴシック"/>
            </a:rPr>
            <a:t>　(</a:t>
          </a:r>
          <a:r>
            <a:rPr lang="ja-JP" altLang="en-US" sz="1000" b="0" i="0" u="none" strike="noStrike" baseline="0">
              <a:solidFill>
                <a:srgbClr val="000000"/>
              </a:solidFill>
              <a:latin typeface="ＭＳ Ｐゴシック"/>
              <a:ea typeface="ＭＳ Ｐゴシック"/>
            </a:rPr>
            <a:t>更新対象以外は更新処理を行っていない)</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257175</xdr:colOff>
      <xdr:row>160</xdr:row>
      <xdr:rowOff>9525</xdr:rowOff>
    </xdr:from>
    <xdr:to>
      <xdr:col>9</xdr:col>
      <xdr:colOff>2800350</xdr:colOff>
      <xdr:row>164</xdr:row>
      <xdr:rowOff>76200</xdr:rowOff>
    </xdr:to>
    <xdr:pic>
      <xdr:nvPicPr>
        <xdr:cNvPr id="2" name="Picture 334">
          <a:extLst>
            <a:ext uri="{FF2B5EF4-FFF2-40B4-BE49-F238E27FC236}">
              <a16:creationId xmlns:a16="http://schemas.microsoft.com/office/drawing/2014/main" id="{5C94512A-C863-404A-848B-6CA7BFBB9D5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33400" y="32880300"/>
          <a:ext cx="6457950" cy="8667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2</xdr:col>
      <xdr:colOff>0</xdr:colOff>
      <xdr:row>56</xdr:row>
      <xdr:rowOff>142875</xdr:rowOff>
    </xdr:from>
    <xdr:to>
      <xdr:col>9</xdr:col>
      <xdr:colOff>3162300</xdr:colOff>
      <xdr:row>60</xdr:row>
      <xdr:rowOff>133350</xdr:rowOff>
    </xdr:to>
    <xdr:pic>
      <xdr:nvPicPr>
        <xdr:cNvPr id="3" name="Picture 332">
          <a:extLst>
            <a:ext uri="{FF2B5EF4-FFF2-40B4-BE49-F238E27FC236}">
              <a16:creationId xmlns:a16="http://schemas.microsoft.com/office/drawing/2014/main" id="{53D17D2E-F388-4E9E-8D84-BE0A084C89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895350" y="10763250"/>
          <a:ext cx="6457950" cy="8667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314325</xdr:colOff>
      <xdr:row>49</xdr:row>
      <xdr:rowOff>104775</xdr:rowOff>
    </xdr:from>
    <xdr:to>
      <xdr:col>8</xdr:col>
      <xdr:colOff>542925</xdr:colOff>
      <xdr:row>53</xdr:row>
      <xdr:rowOff>152400</xdr:rowOff>
    </xdr:to>
    <xdr:pic>
      <xdr:nvPicPr>
        <xdr:cNvPr id="4" name="Picture 331">
          <a:extLst>
            <a:ext uri="{FF2B5EF4-FFF2-40B4-BE49-F238E27FC236}">
              <a16:creationId xmlns:a16="http://schemas.microsoft.com/office/drawing/2014/main" id="{72B20415-A0CC-4F15-A7CE-380D9E6AE32D}"/>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590550" y="9191625"/>
          <a:ext cx="3457575" cy="92392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219075</xdr:colOff>
      <xdr:row>139</xdr:row>
      <xdr:rowOff>114300</xdr:rowOff>
    </xdr:from>
    <xdr:to>
      <xdr:col>9</xdr:col>
      <xdr:colOff>3486150</xdr:colOff>
      <xdr:row>145</xdr:row>
      <xdr:rowOff>9525</xdr:rowOff>
    </xdr:to>
    <xdr:pic>
      <xdr:nvPicPr>
        <xdr:cNvPr id="5" name="Picture 322">
          <a:extLst>
            <a:ext uri="{FF2B5EF4-FFF2-40B4-BE49-F238E27FC236}">
              <a16:creationId xmlns:a16="http://schemas.microsoft.com/office/drawing/2014/main" id="{65EB1680-3AB0-416E-8375-65418D0AE8ED}"/>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495300" y="28689300"/>
          <a:ext cx="7181850" cy="12096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9</xdr:col>
      <xdr:colOff>2247900</xdr:colOff>
      <xdr:row>136</xdr:row>
      <xdr:rowOff>180975</xdr:rowOff>
    </xdr:from>
    <xdr:to>
      <xdr:col>10</xdr:col>
      <xdr:colOff>95250</xdr:colOff>
      <xdr:row>138</xdr:row>
      <xdr:rowOff>19050</xdr:rowOff>
    </xdr:to>
    <xdr:sp macro="" textlink="">
      <xdr:nvSpPr>
        <xdr:cNvPr id="6" name="AutoShape 12">
          <a:extLst>
            <a:ext uri="{FF2B5EF4-FFF2-40B4-BE49-F238E27FC236}">
              <a16:creationId xmlns:a16="http://schemas.microsoft.com/office/drawing/2014/main" id="{DE71D7C4-E1F2-45CB-BEB7-55D5D815C383}"/>
            </a:ext>
          </a:extLst>
        </xdr:cNvPr>
        <xdr:cNvSpPr>
          <a:spLocks noChangeArrowheads="1"/>
        </xdr:cNvSpPr>
      </xdr:nvSpPr>
      <xdr:spPr bwMode="auto">
        <a:xfrm>
          <a:off x="6438900" y="28098750"/>
          <a:ext cx="2571750" cy="276225"/>
        </a:xfrm>
        <a:prstGeom prst="wedgeRectCallout">
          <a:avLst>
            <a:gd name="adj1" fmla="val 3333"/>
            <a:gd name="adj2" fmla="val 253449"/>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日付の計算が正常に行われていることを確認</a:t>
          </a:r>
        </a:p>
      </xdr:txBody>
    </xdr:sp>
    <xdr:clientData/>
  </xdr:twoCellAnchor>
  <xdr:twoCellAnchor editAs="oneCell">
    <xdr:from>
      <xdr:col>2</xdr:col>
      <xdr:colOff>0</xdr:colOff>
      <xdr:row>121</xdr:row>
      <xdr:rowOff>9525</xdr:rowOff>
    </xdr:from>
    <xdr:to>
      <xdr:col>9</xdr:col>
      <xdr:colOff>4581525</xdr:colOff>
      <xdr:row>125</xdr:row>
      <xdr:rowOff>0</xdr:rowOff>
    </xdr:to>
    <xdr:pic>
      <xdr:nvPicPr>
        <xdr:cNvPr id="7" name="Picture 316">
          <a:extLst>
            <a:ext uri="{FF2B5EF4-FFF2-40B4-BE49-F238E27FC236}">
              <a16:creationId xmlns:a16="http://schemas.microsoft.com/office/drawing/2014/main" id="{DA39075A-2A6C-44CF-8B65-5B860CBD5A43}"/>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895350" y="24717375"/>
          <a:ext cx="7877175" cy="8667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276225</xdr:colOff>
      <xdr:row>105</xdr:row>
      <xdr:rowOff>76200</xdr:rowOff>
    </xdr:from>
    <xdr:to>
      <xdr:col>9</xdr:col>
      <xdr:colOff>4238625</xdr:colOff>
      <xdr:row>109</xdr:row>
      <xdr:rowOff>66675</xdr:rowOff>
    </xdr:to>
    <xdr:pic>
      <xdr:nvPicPr>
        <xdr:cNvPr id="8" name="Picture 312">
          <a:extLst>
            <a:ext uri="{FF2B5EF4-FFF2-40B4-BE49-F238E27FC236}">
              <a16:creationId xmlns:a16="http://schemas.microsoft.com/office/drawing/2014/main" id="{F52EA501-E40E-43CB-B7DE-205E43AC87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552450" y="21278850"/>
          <a:ext cx="7877175" cy="8667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2</xdr:col>
      <xdr:colOff>19050</xdr:colOff>
      <xdr:row>89</xdr:row>
      <xdr:rowOff>114300</xdr:rowOff>
    </xdr:from>
    <xdr:to>
      <xdr:col>9</xdr:col>
      <xdr:colOff>4600575</xdr:colOff>
      <xdr:row>93</xdr:row>
      <xdr:rowOff>104775</xdr:rowOff>
    </xdr:to>
    <xdr:pic>
      <xdr:nvPicPr>
        <xdr:cNvPr id="9" name="Picture 310">
          <a:extLst>
            <a:ext uri="{FF2B5EF4-FFF2-40B4-BE49-F238E27FC236}">
              <a16:creationId xmlns:a16="http://schemas.microsoft.com/office/drawing/2014/main" id="{8F89B79A-3773-4A5F-846F-A8890FAAF778}"/>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914400" y="17811750"/>
          <a:ext cx="7877175" cy="8667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228600</xdr:colOff>
      <xdr:row>82</xdr:row>
      <xdr:rowOff>28575</xdr:rowOff>
    </xdr:from>
    <xdr:to>
      <xdr:col>9</xdr:col>
      <xdr:colOff>571500</xdr:colOff>
      <xdr:row>86</xdr:row>
      <xdr:rowOff>85725</xdr:rowOff>
    </xdr:to>
    <xdr:pic>
      <xdr:nvPicPr>
        <xdr:cNvPr id="10" name="Picture 307">
          <a:extLst>
            <a:ext uri="{FF2B5EF4-FFF2-40B4-BE49-F238E27FC236}">
              <a16:creationId xmlns:a16="http://schemas.microsoft.com/office/drawing/2014/main" id="{64A96082-09C6-4317-A764-C90B5ECE1C2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504825" y="16192500"/>
          <a:ext cx="4257675" cy="933450"/>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2</xdr:col>
      <xdr:colOff>0</xdr:colOff>
      <xdr:row>72</xdr:row>
      <xdr:rowOff>209550</xdr:rowOff>
    </xdr:from>
    <xdr:to>
      <xdr:col>9</xdr:col>
      <xdr:colOff>3638550</xdr:colOff>
      <xdr:row>76</xdr:row>
      <xdr:rowOff>200025</xdr:rowOff>
    </xdr:to>
    <xdr:pic>
      <xdr:nvPicPr>
        <xdr:cNvPr id="11" name="Picture 305">
          <a:extLst>
            <a:ext uri="{FF2B5EF4-FFF2-40B4-BE49-F238E27FC236}">
              <a16:creationId xmlns:a16="http://schemas.microsoft.com/office/drawing/2014/main" id="{ADF68FAE-CDB7-401F-A07D-029CB84A48AB}"/>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895350" y="14258925"/>
          <a:ext cx="6934200" cy="8667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9</xdr:col>
      <xdr:colOff>2762250</xdr:colOff>
      <xdr:row>102</xdr:row>
      <xdr:rowOff>57150</xdr:rowOff>
    </xdr:from>
    <xdr:to>
      <xdr:col>10</xdr:col>
      <xdr:colOff>238125</xdr:colOff>
      <xdr:row>103</xdr:row>
      <xdr:rowOff>133350</xdr:rowOff>
    </xdr:to>
    <xdr:sp macro="" textlink="">
      <xdr:nvSpPr>
        <xdr:cNvPr id="12" name="AutoShape 31">
          <a:extLst>
            <a:ext uri="{FF2B5EF4-FFF2-40B4-BE49-F238E27FC236}">
              <a16:creationId xmlns:a16="http://schemas.microsoft.com/office/drawing/2014/main" id="{AA37C1AC-1053-431F-AC76-9596C25B238F}"/>
            </a:ext>
          </a:extLst>
        </xdr:cNvPr>
        <xdr:cNvSpPr>
          <a:spLocks noChangeArrowheads="1"/>
        </xdr:cNvSpPr>
      </xdr:nvSpPr>
      <xdr:spPr bwMode="auto">
        <a:xfrm>
          <a:off x="6953250" y="20602575"/>
          <a:ext cx="2200275" cy="295275"/>
        </a:xfrm>
        <a:prstGeom prst="wedgeRectCallout">
          <a:avLst>
            <a:gd name="adj1" fmla="val -6278"/>
            <a:gd name="adj2" fmla="val 233870"/>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切り上げ処理ができていることを確認</a:t>
          </a:r>
        </a:p>
      </xdr:txBody>
    </xdr:sp>
    <xdr:clientData/>
  </xdr:twoCellAnchor>
  <xdr:twoCellAnchor>
    <xdr:from>
      <xdr:col>6</xdr:col>
      <xdr:colOff>342900</xdr:colOff>
      <xdr:row>1</xdr:row>
      <xdr:rowOff>0</xdr:rowOff>
    </xdr:from>
    <xdr:to>
      <xdr:col>10</xdr:col>
      <xdr:colOff>542925</xdr:colOff>
      <xdr:row>1</xdr:row>
      <xdr:rowOff>0</xdr:rowOff>
    </xdr:to>
    <xdr:sp macro="" textlink="">
      <xdr:nvSpPr>
        <xdr:cNvPr id="13" name="Text Box 1">
          <a:extLst>
            <a:ext uri="{FF2B5EF4-FFF2-40B4-BE49-F238E27FC236}">
              <a16:creationId xmlns:a16="http://schemas.microsoft.com/office/drawing/2014/main" id="{031249D4-7583-42F2-BF0B-E53AF442BF45}"/>
            </a:ext>
          </a:extLst>
        </xdr:cNvPr>
        <xdr:cNvSpPr txBox="1">
          <a:spLocks noChangeArrowheads="1"/>
        </xdr:cNvSpPr>
      </xdr:nvSpPr>
      <xdr:spPr bwMode="auto">
        <a:xfrm>
          <a:off x="2476500" y="200025"/>
          <a:ext cx="6981825" cy="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969696" mc:Ignorable="a14" a14:legacySpreadsheetColorIndex="55"/>
          </a:solidFill>
          <a:miter lim="800000"/>
          <a:headEnd/>
          <a:tailEnd/>
        </a:ln>
      </xdr:spPr>
      <xdr:txBody>
        <a:bodyPr vertOverflow="clip" wrap="square" lIns="27432" tIns="18288" rIns="0" bIns="0" anchor="t" upright="1"/>
        <a:lstStyle/>
        <a:p>
          <a:pPr algn="l" rtl="0">
            <a:defRPr sz="1000"/>
          </a:pPr>
          <a:r>
            <a:rPr lang="ja-JP" altLang="en-US" sz="900" b="0" i="0" u="none" strike="noStrike" baseline="0">
              <a:solidFill>
                <a:srgbClr val="333333"/>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&lt;&lt;&lt; LG44LT710 &gt;&gt;&gt; --------- ( Start Time : 2006-08-28 09:44:51 ) --- </a:t>
          </a:r>
        </a:p>
        <a:p>
          <a:pPr algn="l" rtl="0">
            <a:defRPr sz="1000"/>
          </a:pPr>
          <a:r>
            <a:rPr lang="ja-JP" altLang="en-US" sz="900" b="0" i="0" u="none" strike="noStrike" baseline="0">
              <a:solidFill>
                <a:srgbClr val="808080"/>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 Sub : f_envi          ) _____ Start [ Time 09:44:51 ]</a:t>
          </a:r>
        </a:p>
        <a:p>
          <a:pPr algn="l" rtl="0">
            <a:defRPr sz="1000"/>
          </a:pPr>
          <a:r>
            <a:rPr lang="ja-JP" altLang="en-US" sz="900" b="0" i="0" u="none" strike="noStrike" baseline="0">
              <a:solidFill>
                <a:srgbClr val="808080"/>
              </a:solidFill>
              <a:latin typeface="ＭＳ ゴシック"/>
              <a:ea typeface="ＭＳ ゴシック"/>
            </a:rPr>
            <a:t>    ( Sub : f_envi          ) _____ End.. [ Time 09:44:51 ] (  0:00:00.039)</a:t>
          </a:r>
        </a:p>
        <a:p>
          <a:pPr algn="l" rtl="0">
            <a:defRPr sz="1000"/>
          </a:pPr>
          <a:r>
            <a:rPr lang="ja-JP" altLang="en-US" sz="900" b="0" i="0" u="none" strike="noStrike" baseline="0">
              <a:solidFill>
                <a:srgbClr val="808080"/>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 Sub : f_init          ) _____ Start [ Time 09:44:51 ]</a:t>
          </a:r>
        </a:p>
        <a:p>
          <a:pPr algn="l" rtl="0">
            <a:defRPr sz="1000"/>
          </a:pPr>
          <a:r>
            <a:rPr lang="ja-JP" altLang="en-US" sz="900" b="0" i="0" u="none" strike="noStrike" baseline="0">
              <a:solidFill>
                <a:srgbClr val="808080"/>
              </a:solidFill>
              <a:latin typeface="ＭＳ ゴシック"/>
              <a:ea typeface="ＭＳ ゴシック"/>
            </a:rPr>
            <a:t>        g_logfile = [/home2/project/pj0204/test/user_kinpara/lg44lt710.log]</a:t>
          </a:r>
        </a:p>
        <a:p>
          <a:pPr algn="l" rtl="0">
            <a:defRPr sz="1000"/>
          </a:pPr>
          <a:r>
            <a:rPr lang="ja-JP" altLang="en-US" sz="900" b="0" i="0" u="none" strike="noStrike" baseline="0">
              <a:solidFill>
                <a:srgbClr val="808080"/>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 Sub : f_init          ) _____ End.. [ Time 09:44:51 ] (  0:00:00.230)</a:t>
          </a:r>
        </a:p>
        <a:p>
          <a:pPr algn="l" rtl="0">
            <a:defRPr sz="1000"/>
          </a:pPr>
          <a:r>
            <a:rPr lang="ja-JP" altLang="en-US" sz="900" b="0" i="0" u="none" strike="noStrike" baseline="0">
              <a:solidFill>
                <a:srgbClr val="808080"/>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 Sub : f_main          ) _____ Start [ Time 09:44:51 ]</a:t>
          </a:r>
        </a:p>
        <a:p>
          <a:pPr algn="l" rtl="0">
            <a:defRPr sz="1000"/>
          </a:pPr>
          <a:r>
            <a:rPr lang="ja-JP" altLang="en-US" sz="900" b="0" i="0" u="none" strike="noStrike" baseline="0">
              <a:solidFill>
                <a:srgbClr val="808080"/>
              </a:solidFill>
              <a:latin typeface="ＭＳ ゴシック"/>
              <a:ea typeface="ＭＳ ゴシック"/>
            </a:rPr>
            <a:t>    ( Sub : f_main          ) _____ End.. [ Time 09:44:51 ] (  0:00:00.087)</a:t>
          </a:r>
        </a:p>
        <a:p>
          <a:pPr algn="l" rtl="0">
            <a:defRPr sz="1000"/>
          </a:pPr>
          <a:r>
            <a:rPr lang="ja-JP" altLang="en-US" sz="900" b="0" i="0" u="none" strike="noStrike" baseline="0">
              <a:solidFill>
                <a:srgbClr val="808080"/>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 Sub : f_term          ) _____ Start [ Time 09:44:51 ]</a:t>
          </a:r>
        </a:p>
        <a:p>
          <a:pPr algn="l" rtl="0">
            <a:defRPr sz="1000"/>
          </a:pPr>
          <a:r>
            <a:rPr lang="ja-JP" altLang="en-US" sz="900" b="0" i="0" u="none" strike="noStrike" baseline="0">
              <a:solidFill>
                <a:srgbClr val="808080"/>
              </a:solidFill>
              <a:latin typeface="ＭＳ ゴシック"/>
              <a:ea typeface="ＭＳ ゴシック"/>
            </a:rPr>
            <a:t>        [cc3_trans_price] delete count =           5</a:t>
          </a:r>
        </a:p>
        <a:p>
          <a:pPr algn="l" rtl="0">
            <a:defRPr sz="1000"/>
          </a:pPr>
          <a:r>
            <a:rPr lang="ja-JP" altLang="en-US" sz="900" b="0" i="0" u="none" strike="noStrike" baseline="0">
              <a:solidFill>
                <a:srgbClr val="808080"/>
              </a:solidFill>
              <a:latin typeface="ＭＳ ゴシック"/>
              <a:ea typeface="ＭＳ ゴシック"/>
            </a:rPr>
            <a:t>        [rel_eifuri_tnk ] select count =           3</a:t>
          </a:r>
        </a:p>
        <a:p>
          <a:pPr algn="l" rtl="0">
            <a:defRPr sz="1000"/>
          </a:pPr>
          <a:r>
            <a:rPr lang="ja-JP" altLang="en-US" sz="900" b="0" i="0" u="none" strike="noStrike" baseline="0">
              <a:solidFill>
                <a:srgbClr val="808080"/>
              </a:solidFill>
              <a:latin typeface="ＭＳ ゴシック"/>
              <a:ea typeface="ＭＳ ゴシック"/>
            </a:rPr>
            <a:t>        [rel_eifuri_item] select count =           4</a:t>
          </a:r>
        </a:p>
        <a:p>
          <a:pPr algn="l" rtl="0">
            <a:defRPr sz="1000"/>
          </a:pPr>
          <a:r>
            <a:rPr lang="ja-JP" altLang="en-US" sz="900" b="0" i="0" u="none" strike="noStrike" baseline="0">
              <a:solidFill>
                <a:srgbClr val="808080"/>
              </a:solidFill>
              <a:latin typeface="ＭＳ ゴシック"/>
              <a:ea typeface="ＭＳ ゴシック"/>
            </a:rPr>
            <a:t>        [cc3_trans_price] insert count =           7</a:t>
          </a:r>
        </a:p>
        <a:p>
          <a:pPr algn="l" rtl="0">
            <a:defRPr sz="1000"/>
          </a:pPr>
          <a:r>
            <a:rPr lang="ja-JP" altLang="en-US" sz="900" b="0" i="0" u="none" strike="noStrike" baseline="0">
              <a:solidFill>
                <a:srgbClr val="808080"/>
              </a:solidFill>
              <a:latin typeface="ＭＳ ゴシック"/>
              <a:ea typeface="ＭＳ ゴシック"/>
            </a:rPr>
            <a:t>    ( Sub : f_term          ) _____ End.. [ Time 09:44:51 ] (  0:00:00.143)</a:t>
          </a:r>
        </a:p>
        <a:p>
          <a:pPr algn="l" rtl="0">
            <a:defRPr sz="1000"/>
          </a:pPr>
          <a:r>
            <a:rPr lang="ja-JP" altLang="en-US" sz="900" b="0" i="0" u="none" strike="noStrike" baseline="0">
              <a:solidFill>
                <a:srgbClr val="808080"/>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a:t>
          </a:r>
        </a:p>
        <a:p>
          <a:pPr algn="l" rtl="0">
            <a:defRPr sz="1000"/>
          </a:pPr>
          <a:r>
            <a:rPr lang="ja-JP" altLang="en-US" sz="900" b="0" i="0" u="none" strike="noStrike" baseline="0">
              <a:solidFill>
                <a:srgbClr val="808080"/>
              </a:solidFill>
              <a:latin typeface="ＭＳ ゴシック"/>
              <a:ea typeface="ＭＳ ゴシック"/>
            </a:rPr>
            <a:t>--- &lt;&lt;&lt; LG44LT710 &gt;&gt;&gt; --------- ( End   Time : 2006-08-28 09:44:51 ) --- ( Exec :   0:00:00.695 SEC ) --- </a:t>
          </a:r>
        </a:p>
        <a:p>
          <a:pPr algn="l" rtl="0">
            <a:defRPr sz="1000"/>
          </a:pPr>
          <a:r>
            <a:rPr lang="ja-JP" altLang="en-US" sz="900" b="0" i="0" u="none" strike="noStrike" baseline="0">
              <a:solidFill>
                <a:srgbClr val="808080"/>
              </a:solidFill>
              <a:latin typeface="ＭＳ ゴシック"/>
              <a:ea typeface="ＭＳ ゴシック"/>
            </a:rPr>
            <a:t> </a:t>
          </a:r>
        </a:p>
      </xdr:txBody>
    </xdr:sp>
    <xdr:clientData/>
  </xdr:twoCellAnchor>
  <xdr:twoCellAnchor>
    <xdr:from>
      <xdr:col>9</xdr:col>
      <xdr:colOff>2914650</xdr:colOff>
      <xdr:row>74</xdr:row>
      <xdr:rowOff>142875</xdr:rowOff>
    </xdr:from>
    <xdr:to>
      <xdr:col>9</xdr:col>
      <xdr:colOff>3657600</xdr:colOff>
      <xdr:row>77</xdr:row>
      <xdr:rowOff>38100</xdr:rowOff>
    </xdr:to>
    <xdr:sp macro="" textlink="">
      <xdr:nvSpPr>
        <xdr:cNvPr id="14" name="Rectangle 21">
          <a:extLst>
            <a:ext uri="{FF2B5EF4-FFF2-40B4-BE49-F238E27FC236}">
              <a16:creationId xmlns:a16="http://schemas.microsoft.com/office/drawing/2014/main" id="{7275ABF8-47A1-49E7-9164-94F9C3FC34F9}"/>
            </a:ext>
          </a:extLst>
        </xdr:cNvPr>
        <xdr:cNvSpPr>
          <a:spLocks noChangeArrowheads="1"/>
        </xdr:cNvSpPr>
      </xdr:nvSpPr>
      <xdr:spPr bwMode="auto">
        <a:xfrm>
          <a:off x="7105650" y="14630400"/>
          <a:ext cx="742950" cy="552450"/>
        </a:xfrm>
        <a:prstGeom prst="rect">
          <a:avLst/>
        </a:prstGeom>
        <a:noFill/>
        <a:ln w="28575">
          <a:solidFill>
            <a:srgbClr xmlns:mc="http://schemas.openxmlformats.org/markup-compatibility/2006" xmlns:a14="http://schemas.microsoft.com/office/drawing/2010/main" val="FF9900" mc:Ignorable="a14" a14:legacySpreadsheetColorIndex="52"/>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2447925</xdr:colOff>
      <xdr:row>91</xdr:row>
      <xdr:rowOff>9525</xdr:rowOff>
    </xdr:from>
    <xdr:to>
      <xdr:col>9</xdr:col>
      <xdr:colOff>4629150</xdr:colOff>
      <xdr:row>93</xdr:row>
      <xdr:rowOff>95250</xdr:rowOff>
    </xdr:to>
    <xdr:sp macro="" textlink="">
      <xdr:nvSpPr>
        <xdr:cNvPr id="15" name="Rectangle 24">
          <a:extLst>
            <a:ext uri="{FF2B5EF4-FFF2-40B4-BE49-F238E27FC236}">
              <a16:creationId xmlns:a16="http://schemas.microsoft.com/office/drawing/2014/main" id="{46CD0B3D-07F7-413F-964D-7FAC8B0EB336}"/>
            </a:ext>
          </a:extLst>
        </xdr:cNvPr>
        <xdr:cNvSpPr>
          <a:spLocks noChangeArrowheads="1"/>
        </xdr:cNvSpPr>
      </xdr:nvSpPr>
      <xdr:spPr bwMode="auto">
        <a:xfrm>
          <a:off x="6638925" y="18145125"/>
          <a:ext cx="2181225" cy="523875"/>
        </a:xfrm>
        <a:prstGeom prst="rect">
          <a:avLst/>
        </a:prstGeom>
        <a:noFill/>
        <a:ln w="28575">
          <a:solidFill>
            <a:srgbClr xmlns:mc="http://schemas.openxmlformats.org/markup-compatibility/2006" xmlns:a14="http://schemas.microsoft.com/office/drawing/2010/main" val="FF9900" mc:Ignorable="a14" a14:legacySpreadsheetColorIndex="52"/>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2457450</xdr:colOff>
      <xdr:row>122</xdr:row>
      <xdr:rowOff>133350</xdr:rowOff>
    </xdr:from>
    <xdr:to>
      <xdr:col>9</xdr:col>
      <xdr:colOff>4619625</xdr:colOff>
      <xdr:row>125</xdr:row>
      <xdr:rowOff>28575</xdr:rowOff>
    </xdr:to>
    <xdr:sp macro="" textlink="">
      <xdr:nvSpPr>
        <xdr:cNvPr id="16" name="Rectangle 30">
          <a:extLst>
            <a:ext uri="{FF2B5EF4-FFF2-40B4-BE49-F238E27FC236}">
              <a16:creationId xmlns:a16="http://schemas.microsoft.com/office/drawing/2014/main" id="{828A3028-6F2C-4852-881A-90D60174A37D}"/>
            </a:ext>
          </a:extLst>
        </xdr:cNvPr>
        <xdr:cNvSpPr>
          <a:spLocks noChangeArrowheads="1"/>
        </xdr:cNvSpPr>
      </xdr:nvSpPr>
      <xdr:spPr bwMode="auto">
        <a:xfrm>
          <a:off x="6648450" y="25060275"/>
          <a:ext cx="2162175" cy="552450"/>
        </a:xfrm>
        <a:prstGeom prst="rect">
          <a:avLst/>
        </a:prstGeom>
        <a:noFill/>
        <a:ln w="28575">
          <a:solidFill>
            <a:srgbClr xmlns:mc="http://schemas.openxmlformats.org/markup-compatibility/2006" xmlns:a14="http://schemas.microsoft.com/office/drawing/2010/main" val="FF9900" mc:Ignorable="a14" a14:legacySpreadsheetColorIndex="52"/>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2438400</xdr:colOff>
      <xdr:row>58</xdr:row>
      <xdr:rowOff>38100</xdr:rowOff>
    </xdr:from>
    <xdr:to>
      <xdr:col>9</xdr:col>
      <xdr:colOff>3171825</xdr:colOff>
      <xdr:row>60</xdr:row>
      <xdr:rowOff>142875</xdr:rowOff>
    </xdr:to>
    <xdr:sp macro="" textlink="">
      <xdr:nvSpPr>
        <xdr:cNvPr id="17" name="Rectangle 32">
          <a:extLst>
            <a:ext uri="{FF2B5EF4-FFF2-40B4-BE49-F238E27FC236}">
              <a16:creationId xmlns:a16="http://schemas.microsoft.com/office/drawing/2014/main" id="{AA08D3C8-3E3B-4138-ACBD-F6CD92657952}"/>
            </a:ext>
          </a:extLst>
        </xdr:cNvPr>
        <xdr:cNvSpPr>
          <a:spLocks noChangeArrowheads="1"/>
        </xdr:cNvSpPr>
      </xdr:nvSpPr>
      <xdr:spPr bwMode="auto">
        <a:xfrm>
          <a:off x="6629400" y="11096625"/>
          <a:ext cx="733425" cy="542925"/>
        </a:xfrm>
        <a:prstGeom prst="rect">
          <a:avLst/>
        </a:prstGeom>
        <a:noFill/>
        <a:ln w="28575">
          <a:solidFill>
            <a:srgbClr xmlns:mc="http://schemas.openxmlformats.org/markup-compatibility/2006" xmlns:a14="http://schemas.microsoft.com/office/drawing/2010/main" val="FF9900" mc:Ignorable="a14" a14:legacySpreadsheetColorIndex="52"/>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1447800</xdr:colOff>
      <xdr:row>53</xdr:row>
      <xdr:rowOff>85725</xdr:rowOff>
    </xdr:from>
    <xdr:to>
      <xdr:col>9</xdr:col>
      <xdr:colOff>3933825</xdr:colOff>
      <xdr:row>54</xdr:row>
      <xdr:rowOff>85725</xdr:rowOff>
    </xdr:to>
    <xdr:sp macro="" textlink="">
      <xdr:nvSpPr>
        <xdr:cNvPr id="18" name="AutoShape 33">
          <a:extLst>
            <a:ext uri="{FF2B5EF4-FFF2-40B4-BE49-F238E27FC236}">
              <a16:creationId xmlns:a16="http://schemas.microsoft.com/office/drawing/2014/main" id="{89B65EDA-EE34-48F4-8BBE-E809EEE251F4}"/>
            </a:ext>
          </a:extLst>
        </xdr:cNvPr>
        <xdr:cNvSpPr>
          <a:spLocks noChangeArrowheads="1"/>
        </xdr:cNvSpPr>
      </xdr:nvSpPr>
      <xdr:spPr bwMode="auto">
        <a:xfrm>
          <a:off x="5638800" y="10048875"/>
          <a:ext cx="2486025" cy="219075"/>
        </a:xfrm>
        <a:prstGeom prst="wedgeRectCallout">
          <a:avLst>
            <a:gd name="adj1" fmla="val 13602"/>
            <a:gd name="adj2" fmla="val 363042"/>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売上高の計算に間違いがないことを確認</a:t>
          </a:r>
        </a:p>
      </xdr:txBody>
    </xdr:sp>
    <xdr:clientData/>
  </xdr:twoCellAnchor>
  <xdr:twoCellAnchor>
    <xdr:from>
      <xdr:col>9</xdr:col>
      <xdr:colOff>2085975</xdr:colOff>
      <xdr:row>162</xdr:row>
      <xdr:rowOff>19050</xdr:rowOff>
    </xdr:from>
    <xdr:to>
      <xdr:col>9</xdr:col>
      <xdr:colOff>2819400</xdr:colOff>
      <xdr:row>165</xdr:row>
      <xdr:rowOff>57150</xdr:rowOff>
    </xdr:to>
    <xdr:sp macro="" textlink="">
      <xdr:nvSpPr>
        <xdr:cNvPr id="19" name="Rectangle 36">
          <a:extLst>
            <a:ext uri="{FF2B5EF4-FFF2-40B4-BE49-F238E27FC236}">
              <a16:creationId xmlns:a16="http://schemas.microsoft.com/office/drawing/2014/main" id="{688653C0-018B-4355-AB34-583461FA8CDA}"/>
            </a:ext>
          </a:extLst>
        </xdr:cNvPr>
        <xdr:cNvSpPr>
          <a:spLocks noChangeArrowheads="1"/>
        </xdr:cNvSpPr>
      </xdr:nvSpPr>
      <xdr:spPr bwMode="auto">
        <a:xfrm>
          <a:off x="6276975" y="33289875"/>
          <a:ext cx="733425" cy="638175"/>
        </a:xfrm>
        <a:prstGeom prst="rect">
          <a:avLst/>
        </a:prstGeom>
        <a:noFill/>
        <a:ln w="15875">
          <a:solidFill>
            <a:srgbClr xmlns:mc="http://schemas.openxmlformats.org/markup-compatibility/2006" xmlns:a14="http://schemas.microsoft.com/office/drawing/2010/main" val="FF9900" mc:Ignorable="a14" a14:legacySpreadsheetColorIndex="52"/>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2190750</xdr:colOff>
      <xdr:row>86</xdr:row>
      <xdr:rowOff>28575</xdr:rowOff>
    </xdr:from>
    <xdr:to>
      <xdr:col>9</xdr:col>
      <xdr:colOff>4257675</xdr:colOff>
      <xdr:row>88</xdr:row>
      <xdr:rowOff>66675</xdr:rowOff>
    </xdr:to>
    <xdr:sp macro="" textlink="">
      <xdr:nvSpPr>
        <xdr:cNvPr id="20" name="AutoShape 7">
          <a:extLst>
            <a:ext uri="{FF2B5EF4-FFF2-40B4-BE49-F238E27FC236}">
              <a16:creationId xmlns:a16="http://schemas.microsoft.com/office/drawing/2014/main" id="{4DF28254-392C-4CE8-BE51-1F3C776EB566}"/>
            </a:ext>
          </a:extLst>
        </xdr:cNvPr>
        <xdr:cNvSpPr>
          <a:spLocks noChangeArrowheads="1"/>
        </xdr:cNvSpPr>
      </xdr:nvSpPr>
      <xdr:spPr bwMode="auto">
        <a:xfrm>
          <a:off x="6381750" y="17068800"/>
          <a:ext cx="2066925" cy="476250"/>
        </a:xfrm>
        <a:prstGeom prst="wedgeRectCallout">
          <a:avLst>
            <a:gd name="adj1" fmla="val 67051"/>
            <a:gd name="adj2" fmla="val 184000"/>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lnSpc>
              <a:spcPts val="1100"/>
            </a:lnSpc>
            <a:defRPr sz="1000"/>
          </a:pPr>
          <a:r>
            <a:rPr lang="ja-JP" altLang="en-US" sz="1000" b="0" i="0" u="none" strike="noStrike" baseline="0">
              <a:solidFill>
                <a:srgbClr val="000000"/>
              </a:solidFill>
              <a:latin typeface="ＭＳ Ｐゴシック"/>
              <a:ea typeface="ＭＳ Ｐゴシック"/>
            </a:rPr>
            <a:t>小数点以下の四捨五入が</a:t>
          </a:r>
        </a:p>
        <a:p>
          <a:pPr algn="ctr" rtl="0">
            <a:lnSpc>
              <a:spcPts val="1000"/>
            </a:lnSpc>
            <a:defRPr sz="1000"/>
          </a:pPr>
          <a:r>
            <a:rPr lang="ja-JP" altLang="en-US" sz="1000" b="0" i="0" u="none" strike="noStrike" baseline="0">
              <a:solidFill>
                <a:srgbClr val="000000"/>
              </a:solidFill>
              <a:latin typeface="ＭＳ Ｐゴシック"/>
              <a:ea typeface="ＭＳ Ｐゴシック"/>
            </a:rPr>
            <a:t>正常に行えていることを確認</a:t>
          </a:r>
        </a:p>
      </xdr:txBody>
    </xdr:sp>
    <xdr:clientData/>
  </xdr:twoCellAnchor>
  <xdr:twoCellAnchor>
    <xdr:from>
      <xdr:col>9</xdr:col>
      <xdr:colOff>981075</xdr:colOff>
      <xdr:row>154</xdr:row>
      <xdr:rowOff>104775</xdr:rowOff>
    </xdr:from>
    <xdr:to>
      <xdr:col>10</xdr:col>
      <xdr:colOff>161925</xdr:colOff>
      <xdr:row>156</xdr:row>
      <xdr:rowOff>161925</xdr:rowOff>
    </xdr:to>
    <xdr:sp macro="" textlink="">
      <xdr:nvSpPr>
        <xdr:cNvPr id="21" name="AutoShape 8">
          <a:extLst>
            <a:ext uri="{FF2B5EF4-FFF2-40B4-BE49-F238E27FC236}">
              <a16:creationId xmlns:a16="http://schemas.microsoft.com/office/drawing/2014/main" id="{21A0FF1F-E98A-47BF-A0E8-6E628580A598}"/>
            </a:ext>
          </a:extLst>
        </xdr:cNvPr>
        <xdr:cNvSpPr>
          <a:spLocks noChangeArrowheads="1"/>
        </xdr:cNvSpPr>
      </xdr:nvSpPr>
      <xdr:spPr bwMode="auto">
        <a:xfrm>
          <a:off x="5172075" y="31775400"/>
          <a:ext cx="3905250" cy="457200"/>
        </a:xfrm>
        <a:prstGeom prst="wedgeRectCallout">
          <a:avLst>
            <a:gd name="adj1" fmla="val -3171"/>
            <a:gd name="adj2" fmla="val 304764"/>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lnSpc>
              <a:spcPts val="1100"/>
            </a:lnSpc>
            <a:defRPr sz="1000"/>
          </a:pPr>
          <a:r>
            <a:rPr lang="ja-JP" altLang="en-US" sz="1000" b="0" i="0" u="none" strike="noStrike" baseline="0">
              <a:solidFill>
                <a:srgbClr val="000000"/>
              </a:solidFill>
              <a:latin typeface="ＭＳ Ｐゴシック"/>
              <a:ea typeface="ＭＳ Ｐゴシック"/>
            </a:rPr>
            <a:t>計算した値がオーバフローしていないことを確認</a:t>
          </a:r>
        </a:p>
        <a:p>
          <a:pPr algn="ctr" rtl="0">
            <a:lnSpc>
              <a:spcPts val="1000"/>
            </a:lnSpc>
            <a:defRPr sz="1000"/>
          </a:pPr>
          <a:r>
            <a:rPr lang="ja-JP" altLang="en-US" sz="1000" b="0" i="0" u="none" strike="noStrike" baseline="0">
              <a:solidFill>
                <a:srgbClr val="000000"/>
              </a:solidFill>
              <a:latin typeface="ＭＳ Ｐゴシック"/>
              <a:ea typeface="ＭＳ Ｐゴシック"/>
            </a:rPr>
            <a:t>(計算結果を格納する変数の領域が十分に確保されていることを確認</a:t>
          </a:r>
        </a:p>
      </xdr:txBody>
    </xdr:sp>
    <xdr:clientData/>
  </xdr:twoCellAnchor>
  <xdr:twoCellAnchor editAs="oneCell">
    <xdr:from>
      <xdr:col>1</xdr:col>
      <xdr:colOff>200025</xdr:colOff>
      <xdr:row>170</xdr:row>
      <xdr:rowOff>76200</xdr:rowOff>
    </xdr:from>
    <xdr:to>
      <xdr:col>9</xdr:col>
      <xdr:colOff>1028700</xdr:colOff>
      <xdr:row>174</xdr:row>
      <xdr:rowOff>133350</xdr:rowOff>
    </xdr:to>
    <xdr:pic>
      <xdr:nvPicPr>
        <xdr:cNvPr id="22" name="Picture 211">
          <a:extLst>
            <a:ext uri="{FF2B5EF4-FFF2-40B4-BE49-F238E27FC236}">
              <a16:creationId xmlns:a16="http://schemas.microsoft.com/office/drawing/2014/main" id="{7BE6FD37-4F1D-42D6-8802-5FA06E8DDFB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476250" y="34918650"/>
          <a:ext cx="4743450" cy="857250"/>
        </a:xfrm>
        <a:prstGeom prst="rect">
          <a:avLst/>
        </a:prstGeom>
        <a:solidFill>
          <a:srgbClr xmlns:mc="http://schemas.openxmlformats.org/markup-compatibility/2006" xmlns:a14="http://schemas.microsoft.com/office/drawing/2010/main" val="FFFFFF" mc:Ignorable="a14" a14:legacySpreadsheetColorIndex="65"/>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266700</xdr:colOff>
      <xdr:row>178</xdr:row>
      <xdr:rowOff>114300</xdr:rowOff>
    </xdr:from>
    <xdr:to>
      <xdr:col>9</xdr:col>
      <xdr:colOff>742950</xdr:colOff>
      <xdr:row>183</xdr:row>
      <xdr:rowOff>57150</xdr:rowOff>
    </xdr:to>
    <xdr:pic>
      <xdr:nvPicPr>
        <xdr:cNvPr id="23" name="Picture 212">
          <a:extLst>
            <a:ext uri="{FF2B5EF4-FFF2-40B4-BE49-F238E27FC236}">
              <a16:creationId xmlns:a16="http://schemas.microsoft.com/office/drawing/2014/main" id="{BB36C6DA-FB77-4913-BAE1-04240E3EC1DC}"/>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542925" y="36556950"/>
          <a:ext cx="4391025" cy="942975"/>
        </a:xfrm>
        <a:prstGeom prst="rect">
          <a:avLst/>
        </a:prstGeom>
        <a:solidFill>
          <a:srgbClr xmlns:mc="http://schemas.openxmlformats.org/markup-compatibility/2006" xmlns:a14="http://schemas.microsoft.com/office/drawing/2010/main" val="FFFFFF" mc:Ignorable="a14" a14:legacySpreadsheetColorIndex="65"/>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6</xdr:col>
      <xdr:colOff>666750</xdr:colOff>
      <xdr:row>175</xdr:row>
      <xdr:rowOff>142875</xdr:rowOff>
    </xdr:from>
    <xdr:to>
      <xdr:col>7</xdr:col>
      <xdr:colOff>247650</xdr:colOff>
      <xdr:row>177</xdr:row>
      <xdr:rowOff>152400</xdr:rowOff>
    </xdr:to>
    <xdr:sp macro="" textlink="">
      <xdr:nvSpPr>
        <xdr:cNvPr id="24" name="AutoShape 215">
          <a:extLst>
            <a:ext uri="{FF2B5EF4-FFF2-40B4-BE49-F238E27FC236}">
              <a16:creationId xmlns:a16="http://schemas.microsoft.com/office/drawing/2014/main" id="{1F542794-EF38-4EBF-BDA3-ADF9348C3E0C}"/>
            </a:ext>
          </a:extLst>
        </xdr:cNvPr>
        <xdr:cNvSpPr>
          <a:spLocks noChangeArrowheads="1"/>
        </xdr:cNvSpPr>
      </xdr:nvSpPr>
      <xdr:spPr bwMode="auto">
        <a:xfrm>
          <a:off x="2800350" y="35985450"/>
          <a:ext cx="266700" cy="409575"/>
        </a:xfrm>
        <a:prstGeom prst="downArrow">
          <a:avLst>
            <a:gd name="adj1" fmla="val 50000"/>
            <a:gd name="adj2" fmla="val 33036"/>
          </a:avLst>
        </a:prstGeom>
        <a:solidFill>
          <a:srgbClr xmlns:mc="http://schemas.openxmlformats.org/markup-compatibility/2006" xmlns:a14="http://schemas.microsoft.com/office/drawing/2010/main" val="FFFFFF" mc:Ignorable="a14" a14:legacySpreadsheetColorIndex="9"/>
        </a:solidFill>
        <a:ln w="12700">
          <a:solidFill>
            <a:srgbClr xmlns:mc="http://schemas.openxmlformats.org/markup-compatibility/2006" xmlns:a14="http://schemas.microsoft.com/office/drawing/2010/main" val="FF9900" mc:Ignorable="a14" a14:legacySpreadsheetColorIndex="52"/>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8</xdr:col>
      <xdr:colOff>638175</xdr:colOff>
      <xdr:row>179</xdr:row>
      <xdr:rowOff>95250</xdr:rowOff>
    </xdr:from>
    <xdr:to>
      <xdr:col>9</xdr:col>
      <xdr:colOff>742950</xdr:colOff>
      <xdr:row>183</xdr:row>
      <xdr:rowOff>114300</xdr:rowOff>
    </xdr:to>
    <xdr:sp macro="" textlink="">
      <xdr:nvSpPr>
        <xdr:cNvPr id="25" name="Rectangle 206">
          <a:extLst>
            <a:ext uri="{FF2B5EF4-FFF2-40B4-BE49-F238E27FC236}">
              <a16:creationId xmlns:a16="http://schemas.microsoft.com/office/drawing/2014/main" id="{871AC7D2-2E35-4C53-AD2F-491B3A817F8A}"/>
            </a:ext>
          </a:extLst>
        </xdr:cNvPr>
        <xdr:cNvSpPr>
          <a:spLocks noChangeArrowheads="1"/>
        </xdr:cNvSpPr>
      </xdr:nvSpPr>
      <xdr:spPr bwMode="auto">
        <a:xfrm>
          <a:off x="4143375" y="36737925"/>
          <a:ext cx="790575" cy="819150"/>
        </a:xfrm>
        <a:prstGeom prst="rect">
          <a:avLst/>
        </a:prstGeom>
        <a:noFill/>
        <a:ln w="15875">
          <a:solidFill>
            <a:srgbClr xmlns:mc="http://schemas.openxmlformats.org/markup-compatibility/2006" xmlns:a14="http://schemas.microsoft.com/office/drawing/2010/main" val="FF9900" mc:Ignorable="a14" a14:legacySpreadsheetColorIndex="52"/>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editAs="oneCell">
    <xdr:from>
      <xdr:col>1</xdr:col>
      <xdr:colOff>276225</xdr:colOff>
      <xdr:row>191</xdr:row>
      <xdr:rowOff>19050</xdr:rowOff>
    </xdr:from>
    <xdr:to>
      <xdr:col>9</xdr:col>
      <xdr:colOff>752475</xdr:colOff>
      <xdr:row>195</xdr:row>
      <xdr:rowOff>9525</xdr:rowOff>
    </xdr:to>
    <xdr:pic>
      <xdr:nvPicPr>
        <xdr:cNvPr id="26" name="Picture 217">
          <a:extLst>
            <a:ext uri="{FF2B5EF4-FFF2-40B4-BE49-F238E27FC236}">
              <a16:creationId xmlns:a16="http://schemas.microsoft.com/office/drawing/2014/main" id="{912D51FF-86E7-471C-BF54-E415F15CA59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552450" y="39062025"/>
          <a:ext cx="4391025" cy="790575"/>
        </a:xfrm>
        <a:prstGeom prst="rect">
          <a:avLst/>
        </a:prstGeom>
        <a:solidFill>
          <a:srgbClr xmlns:mc="http://schemas.openxmlformats.org/markup-compatibility/2006" xmlns:a14="http://schemas.microsoft.com/office/drawing/2010/main" val="FFFFFF" mc:Ignorable="a14" a14:legacySpreadsheetColorIndex="65"/>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9</xdr:col>
      <xdr:colOff>1028700</xdr:colOff>
      <xdr:row>225</xdr:row>
      <xdr:rowOff>76200</xdr:rowOff>
    </xdr:from>
    <xdr:to>
      <xdr:col>9</xdr:col>
      <xdr:colOff>1114425</xdr:colOff>
      <xdr:row>226</xdr:row>
      <xdr:rowOff>161925</xdr:rowOff>
    </xdr:to>
    <xdr:sp macro="" textlink="">
      <xdr:nvSpPr>
        <xdr:cNvPr id="27" name="AutoShape 224">
          <a:extLst>
            <a:ext uri="{FF2B5EF4-FFF2-40B4-BE49-F238E27FC236}">
              <a16:creationId xmlns:a16="http://schemas.microsoft.com/office/drawing/2014/main" id="{6D226634-1727-452A-A5DC-793BA9439A15}"/>
            </a:ext>
          </a:extLst>
        </xdr:cNvPr>
        <xdr:cNvSpPr>
          <a:spLocks/>
        </xdr:cNvSpPr>
      </xdr:nvSpPr>
      <xdr:spPr bwMode="auto">
        <a:xfrm>
          <a:off x="5219700" y="45958125"/>
          <a:ext cx="85725" cy="285750"/>
        </a:xfrm>
        <a:prstGeom prst="rightBrace">
          <a:avLst>
            <a:gd name="adj1" fmla="val 25000"/>
            <a:gd name="adj2" fmla="val 50000"/>
          </a:avLst>
        </a:prstGeom>
        <a:noFill/>
        <a:ln w="12700">
          <a:solidFill>
            <a:srgbClr xmlns:mc="http://schemas.openxmlformats.org/markup-compatibility/2006" xmlns:a14="http://schemas.microsoft.com/office/drawing/2010/main" val="FF0000" mc:Ignorable="a14" a14:legacySpreadsheetColorIndex="10"/>
          </a:solidFill>
          <a:round/>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1</xdr:col>
      <xdr:colOff>219075</xdr:colOff>
      <xdr:row>206</xdr:row>
      <xdr:rowOff>57150</xdr:rowOff>
    </xdr:from>
    <xdr:to>
      <xdr:col>2</xdr:col>
      <xdr:colOff>542925</xdr:colOff>
      <xdr:row>208</xdr:row>
      <xdr:rowOff>66675</xdr:rowOff>
    </xdr:to>
    <xdr:sp macro="" textlink="">
      <xdr:nvSpPr>
        <xdr:cNvPr id="28" name="AutoShape 229">
          <a:extLst>
            <a:ext uri="{FF2B5EF4-FFF2-40B4-BE49-F238E27FC236}">
              <a16:creationId xmlns:a16="http://schemas.microsoft.com/office/drawing/2014/main" id="{E55DEE1E-2879-4078-BF54-6906D201CBF8}"/>
            </a:ext>
          </a:extLst>
        </xdr:cNvPr>
        <xdr:cNvSpPr>
          <a:spLocks noChangeArrowheads="1"/>
        </xdr:cNvSpPr>
      </xdr:nvSpPr>
      <xdr:spPr bwMode="auto">
        <a:xfrm>
          <a:off x="495300" y="42119550"/>
          <a:ext cx="942975" cy="4095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レポート sample</a:t>
          </a:r>
        </a:p>
      </xdr:txBody>
    </xdr:sp>
    <xdr:clientData/>
  </xdr:twoCellAnchor>
  <xdr:twoCellAnchor editAs="oneCell">
    <xdr:from>
      <xdr:col>2</xdr:col>
      <xdr:colOff>104775</xdr:colOff>
      <xdr:row>220</xdr:row>
      <xdr:rowOff>28575</xdr:rowOff>
    </xdr:from>
    <xdr:to>
      <xdr:col>9</xdr:col>
      <xdr:colOff>990600</xdr:colOff>
      <xdr:row>222</xdr:row>
      <xdr:rowOff>104775</xdr:rowOff>
    </xdr:to>
    <xdr:pic>
      <xdr:nvPicPr>
        <xdr:cNvPr id="29" name="Picture 236">
          <a:extLst>
            <a:ext uri="{FF2B5EF4-FFF2-40B4-BE49-F238E27FC236}">
              <a16:creationId xmlns:a16="http://schemas.microsoft.com/office/drawing/2014/main" id="{19A915E0-E404-42AE-BD26-C2C5E5C3597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000125" y="44910375"/>
          <a:ext cx="4181475" cy="476250"/>
        </a:xfrm>
        <a:prstGeom prst="rect">
          <a:avLst/>
        </a:prstGeom>
        <a:solidFill>
          <a:srgbClr xmlns:mc="http://schemas.openxmlformats.org/markup-compatibility/2006" xmlns:a14="http://schemas.microsoft.com/office/drawing/2010/main" val="FFFFFF" mc:Ignorable="a14" a14:legacySpreadsheetColorIndex="65"/>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xdr:col>
      <xdr:colOff>95250</xdr:colOff>
      <xdr:row>223</xdr:row>
      <xdr:rowOff>161925</xdr:rowOff>
    </xdr:from>
    <xdr:to>
      <xdr:col>9</xdr:col>
      <xdr:colOff>981075</xdr:colOff>
      <xdr:row>226</xdr:row>
      <xdr:rowOff>38100</xdr:rowOff>
    </xdr:to>
    <xdr:pic>
      <xdr:nvPicPr>
        <xdr:cNvPr id="30" name="Picture 237">
          <a:extLst>
            <a:ext uri="{FF2B5EF4-FFF2-40B4-BE49-F238E27FC236}">
              <a16:creationId xmlns:a16="http://schemas.microsoft.com/office/drawing/2014/main" id="{DC4A3B61-AFA4-4E3B-B678-16BEDE7BF7A6}"/>
            </a:ext>
          </a:extLst>
        </xdr:cNvPr>
        <xdr:cNvPicPr>
          <a:picLocks noChangeAspect="1" noChangeArrowheads="1"/>
        </xdr:cNvPicPr>
      </xdr:nvPicPr>
      <xdr:blipFill>
        <a:blip xmlns:r="http://schemas.openxmlformats.org/officeDocument/2006/relationships" r:embed="rId14">
          <a:extLst>
            <a:ext uri="{28A0092B-C50C-407E-A947-70E740481C1C}">
              <a14:useLocalDpi xmlns:a14="http://schemas.microsoft.com/office/drawing/2010/main" val="0"/>
            </a:ext>
          </a:extLst>
        </a:blip>
        <a:srcRect/>
        <a:stretch>
          <a:fillRect/>
        </a:stretch>
      </xdr:blipFill>
      <xdr:spPr bwMode="auto">
        <a:xfrm>
          <a:off x="990600" y="45643800"/>
          <a:ext cx="4181475" cy="476250"/>
        </a:xfrm>
        <a:prstGeom prst="rect">
          <a:avLst/>
        </a:prstGeom>
        <a:solidFill>
          <a:srgbClr xmlns:mc="http://schemas.openxmlformats.org/markup-compatibility/2006" xmlns:a14="http://schemas.microsoft.com/office/drawing/2010/main" val="FFFFFF" mc:Ignorable="a14" a14:legacySpreadsheetColorIndex="65"/>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xdr:col>
      <xdr:colOff>104775</xdr:colOff>
      <xdr:row>230</xdr:row>
      <xdr:rowOff>28575</xdr:rowOff>
    </xdr:from>
    <xdr:to>
      <xdr:col>9</xdr:col>
      <xdr:colOff>990600</xdr:colOff>
      <xdr:row>232</xdr:row>
      <xdr:rowOff>104775</xdr:rowOff>
    </xdr:to>
    <xdr:pic>
      <xdr:nvPicPr>
        <xdr:cNvPr id="31" name="Picture 238">
          <a:extLst>
            <a:ext uri="{FF2B5EF4-FFF2-40B4-BE49-F238E27FC236}">
              <a16:creationId xmlns:a16="http://schemas.microsoft.com/office/drawing/2014/main" id="{4BAD36BE-3002-4D6E-9ED7-87DE400FE31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000125" y="46910625"/>
          <a:ext cx="4181475" cy="476250"/>
        </a:xfrm>
        <a:prstGeom prst="rect">
          <a:avLst/>
        </a:prstGeom>
        <a:solidFill>
          <a:srgbClr xmlns:mc="http://schemas.openxmlformats.org/markup-compatibility/2006" xmlns:a14="http://schemas.microsoft.com/office/drawing/2010/main" val="FFFFFF" mc:Ignorable="a14" a14:legacySpreadsheetColorIndex="65"/>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9</xdr:col>
      <xdr:colOff>1076325</xdr:colOff>
      <xdr:row>228</xdr:row>
      <xdr:rowOff>114300</xdr:rowOff>
    </xdr:from>
    <xdr:to>
      <xdr:col>9</xdr:col>
      <xdr:colOff>3838575</xdr:colOff>
      <xdr:row>230</xdr:row>
      <xdr:rowOff>85725</xdr:rowOff>
    </xdr:to>
    <xdr:sp macro="" textlink="">
      <xdr:nvSpPr>
        <xdr:cNvPr id="32" name="AutoShape 239">
          <a:extLst>
            <a:ext uri="{FF2B5EF4-FFF2-40B4-BE49-F238E27FC236}">
              <a16:creationId xmlns:a16="http://schemas.microsoft.com/office/drawing/2014/main" id="{DCC390B9-F9F6-4DD7-BFAA-3526A3207126}"/>
            </a:ext>
          </a:extLst>
        </xdr:cNvPr>
        <xdr:cNvSpPr>
          <a:spLocks noChangeArrowheads="1"/>
        </xdr:cNvSpPr>
      </xdr:nvSpPr>
      <xdr:spPr bwMode="auto">
        <a:xfrm>
          <a:off x="5267325" y="46596300"/>
          <a:ext cx="2762250" cy="371475"/>
        </a:xfrm>
        <a:prstGeom prst="wedgeRectCallout">
          <a:avLst>
            <a:gd name="adj1" fmla="val -48968"/>
            <a:gd name="adj2" fmla="val 101514"/>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lnSpc>
              <a:spcPts val="1100"/>
            </a:lnSpc>
            <a:defRPr sz="1000"/>
          </a:pPr>
          <a:r>
            <a:rPr lang="ja-JP" altLang="en-US" sz="1000" b="1" i="0" u="none" strike="noStrike" baseline="0">
              <a:solidFill>
                <a:srgbClr val="000000"/>
              </a:solidFill>
              <a:latin typeface="ＭＳ Ｐゴシック"/>
              <a:ea typeface="ＭＳ Ｐゴシック"/>
            </a:rPr>
            <a:t>c8：　</a:t>
          </a:r>
          <a:r>
            <a:rPr lang="ja-JP" altLang="en-US" sz="1000" b="0" i="0" u="none" strike="noStrike" baseline="0">
              <a:solidFill>
                <a:srgbClr val="000000"/>
              </a:solidFill>
              <a:latin typeface="ＭＳ Ｐゴシック"/>
              <a:ea typeface="ＭＳ Ｐゴシック"/>
            </a:rPr>
            <a:t>１：１のデータ数において、</a:t>
          </a:r>
        </a:p>
        <a:p>
          <a:pPr algn="ctr" rtl="0">
            <a:lnSpc>
              <a:spcPts val="1000"/>
            </a:lnSpc>
            <a:defRPr sz="1000"/>
          </a:pPr>
          <a:r>
            <a:rPr lang="ja-JP" altLang="en-US" sz="1000" b="0" i="0" u="none" strike="noStrike" baseline="0">
              <a:solidFill>
                <a:srgbClr val="000000"/>
              </a:solidFill>
              <a:latin typeface="ＭＳ Ｐゴシック"/>
              <a:ea typeface="ＭＳ Ｐゴシック"/>
            </a:rPr>
            <a:t>　　　正常に動作することを確認</a:t>
          </a:r>
        </a:p>
      </xdr:txBody>
    </xdr:sp>
    <xdr:clientData/>
  </xdr:twoCellAnchor>
  <xdr:twoCellAnchor>
    <xdr:from>
      <xdr:col>7</xdr:col>
      <xdr:colOff>47625</xdr:colOff>
      <xdr:row>230</xdr:row>
      <xdr:rowOff>47625</xdr:rowOff>
    </xdr:from>
    <xdr:to>
      <xdr:col>9</xdr:col>
      <xdr:colOff>1057275</xdr:colOff>
      <xdr:row>233</xdr:row>
      <xdr:rowOff>38100</xdr:rowOff>
    </xdr:to>
    <xdr:sp macro="" textlink="">
      <xdr:nvSpPr>
        <xdr:cNvPr id="33" name="Rectangle 240">
          <a:extLst>
            <a:ext uri="{FF2B5EF4-FFF2-40B4-BE49-F238E27FC236}">
              <a16:creationId xmlns:a16="http://schemas.microsoft.com/office/drawing/2014/main" id="{AB2964C8-C6C5-47F6-A03B-CEF12142A265}"/>
            </a:ext>
          </a:extLst>
        </xdr:cNvPr>
        <xdr:cNvSpPr>
          <a:spLocks noChangeArrowheads="1"/>
        </xdr:cNvSpPr>
      </xdr:nvSpPr>
      <xdr:spPr bwMode="auto">
        <a:xfrm>
          <a:off x="2867025" y="46929675"/>
          <a:ext cx="2381250" cy="590550"/>
        </a:xfrm>
        <a:prstGeom prst="rect">
          <a:avLst/>
        </a:prstGeom>
        <a:noFill/>
        <a:ln w="28575">
          <a:solidFill>
            <a:srgbClr xmlns:mc="http://schemas.openxmlformats.org/markup-compatibility/2006" xmlns:a14="http://schemas.microsoft.com/office/drawing/2010/main" val="FF9900" mc:Ignorable="a14" a14:legacySpreadsheetColorIndex="52"/>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editAs="oneCell">
    <xdr:from>
      <xdr:col>2</xdr:col>
      <xdr:colOff>114300</xdr:colOff>
      <xdr:row>238</xdr:row>
      <xdr:rowOff>19050</xdr:rowOff>
    </xdr:from>
    <xdr:to>
      <xdr:col>9</xdr:col>
      <xdr:colOff>1000125</xdr:colOff>
      <xdr:row>248</xdr:row>
      <xdr:rowOff>57150</xdr:rowOff>
    </xdr:to>
    <xdr:pic>
      <xdr:nvPicPr>
        <xdr:cNvPr id="34" name="Picture 246">
          <a:extLst>
            <a:ext uri="{FF2B5EF4-FFF2-40B4-BE49-F238E27FC236}">
              <a16:creationId xmlns:a16="http://schemas.microsoft.com/office/drawing/2014/main" id="{9B78DDD2-4789-4EE0-A141-C29C9E82B977}"/>
            </a:ext>
          </a:extLst>
        </xdr:cNvPr>
        <xdr:cNvPicPr>
          <a:picLocks noChangeAspect="1" noChangeArrowheads="1"/>
        </xdr:cNvPicPr>
      </xdr:nvPicPr>
      <xdr:blipFill>
        <a:blip xmlns:r="http://schemas.openxmlformats.org/officeDocument/2006/relationships" r:embed="rId16">
          <a:extLst>
            <a:ext uri="{28A0092B-C50C-407E-A947-70E740481C1C}">
              <a14:useLocalDpi xmlns:a14="http://schemas.microsoft.com/office/drawing/2010/main" val="0"/>
            </a:ext>
          </a:extLst>
        </a:blip>
        <a:srcRect/>
        <a:stretch>
          <a:fillRect/>
        </a:stretch>
      </xdr:blipFill>
      <xdr:spPr bwMode="auto">
        <a:xfrm>
          <a:off x="1009650" y="48501300"/>
          <a:ext cx="4181475" cy="2038350"/>
        </a:xfrm>
        <a:prstGeom prst="rect">
          <a:avLst/>
        </a:prstGeom>
        <a:solidFill>
          <a:srgbClr xmlns:mc="http://schemas.openxmlformats.org/markup-compatibility/2006" xmlns:a14="http://schemas.microsoft.com/office/drawing/2010/main" val="FFFFFF" mc:Ignorable="a14" a14:legacySpreadsheetColorIndex="65"/>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xdr:col>
      <xdr:colOff>133350</xdr:colOff>
      <xdr:row>251</xdr:row>
      <xdr:rowOff>9525</xdr:rowOff>
    </xdr:from>
    <xdr:to>
      <xdr:col>9</xdr:col>
      <xdr:colOff>1019175</xdr:colOff>
      <xdr:row>253</xdr:row>
      <xdr:rowOff>85725</xdr:rowOff>
    </xdr:to>
    <xdr:pic>
      <xdr:nvPicPr>
        <xdr:cNvPr id="35" name="Picture 247">
          <a:extLst>
            <a:ext uri="{FF2B5EF4-FFF2-40B4-BE49-F238E27FC236}">
              <a16:creationId xmlns:a16="http://schemas.microsoft.com/office/drawing/2014/main" id="{4F60D46F-270E-4DBF-A5F1-3AD1B244E732}"/>
            </a:ext>
          </a:extLst>
        </xdr:cNvPr>
        <xdr:cNvPicPr>
          <a:picLocks noChangeAspect="1" noChangeArrowheads="1"/>
        </xdr:cNvPicPr>
      </xdr:nvPicPr>
      <xdr:blipFill>
        <a:blip xmlns:r="http://schemas.openxmlformats.org/officeDocument/2006/relationships" r:embed="rId14">
          <a:extLst>
            <a:ext uri="{28A0092B-C50C-407E-A947-70E740481C1C}">
              <a14:useLocalDpi xmlns:a14="http://schemas.microsoft.com/office/drawing/2010/main" val="0"/>
            </a:ext>
          </a:extLst>
        </a:blip>
        <a:srcRect/>
        <a:stretch>
          <a:fillRect/>
        </a:stretch>
      </xdr:blipFill>
      <xdr:spPr bwMode="auto">
        <a:xfrm>
          <a:off x="1028700" y="51092100"/>
          <a:ext cx="4181475" cy="476250"/>
        </a:xfrm>
        <a:prstGeom prst="rect">
          <a:avLst/>
        </a:prstGeom>
        <a:solidFill>
          <a:srgbClr xmlns:mc="http://schemas.openxmlformats.org/markup-compatibility/2006" xmlns:a14="http://schemas.microsoft.com/office/drawing/2010/main" val="FFFFFF" mc:Ignorable="a14" a14:legacySpreadsheetColorIndex="65"/>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xdr:col>
      <xdr:colOff>161925</xdr:colOff>
      <xdr:row>257</xdr:row>
      <xdr:rowOff>19050</xdr:rowOff>
    </xdr:from>
    <xdr:to>
      <xdr:col>9</xdr:col>
      <xdr:colOff>1047750</xdr:colOff>
      <xdr:row>267</xdr:row>
      <xdr:rowOff>57150</xdr:rowOff>
    </xdr:to>
    <xdr:pic>
      <xdr:nvPicPr>
        <xdr:cNvPr id="36" name="Picture 248">
          <a:extLst>
            <a:ext uri="{FF2B5EF4-FFF2-40B4-BE49-F238E27FC236}">
              <a16:creationId xmlns:a16="http://schemas.microsoft.com/office/drawing/2014/main" id="{ED6A9E26-A1F9-4422-B26F-C80CC37E09D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057275" y="52301775"/>
          <a:ext cx="4181475" cy="2038350"/>
        </a:xfrm>
        <a:prstGeom prst="rect">
          <a:avLst/>
        </a:prstGeom>
        <a:solidFill>
          <a:srgbClr xmlns:mc="http://schemas.openxmlformats.org/markup-compatibility/2006" xmlns:a14="http://schemas.microsoft.com/office/drawing/2010/main" val="FFFFFF" mc:Ignorable="a14" a14:legacySpreadsheetColorIndex="65"/>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7</xdr:col>
      <xdr:colOff>219075</xdr:colOff>
      <xdr:row>258</xdr:row>
      <xdr:rowOff>152400</xdr:rowOff>
    </xdr:from>
    <xdr:to>
      <xdr:col>9</xdr:col>
      <xdr:colOff>1228725</xdr:colOff>
      <xdr:row>260</xdr:row>
      <xdr:rowOff>9525</xdr:rowOff>
    </xdr:to>
    <xdr:sp macro="" textlink="">
      <xdr:nvSpPr>
        <xdr:cNvPr id="37" name="Rectangle 245">
          <a:extLst>
            <a:ext uri="{FF2B5EF4-FFF2-40B4-BE49-F238E27FC236}">
              <a16:creationId xmlns:a16="http://schemas.microsoft.com/office/drawing/2014/main" id="{ADD67F86-5757-48CB-89D5-B3A011E5E915}"/>
            </a:ext>
          </a:extLst>
        </xdr:cNvPr>
        <xdr:cNvSpPr>
          <a:spLocks noChangeArrowheads="1"/>
        </xdr:cNvSpPr>
      </xdr:nvSpPr>
      <xdr:spPr bwMode="auto">
        <a:xfrm>
          <a:off x="3038475" y="52635150"/>
          <a:ext cx="2381250" cy="257175"/>
        </a:xfrm>
        <a:prstGeom prst="rect">
          <a:avLst/>
        </a:prstGeom>
        <a:noFill/>
        <a:ln w="28575">
          <a:solidFill>
            <a:srgbClr xmlns:mc="http://schemas.openxmlformats.org/markup-compatibility/2006" xmlns:a14="http://schemas.microsoft.com/office/drawing/2010/main" val="FF9900" mc:Ignorable="a14" a14:legacySpreadsheetColorIndex="52"/>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1447800</xdr:colOff>
      <xdr:row>256</xdr:row>
      <xdr:rowOff>76200</xdr:rowOff>
    </xdr:from>
    <xdr:to>
      <xdr:col>9</xdr:col>
      <xdr:colOff>4210050</xdr:colOff>
      <xdr:row>258</xdr:row>
      <xdr:rowOff>47625</xdr:rowOff>
    </xdr:to>
    <xdr:sp macro="" textlink="">
      <xdr:nvSpPr>
        <xdr:cNvPr id="38" name="AutoShape 250">
          <a:extLst>
            <a:ext uri="{FF2B5EF4-FFF2-40B4-BE49-F238E27FC236}">
              <a16:creationId xmlns:a16="http://schemas.microsoft.com/office/drawing/2014/main" id="{6E9B55DA-851B-47BE-9D3A-3775D496A55A}"/>
            </a:ext>
          </a:extLst>
        </xdr:cNvPr>
        <xdr:cNvSpPr>
          <a:spLocks noChangeArrowheads="1"/>
        </xdr:cNvSpPr>
      </xdr:nvSpPr>
      <xdr:spPr bwMode="auto">
        <a:xfrm>
          <a:off x="5638800" y="52158900"/>
          <a:ext cx="2762250" cy="371475"/>
        </a:xfrm>
        <a:prstGeom prst="wedgeRectCallout">
          <a:avLst>
            <a:gd name="adj1" fmla="val -58968"/>
            <a:gd name="adj2" fmla="val 104546"/>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lnSpc>
              <a:spcPts val="1100"/>
            </a:lnSpc>
            <a:defRPr sz="1000"/>
          </a:pPr>
          <a:r>
            <a:rPr lang="ja-JP" altLang="en-US" sz="1000" b="0" i="0" u="none" strike="noStrike" baseline="0">
              <a:solidFill>
                <a:srgbClr val="000000"/>
              </a:solidFill>
              <a:latin typeface="ＭＳ Ｐゴシック"/>
              <a:ea typeface="ＭＳ Ｐゴシック"/>
            </a:rPr>
            <a:t>１：Nのデータ数において、</a:t>
          </a:r>
        </a:p>
        <a:p>
          <a:pPr algn="ctr" rtl="0">
            <a:lnSpc>
              <a:spcPts val="1000"/>
            </a:lnSpc>
            <a:defRPr sz="1000"/>
          </a:pPr>
          <a:r>
            <a:rPr lang="ja-JP" altLang="en-US" sz="1000" b="0" i="0" u="none" strike="noStrike" baseline="0">
              <a:solidFill>
                <a:srgbClr val="000000"/>
              </a:solidFill>
              <a:latin typeface="ＭＳ Ｐゴシック"/>
              <a:ea typeface="ＭＳ Ｐゴシック"/>
            </a:rPr>
            <a:t>正常に動作することを確認</a:t>
          </a:r>
        </a:p>
      </xdr:txBody>
    </xdr:sp>
    <xdr:clientData/>
  </xdr:twoCellAnchor>
  <xdr:twoCellAnchor editAs="oneCell">
    <xdr:from>
      <xdr:col>2</xdr:col>
      <xdr:colOff>95250</xdr:colOff>
      <xdr:row>274</xdr:row>
      <xdr:rowOff>66675</xdr:rowOff>
    </xdr:from>
    <xdr:to>
      <xdr:col>9</xdr:col>
      <xdr:colOff>981075</xdr:colOff>
      <xdr:row>284</xdr:row>
      <xdr:rowOff>104775</xdr:rowOff>
    </xdr:to>
    <xdr:pic>
      <xdr:nvPicPr>
        <xdr:cNvPr id="39" name="Picture 251">
          <a:extLst>
            <a:ext uri="{FF2B5EF4-FFF2-40B4-BE49-F238E27FC236}">
              <a16:creationId xmlns:a16="http://schemas.microsoft.com/office/drawing/2014/main" id="{66D0473A-BED0-459A-BBDE-8C55CFD3B2D5}"/>
            </a:ext>
          </a:extLst>
        </xdr:cNvPr>
        <xdr:cNvPicPr>
          <a:picLocks noChangeAspect="1" noChangeArrowheads="1"/>
        </xdr:cNvPicPr>
      </xdr:nvPicPr>
      <xdr:blipFill>
        <a:blip xmlns:r="http://schemas.openxmlformats.org/officeDocument/2006/relationships" r:embed="rId16">
          <a:extLst>
            <a:ext uri="{28A0092B-C50C-407E-A947-70E740481C1C}">
              <a14:useLocalDpi xmlns:a14="http://schemas.microsoft.com/office/drawing/2010/main" val="0"/>
            </a:ext>
          </a:extLst>
        </a:blip>
        <a:srcRect/>
        <a:stretch>
          <a:fillRect/>
        </a:stretch>
      </xdr:blipFill>
      <xdr:spPr bwMode="auto">
        <a:xfrm>
          <a:off x="990600" y="55749825"/>
          <a:ext cx="4181475" cy="2038350"/>
        </a:xfrm>
        <a:prstGeom prst="rect">
          <a:avLst/>
        </a:prstGeom>
        <a:solidFill>
          <a:srgbClr xmlns:mc="http://schemas.openxmlformats.org/markup-compatibility/2006" xmlns:a14="http://schemas.microsoft.com/office/drawing/2010/main" val="FFFFFF" mc:Ignorable="a14" a14:legacySpreadsheetColorIndex="65"/>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xdr:col>
      <xdr:colOff>123825</xdr:colOff>
      <xdr:row>287</xdr:row>
      <xdr:rowOff>85725</xdr:rowOff>
    </xdr:from>
    <xdr:to>
      <xdr:col>9</xdr:col>
      <xdr:colOff>1009650</xdr:colOff>
      <xdr:row>291</xdr:row>
      <xdr:rowOff>76200</xdr:rowOff>
    </xdr:to>
    <xdr:pic>
      <xdr:nvPicPr>
        <xdr:cNvPr id="40" name="Picture 252">
          <a:extLst>
            <a:ext uri="{FF2B5EF4-FFF2-40B4-BE49-F238E27FC236}">
              <a16:creationId xmlns:a16="http://schemas.microsoft.com/office/drawing/2014/main" id="{2ADB365A-6F0D-4067-B523-9904A679C0BC}"/>
            </a:ext>
          </a:extLst>
        </xdr:cNvPr>
        <xdr:cNvPicPr>
          <a:picLocks noChangeAspect="1" noChangeArrowheads="1"/>
        </xdr:cNvPicPr>
      </xdr:nvPicPr>
      <xdr:blipFill>
        <a:blip xmlns:r="http://schemas.openxmlformats.org/officeDocument/2006/relationships" r:embed="rId18">
          <a:extLst>
            <a:ext uri="{28A0092B-C50C-407E-A947-70E740481C1C}">
              <a14:useLocalDpi xmlns:a14="http://schemas.microsoft.com/office/drawing/2010/main" val="0"/>
            </a:ext>
          </a:extLst>
        </a:blip>
        <a:srcRect/>
        <a:stretch>
          <a:fillRect/>
        </a:stretch>
      </xdr:blipFill>
      <xdr:spPr bwMode="auto">
        <a:xfrm>
          <a:off x="1019175" y="58369200"/>
          <a:ext cx="4181475" cy="790575"/>
        </a:xfrm>
        <a:prstGeom prst="rect">
          <a:avLst/>
        </a:prstGeom>
        <a:solidFill>
          <a:srgbClr xmlns:mc="http://schemas.openxmlformats.org/markup-compatibility/2006" xmlns:a14="http://schemas.microsoft.com/office/drawing/2010/main" val="FFFFFF" mc:Ignorable="a14" a14:legacySpreadsheetColorIndex="65"/>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xdr:col>
      <xdr:colOff>152400</xdr:colOff>
      <xdr:row>295</xdr:row>
      <xdr:rowOff>9525</xdr:rowOff>
    </xdr:from>
    <xdr:to>
      <xdr:col>9</xdr:col>
      <xdr:colOff>1038225</xdr:colOff>
      <xdr:row>305</xdr:row>
      <xdr:rowOff>47625</xdr:rowOff>
    </xdr:to>
    <xdr:pic>
      <xdr:nvPicPr>
        <xdr:cNvPr id="41" name="Picture 253">
          <a:extLst>
            <a:ext uri="{FF2B5EF4-FFF2-40B4-BE49-F238E27FC236}">
              <a16:creationId xmlns:a16="http://schemas.microsoft.com/office/drawing/2014/main" id="{9FDAFB6A-D9AC-4E01-AB3B-620F9E42192F}"/>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1047750" y="59893200"/>
          <a:ext cx="4181475" cy="2038350"/>
        </a:xfrm>
        <a:prstGeom prst="rect">
          <a:avLst/>
        </a:prstGeom>
        <a:solidFill>
          <a:srgbClr xmlns:mc="http://schemas.openxmlformats.org/markup-compatibility/2006" xmlns:a14="http://schemas.microsoft.com/office/drawing/2010/main" val="FFFFFF" mc:Ignorable="a14" a14:legacySpreadsheetColorIndex="65"/>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9</xdr:col>
      <xdr:colOff>1447800</xdr:colOff>
      <xdr:row>256</xdr:row>
      <xdr:rowOff>76200</xdr:rowOff>
    </xdr:from>
    <xdr:to>
      <xdr:col>9</xdr:col>
      <xdr:colOff>4210050</xdr:colOff>
      <xdr:row>258</xdr:row>
      <xdr:rowOff>47625</xdr:rowOff>
    </xdr:to>
    <xdr:sp macro="" textlink="">
      <xdr:nvSpPr>
        <xdr:cNvPr id="42" name="AutoShape 254">
          <a:extLst>
            <a:ext uri="{FF2B5EF4-FFF2-40B4-BE49-F238E27FC236}">
              <a16:creationId xmlns:a16="http://schemas.microsoft.com/office/drawing/2014/main" id="{E9278B34-CFCA-4652-B17B-9C8CB5A74396}"/>
            </a:ext>
          </a:extLst>
        </xdr:cNvPr>
        <xdr:cNvSpPr>
          <a:spLocks noChangeArrowheads="1"/>
        </xdr:cNvSpPr>
      </xdr:nvSpPr>
      <xdr:spPr bwMode="auto">
        <a:xfrm>
          <a:off x="5638800" y="52158900"/>
          <a:ext cx="2762250" cy="371475"/>
        </a:xfrm>
        <a:prstGeom prst="wedgeRectCallout">
          <a:avLst>
            <a:gd name="adj1" fmla="val -58968"/>
            <a:gd name="adj2" fmla="val 104546"/>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lnSpc>
              <a:spcPts val="1100"/>
            </a:lnSpc>
            <a:defRPr sz="1000"/>
          </a:pPr>
          <a:r>
            <a:rPr lang="ja-JP" altLang="en-US" sz="1000" b="1" i="0" u="none" strike="noStrike" baseline="0">
              <a:solidFill>
                <a:srgbClr val="000000"/>
              </a:solidFill>
              <a:latin typeface="ＭＳ Ｐゴシック"/>
              <a:ea typeface="ＭＳ Ｐゴシック"/>
            </a:rPr>
            <a:t>c9：</a:t>
          </a:r>
          <a:r>
            <a:rPr lang="ja-JP" altLang="en-US" sz="1000" b="0" i="0" u="none" strike="noStrike" baseline="0">
              <a:solidFill>
                <a:srgbClr val="000000"/>
              </a:solidFill>
              <a:latin typeface="ＭＳ Ｐゴシック"/>
              <a:ea typeface="ＭＳ Ｐゴシック"/>
            </a:rPr>
            <a:t>　１：Nのデータ数において、　</a:t>
          </a:r>
        </a:p>
        <a:p>
          <a:pPr algn="ctr" rtl="0">
            <a:lnSpc>
              <a:spcPts val="1000"/>
            </a:lnSpc>
            <a:defRPr sz="1000"/>
          </a:pPr>
          <a:r>
            <a:rPr lang="ja-JP" altLang="en-US" sz="1000" b="0" i="0" u="none" strike="noStrike" baseline="0">
              <a:solidFill>
                <a:srgbClr val="000000"/>
              </a:solidFill>
              <a:latin typeface="ＭＳ Ｐゴシック"/>
              <a:ea typeface="ＭＳ Ｐゴシック"/>
            </a:rPr>
            <a:t>　　　正常に動作することを確認</a:t>
          </a:r>
        </a:p>
      </xdr:txBody>
    </xdr:sp>
    <xdr:clientData/>
  </xdr:twoCellAnchor>
  <xdr:twoCellAnchor>
    <xdr:from>
      <xdr:col>7</xdr:col>
      <xdr:colOff>342900</xdr:colOff>
      <xdr:row>296</xdr:row>
      <xdr:rowOff>133350</xdr:rowOff>
    </xdr:from>
    <xdr:to>
      <xdr:col>9</xdr:col>
      <xdr:colOff>1152525</xdr:colOff>
      <xdr:row>298</xdr:row>
      <xdr:rowOff>95250</xdr:rowOff>
    </xdr:to>
    <xdr:sp macro="" textlink="">
      <xdr:nvSpPr>
        <xdr:cNvPr id="43" name="Rectangle 255">
          <a:extLst>
            <a:ext uri="{FF2B5EF4-FFF2-40B4-BE49-F238E27FC236}">
              <a16:creationId xmlns:a16="http://schemas.microsoft.com/office/drawing/2014/main" id="{C21057F1-AF21-4FFC-BD09-F88DA1548BCC}"/>
            </a:ext>
          </a:extLst>
        </xdr:cNvPr>
        <xdr:cNvSpPr>
          <a:spLocks noChangeArrowheads="1"/>
        </xdr:cNvSpPr>
      </xdr:nvSpPr>
      <xdr:spPr bwMode="auto">
        <a:xfrm>
          <a:off x="3162300" y="60217050"/>
          <a:ext cx="2181225" cy="361950"/>
        </a:xfrm>
        <a:prstGeom prst="rect">
          <a:avLst/>
        </a:prstGeom>
        <a:noFill/>
        <a:ln w="28575">
          <a:solidFill>
            <a:srgbClr xmlns:mc="http://schemas.openxmlformats.org/markup-compatibility/2006" xmlns:a14="http://schemas.microsoft.com/office/drawing/2010/main" val="FF9900" mc:Ignorable="a14" a14:legacySpreadsheetColorIndex="52"/>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7</xdr:col>
      <xdr:colOff>304800</xdr:colOff>
      <xdr:row>305</xdr:row>
      <xdr:rowOff>9525</xdr:rowOff>
    </xdr:from>
    <xdr:to>
      <xdr:col>9</xdr:col>
      <xdr:colOff>1190625</xdr:colOff>
      <xdr:row>306</xdr:row>
      <xdr:rowOff>19050</xdr:rowOff>
    </xdr:to>
    <xdr:sp macro="" textlink="">
      <xdr:nvSpPr>
        <xdr:cNvPr id="44" name="Rectangle 257">
          <a:extLst>
            <a:ext uri="{FF2B5EF4-FFF2-40B4-BE49-F238E27FC236}">
              <a16:creationId xmlns:a16="http://schemas.microsoft.com/office/drawing/2014/main" id="{791FDBBA-308C-4D8A-90ED-B8561525020C}"/>
            </a:ext>
          </a:extLst>
        </xdr:cNvPr>
        <xdr:cNvSpPr>
          <a:spLocks noChangeArrowheads="1"/>
        </xdr:cNvSpPr>
      </xdr:nvSpPr>
      <xdr:spPr bwMode="auto">
        <a:xfrm>
          <a:off x="3124200" y="61893450"/>
          <a:ext cx="2257425" cy="209550"/>
        </a:xfrm>
        <a:prstGeom prst="rect">
          <a:avLst/>
        </a:prstGeom>
        <a:noFill/>
        <a:ln w="28575">
          <a:solidFill>
            <a:srgbClr xmlns:mc="http://schemas.openxmlformats.org/markup-compatibility/2006" xmlns:a14="http://schemas.microsoft.com/office/drawing/2010/main" val="FF9900" mc:Ignorable="a14" a14:legacySpreadsheetColorIndex="52"/>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1495425</xdr:colOff>
      <xdr:row>300</xdr:row>
      <xdr:rowOff>123825</xdr:rowOff>
    </xdr:from>
    <xdr:to>
      <xdr:col>9</xdr:col>
      <xdr:colOff>4029075</xdr:colOff>
      <xdr:row>303</xdr:row>
      <xdr:rowOff>85725</xdr:rowOff>
    </xdr:to>
    <xdr:sp macro="" textlink="">
      <xdr:nvSpPr>
        <xdr:cNvPr id="45" name="AutoShape 258">
          <a:extLst>
            <a:ext uri="{FF2B5EF4-FFF2-40B4-BE49-F238E27FC236}">
              <a16:creationId xmlns:a16="http://schemas.microsoft.com/office/drawing/2014/main" id="{931167E8-802D-4FED-A7D6-FF5FB810B9CC}"/>
            </a:ext>
          </a:extLst>
        </xdr:cNvPr>
        <xdr:cNvSpPr>
          <a:spLocks noChangeArrowheads="1"/>
        </xdr:cNvSpPr>
      </xdr:nvSpPr>
      <xdr:spPr bwMode="auto">
        <a:xfrm>
          <a:off x="5686425" y="61007625"/>
          <a:ext cx="2533650" cy="561975"/>
        </a:xfrm>
        <a:prstGeom prst="wedgeRectCallout">
          <a:avLst>
            <a:gd name="adj1" fmla="val -60903"/>
            <a:gd name="adj2" fmla="val 130000"/>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lnSpc>
              <a:spcPts val="1100"/>
            </a:lnSpc>
            <a:defRPr sz="1000"/>
          </a:pPr>
          <a:r>
            <a:rPr lang="ja-JP" altLang="en-US" sz="1000" b="0" i="0" u="none" strike="noStrike" baseline="0">
              <a:solidFill>
                <a:srgbClr val="000000"/>
              </a:solidFill>
              <a:latin typeface="ＭＳ Ｐゴシック"/>
              <a:ea typeface="ＭＳ Ｐゴシック"/>
            </a:rPr>
            <a:t>N：Nのデータ数において、</a:t>
          </a:r>
        </a:p>
        <a:p>
          <a:pPr algn="ctr" rtl="0">
            <a:lnSpc>
              <a:spcPts val="1000"/>
            </a:lnSpc>
            <a:defRPr sz="1000"/>
          </a:pPr>
          <a:r>
            <a:rPr lang="ja-JP" altLang="en-US" sz="1000" b="0" i="0" u="none" strike="noStrike" baseline="0">
              <a:solidFill>
                <a:srgbClr val="000000"/>
              </a:solidFill>
              <a:latin typeface="ＭＳ Ｐゴシック"/>
              <a:ea typeface="ＭＳ Ｐゴシック"/>
            </a:rPr>
            <a:t>正常に動作することを確認</a:t>
          </a:r>
        </a:p>
      </xdr:txBody>
    </xdr:sp>
    <xdr:clientData/>
  </xdr:twoCellAnchor>
  <xdr:twoCellAnchor>
    <xdr:from>
      <xdr:col>9</xdr:col>
      <xdr:colOff>1495425</xdr:colOff>
      <xdr:row>299</xdr:row>
      <xdr:rowOff>133350</xdr:rowOff>
    </xdr:from>
    <xdr:to>
      <xdr:col>9</xdr:col>
      <xdr:colOff>4029075</xdr:colOff>
      <xdr:row>304</xdr:row>
      <xdr:rowOff>47625</xdr:rowOff>
    </xdr:to>
    <xdr:sp macro="" textlink="">
      <xdr:nvSpPr>
        <xdr:cNvPr id="46" name="AutoShape 256">
          <a:extLst>
            <a:ext uri="{FF2B5EF4-FFF2-40B4-BE49-F238E27FC236}">
              <a16:creationId xmlns:a16="http://schemas.microsoft.com/office/drawing/2014/main" id="{35A98C89-A3A7-4B8F-A550-40B880515862}"/>
            </a:ext>
          </a:extLst>
        </xdr:cNvPr>
        <xdr:cNvSpPr>
          <a:spLocks noChangeArrowheads="1"/>
        </xdr:cNvSpPr>
      </xdr:nvSpPr>
      <xdr:spPr bwMode="auto">
        <a:xfrm>
          <a:off x="5686425" y="60817125"/>
          <a:ext cx="2533650" cy="914400"/>
        </a:xfrm>
        <a:prstGeom prst="wedgeRectCallout">
          <a:avLst>
            <a:gd name="adj1" fmla="val -62782"/>
            <a:gd name="adj2" fmla="val -89505"/>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lnSpc>
              <a:spcPts val="1100"/>
            </a:lnSpc>
            <a:defRPr sz="1000"/>
          </a:pPr>
          <a:r>
            <a:rPr lang="ja-JP" altLang="en-US" sz="1000" b="1" i="0" u="none" strike="noStrike" baseline="0">
              <a:solidFill>
                <a:srgbClr val="000000"/>
              </a:solidFill>
              <a:latin typeface="ＭＳ Ｐゴシック"/>
              <a:ea typeface="ＭＳ Ｐゴシック"/>
            </a:rPr>
            <a:t>c10：</a:t>
          </a:r>
          <a:r>
            <a:rPr lang="ja-JP" altLang="en-US" sz="1000" b="0" i="0" u="none" strike="noStrike" baseline="0">
              <a:solidFill>
                <a:srgbClr val="000000"/>
              </a:solidFill>
              <a:latin typeface="ＭＳ Ｐゴシック"/>
              <a:ea typeface="ＭＳ Ｐゴシック"/>
            </a:rPr>
            <a:t>　N：Nのデータ数において、</a:t>
          </a:r>
        </a:p>
        <a:p>
          <a:pPr algn="ctr" rtl="0">
            <a:lnSpc>
              <a:spcPts val="1000"/>
            </a:lnSpc>
            <a:defRPr sz="1000"/>
          </a:pPr>
          <a:r>
            <a:rPr lang="ja-JP" altLang="en-US" sz="1000" b="0" i="0" u="none" strike="noStrike" baseline="0">
              <a:solidFill>
                <a:srgbClr val="000000"/>
              </a:solidFill>
              <a:latin typeface="ＭＳ Ｐゴシック"/>
              <a:ea typeface="ＭＳ Ｐゴシック"/>
            </a:rPr>
            <a:t>　　　　正常に動作することを確認</a:t>
          </a:r>
        </a:p>
      </xdr:txBody>
    </xdr:sp>
    <xdr:clientData/>
  </xdr:twoCellAnchor>
  <xdr:twoCellAnchor>
    <xdr:from>
      <xdr:col>9</xdr:col>
      <xdr:colOff>1028700</xdr:colOff>
      <xdr:row>221</xdr:row>
      <xdr:rowOff>95250</xdr:rowOff>
    </xdr:from>
    <xdr:to>
      <xdr:col>9</xdr:col>
      <xdr:colOff>1114425</xdr:colOff>
      <xdr:row>223</xdr:row>
      <xdr:rowOff>9525</xdr:rowOff>
    </xdr:to>
    <xdr:sp macro="" textlink="">
      <xdr:nvSpPr>
        <xdr:cNvPr id="47" name="AutoShape 259">
          <a:extLst>
            <a:ext uri="{FF2B5EF4-FFF2-40B4-BE49-F238E27FC236}">
              <a16:creationId xmlns:a16="http://schemas.microsoft.com/office/drawing/2014/main" id="{47ACE9BB-1719-4C95-9942-8B052010E54B}"/>
            </a:ext>
          </a:extLst>
        </xdr:cNvPr>
        <xdr:cNvSpPr>
          <a:spLocks/>
        </xdr:cNvSpPr>
      </xdr:nvSpPr>
      <xdr:spPr bwMode="auto">
        <a:xfrm>
          <a:off x="5219700" y="45177075"/>
          <a:ext cx="85725" cy="314325"/>
        </a:xfrm>
        <a:prstGeom prst="rightBrace">
          <a:avLst>
            <a:gd name="adj1" fmla="val 25000"/>
            <a:gd name="adj2" fmla="val 50000"/>
          </a:avLst>
        </a:prstGeom>
        <a:noFill/>
        <a:ln w="12700">
          <a:solidFill>
            <a:srgbClr xmlns:mc="http://schemas.openxmlformats.org/markup-compatibility/2006" xmlns:a14="http://schemas.microsoft.com/office/drawing/2010/main" val="FF0000" mc:Ignorable="a14" a14:legacySpreadsheetColorIndex="10"/>
          </a:solidFill>
          <a:round/>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1390650</xdr:colOff>
      <xdr:row>244</xdr:row>
      <xdr:rowOff>0</xdr:rowOff>
    </xdr:from>
    <xdr:to>
      <xdr:col>9</xdr:col>
      <xdr:colOff>2400300</xdr:colOff>
      <xdr:row>245</xdr:row>
      <xdr:rowOff>38100</xdr:rowOff>
    </xdr:to>
    <xdr:sp macro="" textlink="">
      <xdr:nvSpPr>
        <xdr:cNvPr id="48" name="Text Box 260">
          <a:extLst>
            <a:ext uri="{FF2B5EF4-FFF2-40B4-BE49-F238E27FC236}">
              <a16:creationId xmlns:a16="http://schemas.microsoft.com/office/drawing/2014/main" id="{F7253FF6-8715-404A-A802-DCF310757AA3}"/>
            </a:ext>
          </a:extLst>
        </xdr:cNvPr>
        <xdr:cNvSpPr txBox="1">
          <a:spLocks noChangeArrowheads="1"/>
        </xdr:cNvSpPr>
      </xdr:nvSpPr>
      <xdr:spPr bwMode="auto">
        <a:xfrm>
          <a:off x="5581650" y="49682400"/>
          <a:ext cx="1009650" cy="238125"/>
        </a:xfrm>
        <a:prstGeom prst="rect">
          <a:avLst/>
        </a:prstGeom>
        <a:noFill/>
        <a:ln>
          <a:noFill/>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12700">
              <a:solidFill>
                <a:srgbClr xmlns:mc="http://schemas.openxmlformats.org/markup-compatibility/2006" val="FF0000" mc:Ignorable="a14" a14:legacySpreadsheetColorIndex="1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FF0000"/>
              </a:solidFill>
              <a:latin typeface="ＭＳ Ｐゴシック"/>
              <a:ea typeface="ＭＳ Ｐゴシック"/>
            </a:rPr>
            <a:t>データ件数：N</a:t>
          </a:r>
        </a:p>
      </xdr:txBody>
    </xdr:sp>
    <xdr:clientData/>
  </xdr:twoCellAnchor>
  <xdr:twoCellAnchor>
    <xdr:from>
      <xdr:col>9</xdr:col>
      <xdr:colOff>1171575</xdr:colOff>
      <xdr:row>225</xdr:row>
      <xdr:rowOff>104775</xdr:rowOff>
    </xdr:from>
    <xdr:to>
      <xdr:col>9</xdr:col>
      <xdr:colOff>2181225</xdr:colOff>
      <xdr:row>226</xdr:row>
      <xdr:rowOff>142875</xdr:rowOff>
    </xdr:to>
    <xdr:sp macro="" textlink="">
      <xdr:nvSpPr>
        <xdr:cNvPr id="49" name="Text Box 261">
          <a:extLst>
            <a:ext uri="{FF2B5EF4-FFF2-40B4-BE49-F238E27FC236}">
              <a16:creationId xmlns:a16="http://schemas.microsoft.com/office/drawing/2014/main" id="{EEB79AD9-4B45-44D2-8D31-8711064923CD}"/>
            </a:ext>
          </a:extLst>
        </xdr:cNvPr>
        <xdr:cNvSpPr txBox="1">
          <a:spLocks noChangeArrowheads="1"/>
        </xdr:cNvSpPr>
      </xdr:nvSpPr>
      <xdr:spPr bwMode="auto">
        <a:xfrm>
          <a:off x="5362575" y="45986700"/>
          <a:ext cx="1009650" cy="238125"/>
        </a:xfrm>
        <a:prstGeom prst="rect">
          <a:avLst/>
        </a:prstGeom>
        <a:noFill/>
        <a:ln>
          <a:noFill/>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12700">
              <a:solidFill>
                <a:srgbClr xmlns:mc="http://schemas.openxmlformats.org/markup-compatibility/2006" val="FF0000" mc:Ignorable="a14" a14:legacySpreadsheetColorIndex="1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FF0000"/>
              </a:solidFill>
              <a:latin typeface="ＭＳ Ｐゴシック"/>
              <a:ea typeface="ＭＳ Ｐゴシック"/>
            </a:rPr>
            <a:t>データ件数：1</a:t>
          </a:r>
        </a:p>
      </xdr:txBody>
    </xdr:sp>
    <xdr:clientData/>
  </xdr:twoCellAnchor>
  <xdr:twoCellAnchor>
    <xdr:from>
      <xdr:col>9</xdr:col>
      <xdr:colOff>1123950</xdr:colOff>
      <xdr:row>239</xdr:row>
      <xdr:rowOff>57150</xdr:rowOff>
    </xdr:from>
    <xdr:to>
      <xdr:col>9</xdr:col>
      <xdr:colOff>1266825</xdr:colOff>
      <xdr:row>249</xdr:row>
      <xdr:rowOff>142875</xdr:rowOff>
    </xdr:to>
    <xdr:sp macro="" textlink="">
      <xdr:nvSpPr>
        <xdr:cNvPr id="50" name="AutoShape 262">
          <a:extLst>
            <a:ext uri="{FF2B5EF4-FFF2-40B4-BE49-F238E27FC236}">
              <a16:creationId xmlns:a16="http://schemas.microsoft.com/office/drawing/2014/main" id="{C5FA51F9-7BE8-46B5-91EE-80FFAFC46C7B}"/>
            </a:ext>
          </a:extLst>
        </xdr:cNvPr>
        <xdr:cNvSpPr>
          <a:spLocks/>
        </xdr:cNvSpPr>
      </xdr:nvSpPr>
      <xdr:spPr bwMode="auto">
        <a:xfrm>
          <a:off x="5314950" y="48739425"/>
          <a:ext cx="142875" cy="2085975"/>
        </a:xfrm>
        <a:prstGeom prst="rightBrace">
          <a:avLst>
            <a:gd name="adj1" fmla="val 105000"/>
            <a:gd name="adj2" fmla="val 50000"/>
          </a:avLst>
        </a:prstGeom>
        <a:noFill/>
        <a:ln w="12700">
          <a:solidFill>
            <a:srgbClr xmlns:mc="http://schemas.openxmlformats.org/markup-compatibility/2006" xmlns:a14="http://schemas.microsoft.com/office/drawing/2010/main" val="FF0000" mc:Ignorable="a14" a14:legacySpreadsheetColorIndex="10"/>
          </a:solidFill>
          <a:round/>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1162050</xdr:colOff>
      <xdr:row>221</xdr:row>
      <xdr:rowOff>133350</xdr:rowOff>
    </xdr:from>
    <xdr:to>
      <xdr:col>9</xdr:col>
      <xdr:colOff>2171700</xdr:colOff>
      <xdr:row>223</xdr:row>
      <xdr:rowOff>0</xdr:rowOff>
    </xdr:to>
    <xdr:sp macro="" textlink="">
      <xdr:nvSpPr>
        <xdr:cNvPr id="51" name="Text Box 263">
          <a:extLst>
            <a:ext uri="{FF2B5EF4-FFF2-40B4-BE49-F238E27FC236}">
              <a16:creationId xmlns:a16="http://schemas.microsoft.com/office/drawing/2014/main" id="{FB03CE84-4FF9-4659-89A7-983513B7C30C}"/>
            </a:ext>
          </a:extLst>
        </xdr:cNvPr>
        <xdr:cNvSpPr txBox="1">
          <a:spLocks noChangeArrowheads="1"/>
        </xdr:cNvSpPr>
      </xdr:nvSpPr>
      <xdr:spPr bwMode="auto">
        <a:xfrm>
          <a:off x="5353050" y="45215175"/>
          <a:ext cx="1009650" cy="266700"/>
        </a:xfrm>
        <a:prstGeom prst="rect">
          <a:avLst/>
        </a:prstGeom>
        <a:noFill/>
        <a:ln>
          <a:noFill/>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12700">
              <a:solidFill>
                <a:srgbClr xmlns:mc="http://schemas.openxmlformats.org/markup-compatibility/2006" val="FF0000" mc:Ignorable="a14" a14:legacySpreadsheetColorIndex="1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FF0000"/>
              </a:solidFill>
              <a:latin typeface="ＭＳ Ｐゴシック"/>
              <a:ea typeface="ＭＳ Ｐゴシック"/>
            </a:rPr>
            <a:t>データ件数：1</a:t>
          </a:r>
        </a:p>
      </xdr:txBody>
    </xdr:sp>
    <xdr:clientData/>
  </xdr:twoCellAnchor>
  <xdr:twoCellAnchor>
    <xdr:from>
      <xdr:col>9</xdr:col>
      <xdr:colOff>1133475</xdr:colOff>
      <xdr:row>252</xdr:row>
      <xdr:rowOff>85725</xdr:rowOff>
    </xdr:from>
    <xdr:to>
      <xdr:col>9</xdr:col>
      <xdr:colOff>1219200</xdr:colOff>
      <xdr:row>254</xdr:row>
      <xdr:rowOff>0</xdr:rowOff>
    </xdr:to>
    <xdr:sp macro="" textlink="">
      <xdr:nvSpPr>
        <xdr:cNvPr id="52" name="AutoShape 264">
          <a:extLst>
            <a:ext uri="{FF2B5EF4-FFF2-40B4-BE49-F238E27FC236}">
              <a16:creationId xmlns:a16="http://schemas.microsoft.com/office/drawing/2014/main" id="{46088A96-5584-4E92-BBCC-738AF363C7AF}"/>
            </a:ext>
          </a:extLst>
        </xdr:cNvPr>
        <xdr:cNvSpPr>
          <a:spLocks/>
        </xdr:cNvSpPr>
      </xdr:nvSpPr>
      <xdr:spPr bwMode="auto">
        <a:xfrm>
          <a:off x="5324475" y="51368325"/>
          <a:ext cx="85725" cy="314325"/>
        </a:xfrm>
        <a:prstGeom prst="rightBrace">
          <a:avLst>
            <a:gd name="adj1" fmla="val 25000"/>
            <a:gd name="adj2" fmla="val 50000"/>
          </a:avLst>
        </a:prstGeom>
        <a:noFill/>
        <a:ln w="12700">
          <a:solidFill>
            <a:srgbClr xmlns:mc="http://schemas.openxmlformats.org/markup-compatibility/2006" xmlns:a14="http://schemas.microsoft.com/office/drawing/2010/main" val="FF0000" mc:Ignorable="a14" a14:legacySpreadsheetColorIndex="10"/>
          </a:solidFill>
          <a:round/>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1352550</xdr:colOff>
      <xdr:row>252</xdr:row>
      <xdr:rowOff>114300</xdr:rowOff>
    </xdr:from>
    <xdr:to>
      <xdr:col>9</xdr:col>
      <xdr:colOff>2362200</xdr:colOff>
      <xdr:row>253</xdr:row>
      <xdr:rowOff>152400</xdr:rowOff>
    </xdr:to>
    <xdr:sp macro="" textlink="">
      <xdr:nvSpPr>
        <xdr:cNvPr id="53" name="Text Box 265">
          <a:extLst>
            <a:ext uri="{FF2B5EF4-FFF2-40B4-BE49-F238E27FC236}">
              <a16:creationId xmlns:a16="http://schemas.microsoft.com/office/drawing/2014/main" id="{64624A20-6F65-48E9-AC60-CBE225D65C99}"/>
            </a:ext>
          </a:extLst>
        </xdr:cNvPr>
        <xdr:cNvSpPr txBox="1">
          <a:spLocks noChangeArrowheads="1"/>
        </xdr:cNvSpPr>
      </xdr:nvSpPr>
      <xdr:spPr bwMode="auto">
        <a:xfrm>
          <a:off x="5543550" y="51396900"/>
          <a:ext cx="1009650" cy="238125"/>
        </a:xfrm>
        <a:prstGeom prst="rect">
          <a:avLst/>
        </a:prstGeom>
        <a:noFill/>
        <a:ln>
          <a:noFill/>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12700">
              <a:solidFill>
                <a:srgbClr xmlns:mc="http://schemas.openxmlformats.org/markup-compatibility/2006" val="FF0000" mc:Ignorable="a14" a14:legacySpreadsheetColorIndex="1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FF0000"/>
              </a:solidFill>
              <a:latin typeface="ＭＳ Ｐゴシック"/>
              <a:ea typeface="ＭＳ Ｐゴシック"/>
            </a:rPr>
            <a:t>データ件数：1</a:t>
          </a:r>
        </a:p>
      </xdr:txBody>
    </xdr:sp>
    <xdr:clientData/>
  </xdr:twoCellAnchor>
  <xdr:twoCellAnchor>
    <xdr:from>
      <xdr:col>9</xdr:col>
      <xdr:colOff>1095375</xdr:colOff>
      <xdr:row>275</xdr:row>
      <xdr:rowOff>114300</xdr:rowOff>
    </xdr:from>
    <xdr:to>
      <xdr:col>9</xdr:col>
      <xdr:colOff>1238250</xdr:colOff>
      <xdr:row>286</xdr:row>
      <xdr:rowOff>28575</xdr:rowOff>
    </xdr:to>
    <xdr:sp macro="" textlink="">
      <xdr:nvSpPr>
        <xdr:cNvPr id="54" name="AutoShape 266">
          <a:extLst>
            <a:ext uri="{FF2B5EF4-FFF2-40B4-BE49-F238E27FC236}">
              <a16:creationId xmlns:a16="http://schemas.microsoft.com/office/drawing/2014/main" id="{69EFD4C4-A475-42F8-A8D5-0EDD47EEBCB8}"/>
            </a:ext>
          </a:extLst>
        </xdr:cNvPr>
        <xdr:cNvSpPr>
          <a:spLocks/>
        </xdr:cNvSpPr>
      </xdr:nvSpPr>
      <xdr:spPr bwMode="auto">
        <a:xfrm>
          <a:off x="5286375" y="55997475"/>
          <a:ext cx="142875" cy="2114550"/>
        </a:xfrm>
        <a:prstGeom prst="rightBrace">
          <a:avLst>
            <a:gd name="adj1" fmla="val 105000"/>
            <a:gd name="adj2" fmla="val 50000"/>
          </a:avLst>
        </a:prstGeom>
        <a:noFill/>
        <a:ln w="12700">
          <a:solidFill>
            <a:srgbClr xmlns:mc="http://schemas.openxmlformats.org/markup-compatibility/2006" xmlns:a14="http://schemas.microsoft.com/office/drawing/2010/main" val="FF0000" mc:Ignorable="a14" a14:legacySpreadsheetColorIndex="10"/>
          </a:solidFill>
          <a:round/>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1152525</xdr:colOff>
      <xdr:row>289</xdr:row>
      <xdr:rowOff>123825</xdr:rowOff>
    </xdr:from>
    <xdr:to>
      <xdr:col>9</xdr:col>
      <xdr:colOff>1257300</xdr:colOff>
      <xdr:row>291</xdr:row>
      <xdr:rowOff>152400</xdr:rowOff>
    </xdr:to>
    <xdr:sp macro="" textlink="">
      <xdr:nvSpPr>
        <xdr:cNvPr id="55" name="AutoShape 267">
          <a:extLst>
            <a:ext uri="{FF2B5EF4-FFF2-40B4-BE49-F238E27FC236}">
              <a16:creationId xmlns:a16="http://schemas.microsoft.com/office/drawing/2014/main" id="{43DDE6DA-712F-4DB7-AB56-DC36FB012759}"/>
            </a:ext>
          </a:extLst>
        </xdr:cNvPr>
        <xdr:cNvSpPr>
          <a:spLocks/>
        </xdr:cNvSpPr>
      </xdr:nvSpPr>
      <xdr:spPr bwMode="auto">
        <a:xfrm>
          <a:off x="5343525" y="58807350"/>
          <a:ext cx="104775" cy="428625"/>
        </a:xfrm>
        <a:prstGeom prst="rightBrace">
          <a:avLst>
            <a:gd name="adj1" fmla="val 29545"/>
            <a:gd name="adj2" fmla="val 50000"/>
          </a:avLst>
        </a:prstGeom>
        <a:noFill/>
        <a:ln w="12700">
          <a:solidFill>
            <a:srgbClr xmlns:mc="http://schemas.openxmlformats.org/markup-compatibility/2006" xmlns:a14="http://schemas.microsoft.com/office/drawing/2010/main" val="FF0000" mc:Ignorable="a14" a14:legacySpreadsheetColorIndex="10"/>
          </a:solidFill>
          <a:round/>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1438275</xdr:colOff>
      <xdr:row>280</xdr:row>
      <xdr:rowOff>57150</xdr:rowOff>
    </xdr:from>
    <xdr:to>
      <xdr:col>9</xdr:col>
      <xdr:colOff>2447925</xdr:colOff>
      <xdr:row>281</xdr:row>
      <xdr:rowOff>95250</xdr:rowOff>
    </xdr:to>
    <xdr:sp macro="" textlink="">
      <xdr:nvSpPr>
        <xdr:cNvPr id="56" name="Text Box 268">
          <a:extLst>
            <a:ext uri="{FF2B5EF4-FFF2-40B4-BE49-F238E27FC236}">
              <a16:creationId xmlns:a16="http://schemas.microsoft.com/office/drawing/2014/main" id="{F7BCB9C8-5EF4-4D1A-8B55-B5FBA7058C86}"/>
            </a:ext>
          </a:extLst>
        </xdr:cNvPr>
        <xdr:cNvSpPr txBox="1">
          <a:spLocks noChangeArrowheads="1"/>
        </xdr:cNvSpPr>
      </xdr:nvSpPr>
      <xdr:spPr bwMode="auto">
        <a:xfrm>
          <a:off x="5629275" y="56940450"/>
          <a:ext cx="1009650" cy="238125"/>
        </a:xfrm>
        <a:prstGeom prst="rect">
          <a:avLst/>
        </a:prstGeom>
        <a:noFill/>
        <a:ln>
          <a:noFill/>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12700">
              <a:solidFill>
                <a:srgbClr xmlns:mc="http://schemas.openxmlformats.org/markup-compatibility/2006" val="FF0000" mc:Ignorable="a14" a14:legacySpreadsheetColorIndex="1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FF0000"/>
              </a:solidFill>
              <a:latin typeface="ＭＳ Ｐゴシック"/>
              <a:ea typeface="ＭＳ Ｐゴシック"/>
            </a:rPr>
            <a:t>データ件数：N</a:t>
          </a:r>
        </a:p>
      </xdr:txBody>
    </xdr:sp>
    <xdr:clientData/>
  </xdr:twoCellAnchor>
  <xdr:twoCellAnchor>
    <xdr:from>
      <xdr:col>9</xdr:col>
      <xdr:colOff>1400175</xdr:colOff>
      <xdr:row>290</xdr:row>
      <xdr:rowOff>38100</xdr:rowOff>
    </xdr:from>
    <xdr:to>
      <xdr:col>9</xdr:col>
      <xdr:colOff>2409825</xdr:colOff>
      <xdr:row>291</xdr:row>
      <xdr:rowOff>76200</xdr:rowOff>
    </xdr:to>
    <xdr:sp macro="" textlink="">
      <xdr:nvSpPr>
        <xdr:cNvPr id="57" name="Text Box 269">
          <a:extLst>
            <a:ext uri="{FF2B5EF4-FFF2-40B4-BE49-F238E27FC236}">
              <a16:creationId xmlns:a16="http://schemas.microsoft.com/office/drawing/2014/main" id="{08795F77-DC55-4589-AEAC-56E4CD95F00A}"/>
            </a:ext>
          </a:extLst>
        </xdr:cNvPr>
        <xdr:cNvSpPr txBox="1">
          <a:spLocks noChangeArrowheads="1"/>
        </xdr:cNvSpPr>
      </xdr:nvSpPr>
      <xdr:spPr bwMode="auto">
        <a:xfrm>
          <a:off x="5591175" y="58921650"/>
          <a:ext cx="1009650" cy="238125"/>
        </a:xfrm>
        <a:prstGeom prst="rect">
          <a:avLst/>
        </a:prstGeom>
        <a:noFill/>
        <a:ln>
          <a:noFill/>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12700">
              <a:solidFill>
                <a:srgbClr xmlns:mc="http://schemas.openxmlformats.org/markup-compatibility/2006" val="FF0000" mc:Ignorable="a14" a14:legacySpreadsheetColorIndex="1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FF0000"/>
              </a:solidFill>
              <a:latin typeface="ＭＳ Ｐゴシック"/>
              <a:ea typeface="ＭＳ Ｐゴシック"/>
            </a:rPr>
            <a:t>データ件数：N</a:t>
          </a:r>
        </a:p>
      </xdr:txBody>
    </xdr:sp>
    <xdr:clientData/>
  </xdr:twoCellAnchor>
  <xdr:twoCellAnchor>
    <xdr:from>
      <xdr:col>9</xdr:col>
      <xdr:colOff>2990850</xdr:colOff>
      <xdr:row>70</xdr:row>
      <xdr:rowOff>104775</xdr:rowOff>
    </xdr:from>
    <xdr:to>
      <xdr:col>10</xdr:col>
      <xdr:colOff>342900</xdr:colOff>
      <xdr:row>72</xdr:row>
      <xdr:rowOff>19050</xdr:rowOff>
    </xdr:to>
    <xdr:sp macro="" textlink="">
      <xdr:nvSpPr>
        <xdr:cNvPr id="58" name="AutoShape 13">
          <a:extLst>
            <a:ext uri="{FF2B5EF4-FFF2-40B4-BE49-F238E27FC236}">
              <a16:creationId xmlns:a16="http://schemas.microsoft.com/office/drawing/2014/main" id="{C9610165-FAFB-4C3D-AC0E-1E9E1432DEC5}"/>
            </a:ext>
          </a:extLst>
        </xdr:cNvPr>
        <xdr:cNvSpPr>
          <a:spLocks noChangeArrowheads="1"/>
        </xdr:cNvSpPr>
      </xdr:nvSpPr>
      <xdr:spPr bwMode="auto">
        <a:xfrm>
          <a:off x="7181850" y="13716000"/>
          <a:ext cx="2076450" cy="352425"/>
        </a:xfrm>
        <a:prstGeom prst="wedgeRectCallout">
          <a:avLst>
            <a:gd name="adj1" fmla="val -19727"/>
            <a:gd name="adj2" fmla="val 204056"/>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小数点計算で誤差がないことを確認</a:t>
          </a:r>
        </a:p>
      </xdr:txBody>
    </xdr:sp>
    <xdr:clientData/>
  </xdr:twoCellAnchor>
  <xdr:twoCellAnchor>
    <xdr:from>
      <xdr:col>9</xdr:col>
      <xdr:colOff>2933700</xdr:colOff>
      <xdr:row>118</xdr:row>
      <xdr:rowOff>114300</xdr:rowOff>
    </xdr:from>
    <xdr:to>
      <xdr:col>10</xdr:col>
      <xdr:colOff>85725</xdr:colOff>
      <xdr:row>120</xdr:row>
      <xdr:rowOff>9525</xdr:rowOff>
    </xdr:to>
    <xdr:sp macro="" textlink="">
      <xdr:nvSpPr>
        <xdr:cNvPr id="59" name="AutoShape 6">
          <a:extLst>
            <a:ext uri="{FF2B5EF4-FFF2-40B4-BE49-F238E27FC236}">
              <a16:creationId xmlns:a16="http://schemas.microsoft.com/office/drawing/2014/main" id="{EE216ADA-402F-4AB4-9554-825CCEC70FE1}"/>
            </a:ext>
          </a:extLst>
        </xdr:cNvPr>
        <xdr:cNvSpPr>
          <a:spLocks noChangeArrowheads="1"/>
        </xdr:cNvSpPr>
      </xdr:nvSpPr>
      <xdr:spPr bwMode="auto">
        <a:xfrm>
          <a:off x="7124700" y="24164925"/>
          <a:ext cx="1876425" cy="333375"/>
        </a:xfrm>
        <a:prstGeom prst="wedgeRectCallout">
          <a:avLst>
            <a:gd name="adj1" fmla="val 40356"/>
            <a:gd name="adj2" fmla="val 210000"/>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切り捨て処理ができているか確認</a:t>
          </a:r>
        </a:p>
      </xdr:txBody>
    </xdr:sp>
    <xdr:clientData/>
  </xdr:twoCellAnchor>
  <xdr:twoCellAnchor>
    <xdr:from>
      <xdr:col>6</xdr:col>
      <xdr:colOff>466725</xdr:colOff>
      <xdr:row>83</xdr:row>
      <xdr:rowOff>161925</xdr:rowOff>
    </xdr:from>
    <xdr:to>
      <xdr:col>9</xdr:col>
      <xdr:colOff>533400</xdr:colOff>
      <xdr:row>86</xdr:row>
      <xdr:rowOff>76200</xdr:rowOff>
    </xdr:to>
    <xdr:sp macro="" textlink="">
      <xdr:nvSpPr>
        <xdr:cNvPr id="60" name="Rectangle 271">
          <a:extLst>
            <a:ext uri="{FF2B5EF4-FFF2-40B4-BE49-F238E27FC236}">
              <a16:creationId xmlns:a16="http://schemas.microsoft.com/office/drawing/2014/main" id="{D5CFE444-0A72-481C-910D-BDD410C9C8FC}"/>
            </a:ext>
          </a:extLst>
        </xdr:cNvPr>
        <xdr:cNvSpPr>
          <a:spLocks noChangeArrowheads="1"/>
        </xdr:cNvSpPr>
      </xdr:nvSpPr>
      <xdr:spPr bwMode="auto">
        <a:xfrm>
          <a:off x="2600325" y="16544925"/>
          <a:ext cx="2124075" cy="571500"/>
        </a:xfrm>
        <a:prstGeom prst="rect">
          <a:avLst/>
        </a:prstGeom>
        <a:noFill/>
        <a:ln w="28575">
          <a:solidFill>
            <a:srgbClr xmlns:mc="http://schemas.openxmlformats.org/markup-compatibility/2006" xmlns:a14="http://schemas.microsoft.com/office/drawing/2010/main" val="FF99CC" mc:Ignorable="a14" a14:legacySpreadsheetColorIndex="45"/>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2114550</xdr:colOff>
      <xdr:row>107</xdr:row>
      <xdr:rowOff>0</xdr:rowOff>
    </xdr:from>
    <xdr:to>
      <xdr:col>9</xdr:col>
      <xdr:colOff>4248150</xdr:colOff>
      <xdr:row>109</xdr:row>
      <xdr:rowOff>76200</xdr:rowOff>
    </xdr:to>
    <xdr:sp macro="" textlink="">
      <xdr:nvSpPr>
        <xdr:cNvPr id="61" name="Rectangle 29">
          <a:extLst>
            <a:ext uri="{FF2B5EF4-FFF2-40B4-BE49-F238E27FC236}">
              <a16:creationId xmlns:a16="http://schemas.microsoft.com/office/drawing/2014/main" id="{9B5BCB41-A009-45E0-8CF2-3CB15DC4C77B}"/>
            </a:ext>
          </a:extLst>
        </xdr:cNvPr>
        <xdr:cNvSpPr>
          <a:spLocks noChangeArrowheads="1"/>
        </xdr:cNvSpPr>
      </xdr:nvSpPr>
      <xdr:spPr bwMode="auto">
        <a:xfrm>
          <a:off x="6305550" y="21640800"/>
          <a:ext cx="2133600" cy="514350"/>
        </a:xfrm>
        <a:prstGeom prst="rect">
          <a:avLst/>
        </a:prstGeom>
        <a:noFill/>
        <a:ln w="28575">
          <a:solidFill>
            <a:srgbClr xmlns:mc="http://schemas.openxmlformats.org/markup-compatibility/2006" xmlns:a14="http://schemas.microsoft.com/office/drawing/2010/main" val="FF9900" mc:Ignorable="a14" a14:legacySpreadsheetColorIndex="52"/>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1</xdr:col>
      <xdr:colOff>66675</xdr:colOff>
      <xdr:row>55</xdr:row>
      <xdr:rowOff>76200</xdr:rowOff>
    </xdr:from>
    <xdr:to>
      <xdr:col>5</xdr:col>
      <xdr:colOff>200025</xdr:colOff>
      <xdr:row>56</xdr:row>
      <xdr:rowOff>85725</xdr:rowOff>
    </xdr:to>
    <xdr:sp macro="" textlink="">
      <xdr:nvSpPr>
        <xdr:cNvPr id="62" name="AutoShape 301">
          <a:extLst>
            <a:ext uri="{FF2B5EF4-FFF2-40B4-BE49-F238E27FC236}">
              <a16:creationId xmlns:a16="http://schemas.microsoft.com/office/drawing/2014/main" id="{EFDCB94B-992E-4911-A93A-84B4F688F548}"/>
            </a:ext>
          </a:extLst>
        </xdr:cNvPr>
        <xdr:cNvSpPr>
          <a:spLocks noChangeArrowheads="1"/>
        </xdr:cNvSpPr>
      </xdr:nvSpPr>
      <xdr:spPr bwMode="auto">
        <a:xfrm>
          <a:off x="342900" y="10477500"/>
          <a:ext cx="1304925" cy="22860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editAs="oneCell">
    <xdr:from>
      <xdr:col>1</xdr:col>
      <xdr:colOff>352425</xdr:colOff>
      <xdr:row>66</xdr:row>
      <xdr:rowOff>142875</xdr:rowOff>
    </xdr:from>
    <xdr:to>
      <xdr:col>9</xdr:col>
      <xdr:colOff>600075</xdr:colOff>
      <xdr:row>70</xdr:row>
      <xdr:rowOff>171450</xdr:rowOff>
    </xdr:to>
    <xdr:pic>
      <xdr:nvPicPr>
        <xdr:cNvPr id="63" name="Picture 304">
          <a:extLst>
            <a:ext uri="{FF2B5EF4-FFF2-40B4-BE49-F238E27FC236}">
              <a16:creationId xmlns:a16="http://schemas.microsoft.com/office/drawing/2014/main" id="{21CE96FB-ACBD-4666-A282-6608AEEF1A4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628650" y="12877800"/>
          <a:ext cx="4162425" cy="904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6</xdr:col>
      <xdr:colOff>466725</xdr:colOff>
      <xdr:row>68</xdr:row>
      <xdr:rowOff>66675</xdr:rowOff>
    </xdr:from>
    <xdr:to>
      <xdr:col>9</xdr:col>
      <xdr:colOff>619125</xdr:colOff>
      <xdr:row>70</xdr:row>
      <xdr:rowOff>171450</xdr:rowOff>
    </xdr:to>
    <xdr:sp macro="" textlink="">
      <xdr:nvSpPr>
        <xdr:cNvPr id="64" name="Rectangle 270">
          <a:extLst>
            <a:ext uri="{FF2B5EF4-FFF2-40B4-BE49-F238E27FC236}">
              <a16:creationId xmlns:a16="http://schemas.microsoft.com/office/drawing/2014/main" id="{CF0BD82E-B5FF-4DE9-B079-C662C0F9D5DB}"/>
            </a:ext>
          </a:extLst>
        </xdr:cNvPr>
        <xdr:cNvSpPr>
          <a:spLocks noChangeArrowheads="1"/>
        </xdr:cNvSpPr>
      </xdr:nvSpPr>
      <xdr:spPr bwMode="auto">
        <a:xfrm>
          <a:off x="2600325" y="13239750"/>
          <a:ext cx="2209800" cy="542925"/>
        </a:xfrm>
        <a:prstGeom prst="rect">
          <a:avLst/>
        </a:prstGeom>
        <a:noFill/>
        <a:ln w="28575">
          <a:solidFill>
            <a:srgbClr xmlns:mc="http://schemas.openxmlformats.org/markup-compatibility/2006" xmlns:a14="http://schemas.microsoft.com/office/drawing/2010/main" val="FF99CC" mc:Ignorable="a14" a14:legacySpreadsheetColorIndex="45"/>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1</xdr:col>
      <xdr:colOff>76200</xdr:colOff>
      <xdr:row>72</xdr:row>
      <xdr:rowOff>9525</xdr:rowOff>
    </xdr:from>
    <xdr:to>
      <xdr:col>5</xdr:col>
      <xdr:colOff>209550</xdr:colOff>
      <xdr:row>73</xdr:row>
      <xdr:rowOff>19050</xdr:rowOff>
    </xdr:to>
    <xdr:sp macro="" textlink="">
      <xdr:nvSpPr>
        <xdr:cNvPr id="65" name="AutoShape 306">
          <a:extLst>
            <a:ext uri="{FF2B5EF4-FFF2-40B4-BE49-F238E27FC236}">
              <a16:creationId xmlns:a16="http://schemas.microsoft.com/office/drawing/2014/main" id="{DF214FC0-0260-40A0-BD8E-6C1820D1A678}"/>
            </a:ext>
          </a:extLst>
        </xdr:cNvPr>
        <xdr:cNvSpPr>
          <a:spLocks noChangeArrowheads="1"/>
        </xdr:cNvSpPr>
      </xdr:nvSpPr>
      <xdr:spPr bwMode="auto">
        <a:xfrm>
          <a:off x="352425" y="14058900"/>
          <a:ext cx="1304925" cy="22860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1</xdr:col>
      <xdr:colOff>38100</xdr:colOff>
      <xdr:row>88</xdr:row>
      <xdr:rowOff>47625</xdr:rowOff>
    </xdr:from>
    <xdr:to>
      <xdr:col>5</xdr:col>
      <xdr:colOff>171450</xdr:colOff>
      <xdr:row>89</xdr:row>
      <xdr:rowOff>57150</xdr:rowOff>
    </xdr:to>
    <xdr:sp macro="" textlink="">
      <xdr:nvSpPr>
        <xdr:cNvPr id="66" name="AutoShape 309">
          <a:extLst>
            <a:ext uri="{FF2B5EF4-FFF2-40B4-BE49-F238E27FC236}">
              <a16:creationId xmlns:a16="http://schemas.microsoft.com/office/drawing/2014/main" id="{C176316B-30F5-4464-8C09-1389D79E94EC}"/>
            </a:ext>
          </a:extLst>
        </xdr:cNvPr>
        <xdr:cNvSpPr>
          <a:spLocks noChangeArrowheads="1"/>
        </xdr:cNvSpPr>
      </xdr:nvSpPr>
      <xdr:spPr bwMode="auto">
        <a:xfrm>
          <a:off x="314325" y="17526000"/>
          <a:ext cx="1304925" cy="22860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editAs="oneCell">
    <xdr:from>
      <xdr:col>1</xdr:col>
      <xdr:colOff>352425</xdr:colOff>
      <xdr:row>98</xdr:row>
      <xdr:rowOff>85725</xdr:rowOff>
    </xdr:from>
    <xdr:to>
      <xdr:col>9</xdr:col>
      <xdr:colOff>504825</xdr:colOff>
      <xdr:row>102</xdr:row>
      <xdr:rowOff>104775</xdr:rowOff>
    </xdr:to>
    <xdr:pic>
      <xdr:nvPicPr>
        <xdr:cNvPr id="67" name="Picture 311">
          <a:extLst>
            <a:ext uri="{FF2B5EF4-FFF2-40B4-BE49-F238E27FC236}">
              <a16:creationId xmlns:a16="http://schemas.microsoft.com/office/drawing/2014/main" id="{F1FE0C15-7B14-4CBD-A5D0-026887A12EB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628650" y="19754850"/>
          <a:ext cx="4067175" cy="895350"/>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6</xdr:col>
      <xdr:colOff>409575</xdr:colOff>
      <xdr:row>100</xdr:row>
      <xdr:rowOff>9525</xdr:rowOff>
    </xdr:from>
    <xdr:to>
      <xdr:col>9</xdr:col>
      <xdr:colOff>495300</xdr:colOff>
      <xdr:row>102</xdr:row>
      <xdr:rowOff>104775</xdr:rowOff>
    </xdr:to>
    <xdr:sp macro="" textlink="">
      <xdr:nvSpPr>
        <xdr:cNvPr id="68" name="Rectangle 272">
          <a:extLst>
            <a:ext uri="{FF2B5EF4-FFF2-40B4-BE49-F238E27FC236}">
              <a16:creationId xmlns:a16="http://schemas.microsoft.com/office/drawing/2014/main" id="{2B4C67C4-9513-4EFA-A0A1-9494300736EC}"/>
            </a:ext>
          </a:extLst>
        </xdr:cNvPr>
        <xdr:cNvSpPr>
          <a:spLocks noChangeArrowheads="1"/>
        </xdr:cNvSpPr>
      </xdr:nvSpPr>
      <xdr:spPr bwMode="auto">
        <a:xfrm>
          <a:off x="2543175" y="20116800"/>
          <a:ext cx="2143125" cy="533400"/>
        </a:xfrm>
        <a:prstGeom prst="rect">
          <a:avLst/>
        </a:prstGeom>
        <a:noFill/>
        <a:ln w="28575">
          <a:solidFill>
            <a:srgbClr xmlns:mc="http://schemas.openxmlformats.org/markup-compatibility/2006" xmlns:a14="http://schemas.microsoft.com/office/drawing/2010/main" val="FF99CC" mc:Ignorable="a14" a14:legacySpreadsheetColorIndex="45"/>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editAs="oneCell">
    <xdr:from>
      <xdr:col>1</xdr:col>
      <xdr:colOff>352425</xdr:colOff>
      <xdr:row>114</xdr:row>
      <xdr:rowOff>66675</xdr:rowOff>
    </xdr:from>
    <xdr:to>
      <xdr:col>9</xdr:col>
      <xdr:colOff>504825</xdr:colOff>
      <xdr:row>118</xdr:row>
      <xdr:rowOff>85725</xdr:rowOff>
    </xdr:to>
    <xdr:pic>
      <xdr:nvPicPr>
        <xdr:cNvPr id="69" name="Picture 313">
          <a:extLst>
            <a:ext uri="{FF2B5EF4-FFF2-40B4-BE49-F238E27FC236}">
              <a16:creationId xmlns:a16="http://schemas.microsoft.com/office/drawing/2014/main" id="{E4695580-C7FA-4B96-83A3-2F7B5A6006F6}"/>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628650" y="23241000"/>
          <a:ext cx="4067175" cy="895350"/>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6</xdr:col>
      <xdr:colOff>409575</xdr:colOff>
      <xdr:row>115</xdr:row>
      <xdr:rowOff>200025</xdr:rowOff>
    </xdr:from>
    <xdr:to>
      <xdr:col>9</xdr:col>
      <xdr:colOff>504825</xdr:colOff>
      <xdr:row>118</xdr:row>
      <xdr:rowOff>76200</xdr:rowOff>
    </xdr:to>
    <xdr:sp macro="" textlink="">
      <xdr:nvSpPr>
        <xdr:cNvPr id="70" name="Rectangle 273">
          <a:extLst>
            <a:ext uri="{FF2B5EF4-FFF2-40B4-BE49-F238E27FC236}">
              <a16:creationId xmlns:a16="http://schemas.microsoft.com/office/drawing/2014/main" id="{26C91990-F488-4F95-AB08-05441DB65975}"/>
            </a:ext>
          </a:extLst>
        </xdr:cNvPr>
        <xdr:cNvSpPr>
          <a:spLocks noChangeArrowheads="1"/>
        </xdr:cNvSpPr>
      </xdr:nvSpPr>
      <xdr:spPr bwMode="auto">
        <a:xfrm>
          <a:off x="2543175" y="23593425"/>
          <a:ext cx="2152650" cy="533400"/>
        </a:xfrm>
        <a:prstGeom prst="rect">
          <a:avLst/>
        </a:prstGeom>
        <a:noFill/>
        <a:ln w="28575">
          <a:solidFill>
            <a:srgbClr xmlns:mc="http://schemas.openxmlformats.org/markup-compatibility/2006" xmlns:a14="http://schemas.microsoft.com/office/drawing/2010/main" val="FF99CC" mc:Ignorable="a14" a14:legacySpreadsheetColorIndex="45"/>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1</xdr:col>
      <xdr:colOff>104775</xdr:colOff>
      <xdr:row>104</xdr:row>
      <xdr:rowOff>47625</xdr:rowOff>
    </xdr:from>
    <xdr:to>
      <xdr:col>5</xdr:col>
      <xdr:colOff>238125</xdr:colOff>
      <xdr:row>105</xdr:row>
      <xdr:rowOff>57150</xdr:rowOff>
    </xdr:to>
    <xdr:sp macro="" textlink="">
      <xdr:nvSpPr>
        <xdr:cNvPr id="71" name="AutoShape 314">
          <a:extLst>
            <a:ext uri="{FF2B5EF4-FFF2-40B4-BE49-F238E27FC236}">
              <a16:creationId xmlns:a16="http://schemas.microsoft.com/office/drawing/2014/main" id="{CFC75D8D-2365-4623-9D47-7391350D2666}"/>
            </a:ext>
          </a:extLst>
        </xdr:cNvPr>
        <xdr:cNvSpPr>
          <a:spLocks noChangeArrowheads="1"/>
        </xdr:cNvSpPr>
      </xdr:nvSpPr>
      <xdr:spPr bwMode="auto">
        <a:xfrm>
          <a:off x="381000" y="21031200"/>
          <a:ext cx="1304925" cy="22860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1</xdr:col>
      <xdr:colOff>133350</xdr:colOff>
      <xdr:row>119</xdr:row>
      <xdr:rowOff>133350</xdr:rowOff>
    </xdr:from>
    <xdr:to>
      <xdr:col>5</xdr:col>
      <xdr:colOff>266700</xdr:colOff>
      <xdr:row>120</xdr:row>
      <xdr:rowOff>142875</xdr:rowOff>
    </xdr:to>
    <xdr:sp macro="" textlink="">
      <xdr:nvSpPr>
        <xdr:cNvPr id="72" name="AutoShape 315">
          <a:extLst>
            <a:ext uri="{FF2B5EF4-FFF2-40B4-BE49-F238E27FC236}">
              <a16:creationId xmlns:a16="http://schemas.microsoft.com/office/drawing/2014/main" id="{61CF6CA7-865E-4E2A-863B-5DE524A1FEDD}"/>
            </a:ext>
          </a:extLst>
        </xdr:cNvPr>
        <xdr:cNvSpPr>
          <a:spLocks noChangeArrowheads="1"/>
        </xdr:cNvSpPr>
      </xdr:nvSpPr>
      <xdr:spPr bwMode="auto">
        <a:xfrm>
          <a:off x="409575" y="24403050"/>
          <a:ext cx="1304925" cy="22860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editAs="oneCell">
    <xdr:from>
      <xdr:col>1</xdr:col>
      <xdr:colOff>238125</xdr:colOff>
      <xdr:row>130</xdr:row>
      <xdr:rowOff>76200</xdr:rowOff>
    </xdr:from>
    <xdr:to>
      <xdr:col>8</xdr:col>
      <xdr:colOff>428625</xdr:colOff>
      <xdr:row>136</xdr:row>
      <xdr:rowOff>57150</xdr:rowOff>
    </xdr:to>
    <xdr:pic>
      <xdr:nvPicPr>
        <xdr:cNvPr id="73" name="Picture 319">
          <a:extLst>
            <a:ext uri="{FF2B5EF4-FFF2-40B4-BE49-F238E27FC236}">
              <a16:creationId xmlns:a16="http://schemas.microsoft.com/office/drawing/2014/main" id="{18814415-E809-420E-A308-1CDEF82719D2}"/>
            </a:ext>
          </a:extLst>
        </xdr:cNvPr>
        <xdr:cNvPicPr>
          <a:picLocks noChangeAspect="1" noChangeArrowheads="1"/>
        </xdr:cNvPicPr>
      </xdr:nvPicPr>
      <xdr:blipFill>
        <a:blip xmlns:r="http://schemas.openxmlformats.org/officeDocument/2006/relationships" r:embed="rId22">
          <a:extLst>
            <a:ext uri="{28A0092B-C50C-407E-A947-70E740481C1C}">
              <a14:useLocalDpi xmlns:a14="http://schemas.microsoft.com/office/drawing/2010/main" val="0"/>
            </a:ext>
          </a:extLst>
        </a:blip>
        <a:srcRect/>
        <a:stretch>
          <a:fillRect/>
        </a:stretch>
      </xdr:blipFill>
      <xdr:spPr bwMode="auto">
        <a:xfrm>
          <a:off x="514350" y="26679525"/>
          <a:ext cx="3419475" cy="1295400"/>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209550</xdr:colOff>
      <xdr:row>138</xdr:row>
      <xdr:rowOff>9525</xdr:rowOff>
    </xdr:from>
    <xdr:to>
      <xdr:col>5</xdr:col>
      <xdr:colOff>342900</xdr:colOff>
      <xdr:row>139</xdr:row>
      <xdr:rowOff>19050</xdr:rowOff>
    </xdr:to>
    <xdr:sp macro="" textlink="">
      <xdr:nvSpPr>
        <xdr:cNvPr id="74" name="AutoShape 320">
          <a:extLst>
            <a:ext uri="{FF2B5EF4-FFF2-40B4-BE49-F238E27FC236}">
              <a16:creationId xmlns:a16="http://schemas.microsoft.com/office/drawing/2014/main" id="{8CCD1C41-7057-4DC4-A6C8-89E52F98F486}"/>
            </a:ext>
          </a:extLst>
        </xdr:cNvPr>
        <xdr:cNvSpPr>
          <a:spLocks noChangeArrowheads="1"/>
        </xdr:cNvSpPr>
      </xdr:nvSpPr>
      <xdr:spPr bwMode="auto">
        <a:xfrm>
          <a:off x="485775" y="28365450"/>
          <a:ext cx="1304925" cy="22860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9</xdr:col>
      <xdr:colOff>2790825</xdr:colOff>
      <xdr:row>141</xdr:row>
      <xdr:rowOff>38100</xdr:rowOff>
    </xdr:from>
    <xdr:to>
      <xdr:col>9</xdr:col>
      <xdr:colOff>3457575</xdr:colOff>
      <xdr:row>145</xdr:row>
      <xdr:rowOff>9525</xdr:rowOff>
    </xdr:to>
    <xdr:sp macro="" textlink="">
      <xdr:nvSpPr>
        <xdr:cNvPr id="75" name="Rectangle 11">
          <a:extLst>
            <a:ext uri="{FF2B5EF4-FFF2-40B4-BE49-F238E27FC236}">
              <a16:creationId xmlns:a16="http://schemas.microsoft.com/office/drawing/2014/main" id="{D665D27D-47AD-428F-98E2-163DC1652254}"/>
            </a:ext>
          </a:extLst>
        </xdr:cNvPr>
        <xdr:cNvSpPr>
          <a:spLocks noChangeArrowheads="1"/>
        </xdr:cNvSpPr>
      </xdr:nvSpPr>
      <xdr:spPr bwMode="auto">
        <a:xfrm>
          <a:off x="6981825" y="29051250"/>
          <a:ext cx="666750" cy="847725"/>
        </a:xfrm>
        <a:prstGeom prst="rect">
          <a:avLst/>
        </a:prstGeom>
        <a:noFill/>
        <a:ln w="15875">
          <a:solidFill>
            <a:srgbClr xmlns:mc="http://schemas.openxmlformats.org/markup-compatibility/2006" xmlns:a14="http://schemas.microsoft.com/office/drawing/2010/main" val="FF9900" mc:Ignorable="a14" a14:legacySpreadsheetColorIndex="52"/>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1</xdr:col>
      <xdr:colOff>171450</xdr:colOff>
      <xdr:row>158</xdr:row>
      <xdr:rowOff>57150</xdr:rowOff>
    </xdr:from>
    <xdr:to>
      <xdr:col>5</xdr:col>
      <xdr:colOff>304800</xdr:colOff>
      <xdr:row>159</xdr:row>
      <xdr:rowOff>114300</xdr:rowOff>
    </xdr:to>
    <xdr:sp macro="" textlink="">
      <xdr:nvSpPr>
        <xdr:cNvPr id="76" name="AutoShape 326">
          <a:extLst>
            <a:ext uri="{FF2B5EF4-FFF2-40B4-BE49-F238E27FC236}">
              <a16:creationId xmlns:a16="http://schemas.microsoft.com/office/drawing/2014/main" id="{7B66B3EF-6F1F-4781-9C74-005D457208B3}"/>
            </a:ext>
          </a:extLst>
        </xdr:cNvPr>
        <xdr:cNvSpPr>
          <a:spLocks noChangeArrowheads="1"/>
        </xdr:cNvSpPr>
      </xdr:nvSpPr>
      <xdr:spPr bwMode="auto">
        <a:xfrm>
          <a:off x="447675" y="32527875"/>
          <a:ext cx="1304925" cy="2571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1</xdr:col>
      <xdr:colOff>57150</xdr:colOff>
      <xdr:row>198</xdr:row>
      <xdr:rowOff>57150</xdr:rowOff>
    </xdr:from>
    <xdr:to>
      <xdr:col>5</xdr:col>
      <xdr:colOff>600075</xdr:colOff>
      <xdr:row>199</xdr:row>
      <xdr:rowOff>114300</xdr:rowOff>
    </xdr:to>
    <xdr:sp macro="" textlink="">
      <xdr:nvSpPr>
        <xdr:cNvPr id="77" name="AutoShape 328">
          <a:extLst>
            <a:ext uri="{FF2B5EF4-FFF2-40B4-BE49-F238E27FC236}">
              <a16:creationId xmlns:a16="http://schemas.microsoft.com/office/drawing/2014/main" id="{D373DB47-8F73-475C-A3BB-B8972A921B06}"/>
            </a:ext>
          </a:extLst>
        </xdr:cNvPr>
        <xdr:cNvSpPr>
          <a:spLocks noChangeArrowheads="1"/>
        </xdr:cNvSpPr>
      </xdr:nvSpPr>
      <xdr:spPr bwMode="auto">
        <a:xfrm>
          <a:off x="333375" y="40500300"/>
          <a:ext cx="1714500" cy="2571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6</xdr:col>
      <xdr:colOff>628650</xdr:colOff>
      <xdr:row>51</xdr:row>
      <xdr:rowOff>19050</xdr:rowOff>
    </xdr:from>
    <xdr:to>
      <xdr:col>9</xdr:col>
      <xdr:colOff>57150</xdr:colOff>
      <xdr:row>53</xdr:row>
      <xdr:rowOff>123825</xdr:rowOff>
    </xdr:to>
    <xdr:sp macro="" textlink="">
      <xdr:nvSpPr>
        <xdr:cNvPr id="78" name="Rectangle 330">
          <a:extLst>
            <a:ext uri="{FF2B5EF4-FFF2-40B4-BE49-F238E27FC236}">
              <a16:creationId xmlns:a16="http://schemas.microsoft.com/office/drawing/2014/main" id="{E89A74E0-D2E9-4F05-AF9F-25890DA0F110}"/>
            </a:ext>
          </a:extLst>
        </xdr:cNvPr>
        <xdr:cNvSpPr>
          <a:spLocks noChangeArrowheads="1"/>
        </xdr:cNvSpPr>
      </xdr:nvSpPr>
      <xdr:spPr bwMode="auto">
        <a:xfrm>
          <a:off x="2762250" y="9544050"/>
          <a:ext cx="1485900" cy="542925"/>
        </a:xfrm>
        <a:prstGeom prst="rect">
          <a:avLst/>
        </a:prstGeom>
        <a:noFill/>
        <a:ln w="28575">
          <a:solidFill>
            <a:srgbClr xmlns:mc="http://schemas.openxmlformats.org/markup-compatibility/2006" xmlns:a14="http://schemas.microsoft.com/office/drawing/2010/main" val="FF99CC" mc:Ignorable="a14" a14:legacySpreadsheetColorIndex="45"/>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editAs="oneCell">
    <xdr:from>
      <xdr:col>1</xdr:col>
      <xdr:colOff>333375</xdr:colOff>
      <xdr:row>150</xdr:row>
      <xdr:rowOff>85725</xdr:rowOff>
    </xdr:from>
    <xdr:to>
      <xdr:col>9</xdr:col>
      <xdr:colOff>571500</xdr:colOff>
      <xdr:row>155</xdr:row>
      <xdr:rowOff>0</xdr:rowOff>
    </xdr:to>
    <xdr:pic>
      <xdr:nvPicPr>
        <xdr:cNvPr id="79" name="Picture 333">
          <a:extLst>
            <a:ext uri="{FF2B5EF4-FFF2-40B4-BE49-F238E27FC236}">
              <a16:creationId xmlns:a16="http://schemas.microsoft.com/office/drawing/2014/main" id="{1F705490-8C66-48B7-A3C6-6D33FFF9244B}"/>
            </a:ext>
          </a:extLst>
        </xdr:cNvPr>
        <xdr:cNvPicPr>
          <a:picLocks noChangeAspect="1" noChangeArrowheads="1"/>
        </xdr:cNvPicPr>
      </xdr:nvPicPr>
      <xdr:blipFill>
        <a:blip xmlns:r="http://schemas.openxmlformats.org/officeDocument/2006/relationships" r:embed="rId23">
          <a:extLst>
            <a:ext uri="{28A0092B-C50C-407E-A947-70E740481C1C}">
              <a14:useLocalDpi xmlns:a14="http://schemas.microsoft.com/office/drawing/2010/main" val="0"/>
            </a:ext>
          </a:extLst>
        </a:blip>
        <a:srcRect/>
        <a:stretch>
          <a:fillRect/>
        </a:stretch>
      </xdr:blipFill>
      <xdr:spPr bwMode="auto">
        <a:xfrm>
          <a:off x="609600" y="30956250"/>
          <a:ext cx="4152900" cy="914400"/>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104775</xdr:colOff>
      <xdr:row>199</xdr:row>
      <xdr:rowOff>161925</xdr:rowOff>
    </xdr:from>
    <xdr:to>
      <xdr:col>9</xdr:col>
      <xdr:colOff>19050</xdr:colOff>
      <xdr:row>202</xdr:row>
      <xdr:rowOff>85725</xdr:rowOff>
    </xdr:to>
    <xdr:pic>
      <xdr:nvPicPr>
        <xdr:cNvPr id="80" name="Picture 335">
          <a:extLst>
            <a:ext uri="{FF2B5EF4-FFF2-40B4-BE49-F238E27FC236}">
              <a16:creationId xmlns:a16="http://schemas.microsoft.com/office/drawing/2014/main" id="{FC53E7B1-6833-4159-AB11-CB5FB23FFA3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381000" y="40805100"/>
          <a:ext cx="3829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9</xdr:col>
      <xdr:colOff>581025</xdr:colOff>
      <xdr:row>199</xdr:row>
      <xdr:rowOff>0</xdr:rowOff>
    </xdr:from>
    <xdr:to>
      <xdr:col>9</xdr:col>
      <xdr:colOff>3343275</xdr:colOff>
      <xdr:row>200</xdr:row>
      <xdr:rowOff>142875</xdr:rowOff>
    </xdr:to>
    <xdr:sp macro="" textlink="">
      <xdr:nvSpPr>
        <xdr:cNvPr id="81" name="AutoShape 337">
          <a:extLst>
            <a:ext uri="{FF2B5EF4-FFF2-40B4-BE49-F238E27FC236}">
              <a16:creationId xmlns:a16="http://schemas.microsoft.com/office/drawing/2014/main" id="{22BE6C04-67DC-4E2D-BB45-5D4C0A4548A5}"/>
            </a:ext>
          </a:extLst>
        </xdr:cNvPr>
        <xdr:cNvSpPr>
          <a:spLocks noChangeArrowheads="1"/>
        </xdr:cNvSpPr>
      </xdr:nvSpPr>
      <xdr:spPr bwMode="auto">
        <a:xfrm>
          <a:off x="4772025" y="40643175"/>
          <a:ext cx="2762250" cy="342900"/>
        </a:xfrm>
        <a:prstGeom prst="wedgeRectCallout">
          <a:avLst>
            <a:gd name="adj1" fmla="val -57241"/>
            <a:gd name="adj2" fmla="val 122727"/>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1000" b="0" i="0" u="none" strike="noStrike" baseline="0">
              <a:solidFill>
                <a:srgbClr val="000000"/>
              </a:solidFill>
              <a:latin typeface="ＭＳ Ｐゴシック"/>
              <a:ea typeface="ＭＳ Ｐゴシック"/>
            </a:rPr>
            <a:t>０除算時にはエラーになっていることを確認</a:t>
          </a:r>
        </a:p>
      </xdr:txBody>
    </xdr:sp>
    <xdr:clientData/>
  </xdr:twoCellAnchor>
  <xdr:twoCellAnchor>
    <xdr:from>
      <xdr:col>9</xdr:col>
      <xdr:colOff>762000</xdr:colOff>
      <xdr:row>187</xdr:row>
      <xdr:rowOff>76200</xdr:rowOff>
    </xdr:from>
    <xdr:to>
      <xdr:col>9</xdr:col>
      <xdr:colOff>3524250</xdr:colOff>
      <xdr:row>189</xdr:row>
      <xdr:rowOff>47625</xdr:rowOff>
    </xdr:to>
    <xdr:sp macro="" textlink="">
      <xdr:nvSpPr>
        <xdr:cNvPr id="82" name="AutoShape 203">
          <a:extLst>
            <a:ext uri="{FF2B5EF4-FFF2-40B4-BE49-F238E27FC236}">
              <a16:creationId xmlns:a16="http://schemas.microsoft.com/office/drawing/2014/main" id="{EC72E2CB-C339-49FA-B648-FBC840F1BC20}"/>
            </a:ext>
          </a:extLst>
        </xdr:cNvPr>
        <xdr:cNvSpPr>
          <a:spLocks noChangeArrowheads="1"/>
        </xdr:cNvSpPr>
      </xdr:nvSpPr>
      <xdr:spPr bwMode="auto">
        <a:xfrm>
          <a:off x="4953000" y="38319075"/>
          <a:ext cx="2762250" cy="371475"/>
        </a:xfrm>
        <a:prstGeom prst="wedgeRectCallout">
          <a:avLst>
            <a:gd name="adj1" fmla="val -46208"/>
            <a:gd name="adj2" fmla="val -265153"/>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1000" b="0" i="0" u="none" strike="noStrike" baseline="0">
              <a:solidFill>
                <a:srgbClr val="FF0000"/>
              </a:solidFill>
              <a:latin typeface="ＭＳ Ｐゴシック"/>
              <a:ea typeface="ＭＳ Ｐゴシック"/>
            </a:rPr>
            <a:t>割合を求めるプログラムの場合</a:t>
          </a:r>
        </a:p>
      </xdr:txBody>
    </xdr:sp>
    <xdr:clientData/>
  </xdr:twoCellAnchor>
  <xdr:twoCellAnchor>
    <xdr:from>
      <xdr:col>9</xdr:col>
      <xdr:colOff>657225</xdr:colOff>
      <xdr:row>186</xdr:row>
      <xdr:rowOff>19050</xdr:rowOff>
    </xdr:from>
    <xdr:to>
      <xdr:col>9</xdr:col>
      <xdr:colOff>3752850</xdr:colOff>
      <xdr:row>190</xdr:row>
      <xdr:rowOff>47625</xdr:rowOff>
    </xdr:to>
    <xdr:sp macro="" textlink="">
      <xdr:nvSpPr>
        <xdr:cNvPr id="83" name="AutoShape 216">
          <a:extLst>
            <a:ext uri="{FF2B5EF4-FFF2-40B4-BE49-F238E27FC236}">
              <a16:creationId xmlns:a16="http://schemas.microsoft.com/office/drawing/2014/main" id="{C5EFC91F-37EF-49EC-9AB4-5D2DBCB8B467}"/>
            </a:ext>
          </a:extLst>
        </xdr:cNvPr>
        <xdr:cNvSpPr>
          <a:spLocks noChangeArrowheads="1"/>
        </xdr:cNvSpPr>
      </xdr:nvSpPr>
      <xdr:spPr bwMode="auto">
        <a:xfrm>
          <a:off x="4848225" y="38061900"/>
          <a:ext cx="3095625" cy="828675"/>
        </a:xfrm>
        <a:prstGeom prst="wedgeRectCallout">
          <a:avLst>
            <a:gd name="adj1" fmla="val -71537"/>
            <a:gd name="adj2" fmla="val 11333"/>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18288" anchor="ctr" upright="1"/>
        <a:lstStyle/>
        <a:p>
          <a:pPr algn="l" rtl="0">
            <a:lnSpc>
              <a:spcPts val="1200"/>
            </a:lnSpc>
            <a:defRPr sz="1000"/>
          </a:pPr>
          <a:r>
            <a:rPr lang="ja-JP" altLang="en-US" sz="1000" b="0" i="0" u="none" strike="noStrike" baseline="0">
              <a:solidFill>
                <a:srgbClr val="333333"/>
              </a:solidFill>
              <a:latin typeface="ＭＳ Ｐゴシック"/>
              <a:ea typeface="ＭＳ Ｐゴシック"/>
            </a:rPr>
            <a:t>　　割合を求めるプログラムの場合</a:t>
          </a:r>
        </a:p>
        <a:p>
          <a:pPr algn="l" rtl="0">
            <a:lnSpc>
              <a:spcPts val="1100"/>
            </a:lnSpc>
            <a:defRPr sz="1000"/>
          </a:pPr>
          <a:endParaRPr lang="ja-JP" altLang="en-US" sz="1000" b="0" i="0" u="none" strike="noStrike" baseline="0">
            <a:solidFill>
              <a:srgbClr val="333333"/>
            </a:solidFill>
            <a:latin typeface="ＭＳ Ｐゴシック"/>
            <a:ea typeface="ＭＳ Ｐゴシック"/>
          </a:endParaRPr>
        </a:p>
        <a:p>
          <a:pPr algn="l" rtl="0">
            <a:lnSpc>
              <a:spcPts val="1200"/>
            </a:lnSpc>
            <a:defRPr sz="1000"/>
          </a:pPr>
          <a:r>
            <a:rPr lang="ja-JP" altLang="en-US" sz="1000" b="0" i="0" u="none" strike="noStrike" baseline="0">
              <a:solidFill>
                <a:srgbClr val="333333"/>
              </a:solidFill>
              <a:latin typeface="ＭＳ Ｐゴシック"/>
              <a:ea typeface="ＭＳ Ｐゴシック"/>
            </a:rPr>
            <a:t>　　　　0除算テストをするために合計の売上高が０に</a:t>
          </a:r>
        </a:p>
        <a:p>
          <a:pPr algn="l" rtl="0">
            <a:lnSpc>
              <a:spcPts val="1100"/>
            </a:lnSpc>
            <a:defRPr sz="1000"/>
          </a:pPr>
          <a:r>
            <a:rPr lang="ja-JP" altLang="en-US" sz="1000" b="0" i="0" u="none" strike="noStrike" baseline="0">
              <a:solidFill>
                <a:srgbClr val="333333"/>
              </a:solidFill>
              <a:latin typeface="ＭＳ Ｐゴシック"/>
              <a:ea typeface="ＭＳ Ｐゴシック"/>
            </a:rPr>
            <a:t>　　　なるような入力データを用意する</a:t>
          </a:r>
        </a:p>
        <a:p>
          <a:pPr algn="l" rtl="0">
            <a:lnSpc>
              <a:spcPts val="1100"/>
            </a:lnSpc>
            <a:defRPr sz="1000"/>
          </a:pPr>
          <a:endParaRPr lang="ja-JP" altLang="en-US" sz="1000" b="0" i="0" u="none" strike="noStrike" baseline="0">
            <a:solidFill>
              <a:srgbClr val="333333"/>
            </a:solidFill>
            <a:latin typeface="ＭＳ Ｐゴシック"/>
            <a:ea typeface="ＭＳ Ｐゴシック"/>
          </a:endParaRPr>
        </a:p>
      </xdr:txBody>
    </xdr:sp>
    <xdr:clientData/>
  </xdr:twoCellAnchor>
  <xdr:twoCellAnchor>
    <xdr:from>
      <xdr:col>1</xdr:col>
      <xdr:colOff>200025</xdr:colOff>
      <xdr:row>33</xdr:row>
      <xdr:rowOff>133350</xdr:rowOff>
    </xdr:from>
    <xdr:to>
      <xdr:col>5</xdr:col>
      <xdr:colOff>76200</xdr:colOff>
      <xdr:row>35</xdr:row>
      <xdr:rowOff>19050</xdr:rowOff>
    </xdr:to>
    <xdr:sp macro="" textlink="">
      <xdr:nvSpPr>
        <xdr:cNvPr id="84" name="AutoShape 338">
          <a:extLst>
            <a:ext uri="{FF2B5EF4-FFF2-40B4-BE49-F238E27FC236}">
              <a16:creationId xmlns:a16="http://schemas.microsoft.com/office/drawing/2014/main" id="{B18BA137-024B-45BA-8A3D-A483C7558517}"/>
            </a:ext>
          </a:extLst>
        </xdr:cNvPr>
        <xdr:cNvSpPr>
          <a:spLocks noChangeArrowheads="1"/>
        </xdr:cNvSpPr>
      </xdr:nvSpPr>
      <xdr:spPr bwMode="auto">
        <a:xfrm>
          <a:off x="476250" y="6248400"/>
          <a:ext cx="1047750" cy="24765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実行 sample</a:t>
          </a:r>
        </a:p>
      </xdr:txBody>
    </xdr:sp>
    <xdr:clientData/>
  </xdr:twoCellAnchor>
  <xdr:twoCellAnchor editAs="oneCell">
    <xdr:from>
      <xdr:col>1</xdr:col>
      <xdr:colOff>342900</xdr:colOff>
      <xdr:row>8</xdr:row>
      <xdr:rowOff>133350</xdr:rowOff>
    </xdr:from>
    <xdr:to>
      <xdr:col>9</xdr:col>
      <xdr:colOff>2209800</xdr:colOff>
      <xdr:row>15</xdr:row>
      <xdr:rowOff>161925</xdr:rowOff>
    </xdr:to>
    <xdr:pic>
      <xdr:nvPicPr>
        <xdr:cNvPr id="85" name="Picture 339">
          <a:extLst>
            <a:ext uri="{FF2B5EF4-FFF2-40B4-BE49-F238E27FC236}">
              <a16:creationId xmlns:a16="http://schemas.microsoft.com/office/drawing/2014/main" id="{50F4BEE4-4439-4E9F-B6E9-AB9632B6ED55}"/>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619125" y="1724025"/>
          <a:ext cx="5781675" cy="1295400"/>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333375</xdr:colOff>
      <xdr:row>21</xdr:row>
      <xdr:rowOff>9525</xdr:rowOff>
    </xdr:from>
    <xdr:to>
      <xdr:col>9</xdr:col>
      <xdr:colOff>2209800</xdr:colOff>
      <xdr:row>28</xdr:row>
      <xdr:rowOff>171450</xdr:rowOff>
    </xdr:to>
    <xdr:pic>
      <xdr:nvPicPr>
        <xdr:cNvPr id="86" name="Picture 340">
          <a:extLst>
            <a:ext uri="{FF2B5EF4-FFF2-40B4-BE49-F238E27FC236}">
              <a16:creationId xmlns:a16="http://schemas.microsoft.com/office/drawing/2014/main" id="{8A54028C-743E-425E-BC35-E91D9DF65E7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609600" y="3952875"/>
          <a:ext cx="5791200" cy="1428750"/>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2</xdr:col>
      <xdr:colOff>0</xdr:colOff>
      <xdr:row>35</xdr:row>
      <xdr:rowOff>38100</xdr:rowOff>
    </xdr:from>
    <xdr:to>
      <xdr:col>9</xdr:col>
      <xdr:colOff>2495550</xdr:colOff>
      <xdr:row>42</xdr:row>
      <xdr:rowOff>28575</xdr:rowOff>
    </xdr:to>
    <xdr:pic>
      <xdr:nvPicPr>
        <xdr:cNvPr id="87" name="Picture 341">
          <a:extLst>
            <a:ext uri="{FF2B5EF4-FFF2-40B4-BE49-F238E27FC236}">
              <a16:creationId xmlns:a16="http://schemas.microsoft.com/office/drawing/2014/main" id="{827158DC-6248-4DDD-A00E-24E6F8E50CC3}"/>
            </a:ext>
          </a:extLst>
        </xdr:cNvPr>
        <xdr:cNvPicPr>
          <a:picLocks noChangeAspect="1" noChangeArrowheads="1"/>
        </xdr:cNvPicPr>
      </xdr:nvPicPr>
      <xdr:blipFill>
        <a:blip xmlns:r="http://schemas.openxmlformats.org/officeDocument/2006/relationships" r:embed="rId27">
          <a:extLst>
            <a:ext uri="{28A0092B-C50C-407E-A947-70E740481C1C}">
              <a14:useLocalDpi xmlns:a14="http://schemas.microsoft.com/office/drawing/2010/main" val="0"/>
            </a:ext>
          </a:extLst>
        </a:blip>
        <a:srcRect/>
        <a:stretch>
          <a:fillRect/>
        </a:stretch>
      </xdr:blipFill>
      <xdr:spPr bwMode="auto">
        <a:xfrm>
          <a:off x="895350" y="6515100"/>
          <a:ext cx="5791200" cy="1257300"/>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9</xdr:col>
      <xdr:colOff>1752600</xdr:colOff>
      <xdr:row>33</xdr:row>
      <xdr:rowOff>66675</xdr:rowOff>
    </xdr:from>
    <xdr:to>
      <xdr:col>10</xdr:col>
      <xdr:colOff>0</xdr:colOff>
      <xdr:row>35</xdr:row>
      <xdr:rowOff>28575</xdr:rowOff>
    </xdr:to>
    <xdr:sp macro="" textlink="">
      <xdr:nvSpPr>
        <xdr:cNvPr id="88" name="AutoShape 342">
          <a:extLst>
            <a:ext uri="{FF2B5EF4-FFF2-40B4-BE49-F238E27FC236}">
              <a16:creationId xmlns:a16="http://schemas.microsoft.com/office/drawing/2014/main" id="{0399DBBA-9B6B-4051-99A8-2FCAD175C542}"/>
            </a:ext>
          </a:extLst>
        </xdr:cNvPr>
        <xdr:cNvSpPr>
          <a:spLocks noChangeArrowheads="1"/>
        </xdr:cNvSpPr>
      </xdr:nvSpPr>
      <xdr:spPr bwMode="auto">
        <a:xfrm>
          <a:off x="5943600" y="6181725"/>
          <a:ext cx="2971800" cy="323850"/>
        </a:xfrm>
        <a:prstGeom prst="wedgeRectCallout">
          <a:avLst>
            <a:gd name="adj1" fmla="val -56731"/>
            <a:gd name="adj2" fmla="val -294116"/>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第一引数が１の時は、追加処理</a:t>
          </a:r>
        </a:p>
        <a:p>
          <a:pPr algn="l" rtl="0">
            <a:defRPr sz="1000"/>
          </a:pPr>
          <a:r>
            <a:rPr lang="ja-JP" altLang="en-US" sz="1100" b="0" i="0" u="none" strike="noStrike" baseline="0">
              <a:solidFill>
                <a:srgbClr val="000000"/>
              </a:solidFill>
              <a:latin typeface="ＭＳ Ｐゴシック"/>
              <a:ea typeface="ＭＳ Ｐゴシック"/>
            </a:rPr>
            <a:t>               ２の時は、削除処理</a:t>
          </a:r>
        </a:p>
        <a:p>
          <a:pPr algn="l" rtl="0">
            <a:defRPr sz="1000"/>
          </a:pPr>
          <a:r>
            <a:rPr lang="ja-JP" altLang="en-US" sz="1100" b="0" i="0" u="none" strike="noStrike" baseline="0">
              <a:solidFill>
                <a:srgbClr val="000000"/>
              </a:solidFill>
              <a:latin typeface="ＭＳ Ｐゴシック"/>
              <a:ea typeface="ＭＳ Ｐゴシック"/>
            </a:rPr>
            <a:t>仕様通り、条件分岐できていることを確認</a:t>
          </a:r>
        </a:p>
      </xdr:txBody>
    </xdr:sp>
    <xdr:clientData/>
  </xdr:twoCellAnchor>
  <xdr:twoCellAnchor>
    <xdr:from>
      <xdr:col>9</xdr:col>
      <xdr:colOff>1743075</xdr:colOff>
      <xdr:row>32</xdr:row>
      <xdr:rowOff>47625</xdr:rowOff>
    </xdr:from>
    <xdr:to>
      <xdr:col>9</xdr:col>
      <xdr:colOff>4705350</xdr:colOff>
      <xdr:row>35</xdr:row>
      <xdr:rowOff>47625</xdr:rowOff>
    </xdr:to>
    <xdr:sp macro="" textlink="">
      <xdr:nvSpPr>
        <xdr:cNvPr id="89" name="AutoShape 343">
          <a:extLst>
            <a:ext uri="{FF2B5EF4-FFF2-40B4-BE49-F238E27FC236}">
              <a16:creationId xmlns:a16="http://schemas.microsoft.com/office/drawing/2014/main" id="{09F4C050-1F71-469E-9438-3655C1604D09}"/>
            </a:ext>
          </a:extLst>
        </xdr:cNvPr>
        <xdr:cNvSpPr>
          <a:spLocks noChangeArrowheads="1"/>
        </xdr:cNvSpPr>
      </xdr:nvSpPr>
      <xdr:spPr bwMode="auto">
        <a:xfrm>
          <a:off x="5934075" y="5981700"/>
          <a:ext cx="2962275" cy="542925"/>
        </a:xfrm>
        <a:prstGeom prst="wedgeRectCallout">
          <a:avLst>
            <a:gd name="adj1" fmla="val -53856"/>
            <a:gd name="adj2" fmla="val 165792"/>
          </a:avLst>
        </a:prstGeom>
        <a:solidFill>
          <a:srgbClr xmlns:mc="http://schemas.openxmlformats.org/markup-compatibility/2006" xmlns:a14="http://schemas.microsoft.com/office/drawing/2010/main" val="FFCC99" mc:Ignorable="a14" a14:legacySpreadsheetColorIndex="47"/>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lnSpc>
              <a:spcPts val="1200"/>
            </a:lnSpc>
            <a:defRPr sz="1000"/>
          </a:pPr>
          <a:r>
            <a:rPr lang="ja-JP" altLang="en-US" sz="1000" b="0" i="0" u="none" strike="noStrike" baseline="0">
              <a:solidFill>
                <a:srgbClr val="000000"/>
              </a:solidFill>
              <a:latin typeface="ＭＳ Ｐゴシック"/>
              <a:ea typeface="ＭＳ Ｐゴシック"/>
            </a:rPr>
            <a:t>第一引数が１の時は、追加処理</a:t>
          </a:r>
        </a:p>
        <a:p>
          <a:pPr algn="l" rtl="0">
            <a:lnSpc>
              <a:spcPts val="1200"/>
            </a:lnSpc>
            <a:defRPr sz="1000"/>
          </a:pPr>
          <a:r>
            <a:rPr lang="ja-JP" altLang="en-US" sz="1000" b="0" i="0" u="none" strike="noStrike" baseline="0">
              <a:solidFill>
                <a:srgbClr val="000000"/>
              </a:solidFill>
              <a:latin typeface="ＭＳ Ｐゴシック"/>
              <a:ea typeface="ＭＳ Ｐゴシック"/>
            </a:rPr>
            <a:t>                ２の時は、削除処理</a:t>
          </a:r>
        </a:p>
        <a:p>
          <a:pPr algn="l" rtl="0">
            <a:lnSpc>
              <a:spcPts val="1100"/>
            </a:lnSpc>
            <a:defRPr sz="1000"/>
          </a:pPr>
          <a:r>
            <a:rPr lang="ja-JP" altLang="en-US" sz="1000" b="0" i="0" u="none" strike="noStrike" baseline="0">
              <a:solidFill>
                <a:srgbClr val="000000"/>
              </a:solidFill>
              <a:latin typeface="ＭＳ Ｐゴシック"/>
              <a:ea typeface="ＭＳ Ｐゴシック"/>
            </a:rPr>
            <a:t>引数の値から、仕様通り条件分岐できていることを確認</a:t>
          </a:r>
        </a:p>
      </xdr:txBody>
    </xdr:sp>
    <xdr:clientData/>
  </xdr:twoCellAnchor>
  <xdr:twoCellAnchor>
    <xdr:from>
      <xdr:col>1</xdr:col>
      <xdr:colOff>142875</xdr:colOff>
      <xdr:row>19</xdr:row>
      <xdr:rowOff>85725</xdr:rowOff>
    </xdr:from>
    <xdr:to>
      <xdr:col>5</xdr:col>
      <xdr:colOff>19050</xdr:colOff>
      <xdr:row>20</xdr:row>
      <xdr:rowOff>142875</xdr:rowOff>
    </xdr:to>
    <xdr:sp macro="" textlink="">
      <xdr:nvSpPr>
        <xdr:cNvPr id="90" name="AutoShape 344">
          <a:extLst>
            <a:ext uri="{FF2B5EF4-FFF2-40B4-BE49-F238E27FC236}">
              <a16:creationId xmlns:a16="http://schemas.microsoft.com/office/drawing/2014/main" id="{9955CB32-6B7C-4375-BC4F-0F856DADE65F}"/>
            </a:ext>
          </a:extLst>
        </xdr:cNvPr>
        <xdr:cNvSpPr>
          <a:spLocks noChangeArrowheads="1"/>
        </xdr:cNvSpPr>
      </xdr:nvSpPr>
      <xdr:spPr bwMode="auto">
        <a:xfrm>
          <a:off x="419100" y="3667125"/>
          <a:ext cx="1047750" cy="23812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実行 sample</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9</xdr:col>
      <xdr:colOff>38100</xdr:colOff>
      <xdr:row>9</xdr:row>
      <xdr:rowOff>28575</xdr:rowOff>
    </xdr:from>
    <xdr:to>
      <xdr:col>9</xdr:col>
      <xdr:colOff>180975</xdr:colOff>
      <xdr:row>12</xdr:row>
      <xdr:rowOff>123825</xdr:rowOff>
    </xdr:to>
    <xdr:sp macro="" textlink="">
      <xdr:nvSpPr>
        <xdr:cNvPr id="2" name="AutoShape 4">
          <a:extLst>
            <a:ext uri="{FF2B5EF4-FFF2-40B4-BE49-F238E27FC236}">
              <a16:creationId xmlns:a16="http://schemas.microsoft.com/office/drawing/2014/main" id="{EADC9116-A8F0-4C04-BE7F-DE135BEE4EAB}"/>
            </a:ext>
          </a:extLst>
        </xdr:cNvPr>
        <xdr:cNvSpPr>
          <a:spLocks/>
        </xdr:cNvSpPr>
      </xdr:nvSpPr>
      <xdr:spPr bwMode="auto">
        <a:xfrm>
          <a:off x="7324725" y="1838325"/>
          <a:ext cx="142875" cy="552450"/>
        </a:xfrm>
        <a:prstGeom prst="rightBrace">
          <a:avLst>
            <a:gd name="adj1" fmla="val 32222"/>
            <a:gd name="adj2" fmla="val 45681"/>
          </a:avLst>
        </a:prstGeom>
        <a:noFill/>
        <a:ln w="9525">
          <a:solidFill>
            <a:srgbClr xmlns:mc="http://schemas.openxmlformats.org/markup-compatibility/2006" xmlns:a14="http://schemas.microsoft.com/office/drawing/2010/main" val="969696" mc:Ignorable="a14" a14:legacySpreadsheetColorIndex="55"/>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57150</xdr:colOff>
      <xdr:row>21</xdr:row>
      <xdr:rowOff>66675</xdr:rowOff>
    </xdr:from>
    <xdr:to>
      <xdr:col>9</xdr:col>
      <xdr:colOff>219075</xdr:colOff>
      <xdr:row>24</xdr:row>
      <xdr:rowOff>123825</xdr:rowOff>
    </xdr:to>
    <xdr:sp macro="" textlink="">
      <xdr:nvSpPr>
        <xdr:cNvPr id="3" name="AutoShape 5">
          <a:extLst>
            <a:ext uri="{FF2B5EF4-FFF2-40B4-BE49-F238E27FC236}">
              <a16:creationId xmlns:a16="http://schemas.microsoft.com/office/drawing/2014/main" id="{686DDB01-9BF5-420B-BA91-0D2F812EB4A4}"/>
            </a:ext>
          </a:extLst>
        </xdr:cNvPr>
        <xdr:cNvSpPr>
          <a:spLocks/>
        </xdr:cNvSpPr>
      </xdr:nvSpPr>
      <xdr:spPr bwMode="auto">
        <a:xfrm>
          <a:off x="7343775" y="3705225"/>
          <a:ext cx="161925" cy="504825"/>
        </a:xfrm>
        <a:prstGeom prst="rightBrace">
          <a:avLst>
            <a:gd name="adj1" fmla="val 25980"/>
            <a:gd name="adj2" fmla="val 45681"/>
          </a:avLst>
        </a:prstGeom>
        <a:noFill/>
        <a:ln w="9525">
          <a:solidFill>
            <a:srgbClr xmlns:mc="http://schemas.openxmlformats.org/markup-compatibility/2006" xmlns:a14="http://schemas.microsoft.com/office/drawing/2010/main" val="FF6600" mc:Ignorable="a14" a14:legacySpreadsheetColorIndex="53"/>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219075</xdr:colOff>
      <xdr:row>9</xdr:row>
      <xdr:rowOff>66675</xdr:rowOff>
    </xdr:from>
    <xdr:to>
      <xdr:col>10</xdr:col>
      <xdr:colOff>361950</xdr:colOff>
      <xdr:row>12</xdr:row>
      <xdr:rowOff>0</xdr:rowOff>
    </xdr:to>
    <xdr:sp macro="" textlink="">
      <xdr:nvSpPr>
        <xdr:cNvPr id="4" name="Text Box 6">
          <a:extLst>
            <a:ext uri="{FF2B5EF4-FFF2-40B4-BE49-F238E27FC236}">
              <a16:creationId xmlns:a16="http://schemas.microsoft.com/office/drawing/2014/main" id="{60E81D9A-25C5-4626-964D-9F6DB07DCF6A}"/>
            </a:ext>
          </a:extLst>
        </xdr:cNvPr>
        <xdr:cNvSpPr txBox="1">
          <a:spLocks noChangeArrowheads="1"/>
        </xdr:cNvSpPr>
      </xdr:nvSpPr>
      <xdr:spPr bwMode="auto">
        <a:xfrm>
          <a:off x="7505700" y="1876425"/>
          <a:ext cx="1371600" cy="3905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100"/>
            </a:lnSpc>
            <a:defRPr sz="1000"/>
          </a:pPr>
          <a:endParaRPr lang="ja-JP" altLang="en-US" sz="900" b="0" i="0" u="none" strike="noStrike" baseline="0">
            <a:solidFill>
              <a:srgbClr val="808080"/>
            </a:solidFill>
            <a:latin typeface="ＭＳ Ｐゴシック"/>
            <a:ea typeface="ＭＳ Ｐゴシック"/>
          </a:endParaRPr>
        </a:p>
        <a:p>
          <a:pPr algn="l" rtl="0">
            <a:lnSpc>
              <a:spcPts val="1000"/>
            </a:lnSpc>
            <a:defRPr sz="1000"/>
          </a:pPr>
          <a:r>
            <a:rPr lang="ja-JP" altLang="en-US" sz="900" b="0" i="0" u="none" strike="noStrike" baseline="0">
              <a:solidFill>
                <a:srgbClr val="808080"/>
              </a:solidFill>
              <a:latin typeface="ＭＳ Ｐゴシック"/>
              <a:ea typeface="ＭＳ Ｐゴシック"/>
            </a:rPr>
            <a:t> 削除対象</a:t>
          </a:r>
        </a:p>
      </xdr:txBody>
    </xdr:sp>
    <xdr:clientData/>
  </xdr:twoCellAnchor>
  <xdr:twoCellAnchor>
    <xdr:from>
      <xdr:col>9</xdr:col>
      <xdr:colOff>247650</xdr:colOff>
      <xdr:row>21</xdr:row>
      <xdr:rowOff>123825</xdr:rowOff>
    </xdr:from>
    <xdr:to>
      <xdr:col>10</xdr:col>
      <xdr:colOff>504825</xdr:colOff>
      <xdr:row>23</xdr:row>
      <xdr:rowOff>114300</xdr:rowOff>
    </xdr:to>
    <xdr:sp macro="" textlink="">
      <xdr:nvSpPr>
        <xdr:cNvPr id="5" name="Text Box 7">
          <a:extLst>
            <a:ext uri="{FF2B5EF4-FFF2-40B4-BE49-F238E27FC236}">
              <a16:creationId xmlns:a16="http://schemas.microsoft.com/office/drawing/2014/main" id="{A800BA1C-1357-4CCA-AD46-9C8E90B0A04F}"/>
            </a:ext>
          </a:extLst>
        </xdr:cNvPr>
        <xdr:cNvSpPr txBox="1">
          <a:spLocks noChangeArrowheads="1"/>
        </xdr:cNvSpPr>
      </xdr:nvSpPr>
      <xdr:spPr bwMode="auto">
        <a:xfrm>
          <a:off x="7534275" y="3762375"/>
          <a:ext cx="1485900" cy="2952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100"/>
            </a:lnSpc>
            <a:defRPr sz="1000"/>
          </a:pPr>
          <a:endParaRPr lang="ja-JP" altLang="en-US" sz="900" b="0" i="0" u="none" strike="noStrike" baseline="0">
            <a:solidFill>
              <a:srgbClr val="FF6600"/>
            </a:solidFill>
            <a:latin typeface="ＭＳ Ｐゴシック"/>
            <a:ea typeface="ＭＳ Ｐゴシック"/>
          </a:endParaRPr>
        </a:p>
        <a:p>
          <a:pPr algn="l" rtl="0">
            <a:lnSpc>
              <a:spcPts val="1000"/>
            </a:lnSpc>
            <a:defRPr sz="1000"/>
          </a:pPr>
          <a:r>
            <a:rPr lang="ja-JP" altLang="en-US" sz="900" b="0" i="0" u="none" strike="noStrike" baseline="0">
              <a:solidFill>
                <a:srgbClr val="FF6600"/>
              </a:solidFill>
              <a:latin typeface="ＭＳ Ｐゴシック"/>
              <a:ea typeface="ＭＳ Ｐゴシック"/>
            </a:rPr>
            <a:t>追加対象</a:t>
          </a:r>
        </a:p>
      </xdr:txBody>
    </xdr:sp>
    <xdr:clientData/>
  </xdr:twoCellAnchor>
  <xdr:twoCellAnchor>
    <xdr:from>
      <xdr:col>9</xdr:col>
      <xdr:colOff>190500</xdr:colOff>
      <xdr:row>15</xdr:row>
      <xdr:rowOff>142875</xdr:rowOff>
    </xdr:from>
    <xdr:to>
      <xdr:col>10</xdr:col>
      <xdr:colOff>400050</xdr:colOff>
      <xdr:row>17</xdr:row>
      <xdr:rowOff>38100</xdr:rowOff>
    </xdr:to>
    <xdr:sp macro="" textlink="">
      <xdr:nvSpPr>
        <xdr:cNvPr id="6" name="Text Box 8">
          <a:extLst>
            <a:ext uri="{FF2B5EF4-FFF2-40B4-BE49-F238E27FC236}">
              <a16:creationId xmlns:a16="http://schemas.microsoft.com/office/drawing/2014/main" id="{18C36B49-7A6C-4EA7-BC32-61ADA831382B}"/>
            </a:ext>
          </a:extLst>
        </xdr:cNvPr>
        <xdr:cNvSpPr txBox="1">
          <a:spLocks noChangeArrowheads="1"/>
        </xdr:cNvSpPr>
      </xdr:nvSpPr>
      <xdr:spPr bwMode="auto">
        <a:xfrm>
          <a:off x="7477125" y="2867025"/>
          <a:ext cx="1438275" cy="2000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900" b="0" i="0" u="none" strike="noStrike" baseline="0">
              <a:solidFill>
                <a:srgbClr val="969696"/>
              </a:solidFill>
              <a:latin typeface="ＭＳ Ｐゴシック"/>
              <a:ea typeface="ＭＳ Ｐゴシック"/>
            </a:rPr>
            <a:t>　更新対象</a:t>
          </a:r>
        </a:p>
      </xdr:txBody>
    </xdr:sp>
    <xdr:clientData/>
  </xdr:twoCellAnchor>
  <xdr:twoCellAnchor>
    <xdr:from>
      <xdr:col>4</xdr:col>
      <xdr:colOff>771525</xdr:colOff>
      <xdr:row>25</xdr:row>
      <xdr:rowOff>114300</xdr:rowOff>
    </xdr:from>
    <xdr:to>
      <xdr:col>5</xdr:col>
      <xdr:colOff>1162050</xdr:colOff>
      <xdr:row>28</xdr:row>
      <xdr:rowOff>19050</xdr:rowOff>
    </xdr:to>
    <xdr:sp macro="" textlink="">
      <xdr:nvSpPr>
        <xdr:cNvPr id="7" name="AutoShape 9">
          <a:extLst>
            <a:ext uri="{FF2B5EF4-FFF2-40B4-BE49-F238E27FC236}">
              <a16:creationId xmlns:a16="http://schemas.microsoft.com/office/drawing/2014/main" id="{B5524E41-9260-41FD-A566-6C6195F9DCD0}"/>
            </a:ext>
          </a:extLst>
        </xdr:cNvPr>
        <xdr:cNvSpPr>
          <a:spLocks noChangeArrowheads="1"/>
        </xdr:cNvSpPr>
      </xdr:nvSpPr>
      <xdr:spPr bwMode="auto">
        <a:xfrm>
          <a:off x="3362325" y="4400550"/>
          <a:ext cx="1524000" cy="504825"/>
        </a:xfrm>
        <a:prstGeom prst="downArrow">
          <a:avLst>
            <a:gd name="adj1" fmla="val 49407"/>
            <a:gd name="adj2" fmla="val 61704"/>
          </a:avLst>
        </a:prstGeom>
        <a:solidFill>
          <a:srgbClr xmlns:mc="http://schemas.openxmlformats.org/markup-compatibility/2006" xmlns:a14="http://schemas.microsoft.com/office/drawing/2010/main" val="C0C0C0" mc:Ignorable="a14" a14:legacySpreadsheetColorIndex="22"/>
        </a:solidFill>
        <a:ln>
          <a:noFill/>
        </a:ln>
        <a:effectLst/>
        <a:extLst>
          <a:ext uri="{91240B29-F687-4F45-9708-019B960494DF}">
            <a14:hiddenLine xmlns:a14="http://schemas.microsoft.com/office/drawing/2010/main" w="12700">
              <a:solidFill>
                <a:srgbClr xmlns:mc="http://schemas.openxmlformats.org/markup-compatibility/2006" val="FF0000" mc:Ignorable="a14" a14:legacySpreadsheetColorIndex="1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38100</xdr:colOff>
      <xdr:row>32</xdr:row>
      <xdr:rowOff>28575</xdr:rowOff>
    </xdr:from>
    <xdr:to>
      <xdr:col>9</xdr:col>
      <xdr:colOff>180975</xdr:colOff>
      <xdr:row>35</xdr:row>
      <xdr:rowOff>123825</xdr:rowOff>
    </xdr:to>
    <xdr:sp macro="" textlink="">
      <xdr:nvSpPr>
        <xdr:cNvPr id="8" name="AutoShape 10">
          <a:extLst>
            <a:ext uri="{FF2B5EF4-FFF2-40B4-BE49-F238E27FC236}">
              <a16:creationId xmlns:a16="http://schemas.microsoft.com/office/drawing/2014/main" id="{5079C056-A469-4240-9217-2426A480ABAE}"/>
            </a:ext>
          </a:extLst>
        </xdr:cNvPr>
        <xdr:cNvSpPr>
          <a:spLocks/>
        </xdr:cNvSpPr>
      </xdr:nvSpPr>
      <xdr:spPr bwMode="auto">
        <a:xfrm>
          <a:off x="7324725" y="5676900"/>
          <a:ext cx="142875" cy="552450"/>
        </a:xfrm>
        <a:prstGeom prst="rightBrace">
          <a:avLst>
            <a:gd name="adj1" fmla="val 32222"/>
            <a:gd name="adj2" fmla="val 45681"/>
          </a:avLst>
        </a:prstGeom>
        <a:noFill/>
        <a:ln w="9525">
          <a:solidFill>
            <a:srgbClr xmlns:mc="http://schemas.openxmlformats.org/markup-compatibility/2006" xmlns:a14="http://schemas.microsoft.com/office/drawing/2010/main" val="969696" mc:Ignorable="a14" a14:legacySpreadsheetColorIndex="55"/>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38100</xdr:colOff>
      <xdr:row>44</xdr:row>
      <xdr:rowOff>9525</xdr:rowOff>
    </xdr:from>
    <xdr:to>
      <xdr:col>9</xdr:col>
      <xdr:colOff>219075</xdr:colOff>
      <xdr:row>47</xdr:row>
      <xdr:rowOff>152400</xdr:rowOff>
    </xdr:to>
    <xdr:sp macro="" textlink="">
      <xdr:nvSpPr>
        <xdr:cNvPr id="9" name="AutoShape 11">
          <a:extLst>
            <a:ext uri="{FF2B5EF4-FFF2-40B4-BE49-F238E27FC236}">
              <a16:creationId xmlns:a16="http://schemas.microsoft.com/office/drawing/2014/main" id="{9352B050-234C-4DB5-A55E-AC9AC598C80C}"/>
            </a:ext>
          </a:extLst>
        </xdr:cNvPr>
        <xdr:cNvSpPr>
          <a:spLocks/>
        </xdr:cNvSpPr>
      </xdr:nvSpPr>
      <xdr:spPr bwMode="auto">
        <a:xfrm>
          <a:off x="7324725" y="7486650"/>
          <a:ext cx="180975" cy="590550"/>
        </a:xfrm>
        <a:prstGeom prst="rightBrace">
          <a:avLst>
            <a:gd name="adj1" fmla="val 27193"/>
            <a:gd name="adj2" fmla="val 45681"/>
          </a:avLst>
        </a:prstGeom>
        <a:noFill/>
        <a:ln w="9525">
          <a:solidFill>
            <a:srgbClr xmlns:mc="http://schemas.openxmlformats.org/markup-compatibility/2006" xmlns:a14="http://schemas.microsoft.com/office/drawing/2010/main" val="FF6600" mc:Ignorable="a14" a14:legacySpreadsheetColorIndex="53"/>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219075</xdr:colOff>
      <xdr:row>32</xdr:row>
      <xdr:rowOff>66675</xdr:rowOff>
    </xdr:from>
    <xdr:to>
      <xdr:col>10</xdr:col>
      <xdr:colOff>361950</xdr:colOff>
      <xdr:row>35</xdr:row>
      <xdr:rowOff>0</xdr:rowOff>
    </xdr:to>
    <xdr:sp macro="" textlink="">
      <xdr:nvSpPr>
        <xdr:cNvPr id="10" name="Text Box 12">
          <a:extLst>
            <a:ext uri="{FF2B5EF4-FFF2-40B4-BE49-F238E27FC236}">
              <a16:creationId xmlns:a16="http://schemas.microsoft.com/office/drawing/2014/main" id="{385E9D16-6B40-4FE9-9A12-D849E5DADAA3}"/>
            </a:ext>
          </a:extLst>
        </xdr:cNvPr>
        <xdr:cNvSpPr txBox="1">
          <a:spLocks noChangeArrowheads="1"/>
        </xdr:cNvSpPr>
      </xdr:nvSpPr>
      <xdr:spPr bwMode="auto">
        <a:xfrm>
          <a:off x="7505700" y="5715000"/>
          <a:ext cx="1371600" cy="3905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100"/>
            </a:lnSpc>
            <a:defRPr sz="1000"/>
          </a:pPr>
          <a:endParaRPr lang="ja-JP" altLang="en-US" sz="900" b="0" i="0" u="none" strike="noStrike" baseline="0">
            <a:solidFill>
              <a:srgbClr val="969696"/>
            </a:solidFill>
            <a:latin typeface="ＭＳ Ｐゴシック"/>
            <a:ea typeface="ＭＳ Ｐゴシック"/>
          </a:endParaRPr>
        </a:p>
        <a:p>
          <a:pPr algn="l" rtl="0">
            <a:lnSpc>
              <a:spcPts val="1000"/>
            </a:lnSpc>
            <a:defRPr sz="1000"/>
          </a:pPr>
          <a:r>
            <a:rPr lang="ja-JP" altLang="en-US" sz="900" b="0" i="0" u="none" strike="noStrike" baseline="0">
              <a:solidFill>
                <a:srgbClr val="969696"/>
              </a:solidFill>
              <a:latin typeface="ＭＳ Ｐゴシック"/>
              <a:ea typeface="ＭＳ Ｐゴシック"/>
            </a:rPr>
            <a:t> 削除</a:t>
          </a:r>
        </a:p>
      </xdr:txBody>
    </xdr:sp>
    <xdr:clientData/>
  </xdr:twoCellAnchor>
  <xdr:twoCellAnchor>
    <xdr:from>
      <xdr:col>9</xdr:col>
      <xdr:colOff>247650</xdr:colOff>
      <xdr:row>44</xdr:row>
      <xdr:rowOff>85725</xdr:rowOff>
    </xdr:from>
    <xdr:to>
      <xdr:col>10</xdr:col>
      <xdr:colOff>504825</xdr:colOff>
      <xdr:row>46</xdr:row>
      <xdr:rowOff>76200</xdr:rowOff>
    </xdr:to>
    <xdr:sp macro="" textlink="">
      <xdr:nvSpPr>
        <xdr:cNvPr id="11" name="Text Box 13">
          <a:extLst>
            <a:ext uri="{FF2B5EF4-FFF2-40B4-BE49-F238E27FC236}">
              <a16:creationId xmlns:a16="http://schemas.microsoft.com/office/drawing/2014/main" id="{F1E32C2A-E8C4-4B78-966E-E21DF5EAEC21}"/>
            </a:ext>
          </a:extLst>
        </xdr:cNvPr>
        <xdr:cNvSpPr txBox="1">
          <a:spLocks noChangeArrowheads="1"/>
        </xdr:cNvSpPr>
      </xdr:nvSpPr>
      <xdr:spPr bwMode="auto">
        <a:xfrm>
          <a:off x="7534275" y="7562850"/>
          <a:ext cx="1485900" cy="2952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100"/>
            </a:lnSpc>
            <a:defRPr sz="1000"/>
          </a:pPr>
          <a:endParaRPr lang="ja-JP" altLang="en-US" sz="900" b="0" i="0" u="none" strike="noStrike" baseline="0">
            <a:solidFill>
              <a:srgbClr val="FF6600"/>
            </a:solidFill>
            <a:latin typeface="ＭＳ Ｐゴシック"/>
            <a:ea typeface="ＭＳ Ｐゴシック"/>
          </a:endParaRPr>
        </a:p>
        <a:p>
          <a:pPr algn="l" rtl="0">
            <a:lnSpc>
              <a:spcPts val="1000"/>
            </a:lnSpc>
            <a:defRPr sz="1000"/>
          </a:pPr>
          <a:r>
            <a:rPr lang="ja-JP" altLang="en-US" sz="900" b="0" i="0" u="none" strike="noStrike" baseline="0">
              <a:solidFill>
                <a:srgbClr val="FF6600"/>
              </a:solidFill>
              <a:latin typeface="ＭＳ Ｐゴシック"/>
              <a:ea typeface="ＭＳ Ｐゴシック"/>
            </a:rPr>
            <a:t>追加</a:t>
          </a:r>
        </a:p>
      </xdr:txBody>
    </xdr:sp>
    <xdr:clientData/>
  </xdr:twoCellAnchor>
  <xdr:twoCellAnchor>
    <xdr:from>
      <xdr:col>9</xdr:col>
      <xdr:colOff>171450</xdr:colOff>
      <xdr:row>38</xdr:row>
      <xdr:rowOff>142875</xdr:rowOff>
    </xdr:from>
    <xdr:to>
      <xdr:col>10</xdr:col>
      <xdr:colOff>381000</xdr:colOff>
      <xdr:row>40</xdr:row>
      <xdr:rowOff>38100</xdr:rowOff>
    </xdr:to>
    <xdr:sp macro="" textlink="">
      <xdr:nvSpPr>
        <xdr:cNvPr id="12" name="Text Box 14">
          <a:extLst>
            <a:ext uri="{FF2B5EF4-FFF2-40B4-BE49-F238E27FC236}">
              <a16:creationId xmlns:a16="http://schemas.microsoft.com/office/drawing/2014/main" id="{51CB4229-4738-40C7-9401-87D75511A6F7}"/>
            </a:ext>
          </a:extLst>
        </xdr:cNvPr>
        <xdr:cNvSpPr txBox="1">
          <a:spLocks noChangeArrowheads="1"/>
        </xdr:cNvSpPr>
      </xdr:nvSpPr>
      <xdr:spPr bwMode="auto">
        <a:xfrm>
          <a:off x="7458075" y="6705600"/>
          <a:ext cx="1438275" cy="2000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900" b="0" i="0" u="none" strike="noStrike" baseline="0">
              <a:solidFill>
                <a:srgbClr val="808080"/>
              </a:solidFill>
              <a:latin typeface="ＭＳ Ｐゴシック"/>
              <a:ea typeface="ＭＳ Ｐゴシック"/>
            </a:rPr>
            <a:t>　更新</a:t>
          </a:r>
        </a:p>
      </xdr:txBody>
    </xdr:sp>
    <xdr:clientData/>
  </xdr:twoCellAnchor>
  <xdr:twoCellAnchor>
    <xdr:from>
      <xdr:col>9</xdr:col>
      <xdr:colOff>47625</xdr:colOff>
      <xdr:row>14</xdr:row>
      <xdr:rowOff>142875</xdr:rowOff>
    </xdr:from>
    <xdr:to>
      <xdr:col>9</xdr:col>
      <xdr:colOff>238125</xdr:colOff>
      <xdr:row>18</xdr:row>
      <xdr:rowOff>0</xdr:rowOff>
    </xdr:to>
    <xdr:sp macro="" textlink="">
      <xdr:nvSpPr>
        <xdr:cNvPr id="13" name="AutoShape 15">
          <a:extLst>
            <a:ext uri="{FF2B5EF4-FFF2-40B4-BE49-F238E27FC236}">
              <a16:creationId xmlns:a16="http://schemas.microsoft.com/office/drawing/2014/main" id="{CF812118-7D44-4297-BF8E-7504882E6D58}"/>
            </a:ext>
          </a:extLst>
        </xdr:cNvPr>
        <xdr:cNvSpPr>
          <a:spLocks/>
        </xdr:cNvSpPr>
      </xdr:nvSpPr>
      <xdr:spPr bwMode="auto">
        <a:xfrm>
          <a:off x="7334250" y="2714625"/>
          <a:ext cx="190500" cy="466725"/>
        </a:xfrm>
        <a:prstGeom prst="rightBrace">
          <a:avLst>
            <a:gd name="adj1" fmla="val 20417"/>
            <a:gd name="adj2" fmla="val 45681"/>
          </a:avLst>
        </a:prstGeom>
        <a:noFill/>
        <a:ln w="9525">
          <a:solidFill>
            <a:srgbClr xmlns:mc="http://schemas.openxmlformats.org/markup-compatibility/2006" xmlns:a14="http://schemas.microsoft.com/office/drawing/2010/main" val="969696" mc:Ignorable="a14" a14:legacySpreadsheetColorIndex="55"/>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28575</xdr:colOff>
      <xdr:row>38</xdr:row>
      <xdr:rowOff>0</xdr:rowOff>
    </xdr:from>
    <xdr:to>
      <xdr:col>9</xdr:col>
      <xdr:colOff>219075</xdr:colOff>
      <xdr:row>41</xdr:row>
      <xdr:rowOff>9525</xdr:rowOff>
    </xdr:to>
    <xdr:sp macro="" textlink="">
      <xdr:nvSpPr>
        <xdr:cNvPr id="14" name="AutoShape 16">
          <a:extLst>
            <a:ext uri="{FF2B5EF4-FFF2-40B4-BE49-F238E27FC236}">
              <a16:creationId xmlns:a16="http://schemas.microsoft.com/office/drawing/2014/main" id="{86102427-BB04-4335-8C27-E88B8EC61EF2}"/>
            </a:ext>
          </a:extLst>
        </xdr:cNvPr>
        <xdr:cNvSpPr>
          <a:spLocks/>
        </xdr:cNvSpPr>
      </xdr:nvSpPr>
      <xdr:spPr bwMode="auto">
        <a:xfrm>
          <a:off x="7315200" y="6562725"/>
          <a:ext cx="190500" cy="466725"/>
        </a:xfrm>
        <a:prstGeom prst="rightBrace">
          <a:avLst>
            <a:gd name="adj1" fmla="val 20417"/>
            <a:gd name="adj2" fmla="val 45681"/>
          </a:avLst>
        </a:prstGeom>
        <a:noFill/>
        <a:ln w="9525">
          <a:solidFill>
            <a:srgbClr xmlns:mc="http://schemas.openxmlformats.org/markup-compatibility/2006" xmlns:a14="http://schemas.microsoft.com/office/drawing/2010/main" val="969696" mc:Ignorable="a14" a14:legacySpreadsheetColorIndex="55"/>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1</xdr:col>
      <xdr:colOff>266700</xdr:colOff>
      <xdr:row>77</xdr:row>
      <xdr:rowOff>161925</xdr:rowOff>
    </xdr:from>
    <xdr:to>
      <xdr:col>3</xdr:col>
      <xdr:colOff>190500</xdr:colOff>
      <xdr:row>79</xdr:row>
      <xdr:rowOff>47625</xdr:rowOff>
    </xdr:to>
    <xdr:sp macro="" textlink="">
      <xdr:nvSpPr>
        <xdr:cNvPr id="15" name="AutoShape 22">
          <a:extLst>
            <a:ext uri="{FF2B5EF4-FFF2-40B4-BE49-F238E27FC236}">
              <a16:creationId xmlns:a16="http://schemas.microsoft.com/office/drawing/2014/main" id="{C7343252-F97A-43B0-8F67-4CA74A310220}"/>
            </a:ext>
          </a:extLst>
        </xdr:cNvPr>
        <xdr:cNvSpPr>
          <a:spLocks noChangeArrowheads="1"/>
        </xdr:cNvSpPr>
      </xdr:nvSpPr>
      <xdr:spPr bwMode="auto">
        <a:xfrm>
          <a:off x="514350" y="14001750"/>
          <a:ext cx="1323975" cy="28575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1</xdr:col>
      <xdr:colOff>247650</xdr:colOff>
      <xdr:row>87</xdr:row>
      <xdr:rowOff>123825</xdr:rowOff>
    </xdr:from>
    <xdr:to>
      <xdr:col>3</xdr:col>
      <xdr:colOff>171450</xdr:colOff>
      <xdr:row>89</xdr:row>
      <xdr:rowOff>19050</xdr:rowOff>
    </xdr:to>
    <xdr:sp macro="" textlink="">
      <xdr:nvSpPr>
        <xdr:cNvPr id="16" name="AutoShape 23">
          <a:extLst>
            <a:ext uri="{FF2B5EF4-FFF2-40B4-BE49-F238E27FC236}">
              <a16:creationId xmlns:a16="http://schemas.microsoft.com/office/drawing/2014/main" id="{E1269593-170F-4535-BB55-1F773AA917AE}"/>
            </a:ext>
          </a:extLst>
        </xdr:cNvPr>
        <xdr:cNvSpPr>
          <a:spLocks noChangeArrowheads="1"/>
        </xdr:cNvSpPr>
      </xdr:nvSpPr>
      <xdr:spPr bwMode="auto">
        <a:xfrm>
          <a:off x="495300" y="15935325"/>
          <a:ext cx="1323975" cy="2952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エラーログ sample</a:t>
          </a:r>
        </a:p>
      </xdr:txBody>
    </xdr:sp>
    <xdr:clientData/>
  </xdr:twoCellAnchor>
  <xdr:twoCellAnchor>
    <xdr:from>
      <xdr:col>2</xdr:col>
      <xdr:colOff>638175</xdr:colOff>
      <xdr:row>48</xdr:row>
      <xdr:rowOff>123825</xdr:rowOff>
    </xdr:from>
    <xdr:to>
      <xdr:col>4</xdr:col>
      <xdr:colOff>514350</xdr:colOff>
      <xdr:row>50</xdr:row>
      <xdr:rowOff>28575</xdr:rowOff>
    </xdr:to>
    <xdr:sp macro="" textlink="">
      <xdr:nvSpPr>
        <xdr:cNvPr id="17" name="AutoShape 25">
          <a:extLst>
            <a:ext uri="{FF2B5EF4-FFF2-40B4-BE49-F238E27FC236}">
              <a16:creationId xmlns:a16="http://schemas.microsoft.com/office/drawing/2014/main" id="{4E78B813-A7D6-405C-9843-D9AF93F8DBEE}"/>
            </a:ext>
          </a:extLst>
        </xdr:cNvPr>
        <xdr:cNvSpPr>
          <a:spLocks noChangeArrowheads="1"/>
        </xdr:cNvSpPr>
      </xdr:nvSpPr>
      <xdr:spPr bwMode="auto">
        <a:xfrm>
          <a:off x="1524000" y="8248650"/>
          <a:ext cx="1581150" cy="304800"/>
        </a:xfrm>
        <a:prstGeom prst="wedgeRectCallout">
          <a:avLst>
            <a:gd name="adj1" fmla="val 36745"/>
            <a:gd name="adj2" fmla="val -280769"/>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0000" mc:Ignorable="a14" a14:legacySpreadsheetColorIndex="64"/>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576" tIns="18288" rIns="0" bIns="0" anchor="t" upright="1"/>
        <a:lstStyle/>
        <a:p>
          <a:pPr algn="l" rtl="0">
            <a:defRPr sz="1000"/>
          </a:pPr>
          <a:r>
            <a:rPr lang="ja-JP" altLang="en-US" sz="1100" b="1" i="0" u="none" strike="noStrike" baseline="0">
              <a:solidFill>
                <a:srgbClr val="008000"/>
              </a:solidFill>
              <a:latin typeface="ＭＳ Ｐゴシック"/>
              <a:ea typeface="ＭＳ Ｐゴシック"/>
            </a:rPr>
            <a:t> e1:</a:t>
          </a:r>
          <a:r>
            <a:rPr lang="ja-JP" altLang="en-US" sz="1100" b="0" i="0" u="none" strike="noStrike" baseline="0">
              <a:solidFill>
                <a:srgbClr val="000000"/>
              </a:solidFill>
              <a:latin typeface="ＭＳ Ｐゴシック"/>
              <a:ea typeface="ＭＳ Ｐゴシック"/>
            </a:rPr>
            <a:t>　</a:t>
          </a:r>
          <a:r>
            <a:rPr lang="ja-JP" altLang="en-US" sz="1000" b="0" i="0" u="none" strike="noStrike" baseline="0">
              <a:solidFill>
                <a:srgbClr val="000000"/>
              </a:solidFill>
              <a:latin typeface="ＭＳ Ｐゴシック"/>
              <a:ea typeface="ＭＳ Ｐゴシック"/>
            </a:rPr>
            <a:t>ＦＵＬＬ桁チェック</a:t>
          </a:r>
        </a:p>
      </xdr:txBody>
    </xdr:sp>
    <xdr:clientData/>
  </xdr:twoCellAnchor>
  <xdr:twoCellAnchor>
    <xdr:from>
      <xdr:col>5</xdr:col>
      <xdr:colOff>1152525</xdr:colOff>
      <xdr:row>50</xdr:row>
      <xdr:rowOff>19050</xdr:rowOff>
    </xdr:from>
    <xdr:to>
      <xdr:col>7</xdr:col>
      <xdr:colOff>647700</xdr:colOff>
      <xdr:row>51</xdr:row>
      <xdr:rowOff>95250</xdr:rowOff>
    </xdr:to>
    <xdr:sp macro="" textlink="">
      <xdr:nvSpPr>
        <xdr:cNvPr id="18" name="AutoShape 26">
          <a:extLst>
            <a:ext uri="{FF2B5EF4-FFF2-40B4-BE49-F238E27FC236}">
              <a16:creationId xmlns:a16="http://schemas.microsoft.com/office/drawing/2014/main" id="{193EF9CA-98C2-482C-B2F7-8468F36EEC71}"/>
            </a:ext>
          </a:extLst>
        </xdr:cNvPr>
        <xdr:cNvSpPr>
          <a:spLocks noChangeArrowheads="1"/>
        </xdr:cNvSpPr>
      </xdr:nvSpPr>
      <xdr:spPr bwMode="auto">
        <a:xfrm>
          <a:off x="4876800" y="8543925"/>
          <a:ext cx="1276350" cy="276225"/>
        </a:xfrm>
        <a:prstGeom prst="wedgeRectCallout">
          <a:avLst>
            <a:gd name="adj1" fmla="val 64181"/>
            <a:gd name="adj2" fmla="val -207694"/>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0000" mc:Ignorable="a14" a14:legacySpreadsheetColorIndex="64"/>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576" tIns="18288" rIns="0" bIns="0" anchor="t" upright="1"/>
        <a:lstStyle/>
        <a:p>
          <a:pPr algn="l" rtl="0">
            <a:defRPr sz="1000"/>
          </a:pPr>
          <a:r>
            <a:rPr lang="ja-JP" altLang="en-US" sz="1100" b="1" i="0" u="none" strike="noStrike" baseline="0">
              <a:solidFill>
                <a:srgbClr val="008000"/>
              </a:solidFill>
              <a:latin typeface="ＭＳ Ｐゴシック"/>
              <a:ea typeface="ＭＳ Ｐゴシック"/>
            </a:rPr>
            <a:t> 36.</a:t>
          </a:r>
          <a:r>
            <a:rPr lang="ja-JP" altLang="en-US" sz="1100" b="0" i="0" u="none" strike="noStrike" baseline="0">
              <a:solidFill>
                <a:srgbClr val="000000"/>
              </a:solidFill>
              <a:latin typeface="ＭＳ Ｐゴシック"/>
              <a:ea typeface="ＭＳ Ｐゴシック"/>
            </a:rPr>
            <a:t>　</a:t>
          </a:r>
          <a:r>
            <a:rPr lang="ja-JP" altLang="en-US" sz="1000" b="0" i="0" u="none" strike="noStrike" baseline="0">
              <a:solidFill>
                <a:srgbClr val="000000"/>
              </a:solidFill>
              <a:latin typeface="ＭＳ Ｐゴシック"/>
              <a:ea typeface="ＭＳ Ｐゴシック"/>
            </a:rPr>
            <a:t>ＦＵＬＬ桁チェック</a:t>
          </a:r>
        </a:p>
      </xdr:txBody>
    </xdr:sp>
    <xdr:clientData/>
  </xdr:twoCellAnchor>
  <xdr:twoCellAnchor>
    <xdr:from>
      <xdr:col>5</xdr:col>
      <xdr:colOff>857250</xdr:colOff>
      <xdr:row>49</xdr:row>
      <xdr:rowOff>123825</xdr:rowOff>
    </xdr:from>
    <xdr:to>
      <xdr:col>7</xdr:col>
      <xdr:colOff>695325</xdr:colOff>
      <xdr:row>51</xdr:row>
      <xdr:rowOff>161925</xdr:rowOff>
    </xdr:to>
    <xdr:sp macro="" textlink="">
      <xdr:nvSpPr>
        <xdr:cNvPr id="19" name="AutoShape 27">
          <a:extLst>
            <a:ext uri="{FF2B5EF4-FFF2-40B4-BE49-F238E27FC236}">
              <a16:creationId xmlns:a16="http://schemas.microsoft.com/office/drawing/2014/main" id="{6FE28306-1646-4DD2-8B03-E166EA81C2B5}"/>
            </a:ext>
          </a:extLst>
        </xdr:cNvPr>
        <xdr:cNvSpPr>
          <a:spLocks noChangeArrowheads="1"/>
        </xdr:cNvSpPr>
      </xdr:nvSpPr>
      <xdr:spPr bwMode="auto">
        <a:xfrm>
          <a:off x="4581525" y="8448675"/>
          <a:ext cx="1619250" cy="438150"/>
        </a:xfrm>
        <a:prstGeom prst="wedgeRectCallout">
          <a:avLst>
            <a:gd name="adj1" fmla="val -64704"/>
            <a:gd name="adj2" fmla="val -117500"/>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0000" mc:Ignorable="a14" a14:legacySpreadsheetColorIndex="64"/>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576" tIns="18288" rIns="0" bIns="0" anchor="t" upright="1"/>
        <a:lstStyle/>
        <a:p>
          <a:pPr algn="l" rtl="0">
            <a:lnSpc>
              <a:spcPts val="1300"/>
            </a:lnSpc>
            <a:defRPr sz="1000"/>
          </a:pPr>
          <a:r>
            <a:rPr lang="ja-JP" altLang="en-US" sz="1100" b="1" i="0" u="none" strike="noStrike" baseline="0">
              <a:solidFill>
                <a:srgbClr val="008000"/>
              </a:solidFill>
              <a:latin typeface="ＭＳ Ｐゴシック"/>
              <a:ea typeface="ＭＳ Ｐゴシック"/>
            </a:rPr>
            <a:t> e3:</a:t>
          </a:r>
          <a:r>
            <a:rPr lang="ja-JP" altLang="en-US" sz="1100" b="0" i="0" u="none" strike="noStrike" baseline="0">
              <a:solidFill>
                <a:srgbClr val="000000"/>
              </a:solidFill>
              <a:latin typeface="ＭＳ Ｐゴシック"/>
              <a:ea typeface="ＭＳ Ｐゴシック"/>
            </a:rPr>
            <a:t>　</a:t>
          </a:r>
          <a:r>
            <a:rPr lang="ja-JP" altLang="en-US" sz="1000" b="0" i="0" u="none" strike="noStrike" baseline="0">
              <a:solidFill>
                <a:srgbClr val="000000"/>
              </a:solidFill>
              <a:latin typeface="ＭＳ Ｐゴシック"/>
              <a:ea typeface="ＭＳ Ｐゴシック"/>
            </a:rPr>
            <a:t>登録日、更新日</a:t>
          </a:r>
        </a:p>
        <a:p>
          <a:pPr algn="l" rtl="0">
            <a:lnSpc>
              <a:spcPts val="1100"/>
            </a:lnSpc>
            <a:defRPr sz="1000"/>
          </a:pPr>
          <a:r>
            <a:rPr lang="ja-JP" altLang="en-US" sz="1000" b="0" i="0" u="none" strike="noStrike" baseline="0">
              <a:solidFill>
                <a:srgbClr val="000000"/>
              </a:solidFill>
              <a:latin typeface="ＭＳ Ｐゴシック"/>
              <a:ea typeface="ＭＳ Ｐゴシック"/>
            </a:rPr>
            <a:t>　　　　：システム日付</a:t>
          </a:r>
        </a:p>
      </xdr:txBody>
    </xdr:sp>
    <xdr:clientData/>
  </xdr:twoCellAnchor>
  <xdr:twoCellAnchor>
    <xdr:from>
      <xdr:col>6</xdr:col>
      <xdr:colOff>323850</xdr:colOff>
      <xdr:row>39</xdr:row>
      <xdr:rowOff>142875</xdr:rowOff>
    </xdr:from>
    <xdr:to>
      <xdr:col>8</xdr:col>
      <xdr:colOff>161925</xdr:colOff>
      <xdr:row>41</xdr:row>
      <xdr:rowOff>123825</xdr:rowOff>
    </xdr:to>
    <xdr:sp macro="" textlink="">
      <xdr:nvSpPr>
        <xdr:cNvPr id="20" name="AutoShape 29">
          <a:extLst>
            <a:ext uri="{FF2B5EF4-FFF2-40B4-BE49-F238E27FC236}">
              <a16:creationId xmlns:a16="http://schemas.microsoft.com/office/drawing/2014/main" id="{42FBFD20-67E7-4BB3-9631-0AD864D479C6}"/>
            </a:ext>
          </a:extLst>
        </xdr:cNvPr>
        <xdr:cNvSpPr>
          <a:spLocks noChangeArrowheads="1"/>
        </xdr:cNvSpPr>
      </xdr:nvSpPr>
      <xdr:spPr bwMode="auto">
        <a:xfrm>
          <a:off x="5295900" y="6858000"/>
          <a:ext cx="1619250" cy="285750"/>
        </a:xfrm>
        <a:prstGeom prst="wedgeRectCallout">
          <a:avLst>
            <a:gd name="adj1" fmla="val 61176"/>
            <a:gd name="adj2" fmla="val 186667"/>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0000" mc:Ignorable="a14" a14:legacySpreadsheetColorIndex="64"/>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576" tIns="18288" rIns="0" bIns="0" anchor="t" upright="1"/>
        <a:lstStyle/>
        <a:p>
          <a:pPr algn="l" rtl="0">
            <a:lnSpc>
              <a:spcPts val="1300"/>
            </a:lnSpc>
            <a:defRPr sz="1000"/>
          </a:pPr>
          <a:r>
            <a:rPr lang="ja-JP" altLang="en-US" sz="1100" b="1" i="0" u="none" strike="noStrike" baseline="0">
              <a:solidFill>
                <a:srgbClr val="008000"/>
              </a:solidFill>
              <a:latin typeface="ＭＳ Ｐゴシック"/>
              <a:ea typeface="ＭＳ Ｐゴシック"/>
            </a:rPr>
            <a:t> 37.</a:t>
          </a:r>
          <a:r>
            <a:rPr lang="ja-JP" altLang="en-US" sz="1100" b="0" i="0" u="none" strike="noStrike" baseline="0">
              <a:solidFill>
                <a:srgbClr val="000000"/>
              </a:solidFill>
              <a:latin typeface="ＭＳ Ｐゴシック"/>
              <a:ea typeface="ＭＳ Ｐゴシック"/>
            </a:rPr>
            <a:t>　</a:t>
          </a:r>
          <a:r>
            <a:rPr lang="ja-JP" altLang="en-US" sz="1000" b="0" i="0" u="none" strike="noStrike" baseline="0">
              <a:solidFill>
                <a:srgbClr val="000000"/>
              </a:solidFill>
              <a:latin typeface="ＭＳ Ｐゴシック"/>
              <a:ea typeface="ＭＳ Ｐゴシック"/>
            </a:rPr>
            <a:t>登録日、更新日</a:t>
          </a:r>
        </a:p>
        <a:p>
          <a:pPr algn="l" rtl="0">
            <a:lnSpc>
              <a:spcPts val="1100"/>
            </a:lnSpc>
            <a:defRPr sz="1000"/>
          </a:pPr>
          <a:r>
            <a:rPr lang="ja-JP" altLang="en-US" sz="1000" b="0" i="0" u="none" strike="noStrike" baseline="0">
              <a:solidFill>
                <a:srgbClr val="000000"/>
              </a:solidFill>
              <a:latin typeface="ＭＳ Ｐゴシック"/>
              <a:ea typeface="ＭＳ Ｐゴシック"/>
            </a:rPr>
            <a:t>　　　　：システム日付</a:t>
          </a:r>
        </a:p>
      </xdr:txBody>
    </xdr:sp>
    <xdr:clientData/>
  </xdr:twoCellAnchor>
  <xdr:twoCellAnchor>
    <xdr:from>
      <xdr:col>6</xdr:col>
      <xdr:colOff>323850</xdr:colOff>
      <xdr:row>40</xdr:row>
      <xdr:rowOff>0</xdr:rowOff>
    </xdr:from>
    <xdr:to>
      <xdr:col>8</xdr:col>
      <xdr:colOff>161925</xdr:colOff>
      <xdr:row>42</xdr:row>
      <xdr:rowOff>66675</xdr:rowOff>
    </xdr:to>
    <xdr:sp macro="" textlink="">
      <xdr:nvSpPr>
        <xdr:cNvPr id="21" name="AutoShape 28">
          <a:extLst>
            <a:ext uri="{FF2B5EF4-FFF2-40B4-BE49-F238E27FC236}">
              <a16:creationId xmlns:a16="http://schemas.microsoft.com/office/drawing/2014/main" id="{353E4833-98BF-4268-AC96-EB0CBEA0981E}"/>
            </a:ext>
          </a:extLst>
        </xdr:cNvPr>
        <xdr:cNvSpPr>
          <a:spLocks noChangeArrowheads="1"/>
        </xdr:cNvSpPr>
      </xdr:nvSpPr>
      <xdr:spPr bwMode="auto">
        <a:xfrm>
          <a:off x="5295900" y="6867525"/>
          <a:ext cx="1619250" cy="371475"/>
        </a:xfrm>
        <a:prstGeom prst="wedgeRectCallout">
          <a:avLst>
            <a:gd name="adj1" fmla="val -55296"/>
            <a:gd name="adj2" fmla="val 129486"/>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0000" mc:Ignorable="a14" a14:legacySpreadsheetColorIndex="64"/>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576" tIns="18288" rIns="0" bIns="0" anchor="t" upright="1"/>
        <a:lstStyle/>
        <a:p>
          <a:pPr algn="l" rtl="0">
            <a:lnSpc>
              <a:spcPts val="1300"/>
            </a:lnSpc>
            <a:defRPr sz="1000"/>
          </a:pPr>
          <a:r>
            <a:rPr lang="ja-JP" altLang="en-US" sz="1100" b="1" i="0" u="none" strike="noStrike" baseline="0">
              <a:solidFill>
                <a:srgbClr val="008000"/>
              </a:solidFill>
              <a:latin typeface="ＭＳ Ｐゴシック"/>
              <a:ea typeface="ＭＳ Ｐゴシック"/>
            </a:rPr>
            <a:t> e2：</a:t>
          </a:r>
          <a:r>
            <a:rPr lang="ja-JP" altLang="en-US" sz="900" b="0" i="0" u="none" strike="noStrike" baseline="0">
              <a:solidFill>
                <a:srgbClr val="000000"/>
              </a:solidFill>
              <a:latin typeface="ＭＳ Ｐゴシック"/>
              <a:ea typeface="ＭＳ Ｐゴシック"/>
            </a:rPr>
            <a:t>　登録者、更新者</a:t>
          </a:r>
        </a:p>
        <a:p>
          <a:pPr algn="l" rtl="0">
            <a:lnSpc>
              <a:spcPts val="1000"/>
            </a:lnSpc>
            <a:defRPr sz="1000"/>
          </a:pPr>
          <a:r>
            <a:rPr lang="ja-JP" altLang="en-US" sz="900" b="0" i="0" u="none" strike="noStrike" baseline="0">
              <a:solidFill>
                <a:srgbClr val="000000"/>
              </a:solidFill>
              <a:latin typeface="ＭＳ Ｐゴシック"/>
              <a:ea typeface="ＭＳ Ｐゴシック"/>
            </a:rPr>
            <a:t>　　　　　　：仕様通りの値</a:t>
          </a:r>
        </a:p>
      </xdr:txBody>
    </xdr:sp>
    <xdr:clientData/>
  </xdr:twoCellAnchor>
  <xdr:twoCellAnchor>
    <xdr:from>
      <xdr:col>1</xdr:col>
      <xdr:colOff>361950</xdr:colOff>
      <xdr:row>67</xdr:row>
      <xdr:rowOff>95250</xdr:rowOff>
    </xdr:from>
    <xdr:to>
      <xdr:col>3</xdr:col>
      <xdr:colOff>285750</xdr:colOff>
      <xdr:row>68</xdr:row>
      <xdr:rowOff>152400</xdr:rowOff>
    </xdr:to>
    <xdr:sp macro="" textlink="">
      <xdr:nvSpPr>
        <xdr:cNvPr id="22" name="AutoShape 33">
          <a:extLst>
            <a:ext uri="{FF2B5EF4-FFF2-40B4-BE49-F238E27FC236}">
              <a16:creationId xmlns:a16="http://schemas.microsoft.com/office/drawing/2014/main" id="{0F7B1ED1-BAB9-47A7-A031-9ABB32CA6C4F}"/>
            </a:ext>
          </a:extLst>
        </xdr:cNvPr>
        <xdr:cNvSpPr>
          <a:spLocks noChangeArrowheads="1"/>
        </xdr:cNvSpPr>
      </xdr:nvSpPr>
      <xdr:spPr bwMode="auto">
        <a:xfrm>
          <a:off x="609600" y="11963400"/>
          <a:ext cx="1323975" cy="2571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1</xdr:col>
      <xdr:colOff>361950</xdr:colOff>
      <xdr:row>56</xdr:row>
      <xdr:rowOff>95250</xdr:rowOff>
    </xdr:from>
    <xdr:to>
      <xdr:col>3</xdr:col>
      <xdr:colOff>285750</xdr:colOff>
      <xdr:row>57</xdr:row>
      <xdr:rowOff>152400</xdr:rowOff>
    </xdr:to>
    <xdr:sp macro="" textlink="">
      <xdr:nvSpPr>
        <xdr:cNvPr id="23" name="AutoShape 34">
          <a:extLst>
            <a:ext uri="{FF2B5EF4-FFF2-40B4-BE49-F238E27FC236}">
              <a16:creationId xmlns:a16="http://schemas.microsoft.com/office/drawing/2014/main" id="{6F1FF9B3-CE2C-4B11-B403-B603FA74CA5D}"/>
            </a:ext>
          </a:extLst>
        </xdr:cNvPr>
        <xdr:cNvSpPr>
          <a:spLocks noChangeArrowheads="1"/>
        </xdr:cNvSpPr>
      </xdr:nvSpPr>
      <xdr:spPr bwMode="auto">
        <a:xfrm>
          <a:off x="609600" y="9791700"/>
          <a:ext cx="1323975" cy="2571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editAs="oneCell">
    <xdr:from>
      <xdr:col>1</xdr:col>
      <xdr:colOff>323850</xdr:colOff>
      <xdr:row>58</xdr:row>
      <xdr:rowOff>38100</xdr:rowOff>
    </xdr:from>
    <xdr:to>
      <xdr:col>7</xdr:col>
      <xdr:colOff>800100</xdr:colOff>
      <xdr:row>60</xdr:row>
      <xdr:rowOff>161925</xdr:rowOff>
    </xdr:to>
    <xdr:pic>
      <xdr:nvPicPr>
        <xdr:cNvPr id="24" name="Picture 38">
          <a:extLst>
            <a:ext uri="{FF2B5EF4-FFF2-40B4-BE49-F238E27FC236}">
              <a16:creationId xmlns:a16="http://schemas.microsoft.com/office/drawing/2014/main" id="{84405C72-9445-4451-A1A7-A03BBB6A5FA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71500" y="10134600"/>
          <a:ext cx="5734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276225</xdr:colOff>
      <xdr:row>79</xdr:row>
      <xdr:rowOff>85725</xdr:rowOff>
    </xdr:from>
    <xdr:to>
      <xdr:col>7</xdr:col>
      <xdr:colOff>752475</xdr:colOff>
      <xdr:row>82</xdr:row>
      <xdr:rowOff>9525</xdr:rowOff>
    </xdr:to>
    <xdr:pic>
      <xdr:nvPicPr>
        <xdr:cNvPr id="25" name="Picture 40">
          <a:extLst>
            <a:ext uri="{FF2B5EF4-FFF2-40B4-BE49-F238E27FC236}">
              <a16:creationId xmlns:a16="http://schemas.microsoft.com/office/drawing/2014/main" id="{080866AC-F8BE-46CC-AFA3-E78FFF2BB1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523875" y="14325600"/>
          <a:ext cx="5734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352425</xdr:colOff>
      <xdr:row>69</xdr:row>
      <xdr:rowOff>9525</xdr:rowOff>
    </xdr:from>
    <xdr:to>
      <xdr:col>7</xdr:col>
      <xdr:colOff>828675</xdr:colOff>
      <xdr:row>71</xdr:row>
      <xdr:rowOff>133350</xdr:rowOff>
    </xdr:to>
    <xdr:pic>
      <xdr:nvPicPr>
        <xdr:cNvPr id="26" name="Picture 41">
          <a:extLst>
            <a:ext uri="{FF2B5EF4-FFF2-40B4-BE49-F238E27FC236}">
              <a16:creationId xmlns:a16="http://schemas.microsoft.com/office/drawing/2014/main" id="{3E35CD72-ABE4-44EB-9ADD-008D8F6705D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600075" y="12277725"/>
          <a:ext cx="5734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257175</xdr:colOff>
      <xdr:row>89</xdr:row>
      <xdr:rowOff>104775</xdr:rowOff>
    </xdr:from>
    <xdr:to>
      <xdr:col>7</xdr:col>
      <xdr:colOff>733425</xdr:colOff>
      <xdr:row>92</xdr:row>
      <xdr:rowOff>28575</xdr:rowOff>
    </xdr:to>
    <xdr:pic>
      <xdr:nvPicPr>
        <xdr:cNvPr id="27" name="Picture 42">
          <a:extLst>
            <a:ext uri="{FF2B5EF4-FFF2-40B4-BE49-F238E27FC236}">
              <a16:creationId xmlns:a16="http://schemas.microsoft.com/office/drawing/2014/main" id="{7A868E3F-A421-4275-9561-FBE6F802C692}"/>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504825" y="16316325"/>
          <a:ext cx="5734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7.xml><?xml version="1.0" encoding="utf-8"?>
<xdr:wsDr xmlns:xdr="http://schemas.openxmlformats.org/drawingml/2006/spreadsheetDrawing" xmlns:a="http://schemas.openxmlformats.org/drawingml/2006/main">
  <xdr:twoCellAnchor>
    <xdr:from>
      <xdr:col>9</xdr:col>
      <xdr:colOff>38100</xdr:colOff>
      <xdr:row>9</xdr:row>
      <xdr:rowOff>19050</xdr:rowOff>
    </xdr:from>
    <xdr:to>
      <xdr:col>9</xdr:col>
      <xdr:colOff>180975</xdr:colOff>
      <xdr:row>11</xdr:row>
      <xdr:rowOff>38100</xdr:rowOff>
    </xdr:to>
    <xdr:sp macro="" textlink="">
      <xdr:nvSpPr>
        <xdr:cNvPr id="2" name="AutoShape 5">
          <a:extLst>
            <a:ext uri="{FF2B5EF4-FFF2-40B4-BE49-F238E27FC236}">
              <a16:creationId xmlns:a16="http://schemas.microsoft.com/office/drawing/2014/main" id="{01DEC6AD-65D9-4F91-9197-9D2906A8A9C6}"/>
            </a:ext>
          </a:extLst>
        </xdr:cNvPr>
        <xdr:cNvSpPr>
          <a:spLocks/>
        </xdr:cNvSpPr>
      </xdr:nvSpPr>
      <xdr:spPr bwMode="auto">
        <a:xfrm>
          <a:off x="7077075" y="1828800"/>
          <a:ext cx="142875" cy="323850"/>
        </a:xfrm>
        <a:prstGeom prst="rightBrace">
          <a:avLst>
            <a:gd name="adj1" fmla="val 18889"/>
            <a:gd name="adj2" fmla="val 45681"/>
          </a:avLst>
        </a:prstGeom>
        <a:noFill/>
        <a:ln w="9525">
          <a:solidFill>
            <a:srgbClr xmlns:mc="http://schemas.openxmlformats.org/markup-compatibility/2006" xmlns:a14="http://schemas.microsoft.com/office/drawing/2010/main" val="FF6600" mc:Ignorable="a14" a14:legacySpreadsheetColorIndex="53"/>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57150</xdr:colOff>
      <xdr:row>21</xdr:row>
      <xdr:rowOff>57150</xdr:rowOff>
    </xdr:from>
    <xdr:to>
      <xdr:col>9</xdr:col>
      <xdr:colOff>219075</xdr:colOff>
      <xdr:row>24</xdr:row>
      <xdr:rowOff>114300</xdr:rowOff>
    </xdr:to>
    <xdr:sp macro="" textlink="">
      <xdr:nvSpPr>
        <xdr:cNvPr id="3" name="AutoShape 6">
          <a:extLst>
            <a:ext uri="{FF2B5EF4-FFF2-40B4-BE49-F238E27FC236}">
              <a16:creationId xmlns:a16="http://schemas.microsoft.com/office/drawing/2014/main" id="{03B4CAAD-A759-40AB-B08C-24DB5F016B1A}"/>
            </a:ext>
          </a:extLst>
        </xdr:cNvPr>
        <xdr:cNvSpPr>
          <a:spLocks/>
        </xdr:cNvSpPr>
      </xdr:nvSpPr>
      <xdr:spPr bwMode="auto">
        <a:xfrm>
          <a:off x="7096125" y="3695700"/>
          <a:ext cx="161925" cy="504825"/>
        </a:xfrm>
        <a:prstGeom prst="rightBrace">
          <a:avLst>
            <a:gd name="adj1" fmla="val 25980"/>
            <a:gd name="adj2" fmla="val 45681"/>
          </a:avLst>
        </a:prstGeom>
        <a:noFill/>
        <a:ln w="9525">
          <a:solidFill>
            <a:srgbClr xmlns:mc="http://schemas.openxmlformats.org/markup-compatibility/2006" xmlns:a14="http://schemas.microsoft.com/office/drawing/2010/main" val="969696" mc:Ignorable="a14" a14:legacySpreadsheetColorIndex="55"/>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200025</xdr:colOff>
      <xdr:row>8</xdr:row>
      <xdr:rowOff>114300</xdr:rowOff>
    </xdr:from>
    <xdr:to>
      <xdr:col>10</xdr:col>
      <xdr:colOff>228600</xdr:colOff>
      <xdr:row>11</xdr:row>
      <xdr:rowOff>47625</xdr:rowOff>
    </xdr:to>
    <xdr:sp macro="" textlink="">
      <xdr:nvSpPr>
        <xdr:cNvPr id="4" name="Text Box 7">
          <a:extLst>
            <a:ext uri="{FF2B5EF4-FFF2-40B4-BE49-F238E27FC236}">
              <a16:creationId xmlns:a16="http://schemas.microsoft.com/office/drawing/2014/main" id="{88B67D19-931A-424F-8299-1AE941FBFD54}"/>
            </a:ext>
          </a:extLst>
        </xdr:cNvPr>
        <xdr:cNvSpPr txBox="1">
          <a:spLocks noChangeArrowheads="1"/>
        </xdr:cNvSpPr>
      </xdr:nvSpPr>
      <xdr:spPr bwMode="auto">
        <a:xfrm>
          <a:off x="7239000" y="1771650"/>
          <a:ext cx="1257300" cy="3905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100"/>
            </a:lnSpc>
            <a:defRPr sz="1000"/>
          </a:pPr>
          <a:endParaRPr lang="ja-JP" altLang="en-US" sz="900" b="0" i="0" u="none" strike="noStrike" baseline="0">
            <a:solidFill>
              <a:srgbClr val="FF6600"/>
            </a:solidFill>
            <a:latin typeface="ＭＳ Ｐゴシック"/>
            <a:ea typeface="ＭＳ Ｐゴシック"/>
          </a:endParaRPr>
        </a:p>
        <a:p>
          <a:pPr algn="l" rtl="0">
            <a:lnSpc>
              <a:spcPts val="1000"/>
            </a:lnSpc>
            <a:defRPr sz="1000"/>
          </a:pPr>
          <a:r>
            <a:rPr lang="ja-JP" altLang="en-US" sz="900" b="0" i="0" u="none" strike="noStrike" baseline="0">
              <a:solidFill>
                <a:srgbClr val="FF6600"/>
              </a:solidFill>
              <a:latin typeface="ＭＳ Ｐゴシック"/>
              <a:ea typeface="ＭＳ Ｐゴシック"/>
            </a:rPr>
            <a:t> 削除対象</a:t>
          </a:r>
        </a:p>
      </xdr:txBody>
    </xdr:sp>
    <xdr:clientData/>
  </xdr:twoCellAnchor>
  <xdr:twoCellAnchor>
    <xdr:from>
      <xdr:col>9</xdr:col>
      <xdr:colOff>247650</xdr:colOff>
      <xdr:row>21</xdr:row>
      <xdr:rowOff>114300</xdr:rowOff>
    </xdr:from>
    <xdr:to>
      <xdr:col>10</xdr:col>
      <xdr:colOff>390525</xdr:colOff>
      <xdr:row>23</xdr:row>
      <xdr:rowOff>104775</xdr:rowOff>
    </xdr:to>
    <xdr:sp macro="" textlink="">
      <xdr:nvSpPr>
        <xdr:cNvPr id="5" name="Text Box 8">
          <a:extLst>
            <a:ext uri="{FF2B5EF4-FFF2-40B4-BE49-F238E27FC236}">
              <a16:creationId xmlns:a16="http://schemas.microsoft.com/office/drawing/2014/main" id="{B4C6612D-DAF3-4B7C-843D-75EA57C632A7}"/>
            </a:ext>
          </a:extLst>
        </xdr:cNvPr>
        <xdr:cNvSpPr txBox="1">
          <a:spLocks noChangeArrowheads="1"/>
        </xdr:cNvSpPr>
      </xdr:nvSpPr>
      <xdr:spPr bwMode="auto">
        <a:xfrm>
          <a:off x="7286625" y="3752850"/>
          <a:ext cx="1371600" cy="2952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100"/>
            </a:lnSpc>
            <a:defRPr sz="1000"/>
          </a:pPr>
          <a:endParaRPr lang="ja-JP" altLang="en-US" sz="900" b="0" i="0" u="none" strike="noStrike" baseline="0">
            <a:solidFill>
              <a:srgbClr val="808080"/>
            </a:solidFill>
            <a:latin typeface="ＭＳ Ｐゴシック"/>
            <a:ea typeface="ＭＳ Ｐゴシック"/>
          </a:endParaRPr>
        </a:p>
        <a:p>
          <a:pPr algn="l" rtl="0">
            <a:lnSpc>
              <a:spcPts val="1000"/>
            </a:lnSpc>
            <a:defRPr sz="1000"/>
          </a:pPr>
          <a:r>
            <a:rPr lang="ja-JP" altLang="en-US" sz="900" b="0" i="0" u="none" strike="noStrike" baseline="0">
              <a:solidFill>
                <a:srgbClr val="808080"/>
              </a:solidFill>
              <a:latin typeface="ＭＳ Ｐゴシック"/>
              <a:ea typeface="ＭＳ Ｐゴシック"/>
            </a:rPr>
            <a:t>追加対象</a:t>
          </a:r>
        </a:p>
      </xdr:txBody>
    </xdr:sp>
    <xdr:clientData/>
  </xdr:twoCellAnchor>
  <xdr:twoCellAnchor>
    <xdr:from>
      <xdr:col>9</xdr:col>
      <xdr:colOff>190500</xdr:colOff>
      <xdr:row>15</xdr:row>
      <xdr:rowOff>133350</xdr:rowOff>
    </xdr:from>
    <xdr:to>
      <xdr:col>10</xdr:col>
      <xdr:colOff>285750</xdr:colOff>
      <xdr:row>17</xdr:row>
      <xdr:rowOff>28575</xdr:rowOff>
    </xdr:to>
    <xdr:sp macro="" textlink="">
      <xdr:nvSpPr>
        <xdr:cNvPr id="6" name="Text Box 9">
          <a:extLst>
            <a:ext uri="{FF2B5EF4-FFF2-40B4-BE49-F238E27FC236}">
              <a16:creationId xmlns:a16="http://schemas.microsoft.com/office/drawing/2014/main" id="{2E5C56EA-2332-414D-B268-2FA607613AE7}"/>
            </a:ext>
          </a:extLst>
        </xdr:cNvPr>
        <xdr:cNvSpPr txBox="1">
          <a:spLocks noChangeArrowheads="1"/>
        </xdr:cNvSpPr>
      </xdr:nvSpPr>
      <xdr:spPr bwMode="auto">
        <a:xfrm>
          <a:off x="7229475" y="2857500"/>
          <a:ext cx="1323975" cy="2000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900" b="0" i="0" u="none" strike="noStrike" baseline="0">
              <a:solidFill>
                <a:srgbClr val="808080"/>
              </a:solidFill>
              <a:latin typeface="ＭＳ Ｐゴシック"/>
              <a:ea typeface="ＭＳ Ｐゴシック"/>
            </a:rPr>
            <a:t>　更新対象</a:t>
          </a:r>
        </a:p>
      </xdr:txBody>
    </xdr:sp>
    <xdr:clientData/>
  </xdr:twoCellAnchor>
  <xdr:twoCellAnchor>
    <xdr:from>
      <xdr:col>4</xdr:col>
      <xdr:colOff>771525</xdr:colOff>
      <xdr:row>25</xdr:row>
      <xdr:rowOff>114300</xdr:rowOff>
    </xdr:from>
    <xdr:to>
      <xdr:col>5</xdr:col>
      <xdr:colOff>1162050</xdr:colOff>
      <xdr:row>28</xdr:row>
      <xdr:rowOff>19050</xdr:rowOff>
    </xdr:to>
    <xdr:sp macro="" textlink="">
      <xdr:nvSpPr>
        <xdr:cNvPr id="7" name="AutoShape 10">
          <a:extLst>
            <a:ext uri="{FF2B5EF4-FFF2-40B4-BE49-F238E27FC236}">
              <a16:creationId xmlns:a16="http://schemas.microsoft.com/office/drawing/2014/main" id="{4C5CD7DF-65A3-411B-A41F-57B1F83248D3}"/>
            </a:ext>
          </a:extLst>
        </xdr:cNvPr>
        <xdr:cNvSpPr>
          <a:spLocks noChangeArrowheads="1"/>
        </xdr:cNvSpPr>
      </xdr:nvSpPr>
      <xdr:spPr bwMode="auto">
        <a:xfrm>
          <a:off x="3114675" y="4400550"/>
          <a:ext cx="1524000" cy="504825"/>
        </a:xfrm>
        <a:prstGeom prst="downArrow">
          <a:avLst>
            <a:gd name="adj1" fmla="val 49407"/>
            <a:gd name="adj2" fmla="val 61704"/>
          </a:avLst>
        </a:prstGeom>
        <a:solidFill>
          <a:srgbClr xmlns:mc="http://schemas.openxmlformats.org/markup-compatibility/2006" xmlns:a14="http://schemas.microsoft.com/office/drawing/2010/main" val="C0C0C0" mc:Ignorable="a14" a14:legacySpreadsheetColorIndex="22"/>
        </a:solidFill>
        <a:ln>
          <a:noFill/>
        </a:ln>
        <a:effectLst/>
        <a:extLst>
          <a:ext uri="{91240B29-F687-4F45-9708-019B960494DF}">
            <a14:hiddenLine xmlns:a14="http://schemas.microsoft.com/office/drawing/2010/main" w="12700">
              <a:solidFill>
                <a:srgbClr xmlns:mc="http://schemas.openxmlformats.org/markup-compatibility/2006" val="FF0000" mc:Ignorable="a14" a14:legacySpreadsheetColorIndex="1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9</xdr:col>
      <xdr:colOff>57150</xdr:colOff>
      <xdr:row>32</xdr:row>
      <xdr:rowOff>47625</xdr:rowOff>
    </xdr:from>
    <xdr:to>
      <xdr:col>9</xdr:col>
      <xdr:colOff>209550</xdr:colOff>
      <xdr:row>34</xdr:row>
      <xdr:rowOff>19050</xdr:rowOff>
    </xdr:to>
    <xdr:sp macro="" textlink="">
      <xdr:nvSpPr>
        <xdr:cNvPr id="8" name="AutoShape 11">
          <a:extLst>
            <a:ext uri="{FF2B5EF4-FFF2-40B4-BE49-F238E27FC236}">
              <a16:creationId xmlns:a16="http://schemas.microsoft.com/office/drawing/2014/main" id="{1E93A4AA-E83A-4506-AE49-B298A96F1D1A}"/>
            </a:ext>
          </a:extLst>
        </xdr:cNvPr>
        <xdr:cNvSpPr>
          <a:spLocks/>
        </xdr:cNvSpPr>
      </xdr:nvSpPr>
      <xdr:spPr bwMode="auto">
        <a:xfrm>
          <a:off x="7096125" y="5695950"/>
          <a:ext cx="152400" cy="276225"/>
        </a:xfrm>
        <a:prstGeom prst="rightBrace">
          <a:avLst>
            <a:gd name="adj1" fmla="val 15104"/>
            <a:gd name="adj2" fmla="val 45681"/>
          </a:avLst>
        </a:prstGeom>
        <a:noFill/>
        <a:ln w="9525">
          <a:solidFill>
            <a:srgbClr xmlns:mc="http://schemas.openxmlformats.org/markup-compatibility/2006" xmlns:a14="http://schemas.microsoft.com/office/drawing/2010/main" val="FF6600" mc:Ignorable="a14" a14:legacySpreadsheetColorIndex="53"/>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57150</xdr:colOff>
      <xdr:row>42</xdr:row>
      <xdr:rowOff>28575</xdr:rowOff>
    </xdr:from>
    <xdr:to>
      <xdr:col>9</xdr:col>
      <xdr:colOff>238125</xdr:colOff>
      <xdr:row>46</xdr:row>
      <xdr:rowOff>0</xdr:rowOff>
    </xdr:to>
    <xdr:sp macro="" textlink="">
      <xdr:nvSpPr>
        <xdr:cNvPr id="9" name="AutoShape 12">
          <a:extLst>
            <a:ext uri="{FF2B5EF4-FFF2-40B4-BE49-F238E27FC236}">
              <a16:creationId xmlns:a16="http://schemas.microsoft.com/office/drawing/2014/main" id="{2FC88204-ED89-485A-8FA3-FCFD9A0124EB}"/>
            </a:ext>
          </a:extLst>
        </xdr:cNvPr>
        <xdr:cNvSpPr>
          <a:spLocks/>
        </xdr:cNvSpPr>
      </xdr:nvSpPr>
      <xdr:spPr bwMode="auto">
        <a:xfrm>
          <a:off x="7096125" y="7200900"/>
          <a:ext cx="180975" cy="619125"/>
        </a:xfrm>
        <a:prstGeom prst="rightBrace">
          <a:avLst>
            <a:gd name="adj1" fmla="val 27193"/>
            <a:gd name="adj2" fmla="val 45681"/>
          </a:avLst>
        </a:prstGeom>
        <a:noFill/>
        <a:ln w="9525">
          <a:solidFill>
            <a:srgbClr xmlns:mc="http://schemas.openxmlformats.org/markup-compatibility/2006" xmlns:a14="http://schemas.microsoft.com/office/drawing/2010/main" val="969696" mc:Ignorable="a14" a14:legacySpreadsheetColorIndex="55"/>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209550</xdr:colOff>
      <xdr:row>31</xdr:row>
      <xdr:rowOff>123825</xdr:rowOff>
    </xdr:from>
    <xdr:to>
      <xdr:col>10</xdr:col>
      <xdr:colOff>238125</xdr:colOff>
      <xdr:row>34</xdr:row>
      <xdr:rowOff>19050</xdr:rowOff>
    </xdr:to>
    <xdr:sp macro="" textlink="">
      <xdr:nvSpPr>
        <xdr:cNvPr id="10" name="Text Box 13">
          <a:extLst>
            <a:ext uri="{FF2B5EF4-FFF2-40B4-BE49-F238E27FC236}">
              <a16:creationId xmlns:a16="http://schemas.microsoft.com/office/drawing/2014/main" id="{67823EAE-F344-4BA3-B53D-02A10B2AD162}"/>
            </a:ext>
          </a:extLst>
        </xdr:cNvPr>
        <xdr:cNvSpPr txBox="1">
          <a:spLocks noChangeArrowheads="1"/>
        </xdr:cNvSpPr>
      </xdr:nvSpPr>
      <xdr:spPr bwMode="auto">
        <a:xfrm>
          <a:off x="7248525" y="5619750"/>
          <a:ext cx="1257300" cy="3524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100"/>
            </a:lnSpc>
            <a:defRPr sz="1000"/>
          </a:pPr>
          <a:endParaRPr lang="ja-JP" altLang="en-US" sz="900" b="0" i="0" u="none" strike="noStrike" baseline="0">
            <a:solidFill>
              <a:srgbClr val="FF6600"/>
            </a:solidFill>
            <a:latin typeface="ＭＳ Ｐゴシック"/>
            <a:ea typeface="ＭＳ Ｐゴシック"/>
          </a:endParaRPr>
        </a:p>
        <a:p>
          <a:pPr algn="l" rtl="0">
            <a:lnSpc>
              <a:spcPts val="1000"/>
            </a:lnSpc>
            <a:defRPr sz="1000"/>
          </a:pPr>
          <a:r>
            <a:rPr lang="ja-JP" altLang="en-US" sz="900" b="0" i="0" u="none" strike="noStrike" baseline="0">
              <a:solidFill>
                <a:srgbClr val="FF6600"/>
              </a:solidFill>
              <a:latin typeface="ＭＳ Ｐゴシック"/>
              <a:ea typeface="ＭＳ Ｐゴシック"/>
            </a:rPr>
            <a:t> 物理削除</a:t>
          </a:r>
        </a:p>
      </xdr:txBody>
    </xdr:sp>
    <xdr:clientData/>
  </xdr:twoCellAnchor>
  <xdr:twoCellAnchor>
    <xdr:from>
      <xdr:col>9</xdr:col>
      <xdr:colOff>266700</xdr:colOff>
      <xdr:row>42</xdr:row>
      <xdr:rowOff>104775</xdr:rowOff>
    </xdr:from>
    <xdr:to>
      <xdr:col>10</xdr:col>
      <xdr:colOff>409575</xdr:colOff>
      <xdr:row>44</xdr:row>
      <xdr:rowOff>95250</xdr:rowOff>
    </xdr:to>
    <xdr:sp macro="" textlink="">
      <xdr:nvSpPr>
        <xdr:cNvPr id="11" name="Text Box 14">
          <a:extLst>
            <a:ext uri="{FF2B5EF4-FFF2-40B4-BE49-F238E27FC236}">
              <a16:creationId xmlns:a16="http://schemas.microsoft.com/office/drawing/2014/main" id="{6F529FF7-0CE6-472C-9D9E-19C6D580174B}"/>
            </a:ext>
          </a:extLst>
        </xdr:cNvPr>
        <xdr:cNvSpPr txBox="1">
          <a:spLocks noChangeArrowheads="1"/>
        </xdr:cNvSpPr>
      </xdr:nvSpPr>
      <xdr:spPr bwMode="auto">
        <a:xfrm>
          <a:off x="7305675" y="7277100"/>
          <a:ext cx="1371600" cy="2952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100"/>
            </a:lnSpc>
            <a:defRPr sz="1000"/>
          </a:pPr>
          <a:endParaRPr lang="ja-JP" altLang="en-US" sz="900" b="0" i="0" u="none" strike="noStrike" baseline="0">
            <a:solidFill>
              <a:srgbClr val="969696"/>
            </a:solidFill>
            <a:latin typeface="ＭＳ Ｐゴシック"/>
            <a:ea typeface="ＭＳ Ｐゴシック"/>
          </a:endParaRPr>
        </a:p>
        <a:p>
          <a:pPr algn="l" rtl="0">
            <a:lnSpc>
              <a:spcPts val="1000"/>
            </a:lnSpc>
            <a:defRPr sz="1000"/>
          </a:pPr>
          <a:r>
            <a:rPr lang="ja-JP" altLang="en-US" sz="900" b="0" i="0" u="none" strike="noStrike" baseline="0">
              <a:solidFill>
                <a:srgbClr val="969696"/>
              </a:solidFill>
              <a:latin typeface="ＭＳ Ｐゴシック"/>
              <a:ea typeface="ＭＳ Ｐゴシック"/>
            </a:rPr>
            <a:t>追加</a:t>
          </a:r>
        </a:p>
      </xdr:txBody>
    </xdr:sp>
    <xdr:clientData/>
  </xdr:twoCellAnchor>
  <xdr:twoCellAnchor>
    <xdr:from>
      <xdr:col>9</xdr:col>
      <xdr:colOff>190500</xdr:colOff>
      <xdr:row>37</xdr:row>
      <xdr:rowOff>9525</xdr:rowOff>
    </xdr:from>
    <xdr:to>
      <xdr:col>10</xdr:col>
      <xdr:colOff>285750</xdr:colOff>
      <xdr:row>38</xdr:row>
      <xdr:rowOff>57150</xdr:rowOff>
    </xdr:to>
    <xdr:sp macro="" textlink="">
      <xdr:nvSpPr>
        <xdr:cNvPr id="12" name="Text Box 15">
          <a:extLst>
            <a:ext uri="{FF2B5EF4-FFF2-40B4-BE49-F238E27FC236}">
              <a16:creationId xmlns:a16="http://schemas.microsoft.com/office/drawing/2014/main" id="{A5E03D14-FC5E-40AC-B37F-412E38DC3D9D}"/>
            </a:ext>
          </a:extLst>
        </xdr:cNvPr>
        <xdr:cNvSpPr txBox="1">
          <a:spLocks noChangeArrowheads="1"/>
        </xdr:cNvSpPr>
      </xdr:nvSpPr>
      <xdr:spPr bwMode="auto">
        <a:xfrm>
          <a:off x="7229475" y="6419850"/>
          <a:ext cx="1323975" cy="2000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900" b="0" i="0" u="none" strike="noStrike" baseline="0">
              <a:solidFill>
                <a:srgbClr val="969696"/>
              </a:solidFill>
              <a:latin typeface="ＭＳ Ｐゴシック"/>
              <a:ea typeface="ＭＳ Ｐゴシック"/>
            </a:rPr>
            <a:t>　更新</a:t>
          </a:r>
        </a:p>
      </xdr:txBody>
    </xdr:sp>
    <xdr:clientData/>
  </xdr:twoCellAnchor>
  <xdr:twoCellAnchor>
    <xdr:from>
      <xdr:col>9</xdr:col>
      <xdr:colOff>47625</xdr:colOff>
      <xdr:row>14</xdr:row>
      <xdr:rowOff>133350</xdr:rowOff>
    </xdr:from>
    <xdr:to>
      <xdr:col>9</xdr:col>
      <xdr:colOff>238125</xdr:colOff>
      <xdr:row>17</xdr:row>
      <xdr:rowOff>142875</xdr:rowOff>
    </xdr:to>
    <xdr:sp macro="" textlink="">
      <xdr:nvSpPr>
        <xdr:cNvPr id="13" name="AutoShape 16">
          <a:extLst>
            <a:ext uri="{FF2B5EF4-FFF2-40B4-BE49-F238E27FC236}">
              <a16:creationId xmlns:a16="http://schemas.microsoft.com/office/drawing/2014/main" id="{8737F2DC-9BF9-4166-B783-3CCEF5BAD6C4}"/>
            </a:ext>
          </a:extLst>
        </xdr:cNvPr>
        <xdr:cNvSpPr>
          <a:spLocks/>
        </xdr:cNvSpPr>
      </xdr:nvSpPr>
      <xdr:spPr bwMode="auto">
        <a:xfrm>
          <a:off x="7086600" y="2705100"/>
          <a:ext cx="190500" cy="466725"/>
        </a:xfrm>
        <a:prstGeom prst="rightBrace">
          <a:avLst>
            <a:gd name="adj1" fmla="val 20417"/>
            <a:gd name="adj2" fmla="val 45681"/>
          </a:avLst>
        </a:prstGeom>
        <a:noFill/>
        <a:ln w="9525">
          <a:solidFill>
            <a:srgbClr xmlns:mc="http://schemas.openxmlformats.org/markup-compatibility/2006" xmlns:a14="http://schemas.microsoft.com/office/drawing/2010/main" val="969696" mc:Ignorable="a14" a14:legacySpreadsheetColorIndex="55"/>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47625</xdr:colOff>
      <xdr:row>36</xdr:row>
      <xdr:rowOff>19050</xdr:rowOff>
    </xdr:from>
    <xdr:to>
      <xdr:col>9</xdr:col>
      <xdr:colOff>238125</xdr:colOff>
      <xdr:row>39</xdr:row>
      <xdr:rowOff>28575</xdr:rowOff>
    </xdr:to>
    <xdr:sp macro="" textlink="">
      <xdr:nvSpPr>
        <xdr:cNvPr id="14" name="AutoShape 17">
          <a:extLst>
            <a:ext uri="{FF2B5EF4-FFF2-40B4-BE49-F238E27FC236}">
              <a16:creationId xmlns:a16="http://schemas.microsoft.com/office/drawing/2014/main" id="{90BA1619-F9A2-4DD5-8ACE-C0A9A0DF37C8}"/>
            </a:ext>
          </a:extLst>
        </xdr:cNvPr>
        <xdr:cNvSpPr>
          <a:spLocks/>
        </xdr:cNvSpPr>
      </xdr:nvSpPr>
      <xdr:spPr bwMode="auto">
        <a:xfrm>
          <a:off x="7086600" y="6276975"/>
          <a:ext cx="190500" cy="466725"/>
        </a:xfrm>
        <a:prstGeom prst="rightBrace">
          <a:avLst>
            <a:gd name="adj1" fmla="val 20417"/>
            <a:gd name="adj2" fmla="val 45681"/>
          </a:avLst>
        </a:prstGeom>
        <a:noFill/>
        <a:ln w="9525">
          <a:solidFill>
            <a:srgbClr xmlns:mc="http://schemas.openxmlformats.org/markup-compatibility/2006" xmlns:a14="http://schemas.microsoft.com/office/drawing/2010/main" val="969696" mc:Ignorable="a14" a14:legacySpreadsheetColorIndex="55"/>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10</xdr:col>
      <xdr:colOff>190500</xdr:colOff>
      <xdr:row>33</xdr:row>
      <xdr:rowOff>104775</xdr:rowOff>
    </xdr:from>
    <xdr:to>
      <xdr:col>11</xdr:col>
      <xdr:colOff>276225</xdr:colOff>
      <xdr:row>34</xdr:row>
      <xdr:rowOff>0</xdr:rowOff>
    </xdr:to>
    <xdr:sp macro="" textlink="">
      <xdr:nvSpPr>
        <xdr:cNvPr id="15" name="Text Box 19">
          <a:extLst>
            <a:ext uri="{FF2B5EF4-FFF2-40B4-BE49-F238E27FC236}">
              <a16:creationId xmlns:a16="http://schemas.microsoft.com/office/drawing/2014/main" id="{ADA6CDEE-5A9C-4B71-BEAA-2DF20D1E80A6}"/>
            </a:ext>
          </a:extLst>
        </xdr:cNvPr>
        <xdr:cNvSpPr txBox="1">
          <a:spLocks noChangeArrowheads="1"/>
        </xdr:cNvSpPr>
      </xdr:nvSpPr>
      <xdr:spPr bwMode="auto">
        <a:xfrm>
          <a:off x="8458200" y="5905500"/>
          <a:ext cx="619125" cy="476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endParaRPr lang="ja-JP" altLang="en-US" sz="900" b="0" i="0" u="none" strike="noStrike" baseline="0">
            <a:solidFill>
              <a:srgbClr val="FF6600"/>
            </a:solidFill>
            <a:latin typeface="ＭＳ Ｐゴシック"/>
            <a:ea typeface="ＭＳ Ｐゴシック"/>
          </a:endParaRPr>
        </a:p>
        <a:p>
          <a:pPr algn="l" rtl="0">
            <a:defRPr sz="1000"/>
          </a:pPr>
          <a:r>
            <a:rPr lang="ja-JP" altLang="en-US" sz="900" b="0" i="0" u="none" strike="noStrike" baseline="0">
              <a:solidFill>
                <a:srgbClr val="FF6600"/>
              </a:solidFill>
              <a:latin typeface="ＭＳ Ｐゴシック"/>
              <a:ea typeface="ＭＳ Ｐゴシック"/>
            </a:rPr>
            <a:t> 論理削除</a:t>
          </a:r>
        </a:p>
      </xdr:txBody>
    </xdr:sp>
    <xdr:clientData/>
  </xdr:twoCellAnchor>
  <xdr:twoCellAnchor>
    <xdr:from>
      <xdr:col>1</xdr:col>
      <xdr:colOff>209550</xdr:colOff>
      <xdr:row>72</xdr:row>
      <xdr:rowOff>142875</xdr:rowOff>
    </xdr:from>
    <xdr:to>
      <xdr:col>3</xdr:col>
      <xdr:colOff>133350</xdr:colOff>
      <xdr:row>74</xdr:row>
      <xdr:rowOff>28575</xdr:rowOff>
    </xdr:to>
    <xdr:sp macro="" textlink="">
      <xdr:nvSpPr>
        <xdr:cNvPr id="16" name="AutoShape 22">
          <a:extLst>
            <a:ext uri="{FF2B5EF4-FFF2-40B4-BE49-F238E27FC236}">
              <a16:creationId xmlns:a16="http://schemas.microsoft.com/office/drawing/2014/main" id="{A2D3C10D-8372-4B19-96C7-06987B4AFBF6}"/>
            </a:ext>
          </a:extLst>
        </xdr:cNvPr>
        <xdr:cNvSpPr>
          <a:spLocks noChangeArrowheads="1"/>
        </xdr:cNvSpPr>
      </xdr:nvSpPr>
      <xdr:spPr bwMode="auto">
        <a:xfrm>
          <a:off x="457200" y="13077825"/>
          <a:ext cx="1076325" cy="28575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1</xdr:col>
      <xdr:colOff>219075</xdr:colOff>
      <xdr:row>83</xdr:row>
      <xdr:rowOff>104775</xdr:rowOff>
    </xdr:from>
    <xdr:to>
      <xdr:col>3</xdr:col>
      <xdr:colOff>142875</xdr:colOff>
      <xdr:row>84</xdr:row>
      <xdr:rowOff>161925</xdr:rowOff>
    </xdr:to>
    <xdr:sp macro="" textlink="">
      <xdr:nvSpPr>
        <xdr:cNvPr id="17" name="AutoShape 23">
          <a:extLst>
            <a:ext uri="{FF2B5EF4-FFF2-40B4-BE49-F238E27FC236}">
              <a16:creationId xmlns:a16="http://schemas.microsoft.com/office/drawing/2014/main" id="{05E2300A-6DA5-4485-A7EC-085781A162D2}"/>
            </a:ext>
          </a:extLst>
        </xdr:cNvPr>
        <xdr:cNvSpPr>
          <a:spLocks noChangeArrowheads="1"/>
        </xdr:cNvSpPr>
      </xdr:nvSpPr>
      <xdr:spPr bwMode="auto">
        <a:xfrm>
          <a:off x="466725" y="15211425"/>
          <a:ext cx="1076325" cy="2571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1</xdr:col>
      <xdr:colOff>285750</xdr:colOff>
      <xdr:row>62</xdr:row>
      <xdr:rowOff>95250</xdr:rowOff>
    </xdr:from>
    <xdr:to>
      <xdr:col>3</xdr:col>
      <xdr:colOff>209550</xdr:colOff>
      <xdr:row>63</xdr:row>
      <xdr:rowOff>152400</xdr:rowOff>
    </xdr:to>
    <xdr:sp macro="" textlink="">
      <xdr:nvSpPr>
        <xdr:cNvPr id="18" name="AutoShape 33">
          <a:extLst>
            <a:ext uri="{FF2B5EF4-FFF2-40B4-BE49-F238E27FC236}">
              <a16:creationId xmlns:a16="http://schemas.microsoft.com/office/drawing/2014/main" id="{37846066-1450-4786-AE07-179FFE98478A}"/>
            </a:ext>
          </a:extLst>
        </xdr:cNvPr>
        <xdr:cNvSpPr>
          <a:spLocks noChangeArrowheads="1"/>
        </xdr:cNvSpPr>
      </xdr:nvSpPr>
      <xdr:spPr bwMode="auto">
        <a:xfrm>
          <a:off x="533400" y="11058525"/>
          <a:ext cx="1076325" cy="2571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1</xdr:col>
      <xdr:colOff>361950</xdr:colOff>
      <xdr:row>51</xdr:row>
      <xdr:rowOff>95250</xdr:rowOff>
    </xdr:from>
    <xdr:to>
      <xdr:col>3</xdr:col>
      <xdr:colOff>285750</xdr:colOff>
      <xdr:row>52</xdr:row>
      <xdr:rowOff>152400</xdr:rowOff>
    </xdr:to>
    <xdr:sp macro="" textlink="">
      <xdr:nvSpPr>
        <xdr:cNvPr id="19" name="AutoShape 34">
          <a:extLst>
            <a:ext uri="{FF2B5EF4-FFF2-40B4-BE49-F238E27FC236}">
              <a16:creationId xmlns:a16="http://schemas.microsoft.com/office/drawing/2014/main" id="{8288EA62-A991-4153-84FF-F095C17ECD86}"/>
            </a:ext>
          </a:extLst>
        </xdr:cNvPr>
        <xdr:cNvSpPr>
          <a:spLocks noChangeArrowheads="1"/>
        </xdr:cNvSpPr>
      </xdr:nvSpPr>
      <xdr:spPr bwMode="auto">
        <a:xfrm>
          <a:off x="609600" y="8886825"/>
          <a:ext cx="1076325" cy="257175"/>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editAs="oneCell">
    <xdr:from>
      <xdr:col>1</xdr:col>
      <xdr:colOff>361950</xdr:colOff>
      <xdr:row>53</xdr:row>
      <xdr:rowOff>28575</xdr:rowOff>
    </xdr:from>
    <xdr:to>
      <xdr:col>7</xdr:col>
      <xdr:colOff>1085850</xdr:colOff>
      <xdr:row>55</xdr:row>
      <xdr:rowOff>152400</xdr:rowOff>
    </xdr:to>
    <xdr:pic>
      <xdr:nvPicPr>
        <xdr:cNvPr id="20" name="Picture 39">
          <a:extLst>
            <a:ext uri="{FF2B5EF4-FFF2-40B4-BE49-F238E27FC236}">
              <a16:creationId xmlns:a16="http://schemas.microsoft.com/office/drawing/2014/main" id="{C6A839B5-F70A-4D80-B2F6-4838A2762C3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09600" y="9220200"/>
          <a:ext cx="5734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228600</xdr:colOff>
      <xdr:row>85</xdr:row>
      <xdr:rowOff>28575</xdr:rowOff>
    </xdr:from>
    <xdr:to>
      <xdr:col>7</xdr:col>
      <xdr:colOff>952500</xdr:colOff>
      <xdr:row>87</xdr:row>
      <xdr:rowOff>152400</xdr:rowOff>
    </xdr:to>
    <xdr:pic>
      <xdr:nvPicPr>
        <xdr:cNvPr id="21" name="Picture 40">
          <a:extLst>
            <a:ext uri="{FF2B5EF4-FFF2-40B4-BE49-F238E27FC236}">
              <a16:creationId xmlns:a16="http://schemas.microsoft.com/office/drawing/2014/main" id="{93752D1E-E9B4-4476-BC06-064F80DD0F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476250" y="15535275"/>
          <a:ext cx="5734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228600</xdr:colOff>
      <xdr:row>74</xdr:row>
      <xdr:rowOff>57150</xdr:rowOff>
    </xdr:from>
    <xdr:to>
      <xdr:col>7</xdr:col>
      <xdr:colOff>952500</xdr:colOff>
      <xdr:row>76</xdr:row>
      <xdr:rowOff>180975</xdr:rowOff>
    </xdr:to>
    <xdr:pic>
      <xdr:nvPicPr>
        <xdr:cNvPr id="22" name="Picture 41">
          <a:extLst>
            <a:ext uri="{FF2B5EF4-FFF2-40B4-BE49-F238E27FC236}">
              <a16:creationId xmlns:a16="http://schemas.microsoft.com/office/drawing/2014/main" id="{F1CE5485-FA3A-4A2D-9261-5E3C9B4AA6F6}"/>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476250" y="13392150"/>
          <a:ext cx="5734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314325</xdr:colOff>
      <xdr:row>64</xdr:row>
      <xdr:rowOff>19050</xdr:rowOff>
    </xdr:from>
    <xdr:to>
      <xdr:col>7</xdr:col>
      <xdr:colOff>1038225</xdr:colOff>
      <xdr:row>66</xdr:row>
      <xdr:rowOff>142875</xdr:rowOff>
    </xdr:to>
    <xdr:pic>
      <xdr:nvPicPr>
        <xdr:cNvPr id="23" name="Picture 42">
          <a:extLst>
            <a:ext uri="{FF2B5EF4-FFF2-40B4-BE49-F238E27FC236}">
              <a16:creationId xmlns:a16="http://schemas.microsoft.com/office/drawing/2014/main" id="{BF018842-9B79-4ECE-8A86-ACD2836345D5}"/>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561975" y="11382375"/>
          <a:ext cx="5734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5</xdr:col>
      <xdr:colOff>942975</xdr:colOff>
      <xdr:row>36</xdr:row>
      <xdr:rowOff>95250</xdr:rowOff>
    </xdr:from>
    <xdr:to>
      <xdr:col>9</xdr:col>
      <xdr:colOff>657225</xdr:colOff>
      <xdr:row>39</xdr:row>
      <xdr:rowOff>47625</xdr:rowOff>
    </xdr:to>
    <xdr:sp macro="" textlink="">
      <xdr:nvSpPr>
        <xdr:cNvPr id="24" name="AutoShape 43">
          <a:extLst>
            <a:ext uri="{FF2B5EF4-FFF2-40B4-BE49-F238E27FC236}">
              <a16:creationId xmlns:a16="http://schemas.microsoft.com/office/drawing/2014/main" id="{73F68B27-407E-4634-877F-A561F55F1C7F}"/>
            </a:ext>
          </a:extLst>
        </xdr:cNvPr>
        <xdr:cNvSpPr>
          <a:spLocks noChangeArrowheads="1"/>
        </xdr:cNvSpPr>
      </xdr:nvSpPr>
      <xdr:spPr bwMode="auto">
        <a:xfrm>
          <a:off x="4419600" y="6353175"/>
          <a:ext cx="3276600" cy="409575"/>
        </a:xfrm>
        <a:prstGeom prst="wedgeRectCallout">
          <a:avLst>
            <a:gd name="adj1" fmla="val 14537"/>
            <a:gd name="adj2" fmla="val -133722"/>
          </a:avLst>
        </a:prstGeom>
        <a:solidFill>
          <a:srgbClr xmlns:mc="http://schemas.openxmlformats.org/markup-compatibility/2006" xmlns:a14="http://schemas.microsoft.com/office/drawing/2010/main" val="CCFFCC" mc:Ignorable="a14" a14:legacySpreadsheetColorIndex="42"/>
        </a:solidFill>
        <a:ln w="12700">
          <a:solidFill>
            <a:srgbClr xmlns:mc="http://schemas.openxmlformats.org/markup-compatibility/2006" xmlns:a14="http://schemas.microsoft.com/office/drawing/2010/main" val="000000" mc:Ignorable="a14" a14:legacySpreadsheetColorIndex="64"/>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36576" tIns="18288" rIns="0" bIns="0" anchor="t" upright="1"/>
        <a:lstStyle/>
        <a:p>
          <a:pPr algn="l" rtl="0">
            <a:lnSpc>
              <a:spcPts val="1300"/>
            </a:lnSpc>
            <a:defRPr sz="1000"/>
          </a:pPr>
          <a:r>
            <a:rPr lang="ja-JP" altLang="en-US" sz="1100" b="1" i="0" u="none" strike="noStrike" baseline="0">
              <a:solidFill>
                <a:srgbClr val="008000"/>
              </a:solidFill>
              <a:latin typeface="ＭＳ Ｐゴシック"/>
              <a:ea typeface="ＭＳ Ｐゴシック"/>
            </a:rPr>
            <a:t> 　</a:t>
          </a:r>
          <a:r>
            <a:rPr lang="ja-JP" altLang="en-US" sz="1000" b="0" i="0" u="none" strike="noStrike" baseline="0">
              <a:solidFill>
                <a:srgbClr val="000000"/>
              </a:solidFill>
              <a:latin typeface="ＭＳ Ｐゴシック"/>
              <a:ea typeface="ＭＳ Ｐゴシック"/>
            </a:rPr>
            <a:t>削除条件に該当するレコードを削除している ことを確認</a:t>
          </a:r>
        </a:p>
        <a:p>
          <a:pPr algn="l" rtl="0">
            <a:lnSpc>
              <a:spcPts val="1100"/>
            </a:lnSpc>
            <a:defRPr sz="1000"/>
          </a:pPr>
          <a:r>
            <a:rPr lang="ja-JP" altLang="en-US" sz="1000" b="0" i="0" u="none" strike="noStrike" baseline="0">
              <a:solidFill>
                <a:srgbClr val="000000"/>
              </a:solidFill>
              <a:latin typeface="ＭＳ Ｐゴシック"/>
              <a:ea typeface="ＭＳ Ｐゴシック"/>
            </a:rPr>
            <a:t>　(削除対象以外は削除処理を行っていない)</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xdr:col>
      <xdr:colOff>228600</xdr:colOff>
      <xdr:row>5</xdr:row>
      <xdr:rowOff>152400</xdr:rowOff>
    </xdr:from>
    <xdr:to>
      <xdr:col>3</xdr:col>
      <xdr:colOff>676275</xdr:colOff>
      <xdr:row>7</xdr:row>
      <xdr:rowOff>38100</xdr:rowOff>
    </xdr:to>
    <xdr:sp macro="" textlink="">
      <xdr:nvSpPr>
        <xdr:cNvPr id="2" name="AutoShape 4">
          <a:extLst>
            <a:ext uri="{FF2B5EF4-FFF2-40B4-BE49-F238E27FC236}">
              <a16:creationId xmlns:a16="http://schemas.microsoft.com/office/drawing/2014/main" id="{B466D77A-6124-4488-B230-9B018AEA7939}"/>
            </a:ext>
          </a:extLst>
        </xdr:cNvPr>
        <xdr:cNvSpPr>
          <a:spLocks noChangeArrowheads="1"/>
        </xdr:cNvSpPr>
      </xdr:nvSpPr>
      <xdr:spPr bwMode="auto">
        <a:xfrm>
          <a:off x="476250" y="1200150"/>
          <a:ext cx="1038225" cy="28575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戻り値 sample</a:t>
          </a:r>
        </a:p>
      </xdr:txBody>
    </xdr:sp>
    <xdr:clientData/>
  </xdr:twoCellAnchor>
  <xdr:twoCellAnchor>
    <xdr:from>
      <xdr:col>1</xdr:col>
      <xdr:colOff>238125</xdr:colOff>
      <xdr:row>15</xdr:row>
      <xdr:rowOff>133350</xdr:rowOff>
    </xdr:from>
    <xdr:to>
      <xdr:col>4</xdr:col>
      <xdr:colOff>28575</xdr:colOff>
      <xdr:row>17</xdr:row>
      <xdr:rowOff>76200</xdr:rowOff>
    </xdr:to>
    <xdr:sp macro="" textlink="">
      <xdr:nvSpPr>
        <xdr:cNvPr id="3" name="AutoShape 5">
          <a:extLst>
            <a:ext uri="{FF2B5EF4-FFF2-40B4-BE49-F238E27FC236}">
              <a16:creationId xmlns:a16="http://schemas.microsoft.com/office/drawing/2014/main" id="{CC268BA3-1633-48B5-AA54-A801A23B6D71}"/>
            </a:ext>
          </a:extLst>
        </xdr:cNvPr>
        <xdr:cNvSpPr>
          <a:spLocks noChangeArrowheads="1"/>
        </xdr:cNvSpPr>
      </xdr:nvSpPr>
      <xdr:spPr bwMode="auto">
        <a:xfrm>
          <a:off x="485775" y="3152775"/>
          <a:ext cx="1066800" cy="342900"/>
        </a:xfrm>
        <a:prstGeom prst="roundRect">
          <a:avLst>
            <a:gd name="adj" fmla="val 16667"/>
          </a:avLst>
        </a:prstGeom>
        <a:solidFill>
          <a:srgbClr xmlns:mc="http://schemas.openxmlformats.org/markup-compatibility/2006" xmlns:a14="http://schemas.microsoft.com/office/drawing/2010/main" val="CCFFCC" mc:Ignorable="a14" a14:legacySpreadsheetColorIndex="42"/>
        </a:solidFill>
        <a:ln w="15240">
          <a:solidFill>
            <a:srgbClr xmlns:mc="http://schemas.openxmlformats.org/markup-compatibility/2006" xmlns:a14="http://schemas.microsoft.com/office/drawing/2010/main" val="C0C0C0" mc:Ignorable="a14" a14:legacySpreadsheetColorIndex="22"/>
          </a:solidFill>
          <a:round/>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27432" bIns="18288" anchor="ctr" upright="1"/>
        <a:lstStyle/>
        <a:p>
          <a:pPr algn="ctr" rtl="0">
            <a:defRPr sz="1000"/>
          </a:pPr>
          <a:r>
            <a:rPr lang="ja-JP" altLang="en-US" sz="900" b="0" i="0" u="none" strike="noStrike" baseline="0">
              <a:solidFill>
                <a:srgbClr val="339966"/>
              </a:solidFill>
              <a:latin typeface="ＭＳ Ｐゴシック"/>
              <a:ea typeface="ＭＳ Ｐゴシック"/>
            </a:rPr>
            <a:t>エラーログ sample</a:t>
          </a:r>
        </a:p>
      </xdr:txBody>
    </xdr:sp>
    <xdr:clientData/>
  </xdr:twoCellAnchor>
  <xdr:twoCellAnchor editAs="oneCell">
    <xdr:from>
      <xdr:col>1</xdr:col>
      <xdr:colOff>266700</xdr:colOff>
      <xdr:row>7</xdr:row>
      <xdr:rowOff>57150</xdr:rowOff>
    </xdr:from>
    <xdr:to>
      <xdr:col>8</xdr:col>
      <xdr:colOff>152400</xdr:colOff>
      <xdr:row>9</xdr:row>
      <xdr:rowOff>180975</xdr:rowOff>
    </xdr:to>
    <xdr:pic>
      <xdr:nvPicPr>
        <xdr:cNvPr id="4" name="Picture 15">
          <a:extLst>
            <a:ext uri="{FF2B5EF4-FFF2-40B4-BE49-F238E27FC236}">
              <a16:creationId xmlns:a16="http://schemas.microsoft.com/office/drawing/2014/main" id="{E51648AE-2C73-46BF-9DC1-BF3B62AC0D2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14350" y="1504950"/>
          <a:ext cx="3829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1</xdr:col>
      <xdr:colOff>276225</xdr:colOff>
      <xdr:row>17</xdr:row>
      <xdr:rowOff>104775</xdr:rowOff>
    </xdr:from>
    <xdr:to>
      <xdr:col>8</xdr:col>
      <xdr:colOff>161925</xdr:colOff>
      <xdr:row>20</xdr:row>
      <xdr:rowOff>28575</xdr:rowOff>
    </xdr:to>
    <xdr:pic>
      <xdr:nvPicPr>
        <xdr:cNvPr id="5" name="Picture 16">
          <a:extLst>
            <a:ext uri="{FF2B5EF4-FFF2-40B4-BE49-F238E27FC236}">
              <a16:creationId xmlns:a16="http://schemas.microsoft.com/office/drawing/2014/main" id="{928B323C-AA11-4415-AC23-4EF508DA37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523875" y="3524250"/>
          <a:ext cx="3829050" cy="52387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2</xdr:col>
      <xdr:colOff>76200</xdr:colOff>
      <xdr:row>25</xdr:row>
      <xdr:rowOff>152400</xdr:rowOff>
    </xdr:from>
    <xdr:to>
      <xdr:col>6</xdr:col>
      <xdr:colOff>219075</xdr:colOff>
      <xdr:row>28</xdr:row>
      <xdr:rowOff>66675</xdr:rowOff>
    </xdr:to>
    <xdr:sp macro="" textlink="">
      <xdr:nvSpPr>
        <xdr:cNvPr id="6" name="Rectangle 19">
          <a:extLst>
            <a:ext uri="{FF2B5EF4-FFF2-40B4-BE49-F238E27FC236}">
              <a16:creationId xmlns:a16="http://schemas.microsoft.com/office/drawing/2014/main" id="{B597F724-AAE8-4EC4-8CAB-B133D9786A07}"/>
            </a:ext>
          </a:extLst>
        </xdr:cNvPr>
        <xdr:cNvSpPr>
          <a:spLocks noChangeArrowheads="1"/>
        </xdr:cNvSpPr>
      </xdr:nvSpPr>
      <xdr:spPr bwMode="auto">
        <a:xfrm>
          <a:off x="676275" y="5143500"/>
          <a:ext cx="2438400" cy="514350"/>
        </a:xfrm>
        <a:prstGeom prst="rect">
          <a:avLst/>
        </a:prstGeom>
        <a:solidFill>
          <a:srgbClr xmlns:mc="http://schemas.openxmlformats.org/markup-compatibility/2006" xmlns:a14="http://schemas.microsoft.com/office/drawing/2010/main" val="FFFFFF" mc:Ignorable="a14" a14:legacySpreadsheetColorIndex="65"/>
        </a:solidFill>
        <a:ln w="12700">
          <a:solidFill>
            <a:srgbClr xmlns:mc="http://schemas.openxmlformats.org/markup-compatibility/2006" xmlns:a14="http://schemas.microsoft.com/office/drawing/2010/main" val="FF0000" mc:Ignorable="a14" a14:legacySpreadsheetColorIndex="1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18288" anchor="ctr" upright="1"/>
        <a:lstStyle/>
        <a:p>
          <a:pPr algn="l" rtl="0">
            <a:lnSpc>
              <a:spcPts val="1200"/>
            </a:lnSpc>
            <a:defRPr sz="1000"/>
          </a:pPr>
          <a:r>
            <a:rPr lang="ja-JP" altLang="en-US" sz="1100" b="0" i="0" u="none" strike="noStrike" baseline="0">
              <a:solidFill>
                <a:srgbClr val="000000"/>
              </a:solidFill>
              <a:latin typeface="ＭＳ Ｐゴシック"/>
              <a:ea typeface="ＭＳ Ｐゴシック"/>
            </a:rPr>
            <a:t>　　輸入部品オーダー　  20123件</a:t>
          </a:r>
        </a:p>
        <a:p>
          <a:pPr algn="l" rtl="0">
            <a:lnSpc>
              <a:spcPts val="1200"/>
            </a:lnSpc>
            <a:defRPr sz="1000"/>
          </a:pPr>
          <a:r>
            <a:rPr lang="ja-JP" altLang="en-US" sz="1100" b="0" i="0" u="none" strike="noStrike" baseline="0">
              <a:solidFill>
                <a:srgbClr val="000000"/>
              </a:solidFill>
              <a:latin typeface="ＭＳ Ｐゴシック"/>
              <a:ea typeface="ＭＳ Ｐゴシック"/>
            </a:rPr>
            <a:t>　　メーカーマスタ       149732件</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globalymc.sharepoint.com/&#65297;&#65296;&#32076;&#21942;/&#26376;&#27425;&#27770;&#31639;/&#65296;&#65299;&#19979;&#26399;/&#26376;&#27425;&#27770;&#31639;/&#19978;&#26399;&#20206;&#27770;&#31639;&#22577;&#21578;&#32207;&#3492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portal:9998/Documents%20and%20Settings/jiangr.NETVISTA/&#26700;&#38754;/0923/&#38144;&#21806;&#25910;&#27454;&#24490;&#29615;&#35774;&#35745;&#27169;&#22411;V831&#65288;&#21152;&#36733;&#65289;.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portal:9998/Documents%20and%20Settings/jiangr.NETVISTA/&#26700;&#38754;/0923/&#36130;&#21153;&#31649;&#29702;&#24490;&#29615;&#35774;&#35745;&#27169;&#22411;&#65288;&#21152;&#36733;&#65289;V90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ZL\&#35937;&#23679;&#22269;&#36816;\&#22269;&#36816;\&#23457;&#35745;&#35760;&#24405;\&#25253;&#34920;&#35843;&#25972;_&#22269;&#36816;&#26412;&#37096;.xls"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file:///C:\Users\alz1399\Desktop\IC&#22522;&#26412;&#35373;&#35336;\&#25104;&#26524;&#29289;&#12481;&#12455;&#12483;&#12463;\Java&#12496;&#12483;&#12481;\20250801\LDAJ0001_&#31292;&#20685;&#29366;&#27841;&#22793;&#26356;_&#12496;&#12483;&#12481;&#27231;&#33021;&#20181;&#27096;&#26360;_v1.00.xlsx" TargetMode="External"/><Relationship Id="rId1" Type="http://schemas.openxmlformats.org/officeDocument/2006/relationships/externalLinkPath" Target="https://globalymc.sharepoint.com/sites/YMSL_Teams_Sumafu_ERPgai/Shared%20Documents/00&#65294;&#29983;&#29987;&#35519;&#36948;&#12471;&#12473;&#12486;&#12512;&#37096;&#20849;&#36890;/10_YNS&#29983;&#29987;&#35519;&#36948;&#25913;&#38761;PJ/60_&#30456;&#35527;&#12539;&#26908;&#35342;&#20107;&#38917;/TCS&#26908;&#35342;/TCS&#12486;&#12531;&#12503;&#12524;&#12540;&#12488;/IC&#22522;&#26412;&#35373;&#35336;/&#25104;&#26524;&#29289;&#12481;&#12455;&#12483;&#12463;/Java&#12496;&#12483;&#12481;/20250801/LDAJ0001_&#31292;&#20685;&#29366;&#27841;&#22793;&#26356;_&#12496;&#12483;&#12481;&#27231;&#33021;&#20181;&#27096;&#26360;_v1.00.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http://portal:9998/zhouzhengchun/&#22825;&#20581;&#21326;&#22825;2003/&#25253;&#34920;&#35843;&#25972;&#31995;&#32479;-&#25253;&#20851;&#34892;-2003.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VEGAS\doc\KINMU\XLS\&#26085;&#39640;\&#21220;&#24608;&#34920;&#26085;&#39640;00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上期仮決算報告総表"/>
    </sheetNames>
    <definedNames>
      <definedName name="BS入力"/>
      <definedName name="PL入力"/>
      <definedName name="コメント入力"/>
      <definedName name="人員入力"/>
      <definedName name="総表印刷"/>
      <definedName name="売上入力"/>
    </defined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程序表模板"/>
      <sheetName val="系统表"/>
      <sheetName val="底稿目录"/>
      <sheetName val="索引"/>
      <sheetName val="科目选择"/>
      <sheetName val="标本-资产"/>
      <sheetName val="分录"/>
      <sheetName val="往来询证函"/>
      <sheetName val="信封模板"/>
      <sheetName val="往来函证表"/>
      <sheetName val="应收票据Dy"/>
      <sheetName val="应收票据Mx"/>
      <sheetName val="应收账款Dy"/>
      <sheetName val="应收账款Mx"/>
      <sheetName val="坏账准备_应收账款Dy"/>
      <sheetName val="坏账准备_应收账款Mx"/>
      <sheetName val="预收账款Dy"/>
      <sheetName val="预收账款Mx"/>
      <sheetName val="应交税金Dy"/>
      <sheetName val="应交税金mx1"/>
      <sheetName val="应交税金mx2"/>
      <sheetName val="应交税金mx3"/>
      <sheetName val="其他应交款Dy"/>
      <sheetName val="其他应交款mx"/>
      <sheetName val="主营业务收入Dy"/>
      <sheetName val="主营业务收入mx"/>
      <sheetName val="收入上年同期分析"/>
      <sheetName val="收入月份波动分析"/>
      <sheetName val="收入重要产品毛利分析"/>
      <sheetName val="收入重要客户分析"/>
      <sheetName val="收入销售发票核对"/>
      <sheetName val="收入截止测试"/>
      <sheetName val="营业费用Dy"/>
      <sheetName val="营业费用月份波动"/>
      <sheetName val="主营业务税金及附加Dy"/>
      <sheetName val="其他业务利润Dy"/>
      <sheetName val="其他业务利润明细表"/>
      <sheetName val="程序表原始数据"/>
      <sheetName val="初期値"/>
    </sheetNames>
    <sheetDataSet>
      <sheetData sheetId="0" refreshError="1"/>
      <sheetData sheetId="1" refreshError="1"/>
      <sheetData sheetId="2" refreshError="1"/>
      <sheetData sheetId="3"/>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系统表"/>
      <sheetName val="底稿目录"/>
      <sheetName val="索引"/>
      <sheetName val="往来询证函"/>
      <sheetName val="银行询证函"/>
      <sheetName val="科目选择"/>
      <sheetName val="分录"/>
      <sheetName val="信封模板"/>
      <sheetName val="往来函证表"/>
      <sheetName val="银行函证表"/>
      <sheetName val="货币资金Dy"/>
      <sheetName val="货币资金Mx"/>
      <sheetName val="程序表模板"/>
      <sheetName val="现金Dy"/>
      <sheetName val="现金盘点表"/>
      <sheetName val="银行存款Dy"/>
      <sheetName val="其他货币资金Dy"/>
      <sheetName val="短期投资Dy"/>
      <sheetName val="短期投资Mx"/>
      <sheetName val="短期投资跌价准备Dy"/>
      <sheetName val="短期投资跌价准备mx"/>
      <sheetName val="委托贷款Dy"/>
      <sheetName val="委托贷款mx"/>
      <sheetName val="应收股利Dy"/>
      <sheetName val="应收股利mx"/>
      <sheetName val="应收利息Dy"/>
      <sheetName val="应收利息mx"/>
      <sheetName val="应收补贴款Dy"/>
      <sheetName val="应收补贴款mx"/>
      <sheetName val="其他应收款Dy"/>
      <sheetName val="其他应收款mx"/>
      <sheetName val="坏账准备_其他应收款Dy"/>
      <sheetName val="坏账准备_其他应收款Mx"/>
      <sheetName val="其他流动资产Dy"/>
      <sheetName val="其他流动资产mx"/>
      <sheetName val="长期股权投资Dy"/>
      <sheetName val="长期股权投资Mx1"/>
      <sheetName val="长期股权投资Mx2"/>
      <sheetName val="长期投资减值准备Dy"/>
      <sheetName val="长期投资减值准备mx"/>
      <sheetName val="长期债权投资Dy"/>
      <sheetName val="长期债权投资Mx"/>
      <sheetName val="无形资产Dy"/>
      <sheetName val="无形资产Mx"/>
      <sheetName val="无形资产减值准备Dy"/>
      <sheetName val="无形资产减值准备mx"/>
      <sheetName val="长期待摊费用Dy"/>
      <sheetName val="长期待摊费用Mx"/>
      <sheetName val="短期借款Dy"/>
      <sheetName val="短期借款Mx"/>
      <sheetName val="短期借款利息测算"/>
      <sheetName val="应付股利Dy"/>
      <sheetName val="应付股利mx"/>
      <sheetName val="其他应付款Dy"/>
      <sheetName val="其他应付款mx"/>
      <sheetName val="内部往来Dy"/>
      <sheetName val="内部往来Mx"/>
      <sheetName val="一年内到期的长期负债Dy"/>
      <sheetName val="一年内到期的长期负债mx"/>
      <sheetName val="长期借款Dy"/>
      <sheetName val="长期借款Mx"/>
      <sheetName val="长期借款利息测算"/>
      <sheetName val="应付债券Dy"/>
      <sheetName val="应付债券Mx"/>
      <sheetName val="长期应付款Dy"/>
      <sheetName val="长期应付款mx"/>
      <sheetName val="专项应付款Dy"/>
      <sheetName val="专项应付款Mx"/>
      <sheetName val="股本Dy"/>
      <sheetName val="股本Mx"/>
      <sheetName val="资本公积Dy"/>
      <sheetName val="资本公积mx"/>
      <sheetName val="盈余公积Dy"/>
      <sheetName val="盈余公积mx"/>
      <sheetName val="未分配利润Dy"/>
      <sheetName val="管理费用Dy"/>
      <sheetName val="管理费用月份波动"/>
      <sheetName val="财务费用Dy"/>
      <sheetName val="投资收益Dy"/>
      <sheetName val="补贴收入Dy"/>
      <sheetName val="营业外收入Dy"/>
      <sheetName val="营业外支出Dy"/>
      <sheetName val="所得税Dy"/>
      <sheetName val="所得税纳税调整"/>
      <sheetName val="以前年度损益调整Dy"/>
      <sheetName val="标本-资产"/>
      <sheetName val="程序表原始数据"/>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sheetData sheetId="11" refreshError="1"/>
      <sheetData sheetId="12" refreshError="1"/>
      <sheetData sheetId="13" refreshError="1"/>
      <sheetData sheetId="14" refreshError="1"/>
      <sheetData sheetId="15"/>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主菜单"/>
      <sheetName val="导引表"/>
      <sheetName val="未审BS"/>
      <sheetName val="图表1"/>
      <sheetName val="未审IS"/>
      <sheetName val="未审分析"/>
      <sheetName val="AJE"/>
      <sheetName val="RJE"/>
      <sheetName val="TB_BS"/>
      <sheetName val="TB_IS"/>
      <sheetName val="TAX"/>
      <sheetName val="已审BS"/>
      <sheetName val="已审IS"/>
      <sheetName val="现金流量表"/>
      <sheetName val="CF_基础数据"/>
      <sheetName val="CF_前导表"/>
      <sheetName val="CF_补充分录"/>
      <sheetName val="CF_分析分录"/>
      <sheetName val="已审CF"/>
      <sheetName val="已审分析"/>
      <sheetName val="比率分析表"/>
      <sheetName val="分录"/>
      <sheetName val="评价标准"/>
      <sheetName val="报表调整_国运本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ver"/>
      <sheetName val="更新履歴"/>
      <sheetName val="処理概要"/>
      <sheetName val="バッチ機能仕様"/>
      <sheetName val="ファイル編集仕様書(ファイルIDorIF_ID)"/>
      <sheetName val="帳票編集仕様書(帳票ID)"/>
      <sheetName val="入出力一覧"/>
      <sheetName val="ファイルレイアウト"/>
      <sheetName val="帳票概要・レイアウト"/>
      <sheetName val="帳票項目定義"/>
      <sheetName val="概要図凡例"/>
      <sheetName val="入力選択肢"/>
      <sheetName val="補足１"/>
      <sheetName val="サンプル→"/>
      <sheetName val="処理概要_sample"/>
      <sheetName val="バッチ機能仕様_sample"/>
      <sheetName val="帳票編集仕様書(REP001)_sample"/>
      <sheetName val="入出力一覧_sample"/>
      <sheetName val="LDAJ0001_稼働状況変更_バッチ機能仕様書_v1.00"/>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索引"/>
      <sheetName val="业务信息"/>
      <sheetName val="单体BS"/>
      <sheetName val="单体IS"/>
      <sheetName val="单体CF"/>
      <sheetName val="减值准备"/>
      <sheetName val="合并BS"/>
      <sheetName val="合并IS"/>
      <sheetName val="合并CF"/>
      <sheetName val="分录"/>
    </sheetNames>
    <sheetDataSet>
      <sheetData sheetId="0" refreshError="1">
        <row r="4">
          <cell r="C4" t="str">
            <v>厦门象屿报关行有限公司</v>
          </cell>
        </row>
        <row r="6">
          <cell r="C6">
            <v>37986</v>
          </cell>
        </row>
        <row r="8">
          <cell r="C8" t="str">
            <v>年末数在前</v>
          </cell>
        </row>
      </sheetData>
      <sheetData sheetId="1" refreshError="1"/>
      <sheetData sheetId="2"/>
      <sheetData sheetId="3"/>
      <sheetData sheetId="4" refreshError="1"/>
      <sheetData sheetId="5" refreshError="1"/>
      <sheetData sheetId="6" refreshError="1"/>
      <sheetData sheetId="7"/>
      <sheetData sheetId="8" refreshError="1"/>
      <sheetData sheetId="9"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勤怠表"/>
      <sheetName val="初期値"/>
      <sheetName val="已审CF"/>
      <sheetName val="BaseSheet1"/>
      <sheetName val="勤怠表日高0012"/>
      <sheetName val="JOBID"/>
      <sheetName val="代表ID"/>
      <sheetName val="見積基礎値"/>
      <sheetName val="見積り内訳"/>
      <sheetName val="仕入業者コード"/>
      <sheetName val="得意先コード"/>
      <sheetName val="WBS1"/>
      <sheetName val="基本契約KFC"/>
      <sheetName val="選択肢"/>
      <sheetName val="ｼﾞｪﾈﾚｰﾄ準備"/>
      <sheetName val="工数"/>
      <sheetName val="間接・販管費率"/>
      <sheetName val="データディクショナリィ"/>
      <sheetName val="査読ｼｰﾄ"/>
      <sheetName val="決定一覧９年度"/>
      <sheetName val="マスタ"/>
      <sheetName val="作業手順書"/>
      <sheetName val="作業手順書（復旧手順）"/>
      <sheetName val="体制図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sheetData sheetId="23"/>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12700" cap="flat" cmpd="sng" algn="ctr">
          <a:solidFill>
            <a:srgbClr val="FF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12700" cap="flat" cmpd="sng" algn="ctr">
          <a:solidFill>
            <a:srgbClr val="FF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3DEF5B-C835-4400-AC81-D786F6122B44}">
  <sheetPr codeName="Sheet1"/>
  <dimension ref="B12:H28"/>
  <sheetViews>
    <sheetView showGridLines="0" tabSelected="1" zoomScale="130" zoomScaleNormal="130" workbookViewId="0"/>
  </sheetViews>
  <sheetFormatPr defaultColWidth="9.36328125" defaultRowHeight="15"/>
  <cols>
    <col min="1" max="1" width="4.54296875" style="1" customWidth="1"/>
    <col min="2" max="2" width="8.08984375" style="1" customWidth="1"/>
    <col min="3" max="8" width="9.36328125" style="1"/>
    <col min="9" max="9" width="1.453125" style="1" customWidth="1"/>
    <col min="10" max="16384" width="9.36328125" style="1"/>
  </cols>
  <sheetData>
    <row r="12" spans="2:8">
      <c r="B12" s="426" t="s">
        <v>5</v>
      </c>
      <c r="C12" s="427"/>
      <c r="D12" s="426" t="s">
        <v>6</v>
      </c>
      <c r="E12" s="427"/>
      <c r="F12" s="426" t="s">
        <v>7</v>
      </c>
      <c r="G12" s="428"/>
      <c r="H12" s="427"/>
    </row>
    <row r="13" spans="2:8">
      <c r="B13" s="429" t="s">
        <v>3</v>
      </c>
      <c r="C13" s="430"/>
      <c r="D13" s="431" t="s">
        <v>137</v>
      </c>
      <c r="E13" s="431"/>
      <c r="F13" s="432" t="s">
        <v>138</v>
      </c>
      <c r="G13" s="432"/>
      <c r="H13" s="432"/>
    </row>
    <row r="16" spans="2:8">
      <c r="B16" s="426" t="s">
        <v>8</v>
      </c>
      <c r="C16" s="427"/>
      <c r="D16" s="429" t="s">
        <v>9</v>
      </c>
      <c r="E16" s="433"/>
      <c r="F16" s="433"/>
      <c r="G16" s="433"/>
      <c r="H16" s="430"/>
    </row>
    <row r="17" spans="2:8">
      <c r="B17" s="426" t="s">
        <v>10</v>
      </c>
      <c r="C17" s="427"/>
      <c r="D17" s="429"/>
      <c r="E17" s="433"/>
      <c r="F17" s="433"/>
      <c r="G17" s="433"/>
      <c r="H17" s="430"/>
    </row>
    <row r="18" spans="2:8">
      <c r="B18" s="426" t="s">
        <v>11</v>
      </c>
      <c r="C18" s="427"/>
      <c r="D18" s="434"/>
      <c r="E18" s="435"/>
      <c r="F18" s="435"/>
      <c r="G18" s="435"/>
      <c r="H18" s="436"/>
    </row>
    <row r="20" spans="2:8">
      <c r="B20" s="426" t="s">
        <v>12</v>
      </c>
      <c r="C20" s="428"/>
      <c r="D20" s="428"/>
      <c r="E20" s="428"/>
      <c r="F20" s="428"/>
      <c r="G20" s="428"/>
      <c r="H20" s="427"/>
    </row>
    <row r="21" spans="2:8">
      <c r="B21" s="2"/>
      <c r="C21" s="437" t="s">
        <v>1</v>
      </c>
      <c r="D21" s="438"/>
      <c r="E21" s="437" t="s">
        <v>0</v>
      </c>
      <c r="F21" s="438"/>
      <c r="G21" s="437" t="s">
        <v>13</v>
      </c>
      <c r="H21" s="438"/>
    </row>
    <row r="22" spans="2:8">
      <c r="B22" s="3" t="s">
        <v>14</v>
      </c>
      <c r="C22" s="439" t="s">
        <v>139</v>
      </c>
      <c r="D22" s="439"/>
      <c r="E22" s="439"/>
      <c r="F22" s="439"/>
      <c r="G22" s="439"/>
      <c r="H22" s="439"/>
    </row>
    <row r="23" spans="2:8">
      <c r="B23" s="3" t="s">
        <v>2</v>
      </c>
      <c r="C23" s="440">
        <v>45947</v>
      </c>
      <c r="D23" s="439"/>
      <c r="E23" s="440"/>
      <c r="F23" s="439"/>
      <c r="G23" s="440"/>
      <c r="H23" s="439"/>
    </row>
    <row r="25" spans="2:8">
      <c r="B25" s="426" t="s">
        <v>15</v>
      </c>
      <c r="C25" s="428"/>
      <c r="D25" s="428"/>
      <c r="E25" s="428"/>
      <c r="F25" s="428"/>
      <c r="G25" s="428"/>
      <c r="H25" s="427"/>
    </row>
    <row r="26" spans="2:8">
      <c r="B26" s="2"/>
      <c r="C26" s="437" t="s">
        <v>16</v>
      </c>
      <c r="D26" s="438"/>
      <c r="E26" s="437" t="s">
        <v>0</v>
      </c>
      <c r="F26" s="438"/>
      <c r="G26" s="437" t="s">
        <v>13</v>
      </c>
      <c r="H26" s="438"/>
    </row>
    <row r="27" spans="2:8">
      <c r="B27" s="3" t="s">
        <v>14</v>
      </c>
      <c r="C27" s="441" t="s">
        <v>818</v>
      </c>
      <c r="D27" s="442"/>
      <c r="E27" s="439"/>
      <c r="F27" s="439"/>
      <c r="G27" s="439"/>
      <c r="H27" s="439"/>
    </row>
    <row r="28" spans="2:8">
      <c r="B28" s="3" t="s">
        <v>2</v>
      </c>
      <c r="C28" s="440">
        <v>45957</v>
      </c>
      <c r="D28" s="439"/>
      <c r="E28" s="440"/>
      <c r="F28" s="439"/>
      <c r="G28" s="440"/>
      <c r="H28" s="439"/>
    </row>
  </sheetData>
  <mergeCells count="32">
    <mergeCell ref="C27:D27"/>
    <mergeCell ref="E27:F27"/>
    <mergeCell ref="G27:H27"/>
    <mergeCell ref="C28:D28"/>
    <mergeCell ref="E28:F28"/>
    <mergeCell ref="G28:H28"/>
    <mergeCell ref="C23:D23"/>
    <mergeCell ref="E23:F23"/>
    <mergeCell ref="G23:H23"/>
    <mergeCell ref="B25:H25"/>
    <mergeCell ref="C26:D26"/>
    <mergeCell ref="E26:F26"/>
    <mergeCell ref="G26:H26"/>
    <mergeCell ref="B20:H20"/>
    <mergeCell ref="C21:D21"/>
    <mergeCell ref="E21:F21"/>
    <mergeCell ref="G21:H21"/>
    <mergeCell ref="C22:D22"/>
    <mergeCell ref="E22:F22"/>
    <mergeCell ref="G22:H22"/>
    <mergeCell ref="B16:C16"/>
    <mergeCell ref="D16:H16"/>
    <mergeCell ref="B17:C17"/>
    <mergeCell ref="D17:H17"/>
    <mergeCell ref="B18:C18"/>
    <mergeCell ref="D18:H18"/>
    <mergeCell ref="B12:C12"/>
    <mergeCell ref="D12:E12"/>
    <mergeCell ref="F12:H12"/>
    <mergeCell ref="B13:C13"/>
    <mergeCell ref="D13:E13"/>
    <mergeCell ref="F13:H13"/>
  </mergeCells>
  <phoneticPr fontId="3"/>
  <printOptions horizontalCentered="1"/>
  <pageMargins left="0.70866141732283472" right="0.70866141732283472" top="0.74803149606299213" bottom="0.74803149606299213" header="0.31496062992125984" footer="0.31496062992125984"/>
  <pageSetup paperSize="9"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87DBC-3145-4791-B23A-D2687C76D98E}">
  <sheetPr codeName="Sheet2"/>
  <dimension ref="B2:L27"/>
  <sheetViews>
    <sheetView zoomScaleNormal="100" zoomScaleSheetLayoutView="100" workbookViewId="0">
      <selection activeCell="I39" sqref="I39"/>
    </sheetView>
  </sheetViews>
  <sheetFormatPr defaultColWidth="7.453125" defaultRowHeight="15"/>
  <cols>
    <col min="1" max="1" width="2.90625" style="5" customWidth="1"/>
    <col min="2" max="2" width="6.26953125" style="5" bestFit="1" customWidth="1"/>
    <col min="3" max="3" width="13.90625" style="5" bestFit="1" customWidth="1"/>
    <col min="4" max="4" width="8" style="5" customWidth="1"/>
    <col min="5" max="5" width="13.36328125" style="5" customWidth="1"/>
    <col min="6" max="6" width="42" style="5" customWidth="1"/>
    <col min="7" max="7" width="11.08984375" style="5" bestFit="1" customWidth="1"/>
    <col min="8" max="8" width="8" style="5" customWidth="1"/>
    <col min="9" max="9" width="11.08984375" style="5" bestFit="1" customWidth="1"/>
    <col min="10" max="10" width="8" style="5" customWidth="1"/>
    <col min="11" max="11" width="44.08984375" style="5" customWidth="1"/>
    <col min="12" max="12" width="3.6328125" style="5" customWidth="1"/>
    <col min="13" max="16384" width="7.453125" style="5"/>
  </cols>
  <sheetData>
    <row r="2" spans="2:12">
      <c r="B2" s="4" t="s">
        <v>17</v>
      </c>
      <c r="C2" s="4" t="s">
        <v>18</v>
      </c>
      <c r="D2" s="4" t="s">
        <v>4</v>
      </c>
      <c r="E2" s="4" t="s">
        <v>19</v>
      </c>
      <c r="F2" s="4" t="s">
        <v>20</v>
      </c>
      <c r="G2" s="4" t="s">
        <v>21</v>
      </c>
      <c r="H2" s="4" t="s">
        <v>22</v>
      </c>
      <c r="I2" s="4" t="s">
        <v>23</v>
      </c>
      <c r="J2" s="4" t="s">
        <v>24</v>
      </c>
      <c r="K2" s="4" t="s">
        <v>25</v>
      </c>
    </row>
    <row r="3" spans="2:12">
      <c r="B3" s="6">
        <v>1</v>
      </c>
      <c r="C3" s="424">
        <v>45957</v>
      </c>
      <c r="D3" s="421" t="s">
        <v>818</v>
      </c>
      <c r="E3" s="423"/>
      <c r="F3" s="422" t="s">
        <v>819</v>
      </c>
      <c r="G3" s="7"/>
      <c r="H3" s="8"/>
      <c r="I3" s="7"/>
      <c r="J3" s="8"/>
      <c r="K3" s="8"/>
      <c r="L3" s="5" t="s">
        <v>26</v>
      </c>
    </row>
    <row r="4" spans="2:12">
      <c r="B4" s="6"/>
      <c r="C4" s="8"/>
      <c r="D4" s="8"/>
      <c r="E4" s="8"/>
      <c r="F4" s="8"/>
      <c r="G4" s="8"/>
      <c r="H4" s="8"/>
      <c r="I4" s="8"/>
      <c r="J4" s="8"/>
      <c r="K4" s="8"/>
      <c r="L4" s="5" t="s">
        <v>26</v>
      </c>
    </row>
    <row r="5" spans="2:12">
      <c r="B5" s="6"/>
      <c r="C5" s="8"/>
      <c r="D5" s="8"/>
      <c r="E5" s="8"/>
      <c r="F5" s="8"/>
      <c r="G5" s="8"/>
      <c r="H5" s="8"/>
      <c r="I5" s="8"/>
      <c r="J5" s="8"/>
      <c r="K5" s="8"/>
      <c r="L5" s="5" t="s">
        <v>26</v>
      </c>
    </row>
    <row r="6" spans="2:12">
      <c r="B6" s="6"/>
      <c r="C6" s="8"/>
      <c r="D6" s="8"/>
      <c r="E6" s="8"/>
      <c r="F6" s="8"/>
      <c r="G6" s="8"/>
      <c r="H6" s="8"/>
      <c r="I6" s="8"/>
      <c r="J6" s="8"/>
      <c r="K6" s="8"/>
      <c r="L6" s="5" t="s">
        <v>26</v>
      </c>
    </row>
    <row r="7" spans="2:12">
      <c r="B7" s="6"/>
      <c r="C7" s="8"/>
      <c r="D7" s="8"/>
      <c r="E7" s="8"/>
      <c r="F7" s="8"/>
      <c r="G7" s="8"/>
      <c r="H7" s="8"/>
      <c r="I7" s="8"/>
      <c r="J7" s="8"/>
      <c r="K7" s="8"/>
      <c r="L7" s="5" t="s">
        <v>26</v>
      </c>
    </row>
    <row r="8" spans="2:12">
      <c r="B8" s="6"/>
      <c r="C8" s="8"/>
      <c r="D8" s="8"/>
      <c r="E8" s="8"/>
      <c r="F8" s="8"/>
      <c r="G8" s="8"/>
      <c r="H8" s="8"/>
      <c r="I8" s="8"/>
      <c r="J8" s="8"/>
      <c r="K8" s="8"/>
      <c r="L8" s="5" t="s">
        <v>26</v>
      </c>
    </row>
    <row r="9" spans="2:12">
      <c r="B9" s="6"/>
      <c r="C9" s="8"/>
      <c r="D9" s="8"/>
      <c r="E9" s="8"/>
      <c r="F9" s="8"/>
      <c r="G9" s="8"/>
      <c r="H9" s="8"/>
      <c r="I9" s="8"/>
      <c r="J9" s="8"/>
      <c r="K9" s="8"/>
      <c r="L9" s="5" t="s">
        <v>26</v>
      </c>
    </row>
    <row r="10" spans="2:12">
      <c r="B10" s="6"/>
      <c r="C10" s="8"/>
      <c r="D10" s="8"/>
      <c r="E10" s="8"/>
      <c r="F10" s="8"/>
      <c r="G10" s="8"/>
      <c r="H10" s="8"/>
      <c r="I10" s="8"/>
      <c r="J10" s="8"/>
      <c r="K10" s="8"/>
      <c r="L10" s="5" t="s">
        <v>26</v>
      </c>
    </row>
    <row r="11" spans="2:12">
      <c r="B11" s="6"/>
      <c r="C11" s="8"/>
      <c r="D11" s="8"/>
      <c r="E11" s="8"/>
      <c r="F11" s="8"/>
      <c r="G11" s="8"/>
      <c r="H11" s="8"/>
      <c r="I11" s="8"/>
      <c r="J11" s="8"/>
      <c r="K11" s="8"/>
      <c r="L11" s="5" t="s">
        <v>26</v>
      </c>
    </row>
    <row r="12" spans="2:12">
      <c r="B12" s="6"/>
      <c r="C12" s="8"/>
      <c r="D12" s="8"/>
      <c r="E12" s="8"/>
      <c r="F12" s="8"/>
      <c r="G12" s="8"/>
      <c r="H12" s="8"/>
      <c r="I12" s="8"/>
      <c r="J12" s="8"/>
      <c r="K12" s="8"/>
      <c r="L12" s="5" t="s">
        <v>26</v>
      </c>
    </row>
    <row r="13" spans="2:12">
      <c r="B13" s="6"/>
      <c r="C13" s="8"/>
      <c r="D13" s="8"/>
      <c r="E13" s="8"/>
      <c r="F13" s="8"/>
      <c r="G13" s="8"/>
      <c r="H13" s="8"/>
      <c r="I13" s="8"/>
      <c r="J13" s="8"/>
      <c r="K13" s="8"/>
      <c r="L13" s="5" t="s">
        <v>26</v>
      </c>
    </row>
    <row r="14" spans="2:12">
      <c r="B14" s="6"/>
      <c r="C14" s="8"/>
      <c r="D14" s="8"/>
      <c r="E14" s="8"/>
      <c r="F14" s="8"/>
      <c r="G14" s="8"/>
      <c r="H14" s="8"/>
      <c r="I14" s="8"/>
      <c r="J14" s="8"/>
      <c r="K14" s="8"/>
      <c r="L14" s="5" t="s">
        <v>26</v>
      </c>
    </row>
    <row r="15" spans="2:12">
      <c r="B15" s="6"/>
      <c r="C15" s="8"/>
      <c r="D15" s="8"/>
      <c r="E15" s="8"/>
      <c r="F15" s="8"/>
      <c r="G15" s="8"/>
      <c r="H15" s="8"/>
      <c r="I15" s="8"/>
      <c r="J15" s="8"/>
      <c r="K15" s="8"/>
      <c r="L15" s="5" t="s">
        <v>26</v>
      </c>
    </row>
    <row r="16" spans="2:12">
      <c r="B16" s="6"/>
      <c r="C16" s="8"/>
      <c r="D16" s="8"/>
      <c r="E16" s="8"/>
      <c r="F16" s="8"/>
      <c r="G16" s="8"/>
      <c r="H16" s="8"/>
      <c r="I16" s="8"/>
      <c r="J16" s="8"/>
      <c r="K16" s="8"/>
      <c r="L16" s="5" t="s">
        <v>26</v>
      </c>
    </row>
    <row r="17" spans="2:12">
      <c r="B17" s="6"/>
      <c r="C17" s="8"/>
      <c r="D17" s="8"/>
      <c r="E17" s="8"/>
      <c r="F17" s="8"/>
      <c r="G17" s="8"/>
      <c r="H17" s="8"/>
      <c r="I17" s="8"/>
      <c r="J17" s="8"/>
      <c r="K17" s="8"/>
      <c r="L17" s="5" t="s">
        <v>26</v>
      </c>
    </row>
    <row r="18" spans="2:12">
      <c r="B18" s="6"/>
      <c r="C18" s="8"/>
      <c r="D18" s="8"/>
      <c r="E18" s="8"/>
      <c r="F18" s="8"/>
      <c r="G18" s="8"/>
      <c r="H18" s="8"/>
      <c r="I18" s="8"/>
      <c r="J18" s="8"/>
      <c r="K18" s="8"/>
      <c r="L18" s="5" t="s">
        <v>26</v>
      </c>
    </row>
    <row r="19" spans="2:12">
      <c r="B19" s="6"/>
      <c r="C19" s="8"/>
      <c r="D19" s="8"/>
      <c r="E19" s="8"/>
      <c r="F19" s="8"/>
      <c r="G19" s="8"/>
      <c r="H19" s="8"/>
      <c r="I19" s="8"/>
      <c r="J19" s="8"/>
      <c r="K19" s="8"/>
      <c r="L19" s="5" t="s">
        <v>26</v>
      </c>
    </row>
    <row r="20" spans="2:12">
      <c r="B20" s="6"/>
      <c r="C20" s="8"/>
      <c r="D20" s="8"/>
      <c r="E20" s="8"/>
      <c r="F20" s="8"/>
      <c r="G20" s="8"/>
      <c r="H20" s="8"/>
      <c r="I20" s="8"/>
      <c r="J20" s="8"/>
      <c r="K20" s="8"/>
      <c r="L20" s="5" t="s">
        <v>26</v>
      </c>
    </row>
    <row r="21" spans="2:12">
      <c r="B21" s="6"/>
      <c r="C21" s="8"/>
      <c r="D21" s="8"/>
      <c r="E21" s="8"/>
      <c r="F21" s="8"/>
      <c r="G21" s="8"/>
      <c r="H21" s="8"/>
      <c r="I21" s="8"/>
      <c r="J21" s="8"/>
      <c r="K21" s="8"/>
      <c r="L21" s="5" t="s">
        <v>26</v>
      </c>
    </row>
    <row r="22" spans="2:12">
      <c r="B22" s="6"/>
      <c r="C22" s="8"/>
      <c r="D22" s="8"/>
      <c r="E22" s="8"/>
      <c r="F22" s="8"/>
      <c r="G22" s="8"/>
      <c r="H22" s="8"/>
      <c r="I22" s="8"/>
      <c r="J22" s="8"/>
      <c r="K22" s="8"/>
      <c r="L22" s="5" t="s">
        <v>26</v>
      </c>
    </row>
    <row r="23" spans="2:12">
      <c r="B23" s="6"/>
      <c r="C23" s="8"/>
      <c r="D23" s="8"/>
      <c r="E23" s="8"/>
      <c r="F23" s="8"/>
      <c r="G23" s="8"/>
      <c r="H23" s="8"/>
      <c r="I23" s="8"/>
      <c r="J23" s="8"/>
      <c r="K23" s="8"/>
      <c r="L23" s="5" t="s">
        <v>26</v>
      </c>
    </row>
    <row r="24" spans="2:12">
      <c r="B24" s="6"/>
      <c r="C24" s="8"/>
      <c r="D24" s="8"/>
      <c r="E24" s="8"/>
      <c r="F24" s="8"/>
      <c r="G24" s="8"/>
      <c r="H24" s="8"/>
      <c r="I24" s="8"/>
      <c r="J24" s="8"/>
      <c r="K24" s="8"/>
      <c r="L24" s="5" t="s">
        <v>26</v>
      </c>
    </row>
    <row r="25" spans="2:12">
      <c r="B25" s="6"/>
      <c r="C25" s="8"/>
      <c r="D25" s="8"/>
      <c r="E25" s="8"/>
      <c r="F25" s="8"/>
      <c r="G25" s="8"/>
      <c r="H25" s="8"/>
      <c r="I25" s="8"/>
      <c r="J25" s="8"/>
      <c r="K25" s="8"/>
      <c r="L25" s="5" t="s">
        <v>26</v>
      </c>
    </row>
    <row r="26" spans="2:12">
      <c r="B26" s="6"/>
      <c r="C26" s="8"/>
      <c r="D26" s="8"/>
      <c r="E26" s="8"/>
      <c r="F26" s="8"/>
      <c r="G26" s="8"/>
      <c r="H26" s="8"/>
      <c r="I26" s="7"/>
      <c r="J26" s="8"/>
      <c r="K26" s="8"/>
      <c r="L26" s="5" t="s">
        <v>26</v>
      </c>
    </row>
    <row r="27" spans="2:12">
      <c r="B27" s="5" t="s">
        <v>26</v>
      </c>
      <c r="C27" s="5" t="s">
        <v>26</v>
      </c>
      <c r="D27" s="5" t="s">
        <v>26</v>
      </c>
      <c r="E27" s="5" t="s">
        <v>26</v>
      </c>
      <c r="F27" s="5" t="s">
        <v>26</v>
      </c>
      <c r="G27" s="5" t="s">
        <v>26</v>
      </c>
      <c r="H27" s="5" t="s">
        <v>26</v>
      </c>
      <c r="I27" s="5" t="s">
        <v>26</v>
      </c>
      <c r="J27" s="5" t="s">
        <v>26</v>
      </c>
      <c r="K27" s="5" t="s">
        <v>26</v>
      </c>
    </row>
  </sheetData>
  <phoneticPr fontId="3"/>
  <pageMargins left="0.7" right="0.7" top="0.75" bottom="0.75" header="0.3" footer="0.3"/>
  <pageSetup paperSize="9" scale="10" orientation="landscape"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79CF0E-B3DC-427B-811A-6C994A1DBB31}">
  <sheetPr codeName="Sheet3"/>
  <dimension ref="A2:N167"/>
  <sheetViews>
    <sheetView showGridLines="0" zoomScale="115" zoomScaleNormal="115" workbookViewId="0">
      <pane ySplit="5" topLeftCell="A6" activePane="bottomLeft" state="frozen"/>
      <selection pane="bottomLeft"/>
    </sheetView>
  </sheetViews>
  <sheetFormatPr defaultColWidth="9" defaultRowHeight="12.5"/>
  <cols>
    <col min="1" max="1" width="6.7265625" style="9" customWidth="1"/>
    <col min="2" max="2" width="25.36328125" style="14" customWidth="1"/>
    <col min="3" max="3" width="22.36328125" style="14" customWidth="1"/>
    <col min="4" max="4" width="36.90625" style="14" bestFit="1" customWidth="1"/>
    <col min="5" max="5" width="36.90625" style="14" customWidth="1"/>
    <col min="6" max="6" width="12.36328125" style="16" customWidth="1"/>
    <col min="7" max="7" width="12.36328125" style="14" customWidth="1"/>
    <col min="8" max="9" width="8.26953125" style="14" customWidth="1"/>
    <col min="10" max="10" width="7.90625" style="14" bestFit="1" customWidth="1"/>
    <col min="11" max="11" width="18.453125" style="14" bestFit="1" customWidth="1"/>
    <col min="12" max="12" width="10.36328125" style="14" bestFit="1" customWidth="1"/>
    <col min="13" max="13" width="10.90625" style="14" customWidth="1"/>
    <col min="14" max="14" width="16.26953125" style="14" customWidth="1"/>
    <col min="15" max="15" width="28" style="14" customWidth="1"/>
    <col min="16" max="16384" width="9" style="14"/>
  </cols>
  <sheetData>
    <row r="2" spans="1:14" ht="25.5" customHeight="1">
      <c r="B2" s="443" t="s">
        <v>27</v>
      </c>
      <c r="C2" s="444" t="s">
        <v>820</v>
      </c>
      <c r="D2" s="444"/>
      <c r="E2" s="444"/>
      <c r="F2" s="10" t="s">
        <v>28</v>
      </c>
      <c r="G2" s="11">
        <f>COUNTIF(G6:G443,"*")</f>
        <v>50</v>
      </c>
      <c r="H2" s="445" t="s">
        <v>29</v>
      </c>
      <c r="I2" s="445"/>
      <c r="J2" s="11">
        <f>COUNTIF(L6:L443,"*")</f>
        <v>50</v>
      </c>
      <c r="K2" s="12" t="s">
        <v>30</v>
      </c>
      <c r="L2" s="11">
        <f>G2-J2</f>
        <v>0</v>
      </c>
      <c r="M2" s="13" t="s">
        <v>31</v>
      </c>
      <c r="N2" s="11">
        <f>COUNTIF(L6:L443,"OK")</f>
        <v>50</v>
      </c>
    </row>
    <row r="3" spans="1:14" ht="25.5" customHeight="1">
      <c r="B3" s="443"/>
      <c r="C3" s="444"/>
      <c r="D3" s="444"/>
      <c r="E3" s="444"/>
      <c r="F3" s="12" t="s">
        <v>32</v>
      </c>
      <c r="G3" s="15">
        <f>J2/G2</f>
        <v>1</v>
      </c>
      <c r="H3" s="445" t="s">
        <v>33</v>
      </c>
      <c r="I3" s="445"/>
      <c r="J3" s="15">
        <f>IF(J2=0,0,N2/J2)</f>
        <v>1</v>
      </c>
      <c r="K3" s="12"/>
      <c r="L3" s="11"/>
      <c r="M3" s="13"/>
      <c r="N3" s="11"/>
    </row>
    <row r="4" spans="1:14">
      <c r="M4" s="14" t="s">
        <v>34</v>
      </c>
      <c r="N4" s="14" t="s">
        <v>35</v>
      </c>
    </row>
    <row r="5" spans="1:14" s="18" customFormat="1" ht="27">
      <c r="A5" s="17" t="s">
        <v>36</v>
      </c>
      <c r="B5" s="17" t="s">
        <v>37</v>
      </c>
      <c r="C5" s="17" t="s">
        <v>38</v>
      </c>
      <c r="D5" s="17" t="s">
        <v>39</v>
      </c>
      <c r="E5" s="17" t="s">
        <v>40</v>
      </c>
      <c r="F5" s="17" t="s">
        <v>41</v>
      </c>
      <c r="G5" s="17" t="s">
        <v>42</v>
      </c>
      <c r="H5" s="17" t="s">
        <v>43</v>
      </c>
      <c r="I5" s="17" t="s">
        <v>44</v>
      </c>
      <c r="J5" s="17" t="s">
        <v>45</v>
      </c>
      <c r="K5" s="17" t="s">
        <v>46</v>
      </c>
      <c r="L5" s="17" t="s">
        <v>47</v>
      </c>
      <c r="M5" s="17" t="s">
        <v>48</v>
      </c>
      <c r="N5" s="17" t="s">
        <v>49</v>
      </c>
    </row>
    <row r="6" spans="1:14">
      <c r="A6" s="24" t="s">
        <v>143</v>
      </c>
      <c r="B6" s="19"/>
      <c r="C6" s="19"/>
      <c r="D6" s="19"/>
      <c r="E6" s="19"/>
      <c r="F6" s="19"/>
      <c r="G6" s="19"/>
      <c r="H6" s="19"/>
      <c r="I6" s="19"/>
      <c r="J6" s="19"/>
      <c r="K6" s="19"/>
      <c r="L6" s="19"/>
      <c r="M6" s="19"/>
      <c r="N6" s="19"/>
    </row>
    <row r="7" spans="1:14" ht="25">
      <c r="A7" s="20">
        <v>1</v>
      </c>
      <c r="B7" s="21" t="s">
        <v>50</v>
      </c>
      <c r="C7" s="21" t="s">
        <v>778</v>
      </c>
      <c r="D7" s="21" t="s">
        <v>51</v>
      </c>
      <c r="E7" s="21" t="s">
        <v>743</v>
      </c>
      <c r="F7" s="294" t="s">
        <v>146</v>
      </c>
      <c r="G7" s="21" t="s">
        <v>52</v>
      </c>
      <c r="H7" s="21" t="s">
        <v>351</v>
      </c>
      <c r="I7" s="11" t="s">
        <v>140</v>
      </c>
      <c r="J7" s="21" t="s">
        <v>352</v>
      </c>
      <c r="K7" s="425" t="s">
        <v>821</v>
      </c>
      <c r="L7" s="21" t="s">
        <v>352</v>
      </c>
      <c r="M7" s="21" t="s">
        <v>352</v>
      </c>
      <c r="N7" s="21"/>
    </row>
    <row r="8" spans="1:14" ht="25">
      <c r="A8" s="20">
        <v>2</v>
      </c>
      <c r="B8" s="21"/>
      <c r="C8" s="21"/>
      <c r="D8" s="21" t="s">
        <v>53</v>
      </c>
      <c r="E8" s="21" t="s">
        <v>743</v>
      </c>
      <c r="F8" s="294" t="s">
        <v>146</v>
      </c>
      <c r="G8" s="21" t="s">
        <v>52</v>
      </c>
      <c r="H8" s="21" t="s">
        <v>351</v>
      </c>
      <c r="I8" s="11" t="s">
        <v>140</v>
      </c>
      <c r="J8" s="21" t="s">
        <v>352</v>
      </c>
      <c r="K8" s="425" t="s">
        <v>821</v>
      </c>
      <c r="L8" s="21" t="s">
        <v>352</v>
      </c>
      <c r="M8" s="21" t="s">
        <v>352</v>
      </c>
      <c r="N8" s="21"/>
    </row>
    <row r="9" spans="1:14" ht="25">
      <c r="A9" s="20">
        <v>3</v>
      </c>
      <c r="B9" s="21"/>
      <c r="C9" s="21" t="s">
        <v>779</v>
      </c>
      <c r="D9" s="21" t="s">
        <v>54</v>
      </c>
      <c r="E9" s="21" t="s">
        <v>745</v>
      </c>
      <c r="F9" s="294" t="s">
        <v>146</v>
      </c>
      <c r="G9" s="21" t="s">
        <v>52</v>
      </c>
      <c r="H9" s="21" t="s">
        <v>351</v>
      </c>
      <c r="I9" s="11" t="s">
        <v>140</v>
      </c>
      <c r="J9" s="21" t="s">
        <v>352</v>
      </c>
      <c r="K9" s="425" t="s">
        <v>821</v>
      </c>
      <c r="L9" s="21" t="s">
        <v>352</v>
      </c>
      <c r="M9" s="21" t="s">
        <v>352</v>
      </c>
      <c r="N9" s="21"/>
    </row>
    <row r="10" spans="1:14" ht="25">
      <c r="A10" s="20">
        <v>4</v>
      </c>
      <c r="B10" s="21"/>
      <c r="C10" s="21"/>
      <c r="D10" s="21" t="s">
        <v>55</v>
      </c>
      <c r="E10" s="21" t="s">
        <v>745</v>
      </c>
      <c r="F10" s="294" t="s">
        <v>146</v>
      </c>
      <c r="G10" s="21" t="s">
        <v>52</v>
      </c>
      <c r="H10" s="21" t="s">
        <v>351</v>
      </c>
      <c r="I10" s="11" t="s">
        <v>140</v>
      </c>
      <c r="J10" s="21" t="s">
        <v>352</v>
      </c>
      <c r="K10" s="425" t="s">
        <v>821</v>
      </c>
      <c r="L10" s="21" t="s">
        <v>352</v>
      </c>
      <c r="M10" s="21" t="s">
        <v>352</v>
      </c>
      <c r="N10" s="21"/>
    </row>
    <row r="11" spans="1:14" ht="25">
      <c r="A11" s="20">
        <v>5</v>
      </c>
      <c r="B11" s="21"/>
      <c r="C11" s="21" t="s">
        <v>780</v>
      </c>
      <c r="D11" s="21" t="s">
        <v>56</v>
      </c>
      <c r="E11" s="21" t="s">
        <v>747</v>
      </c>
      <c r="F11" s="294" t="s">
        <v>146</v>
      </c>
      <c r="G11" s="21" t="s">
        <v>52</v>
      </c>
      <c r="H11" s="21" t="s">
        <v>351</v>
      </c>
      <c r="I11" s="11" t="s">
        <v>140</v>
      </c>
      <c r="J11" s="21" t="s">
        <v>352</v>
      </c>
      <c r="K11" s="425" t="s">
        <v>821</v>
      </c>
      <c r="L11" s="21" t="s">
        <v>352</v>
      </c>
      <c r="M11" s="21" t="s">
        <v>352</v>
      </c>
      <c r="N11" s="21"/>
    </row>
    <row r="12" spans="1:14" ht="25">
      <c r="A12" s="20">
        <v>6</v>
      </c>
      <c r="B12" s="22"/>
      <c r="C12" s="22"/>
      <c r="D12" s="22" t="s">
        <v>57</v>
      </c>
      <c r="E12" s="22" t="s">
        <v>747</v>
      </c>
      <c r="F12" s="294" t="s">
        <v>146</v>
      </c>
      <c r="G12" s="22" t="s">
        <v>52</v>
      </c>
      <c r="H12" s="21" t="s">
        <v>351</v>
      </c>
      <c r="I12" s="11" t="s">
        <v>140</v>
      </c>
      <c r="J12" s="21" t="s">
        <v>352</v>
      </c>
      <c r="K12" s="425" t="s">
        <v>821</v>
      </c>
      <c r="L12" s="21" t="s">
        <v>352</v>
      </c>
      <c r="M12" s="21" t="s">
        <v>352</v>
      </c>
      <c r="N12" s="21"/>
    </row>
    <row r="13" spans="1:14" ht="25">
      <c r="A13" s="20">
        <v>7</v>
      </c>
      <c r="B13" s="22"/>
      <c r="C13" s="22" t="s">
        <v>781</v>
      </c>
      <c r="D13" s="22" t="s">
        <v>58</v>
      </c>
      <c r="E13" s="22" t="s">
        <v>749</v>
      </c>
      <c r="F13" s="294" t="s">
        <v>146</v>
      </c>
      <c r="G13" s="22" t="s">
        <v>52</v>
      </c>
      <c r="H13" s="21" t="s">
        <v>351</v>
      </c>
      <c r="I13" s="11" t="s">
        <v>140</v>
      </c>
      <c r="J13" s="21" t="s">
        <v>352</v>
      </c>
      <c r="K13" s="425" t="s">
        <v>821</v>
      </c>
      <c r="L13" s="21" t="s">
        <v>352</v>
      </c>
      <c r="M13" s="21" t="s">
        <v>352</v>
      </c>
      <c r="N13" s="21"/>
    </row>
    <row r="14" spans="1:14" ht="25">
      <c r="A14" s="20">
        <v>8</v>
      </c>
      <c r="B14" s="22"/>
      <c r="C14" s="22"/>
      <c r="D14" s="22" t="s">
        <v>59</v>
      </c>
      <c r="E14" s="22" t="s">
        <v>749</v>
      </c>
      <c r="F14" s="294" t="s">
        <v>146</v>
      </c>
      <c r="G14" s="22" t="s">
        <v>52</v>
      </c>
      <c r="H14" s="21" t="s">
        <v>351</v>
      </c>
      <c r="I14" s="11" t="s">
        <v>140</v>
      </c>
      <c r="J14" s="21" t="s">
        <v>352</v>
      </c>
      <c r="K14" s="425" t="s">
        <v>821</v>
      </c>
      <c r="L14" s="21" t="s">
        <v>352</v>
      </c>
      <c r="M14" s="21" t="s">
        <v>352</v>
      </c>
      <c r="N14" s="21"/>
    </row>
    <row r="15" spans="1:14">
      <c r="A15" s="24" t="s">
        <v>142</v>
      </c>
      <c r="B15" s="23"/>
      <c r="C15" s="23"/>
      <c r="D15" s="23"/>
      <c r="E15" s="23"/>
      <c r="F15" s="23"/>
      <c r="G15" s="23"/>
      <c r="H15" s="23"/>
      <c r="I15" s="23"/>
      <c r="J15" s="23"/>
      <c r="K15" s="23"/>
      <c r="L15" s="23"/>
      <c r="M15" s="23"/>
      <c r="N15" s="23"/>
    </row>
    <row r="16" spans="1:14" ht="25">
      <c r="A16" s="20">
        <v>1</v>
      </c>
      <c r="B16" s="22" t="s">
        <v>60</v>
      </c>
      <c r="C16" s="22" t="s">
        <v>61</v>
      </c>
      <c r="D16" s="22" t="s">
        <v>414</v>
      </c>
      <c r="E16" s="22" t="s">
        <v>786</v>
      </c>
      <c r="F16" s="302" t="s">
        <v>417</v>
      </c>
      <c r="G16" s="22" t="s">
        <v>52</v>
      </c>
      <c r="H16" s="21" t="s">
        <v>351</v>
      </c>
      <c r="I16" s="11" t="s">
        <v>140</v>
      </c>
      <c r="J16" s="21" t="s">
        <v>352</v>
      </c>
      <c r="K16" s="425" t="s">
        <v>821</v>
      </c>
      <c r="L16" s="21" t="s">
        <v>352</v>
      </c>
      <c r="M16" s="21" t="s">
        <v>352</v>
      </c>
      <c r="N16" s="21"/>
    </row>
    <row r="17" spans="1:14" ht="37.5">
      <c r="A17" s="20">
        <v>2</v>
      </c>
      <c r="B17" s="22"/>
      <c r="C17" s="22" t="s">
        <v>62</v>
      </c>
      <c r="D17" s="22" t="s">
        <v>416</v>
      </c>
      <c r="E17" s="22" t="s">
        <v>802</v>
      </c>
      <c r="F17" s="302" t="s">
        <v>417</v>
      </c>
      <c r="G17" s="22" t="s">
        <v>52</v>
      </c>
      <c r="H17" s="21" t="s">
        <v>351</v>
      </c>
      <c r="I17" s="11" t="s">
        <v>140</v>
      </c>
      <c r="J17" s="21" t="s">
        <v>352</v>
      </c>
      <c r="K17" s="425" t="s">
        <v>821</v>
      </c>
      <c r="L17" s="21" t="s">
        <v>352</v>
      </c>
      <c r="M17" s="21" t="s">
        <v>352</v>
      </c>
      <c r="N17" s="21"/>
    </row>
    <row r="18" spans="1:14" ht="25">
      <c r="A18" s="20">
        <v>3</v>
      </c>
      <c r="B18" s="22"/>
      <c r="C18" s="22" t="s">
        <v>63</v>
      </c>
      <c r="D18" s="22" t="s">
        <v>602</v>
      </c>
      <c r="E18" s="22" t="s">
        <v>64</v>
      </c>
      <c r="F18" s="302" t="s">
        <v>417</v>
      </c>
      <c r="G18" s="22" t="s">
        <v>52</v>
      </c>
      <c r="H18" s="21" t="s">
        <v>351</v>
      </c>
      <c r="I18" s="11" t="s">
        <v>140</v>
      </c>
      <c r="J18" s="21" t="s">
        <v>352</v>
      </c>
      <c r="K18" s="425" t="s">
        <v>821</v>
      </c>
      <c r="L18" s="21" t="s">
        <v>352</v>
      </c>
      <c r="M18" s="21" t="s">
        <v>352</v>
      </c>
      <c r="N18" s="21"/>
    </row>
    <row r="19" spans="1:14" ht="33" customHeight="1">
      <c r="A19" s="20">
        <v>4</v>
      </c>
      <c r="B19" s="22"/>
      <c r="C19" s="22" t="s">
        <v>65</v>
      </c>
      <c r="D19" s="22" t="s">
        <v>605</v>
      </c>
      <c r="E19" s="22" t="s">
        <v>758</v>
      </c>
      <c r="F19" s="302" t="s">
        <v>417</v>
      </c>
      <c r="G19" s="22" t="s">
        <v>52</v>
      </c>
      <c r="H19" s="21" t="s">
        <v>351</v>
      </c>
      <c r="I19" s="11" t="s">
        <v>140</v>
      </c>
      <c r="J19" s="21" t="s">
        <v>352</v>
      </c>
      <c r="K19" s="425" t="s">
        <v>821</v>
      </c>
      <c r="L19" s="21" t="s">
        <v>352</v>
      </c>
      <c r="M19" s="21" t="s">
        <v>352</v>
      </c>
      <c r="N19" s="21"/>
    </row>
    <row r="20" spans="1:14">
      <c r="A20" s="24" t="s">
        <v>141</v>
      </c>
      <c r="B20" s="24"/>
      <c r="C20" s="24"/>
      <c r="D20" s="24"/>
      <c r="E20" s="24"/>
      <c r="F20" s="24"/>
      <c r="G20" s="24"/>
      <c r="H20" s="24"/>
      <c r="I20" s="24"/>
      <c r="J20" s="24"/>
      <c r="K20" s="24"/>
      <c r="L20" s="24"/>
      <c r="M20" s="24"/>
      <c r="N20" s="24"/>
    </row>
    <row r="21" spans="1:14" ht="37.5">
      <c r="A21" s="20">
        <v>1</v>
      </c>
      <c r="B21" s="22" t="s">
        <v>66</v>
      </c>
      <c r="C21" s="22" t="s">
        <v>67</v>
      </c>
      <c r="D21" s="22" t="s">
        <v>606</v>
      </c>
      <c r="E21" s="22" t="s">
        <v>760</v>
      </c>
      <c r="F21" s="302" t="s">
        <v>417</v>
      </c>
      <c r="G21" s="22" t="s">
        <v>52</v>
      </c>
      <c r="H21" s="21" t="s">
        <v>351</v>
      </c>
      <c r="I21" s="11" t="s">
        <v>140</v>
      </c>
      <c r="J21" s="21" t="s">
        <v>352</v>
      </c>
      <c r="K21" s="425" t="s">
        <v>821</v>
      </c>
      <c r="L21" s="21" t="s">
        <v>352</v>
      </c>
      <c r="M21" s="21" t="s">
        <v>352</v>
      </c>
      <c r="N21" s="21"/>
    </row>
    <row r="22" spans="1:14" ht="37.5">
      <c r="A22" s="20">
        <v>2</v>
      </c>
      <c r="B22" s="22"/>
      <c r="C22" s="22"/>
      <c r="D22" s="22" t="s">
        <v>617</v>
      </c>
      <c r="E22" s="22" t="s">
        <v>760</v>
      </c>
      <c r="F22" s="302" t="s">
        <v>417</v>
      </c>
      <c r="G22" s="22" t="s">
        <v>52</v>
      </c>
      <c r="H22" s="21" t="s">
        <v>351</v>
      </c>
      <c r="I22" s="11" t="s">
        <v>140</v>
      </c>
      <c r="J22" s="21" t="s">
        <v>352</v>
      </c>
      <c r="K22" s="425" t="s">
        <v>821</v>
      </c>
      <c r="L22" s="21" t="s">
        <v>352</v>
      </c>
      <c r="M22" s="21" t="s">
        <v>352</v>
      </c>
      <c r="N22" s="21"/>
    </row>
    <row r="23" spans="1:14" ht="37.5">
      <c r="A23" s="20">
        <v>3</v>
      </c>
      <c r="B23" s="22" t="s">
        <v>68</v>
      </c>
      <c r="C23" s="22" t="s">
        <v>69</v>
      </c>
      <c r="D23" s="22" t="s">
        <v>619</v>
      </c>
      <c r="E23" s="22" t="s">
        <v>762</v>
      </c>
      <c r="F23" s="302" t="s">
        <v>417</v>
      </c>
      <c r="G23" s="22" t="s">
        <v>52</v>
      </c>
      <c r="H23" s="21" t="s">
        <v>351</v>
      </c>
      <c r="I23" s="11" t="s">
        <v>140</v>
      </c>
      <c r="J23" s="21" t="s">
        <v>352</v>
      </c>
      <c r="K23" s="425" t="s">
        <v>821</v>
      </c>
      <c r="L23" s="21" t="s">
        <v>352</v>
      </c>
      <c r="M23" s="21" t="s">
        <v>352</v>
      </c>
      <c r="N23" s="21"/>
    </row>
    <row r="24" spans="1:14" ht="25">
      <c r="A24" s="20">
        <v>4</v>
      </c>
      <c r="B24" s="22" t="s">
        <v>70</v>
      </c>
      <c r="C24" s="22" t="s">
        <v>71</v>
      </c>
      <c r="D24" s="22" t="s">
        <v>625</v>
      </c>
      <c r="E24" s="22" t="s">
        <v>72</v>
      </c>
      <c r="F24" s="302" t="s">
        <v>417</v>
      </c>
      <c r="G24" s="22" t="s">
        <v>52</v>
      </c>
      <c r="H24" s="21" t="s">
        <v>351</v>
      </c>
      <c r="I24" s="11" t="s">
        <v>140</v>
      </c>
      <c r="J24" s="21" t="s">
        <v>352</v>
      </c>
      <c r="K24" s="425" t="s">
        <v>821</v>
      </c>
      <c r="L24" s="21" t="s">
        <v>352</v>
      </c>
      <c r="M24" s="21" t="s">
        <v>352</v>
      </c>
      <c r="N24" s="21"/>
    </row>
    <row r="25" spans="1:14" ht="25">
      <c r="A25" s="20">
        <v>5</v>
      </c>
      <c r="B25" s="22"/>
      <c r="C25" s="22" t="s">
        <v>73</v>
      </c>
      <c r="D25" s="22" t="s">
        <v>636</v>
      </c>
      <c r="E25" s="22" t="s">
        <v>74</v>
      </c>
      <c r="F25" s="302" t="s">
        <v>417</v>
      </c>
      <c r="G25" s="22" t="s">
        <v>52</v>
      </c>
      <c r="H25" s="21" t="s">
        <v>351</v>
      </c>
      <c r="I25" s="11" t="s">
        <v>140</v>
      </c>
      <c r="J25" s="21" t="s">
        <v>352</v>
      </c>
      <c r="K25" s="425" t="s">
        <v>821</v>
      </c>
      <c r="L25" s="21" t="s">
        <v>352</v>
      </c>
      <c r="M25" s="21" t="s">
        <v>352</v>
      </c>
      <c r="N25" s="21"/>
    </row>
    <row r="26" spans="1:14" ht="25">
      <c r="A26" s="20">
        <v>6</v>
      </c>
      <c r="B26" s="22"/>
      <c r="C26" s="22" t="s">
        <v>75</v>
      </c>
      <c r="D26" s="22" t="s">
        <v>640</v>
      </c>
      <c r="E26" s="22" t="s">
        <v>76</v>
      </c>
      <c r="F26" s="302" t="s">
        <v>417</v>
      </c>
      <c r="G26" s="22" t="s">
        <v>52</v>
      </c>
      <c r="H26" s="21" t="s">
        <v>351</v>
      </c>
      <c r="I26" s="11" t="s">
        <v>140</v>
      </c>
      <c r="J26" s="21" t="s">
        <v>352</v>
      </c>
      <c r="K26" s="425" t="s">
        <v>821</v>
      </c>
      <c r="L26" s="21" t="s">
        <v>352</v>
      </c>
      <c r="M26" s="21" t="s">
        <v>352</v>
      </c>
      <c r="N26" s="21"/>
    </row>
    <row r="27" spans="1:14" ht="37.5">
      <c r="A27" s="20">
        <v>7</v>
      </c>
      <c r="B27" s="22"/>
      <c r="C27" s="22" t="s">
        <v>77</v>
      </c>
      <c r="D27" s="22" t="s">
        <v>660</v>
      </c>
      <c r="E27" s="22" t="s">
        <v>78</v>
      </c>
      <c r="F27" s="302" t="s">
        <v>417</v>
      </c>
      <c r="G27" s="22" t="s">
        <v>52</v>
      </c>
      <c r="H27" s="21" t="s">
        <v>351</v>
      </c>
      <c r="I27" s="11" t="s">
        <v>140</v>
      </c>
      <c r="J27" s="21" t="s">
        <v>352</v>
      </c>
      <c r="K27" s="425" t="s">
        <v>821</v>
      </c>
      <c r="L27" s="21" t="s">
        <v>352</v>
      </c>
      <c r="M27" s="21" t="s">
        <v>352</v>
      </c>
      <c r="N27" s="21"/>
    </row>
    <row r="28" spans="1:14" ht="25">
      <c r="A28" s="20">
        <v>8</v>
      </c>
      <c r="B28" s="22"/>
      <c r="C28" s="22" t="s">
        <v>79</v>
      </c>
      <c r="D28" s="22" t="s">
        <v>664</v>
      </c>
      <c r="E28" s="22" t="s">
        <v>80</v>
      </c>
      <c r="F28" s="302" t="s">
        <v>417</v>
      </c>
      <c r="G28" s="22" t="s">
        <v>52</v>
      </c>
      <c r="H28" s="21" t="s">
        <v>351</v>
      </c>
      <c r="I28" s="11" t="s">
        <v>140</v>
      </c>
      <c r="J28" s="21" t="s">
        <v>352</v>
      </c>
      <c r="K28" s="425" t="s">
        <v>821</v>
      </c>
      <c r="L28" s="21" t="s">
        <v>352</v>
      </c>
      <c r="M28" s="21" t="s">
        <v>352</v>
      </c>
      <c r="N28" s="21"/>
    </row>
    <row r="29" spans="1:14" ht="25">
      <c r="A29" s="20">
        <v>9</v>
      </c>
      <c r="B29" s="22"/>
      <c r="C29" s="22" t="s">
        <v>81</v>
      </c>
      <c r="D29" s="22" t="s">
        <v>689</v>
      </c>
      <c r="E29" s="22" t="s">
        <v>687</v>
      </c>
      <c r="F29" s="302" t="s">
        <v>417</v>
      </c>
      <c r="G29" s="22" t="s">
        <v>52</v>
      </c>
      <c r="H29" s="21" t="s">
        <v>351</v>
      </c>
      <c r="I29" s="11" t="s">
        <v>140</v>
      </c>
      <c r="J29" s="21" t="s">
        <v>352</v>
      </c>
      <c r="K29" s="425" t="s">
        <v>821</v>
      </c>
      <c r="L29" s="21" t="s">
        <v>352</v>
      </c>
      <c r="M29" s="21" t="s">
        <v>352</v>
      </c>
      <c r="N29" s="21"/>
    </row>
    <row r="30" spans="1:14" ht="25">
      <c r="A30" s="20">
        <v>10</v>
      </c>
      <c r="B30" s="22"/>
      <c r="C30" s="22" t="s">
        <v>82</v>
      </c>
      <c r="D30" s="22" t="s">
        <v>692</v>
      </c>
      <c r="E30" s="22" t="s">
        <v>83</v>
      </c>
      <c r="F30" s="302" t="s">
        <v>417</v>
      </c>
      <c r="G30" s="22" t="s">
        <v>52</v>
      </c>
      <c r="H30" s="21" t="s">
        <v>351</v>
      </c>
      <c r="I30" s="11" t="s">
        <v>140</v>
      </c>
      <c r="J30" s="21" t="s">
        <v>352</v>
      </c>
      <c r="K30" s="425" t="s">
        <v>821</v>
      </c>
      <c r="L30" s="21" t="s">
        <v>352</v>
      </c>
      <c r="M30" s="21" t="s">
        <v>352</v>
      </c>
      <c r="N30" s="21"/>
    </row>
    <row r="31" spans="1:14" ht="25">
      <c r="A31" s="20">
        <v>11</v>
      </c>
      <c r="B31" s="22"/>
      <c r="C31" s="22" t="s">
        <v>84</v>
      </c>
      <c r="D31" s="22" t="s">
        <v>695</v>
      </c>
      <c r="E31" s="22" t="s">
        <v>85</v>
      </c>
      <c r="F31" s="302" t="s">
        <v>417</v>
      </c>
      <c r="G31" s="22" t="s">
        <v>52</v>
      </c>
      <c r="H31" s="21" t="s">
        <v>351</v>
      </c>
      <c r="I31" s="11" t="s">
        <v>140</v>
      </c>
      <c r="J31" s="21" t="s">
        <v>352</v>
      </c>
      <c r="K31" s="425" t="s">
        <v>821</v>
      </c>
      <c r="L31" s="21" t="s">
        <v>352</v>
      </c>
      <c r="M31" s="21" t="s">
        <v>352</v>
      </c>
      <c r="N31" s="21"/>
    </row>
    <row r="32" spans="1:14" ht="13">
      <c r="A32" s="20">
        <v>12</v>
      </c>
      <c r="B32" s="22"/>
      <c r="C32" s="22" t="s">
        <v>86</v>
      </c>
      <c r="D32" s="22" t="s">
        <v>698</v>
      </c>
      <c r="E32" s="22" t="s">
        <v>87</v>
      </c>
      <c r="F32" s="302" t="s">
        <v>417</v>
      </c>
      <c r="G32" s="22" t="s">
        <v>52</v>
      </c>
      <c r="H32" s="21" t="s">
        <v>351</v>
      </c>
      <c r="I32" s="11" t="s">
        <v>140</v>
      </c>
      <c r="J32" s="21" t="s">
        <v>352</v>
      </c>
      <c r="K32" s="425" t="s">
        <v>821</v>
      </c>
      <c r="L32" s="21" t="s">
        <v>352</v>
      </c>
      <c r="M32" s="21" t="s">
        <v>352</v>
      </c>
      <c r="N32" s="21"/>
    </row>
    <row r="33" spans="1:14" ht="13">
      <c r="A33" s="20">
        <v>13</v>
      </c>
      <c r="B33" s="22"/>
      <c r="C33" s="22" t="s">
        <v>88</v>
      </c>
      <c r="D33" s="22" t="s">
        <v>701</v>
      </c>
      <c r="E33" s="22" t="s">
        <v>89</v>
      </c>
      <c r="F33" s="302" t="s">
        <v>417</v>
      </c>
      <c r="G33" s="22" t="s">
        <v>52</v>
      </c>
      <c r="H33" s="21" t="s">
        <v>351</v>
      </c>
      <c r="I33" s="11" t="s">
        <v>140</v>
      </c>
      <c r="J33" s="21" t="s">
        <v>352</v>
      </c>
      <c r="K33" s="425" t="s">
        <v>821</v>
      </c>
      <c r="L33" s="21" t="s">
        <v>352</v>
      </c>
      <c r="M33" s="21" t="s">
        <v>352</v>
      </c>
      <c r="N33" s="21"/>
    </row>
    <row r="34" spans="1:14" ht="37.5">
      <c r="A34" s="20">
        <v>14</v>
      </c>
      <c r="B34" s="22" t="s">
        <v>787</v>
      </c>
      <c r="C34" s="22" t="s">
        <v>90</v>
      </c>
      <c r="D34" s="22" t="s">
        <v>628</v>
      </c>
      <c r="E34" s="22" t="s">
        <v>764</v>
      </c>
      <c r="F34" s="302" t="s">
        <v>417</v>
      </c>
      <c r="G34" s="22" t="s">
        <v>52</v>
      </c>
      <c r="H34" s="21" t="s">
        <v>351</v>
      </c>
      <c r="I34" s="11" t="s">
        <v>140</v>
      </c>
      <c r="J34" s="21" t="s">
        <v>352</v>
      </c>
      <c r="K34" s="425" t="s">
        <v>821</v>
      </c>
      <c r="L34" s="21" t="s">
        <v>352</v>
      </c>
      <c r="M34" s="21" t="s">
        <v>352</v>
      </c>
      <c r="N34" s="21"/>
    </row>
    <row r="35" spans="1:14" ht="50">
      <c r="A35" s="20">
        <v>15</v>
      </c>
      <c r="B35" s="22"/>
      <c r="C35" s="22" t="s">
        <v>92</v>
      </c>
      <c r="D35" s="22" t="s">
        <v>607</v>
      </c>
      <c r="E35" s="22" t="s">
        <v>766</v>
      </c>
      <c r="F35" s="302" t="s">
        <v>417</v>
      </c>
      <c r="G35" s="22" t="s">
        <v>52</v>
      </c>
      <c r="H35" s="21" t="s">
        <v>351</v>
      </c>
      <c r="I35" s="11" t="s">
        <v>140</v>
      </c>
      <c r="J35" s="21" t="s">
        <v>352</v>
      </c>
      <c r="K35" s="425" t="s">
        <v>821</v>
      </c>
      <c r="L35" s="21" t="s">
        <v>352</v>
      </c>
      <c r="M35" s="21" t="s">
        <v>352</v>
      </c>
      <c r="N35" s="21"/>
    </row>
    <row r="36" spans="1:14" ht="50">
      <c r="A36" s="20">
        <v>16</v>
      </c>
      <c r="B36" s="22"/>
      <c r="C36" s="22" t="s">
        <v>93</v>
      </c>
      <c r="D36" s="22" t="s">
        <v>707</v>
      </c>
      <c r="E36" s="22" t="s">
        <v>807</v>
      </c>
      <c r="F36" s="302" t="s">
        <v>417</v>
      </c>
      <c r="G36" s="22" t="s">
        <v>52</v>
      </c>
      <c r="H36" s="21" t="s">
        <v>351</v>
      </c>
      <c r="I36" s="11" t="s">
        <v>140</v>
      </c>
      <c r="J36" s="21" t="s">
        <v>352</v>
      </c>
      <c r="K36" s="425" t="s">
        <v>821</v>
      </c>
      <c r="L36" s="21" t="s">
        <v>352</v>
      </c>
      <c r="M36" s="21" t="s">
        <v>352</v>
      </c>
      <c r="N36" s="21"/>
    </row>
    <row r="37" spans="1:14" ht="25">
      <c r="A37" s="20">
        <v>17</v>
      </c>
      <c r="B37" s="22"/>
      <c r="C37" s="22" t="s">
        <v>94</v>
      </c>
      <c r="D37" s="22" t="s">
        <v>712</v>
      </c>
      <c r="E37" s="22" t="s">
        <v>768</v>
      </c>
      <c r="F37" s="302" t="s">
        <v>417</v>
      </c>
      <c r="G37" s="22" t="s">
        <v>52</v>
      </c>
      <c r="H37" s="21" t="s">
        <v>351</v>
      </c>
      <c r="I37" s="11" t="s">
        <v>140</v>
      </c>
      <c r="J37" s="21" t="s">
        <v>352</v>
      </c>
      <c r="K37" s="425" t="s">
        <v>821</v>
      </c>
      <c r="L37" s="21" t="s">
        <v>352</v>
      </c>
      <c r="M37" s="21" t="s">
        <v>352</v>
      </c>
      <c r="N37" s="21"/>
    </row>
    <row r="38" spans="1:14" ht="50">
      <c r="A38" s="20">
        <v>18</v>
      </c>
      <c r="B38" s="22" t="s">
        <v>788</v>
      </c>
      <c r="C38" s="21" t="s">
        <v>95</v>
      </c>
      <c r="D38" s="21" t="s">
        <v>714</v>
      </c>
      <c r="E38" s="21" t="s">
        <v>769</v>
      </c>
      <c r="F38" s="302" t="s">
        <v>417</v>
      </c>
      <c r="G38" s="21" t="s">
        <v>52</v>
      </c>
      <c r="H38" s="21" t="s">
        <v>351</v>
      </c>
      <c r="I38" s="11" t="s">
        <v>140</v>
      </c>
      <c r="J38" s="21" t="s">
        <v>352</v>
      </c>
      <c r="K38" s="425" t="s">
        <v>821</v>
      </c>
      <c r="L38" s="21" t="s">
        <v>352</v>
      </c>
      <c r="M38" s="21" t="s">
        <v>352</v>
      </c>
      <c r="N38" s="21"/>
    </row>
    <row r="39" spans="1:14" ht="50">
      <c r="A39" s="20">
        <v>19</v>
      </c>
      <c r="B39" s="22"/>
      <c r="C39" s="21" t="s">
        <v>97</v>
      </c>
      <c r="D39" s="21" t="s">
        <v>717</v>
      </c>
      <c r="E39" s="21" t="s">
        <v>771</v>
      </c>
      <c r="F39" s="302" t="s">
        <v>417</v>
      </c>
      <c r="G39" s="21" t="s">
        <v>52</v>
      </c>
      <c r="H39" s="21" t="s">
        <v>351</v>
      </c>
      <c r="I39" s="11" t="s">
        <v>140</v>
      </c>
      <c r="J39" s="21" t="s">
        <v>352</v>
      </c>
      <c r="K39" s="425" t="s">
        <v>821</v>
      </c>
      <c r="L39" s="21" t="s">
        <v>352</v>
      </c>
      <c r="M39" s="21" t="s">
        <v>352</v>
      </c>
      <c r="N39" s="21"/>
    </row>
    <row r="40" spans="1:14" ht="50">
      <c r="A40" s="20">
        <v>20</v>
      </c>
      <c r="B40" s="22" t="s">
        <v>789</v>
      </c>
      <c r="C40" s="21" t="s">
        <v>98</v>
      </c>
      <c r="D40" s="21" t="s">
        <v>721</v>
      </c>
      <c r="E40" s="21" t="s">
        <v>773</v>
      </c>
      <c r="F40" s="302" t="s">
        <v>417</v>
      </c>
      <c r="G40" s="21" t="s">
        <v>52</v>
      </c>
      <c r="H40" s="21" t="s">
        <v>351</v>
      </c>
      <c r="I40" s="11" t="s">
        <v>140</v>
      </c>
      <c r="J40" s="21" t="s">
        <v>352</v>
      </c>
      <c r="K40" s="425" t="s">
        <v>821</v>
      </c>
      <c r="L40" s="21" t="s">
        <v>352</v>
      </c>
      <c r="M40" s="21" t="s">
        <v>352</v>
      </c>
      <c r="N40" s="21"/>
    </row>
    <row r="41" spans="1:14" ht="50">
      <c r="A41" s="20">
        <v>21</v>
      </c>
      <c r="B41" s="22"/>
      <c r="C41" s="21" t="s">
        <v>100</v>
      </c>
      <c r="D41" s="21" t="s">
        <v>728</v>
      </c>
      <c r="E41" s="21" t="s">
        <v>775</v>
      </c>
      <c r="F41" s="302" t="s">
        <v>417</v>
      </c>
      <c r="G41" s="21" t="s">
        <v>52</v>
      </c>
      <c r="H41" s="21" t="s">
        <v>351</v>
      </c>
      <c r="I41" s="11" t="s">
        <v>140</v>
      </c>
      <c r="J41" s="21" t="s">
        <v>352</v>
      </c>
      <c r="K41" s="425" t="s">
        <v>821</v>
      </c>
      <c r="L41" s="21" t="s">
        <v>352</v>
      </c>
      <c r="M41" s="21" t="s">
        <v>352</v>
      </c>
      <c r="N41" s="21"/>
    </row>
    <row r="42" spans="1:14" ht="37.5">
      <c r="A42" s="20">
        <v>22</v>
      </c>
      <c r="B42" s="22"/>
      <c r="C42" s="21" t="s">
        <v>101</v>
      </c>
      <c r="D42" s="21" t="s">
        <v>732</v>
      </c>
      <c r="E42" s="21" t="s">
        <v>777</v>
      </c>
      <c r="F42" s="302" t="s">
        <v>417</v>
      </c>
      <c r="G42" s="21" t="s">
        <v>52</v>
      </c>
      <c r="H42" s="21" t="s">
        <v>351</v>
      </c>
      <c r="I42" s="11" t="s">
        <v>140</v>
      </c>
      <c r="J42" s="21" t="s">
        <v>352</v>
      </c>
      <c r="K42" s="425" t="s">
        <v>821</v>
      </c>
      <c r="L42" s="21" t="s">
        <v>352</v>
      </c>
      <c r="M42" s="21" t="s">
        <v>352</v>
      </c>
      <c r="N42" s="21"/>
    </row>
    <row r="43" spans="1:14">
      <c r="A43" s="26" t="s">
        <v>144</v>
      </c>
      <c r="B43" s="25"/>
      <c r="C43" s="24"/>
      <c r="D43" s="24"/>
      <c r="E43" s="24"/>
      <c r="F43" s="24"/>
      <c r="G43" s="24"/>
      <c r="H43" s="24"/>
      <c r="I43" s="24"/>
      <c r="J43" s="24"/>
      <c r="K43" s="24"/>
      <c r="L43" s="24"/>
      <c r="M43" s="24"/>
      <c r="N43" s="24"/>
    </row>
    <row r="44" spans="1:14" ht="13">
      <c r="A44" s="20">
        <v>1</v>
      </c>
      <c r="B44" s="21" t="s">
        <v>103</v>
      </c>
      <c r="C44" s="21" t="s">
        <v>104</v>
      </c>
      <c r="D44" s="21" t="s">
        <v>105</v>
      </c>
      <c r="E44" s="21" t="s">
        <v>106</v>
      </c>
      <c r="F44" s="302" t="s">
        <v>417</v>
      </c>
      <c r="G44" s="21" t="s">
        <v>52</v>
      </c>
      <c r="H44" s="21" t="s">
        <v>351</v>
      </c>
      <c r="I44" s="11" t="s">
        <v>140</v>
      </c>
      <c r="J44" s="21" t="s">
        <v>352</v>
      </c>
      <c r="K44" s="425" t="s">
        <v>821</v>
      </c>
      <c r="L44" s="21" t="s">
        <v>352</v>
      </c>
      <c r="M44" s="21" t="s">
        <v>352</v>
      </c>
      <c r="N44" s="21"/>
    </row>
    <row r="45" spans="1:14" ht="13">
      <c r="A45" s="20">
        <v>2</v>
      </c>
      <c r="B45" s="21"/>
      <c r="C45" s="22" t="s">
        <v>107</v>
      </c>
      <c r="D45" s="21" t="s">
        <v>108</v>
      </c>
      <c r="E45" s="21" t="s">
        <v>109</v>
      </c>
      <c r="F45" s="302" t="s">
        <v>417</v>
      </c>
      <c r="G45" s="21" t="s">
        <v>52</v>
      </c>
      <c r="H45" s="21" t="s">
        <v>351</v>
      </c>
      <c r="I45" s="11" t="s">
        <v>140</v>
      </c>
      <c r="J45" s="21" t="s">
        <v>352</v>
      </c>
      <c r="K45" s="425" t="s">
        <v>821</v>
      </c>
      <c r="L45" s="21" t="s">
        <v>352</v>
      </c>
      <c r="M45" s="21" t="s">
        <v>352</v>
      </c>
      <c r="N45" s="21"/>
    </row>
    <row r="46" spans="1:14" ht="13">
      <c r="A46" s="20">
        <v>3</v>
      </c>
      <c r="B46" s="21"/>
      <c r="C46" s="21" t="s">
        <v>110</v>
      </c>
      <c r="D46" s="21" t="s">
        <v>111</v>
      </c>
      <c r="E46" s="21" t="s">
        <v>112</v>
      </c>
      <c r="F46" s="302" t="s">
        <v>417</v>
      </c>
      <c r="G46" s="21" t="s">
        <v>52</v>
      </c>
      <c r="H46" s="21" t="s">
        <v>351</v>
      </c>
      <c r="I46" s="11" t="s">
        <v>140</v>
      </c>
      <c r="J46" s="21" t="s">
        <v>352</v>
      </c>
      <c r="K46" s="425" t="s">
        <v>821</v>
      </c>
      <c r="L46" s="21" t="s">
        <v>352</v>
      </c>
      <c r="M46" s="21" t="s">
        <v>352</v>
      </c>
      <c r="N46" s="21"/>
    </row>
    <row r="47" spans="1:14" ht="13">
      <c r="A47" s="20">
        <v>4</v>
      </c>
      <c r="B47" s="21"/>
      <c r="C47" s="21" t="s">
        <v>113</v>
      </c>
      <c r="D47" s="21" t="s">
        <v>114</v>
      </c>
      <c r="E47" s="21" t="s">
        <v>115</v>
      </c>
      <c r="F47" s="302" t="s">
        <v>417</v>
      </c>
      <c r="G47" s="21" t="s">
        <v>52</v>
      </c>
      <c r="H47" s="21" t="s">
        <v>351</v>
      </c>
      <c r="I47" s="11" t="s">
        <v>140</v>
      </c>
      <c r="J47" s="21" t="s">
        <v>352</v>
      </c>
      <c r="K47" s="425" t="s">
        <v>821</v>
      </c>
      <c r="L47" s="21" t="s">
        <v>352</v>
      </c>
      <c r="M47" s="21" t="s">
        <v>352</v>
      </c>
      <c r="N47" s="21"/>
    </row>
    <row r="48" spans="1:14" ht="13">
      <c r="A48" s="20">
        <v>5</v>
      </c>
      <c r="B48" s="21"/>
      <c r="C48" s="21" t="s">
        <v>116</v>
      </c>
      <c r="D48" s="21" t="s">
        <v>117</v>
      </c>
      <c r="E48" s="21" t="s">
        <v>118</v>
      </c>
      <c r="F48" s="302" t="s">
        <v>417</v>
      </c>
      <c r="G48" s="21" t="s">
        <v>52</v>
      </c>
      <c r="H48" s="21" t="s">
        <v>351</v>
      </c>
      <c r="I48" s="11" t="s">
        <v>140</v>
      </c>
      <c r="J48" s="21" t="s">
        <v>352</v>
      </c>
      <c r="K48" s="425" t="s">
        <v>821</v>
      </c>
      <c r="L48" s="21" t="s">
        <v>352</v>
      </c>
      <c r="M48" s="21" t="s">
        <v>352</v>
      </c>
      <c r="N48" s="21"/>
    </row>
    <row r="49" spans="1:14" ht="13">
      <c r="A49" s="20">
        <v>6</v>
      </c>
      <c r="B49" s="21"/>
      <c r="C49" s="21" t="s">
        <v>67</v>
      </c>
      <c r="D49" s="21" t="s">
        <v>119</v>
      </c>
      <c r="E49" s="21" t="s">
        <v>120</v>
      </c>
      <c r="F49" s="302" t="s">
        <v>417</v>
      </c>
      <c r="G49" s="21" t="s">
        <v>52</v>
      </c>
      <c r="H49" s="21" t="s">
        <v>351</v>
      </c>
      <c r="I49" s="11" t="s">
        <v>140</v>
      </c>
      <c r="J49" s="21" t="s">
        <v>352</v>
      </c>
      <c r="K49" s="425" t="s">
        <v>821</v>
      </c>
      <c r="L49" s="21" t="s">
        <v>352</v>
      </c>
      <c r="M49" s="21" t="s">
        <v>352</v>
      </c>
      <c r="N49" s="21"/>
    </row>
    <row r="50" spans="1:14" ht="13">
      <c r="A50" s="20">
        <v>7</v>
      </c>
      <c r="B50" s="21"/>
      <c r="C50" s="21" t="s">
        <v>69</v>
      </c>
      <c r="D50" s="21" t="s">
        <v>121</v>
      </c>
      <c r="E50" s="21" t="s">
        <v>122</v>
      </c>
      <c r="F50" s="302" t="s">
        <v>417</v>
      </c>
      <c r="G50" s="21" t="s">
        <v>52</v>
      </c>
      <c r="H50" s="21" t="s">
        <v>351</v>
      </c>
      <c r="I50" s="11" t="s">
        <v>140</v>
      </c>
      <c r="J50" s="21" t="s">
        <v>352</v>
      </c>
      <c r="K50" s="425" t="s">
        <v>821</v>
      </c>
      <c r="L50" s="21" t="s">
        <v>352</v>
      </c>
      <c r="M50" s="21" t="s">
        <v>352</v>
      </c>
      <c r="N50" s="21"/>
    </row>
    <row r="51" spans="1:14" ht="13">
      <c r="A51" s="20">
        <v>8</v>
      </c>
      <c r="B51" s="21"/>
      <c r="C51" s="21" t="s">
        <v>96</v>
      </c>
      <c r="D51" s="21" t="s">
        <v>123</v>
      </c>
      <c r="E51" s="21" t="s">
        <v>124</v>
      </c>
      <c r="F51" s="302" t="s">
        <v>417</v>
      </c>
      <c r="G51" s="21" t="s">
        <v>52</v>
      </c>
      <c r="H51" s="21" t="s">
        <v>351</v>
      </c>
      <c r="I51" s="11" t="s">
        <v>140</v>
      </c>
      <c r="J51" s="21" t="s">
        <v>352</v>
      </c>
      <c r="K51" s="425" t="s">
        <v>821</v>
      </c>
      <c r="L51" s="21" t="s">
        <v>352</v>
      </c>
      <c r="M51" s="21" t="s">
        <v>352</v>
      </c>
      <c r="N51" s="21"/>
    </row>
    <row r="52" spans="1:14" ht="13">
      <c r="A52" s="20">
        <v>9</v>
      </c>
      <c r="B52" s="21"/>
      <c r="C52" s="21" t="s">
        <v>102</v>
      </c>
      <c r="D52" s="21" t="s">
        <v>125</v>
      </c>
      <c r="E52" s="21" t="s">
        <v>126</v>
      </c>
      <c r="F52" s="302" t="s">
        <v>417</v>
      </c>
      <c r="G52" s="21" t="s">
        <v>52</v>
      </c>
      <c r="H52" s="21" t="s">
        <v>351</v>
      </c>
      <c r="I52" s="11" t="s">
        <v>140</v>
      </c>
      <c r="J52" s="21" t="s">
        <v>352</v>
      </c>
      <c r="K52" s="425" t="s">
        <v>821</v>
      </c>
      <c r="L52" s="21" t="s">
        <v>352</v>
      </c>
      <c r="M52" s="21" t="s">
        <v>352</v>
      </c>
      <c r="N52" s="21"/>
    </row>
    <row r="53" spans="1:14" ht="13">
      <c r="A53" s="20">
        <v>10</v>
      </c>
      <c r="B53" s="21"/>
      <c r="C53" s="21" t="s">
        <v>127</v>
      </c>
      <c r="D53" s="21" t="s">
        <v>128</v>
      </c>
      <c r="E53" s="21" t="s">
        <v>129</v>
      </c>
      <c r="F53" s="302" t="s">
        <v>417</v>
      </c>
      <c r="G53" s="21" t="s">
        <v>52</v>
      </c>
      <c r="H53" s="21" t="s">
        <v>351</v>
      </c>
      <c r="I53" s="11" t="s">
        <v>140</v>
      </c>
      <c r="J53" s="21" t="s">
        <v>352</v>
      </c>
      <c r="K53" s="425" t="s">
        <v>821</v>
      </c>
      <c r="L53" s="21" t="s">
        <v>352</v>
      </c>
      <c r="M53" s="21" t="s">
        <v>352</v>
      </c>
      <c r="N53" s="21"/>
    </row>
    <row r="54" spans="1:14" ht="13">
      <c r="A54" s="20">
        <v>11</v>
      </c>
      <c r="B54" s="21"/>
      <c r="C54" s="21" t="s">
        <v>130</v>
      </c>
      <c r="D54" s="21" t="s">
        <v>131</v>
      </c>
      <c r="E54" s="21" t="s">
        <v>132</v>
      </c>
      <c r="F54" s="302" t="s">
        <v>417</v>
      </c>
      <c r="G54" s="21" t="s">
        <v>52</v>
      </c>
      <c r="H54" s="21" t="s">
        <v>351</v>
      </c>
      <c r="I54" s="11" t="s">
        <v>140</v>
      </c>
      <c r="J54" s="21" t="s">
        <v>352</v>
      </c>
      <c r="K54" s="425" t="s">
        <v>821</v>
      </c>
      <c r="L54" s="21" t="s">
        <v>352</v>
      </c>
      <c r="M54" s="21" t="s">
        <v>352</v>
      </c>
      <c r="N54" s="21"/>
    </row>
    <row r="55" spans="1:14" ht="13">
      <c r="A55" s="20">
        <v>12</v>
      </c>
      <c r="B55" s="21" t="s">
        <v>615</v>
      </c>
      <c r="C55" s="22" t="s">
        <v>104</v>
      </c>
      <c r="D55" s="21" t="s">
        <v>133</v>
      </c>
      <c r="E55" s="21" t="s">
        <v>134</v>
      </c>
      <c r="F55" s="302" t="s">
        <v>417</v>
      </c>
      <c r="G55" s="21" t="s">
        <v>52</v>
      </c>
      <c r="H55" s="21" t="s">
        <v>351</v>
      </c>
      <c r="I55" s="11" t="s">
        <v>140</v>
      </c>
      <c r="J55" s="21" t="s">
        <v>352</v>
      </c>
      <c r="K55" s="425" t="s">
        <v>821</v>
      </c>
      <c r="L55" s="21" t="s">
        <v>352</v>
      </c>
      <c r="M55" s="21" t="s">
        <v>352</v>
      </c>
      <c r="N55" s="21"/>
    </row>
    <row r="56" spans="1:14" ht="13">
      <c r="A56" s="20">
        <v>13</v>
      </c>
      <c r="B56" s="21"/>
      <c r="C56" s="21" t="s">
        <v>104</v>
      </c>
      <c r="D56" s="21" t="s">
        <v>135</v>
      </c>
      <c r="E56" s="21" t="s">
        <v>136</v>
      </c>
      <c r="F56" s="302" t="s">
        <v>417</v>
      </c>
      <c r="G56" s="21" t="s">
        <v>52</v>
      </c>
      <c r="H56" s="21" t="s">
        <v>351</v>
      </c>
      <c r="I56" s="11" t="s">
        <v>140</v>
      </c>
      <c r="J56" s="21" t="s">
        <v>352</v>
      </c>
      <c r="K56" s="425" t="s">
        <v>821</v>
      </c>
      <c r="L56" s="21" t="s">
        <v>352</v>
      </c>
      <c r="M56" s="21" t="s">
        <v>352</v>
      </c>
      <c r="N56" s="21"/>
    </row>
    <row r="57" spans="1:14" ht="13">
      <c r="A57" s="20">
        <v>14</v>
      </c>
      <c r="B57" s="21"/>
      <c r="C57" s="21" t="s">
        <v>116</v>
      </c>
      <c r="D57" s="21" t="s">
        <v>794</v>
      </c>
      <c r="E57" s="21" t="s">
        <v>622</v>
      </c>
      <c r="F57" s="302" t="s">
        <v>417</v>
      </c>
      <c r="G57" s="21" t="s">
        <v>52</v>
      </c>
      <c r="H57" s="21" t="s">
        <v>351</v>
      </c>
      <c r="I57" s="11" t="s">
        <v>140</v>
      </c>
      <c r="J57" s="21" t="s">
        <v>352</v>
      </c>
      <c r="K57" s="425" t="s">
        <v>821</v>
      </c>
      <c r="L57" s="21" t="s">
        <v>352</v>
      </c>
      <c r="M57" s="21" t="s">
        <v>352</v>
      </c>
      <c r="N57" s="21"/>
    </row>
    <row r="58" spans="1:14" ht="13">
      <c r="A58" s="20">
        <v>15</v>
      </c>
      <c r="B58" s="21"/>
      <c r="C58" s="21" t="s">
        <v>795</v>
      </c>
      <c r="D58" s="21" t="s">
        <v>796</v>
      </c>
      <c r="E58" s="21" t="s">
        <v>792</v>
      </c>
      <c r="F58" s="302" t="s">
        <v>417</v>
      </c>
      <c r="G58" s="21" t="s">
        <v>52</v>
      </c>
      <c r="H58" s="21" t="s">
        <v>351</v>
      </c>
      <c r="I58" s="11" t="s">
        <v>140</v>
      </c>
      <c r="J58" s="21" t="s">
        <v>352</v>
      </c>
      <c r="K58" s="425" t="s">
        <v>821</v>
      </c>
      <c r="L58" s="21" t="s">
        <v>352</v>
      </c>
      <c r="M58" s="21" t="s">
        <v>352</v>
      </c>
      <c r="N58" s="21"/>
    </row>
    <row r="59" spans="1:14" ht="13">
      <c r="A59" s="20">
        <v>16</v>
      </c>
      <c r="B59" s="21"/>
      <c r="C59" s="21" t="s">
        <v>797</v>
      </c>
      <c r="D59" s="21" t="s">
        <v>798</v>
      </c>
      <c r="E59" s="21" t="s">
        <v>793</v>
      </c>
      <c r="F59" s="302" t="s">
        <v>417</v>
      </c>
      <c r="G59" s="21" t="s">
        <v>52</v>
      </c>
      <c r="H59" s="21" t="s">
        <v>351</v>
      </c>
      <c r="I59" s="11" t="s">
        <v>140</v>
      </c>
      <c r="J59" s="21" t="s">
        <v>352</v>
      </c>
      <c r="K59" s="425" t="s">
        <v>821</v>
      </c>
      <c r="L59" s="21" t="s">
        <v>352</v>
      </c>
      <c r="M59" s="21" t="s">
        <v>352</v>
      </c>
      <c r="N59" s="21"/>
    </row>
    <row r="60" spans="1:14">
      <c r="A60" s="20"/>
      <c r="B60" s="21"/>
      <c r="C60" s="21"/>
      <c r="D60" s="21"/>
      <c r="E60" s="21"/>
      <c r="F60" s="11"/>
      <c r="G60" s="21"/>
      <c r="H60" s="21"/>
      <c r="I60" s="11"/>
      <c r="J60" s="21"/>
      <c r="K60" s="21"/>
      <c r="L60" s="21"/>
      <c r="M60" s="21"/>
      <c r="N60" s="21"/>
    </row>
    <row r="61" spans="1:14">
      <c r="A61" s="20"/>
      <c r="C61" s="21"/>
      <c r="D61" s="21"/>
      <c r="E61" s="21"/>
      <c r="F61" s="11"/>
      <c r="G61" s="21"/>
      <c r="H61" s="21"/>
      <c r="I61" s="11"/>
      <c r="J61" s="21"/>
      <c r="K61" s="21"/>
      <c r="L61" s="21"/>
      <c r="M61" s="21"/>
      <c r="N61" s="21"/>
    </row>
    <row r="62" spans="1:14">
      <c r="A62" s="20"/>
      <c r="B62" s="21"/>
      <c r="C62" s="21"/>
      <c r="D62" s="21"/>
      <c r="E62" s="21"/>
      <c r="F62" s="11"/>
      <c r="G62" s="21"/>
      <c r="H62" s="21"/>
      <c r="I62" s="11"/>
      <c r="J62" s="21"/>
      <c r="K62" s="21"/>
      <c r="L62" s="21"/>
      <c r="M62" s="21"/>
      <c r="N62" s="21"/>
    </row>
    <row r="63" spans="1:14">
      <c r="A63" s="20"/>
      <c r="B63" s="21"/>
      <c r="C63" s="21"/>
      <c r="D63" s="21"/>
      <c r="E63" s="21"/>
      <c r="F63" s="11"/>
      <c r="G63" s="21"/>
      <c r="H63" s="21"/>
      <c r="I63" s="11"/>
      <c r="J63" s="21"/>
      <c r="K63" s="21"/>
      <c r="L63" s="21"/>
      <c r="M63" s="21"/>
      <c r="N63" s="21"/>
    </row>
    <row r="64" spans="1:14">
      <c r="A64" s="20"/>
      <c r="B64" s="21"/>
      <c r="C64" s="21"/>
      <c r="D64" s="21"/>
      <c r="E64" s="21"/>
      <c r="F64" s="11"/>
      <c r="G64" s="21"/>
      <c r="H64" s="21"/>
      <c r="I64" s="11"/>
      <c r="J64" s="21"/>
      <c r="K64" s="21"/>
      <c r="L64" s="21"/>
      <c r="M64" s="21"/>
      <c r="N64" s="21"/>
    </row>
    <row r="65" spans="1:14">
      <c r="A65" s="20"/>
      <c r="B65" s="21"/>
      <c r="C65" s="21"/>
      <c r="D65" s="21"/>
      <c r="E65" s="21"/>
      <c r="F65" s="11"/>
      <c r="G65" s="21"/>
      <c r="H65" s="21"/>
      <c r="I65" s="11"/>
      <c r="J65" s="21"/>
      <c r="K65" s="21"/>
      <c r="L65" s="21"/>
      <c r="M65" s="21"/>
      <c r="N65" s="21"/>
    </row>
    <row r="66" spans="1:14">
      <c r="A66" s="20"/>
      <c r="B66" s="21"/>
      <c r="C66" s="21"/>
      <c r="D66" s="21"/>
      <c r="E66" s="21"/>
      <c r="F66" s="11"/>
      <c r="G66" s="21"/>
      <c r="H66" s="21"/>
      <c r="I66" s="11"/>
      <c r="J66" s="21"/>
      <c r="K66" s="21"/>
      <c r="L66" s="21"/>
      <c r="M66" s="21"/>
      <c r="N66" s="21"/>
    </row>
    <row r="67" spans="1:14">
      <c r="A67" s="20"/>
      <c r="B67" s="21"/>
      <c r="C67" s="21"/>
      <c r="D67" s="21"/>
      <c r="E67" s="21"/>
      <c r="F67" s="11"/>
      <c r="G67" s="21"/>
      <c r="H67" s="21"/>
      <c r="I67" s="11"/>
      <c r="J67" s="21"/>
      <c r="K67" s="21"/>
      <c r="L67" s="21"/>
      <c r="M67" s="21"/>
      <c r="N67" s="21"/>
    </row>
    <row r="68" spans="1:14">
      <c r="A68" s="20"/>
      <c r="B68" s="21"/>
      <c r="C68" s="21"/>
      <c r="D68" s="21"/>
      <c r="E68" s="21"/>
      <c r="F68" s="11"/>
      <c r="G68" s="21"/>
      <c r="H68" s="21"/>
      <c r="I68" s="11"/>
      <c r="J68" s="21"/>
      <c r="K68" s="21"/>
      <c r="L68" s="21"/>
      <c r="M68" s="21"/>
      <c r="N68" s="21"/>
    </row>
    <row r="69" spans="1:14">
      <c r="A69" s="20"/>
      <c r="B69" s="21"/>
      <c r="C69" s="21"/>
      <c r="D69" s="21"/>
      <c r="E69" s="21"/>
      <c r="F69" s="11"/>
      <c r="G69" s="21"/>
      <c r="H69" s="21"/>
      <c r="I69" s="11"/>
      <c r="J69" s="21"/>
      <c r="K69" s="21"/>
      <c r="L69" s="21"/>
      <c r="M69" s="21"/>
      <c r="N69" s="21"/>
    </row>
    <row r="70" spans="1:14">
      <c r="A70" s="20"/>
      <c r="B70" s="21"/>
      <c r="C70" s="21"/>
      <c r="D70" s="21"/>
      <c r="E70" s="21"/>
      <c r="F70" s="11"/>
      <c r="G70" s="21"/>
      <c r="H70" s="21"/>
      <c r="I70" s="11"/>
      <c r="J70" s="21"/>
      <c r="K70" s="21"/>
      <c r="L70" s="21"/>
      <c r="M70" s="21"/>
      <c r="N70" s="21"/>
    </row>
    <row r="71" spans="1:14">
      <c r="A71" s="20"/>
      <c r="B71" s="21"/>
      <c r="C71" s="21"/>
      <c r="D71" s="21"/>
      <c r="E71" s="21"/>
      <c r="F71" s="11"/>
      <c r="G71" s="21"/>
      <c r="H71" s="21"/>
      <c r="I71" s="11"/>
      <c r="J71" s="21"/>
      <c r="K71" s="21"/>
      <c r="L71" s="21"/>
      <c r="M71" s="21"/>
      <c r="N71" s="21"/>
    </row>
    <row r="72" spans="1:14">
      <c r="A72" s="20"/>
      <c r="B72" s="21"/>
      <c r="C72" s="21"/>
      <c r="D72" s="21"/>
      <c r="E72" s="21"/>
      <c r="F72" s="11"/>
      <c r="G72" s="21"/>
      <c r="H72" s="21"/>
      <c r="I72" s="11"/>
      <c r="J72" s="21"/>
      <c r="K72" s="21"/>
      <c r="L72" s="21"/>
      <c r="M72" s="21"/>
      <c r="N72" s="21"/>
    </row>
    <row r="73" spans="1:14">
      <c r="A73" s="20"/>
      <c r="B73" s="21"/>
      <c r="C73" s="21"/>
      <c r="D73" s="21"/>
      <c r="E73" s="21"/>
      <c r="F73" s="11"/>
      <c r="G73" s="21"/>
      <c r="H73" s="21"/>
      <c r="I73" s="11"/>
      <c r="J73" s="21"/>
      <c r="K73" s="21"/>
      <c r="L73" s="21"/>
      <c r="M73" s="21"/>
      <c r="N73" s="21"/>
    </row>
    <row r="74" spans="1:14">
      <c r="A74" s="20"/>
      <c r="B74" s="21"/>
      <c r="C74" s="21"/>
      <c r="D74" s="21"/>
      <c r="E74" s="21"/>
      <c r="F74" s="11"/>
      <c r="G74" s="21"/>
      <c r="H74" s="21"/>
      <c r="I74" s="11"/>
      <c r="J74" s="21"/>
      <c r="K74" s="21"/>
      <c r="L74" s="21"/>
      <c r="M74" s="21"/>
      <c r="N74" s="21"/>
    </row>
    <row r="75" spans="1:14">
      <c r="A75" s="20"/>
      <c r="B75" s="21"/>
      <c r="C75" s="21"/>
      <c r="D75" s="21"/>
      <c r="E75" s="21"/>
      <c r="F75" s="11"/>
      <c r="G75" s="21"/>
      <c r="H75" s="21"/>
      <c r="I75" s="11"/>
      <c r="J75" s="21"/>
      <c r="K75" s="21"/>
      <c r="L75" s="21"/>
      <c r="M75" s="21"/>
      <c r="N75" s="21"/>
    </row>
    <row r="76" spans="1:14">
      <c r="A76" s="20"/>
      <c r="B76" s="21"/>
      <c r="C76" s="21"/>
      <c r="D76" s="21"/>
      <c r="E76" s="21"/>
      <c r="F76" s="11"/>
      <c r="G76" s="21"/>
      <c r="H76" s="21"/>
      <c r="I76" s="11"/>
      <c r="J76" s="21"/>
      <c r="K76" s="21"/>
      <c r="L76" s="21"/>
      <c r="M76" s="21"/>
      <c r="N76" s="21"/>
    </row>
    <row r="77" spans="1:14">
      <c r="A77" s="20"/>
      <c r="B77" s="21"/>
      <c r="C77" s="21"/>
      <c r="D77" s="21"/>
      <c r="E77" s="21"/>
      <c r="F77" s="11"/>
      <c r="G77" s="21"/>
      <c r="H77" s="21"/>
      <c r="I77" s="11"/>
      <c r="J77" s="21"/>
      <c r="K77" s="21"/>
      <c r="L77" s="21"/>
      <c r="M77" s="21"/>
      <c r="N77" s="21"/>
    </row>
    <row r="78" spans="1:14">
      <c r="A78" s="20"/>
      <c r="B78" s="21"/>
      <c r="C78" s="21"/>
      <c r="D78" s="21"/>
      <c r="E78" s="21"/>
      <c r="F78" s="11"/>
      <c r="G78" s="21"/>
      <c r="H78" s="21"/>
      <c r="I78" s="11"/>
      <c r="J78" s="21"/>
      <c r="K78" s="21"/>
      <c r="L78" s="21"/>
      <c r="M78" s="21"/>
      <c r="N78" s="21"/>
    </row>
    <row r="79" spans="1:14">
      <c r="A79" s="20"/>
      <c r="B79" s="21"/>
      <c r="C79" s="21"/>
      <c r="D79" s="21"/>
      <c r="E79" s="21"/>
      <c r="F79" s="11"/>
      <c r="G79" s="21"/>
      <c r="H79" s="21"/>
      <c r="I79" s="11"/>
      <c r="J79" s="21"/>
      <c r="K79" s="21"/>
      <c r="L79" s="21"/>
      <c r="M79" s="21"/>
      <c r="N79" s="21"/>
    </row>
    <row r="80" spans="1:14">
      <c r="A80" s="20"/>
      <c r="B80" s="21"/>
      <c r="C80" s="21"/>
      <c r="D80" s="21"/>
      <c r="E80" s="21"/>
      <c r="F80" s="11"/>
      <c r="G80" s="21"/>
      <c r="H80" s="21"/>
      <c r="I80" s="11"/>
      <c r="J80" s="21"/>
      <c r="K80" s="21"/>
      <c r="L80" s="21"/>
      <c r="M80" s="21"/>
      <c r="N80" s="21"/>
    </row>
    <row r="81" spans="1:14">
      <c r="A81" s="20"/>
      <c r="B81" s="21"/>
      <c r="C81" s="21"/>
      <c r="D81" s="21"/>
      <c r="E81" s="21"/>
      <c r="F81" s="11"/>
      <c r="G81" s="21"/>
      <c r="H81" s="21"/>
      <c r="I81" s="11"/>
      <c r="J81" s="21"/>
      <c r="K81" s="21"/>
      <c r="L81" s="21"/>
      <c r="M81" s="21"/>
      <c r="N81" s="21"/>
    </row>
    <row r="82" spans="1:14">
      <c r="A82" s="20"/>
      <c r="B82" s="21"/>
      <c r="C82" s="21"/>
      <c r="D82" s="21"/>
      <c r="E82" s="21"/>
      <c r="F82" s="11"/>
      <c r="G82" s="21"/>
      <c r="H82" s="21"/>
      <c r="I82" s="11"/>
      <c r="J82" s="21"/>
      <c r="K82" s="21"/>
      <c r="L82" s="21"/>
      <c r="M82" s="21"/>
      <c r="N82" s="21"/>
    </row>
    <row r="83" spans="1:14">
      <c r="A83" s="20"/>
      <c r="B83" s="21"/>
      <c r="C83" s="21"/>
      <c r="D83" s="21"/>
      <c r="E83" s="21"/>
      <c r="F83" s="11"/>
      <c r="G83" s="21"/>
      <c r="H83" s="21"/>
      <c r="I83" s="11"/>
      <c r="J83" s="21"/>
      <c r="K83" s="21"/>
      <c r="L83" s="21"/>
      <c r="M83" s="21"/>
      <c r="N83" s="21"/>
    </row>
    <row r="84" spans="1:14">
      <c r="A84" s="20"/>
      <c r="B84" s="21"/>
      <c r="C84" s="21"/>
      <c r="D84" s="21"/>
      <c r="E84" s="21"/>
      <c r="F84" s="11"/>
      <c r="G84" s="21"/>
      <c r="H84" s="21"/>
      <c r="I84" s="11"/>
      <c r="J84" s="21"/>
      <c r="K84" s="21"/>
      <c r="L84" s="21"/>
      <c r="M84" s="21"/>
      <c r="N84" s="21"/>
    </row>
    <row r="85" spans="1:14">
      <c r="A85" s="20"/>
      <c r="B85" s="21"/>
      <c r="C85" s="21"/>
      <c r="D85" s="21"/>
      <c r="E85" s="21"/>
      <c r="F85" s="11"/>
      <c r="G85" s="21"/>
      <c r="H85" s="21"/>
      <c r="I85" s="11"/>
      <c r="J85" s="21"/>
      <c r="K85" s="21"/>
      <c r="L85" s="21"/>
      <c r="M85" s="21"/>
      <c r="N85" s="21"/>
    </row>
    <row r="86" spans="1:14">
      <c r="A86" s="20"/>
      <c r="B86" s="21"/>
      <c r="C86" s="21"/>
      <c r="D86" s="21"/>
      <c r="E86" s="21"/>
      <c r="F86" s="11"/>
      <c r="G86" s="21"/>
      <c r="H86" s="21"/>
      <c r="I86" s="11"/>
      <c r="J86" s="21"/>
      <c r="K86" s="21"/>
      <c r="L86" s="21"/>
      <c r="M86" s="21"/>
      <c r="N86" s="21"/>
    </row>
    <row r="87" spans="1:14">
      <c r="A87" s="20"/>
      <c r="B87" s="21"/>
      <c r="C87" s="21"/>
      <c r="D87" s="21"/>
      <c r="E87" s="21"/>
      <c r="F87" s="11"/>
      <c r="G87" s="21"/>
      <c r="H87" s="21"/>
      <c r="I87" s="11"/>
      <c r="J87" s="21"/>
      <c r="K87" s="21"/>
      <c r="L87" s="21"/>
      <c r="M87" s="21"/>
      <c r="N87" s="21"/>
    </row>
    <row r="88" spans="1:14">
      <c r="A88" s="20"/>
      <c r="B88" s="21"/>
      <c r="C88" s="21"/>
      <c r="D88" s="21"/>
      <c r="E88" s="21"/>
      <c r="F88" s="11"/>
      <c r="G88" s="21"/>
      <c r="H88" s="21"/>
      <c r="I88" s="11"/>
      <c r="J88" s="21"/>
      <c r="K88" s="21"/>
      <c r="L88" s="21"/>
      <c r="M88" s="21"/>
      <c r="N88" s="21"/>
    </row>
    <row r="89" spans="1:14">
      <c r="A89" s="20"/>
      <c r="B89" s="21"/>
      <c r="C89" s="21"/>
      <c r="D89" s="21"/>
      <c r="E89" s="21"/>
      <c r="F89" s="11"/>
      <c r="G89" s="21"/>
      <c r="H89" s="21"/>
      <c r="I89" s="11"/>
      <c r="J89" s="21"/>
      <c r="K89" s="21"/>
      <c r="L89" s="21"/>
      <c r="M89" s="21"/>
      <c r="N89" s="21"/>
    </row>
    <row r="90" spans="1:14">
      <c r="A90" s="20"/>
      <c r="B90" s="21"/>
      <c r="C90" s="21"/>
      <c r="D90" s="21"/>
      <c r="E90" s="21"/>
      <c r="F90" s="11"/>
      <c r="G90" s="21"/>
      <c r="H90" s="21"/>
      <c r="I90" s="11"/>
      <c r="J90" s="21"/>
      <c r="K90" s="21"/>
      <c r="L90" s="21"/>
      <c r="M90" s="21"/>
      <c r="N90" s="21"/>
    </row>
    <row r="91" spans="1:14">
      <c r="A91" s="20"/>
      <c r="B91" s="21"/>
      <c r="C91" s="21"/>
      <c r="D91" s="21"/>
      <c r="E91" s="21"/>
      <c r="F91" s="11"/>
      <c r="G91" s="21"/>
      <c r="H91" s="21"/>
      <c r="I91" s="11"/>
      <c r="J91" s="21"/>
      <c r="K91" s="21"/>
      <c r="L91" s="21"/>
      <c r="M91" s="21"/>
      <c r="N91" s="21"/>
    </row>
    <row r="92" spans="1:14">
      <c r="A92" s="20"/>
      <c r="B92" s="21"/>
      <c r="C92" s="21"/>
      <c r="D92" s="21"/>
      <c r="E92" s="21"/>
      <c r="F92" s="11"/>
      <c r="G92" s="21"/>
      <c r="H92" s="21"/>
      <c r="I92" s="11"/>
      <c r="J92" s="21"/>
      <c r="K92" s="21"/>
      <c r="L92" s="21"/>
      <c r="M92" s="21"/>
      <c r="N92" s="21"/>
    </row>
    <row r="93" spans="1:14">
      <c r="A93" s="20"/>
      <c r="B93" s="21"/>
      <c r="C93" s="21"/>
      <c r="D93" s="21"/>
      <c r="E93" s="21"/>
      <c r="F93" s="11"/>
      <c r="G93" s="21"/>
      <c r="H93" s="21"/>
      <c r="I93" s="11"/>
      <c r="J93" s="21"/>
      <c r="K93" s="21"/>
      <c r="L93" s="21"/>
      <c r="M93" s="21"/>
      <c r="N93" s="21"/>
    </row>
    <row r="94" spans="1:14">
      <c r="A94" s="20"/>
      <c r="B94" s="21"/>
      <c r="C94" s="21"/>
      <c r="D94" s="21"/>
      <c r="E94" s="21"/>
      <c r="F94" s="11"/>
      <c r="G94" s="21"/>
      <c r="H94" s="21"/>
      <c r="I94" s="11"/>
      <c r="J94" s="21"/>
      <c r="K94" s="21"/>
      <c r="L94" s="21"/>
      <c r="M94" s="21"/>
      <c r="N94" s="21"/>
    </row>
    <row r="95" spans="1:14">
      <c r="A95" s="20"/>
      <c r="B95" s="21"/>
      <c r="C95" s="21"/>
      <c r="D95" s="21"/>
      <c r="E95" s="21"/>
      <c r="F95" s="11"/>
      <c r="G95" s="21"/>
      <c r="H95" s="21"/>
      <c r="I95" s="11"/>
      <c r="J95" s="21"/>
      <c r="K95" s="21"/>
      <c r="L95" s="21"/>
      <c r="M95" s="21"/>
      <c r="N95" s="21"/>
    </row>
    <row r="96" spans="1:14">
      <c r="A96" s="20"/>
      <c r="B96" s="21"/>
      <c r="C96" s="21"/>
      <c r="D96" s="21"/>
      <c r="E96" s="21"/>
      <c r="F96" s="11"/>
      <c r="G96" s="21"/>
      <c r="H96" s="21"/>
      <c r="I96" s="11"/>
      <c r="J96" s="21"/>
      <c r="K96" s="21"/>
      <c r="L96" s="21"/>
      <c r="M96" s="21"/>
      <c r="N96" s="21"/>
    </row>
    <row r="97" spans="1:14">
      <c r="A97" s="20"/>
      <c r="B97" s="21"/>
      <c r="C97" s="21"/>
      <c r="D97" s="21"/>
      <c r="E97" s="21"/>
      <c r="F97" s="11"/>
      <c r="G97" s="21"/>
      <c r="H97" s="21"/>
      <c r="I97" s="11"/>
      <c r="J97" s="21"/>
      <c r="K97" s="21"/>
      <c r="L97" s="21"/>
      <c r="M97" s="21"/>
      <c r="N97" s="21"/>
    </row>
    <row r="98" spans="1:14">
      <c r="A98" s="20"/>
      <c r="B98" s="21"/>
      <c r="C98" s="21"/>
      <c r="D98" s="21"/>
      <c r="E98" s="21"/>
      <c r="F98" s="11"/>
      <c r="G98" s="21"/>
      <c r="H98" s="21"/>
      <c r="I98" s="11"/>
      <c r="J98" s="21"/>
      <c r="K98" s="21"/>
      <c r="L98" s="21"/>
      <c r="M98" s="21"/>
      <c r="N98" s="21"/>
    </row>
    <row r="99" spans="1:14">
      <c r="A99" s="20"/>
      <c r="B99" s="21"/>
      <c r="C99" s="21"/>
      <c r="D99" s="21"/>
      <c r="E99" s="21"/>
      <c r="F99" s="11"/>
      <c r="G99" s="21"/>
      <c r="H99" s="21"/>
      <c r="I99" s="11"/>
      <c r="J99" s="21"/>
      <c r="K99" s="21"/>
      <c r="L99" s="21"/>
      <c r="M99" s="21"/>
      <c r="N99" s="21"/>
    </row>
    <row r="100" spans="1:14">
      <c r="A100" s="20"/>
      <c r="B100" s="21"/>
      <c r="C100" s="21"/>
      <c r="D100" s="21"/>
      <c r="E100" s="21"/>
      <c r="F100" s="11"/>
      <c r="G100" s="21"/>
      <c r="H100" s="21"/>
      <c r="I100" s="11"/>
      <c r="J100" s="21"/>
      <c r="K100" s="21"/>
      <c r="L100" s="21"/>
      <c r="M100" s="21"/>
      <c r="N100" s="21"/>
    </row>
    <row r="101" spans="1:14">
      <c r="A101" s="20"/>
      <c r="B101" s="21"/>
      <c r="C101" s="21"/>
      <c r="D101" s="21"/>
      <c r="E101" s="21"/>
      <c r="F101" s="11"/>
      <c r="G101" s="21"/>
      <c r="H101" s="21"/>
      <c r="I101" s="11"/>
      <c r="J101" s="21"/>
      <c r="K101" s="21"/>
      <c r="L101" s="21"/>
      <c r="M101" s="21"/>
      <c r="N101" s="21"/>
    </row>
    <row r="102" spans="1:14">
      <c r="A102" s="20"/>
      <c r="B102" s="21"/>
      <c r="C102" s="21"/>
      <c r="D102" s="21"/>
      <c r="E102" s="21"/>
      <c r="F102" s="11"/>
      <c r="G102" s="21"/>
      <c r="H102" s="21"/>
      <c r="I102" s="11"/>
      <c r="J102" s="21"/>
      <c r="K102" s="21"/>
      <c r="L102" s="21"/>
      <c r="M102" s="21"/>
      <c r="N102" s="21"/>
    </row>
    <row r="103" spans="1:14">
      <c r="A103" s="20"/>
      <c r="B103" s="21"/>
      <c r="C103" s="21"/>
      <c r="D103" s="21"/>
      <c r="E103" s="21"/>
      <c r="F103" s="11"/>
      <c r="G103" s="21"/>
      <c r="H103" s="21"/>
      <c r="I103" s="11"/>
      <c r="J103" s="21"/>
      <c r="K103" s="21"/>
      <c r="L103" s="21"/>
      <c r="M103" s="21"/>
      <c r="N103" s="21"/>
    </row>
    <row r="104" spans="1:14">
      <c r="A104" s="20"/>
      <c r="B104" s="21"/>
      <c r="C104" s="21"/>
      <c r="D104" s="21"/>
      <c r="E104" s="21"/>
      <c r="F104" s="11"/>
      <c r="G104" s="21"/>
      <c r="H104" s="21"/>
      <c r="I104" s="11"/>
      <c r="J104" s="21"/>
      <c r="K104" s="21"/>
      <c r="L104" s="21"/>
      <c r="M104" s="21"/>
      <c r="N104" s="21"/>
    </row>
    <row r="105" spans="1:14">
      <c r="A105" s="20"/>
      <c r="B105" s="21"/>
      <c r="C105" s="21"/>
      <c r="D105" s="21"/>
      <c r="E105" s="21"/>
      <c r="F105" s="11"/>
      <c r="G105" s="21"/>
      <c r="H105" s="21"/>
      <c r="I105" s="11"/>
      <c r="J105" s="21"/>
      <c r="K105" s="21"/>
      <c r="L105" s="21"/>
      <c r="M105" s="21"/>
      <c r="N105" s="21"/>
    </row>
    <row r="106" spans="1:14">
      <c r="A106" s="20"/>
      <c r="B106" s="21"/>
      <c r="C106" s="21"/>
      <c r="D106" s="21"/>
      <c r="E106" s="21"/>
      <c r="F106" s="11"/>
      <c r="G106" s="21"/>
      <c r="H106" s="21"/>
      <c r="I106" s="11"/>
      <c r="J106" s="21"/>
      <c r="K106" s="21"/>
      <c r="L106" s="21"/>
      <c r="M106" s="21"/>
      <c r="N106" s="21"/>
    </row>
    <row r="107" spans="1:14">
      <c r="A107" s="20"/>
      <c r="B107" s="21"/>
      <c r="C107" s="21"/>
      <c r="D107" s="21"/>
      <c r="E107" s="21"/>
      <c r="F107" s="11"/>
      <c r="G107" s="21"/>
      <c r="H107" s="21"/>
      <c r="I107" s="11"/>
      <c r="J107" s="21"/>
      <c r="K107" s="21"/>
      <c r="L107" s="21"/>
      <c r="M107" s="21"/>
      <c r="N107" s="21"/>
    </row>
    <row r="108" spans="1:14">
      <c r="A108" s="20"/>
      <c r="B108" s="21"/>
      <c r="C108" s="21"/>
      <c r="D108" s="21"/>
      <c r="E108" s="21"/>
      <c r="F108" s="11"/>
      <c r="G108" s="21"/>
      <c r="H108" s="21"/>
      <c r="I108" s="11"/>
      <c r="J108" s="21"/>
      <c r="K108" s="21"/>
      <c r="L108" s="21"/>
      <c r="M108" s="21"/>
      <c r="N108" s="21"/>
    </row>
    <row r="109" spans="1:14">
      <c r="A109" s="20"/>
      <c r="B109" s="21"/>
      <c r="C109" s="21"/>
      <c r="D109" s="21"/>
      <c r="E109" s="21"/>
      <c r="F109" s="11"/>
      <c r="G109" s="21"/>
      <c r="H109" s="21"/>
      <c r="I109" s="11"/>
      <c r="J109" s="21"/>
      <c r="K109" s="21"/>
      <c r="L109" s="21"/>
      <c r="M109" s="21"/>
      <c r="N109" s="21"/>
    </row>
    <row r="110" spans="1:14">
      <c r="A110" s="20"/>
      <c r="B110" s="21"/>
      <c r="C110" s="21"/>
      <c r="D110" s="21"/>
      <c r="E110" s="21"/>
      <c r="F110" s="11"/>
      <c r="G110" s="21"/>
      <c r="H110" s="21"/>
      <c r="I110" s="11"/>
      <c r="J110" s="21"/>
      <c r="K110" s="21"/>
      <c r="L110" s="21"/>
      <c r="M110" s="21"/>
      <c r="N110" s="21"/>
    </row>
    <row r="111" spans="1:14">
      <c r="A111" s="20"/>
      <c r="B111" s="21"/>
      <c r="C111" s="21"/>
      <c r="D111" s="21"/>
      <c r="E111" s="21"/>
      <c r="F111" s="11"/>
      <c r="G111" s="21"/>
      <c r="H111" s="21"/>
      <c r="I111" s="11"/>
      <c r="J111" s="21"/>
      <c r="K111" s="21"/>
      <c r="L111" s="21"/>
      <c r="M111" s="21"/>
      <c r="N111" s="21"/>
    </row>
    <row r="112" spans="1:14">
      <c r="A112" s="20"/>
      <c r="B112" s="21"/>
      <c r="C112" s="21"/>
      <c r="D112" s="21"/>
      <c r="E112" s="21"/>
      <c r="F112" s="11"/>
      <c r="G112" s="21"/>
      <c r="H112" s="21"/>
      <c r="I112" s="11"/>
      <c r="J112" s="21"/>
      <c r="K112" s="21"/>
      <c r="L112" s="21"/>
      <c r="M112" s="21"/>
      <c r="N112" s="21"/>
    </row>
    <row r="113" spans="1:14">
      <c r="A113" s="20"/>
      <c r="B113" s="21"/>
      <c r="C113" s="21"/>
      <c r="D113" s="21"/>
      <c r="E113" s="21"/>
      <c r="F113" s="11"/>
      <c r="G113" s="21"/>
      <c r="H113" s="21"/>
      <c r="I113" s="11"/>
      <c r="J113" s="21"/>
      <c r="K113" s="21"/>
      <c r="L113" s="21"/>
      <c r="M113" s="21"/>
      <c r="N113" s="21"/>
    </row>
    <row r="114" spans="1:14">
      <c r="A114" s="20"/>
      <c r="B114" s="21"/>
      <c r="C114" s="21"/>
      <c r="D114" s="21"/>
      <c r="E114" s="21"/>
      <c r="F114" s="11"/>
      <c r="G114" s="21"/>
      <c r="H114" s="21"/>
      <c r="I114" s="11"/>
      <c r="J114" s="21"/>
      <c r="K114" s="21"/>
      <c r="L114" s="21"/>
      <c r="M114" s="21"/>
      <c r="N114" s="21"/>
    </row>
    <row r="115" spans="1:14">
      <c r="A115" s="20"/>
      <c r="B115" s="21"/>
      <c r="C115" s="21"/>
      <c r="D115" s="21"/>
      <c r="E115" s="21"/>
      <c r="F115" s="11"/>
      <c r="G115" s="21"/>
      <c r="H115" s="21"/>
      <c r="I115" s="11"/>
      <c r="J115" s="21"/>
      <c r="K115" s="21"/>
      <c r="L115" s="21"/>
      <c r="M115" s="21"/>
      <c r="N115" s="21"/>
    </row>
    <row r="116" spans="1:14">
      <c r="A116" s="20"/>
      <c r="B116" s="21"/>
      <c r="C116" s="21"/>
      <c r="D116" s="21"/>
      <c r="E116" s="21"/>
      <c r="F116" s="11"/>
      <c r="G116" s="21"/>
      <c r="H116" s="21"/>
      <c r="I116" s="11"/>
      <c r="J116" s="21"/>
      <c r="K116" s="21"/>
      <c r="L116" s="21"/>
      <c r="M116" s="21"/>
      <c r="N116" s="21"/>
    </row>
    <row r="117" spans="1:14">
      <c r="A117" s="20"/>
      <c r="B117" s="21"/>
      <c r="C117" s="21"/>
      <c r="D117" s="21"/>
      <c r="E117" s="21"/>
      <c r="F117" s="11"/>
      <c r="G117" s="21"/>
      <c r="H117" s="21"/>
      <c r="I117" s="11"/>
      <c r="J117" s="21"/>
      <c r="K117" s="21"/>
      <c r="L117" s="21"/>
      <c r="M117" s="21"/>
      <c r="N117" s="21"/>
    </row>
    <row r="118" spans="1:14">
      <c r="A118" s="20"/>
      <c r="B118" s="21"/>
      <c r="C118" s="21"/>
      <c r="D118" s="21"/>
      <c r="E118" s="21"/>
      <c r="F118" s="11"/>
      <c r="G118" s="21"/>
      <c r="H118" s="21"/>
      <c r="I118" s="11"/>
      <c r="J118" s="21"/>
      <c r="K118" s="21"/>
      <c r="L118" s="21"/>
      <c r="M118" s="21"/>
      <c r="N118" s="21"/>
    </row>
    <row r="119" spans="1:14">
      <c r="A119" s="20"/>
      <c r="B119" s="21"/>
      <c r="C119" s="21"/>
      <c r="D119" s="21"/>
      <c r="E119" s="21"/>
      <c r="F119" s="11"/>
      <c r="G119" s="21"/>
      <c r="H119" s="21"/>
      <c r="I119" s="11"/>
      <c r="J119" s="21"/>
      <c r="K119" s="21"/>
      <c r="L119" s="21"/>
      <c r="M119" s="21"/>
      <c r="N119" s="21"/>
    </row>
    <row r="120" spans="1:14">
      <c r="A120" s="20"/>
      <c r="B120" s="21"/>
      <c r="C120" s="21"/>
      <c r="D120" s="21"/>
      <c r="E120" s="21"/>
      <c r="F120" s="11"/>
      <c r="G120" s="21"/>
      <c r="H120" s="21"/>
      <c r="I120" s="11"/>
      <c r="J120" s="21"/>
      <c r="K120" s="21"/>
      <c r="L120" s="21"/>
      <c r="M120" s="21"/>
      <c r="N120" s="21"/>
    </row>
    <row r="121" spans="1:14">
      <c r="A121" s="20"/>
      <c r="B121" s="21"/>
      <c r="C121" s="21"/>
      <c r="D121" s="21"/>
      <c r="E121" s="21"/>
      <c r="F121" s="11"/>
      <c r="G121" s="21"/>
      <c r="H121" s="21"/>
      <c r="I121" s="11"/>
      <c r="J121" s="21"/>
      <c r="K121" s="21"/>
      <c r="L121" s="21"/>
      <c r="M121" s="21"/>
      <c r="N121" s="21"/>
    </row>
    <row r="122" spans="1:14">
      <c r="A122" s="20"/>
      <c r="B122" s="21"/>
      <c r="C122" s="21"/>
      <c r="D122" s="21"/>
      <c r="E122" s="21"/>
      <c r="F122" s="11"/>
      <c r="G122" s="21"/>
      <c r="H122" s="21"/>
      <c r="I122" s="11"/>
      <c r="J122" s="21"/>
      <c r="K122" s="21"/>
      <c r="L122" s="21"/>
      <c r="M122" s="21"/>
      <c r="N122" s="21"/>
    </row>
    <row r="123" spans="1:14">
      <c r="A123" s="20"/>
      <c r="B123" s="21"/>
      <c r="C123" s="21"/>
      <c r="D123" s="21"/>
      <c r="E123" s="21"/>
      <c r="F123" s="11"/>
      <c r="G123" s="21"/>
      <c r="H123" s="21"/>
      <c r="I123" s="11"/>
      <c r="J123" s="21"/>
      <c r="K123" s="21"/>
      <c r="L123" s="21"/>
      <c r="M123" s="21"/>
      <c r="N123" s="21"/>
    </row>
    <row r="124" spans="1:14">
      <c r="A124" s="20"/>
      <c r="B124" s="21"/>
      <c r="C124" s="21"/>
      <c r="D124" s="21"/>
      <c r="E124" s="21"/>
      <c r="F124" s="11"/>
      <c r="G124" s="21"/>
      <c r="H124" s="21"/>
      <c r="I124" s="11"/>
      <c r="J124" s="21"/>
      <c r="K124" s="21"/>
      <c r="L124" s="21"/>
      <c r="M124" s="21"/>
      <c r="N124" s="21"/>
    </row>
    <row r="125" spans="1:14">
      <c r="A125" s="20"/>
      <c r="B125" s="21"/>
      <c r="C125" s="21"/>
      <c r="D125" s="21"/>
      <c r="E125" s="21"/>
      <c r="F125" s="11"/>
      <c r="G125" s="21"/>
      <c r="H125" s="21"/>
      <c r="I125" s="11"/>
      <c r="J125" s="21"/>
      <c r="K125" s="21"/>
      <c r="L125" s="21"/>
      <c r="M125" s="21"/>
      <c r="N125" s="21"/>
    </row>
    <row r="126" spans="1:14">
      <c r="A126" s="20"/>
      <c r="B126" s="21"/>
      <c r="C126" s="21"/>
      <c r="D126" s="21"/>
      <c r="E126" s="21"/>
      <c r="F126" s="11"/>
      <c r="G126" s="21"/>
      <c r="H126" s="21"/>
      <c r="I126" s="11"/>
      <c r="J126" s="21"/>
      <c r="K126" s="21"/>
      <c r="L126" s="21"/>
      <c r="M126" s="21"/>
      <c r="N126" s="21"/>
    </row>
    <row r="127" spans="1:14">
      <c r="A127" s="20"/>
      <c r="B127" s="21"/>
      <c r="C127" s="21"/>
      <c r="D127" s="21"/>
      <c r="E127" s="21"/>
      <c r="F127" s="11"/>
      <c r="G127" s="21"/>
      <c r="H127" s="21"/>
      <c r="I127" s="11"/>
      <c r="J127" s="21"/>
      <c r="K127" s="21"/>
      <c r="L127" s="21"/>
      <c r="M127" s="21"/>
      <c r="N127" s="21"/>
    </row>
    <row r="128" spans="1:14">
      <c r="A128" s="20"/>
      <c r="B128" s="21"/>
      <c r="C128" s="21"/>
      <c r="D128" s="21"/>
      <c r="E128" s="21"/>
      <c r="F128" s="11"/>
      <c r="G128" s="21"/>
      <c r="H128" s="21"/>
      <c r="I128" s="11"/>
      <c r="J128" s="21"/>
      <c r="K128" s="21"/>
      <c r="L128" s="21"/>
      <c r="M128" s="21"/>
      <c r="N128" s="21"/>
    </row>
    <row r="129" spans="1:14">
      <c r="A129" s="20"/>
      <c r="B129" s="21"/>
      <c r="C129" s="21"/>
      <c r="D129" s="21"/>
      <c r="E129" s="21"/>
      <c r="F129" s="11"/>
      <c r="G129" s="21"/>
      <c r="H129" s="21"/>
      <c r="I129" s="11"/>
      <c r="J129" s="21"/>
      <c r="K129" s="21"/>
      <c r="L129" s="21"/>
      <c r="M129" s="21"/>
      <c r="N129" s="21"/>
    </row>
    <row r="130" spans="1:14">
      <c r="A130" s="20"/>
      <c r="B130" s="21"/>
      <c r="C130" s="21"/>
      <c r="D130" s="21"/>
      <c r="E130" s="21"/>
      <c r="F130" s="11"/>
      <c r="G130" s="21"/>
      <c r="H130" s="21"/>
      <c r="I130" s="11"/>
      <c r="J130" s="21"/>
      <c r="K130" s="21"/>
      <c r="L130" s="21"/>
      <c r="M130" s="21"/>
      <c r="N130" s="21"/>
    </row>
    <row r="131" spans="1:14">
      <c r="A131" s="20"/>
      <c r="B131" s="21"/>
      <c r="C131" s="21"/>
      <c r="D131" s="21"/>
      <c r="E131" s="21"/>
      <c r="F131" s="11"/>
      <c r="G131" s="21"/>
      <c r="H131" s="21"/>
      <c r="I131" s="11"/>
      <c r="J131" s="21"/>
      <c r="K131" s="21"/>
      <c r="L131" s="21"/>
      <c r="M131" s="21"/>
      <c r="N131" s="21"/>
    </row>
    <row r="132" spans="1:14">
      <c r="A132" s="20"/>
      <c r="B132" s="21"/>
      <c r="C132" s="21"/>
      <c r="D132" s="21"/>
      <c r="E132" s="21"/>
      <c r="F132" s="11"/>
      <c r="G132" s="21"/>
      <c r="H132" s="21"/>
      <c r="I132" s="11"/>
      <c r="J132" s="21"/>
      <c r="K132" s="21"/>
      <c r="L132" s="21"/>
      <c r="M132" s="21"/>
      <c r="N132" s="21"/>
    </row>
    <row r="133" spans="1:14">
      <c r="A133" s="20"/>
      <c r="B133" s="21"/>
      <c r="C133" s="21"/>
      <c r="D133" s="21"/>
      <c r="E133" s="21"/>
      <c r="F133" s="11"/>
      <c r="G133" s="21"/>
      <c r="H133" s="21"/>
      <c r="I133" s="11"/>
      <c r="J133" s="21"/>
      <c r="K133" s="21"/>
      <c r="L133" s="21"/>
      <c r="M133" s="21"/>
      <c r="N133" s="21"/>
    </row>
    <row r="134" spans="1:14">
      <c r="A134" s="20"/>
      <c r="B134" s="21"/>
      <c r="C134" s="21"/>
      <c r="D134" s="21"/>
      <c r="E134" s="21"/>
      <c r="F134" s="11"/>
      <c r="G134" s="21"/>
      <c r="H134" s="21"/>
      <c r="I134" s="11"/>
      <c r="J134" s="21"/>
      <c r="K134" s="21"/>
      <c r="L134" s="21"/>
      <c r="M134" s="21"/>
      <c r="N134" s="21"/>
    </row>
    <row r="135" spans="1:14">
      <c r="A135" s="20"/>
      <c r="B135" s="21"/>
      <c r="C135" s="21"/>
      <c r="D135" s="21"/>
      <c r="E135" s="21"/>
      <c r="F135" s="11"/>
      <c r="G135" s="21"/>
      <c r="H135" s="21"/>
      <c r="I135" s="11"/>
      <c r="J135" s="21"/>
      <c r="K135" s="21"/>
      <c r="L135" s="21"/>
      <c r="M135" s="21"/>
      <c r="N135" s="21"/>
    </row>
    <row r="136" spans="1:14">
      <c r="A136" s="20"/>
      <c r="B136" s="21"/>
      <c r="C136" s="21"/>
      <c r="D136" s="21"/>
      <c r="E136" s="21"/>
      <c r="F136" s="11"/>
      <c r="G136" s="21"/>
      <c r="H136" s="21"/>
      <c r="I136" s="11"/>
      <c r="J136" s="21"/>
      <c r="K136" s="21"/>
      <c r="L136" s="21"/>
      <c r="M136" s="21"/>
      <c r="N136" s="21"/>
    </row>
    <row r="137" spans="1:14">
      <c r="A137" s="20"/>
      <c r="B137" s="21"/>
      <c r="C137" s="21"/>
      <c r="D137" s="21"/>
      <c r="E137" s="21"/>
      <c r="F137" s="11"/>
      <c r="G137" s="21"/>
      <c r="H137" s="21"/>
      <c r="I137" s="11"/>
      <c r="J137" s="21"/>
      <c r="K137" s="21"/>
      <c r="L137" s="21"/>
      <c r="M137" s="21"/>
      <c r="N137" s="21"/>
    </row>
    <row r="138" spans="1:14">
      <c r="A138" s="20"/>
      <c r="B138" s="21"/>
      <c r="C138" s="21"/>
      <c r="D138" s="21"/>
      <c r="E138" s="21"/>
      <c r="F138" s="11"/>
      <c r="G138" s="21"/>
      <c r="H138" s="21"/>
      <c r="I138" s="11"/>
      <c r="J138" s="21"/>
      <c r="K138" s="21"/>
      <c r="L138" s="21"/>
      <c r="M138" s="21"/>
      <c r="N138" s="21"/>
    </row>
    <row r="139" spans="1:14">
      <c r="A139" s="20"/>
      <c r="B139" s="21"/>
      <c r="C139" s="21"/>
      <c r="D139" s="21"/>
      <c r="E139" s="21"/>
      <c r="F139" s="11"/>
      <c r="G139" s="21"/>
      <c r="H139" s="21"/>
      <c r="I139" s="11"/>
      <c r="J139" s="21"/>
      <c r="K139" s="21"/>
      <c r="L139" s="21"/>
      <c r="M139" s="21"/>
      <c r="N139" s="21"/>
    </row>
    <row r="140" spans="1:14">
      <c r="A140" s="20"/>
      <c r="B140" s="21"/>
      <c r="C140" s="21"/>
      <c r="D140" s="21"/>
      <c r="E140" s="21"/>
      <c r="F140" s="11"/>
      <c r="G140" s="21"/>
      <c r="H140" s="21"/>
      <c r="I140" s="11"/>
      <c r="J140" s="21"/>
      <c r="K140" s="21"/>
      <c r="L140" s="21"/>
      <c r="M140" s="21"/>
      <c r="N140" s="21"/>
    </row>
    <row r="141" spans="1:14">
      <c r="A141" s="20"/>
      <c r="B141" s="21"/>
      <c r="C141" s="21"/>
      <c r="D141" s="21"/>
      <c r="E141" s="21"/>
      <c r="F141" s="11"/>
      <c r="G141" s="21"/>
      <c r="H141" s="21"/>
      <c r="I141" s="11"/>
      <c r="J141" s="21"/>
      <c r="K141" s="21"/>
      <c r="L141" s="21"/>
      <c r="M141" s="21"/>
      <c r="N141" s="21"/>
    </row>
    <row r="142" spans="1:14">
      <c r="A142" s="20"/>
      <c r="B142" s="21"/>
      <c r="C142" s="21"/>
      <c r="D142" s="21"/>
      <c r="E142" s="21"/>
      <c r="F142" s="11"/>
      <c r="G142" s="21"/>
      <c r="H142" s="21"/>
      <c r="I142" s="11"/>
      <c r="J142" s="21"/>
      <c r="K142" s="21"/>
      <c r="L142" s="21"/>
      <c r="M142" s="21"/>
      <c r="N142" s="21"/>
    </row>
    <row r="143" spans="1:14">
      <c r="A143" s="20"/>
      <c r="B143" s="21"/>
      <c r="C143" s="21"/>
      <c r="D143" s="21"/>
      <c r="E143" s="21"/>
      <c r="F143" s="11"/>
      <c r="G143" s="21"/>
      <c r="H143" s="21"/>
      <c r="I143" s="11"/>
      <c r="J143" s="21"/>
      <c r="K143" s="21"/>
      <c r="L143" s="21"/>
      <c r="M143" s="21"/>
      <c r="N143" s="21"/>
    </row>
    <row r="144" spans="1:14">
      <c r="A144" s="20"/>
      <c r="B144" s="21"/>
      <c r="C144" s="21"/>
      <c r="D144" s="21"/>
      <c r="E144" s="21"/>
      <c r="F144" s="11"/>
      <c r="G144" s="21"/>
      <c r="H144" s="21"/>
      <c r="I144" s="11"/>
      <c r="J144" s="21"/>
      <c r="K144" s="21"/>
      <c r="L144" s="21"/>
      <c r="M144" s="21"/>
      <c r="N144" s="21"/>
    </row>
    <row r="145" spans="1:14">
      <c r="A145" s="20"/>
      <c r="B145" s="21"/>
      <c r="C145" s="21"/>
      <c r="D145" s="21"/>
      <c r="E145" s="21"/>
      <c r="F145" s="11"/>
      <c r="G145" s="21"/>
      <c r="H145" s="21"/>
      <c r="I145" s="11"/>
      <c r="J145" s="21"/>
      <c r="K145" s="21"/>
      <c r="L145" s="21"/>
      <c r="M145" s="21"/>
      <c r="N145" s="21"/>
    </row>
    <row r="146" spans="1:14">
      <c r="A146" s="20"/>
      <c r="B146" s="21"/>
      <c r="C146" s="21"/>
      <c r="D146" s="21"/>
      <c r="E146" s="21"/>
      <c r="F146" s="11"/>
      <c r="G146" s="21"/>
      <c r="H146" s="21"/>
      <c r="I146" s="11"/>
      <c r="J146" s="21"/>
      <c r="K146" s="21"/>
      <c r="L146" s="21"/>
      <c r="M146" s="21"/>
      <c r="N146" s="21"/>
    </row>
    <row r="147" spans="1:14">
      <c r="A147" s="20"/>
      <c r="B147" s="21"/>
      <c r="C147" s="21"/>
      <c r="D147" s="21"/>
      <c r="E147" s="21"/>
      <c r="F147" s="11"/>
      <c r="G147" s="21"/>
      <c r="H147" s="21"/>
      <c r="I147" s="11"/>
      <c r="J147" s="21"/>
      <c r="K147" s="21"/>
      <c r="L147" s="21"/>
      <c r="M147" s="21"/>
      <c r="N147" s="21"/>
    </row>
    <row r="148" spans="1:14">
      <c r="A148" s="20"/>
      <c r="B148" s="21"/>
      <c r="C148" s="21"/>
      <c r="D148" s="21"/>
      <c r="E148" s="21"/>
      <c r="F148" s="11"/>
      <c r="G148" s="21"/>
      <c r="H148" s="21"/>
      <c r="I148" s="11"/>
      <c r="J148" s="21"/>
      <c r="K148" s="21"/>
      <c r="L148" s="21"/>
      <c r="M148" s="21"/>
      <c r="N148" s="21"/>
    </row>
    <row r="149" spans="1:14">
      <c r="A149" s="20"/>
      <c r="B149" s="21"/>
      <c r="C149" s="21"/>
      <c r="D149" s="21"/>
      <c r="E149" s="21"/>
      <c r="F149" s="11"/>
      <c r="G149" s="21"/>
      <c r="H149" s="21"/>
      <c r="I149" s="11"/>
      <c r="J149" s="21"/>
      <c r="K149" s="21"/>
      <c r="L149" s="21"/>
      <c r="M149" s="21"/>
      <c r="N149" s="21"/>
    </row>
    <row r="150" spans="1:14">
      <c r="A150" s="20"/>
      <c r="B150" s="21"/>
      <c r="C150" s="21"/>
      <c r="D150" s="21"/>
      <c r="E150" s="21"/>
      <c r="F150" s="11"/>
      <c r="G150" s="21"/>
      <c r="H150" s="21"/>
      <c r="I150" s="11"/>
      <c r="J150" s="21"/>
      <c r="K150" s="21"/>
      <c r="L150" s="21"/>
      <c r="M150" s="21"/>
      <c r="N150" s="21"/>
    </row>
    <row r="151" spans="1:14">
      <c r="A151" s="20"/>
      <c r="B151" s="21"/>
      <c r="C151" s="21"/>
      <c r="D151" s="21"/>
      <c r="E151" s="21"/>
      <c r="F151" s="11"/>
      <c r="G151" s="21"/>
      <c r="H151" s="21"/>
      <c r="I151" s="11"/>
      <c r="J151" s="21"/>
      <c r="K151" s="21"/>
      <c r="L151" s="21"/>
      <c r="M151" s="21"/>
      <c r="N151" s="21"/>
    </row>
    <row r="152" spans="1:14">
      <c r="A152" s="20"/>
      <c r="B152" s="21"/>
      <c r="C152" s="21"/>
      <c r="D152" s="21"/>
      <c r="E152" s="21"/>
      <c r="F152" s="11"/>
      <c r="G152" s="21"/>
      <c r="H152" s="21"/>
      <c r="I152" s="11"/>
      <c r="J152" s="21"/>
      <c r="K152" s="21"/>
      <c r="L152" s="21"/>
      <c r="M152" s="21"/>
      <c r="N152" s="21"/>
    </row>
    <row r="153" spans="1:14">
      <c r="A153" s="20"/>
      <c r="B153" s="21"/>
      <c r="C153" s="21"/>
      <c r="D153" s="21"/>
      <c r="E153" s="21"/>
      <c r="F153" s="11"/>
      <c r="G153" s="21"/>
      <c r="H153" s="21"/>
      <c r="I153" s="11"/>
      <c r="J153" s="21"/>
      <c r="K153" s="21"/>
      <c r="L153" s="21"/>
      <c r="M153" s="21"/>
      <c r="N153" s="21"/>
    </row>
    <row r="154" spans="1:14">
      <c r="A154" s="20"/>
      <c r="B154" s="21"/>
      <c r="C154" s="21"/>
      <c r="D154" s="21"/>
      <c r="E154" s="21"/>
      <c r="F154" s="11"/>
      <c r="G154" s="21"/>
      <c r="H154" s="21"/>
      <c r="I154" s="11"/>
      <c r="J154" s="21"/>
      <c r="K154" s="21"/>
      <c r="L154" s="21"/>
      <c r="M154" s="21"/>
      <c r="N154" s="21"/>
    </row>
    <row r="155" spans="1:14">
      <c r="A155" s="20"/>
      <c r="B155" s="21"/>
      <c r="C155" s="21"/>
      <c r="D155" s="21"/>
      <c r="E155" s="21"/>
      <c r="F155" s="11"/>
      <c r="G155" s="21"/>
      <c r="H155" s="21"/>
      <c r="I155" s="11"/>
      <c r="J155" s="21"/>
      <c r="K155" s="21"/>
      <c r="L155" s="21"/>
      <c r="M155" s="21"/>
      <c r="N155" s="21"/>
    </row>
    <row r="156" spans="1:14">
      <c r="A156" s="20"/>
      <c r="B156" s="21"/>
      <c r="C156" s="21"/>
      <c r="D156" s="21"/>
      <c r="E156" s="21"/>
      <c r="F156" s="11"/>
      <c r="G156" s="21"/>
      <c r="H156" s="21"/>
      <c r="I156" s="11"/>
      <c r="J156" s="21"/>
      <c r="K156" s="21"/>
      <c r="L156" s="21"/>
      <c r="M156" s="21"/>
      <c r="N156" s="21"/>
    </row>
    <row r="157" spans="1:14">
      <c r="A157" s="20"/>
      <c r="B157" s="21"/>
      <c r="C157" s="21"/>
      <c r="D157" s="21"/>
      <c r="E157" s="21"/>
      <c r="F157" s="11"/>
      <c r="G157" s="21"/>
      <c r="H157" s="21"/>
      <c r="I157" s="11"/>
      <c r="J157" s="21"/>
      <c r="K157" s="21"/>
      <c r="L157" s="21"/>
      <c r="M157" s="21"/>
      <c r="N157" s="21"/>
    </row>
    <row r="158" spans="1:14">
      <c r="A158" s="20"/>
      <c r="B158" s="21"/>
      <c r="C158" s="21"/>
      <c r="D158" s="21"/>
      <c r="E158" s="21"/>
      <c r="F158" s="11"/>
      <c r="G158" s="21"/>
      <c r="H158" s="21"/>
      <c r="I158" s="11"/>
      <c r="J158" s="21"/>
      <c r="K158" s="21"/>
      <c r="L158" s="21"/>
      <c r="M158" s="21"/>
      <c r="N158" s="21"/>
    </row>
    <row r="159" spans="1:14">
      <c r="A159" s="20"/>
      <c r="B159" s="21"/>
      <c r="C159" s="21"/>
      <c r="D159" s="21"/>
      <c r="E159" s="21"/>
      <c r="F159" s="11"/>
      <c r="G159" s="21"/>
      <c r="H159" s="21"/>
      <c r="I159" s="11"/>
      <c r="J159" s="21"/>
      <c r="K159" s="21"/>
      <c r="L159" s="21"/>
      <c r="M159" s="21"/>
      <c r="N159" s="21"/>
    </row>
    <row r="160" spans="1:14">
      <c r="A160" s="20"/>
      <c r="B160" s="21"/>
      <c r="C160" s="21"/>
      <c r="D160" s="21"/>
      <c r="E160" s="21"/>
      <c r="F160" s="11"/>
      <c r="G160" s="21"/>
      <c r="H160" s="21"/>
      <c r="I160" s="11"/>
      <c r="J160" s="21"/>
      <c r="K160" s="21"/>
      <c r="L160" s="21"/>
      <c r="M160" s="21"/>
      <c r="N160" s="21"/>
    </row>
    <row r="161" spans="1:14">
      <c r="A161" s="20"/>
      <c r="B161" s="21"/>
      <c r="C161" s="21"/>
      <c r="D161" s="21"/>
      <c r="E161" s="21"/>
      <c r="F161" s="11"/>
      <c r="G161" s="21"/>
      <c r="H161" s="21"/>
      <c r="I161" s="11"/>
      <c r="J161" s="21"/>
      <c r="K161" s="21"/>
      <c r="L161" s="21"/>
      <c r="M161" s="21"/>
      <c r="N161" s="21"/>
    </row>
    <row r="162" spans="1:14">
      <c r="A162" s="20"/>
      <c r="B162" s="21"/>
      <c r="C162" s="21"/>
      <c r="D162" s="21"/>
      <c r="E162" s="21"/>
      <c r="F162" s="11"/>
      <c r="G162" s="21"/>
      <c r="H162" s="21"/>
      <c r="I162" s="11"/>
      <c r="J162" s="21"/>
      <c r="K162" s="21"/>
      <c r="L162" s="21"/>
      <c r="M162" s="21"/>
      <c r="N162" s="21"/>
    </row>
    <row r="163" spans="1:14">
      <c r="A163" s="20"/>
      <c r="B163" s="21"/>
      <c r="C163" s="21"/>
      <c r="D163" s="21"/>
      <c r="E163" s="21"/>
      <c r="F163" s="11"/>
      <c r="G163" s="21"/>
      <c r="H163" s="21"/>
      <c r="I163" s="11"/>
      <c r="J163" s="21"/>
      <c r="K163" s="21"/>
      <c r="L163" s="21"/>
      <c r="M163" s="21"/>
      <c r="N163" s="21"/>
    </row>
    <row r="164" spans="1:14">
      <c r="A164" s="20"/>
      <c r="B164" s="21"/>
      <c r="C164" s="21"/>
      <c r="D164" s="21"/>
      <c r="E164" s="21"/>
      <c r="F164" s="11"/>
      <c r="G164" s="21"/>
      <c r="H164" s="21"/>
      <c r="I164" s="11"/>
      <c r="J164" s="21"/>
      <c r="K164" s="21"/>
      <c r="L164" s="21"/>
      <c r="M164" s="21"/>
      <c r="N164" s="21"/>
    </row>
    <row r="165" spans="1:14">
      <c r="A165" s="20"/>
      <c r="B165" s="21"/>
      <c r="C165" s="21"/>
      <c r="D165" s="21"/>
      <c r="E165" s="21"/>
      <c r="F165" s="11"/>
      <c r="G165" s="21"/>
      <c r="H165" s="21"/>
      <c r="I165" s="11"/>
      <c r="J165" s="21"/>
      <c r="K165" s="21"/>
      <c r="L165" s="21"/>
      <c r="M165" s="21"/>
      <c r="N165" s="21"/>
    </row>
    <row r="166" spans="1:14">
      <c r="A166" s="20"/>
      <c r="B166" s="21"/>
      <c r="C166" s="21"/>
      <c r="D166" s="21"/>
      <c r="E166" s="21"/>
      <c r="F166" s="11"/>
      <c r="G166" s="21"/>
      <c r="H166" s="21"/>
      <c r="I166" s="11"/>
      <c r="J166" s="21"/>
      <c r="K166" s="21"/>
      <c r="L166" s="21"/>
      <c r="M166" s="21"/>
      <c r="N166" s="21"/>
    </row>
    <row r="167" spans="1:14">
      <c r="A167" s="20"/>
      <c r="B167" s="21"/>
      <c r="C167" s="21"/>
      <c r="D167" s="21"/>
      <c r="E167" s="21"/>
      <c r="F167" s="11"/>
      <c r="G167" s="21"/>
      <c r="H167" s="21"/>
      <c r="I167" s="11"/>
      <c r="J167" s="21"/>
      <c r="K167" s="21"/>
      <c r="L167" s="21"/>
      <c r="M167" s="21"/>
      <c r="N167" s="21"/>
    </row>
  </sheetData>
  <mergeCells count="4">
    <mergeCell ref="B2:B3"/>
    <mergeCell ref="C2:E3"/>
    <mergeCell ref="H2:I2"/>
    <mergeCell ref="H3:I3"/>
  </mergeCells>
  <phoneticPr fontId="3"/>
  <conditionalFormatting sqref="I7:I14 I16:I19 I21:I42 I44:I167">
    <cfRule type="cellIs" dxfId="2" priority="3" stopIfTrue="1" operator="equal">
      <formula>"否"</formula>
    </cfRule>
  </conditionalFormatting>
  <conditionalFormatting sqref="J7:J14 L7:M14 J16:J19 L16:M19 J21:J42 L21:M42 J44:J167 L44:M167 M66:N66">
    <cfRule type="cellIs" dxfId="1" priority="4" stopIfTrue="1" operator="equal">
      <formula>"NG"</formula>
    </cfRule>
  </conditionalFormatting>
  <conditionalFormatting sqref="M71:N71 M92:N102">
    <cfRule type="cellIs" dxfId="0" priority="7" stopIfTrue="1" operator="equal">
      <formula>"NG"</formula>
    </cfRule>
  </conditionalFormatting>
  <dataValidations count="4">
    <dataValidation type="list" allowBlank="1" showInputMessage="1" showErrorMessage="1" sqref="J6:J167 L6:M167" xr:uid="{FFC153D0-1D5B-414F-AD83-22875610DEB9}">
      <formula1>"OK,NG"</formula1>
    </dataValidation>
    <dataValidation type="list" allowBlank="1" showInputMessage="1" showErrorMessage="1" sqref="I6:I167" xr:uid="{428927EC-79D1-4235-9FBA-A45A4DF5AB72}">
      <formula1>"要,否"</formula1>
    </dataValidation>
    <dataValidation type="list" allowBlank="1" showInputMessage="1" showErrorMessage="1" sqref="H6:H167" xr:uid="{EF925F08-92D1-4C23-BC8A-7803F1D65B98}">
      <formula1>"ツール,手動"</formula1>
    </dataValidation>
    <dataValidation type="list" allowBlank="1" showInputMessage="1" showErrorMessage="1" sqref="G6:G167" xr:uid="{8CF506BF-CEA7-4022-9B75-8E42DE07E4E0}">
      <formula1>"生成AI,手動"</formula1>
    </dataValidation>
  </dataValidations>
  <hyperlinks>
    <hyperlink ref="F7" location="引数チェック!A1" display="引数チェック" xr:uid="{C6EDCA2C-D54D-41FB-A84A-5F23E23A3AF9}"/>
    <hyperlink ref="F8:F14" location="引数チェック!A1" display="引数チェック" xr:uid="{FA90AA5D-E867-4A02-9559-22860B484F13}"/>
    <hyperlink ref="F16" location="主処理!A1" display="主処理" xr:uid="{D70AD22E-0791-48E6-82B0-F41842D54960}"/>
    <hyperlink ref="F17:F19" location="主処理!A1" display="主処理" xr:uid="{F6E8A7A9-D959-47E3-96BD-4453DBA0E8E6}"/>
    <hyperlink ref="F21:F42" location="主処理!A1" display="主処理" xr:uid="{715106FC-B249-47C3-91EB-72E41D2B98AB}"/>
    <hyperlink ref="F44:F57" location="主処理!A1" display="主処理" xr:uid="{EB74D558-5061-4EF4-9E61-F4C7702F2B89}"/>
    <hyperlink ref="F58:F59" location="主処理!A1" display="主処理" xr:uid="{389C8C41-C464-45E2-9595-AB3DCF0934BF}"/>
  </hyperlinks>
  <pageMargins left="0.78700000000000003" right="0.78700000000000003" top="0.98399999999999999" bottom="0.98399999999999999" header="0.51200000000000001" footer="0.51200000000000001"/>
  <pageSetup paperSize="9" scale="74" orientation="portrait" r:id="rId1"/>
  <headerFooter alignWithMargins="0"/>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85EF58-41E3-49A4-974B-87A0457F7BC3}">
  <dimension ref="A1:BG78"/>
  <sheetViews>
    <sheetView showGridLines="0" zoomScaleNormal="100" workbookViewId="0">
      <pane ySplit="9" topLeftCell="A10" activePane="bottomLeft" state="frozen"/>
      <selection activeCell="G18" sqref="G18"/>
      <selection pane="bottomLeft"/>
    </sheetView>
  </sheetViews>
  <sheetFormatPr defaultRowHeight="15"/>
  <cols>
    <col min="1" max="1" width="8.81640625" style="27" customWidth="1"/>
    <col min="2" max="2" width="4.6328125" style="27" customWidth="1"/>
    <col min="3" max="3" width="3.90625" style="27" bestFit="1" customWidth="1"/>
    <col min="4" max="4" width="16" style="29" bestFit="1" customWidth="1"/>
    <col min="5" max="5" width="13" style="29" customWidth="1"/>
    <col min="6" max="6" width="9.54296875" style="29" bestFit="1" customWidth="1"/>
    <col min="7" max="7" width="12.453125" style="29" customWidth="1"/>
    <col min="8" max="8" width="14" style="29" bestFit="1" customWidth="1"/>
    <col min="9" max="9" width="18.90625" style="29" bestFit="1" customWidth="1"/>
    <col min="10" max="10" width="16.90625" style="29" bestFit="1" customWidth="1"/>
    <col min="11" max="11" width="20.7265625" style="27" bestFit="1" customWidth="1"/>
    <col min="12" max="12" width="33.54296875" style="27" bestFit="1" customWidth="1"/>
    <col min="13" max="13" width="16.6328125" style="27" bestFit="1" customWidth="1"/>
    <col min="14" max="14" width="10.453125" style="27" bestFit="1" customWidth="1"/>
    <col min="15" max="15" width="13.6328125" style="27" bestFit="1" customWidth="1"/>
    <col min="16" max="16" width="17.54296875" style="27" bestFit="1" customWidth="1"/>
    <col min="17" max="17" width="16.7265625" style="27" bestFit="1" customWidth="1"/>
    <col min="18" max="18" width="13.90625" style="27" bestFit="1" customWidth="1"/>
    <col min="19" max="19" width="14.81640625" style="27" bestFit="1" customWidth="1"/>
    <col min="20" max="20" width="13.6328125" style="27" bestFit="1" customWidth="1"/>
    <col min="21" max="22" width="14.1796875" style="27" bestFit="1" customWidth="1"/>
    <col min="23" max="23" width="17" style="27" bestFit="1" customWidth="1"/>
    <col min="24" max="24" width="15" style="27" bestFit="1" customWidth="1"/>
    <col min="25" max="25" width="14.26953125" style="27" bestFit="1" customWidth="1"/>
    <col min="26" max="26" width="23.26953125" style="27" bestFit="1" customWidth="1"/>
    <col min="27" max="27" width="12.90625" style="27" bestFit="1" customWidth="1"/>
    <col min="28" max="28" width="12.6328125" style="27" bestFit="1" customWidth="1"/>
    <col min="29" max="29" width="24.6328125" style="27" bestFit="1" customWidth="1"/>
    <col min="30" max="30" width="13.453125" style="27" bestFit="1" customWidth="1"/>
    <col min="31" max="31" width="14.81640625" style="27" customWidth="1"/>
    <col min="32" max="32" width="16.6328125" style="27" customWidth="1"/>
    <col min="33" max="33" width="14.7265625" style="27" bestFit="1" customWidth="1"/>
    <col min="34" max="34" width="21.26953125" style="27" customWidth="1"/>
    <col min="35" max="35" width="21.81640625" style="27" bestFit="1" customWidth="1"/>
    <col min="36" max="36" width="21.54296875" style="27" bestFit="1" customWidth="1"/>
    <col min="37" max="37" width="29.90625" style="27" customWidth="1"/>
    <col min="38" max="38" width="10.453125" style="27" customWidth="1"/>
    <col min="39" max="39" width="18.7265625" style="27" bestFit="1" customWidth="1"/>
    <col min="40" max="40" width="17.81640625" style="27" bestFit="1" customWidth="1"/>
    <col min="41" max="41" width="9" style="27"/>
    <col min="42" max="42" width="11.81640625" style="27" bestFit="1" customWidth="1"/>
    <col min="43" max="43" width="15.54296875" style="27" bestFit="1" customWidth="1"/>
    <col min="44" max="44" width="14.54296875" style="27" customWidth="1"/>
    <col min="45" max="45" width="20.7265625" style="27" bestFit="1" customWidth="1"/>
    <col min="46" max="46" width="12.54296875" style="27" bestFit="1" customWidth="1"/>
    <col min="47" max="47" width="25.1796875" style="27" bestFit="1" customWidth="1"/>
    <col min="48" max="48" width="18.90625" style="27" bestFit="1" customWidth="1"/>
    <col min="49" max="49" width="20.1796875" style="27" bestFit="1" customWidth="1"/>
    <col min="50" max="50" width="16.08984375" style="27" bestFit="1" customWidth="1"/>
    <col min="51" max="51" width="18.90625" style="27" bestFit="1" customWidth="1"/>
    <col min="52" max="52" width="19.08984375" style="27" bestFit="1" customWidth="1"/>
    <col min="53" max="53" width="14.26953125" style="27" bestFit="1" customWidth="1"/>
    <col min="54" max="54" width="15.26953125" style="27" bestFit="1" customWidth="1"/>
    <col min="55" max="55" width="12.90625" style="27" bestFit="1" customWidth="1"/>
    <col min="56" max="56" width="12.6328125" style="27" bestFit="1" customWidth="1"/>
    <col min="57" max="57" width="15.6328125" style="27" bestFit="1" customWidth="1"/>
    <col min="58" max="58" width="13.453125" style="27" bestFit="1" customWidth="1"/>
    <col min="59" max="59" width="13.1796875" style="27" customWidth="1"/>
    <col min="60" max="256" width="9" style="27"/>
    <col min="257" max="257" width="3.08984375" style="27" customWidth="1"/>
    <col min="258" max="258" width="4.6328125" style="27" customWidth="1"/>
    <col min="259" max="259" width="3.08984375" style="27" customWidth="1"/>
    <col min="260" max="260" width="12.90625" style="27" customWidth="1"/>
    <col min="261" max="261" width="11.08984375" style="27" customWidth="1"/>
    <col min="262" max="262" width="12.26953125" style="27" customWidth="1"/>
    <col min="263" max="263" width="11.90625" style="27" customWidth="1"/>
    <col min="264" max="264" width="9.36328125" style="27" customWidth="1"/>
    <col min="265" max="265" width="11.08984375" style="27" customWidth="1"/>
    <col min="266" max="266" width="10.453125" style="27" customWidth="1"/>
    <col min="267" max="267" width="9.7265625" style="27" customWidth="1"/>
    <col min="268" max="512" width="9" style="27"/>
    <col min="513" max="513" width="3.08984375" style="27" customWidth="1"/>
    <col min="514" max="514" width="4.6328125" style="27" customWidth="1"/>
    <col min="515" max="515" width="3.08984375" style="27" customWidth="1"/>
    <col min="516" max="516" width="12.90625" style="27" customWidth="1"/>
    <col min="517" max="517" width="11.08984375" style="27" customWidth="1"/>
    <col min="518" max="518" width="12.26953125" style="27" customWidth="1"/>
    <col min="519" max="519" width="11.90625" style="27" customWidth="1"/>
    <col min="520" max="520" width="9.36328125" style="27" customWidth="1"/>
    <col min="521" max="521" width="11.08984375" style="27" customWidth="1"/>
    <col min="522" max="522" width="10.453125" style="27" customWidth="1"/>
    <col min="523" max="523" width="9.7265625" style="27" customWidth="1"/>
    <col min="524" max="768" width="9" style="27"/>
    <col min="769" max="769" width="3.08984375" style="27" customWidth="1"/>
    <col min="770" max="770" width="4.6328125" style="27" customWidth="1"/>
    <col min="771" max="771" width="3.08984375" style="27" customWidth="1"/>
    <col min="772" max="772" width="12.90625" style="27" customWidth="1"/>
    <col min="773" max="773" width="11.08984375" style="27" customWidth="1"/>
    <col min="774" max="774" width="12.26953125" style="27" customWidth="1"/>
    <col min="775" max="775" width="11.90625" style="27" customWidth="1"/>
    <col min="776" max="776" width="9.36328125" style="27" customWidth="1"/>
    <col min="777" max="777" width="11.08984375" style="27" customWidth="1"/>
    <col min="778" max="778" width="10.453125" style="27" customWidth="1"/>
    <col min="779" max="779" width="9.7265625" style="27" customWidth="1"/>
    <col min="780" max="1024" width="9" style="27"/>
    <col min="1025" max="1025" width="3.08984375" style="27" customWidth="1"/>
    <col min="1026" max="1026" width="4.6328125" style="27" customWidth="1"/>
    <col min="1027" max="1027" width="3.08984375" style="27" customWidth="1"/>
    <col min="1028" max="1028" width="12.90625" style="27" customWidth="1"/>
    <col min="1029" max="1029" width="11.08984375" style="27" customWidth="1"/>
    <col min="1030" max="1030" width="12.26953125" style="27" customWidth="1"/>
    <col min="1031" max="1031" width="11.90625" style="27" customWidth="1"/>
    <col min="1032" max="1032" width="9.36328125" style="27" customWidth="1"/>
    <col min="1033" max="1033" width="11.08984375" style="27" customWidth="1"/>
    <col min="1034" max="1034" width="10.453125" style="27" customWidth="1"/>
    <col min="1035" max="1035" width="9.7265625" style="27" customWidth="1"/>
    <col min="1036" max="1280" width="9" style="27"/>
    <col min="1281" max="1281" width="3.08984375" style="27" customWidth="1"/>
    <col min="1282" max="1282" width="4.6328125" style="27" customWidth="1"/>
    <col min="1283" max="1283" width="3.08984375" style="27" customWidth="1"/>
    <col min="1284" max="1284" width="12.90625" style="27" customWidth="1"/>
    <col min="1285" max="1285" width="11.08984375" style="27" customWidth="1"/>
    <col min="1286" max="1286" width="12.26953125" style="27" customWidth="1"/>
    <col min="1287" max="1287" width="11.90625" style="27" customWidth="1"/>
    <col min="1288" max="1288" width="9.36328125" style="27" customWidth="1"/>
    <col min="1289" max="1289" width="11.08984375" style="27" customWidth="1"/>
    <col min="1290" max="1290" width="10.453125" style="27" customWidth="1"/>
    <col min="1291" max="1291" width="9.7265625" style="27" customWidth="1"/>
    <col min="1292" max="1536" width="9" style="27"/>
    <col min="1537" max="1537" width="3.08984375" style="27" customWidth="1"/>
    <col min="1538" max="1538" width="4.6328125" style="27" customWidth="1"/>
    <col min="1539" max="1539" width="3.08984375" style="27" customWidth="1"/>
    <col min="1540" max="1540" width="12.90625" style="27" customWidth="1"/>
    <col min="1541" max="1541" width="11.08984375" style="27" customWidth="1"/>
    <col min="1542" max="1542" width="12.26953125" style="27" customWidth="1"/>
    <col min="1543" max="1543" width="11.90625" style="27" customWidth="1"/>
    <col min="1544" max="1544" width="9.36328125" style="27" customWidth="1"/>
    <col min="1545" max="1545" width="11.08984375" style="27" customWidth="1"/>
    <col min="1546" max="1546" width="10.453125" style="27" customWidth="1"/>
    <col min="1547" max="1547" width="9.7265625" style="27" customWidth="1"/>
    <col min="1548" max="1792" width="9" style="27"/>
    <col min="1793" max="1793" width="3.08984375" style="27" customWidth="1"/>
    <col min="1794" max="1794" width="4.6328125" style="27" customWidth="1"/>
    <col min="1795" max="1795" width="3.08984375" style="27" customWidth="1"/>
    <col min="1796" max="1796" width="12.90625" style="27" customWidth="1"/>
    <col min="1797" max="1797" width="11.08984375" style="27" customWidth="1"/>
    <col min="1798" max="1798" width="12.26953125" style="27" customWidth="1"/>
    <col min="1799" max="1799" width="11.90625" style="27" customWidth="1"/>
    <col min="1800" max="1800" width="9.36328125" style="27" customWidth="1"/>
    <col min="1801" max="1801" width="11.08984375" style="27" customWidth="1"/>
    <col min="1802" max="1802" width="10.453125" style="27" customWidth="1"/>
    <col min="1803" max="1803" width="9.7265625" style="27" customWidth="1"/>
    <col min="1804" max="2048" width="9" style="27"/>
    <col min="2049" max="2049" width="3.08984375" style="27" customWidth="1"/>
    <col min="2050" max="2050" width="4.6328125" style="27" customWidth="1"/>
    <col min="2051" max="2051" width="3.08984375" style="27" customWidth="1"/>
    <col min="2052" max="2052" width="12.90625" style="27" customWidth="1"/>
    <col min="2053" max="2053" width="11.08984375" style="27" customWidth="1"/>
    <col min="2054" max="2054" width="12.26953125" style="27" customWidth="1"/>
    <col min="2055" max="2055" width="11.90625" style="27" customWidth="1"/>
    <col min="2056" max="2056" width="9.36328125" style="27" customWidth="1"/>
    <col min="2057" max="2057" width="11.08984375" style="27" customWidth="1"/>
    <col min="2058" max="2058" width="10.453125" style="27" customWidth="1"/>
    <col min="2059" max="2059" width="9.7265625" style="27" customWidth="1"/>
    <col min="2060" max="2304" width="9" style="27"/>
    <col min="2305" max="2305" width="3.08984375" style="27" customWidth="1"/>
    <col min="2306" max="2306" width="4.6328125" style="27" customWidth="1"/>
    <col min="2307" max="2307" width="3.08984375" style="27" customWidth="1"/>
    <col min="2308" max="2308" width="12.90625" style="27" customWidth="1"/>
    <col min="2309" max="2309" width="11.08984375" style="27" customWidth="1"/>
    <col min="2310" max="2310" width="12.26953125" style="27" customWidth="1"/>
    <col min="2311" max="2311" width="11.90625" style="27" customWidth="1"/>
    <col min="2312" max="2312" width="9.36328125" style="27" customWidth="1"/>
    <col min="2313" max="2313" width="11.08984375" style="27" customWidth="1"/>
    <col min="2314" max="2314" width="10.453125" style="27" customWidth="1"/>
    <col min="2315" max="2315" width="9.7265625" style="27" customWidth="1"/>
    <col min="2316" max="2560" width="9" style="27"/>
    <col min="2561" max="2561" width="3.08984375" style="27" customWidth="1"/>
    <col min="2562" max="2562" width="4.6328125" style="27" customWidth="1"/>
    <col min="2563" max="2563" width="3.08984375" style="27" customWidth="1"/>
    <col min="2564" max="2564" width="12.90625" style="27" customWidth="1"/>
    <col min="2565" max="2565" width="11.08984375" style="27" customWidth="1"/>
    <col min="2566" max="2566" width="12.26953125" style="27" customWidth="1"/>
    <col min="2567" max="2567" width="11.90625" style="27" customWidth="1"/>
    <col min="2568" max="2568" width="9.36328125" style="27" customWidth="1"/>
    <col min="2569" max="2569" width="11.08984375" style="27" customWidth="1"/>
    <col min="2570" max="2570" width="10.453125" style="27" customWidth="1"/>
    <col min="2571" max="2571" width="9.7265625" style="27" customWidth="1"/>
    <col min="2572" max="2816" width="9" style="27"/>
    <col min="2817" max="2817" width="3.08984375" style="27" customWidth="1"/>
    <col min="2818" max="2818" width="4.6328125" style="27" customWidth="1"/>
    <col min="2819" max="2819" width="3.08984375" style="27" customWidth="1"/>
    <col min="2820" max="2820" width="12.90625" style="27" customWidth="1"/>
    <col min="2821" max="2821" width="11.08984375" style="27" customWidth="1"/>
    <col min="2822" max="2822" width="12.26953125" style="27" customWidth="1"/>
    <col min="2823" max="2823" width="11.90625" style="27" customWidth="1"/>
    <col min="2824" max="2824" width="9.36328125" style="27" customWidth="1"/>
    <col min="2825" max="2825" width="11.08984375" style="27" customWidth="1"/>
    <col min="2826" max="2826" width="10.453125" style="27" customWidth="1"/>
    <col min="2827" max="2827" width="9.7265625" style="27" customWidth="1"/>
    <col min="2828" max="3072" width="9" style="27"/>
    <col min="3073" max="3073" width="3.08984375" style="27" customWidth="1"/>
    <col min="3074" max="3074" width="4.6328125" style="27" customWidth="1"/>
    <col min="3075" max="3075" width="3.08984375" style="27" customWidth="1"/>
    <col min="3076" max="3076" width="12.90625" style="27" customWidth="1"/>
    <col min="3077" max="3077" width="11.08984375" style="27" customWidth="1"/>
    <col min="3078" max="3078" width="12.26953125" style="27" customWidth="1"/>
    <col min="3079" max="3079" width="11.90625" style="27" customWidth="1"/>
    <col min="3080" max="3080" width="9.36328125" style="27" customWidth="1"/>
    <col min="3081" max="3081" width="11.08984375" style="27" customWidth="1"/>
    <col min="3082" max="3082" width="10.453125" style="27" customWidth="1"/>
    <col min="3083" max="3083" width="9.7265625" style="27" customWidth="1"/>
    <col min="3084" max="3328" width="9" style="27"/>
    <col min="3329" max="3329" width="3.08984375" style="27" customWidth="1"/>
    <col min="3330" max="3330" width="4.6328125" style="27" customWidth="1"/>
    <col min="3331" max="3331" width="3.08984375" style="27" customWidth="1"/>
    <col min="3332" max="3332" width="12.90625" style="27" customWidth="1"/>
    <col min="3333" max="3333" width="11.08984375" style="27" customWidth="1"/>
    <col min="3334" max="3334" width="12.26953125" style="27" customWidth="1"/>
    <col min="3335" max="3335" width="11.90625" style="27" customWidth="1"/>
    <col min="3336" max="3336" width="9.36328125" style="27" customWidth="1"/>
    <col min="3337" max="3337" width="11.08984375" style="27" customWidth="1"/>
    <col min="3338" max="3338" width="10.453125" style="27" customWidth="1"/>
    <col min="3339" max="3339" width="9.7265625" style="27" customWidth="1"/>
    <col min="3340" max="3584" width="9" style="27"/>
    <col min="3585" max="3585" width="3.08984375" style="27" customWidth="1"/>
    <col min="3586" max="3586" width="4.6328125" style="27" customWidth="1"/>
    <col min="3587" max="3587" width="3.08984375" style="27" customWidth="1"/>
    <col min="3588" max="3588" width="12.90625" style="27" customWidth="1"/>
    <col min="3589" max="3589" width="11.08984375" style="27" customWidth="1"/>
    <col min="3590" max="3590" width="12.26953125" style="27" customWidth="1"/>
    <col min="3591" max="3591" width="11.90625" style="27" customWidth="1"/>
    <col min="3592" max="3592" width="9.36328125" style="27" customWidth="1"/>
    <col min="3593" max="3593" width="11.08984375" style="27" customWidth="1"/>
    <col min="3594" max="3594" width="10.453125" style="27" customWidth="1"/>
    <col min="3595" max="3595" width="9.7265625" style="27" customWidth="1"/>
    <col min="3596" max="3840" width="9" style="27"/>
    <col min="3841" max="3841" width="3.08984375" style="27" customWidth="1"/>
    <col min="3842" max="3842" width="4.6328125" style="27" customWidth="1"/>
    <col min="3843" max="3843" width="3.08984375" style="27" customWidth="1"/>
    <col min="3844" max="3844" width="12.90625" style="27" customWidth="1"/>
    <col min="3845" max="3845" width="11.08984375" style="27" customWidth="1"/>
    <col min="3846" max="3846" width="12.26953125" style="27" customWidth="1"/>
    <col min="3847" max="3847" width="11.90625" style="27" customWidth="1"/>
    <col min="3848" max="3848" width="9.36328125" style="27" customWidth="1"/>
    <col min="3849" max="3849" width="11.08984375" style="27" customWidth="1"/>
    <col min="3850" max="3850" width="10.453125" style="27" customWidth="1"/>
    <col min="3851" max="3851" width="9.7265625" style="27" customWidth="1"/>
    <col min="3852" max="4096" width="9" style="27"/>
    <col min="4097" max="4097" width="3.08984375" style="27" customWidth="1"/>
    <col min="4098" max="4098" width="4.6328125" style="27" customWidth="1"/>
    <col min="4099" max="4099" width="3.08984375" style="27" customWidth="1"/>
    <col min="4100" max="4100" width="12.90625" style="27" customWidth="1"/>
    <col min="4101" max="4101" width="11.08984375" style="27" customWidth="1"/>
    <col min="4102" max="4102" width="12.26953125" style="27" customWidth="1"/>
    <col min="4103" max="4103" width="11.90625" style="27" customWidth="1"/>
    <col min="4104" max="4104" width="9.36328125" style="27" customWidth="1"/>
    <col min="4105" max="4105" width="11.08984375" style="27" customWidth="1"/>
    <col min="4106" max="4106" width="10.453125" style="27" customWidth="1"/>
    <col min="4107" max="4107" width="9.7265625" style="27" customWidth="1"/>
    <col min="4108" max="4352" width="9" style="27"/>
    <col min="4353" max="4353" width="3.08984375" style="27" customWidth="1"/>
    <col min="4354" max="4354" width="4.6328125" style="27" customWidth="1"/>
    <col min="4355" max="4355" width="3.08984375" style="27" customWidth="1"/>
    <col min="4356" max="4356" width="12.90625" style="27" customWidth="1"/>
    <col min="4357" max="4357" width="11.08984375" style="27" customWidth="1"/>
    <col min="4358" max="4358" width="12.26953125" style="27" customWidth="1"/>
    <col min="4359" max="4359" width="11.90625" style="27" customWidth="1"/>
    <col min="4360" max="4360" width="9.36328125" style="27" customWidth="1"/>
    <col min="4361" max="4361" width="11.08984375" style="27" customWidth="1"/>
    <col min="4362" max="4362" width="10.453125" style="27" customWidth="1"/>
    <col min="4363" max="4363" width="9.7265625" style="27" customWidth="1"/>
    <col min="4364" max="4608" width="9" style="27"/>
    <col min="4609" max="4609" width="3.08984375" style="27" customWidth="1"/>
    <col min="4610" max="4610" width="4.6328125" style="27" customWidth="1"/>
    <col min="4611" max="4611" width="3.08984375" style="27" customWidth="1"/>
    <col min="4612" max="4612" width="12.90625" style="27" customWidth="1"/>
    <col min="4613" max="4613" width="11.08984375" style="27" customWidth="1"/>
    <col min="4614" max="4614" width="12.26953125" style="27" customWidth="1"/>
    <col min="4615" max="4615" width="11.90625" style="27" customWidth="1"/>
    <col min="4616" max="4616" width="9.36328125" style="27" customWidth="1"/>
    <col min="4617" max="4617" width="11.08984375" style="27" customWidth="1"/>
    <col min="4618" max="4618" width="10.453125" style="27" customWidth="1"/>
    <col min="4619" max="4619" width="9.7265625" style="27" customWidth="1"/>
    <col min="4620" max="4864" width="9" style="27"/>
    <col min="4865" max="4865" width="3.08984375" style="27" customWidth="1"/>
    <col min="4866" max="4866" width="4.6328125" style="27" customWidth="1"/>
    <col min="4867" max="4867" width="3.08984375" style="27" customWidth="1"/>
    <col min="4868" max="4868" width="12.90625" style="27" customWidth="1"/>
    <col min="4869" max="4869" width="11.08984375" style="27" customWidth="1"/>
    <col min="4870" max="4870" width="12.26953125" style="27" customWidth="1"/>
    <col min="4871" max="4871" width="11.90625" style="27" customWidth="1"/>
    <col min="4872" max="4872" width="9.36328125" style="27" customWidth="1"/>
    <col min="4873" max="4873" width="11.08984375" style="27" customWidth="1"/>
    <col min="4874" max="4874" width="10.453125" style="27" customWidth="1"/>
    <col min="4875" max="4875" width="9.7265625" style="27" customWidth="1"/>
    <col min="4876" max="5120" width="9" style="27"/>
    <col min="5121" max="5121" width="3.08984375" style="27" customWidth="1"/>
    <col min="5122" max="5122" width="4.6328125" style="27" customWidth="1"/>
    <col min="5123" max="5123" width="3.08984375" style="27" customWidth="1"/>
    <col min="5124" max="5124" width="12.90625" style="27" customWidth="1"/>
    <col min="5125" max="5125" width="11.08984375" style="27" customWidth="1"/>
    <col min="5126" max="5126" width="12.26953125" style="27" customWidth="1"/>
    <col min="5127" max="5127" width="11.90625" style="27" customWidth="1"/>
    <col min="5128" max="5128" width="9.36328125" style="27" customWidth="1"/>
    <col min="5129" max="5129" width="11.08984375" style="27" customWidth="1"/>
    <col min="5130" max="5130" width="10.453125" style="27" customWidth="1"/>
    <col min="5131" max="5131" width="9.7265625" style="27" customWidth="1"/>
    <col min="5132" max="5376" width="9" style="27"/>
    <col min="5377" max="5377" width="3.08984375" style="27" customWidth="1"/>
    <col min="5378" max="5378" width="4.6328125" style="27" customWidth="1"/>
    <col min="5379" max="5379" width="3.08984375" style="27" customWidth="1"/>
    <col min="5380" max="5380" width="12.90625" style="27" customWidth="1"/>
    <col min="5381" max="5381" width="11.08984375" style="27" customWidth="1"/>
    <col min="5382" max="5382" width="12.26953125" style="27" customWidth="1"/>
    <col min="5383" max="5383" width="11.90625" style="27" customWidth="1"/>
    <col min="5384" max="5384" width="9.36328125" style="27" customWidth="1"/>
    <col min="5385" max="5385" width="11.08984375" style="27" customWidth="1"/>
    <col min="5386" max="5386" width="10.453125" style="27" customWidth="1"/>
    <col min="5387" max="5387" width="9.7265625" style="27" customWidth="1"/>
    <col min="5388" max="5632" width="9" style="27"/>
    <col min="5633" max="5633" width="3.08984375" style="27" customWidth="1"/>
    <col min="5634" max="5634" width="4.6328125" style="27" customWidth="1"/>
    <col min="5635" max="5635" width="3.08984375" style="27" customWidth="1"/>
    <col min="5636" max="5636" width="12.90625" style="27" customWidth="1"/>
    <col min="5637" max="5637" width="11.08984375" style="27" customWidth="1"/>
    <col min="5638" max="5638" width="12.26953125" style="27" customWidth="1"/>
    <col min="5639" max="5639" width="11.90625" style="27" customWidth="1"/>
    <col min="5640" max="5640" width="9.36328125" style="27" customWidth="1"/>
    <col min="5641" max="5641" width="11.08984375" style="27" customWidth="1"/>
    <col min="5642" max="5642" width="10.453125" style="27" customWidth="1"/>
    <col min="5643" max="5643" width="9.7265625" style="27" customWidth="1"/>
    <col min="5644" max="5888" width="9" style="27"/>
    <col min="5889" max="5889" width="3.08984375" style="27" customWidth="1"/>
    <col min="5890" max="5890" width="4.6328125" style="27" customWidth="1"/>
    <col min="5891" max="5891" width="3.08984375" style="27" customWidth="1"/>
    <col min="5892" max="5892" width="12.90625" style="27" customWidth="1"/>
    <col min="5893" max="5893" width="11.08984375" style="27" customWidth="1"/>
    <col min="5894" max="5894" width="12.26953125" style="27" customWidth="1"/>
    <col min="5895" max="5895" width="11.90625" style="27" customWidth="1"/>
    <col min="5896" max="5896" width="9.36328125" style="27" customWidth="1"/>
    <col min="5897" max="5897" width="11.08984375" style="27" customWidth="1"/>
    <col min="5898" max="5898" width="10.453125" style="27" customWidth="1"/>
    <col min="5899" max="5899" width="9.7265625" style="27" customWidth="1"/>
    <col min="5900" max="6144" width="9" style="27"/>
    <col min="6145" max="6145" width="3.08984375" style="27" customWidth="1"/>
    <col min="6146" max="6146" width="4.6328125" style="27" customWidth="1"/>
    <col min="6147" max="6147" width="3.08984375" style="27" customWidth="1"/>
    <col min="6148" max="6148" width="12.90625" style="27" customWidth="1"/>
    <col min="6149" max="6149" width="11.08984375" style="27" customWidth="1"/>
    <col min="6150" max="6150" width="12.26953125" style="27" customWidth="1"/>
    <col min="6151" max="6151" width="11.90625" style="27" customWidth="1"/>
    <col min="6152" max="6152" width="9.36328125" style="27" customWidth="1"/>
    <col min="6153" max="6153" width="11.08984375" style="27" customWidth="1"/>
    <col min="6154" max="6154" width="10.453125" style="27" customWidth="1"/>
    <col min="6155" max="6155" width="9.7265625" style="27" customWidth="1"/>
    <col min="6156" max="6400" width="9" style="27"/>
    <col min="6401" max="6401" width="3.08984375" style="27" customWidth="1"/>
    <col min="6402" max="6402" width="4.6328125" style="27" customWidth="1"/>
    <col min="6403" max="6403" width="3.08984375" style="27" customWidth="1"/>
    <col min="6404" max="6404" width="12.90625" style="27" customWidth="1"/>
    <col min="6405" max="6405" width="11.08984375" style="27" customWidth="1"/>
    <col min="6406" max="6406" width="12.26953125" style="27" customWidth="1"/>
    <col min="6407" max="6407" width="11.90625" style="27" customWidth="1"/>
    <col min="6408" max="6408" width="9.36328125" style="27" customWidth="1"/>
    <col min="6409" max="6409" width="11.08984375" style="27" customWidth="1"/>
    <col min="6410" max="6410" width="10.453125" style="27" customWidth="1"/>
    <col min="6411" max="6411" width="9.7265625" style="27" customWidth="1"/>
    <col min="6412" max="6656" width="9" style="27"/>
    <col min="6657" max="6657" width="3.08984375" style="27" customWidth="1"/>
    <col min="6658" max="6658" width="4.6328125" style="27" customWidth="1"/>
    <col min="6659" max="6659" width="3.08984375" style="27" customWidth="1"/>
    <col min="6660" max="6660" width="12.90625" style="27" customWidth="1"/>
    <col min="6661" max="6661" width="11.08984375" style="27" customWidth="1"/>
    <col min="6662" max="6662" width="12.26953125" style="27" customWidth="1"/>
    <col min="6663" max="6663" width="11.90625" style="27" customWidth="1"/>
    <col min="6664" max="6664" width="9.36328125" style="27" customWidth="1"/>
    <col min="6665" max="6665" width="11.08984375" style="27" customWidth="1"/>
    <col min="6666" max="6666" width="10.453125" style="27" customWidth="1"/>
    <col min="6667" max="6667" width="9.7265625" style="27" customWidth="1"/>
    <col min="6668" max="6912" width="9" style="27"/>
    <col min="6913" max="6913" width="3.08984375" style="27" customWidth="1"/>
    <col min="6914" max="6914" width="4.6328125" style="27" customWidth="1"/>
    <col min="6915" max="6915" width="3.08984375" style="27" customWidth="1"/>
    <col min="6916" max="6916" width="12.90625" style="27" customWidth="1"/>
    <col min="6917" max="6917" width="11.08984375" style="27" customWidth="1"/>
    <col min="6918" max="6918" width="12.26953125" style="27" customWidth="1"/>
    <col min="6919" max="6919" width="11.90625" style="27" customWidth="1"/>
    <col min="6920" max="6920" width="9.36328125" style="27" customWidth="1"/>
    <col min="6921" max="6921" width="11.08984375" style="27" customWidth="1"/>
    <col min="6922" max="6922" width="10.453125" style="27" customWidth="1"/>
    <col min="6923" max="6923" width="9.7265625" style="27" customWidth="1"/>
    <col min="6924" max="7168" width="9" style="27"/>
    <col min="7169" max="7169" width="3.08984375" style="27" customWidth="1"/>
    <col min="7170" max="7170" width="4.6328125" style="27" customWidth="1"/>
    <col min="7171" max="7171" width="3.08984375" style="27" customWidth="1"/>
    <col min="7172" max="7172" width="12.90625" style="27" customWidth="1"/>
    <col min="7173" max="7173" width="11.08984375" style="27" customWidth="1"/>
    <col min="7174" max="7174" width="12.26953125" style="27" customWidth="1"/>
    <col min="7175" max="7175" width="11.90625" style="27" customWidth="1"/>
    <col min="7176" max="7176" width="9.36328125" style="27" customWidth="1"/>
    <col min="7177" max="7177" width="11.08984375" style="27" customWidth="1"/>
    <col min="7178" max="7178" width="10.453125" style="27" customWidth="1"/>
    <col min="7179" max="7179" width="9.7265625" style="27" customWidth="1"/>
    <col min="7180" max="7424" width="9" style="27"/>
    <col min="7425" max="7425" width="3.08984375" style="27" customWidth="1"/>
    <col min="7426" max="7426" width="4.6328125" style="27" customWidth="1"/>
    <col min="7427" max="7427" width="3.08984375" style="27" customWidth="1"/>
    <col min="7428" max="7428" width="12.90625" style="27" customWidth="1"/>
    <col min="7429" max="7429" width="11.08984375" style="27" customWidth="1"/>
    <col min="7430" max="7430" width="12.26953125" style="27" customWidth="1"/>
    <col min="7431" max="7431" width="11.90625" style="27" customWidth="1"/>
    <col min="7432" max="7432" width="9.36328125" style="27" customWidth="1"/>
    <col min="7433" max="7433" width="11.08984375" style="27" customWidth="1"/>
    <col min="7434" max="7434" width="10.453125" style="27" customWidth="1"/>
    <col min="7435" max="7435" width="9.7265625" style="27" customWidth="1"/>
    <col min="7436" max="7680" width="9" style="27"/>
    <col min="7681" max="7681" width="3.08984375" style="27" customWidth="1"/>
    <col min="7682" max="7682" width="4.6328125" style="27" customWidth="1"/>
    <col min="7683" max="7683" width="3.08984375" style="27" customWidth="1"/>
    <col min="7684" max="7684" width="12.90625" style="27" customWidth="1"/>
    <col min="7685" max="7685" width="11.08984375" style="27" customWidth="1"/>
    <col min="7686" max="7686" width="12.26953125" style="27" customWidth="1"/>
    <col min="7687" max="7687" width="11.90625" style="27" customWidth="1"/>
    <col min="7688" max="7688" width="9.36328125" style="27" customWidth="1"/>
    <col min="7689" max="7689" width="11.08984375" style="27" customWidth="1"/>
    <col min="7690" max="7690" width="10.453125" style="27" customWidth="1"/>
    <col min="7691" max="7691" width="9.7265625" style="27" customWidth="1"/>
    <col min="7692" max="7936" width="9" style="27"/>
    <col min="7937" max="7937" width="3.08984375" style="27" customWidth="1"/>
    <col min="7938" max="7938" width="4.6328125" style="27" customWidth="1"/>
    <col min="7939" max="7939" width="3.08984375" style="27" customWidth="1"/>
    <col min="7940" max="7940" width="12.90625" style="27" customWidth="1"/>
    <col min="7941" max="7941" width="11.08984375" style="27" customWidth="1"/>
    <col min="7942" max="7942" width="12.26953125" style="27" customWidth="1"/>
    <col min="7943" max="7943" width="11.90625" style="27" customWidth="1"/>
    <col min="7944" max="7944" width="9.36328125" style="27" customWidth="1"/>
    <col min="7945" max="7945" width="11.08984375" style="27" customWidth="1"/>
    <col min="7946" max="7946" width="10.453125" style="27" customWidth="1"/>
    <col min="7947" max="7947" width="9.7265625" style="27" customWidth="1"/>
    <col min="7948" max="8192" width="9" style="27"/>
    <col min="8193" max="8193" width="3.08984375" style="27" customWidth="1"/>
    <col min="8194" max="8194" width="4.6328125" style="27" customWidth="1"/>
    <col min="8195" max="8195" width="3.08984375" style="27" customWidth="1"/>
    <col min="8196" max="8196" width="12.90625" style="27" customWidth="1"/>
    <col min="8197" max="8197" width="11.08984375" style="27" customWidth="1"/>
    <col min="8198" max="8198" width="12.26953125" style="27" customWidth="1"/>
    <col min="8199" max="8199" width="11.90625" style="27" customWidth="1"/>
    <col min="8200" max="8200" width="9.36328125" style="27" customWidth="1"/>
    <col min="8201" max="8201" width="11.08984375" style="27" customWidth="1"/>
    <col min="8202" max="8202" width="10.453125" style="27" customWidth="1"/>
    <col min="8203" max="8203" width="9.7265625" style="27" customWidth="1"/>
    <col min="8204" max="8448" width="9" style="27"/>
    <col min="8449" max="8449" width="3.08984375" style="27" customWidth="1"/>
    <col min="8450" max="8450" width="4.6328125" style="27" customWidth="1"/>
    <col min="8451" max="8451" width="3.08984375" style="27" customWidth="1"/>
    <col min="8452" max="8452" width="12.90625" style="27" customWidth="1"/>
    <col min="8453" max="8453" width="11.08984375" style="27" customWidth="1"/>
    <col min="8454" max="8454" width="12.26953125" style="27" customWidth="1"/>
    <col min="8455" max="8455" width="11.90625" style="27" customWidth="1"/>
    <col min="8456" max="8456" width="9.36328125" style="27" customWidth="1"/>
    <col min="8457" max="8457" width="11.08984375" style="27" customWidth="1"/>
    <col min="8458" max="8458" width="10.453125" style="27" customWidth="1"/>
    <col min="8459" max="8459" width="9.7265625" style="27" customWidth="1"/>
    <col min="8460" max="8704" width="9" style="27"/>
    <col min="8705" max="8705" width="3.08984375" style="27" customWidth="1"/>
    <col min="8706" max="8706" width="4.6328125" style="27" customWidth="1"/>
    <col min="8707" max="8707" width="3.08984375" style="27" customWidth="1"/>
    <col min="8708" max="8708" width="12.90625" style="27" customWidth="1"/>
    <col min="8709" max="8709" width="11.08984375" style="27" customWidth="1"/>
    <col min="8710" max="8710" width="12.26953125" style="27" customWidth="1"/>
    <col min="8711" max="8711" width="11.90625" style="27" customWidth="1"/>
    <col min="8712" max="8712" width="9.36328125" style="27" customWidth="1"/>
    <col min="8713" max="8713" width="11.08984375" style="27" customWidth="1"/>
    <col min="8714" max="8714" width="10.453125" style="27" customWidth="1"/>
    <col min="8715" max="8715" width="9.7265625" style="27" customWidth="1"/>
    <col min="8716" max="8960" width="9" style="27"/>
    <col min="8961" max="8961" width="3.08984375" style="27" customWidth="1"/>
    <col min="8962" max="8962" width="4.6328125" style="27" customWidth="1"/>
    <col min="8963" max="8963" width="3.08984375" style="27" customWidth="1"/>
    <col min="8964" max="8964" width="12.90625" style="27" customWidth="1"/>
    <col min="8965" max="8965" width="11.08984375" style="27" customWidth="1"/>
    <col min="8966" max="8966" width="12.26953125" style="27" customWidth="1"/>
    <col min="8967" max="8967" width="11.90625" style="27" customWidth="1"/>
    <col min="8968" max="8968" width="9.36328125" style="27" customWidth="1"/>
    <col min="8969" max="8969" width="11.08984375" style="27" customWidth="1"/>
    <col min="8970" max="8970" width="10.453125" style="27" customWidth="1"/>
    <col min="8971" max="8971" width="9.7265625" style="27" customWidth="1"/>
    <col min="8972" max="9216" width="9" style="27"/>
    <col min="9217" max="9217" width="3.08984375" style="27" customWidth="1"/>
    <col min="9218" max="9218" width="4.6328125" style="27" customWidth="1"/>
    <col min="9219" max="9219" width="3.08984375" style="27" customWidth="1"/>
    <col min="9220" max="9220" width="12.90625" style="27" customWidth="1"/>
    <col min="9221" max="9221" width="11.08984375" style="27" customWidth="1"/>
    <col min="9222" max="9222" width="12.26953125" style="27" customWidth="1"/>
    <col min="9223" max="9223" width="11.90625" style="27" customWidth="1"/>
    <col min="9224" max="9224" width="9.36328125" style="27" customWidth="1"/>
    <col min="9225" max="9225" width="11.08984375" style="27" customWidth="1"/>
    <col min="9226" max="9226" width="10.453125" style="27" customWidth="1"/>
    <col min="9227" max="9227" width="9.7265625" style="27" customWidth="1"/>
    <col min="9228" max="9472" width="9" style="27"/>
    <col min="9473" max="9473" width="3.08984375" style="27" customWidth="1"/>
    <col min="9474" max="9474" width="4.6328125" style="27" customWidth="1"/>
    <col min="9475" max="9475" width="3.08984375" style="27" customWidth="1"/>
    <col min="9476" max="9476" width="12.90625" style="27" customWidth="1"/>
    <col min="9477" max="9477" width="11.08984375" style="27" customWidth="1"/>
    <col min="9478" max="9478" width="12.26953125" style="27" customWidth="1"/>
    <col min="9479" max="9479" width="11.90625" style="27" customWidth="1"/>
    <col min="9480" max="9480" width="9.36328125" style="27" customWidth="1"/>
    <col min="9481" max="9481" width="11.08984375" style="27" customWidth="1"/>
    <col min="9482" max="9482" width="10.453125" style="27" customWidth="1"/>
    <col min="9483" max="9483" width="9.7265625" style="27" customWidth="1"/>
    <col min="9484" max="9728" width="9" style="27"/>
    <col min="9729" max="9729" width="3.08984375" style="27" customWidth="1"/>
    <col min="9730" max="9730" width="4.6328125" style="27" customWidth="1"/>
    <col min="9731" max="9731" width="3.08984375" style="27" customWidth="1"/>
    <col min="9732" max="9732" width="12.90625" style="27" customWidth="1"/>
    <col min="9733" max="9733" width="11.08984375" style="27" customWidth="1"/>
    <col min="9734" max="9734" width="12.26953125" style="27" customWidth="1"/>
    <col min="9735" max="9735" width="11.90625" style="27" customWidth="1"/>
    <col min="9736" max="9736" width="9.36328125" style="27" customWidth="1"/>
    <col min="9737" max="9737" width="11.08984375" style="27" customWidth="1"/>
    <col min="9738" max="9738" width="10.453125" style="27" customWidth="1"/>
    <col min="9739" max="9739" width="9.7265625" style="27" customWidth="1"/>
    <col min="9740" max="9984" width="9" style="27"/>
    <col min="9985" max="9985" width="3.08984375" style="27" customWidth="1"/>
    <col min="9986" max="9986" width="4.6328125" style="27" customWidth="1"/>
    <col min="9987" max="9987" width="3.08984375" style="27" customWidth="1"/>
    <col min="9988" max="9988" width="12.90625" style="27" customWidth="1"/>
    <col min="9989" max="9989" width="11.08984375" style="27" customWidth="1"/>
    <col min="9990" max="9990" width="12.26953125" style="27" customWidth="1"/>
    <col min="9991" max="9991" width="11.90625" style="27" customWidth="1"/>
    <col min="9992" max="9992" width="9.36328125" style="27" customWidth="1"/>
    <col min="9993" max="9993" width="11.08984375" style="27" customWidth="1"/>
    <col min="9994" max="9994" width="10.453125" style="27" customWidth="1"/>
    <col min="9995" max="9995" width="9.7265625" style="27" customWidth="1"/>
    <col min="9996" max="10240" width="9" style="27"/>
    <col min="10241" max="10241" width="3.08984375" style="27" customWidth="1"/>
    <col min="10242" max="10242" width="4.6328125" style="27" customWidth="1"/>
    <col min="10243" max="10243" width="3.08984375" style="27" customWidth="1"/>
    <col min="10244" max="10244" width="12.90625" style="27" customWidth="1"/>
    <col min="10245" max="10245" width="11.08984375" style="27" customWidth="1"/>
    <col min="10246" max="10246" width="12.26953125" style="27" customWidth="1"/>
    <col min="10247" max="10247" width="11.90625" style="27" customWidth="1"/>
    <col min="10248" max="10248" width="9.36328125" style="27" customWidth="1"/>
    <col min="10249" max="10249" width="11.08984375" style="27" customWidth="1"/>
    <col min="10250" max="10250" width="10.453125" style="27" customWidth="1"/>
    <col min="10251" max="10251" width="9.7265625" style="27" customWidth="1"/>
    <col min="10252" max="10496" width="9" style="27"/>
    <col min="10497" max="10497" width="3.08984375" style="27" customWidth="1"/>
    <col min="10498" max="10498" width="4.6328125" style="27" customWidth="1"/>
    <col min="10499" max="10499" width="3.08984375" style="27" customWidth="1"/>
    <col min="10500" max="10500" width="12.90625" style="27" customWidth="1"/>
    <col min="10501" max="10501" width="11.08984375" style="27" customWidth="1"/>
    <col min="10502" max="10502" width="12.26953125" style="27" customWidth="1"/>
    <col min="10503" max="10503" width="11.90625" style="27" customWidth="1"/>
    <col min="10504" max="10504" width="9.36328125" style="27" customWidth="1"/>
    <col min="10505" max="10505" width="11.08984375" style="27" customWidth="1"/>
    <col min="10506" max="10506" width="10.453125" style="27" customWidth="1"/>
    <col min="10507" max="10507" width="9.7265625" style="27" customWidth="1"/>
    <col min="10508" max="10752" width="9" style="27"/>
    <col min="10753" max="10753" width="3.08984375" style="27" customWidth="1"/>
    <col min="10754" max="10754" width="4.6328125" style="27" customWidth="1"/>
    <col min="10755" max="10755" width="3.08984375" style="27" customWidth="1"/>
    <col min="10756" max="10756" width="12.90625" style="27" customWidth="1"/>
    <col min="10757" max="10757" width="11.08984375" style="27" customWidth="1"/>
    <col min="10758" max="10758" width="12.26953125" style="27" customWidth="1"/>
    <col min="10759" max="10759" width="11.90625" style="27" customWidth="1"/>
    <col min="10760" max="10760" width="9.36328125" style="27" customWidth="1"/>
    <col min="10761" max="10761" width="11.08984375" style="27" customWidth="1"/>
    <col min="10762" max="10762" width="10.453125" style="27" customWidth="1"/>
    <col min="10763" max="10763" width="9.7265625" style="27" customWidth="1"/>
    <col min="10764" max="11008" width="9" style="27"/>
    <col min="11009" max="11009" width="3.08984375" style="27" customWidth="1"/>
    <col min="11010" max="11010" width="4.6328125" style="27" customWidth="1"/>
    <col min="11011" max="11011" width="3.08984375" style="27" customWidth="1"/>
    <col min="11012" max="11012" width="12.90625" style="27" customWidth="1"/>
    <col min="11013" max="11013" width="11.08984375" style="27" customWidth="1"/>
    <col min="11014" max="11014" width="12.26953125" style="27" customWidth="1"/>
    <col min="11015" max="11015" width="11.90625" style="27" customWidth="1"/>
    <col min="11016" max="11016" width="9.36328125" style="27" customWidth="1"/>
    <col min="11017" max="11017" width="11.08984375" style="27" customWidth="1"/>
    <col min="11018" max="11018" width="10.453125" style="27" customWidth="1"/>
    <col min="11019" max="11019" width="9.7265625" style="27" customWidth="1"/>
    <col min="11020" max="11264" width="9" style="27"/>
    <col min="11265" max="11265" width="3.08984375" style="27" customWidth="1"/>
    <col min="11266" max="11266" width="4.6328125" style="27" customWidth="1"/>
    <col min="11267" max="11267" width="3.08984375" style="27" customWidth="1"/>
    <col min="11268" max="11268" width="12.90625" style="27" customWidth="1"/>
    <col min="11269" max="11269" width="11.08984375" style="27" customWidth="1"/>
    <col min="11270" max="11270" width="12.26953125" style="27" customWidth="1"/>
    <col min="11271" max="11271" width="11.90625" style="27" customWidth="1"/>
    <col min="11272" max="11272" width="9.36328125" style="27" customWidth="1"/>
    <col min="11273" max="11273" width="11.08984375" style="27" customWidth="1"/>
    <col min="11274" max="11274" width="10.453125" style="27" customWidth="1"/>
    <col min="11275" max="11275" width="9.7265625" style="27" customWidth="1"/>
    <col min="11276" max="11520" width="9" style="27"/>
    <col min="11521" max="11521" width="3.08984375" style="27" customWidth="1"/>
    <col min="11522" max="11522" width="4.6328125" style="27" customWidth="1"/>
    <col min="11523" max="11523" width="3.08984375" style="27" customWidth="1"/>
    <col min="11524" max="11524" width="12.90625" style="27" customWidth="1"/>
    <col min="11525" max="11525" width="11.08984375" style="27" customWidth="1"/>
    <col min="11526" max="11526" width="12.26953125" style="27" customWidth="1"/>
    <col min="11527" max="11527" width="11.90625" style="27" customWidth="1"/>
    <col min="11528" max="11528" width="9.36328125" style="27" customWidth="1"/>
    <col min="11529" max="11529" width="11.08984375" style="27" customWidth="1"/>
    <col min="11530" max="11530" width="10.453125" style="27" customWidth="1"/>
    <col min="11531" max="11531" width="9.7265625" style="27" customWidth="1"/>
    <col min="11532" max="11776" width="9" style="27"/>
    <col min="11777" max="11777" width="3.08984375" style="27" customWidth="1"/>
    <col min="11778" max="11778" width="4.6328125" style="27" customWidth="1"/>
    <col min="11779" max="11779" width="3.08984375" style="27" customWidth="1"/>
    <col min="11780" max="11780" width="12.90625" style="27" customWidth="1"/>
    <col min="11781" max="11781" width="11.08984375" style="27" customWidth="1"/>
    <col min="11782" max="11782" width="12.26953125" style="27" customWidth="1"/>
    <col min="11783" max="11783" width="11.90625" style="27" customWidth="1"/>
    <col min="11784" max="11784" width="9.36328125" style="27" customWidth="1"/>
    <col min="11785" max="11785" width="11.08984375" style="27" customWidth="1"/>
    <col min="11786" max="11786" width="10.453125" style="27" customWidth="1"/>
    <col min="11787" max="11787" width="9.7265625" style="27" customWidth="1"/>
    <col min="11788" max="12032" width="9" style="27"/>
    <col min="12033" max="12033" width="3.08984375" style="27" customWidth="1"/>
    <col min="12034" max="12034" width="4.6328125" style="27" customWidth="1"/>
    <col min="12035" max="12035" width="3.08984375" style="27" customWidth="1"/>
    <col min="12036" max="12036" width="12.90625" style="27" customWidth="1"/>
    <col min="12037" max="12037" width="11.08984375" style="27" customWidth="1"/>
    <col min="12038" max="12038" width="12.26953125" style="27" customWidth="1"/>
    <col min="12039" max="12039" width="11.90625" style="27" customWidth="1"/>
    <col min="12040" max="12040" width="9.36328125" style="27" customWidth="1"/>
    <col min="12041" max="12041" width="11.08984375" style="27" customWidth="1"/>
    <col min="12042" max="12042" width="10.453125" style="27" customWidth="1"/>
    <col min="12043" max="12043" width="9.7265625" style="27" customWidth="1"/>
    <col min="12044" max="12288" width="9" style="27"/>
    <col min="12289" max="12289" width="3.08984375" style="27" customWidth="1"/>
    <col min="12290" max="12290" width="4.6328125" style="27" customWidth="1"/>
    <col min="12291" max="12291" width="3.08984375" style="27" customWidth="1"/>
    <col min="12292" max="12292" width="12.90625" style="27" customWidth="1"/>
    <col min="12293" max="12293" width="11.08984375" style="27" customWidth="1"/>
    <col min="12294" max="12294" width="12.26953125" style="27" customWidth="1"/>
    <col min="12295" max="12295" width="11.90625" style="27" customWidth="1"/>
    <col min="12296" max="12296" width="9.36328125" style="27" customWidth="1"/>
    <col min="12297" max="12297" width="11.08984375" style="27" customWidth="1"/>
    <col min="12298" max="12298" width="10.453125" style="27" customWidth="1"/>
    <col min="12299" max="12299" width="9.7265625" style="27" customWidth="1"/>
    <col min="12300" max="12544" width="9" style="27"/>
    <col min="12545" max="12545" width="3.08984375" style="27" customWidth="1"/>
    <col min="12546" max="12546" width="4.6328125" style="27" customWidth="1"/>
    <col min="12547" max="12547" width="3.08984375" style="27" customWidth="1"/>
    <col min="12548" max="12548" width="12.90625" style="27" customWidth="1"/>
    <col min="12549" max="12549" width="11.08984375" style="27" customWidth="1"/>
    <col min="12550" max="12550" width="12.26953125" style="27" customWidth="1"/>
    <col min="12551" max="12551" width="11.90625" style="27" customWidth="1"/>
    <col min="12552" max="12552" width="9.36328125" style="27" customWidth="1"/>
    <col min="12553" max="12553" width="11.08984375" style="27" customWidth="1"/>
    <col min="12554" max="12554" width="10.453125" style="27" customWidth="1"/>
    <col min="12555" max="12555" width="9.7265625" style="27" customWidth="1"/>
    <col min="12556" max="12800" width="9" style="27"/>
    <col min="12801" max="12801" width="3.08984375" style="27" customWidth="1"/>
    <col min="12802" max="12802" width="4.6328125" style="27" customWidth="1"/>
    <col min="12803" max="12803" width="3.08984375" style="27" customWidth="1"/>
    <col min="12804" max="12804" width="12.90625" style="27" customWidth="1"/>
    <col min="12805" max="12805" width="11.08984375" style="27" customWidth="1"/>
    <col min="12806" max="12806" width="12.26953125" style="27" customWidth="1"/>
    <col min="12807" max="12807" width="11.90625" style="27" customWidth="1"/>
    <col min="12808" max="12808" width="9.36328125" style="27" customWidth="1"/>
    <col min="12809" max="12809" width="11.08984375" style="27" customWidth="1"/>
    <col min="12810" max="12810" width="10.453125" style="27" customWidth="1"/>
    <col min="12811" max="12811" width="9.7265625" style="27" customWidth="1"/>
    <col min="12812" max="13056" width="9" style="27"/>
    <col min="13057" max="13057" width="3.08984375" style="27" customWidth="1"/>
    <col min="13058" max="13058" width="4.6328125" style="27" customWidth="1"/>
    <col min="13059" max="13059" width="3.08984375" style="27" customWidth="1"/>
    <col min="13060" max="13060" width="12.90625" style="27" customWidth="1"/>
    <col min="13061" max="13061" width="11.08984375" style="27" customWidth="1"/>
    <col min="13062" max="13062" width="12.26953125" style="27" customWidth="1"/>
    <col min="13063" max="13063" width="11.90625" style="27" customWidth="1"/>
    <col min="13064" max="13064" width="9.36328125" style="27" customWidth="1"/>
    <col min="13065" max="13065" width="11.08984375" style="27" customWidth="1"/>
    <col min="13066" max="13066" width="10.453125" style="27" customWidth="1"/>
    <col min="13067" max="13067" width="9.7265625" style="27" customWidth="1"/>
    <col min="13068" max="13312" width="9" style="27"/>
    <col min="13313" max="13313" width="3.08984375" style="27" customWidth="1"/>
    <col min="13314" max="13314" width="4.6328125" style="27" customWidth="1"/>
    <col min="13315" max="13315" width="3.08984375" style="27" customWidth="1"/>
    <col min="13316" max="13316" width="12.90625" style="27" customWidth="1"/>
    <col min="13317" max="13317" width="11.08984375" style="27" customWidth="1"/>
    <col min="13318" max="13318" width="12.26953125" style="27" customWidth="1"/>
    <col min="13319" max="13319" width="11.90625" style="27" customWidth="1"/>
    <col min="13320" max="13320" width="9.36328125" style="27" customWidth="1"/>
    <col min="13321" max="13321" width="11.08984375" style="27" customWidth="1"/>
    <col min="13322" max="13322" width="10.453125" style="27" customWidth="1"/>
    <col min="13323" max="13323" width="9.7265625" style="27" customWidth="1"/>
    <col min="13324" max="13568" width="9" style="27"/>
    <col min="13569" max="13569" width="3.08984375" style="27" customWidth="1"/>
    <col min="13570" max="13570" width="4.6328125" style="27" customWidth="1"/>
    <col min="13571" max="13571" width="3.08984375" style="27" customWidth="1"/>
    <col min="13572" max="13572" width="12.90625" style="27" customWidth="1"/>
    <col min="13573" max="13573" width="11.08984375" style="27" customWidth="1"/>
    <col min="13574" max="13574" width="12.26953125" style="27" customWidth="1"/>
    <col min="13575" max="13575" width="11.90625" style="27" customWidth="1"/>
    <col min="13576" max="13576" width="9.36328125" style="27" customWidth="1"/>
    <col min="13577" max="13577" width="11.08984375" style="27" customWidth="1"/>
    <col min="13578" max="13578" width="10.453125" style="27" customWidth="1"/>
    <col min="13579" max="13579" width="9.7265625" style="27" customWidth="1"/>
    <col min="13580" max="13824" width="9" style="27"/>
    <col min="13825" max="13825" width="3.08984375" style="27" customWidth="1"/>
    <col min="13826" max="13826" width="4.6328125" style="27" customWidth="1"/>
    <col min="13827" max="13827" width="3.08984375" style="27" customWidth="1"/>
    <col min="13828" max="13828" width="12.90625" style="27" customWidth="1"/>
    <col min="13829" max="13829" width="11.08984375" style="27" customWidth="1"/>
    <col min="13830" max="13830" width="12.26953125" style="27" customWidth="1"/>
    <col min="13831" max="13831" width="11.90625" style="27" customWidth="1"/>
    <col min="13832" max="13832" width="9.36328125" style="27" customWidth="1"/>
    <col min="13833" max="13833" width="11.08984375" style="27" customWidth="1"/>
    <col min="13834" max="13834" width="10.453125" style="27" customWidth="1"/>
    <col min="13835" max="13835" width="9.7265625" style="27" customWidth="1"/>
    <col min="13836" max="14080" width="9" style="27"/>
    <col min="14081" max="14081" width="3.08984375" style="27" customWidth="1"/>
    <col min="14082" max="14082" width="4.6328125" style="27" customWidth="1"/>
    <col min="14083" max="14083" width="3.08984375" style="27" customWidth="1"/>
    <col min="14084" max="14084" width="12.90625" style="27" customWidth="1"/>
    <col min="14085" max="14085" width="11.08984375" style="27" customWidth="1"/>
    <col min="14086" max="14086" width="12.26953125" style="27" customWidth="1"/>
    <col min="14087" max="14087" width="11.90625" style="27" customWidth="1"/>
    <col min="14088" max="14088" width="9.36328125" style="27" customWidth="1"/>
    <col min="14089" max="14089" width="11.08984375" style="27" customWidth="1"/>
    <col min="14090" max="14090" width="10.453125" style="27" customWidth="1"/>
    <col min="14091" max="14091" width="9.7265625" style="27" customWidth="1"/>
    <col min="14092" max="14336" width="9" style="27"/>
    <col min="14337" max="14337" width="3.08984375" style="27" customWidth="1"/>
    <col min="14338" max="14338" width="4.6328125" style="27" customWidth="1"/>
    <col min="14339" max="14339" width="3.08984375" style="27" customWidth="1"/>
    <col min="14340" max="14340" width="12.90625" style="27" customWidth="1"/>
    <col min="14341" max="14341" width="11.08984375" style="27" customWidth="1"/>
    <col min="14342" max="14342" width="12.26953125" style="27" customWidth="1"/>
    <col min="14343" max="14343" width="11.90625" style="27" customWidth="1"/>
    <col min="14344" max="14344" width="9.36328125" style="27" customWidth="1"/>
    <col min="14345" max="14345" width="11.08984375" style="27" customWidth="1"/>
    <col min="14346" max="14346" width="10.453125" style="27" customWidth="1"/>
    <col min="14347" max="14347" width="9.7265625" style="27" customWidth="1"/>
    <col min="14348" max="14592" width="9" style="27"/>
    <col min="14593" max="14593" width="3.08984375" style="27" customWidth="1"/>
    <col min="14594" max="14594" width="4.6328125" style="27" customWidth="1"/>
    <col min="14595" max="14595" width="3.08984375" style="27" customWidth="1"/>
    <col min="14596" max="14596" width="12.90625" style="27" customWidth="1"/>
    <col min="14597" max="14597" width="11.08984375" style="27" customWidth="1"/>
    <col min="14598" max="14598" width="12.26953125" style="27" customWidth="1"/>
    <col min="14599" max="14599" width="11.90625" style="27" customWidth="1"/>
    <col min="14600" max="14600" width="9.36328125" style="27" customWidth="1"/>
    <col min="14601" max="14601" width="11.08984375" style="27" customWidth="1"/>
    <col min="14602" max="14602" width="10.453125" style="27" customWidth="1"/>
    <col min="14603" max="14603" width="9.7265625" style="27" customWidth="1"/>
    <col min="14604" max="14848" width="9" style="27"/>
    <col min="14849" max="14849" width="3.08984375" style="27" customWidth="1"/>
    <col min="14850" max="14850" width="4.6328125" style="27" customWidth="1"/>
    <col min="14851" max="14851" width="3.08984375" style="27" customWidth="1"/>
    <col min="14852" max="14852" width="12.90625" style="27" customWidth="1"/>
    <col min="14853" max="14853" width="11.08984375" style="27" customWidth="1"/>
    <col min="14854" max="14854" width="12.26953125" style="27" customWidth="1"/>
    <col min="14855" max="14855" width="11.90625" style="27" customWidth="1"/>
    <col min="14856" max="14856" width="9.36328125" style="27" customWidth="1"/>
    <col min="14857" max="14857" width="11.08984375" style="27" customWidth="1"/>
    <col min="14858" max="14858" width="10.453125" style="27" customWidth="1"/>
    <col min="14859" max="14859" width="9.7265625" style="27" customWidth="1"/>
    <col min="14860" max="15104" width="9" style="27"/>
    <col min="15105" max="15105" width="3.08984375" style="27" customWidth="1"/>
    <col min="15106" max="15106" width="4.6328125" style="27" customWidth="1"/>
    <col min="15107" max="15107" width="3.08984375" style="27" customWidth="1"/>
    <col min="15108" max="15108" width="12.90625" style="27" customWidth="1"/>
    <col min="15109" max="15109" width="11.08984375" style="27" customWidth="1"/>
    <col min="15110" max="15110" width="12.26953125" style="27" customWidth="1"/>
    <col min="15111" max="15111" width="11.90625" style="27" customWidth="1"/>
    <col min="15112" max="15112" width="9.36328125" style="27" customWidth="1"/>
    <col min="15113" max="15113" width="11.08984375" style="27" customWidth="1"/>
    <col min="15114" max="15114" width="10.453125" style="27" customWidth="1"/>
    <col min="15115" max="15115" width="9.7265625" style="27" customWidth="1"/>
    <col min="15116" max="15360" width="9" style="27"/>
    <col min="15361" max="15361" width="3.08984375" style="27" customWidth="1"/>
    <col min="15362" max="15362" width="4.6328125" style="27" customWidth="1"/>
    <col min="15363" max="15363" width="3.08984375" style="27" customWidth="1"/>
    <col min="15364" max="15364" width="12.90625" style="27" customWidth="1"/>
    <col min="15365" max="15365" width="11.08984375" style="27" customWidth="1"/>
    <col min="15366" max="15366" width="12.26953125" style="27" customWidth="1"/>
    <col min="15367" max="15367" width="11.90625" style="27" customWidth="1"/>
    <col min="15368" max="15368" width="9.36328125" style="27" customWidth="1"/>
    <col min="15369" max="15369" width="11.08984375" style="27" customWidth="1"/>
    <col min="15370" max="15370" width="10.453125" style="27" customWidth="1"/>
    <col min="15371" max="15371" width="9.7265625" style="27" customWidth="1"/>
    <col min="15372" max="15616" width="9" style="27"/>
    <col min="15617" max="15617" width="3.08984375" style="27" customWidth="1"/>
    <col min="15618" max="15618" width="4.6328125" style="27" customWidth="1"/>
    <col min="15619" max="15619" width="3.08984375" style="27" customWidth="1"/>
    <col min="15620" max="15620" width="12.90625" style="27" customWidth="1"/>
    <col min="15621" max="15621" width="11.08984375" style="27" customWidth="1"/>
    <col min="15622" max="15622" width="12.26953125" style="27" customWidth="1"/>
    <col min="15623" max="15623" width="11.90625" style="27" customWidth="1"/>
    <col min="15624" max="15624" width="9.36328125" style="27" customWidth="1"/>
    <col min="15625" max="15625" width="11.08984375" style="27" customWidth="1"/>
    <col min="15626" max="15626" width="10.453125" style="27" customWidth="1"/>
    <col min="15627" max="15627" width="9.7265625" style="27" customWidth="1"/>
    <col min="15628" max="15872" width="9" style="27"/>
    <col min="15873" max="15873" width="3.08984375" style="27" customWidth="1"/>
    <col min="15874" max="15874" width="4.6328125" style="27" customWidth="1"/>
    <col min="15875" max="15875" width="3.08984375" style="27" customWidth="1"/>
    <col min="15876" max="15876" width="12.90625" style="27" customWidth="1"/>
    <col min="15877" max="15877" width="11.08984375" style="27" customWidth="1"/>
    <col min="15878" max="15878" width="12.26953125" style="27" customWidth="1"/>
    <col min="15879" max="15879" width="11.90625" style="27" customWidth="1"/>
    <col min="15880" max="15880" width="9.36328125" style="27" customWidth="1"/>
    <col min="15881" max="15881" width="11.08984375" style="27" customWidth="1"/>
    <col min="15882" max="15882" width="10.453125" style="27" customWidth="1"/>
    <col min="15883" max="15883" width="9.7265625" style="27" customWidth="1"/>
    <col min="15884" max="16128" width="9" style="27"/>
    <col min="16129" max="16129" width="3.08984375" style="27" customWidth="1"/>
    <col min="16130" max="16130" width="4.6328125" style="27" customWidth="1"/>
    <col min="16131" max="16131" width="3.08984375" style="27" customWidth="1"/>
    <col min="16132" max="16132" width="12.90625" style="27" customWidth="1"/>
    <col min="16133" max="16133" width="11.08984375" style="27" customWidth="1"/>
    <col min="16134" max="16134" width="12.26953125" style="27" customWidth="1"/>
    <col min="16135" max="16135" width="11.90625" style="27" customWidth="1"/>
    <col min="16136" max="16136" width="9.36328125" style="27" customWidth="1"/>
    <col min="16137" max="16137" width="11.08984375" style="27" customWidth="1"/>
    <col min="16138" max="16138" width="10.453125" style="27" customWidth="1"/>
    <col min="16139" max="16139" width="9.7265625" style="27" customWidth="1"/>
    <col min="16140" max="16384" width="9" style="27"/>
  </cols>
  <sheetData>
    <row r="1" spans="1:41">
      <c r="A1" s="295" t="s">
        <v>145</v>
      </c>
    </row>
    <row r="2" spans="1:41" s="52" customFormat="1" ht="24" customHeight="1" thickBot="1">
      <c r="A2" s="51"/>
      <c r="B2" s="448" t="s">
        <v>160</v>
      </c>
      <c r="C2" s="448"/>
      <c r="D2" s="448"/>
      <c r="E2" s="448"/>
      <c r="F2" s="448"/>
      <c r="G2" s="448"/>
      <c r="H2" s="448"/>
      <c r="I2" s="448"/>
      <c r="J2" s="448"/>
      <c r="K2" s="448"/>
    </row>
    <row r="3" spans="1:41" s="52" customFormat="1" ht="13.5" customHeight="1" thickTop="1">
      <c r="A3" s="53"/>
      <c r="B3" s="54"/>
      <c r="C3" s="55"/>
      <c r="D3" s="55"/>
      <c r="E3" s="55"/>
      <c r="F3" s="55"/>
      <c r="G3" s="55"/>
      <c r="H3" s="55"/>
      <c r="I3" s="55"/>
      <c r="J3" s="55"/>
    </row>
    <row r="4" spans="1:41" s="52" customFormat="1" ht="13.5" customHeight="1">
      <c r="A4" s="53"/>
      <c r="B4" s="56" t="s">
        <v>161</v>
      </c>
      <c r="C4" s="57"/>
      <c r="D4" s="58" t="s">
        <v>162</v>
      </c>
      <c r="E4" s="59" t="s">
        <v>163</v>
      </c>
      <c r="F4" s="60" t="s">
        <v>164</v>
      </c>
      <c r="G4" s="61" t="s">
        <v>165</v>
      </c>
      <c r="H4" s="61" t="s">
        <v>166</v>
      </c>
      <c r="I4" s="61" t="s">
        <v>167</v>
      </c>
    </row>
    <row r="5" spans="1:41" s="52" customFormat="1" ht="13.5" customHeight="1">
      <c r="A5" s="53"/>
      <c r="B5" s="56"/>
      <c r="C5" s="62"/>
      <c r="D5" s="63"/>
      <c r="E5" s="63"/>
      <c r="F5" s="63"/>
      <c r="G5" s="64"/>
      <c r="H5" s="65"/>
      <c r="I5" s="65"/>
    </row>
    <row r="6" spans="1:41" s="52" customFormat="1" ht="13.5" customHeight="1">
      <c r="A6" s="53"/>
      <c r="B6" s="56"/>
      <c r="C6" s="62"/>
      <c r="D6" s="63"/>
      <c r="E6" s="63"/>
      <c r="F6" s="63"/>
      <c r="G6" s="64"/>
      <c r="H6" s="65"/>
      <c r="I6" s="65"/>
    </row>
    <row r="7" spans="1:41" s="52" customFormat="1" ht="13.5" customHeight="1">
      <c r="A7" s="53"/>
      <c r="B7" s="56"/>
      <c r="C7" s="62"/>
      <c r="D7" s="63"/>
      <c r="E7" s="63"/>
      <c r="F7" s="63"/>
      <c r="G7" s="64"/>
      <c r="H7" s="65"/>
      <c r="I7" s="65"/>
    </row>
    <row r="8" spans="1:41" s="52" customFormat="1" ht="13.5" customHeight="1">
      <c r="A8" s="53"/>
      <c r="B8" s="56"/>
      <c r="C8" s="62"/>
      <c r="D8" s="63"/>
      <c r="E8" s="63"/>
      <c r="F8" s="63"/>
      <c r="G8" s="64"/>
      <c r="H8" s="65"/>
      <c r="I8" s="65"/>
    </row>
    <row r="9" spans="1:41" ht="13.5" customHeight="1">
      <c r="B9" s="33"/>
      <c r="C9" s="33"/>
      <c r="D9" s="33"/>
      <c r="E9" s="34"/>
    </row>
    <row r="11" spans="1:41" ht="19.5" customHeight="1">
      <c r="B11" s="66"/>
      <c r="C11" s="67"/>
      <c r="D11" s="449" t="s">
        <v>436</v>
      </c>
      <c r="E11" s="450"/>
      <c r="F11" s="450"/>
      <c r="G11" s="451"/>
      <c r="H11" s="451"/>
      <c r="I11" s="451"/>
      <c r="J11" s="451"/>
      <c r="K11" s="451"/>
      <c r="L11" s="451"/>
      <c r="M11" s="451"/>
      <c r="N11" s="451"/>
      <c r="O11" s="451"/>
      <c r="P11" s="451"/>
      <c r="Q11" s="451"/>
      <c r="R11" s="451"/>
      <c r="S11" s="451"/>
      <c r="T11" s="451"/>
      <c r="U11" s="451"/>
      <c r="V11" s="451"/>
      <c r="W11" s="451"/>
      <c r="X11" s="451"/>
      <c r="Y11" s="452"/>
      <c r="Z11" s="68"/>
      <c r="AA11" s="68"/>
      <c r="AB11" s="68"/>
      <c r="AC11" s="68"/>
      <c r="AD11" s="68"/>
      <c r="AE11" s="306"/>
      <c r="AF11" s="303"/>
      <c r="AH11" s="69"/>
      <c r="AI11" s="69"/>
      <c r="AJ11" s="69"/>
      <c r="AK11" s="69"/>
      <c r="AL11" s="69"/>
      <c r="AM11" s="70"/>
      <c r="AN11" s="70"/>
      <c r="AO11" s="70"/>
    </row>
    <row r="12" spans="1:41" s="72" customFormat="1" ht="16.5" customHeight="1">
      <c r="A12" s="453" t="s">
        <v>168</v>
      </c>
      <c r="B12" s="453"/>
      <c r="C12" s="454"/>
      <c r="D12" s="322"/>
      <c r="E12" s="322"/>
      <c r="F12" s="322"/>
      <c r="G12" s="319" t="s">
        <v>169</v>
      </c>
      <c r="H12" s="319" t="s">
        <v>169</v>
      </c>
      <c r="I12" s="319"/>
      <c r="J12" s="319" t="s">
        <v>169</v>
      </c>
      <c r="K12" s="319"/>
      <c r="L12" s="319"/>
      <c r="M12" s="319"/>
      <c r="N12" s="319"/>
      <c r="O12" s="319"/>
      <c r="P12" s="319"/>
      <c r="Q12" s="319"/>
      <c r="R12" s="319"/>
      <c r="S12" s="319"/>
      <c r="T12" s="319"/>
      <c r="U12" s="319"/>
      <c r="V12" s="319"/>
      <c r="W12" s="319"/>
      <c r="X12" s="319"/>
      <c r="Y12" s="319"/>
      <c r="Z12" s="319"/>
      <c r="AA12" s="319"/>
      <c r="AB12" s="319"/>
      <c r="AC12" s="319"/>
      <c r="AD12" s="319"/>
      <c r="AE12" s="319"/>
      <c r="AF12" s="304"/>
      <c r="AG12" s="71"/>
      <c r="AH12" s="71"/>
      <c r="AI12" s="71"/>
      <c r="AJ12" s="71"/>
      <c r="AK12" s="71"/>
      <c r="AL12" s="71"/>
    </row>
    <row r="13" spans="1:41" s="78" customFormat="1" ht="92" customHeight="1">
      <c r="A13" s="73"/>
      <c r="B13" s="74" t="s">
        <v>170</v>
      </c>
      <c r="C13" s="75" t="s">
        <v>171</v>
      </c>
      <c r="D13" s="312" t="s">
        <v>172</v>
      </c>
      <c r="E13" s="312" t="s">
        <v>173</v>
      </c>
      <c r="F13" s="312" t="s">
        <v>174</v>
      </c>
      <c r="G13" s="314" t="s">
        <v>91</v>
      </c>
      <c r="H13" s="314" t="s">
        <v>67</v>
      </c>
      <c r="I13" s="314" t="s">
        <v>457</v>
      </c>
      <c r="J13" s="314" t="s">
        <v>69</v>
      </c>
      <c r="K13" s="314" t="s">
        <v>458</v>
      </c>
      <c r="L13" s="314" t="s">
        <v>459</v>
      </c>
      <c r="M13" s="314" t="s">
        <v>460</v>
      </c>
      <c r="N13" s="314" t="s">
        <v>461</v>
      </c>
      <c r="O13" s="314" t="s">
        <v>462</v>
      </c>
      <c r="P13" s="314" t="s">
        <v>463</v>
      </c>
      <c r="Q13" s="314" t="s">
        <v>464</v>
      </c>
      <c r="R13" s="314" t="s">
        <v>465</v>
      </c>
      <c r="S13" s="314" t="s">
        <v>466</v>
      </c>
      <c r="T13" s="314" t="s">
        <v>467</v>
      </c>
      <c r="U13" s="314" t="s">
        <v>468</v>
      </c>
      <c r="V13" s="314" t="s">
        <v>469</v>
      </c>
      <c r="W13" s="314" t="s">
        <v>470</v>
      </c>
      <c r="X13" s="314" t="s">
        <v>471</v>
      </c>
      <c r="Y13" s="314" t="s">
        <v>397</v>
      </c>
      <c r="Z13" s="314" t="s">
        <v>398</v>
      </c>
      <c r="AA13" s="314" t="s">
        <v>399</v>
      </c>
      <c r="AB13" s="314" t="s">
        <v>400</v>
      </c>
      <c r="AC13" s="314" t="s">
        <v>151</v>
      </c>
      <c r="AD13" s="314" t="s">
        <v>152</v>
      </c>
      <c r="AE13" s="314" t="s">
        <v>401</v>
      </c>
      <c r="AF13" s="305"/>
      <c r="AG13" s="69"/>
      <c r="AH13" s="76"/>
      <c r="AI13" s="76"/>
      <c r="AJ13" s="76"/>
      <c r="AK13" s="76"/>
      <c r="AL13" s="76"/>
      <c r="AM13" s="77"/>
      <c r="AN13" s="77"/>
      <c r="AO13" s="77"/>
    </row>
    <row r="14" spans="1:41" s="78" customFormat="1">
      <c r="A14" s="73"/>
      <c r="B14" s="74"/>
      <c r="C14" s="318"/>
      <c r="D14" s="312" t="s">
        <v>371</v>
      </c>
      <c r="E14" s="312" t="s">
        <v>381</v>
      </c>
      <c r="F14" s="312" t="s">
        <v>390</v>
      </c>
      <c r="G14" s="313" t="s">
        <v>418</v>
      </c>
      <c r="H14" s="313" t="s">
        <v>419</v>
      </c>
      <c r="I14" s="313" t="s">
        <v>816</v>
      </c>
      <c r="J14" s="313" t="s">
        <v>421</v>
      </c>
      <c r="K14" s="313" t="s">
        <v>422</v>
      </c>
      <c r="L14" s="313" t="s">
        <v>423</v>
      </c>
      <c r="M14" s="313" t="s">
        <v>424</v>
      </c>
      <c r="N14" s="313" t="s">
        <v>425</v>
      </c>
      <c r="O14" s="313" t="s">
        <v>426</v>
      </c>
      <c r="P14" s="313" t="s">
        <v>427</v>
      </c>
      <c r="Q14" s="313" t="s">
        <v>428</v>
      </c>
      <c r="R14" s="313" t="s">
        <v>429</v>
      </c>
      <c r="S14" s="313" t="s">
        <v>430</v>
      </c>
      <c r="T14" s="313" t="s">
        <v>431</v>
      </c>
      <c r="U14" s="313" t="s">
        <v>432</v>
      </c>
      <c r="V14" s="313" t="s">
        <v>433</v>
      </c>
      <c r="W14" s="313" t="s">
        <v>434</v>
      </c>
      <c r="X14" s="313" t="s">
        <v>435</v>
      </c>
      <c r="Y14" s="313" t="s">
        <v>403</v>
      </c>
      <c r="Z14" s="313" t="s">
        <v>404</v>
      </c>
      <c r="AA14" s="313" t="s">
        <v>405</v>
      </c>
      <c r="AB14" s="313" t="s">
        <v>406</v>
      </c>
      <c r="AC14" s="313" t="s">
        <v>407</v>
      </c>
      <c r="AD14" s="313" t="s">
        <v>408</v>
      </c>
      <c r="AE14" s="313" t="s">
        <v>409</v>
      </c>
      <c r="AF14" s="305"/>
      <c r="AG14" s="69"/>
      <c r="AH14" s="76"/>
      <c r="AI14" s="76"/>
      <c r="AJ14" s="76"/>
      <c r="AK14" s="76"/>
      <c r="AL14" s="76"/>
      <c r="AM14" s="77"/>
      <c r="AN14" s="77"/>
      <c r="AO14" s="77"/>
    </row>
    <row r="15" spans="1:41" s="70" customFormat="1" ht="13.5" customHeight="1">
      <c r="A15" s="79"/>
      <c r="B15" s="80"/>
      <c r="C15" s="81"/>
      <c r="D15" s="312" t="s">
        <v>472</v>
      </c>
      <c r="E15" s="312" t="s">
        <v>473</v>
      </c>
      <c r="F15" s="312" t="s">
        <v>473</v>
      </c>
      <c r="G15" s="314" t="s">
        <v>474</v>
      </c>
      <c r="H15" s="314" t="s">
        <v>474</v>
      </c>
      <c r="I15" s="314" t="s">
        <v>474</v>
      </c>
      <c r="J15" s="314" t="s">
        <v>475</v>
      </c>
      <c r="K15" s="314" t="s">
        <v>476</v>
      </c>
      <c r="L15" s="314" t="s">
        <v>477</v>
      </c>
      <c r="M15" s="313" t="s">
        <v>478</v>
      </c>
      <c r="N15" s="314" t="s">
        <v>478</v>
      </c>
      <c r="O15" s="314" t="s">
        <v>479</v>
      </c>
      <c r="P15" s="314" t="s">
        <v>474</v>
      </c>
      <c r="Q15" s="314" t="s">
        <v>480</v>
      </c>
      <c r="R15" s="314" t="s">
        <v>481</v>
      </c>
      <c r="S15" s="314" t="s">
        <v>480</v>
      </c>
      <c r="T15" s="314" t="s">
        <v>482</v>
      </c>
      <c r="U15" s="313" t="s">
        <v>483</v>
      </c>
      <c r="V15" s="314" t="s">
        <v>483</v>
      </c>
      <c r="W15" s="314" t="s">
        <v>484</v>
      </c>
      <c r="X15" s="314" t="s">
        <v>474</v>
      </c>
      <c r="Y15" s="314" t="s">
        <v>485</v>
      </c>
      <c r="Z15" s="314" t="s">
        <v>487</v>
      </c>
      <c r="AA15" s="314" t="s">
        <v>488</v>
      </c>
      <c r="AB15" s="314" t="s">
        <v>488</v>
      </c>
      <c r="AC15" s="313" t="s">
        <v>486</v>
      </c>
      <c r="AD15" s="314" t="s">
        <v>488</v>
      </c>
      <c r="AE15" s="314" t="s">
        <v>488</v>
      </c>
      <c r="AF15" s="303"/>
      <c r="AG15" s="69"/>
      <c r="AH15" s="69"/>
      <c r="AI15" s="69"/>
      <c r="AJ15" s="69"/>
      <c r="AK15" s="69"/>
      <c r="AL15" s="69"/>
    </row>
    <row r="16" spans="1:41" ht="13.5" customHeight="1">
      <c r="A16" s="82"/>
      <c r="B16" s="83">
        <v>1</v>
      </c>
      <c r="C16" s="84" t="s">
        <v>169</v>
      </c>
      <c r="D16" s="316" t="s">
        <v>684</v>
      </c>
      <c r="E16" s="313" t="s">
        <v>438</v>
      </c>
      <c r="F16" s="314" t="s">
        <v>438</v>
      </c>
      <c r="G16" s="314" t="s">
        <v>183</v>
      </c>
      <c r="H16" s="314" t="s">
        <v>439</v>
      </c>
      <c r="I16" s="314" t="s">
        <v>439</v>
      </c>
      <c r="J16" s="314" t="s">
        <v>184</v>
      </c>
      <c r="K16" s="314" t="s">
        <v>440</v>
      </c>
      <c r="L16" s="314" t="s">
        <v>411</v>
      </c>
      <c r="M16" s="313" t="s">
        <v>156</v>
      </c>
      <c r="N16" s="314" t="s">
        <v>441</v>
      </c>
      <c r="O16" s="314"/>
      <c r="P16" s="314" t="s">
        <v>183</v>
      </c>
      <c r="Q16" s="314" t="s">
        <v>156</v>
      </c>
      <c r="R16" s="314" t="s">
        <v>442</v>
      </c>
      <c r="S16" s="314" t="s">
        <v>443</v>
      </c>
      <c r="T16" s="314"/>
      <c r="U16" s="313" t="s">
        <v>156</v>
      </c>
      <c r="V16" s="314" t="s">
        <v>156</v>
      </c>
      <c r="W16" s="314" t="s">
        <v>156</v>
      </c>
      <c r="X16" s="314"/>
      <c r="Y16" s="314" t="s">
        <v>411</v>
      </c>
      <c r="Z16" s="314" t="s">
        <v>444</v>
      </c>
      <c r="AA16" s="314" t="s">
        <v>445</v>
      </c>
      <c r="AB16" s="314" t="s">
        <v>445</v>
      </c>
      <c r="AC16" s="313" t="s">
        <v>446</v>
      </c>
      <c r="AD16" s="314" t="s">
        <v>447</v>
      </c>
      <c r="AE16" s="314" t="s">
        <v>447</v>
      </c>
      <c r="AF16" s="303"/>
      <c r="AG16" s="69"/>
      <c r="AH16" s="69"/>
      <c r="AI16" s="85"/>
      <c r="AJ16" s="69"/>
      <c r="AK16" s="85"/>
      <c r="AL16" s="69"/>
      <c r="AM16" s="70"/>
      <c r="AN16" s="70"/>
      <c r="AO16" s="70"/>
    </row>
    <row r="17" spans="1:41" ht="13.5" customHeight="1">
      <c r="A17" s="86"/>
      <c r="B17" s="83">
        <v>2</v>
      </c>
      <c r="C17" s="84" t="s">
        <v>169</v>
      </c>
      <c r="D17" s="316" t="s">
        <v>437</v>
      </c>
      <c r="E17" s="313" t="s">
        <v>438</v>
      </c>
      <c r="F17" s="314" t="s">
        <v>182</v>
      </c>
      <c r="G17" s="314" t="s">
        <v>183</v>
      </c>
      <c r="H17" s="314" t="s">
        <v>439</v>
      </c>
      <c r="I17" s="314" t="s">
        <v>439</v>
      </c>
      <c r="J17" s="314" t="s">
        <v>184</v>
      </c>
      <c r="K17" s="314" t="s">
        <v>184</v>
      </c>
      <c r="L17" s="314" t="s">
        <v>411</v>
      </c>
      <c r="M17" s="313" t="s">
        <v>448</v>
      </c>
      <c r="N17" s="314" t="s">
        <v>441</v>
      </c>
      <c r="O17" s="314"/>
      <c r="P17" s="314" t="s">
        <v>411</v>
      </c>
      <c r="Q17" s="314" t="s">
        <v>156</v>
      </c>
      <c r="R17" s="314" t="s">
        <v>184</v>
      </c>
      <c r="S17" s="314" t="s">
        <v>449</v>
      </c>
      <c r="T17" s="314"/>
      <c r="U17" s="313" t="s">
        <v>156</v>
      </c>
      <c r="V17" s="314" t="s">
        <v>156</v>
      </c>
      <c r="W17" s="314" t="s">
        <v>156</v>
      </c>
      <c r="X17" s="314"/>
      <c r="Y17" s="314" t="s">
        <v>411</v>
      </c>
      <c r="Z17" s="314" t="s">
        <v>450</v>
      </c>
      <c r="AA17" s="314" t="s">
        <v>451</v>
      </c>
      <c r="AB17" s="314">
        <v>470195</v>
      </c>
      <c r="AC17" s="313" t="s">
        <v>450</v>
      </c>
      <c r="AD17" s="314">
        <v>470195</v>
      </c>
      <c r="AE17" s="314" t="s">
        <v>451</v>
      </c>
      <c r="AF17" s="303"/>
      <c r="AG17" s="69"/>
      <c r="AH17" s="63"/>
      <c r="AI17" s="85"/>
      <c r="AJ17" s="69"/>
      <c r="AK17" s="69"/>
      <c r="AL17" s="69"/>
      <c r="AM17" s="70"/>
      <c r="AN17" s="70"/>
      <c r="AO17" s="70"/>
    </row>
    <row r="18" spans="1:41" ht="13.5" customHeight="1">
      <c r="A18" s="87"/>
      <c r="B18" s="83">
        <v>3</v>
      </c>
      <c r="C18" s="341" t="s">
        <v>635</v>
      </c>
      <c r="D18" s="316" t="s">
        <v>437</v>
      </c>
      <c r="E18" s="316" t="s">
        <v>452</v>
      </c>
      <c r="F18" s="316" t="s">
        <v>453</v>
      </c>
      <c r="G18" s="316" t="s">
        <v>454</v>
      </c>
      <c r="H18" s="316" t="s">
        <v>183</v>
      </c>
      <c r="I18" s="419" t="s">
        <v>600</v>
      </c>
      <c r="J18" s="316" t="s">
        <v>184</v>
      </c>
      <c r="K18" s="316" t="s">
        <v>440</v>
      </c>
      <c r="L18" s="316" t="s">
        <v>411</v>
      </c>
      <c r="M18" s="316" t="s">
        <v>156</v>
      </c>
      <c r="N18" s="316" t="s">
        <v>441</v>
      </c>
      <c r="O18" s="316" t="s">
        <v>156</v>
      </c>
      <c r="P18" s="316" t="s">
        <v>183</v>
      </c>
      <c r="Q18" s="316" t="s">
        <v>156</v>
      </c>
      <c r="R18" s="316" t="s">
        <v>442</v>
      </c>
      <c r="S18" s="316" t="s">
        <v>443</v>
      </c>
      <c r="T18" s="316" t="s">
        <v>156</v>
      </c>
      <c r="U18" s="316" t="s">
        <v>156</v>
      </c>
      <c r="V18" s="316" t="s">
        <v>156</v>
      </c>
      <c r="W18" s="316" t="s">
        <v>156</v>
      </c>
      <c r="X18" s="316" t="s">
        <v>156</v>
      </c>
      <c r="Y18" s="316" t="s">
        <v>411</v>
      </c>
      <c r="Z18" s="316" t="s">
        <v>444</v>
      </c>
      <c r="AA18" s="316" t="s">
        <v>445</v>
      </c>
      <c r="AB18" s="316" t="s">
        <v>445</v>
      </c>
      <c r="AC18" s="316" t="s">
        <v>446</v>
      </c>
      <c r="AD18" s="316" t="s">
        <v>455</v>
      </c>
      <c r="AE18" s="316" t="s">
        <v>455</v>
      </c>
      <c r="AF18" s="303"/>
      <c r="AG18" s="69"/>
      <c r="AH18" s="63"/>
      <c r="AI18" s="85"/>
      <c r="AJ18" s="69"/>
      <c r="AK18" s="69"/>
      <c r="AL18" s="69"/>
      <c r="AM18" s="70"/>
      <c r="AN18" s="70"/>
      <c r="AO18" s="70"/>
    </row>
    <row r="19" spans="1:41" ht="13.5" customHeight="1">
      <c r="A19" s="87"/>
      <c r="B19" s="340">
        <v>4</v>
      </c>
      <c r="C19" s="84" t="s">
        <v>169</v>
      </c>
      <c r="D19" s="316" t="s">
        <v>437</v>
      </c>
      <c r="E19" s="316" t="s">
        <v>610</v>
      </c>
      <c r="F19" s="345" t="s">
        <v>182</v>
      </c>
      <c r="G19" s="316" t="s">
        <v>454</v>
      </c>
      <c r="H19" s="316" t="s">
        <v>439</v>
      </c>
      <c r="I19" s="316" t="s">
        <v>439</v>
      </c>
      <c r="J19" s="316" t="s">
        <v>184</v>
      </c>
      <c r="K19" s="316" t="s">
        <v>440</v>
      </c>
      <c r="L19" s="316" t="s">
        <v>411</v>
      </c>
      <c r="M19" s="316" t="s">
        <v>156</v>
      </c>
      <c r="N19" s="316" t="s">
        <v>441</v>
      </c>
      <c r="O19" s="316" t="s">
        <v>156</v>
      </c>
      <c r="P19" s="316" t="s">
        <v>183</v>
      </c>
      <c r="Q19" s="316" t="s">
        <v>156</v>
      </c>
      <c r="R19" s="316" t="s">
        <v>442</v>
      </c>
      <c r="S19" s="316" t="s">
        <v>443</v>
      </c>
      <c r="T19" s="316" t="s">
        <v>156</v>
      </c>
      <c r="U19" s="316" t="s">
        <v>156</v>
      </c>
      <c r="V19" s="316" t="s">
        <v>156</v>
      </c>
      <c r="W19" s="316" t="s">
        <v>156</v>
      </c>
      <c r="X19" s="316" t="s">
        <v>156</v>
      </c>
      <c r="Y19" s="316" t="s">
        <v>411</v>
      </c>
      <c r="Z19" s="316" t="s">
        <v>444</v>
      </c>
      <c r="AA19" s="316" t="s">
        <v>445</v>
      </c>
      <c r="AB19" s="316" t="s">
        <v>445</v>
      </c>
      <c r="AC19" s="316" t="s">
        <v>446</v>
      </c>
      <c r="AD19" s="316" t="s">
        <v>455</v>
      </c>
      <c r="AE19" s="316" t="s">
        <v>455</v>
      </c>
      <c r="AF19" s="303"/>
      <c r="AG19" s="69"/>
      <c r="AH19" s="63"/>
      <c r="AI19" s="85"/>
      <c r="AJ19" s="69"/>
      <c r="AK19" s="69"/>
      <c r="AL19" s="69"/>
      <c r="AM19" s="70"/>
      <c r="AN19" s="70"/>
      <c r="AO19" s="70"/>
    </row>
    <row r="20" spans="1:41" ht="13.5" customHeight="1">
      <c r="A20" s="86"/>
      <c r="B20" s="340">
        <v>5</v>
      </c>
      <c r="C20" s="84" t="s">
        <v>169</v>
      </c>
      <c r="D20" s="316" t="s">
        <v>437</v>
      </c>
      <c r="E20" s="316" t="s">
        <v>453</v>
      </c>
      <c r="F20" s="316" t="s">
        <v>453</v>
      </c>
      <c r="G20" s="316" t="s">
        <v>454</v>
      </c>
      <c r="H20" s="316" t="s">
        <v>611</v>
      </c>
      <c r="I20" s="419" t="s">
        <v>600</v>
      </c>
      <c r="J20" s="316" t="s">
        <v>184</v>
      </c>
      <c r="K20" s="316" t="s">
        <v>440</v>
      </c>
      <c r="L20" s="316" t="s">
        <v>411</v>
      </c>
      <c r="M20" s="316" t="s">
        <v>156</v>
      </c>
      <c r="N20" s="316" t="s">
        <v>441</v>
      </c>
      <c r="O20" s="316" t="s">
        <v>156</v>
      </c>
      <c r="P20" s="316" t="s">
        <v>183</v>
      </c>
      <c r="Q20" s="316" t="s">
        <v>156</v>
      </c>
      <c r="R20" s="316" t="s">
        <v>442</v>
      </c>
      <c r="S20" s="316" t="s">
        <v>443</v>
      </c>
      <c r="T20" s="316" t="s">
        <v>156</v>
      </c>
      <c r="U20" s="316" t="s">
        <v>156</v>
      </c>
      <c r="V20" s="316" t="s">
        <v>156</v>
      </c>
      <c r="W20" s="316" t="s">
        <v>156</v>
      </c>
      <c r="X20" s="316" t="s">
        <v>156</v>
      </c>
      <c r="Y20" s="316" t="s">
        <v>411</v>
      </c>
      <c r="Z20" s="316" t="s">
        <v>444</v>
      </c>
      <c r="AA20" s="316" t="s">
        <v>445</v>
      </c>
      <c r="AB20" s="316" t="s">
        <v>445</v>
      </c>
      <c r="AC20" s="316" t="s">
        <v>446</v>
      </c>
      <c r="AD20" s="316" t="s">
        <v>455</v>
      </c>
      <c r="AE20" s="316" t="s">
        <v>455</v>
      </c>
      <c r="AF20" s="303"/>
      <c r="AG20" s="69"/>
      <c r="AH20" s="63"/>
      <c r="AI20" s="85"/>
      <c r="AJ20" s="69"/>
      <c r="AK20" s="69"/>
      <c r="AL20" s="69"/>
      <c r="AM20" s="70"/>
      <c r="AN20" s="70"/>
      <c r="AO20" s="70"/>
    </row>
    <row r="21" spans="1:41" ht="13.5" customHeight="1">
      <c r="A21" s="82"/>
      <c r="B21" s="340">
        <v>6</v>
      </c>
      <c r="C21" s="84" t="s">
        <v>169</v>
      </c>
      <c r="D21" s="316" t="s">
        <v>437</v>
      </c>
      <c r="E21" s="316" t="s">
        <v>612</v>
      </c>
      <c r="F21" s="316" t="s">
        <v>612</v>
      </c>
      <c r="G21" s="316" t="s">
        <v>454</v>
      </c>
      <c r="H21" s="316" t="s">
        <v>439</v>
      </c>
      <c r="I21" s="316" t="s">
        <v>439</v>
      </c>
      <c r="J21" s="316" t="s">
        <v>183</v>
      </c>
      <c r="K21" s="316" t="s">
        <v>440</v>
      </c>
      <c r="L21" s="316" t="s">
        <v>411</v>
      </c>
      <c r="M21" s="316" t="s">
        <v>156</v>
      </c>
      <c r="N21" s="316" t="s">
        <v>441</v>
      </c>
      <c r="O21" s="316" t="s">
        <v>156</v>
      </c>
      <c r="P21" s="316" t="s">
        <v>183</v>
      </c>
      <c r="Q21" s="316" t="s">
        <v>156</v>
      </c>
      <c r="R21" s="316" t="s">
        <v>442</v>
      </c>
      <c r="S21" s="316" t="s">
        <v>443</v>
      </c>
      <c r="T21" s="316" t="s">
        <v>156</v>
      </c>
      <c r="U21" s="316" t="s">
        <v>156</v>
      </c>
      <c r="V21" s="316" t="s">
        <v>156</v>
      </c>
      <c r="W21" s="316" t="s">
        <v>156</v>
      </c>
      <c r="X21" s="316" t="s">
        <v>156</v>
      </c>
      <c r="Y21" s="316" t="s">
        <v>411</v>
      </c>
      <c r="Z21" s="316" t="s">
        <v>444</v>
      </c>
      <c r="AA21" s="316" t="s">
        <v>445</v>
      </c>
      <c r="AB21" s="316" t="s">
        <v>445</v>
      </c>
      <c r="AC21" s="316" t="s">
        <v>446</v>
      </c>
      <c r="AD21" s="316" t="s">
        <v>455</v>
      </c>
      <c r="AE21" s="316" t="s">
        <v>455</v>
      </c>
      <c r="AF21" s="303"/>
      <c r="AG21" s="69"/>
      <c r="AH21" s="69"/>
      <c r="AI21" s="85"/>
      <c r="AJ21" s="69"/>
      <c r="AK21" s="85"/>
      <c r="AL21" s="69"/>
      <c r="AM21" s="70"/>
      <c r="AN21" s="70"/>
      <c r="AO21" s="70"/>
    </row>
    <row r="22" spans="1:41" ht="13.5" customHeight="1">
      <c r="A22" s="87"/>
      <c r="B22" s="340">
        <v>7</v>
      </c>
      <c r="C22" s="84" t="s">
        <v>169</v>
      </c>
      <c r="D22" s="316" t="s">
        <v>437</v>
      </c>
      <c r="E22" s="316" t="s">
        <v>613</v>
      </c>
      <c r="F22" s="316" t="s">
        <v>613</v>
      </c>
      <c r="G22" s="316" t="s">
        <v>454</v>
      </c>
      <c r="H22" s="316" t="s">
        <v>614</v>
      </c>
      <c r="I22" s="419" t="s">
        <v>600</v>
      </c>
      <c r="J22" s="316" t="s">
        <v>184</v>
      </c>
      <c r="K22" s="316" t="s">
        <v>440</v>
      </c>
      <c r="L22" s="316" t="s">
        <v>411</v>
      </c>
      <c r="M22" s="316" t="s">
        <v>156</v>
      </c>
      <c r="N22" s="316" t="s">
        <v>441</v>
      </c>
      <c r="O22" s="316" t="s">
        <v>156</v>
      </c>
      <c r="P22" s="316" t="s">
        <v>183</v>
      </c>
      <c r="Q22" s="316" t="s">
        <v>156</v>
      </c>
      <c r="R22" s="316" t="s">
        <v>442</v>
      </c>
      <c r="S22" s="316" t="s">
        <v>443</v>
      </c>
      <c r="T22" s="316" t="s">
        <v>156</v>
      </c>
      <c r="U22" s="316" t="s">
        <v>156</v>
      </c>
      <c r="V22" s="316" t="s">
        <v>156</v>
      </c>
      <c r="W22" s="316" t="s">
        <v>156</v>
      </c>
      <c r="X22" s="316" t="s">
        <v>156</v>
      </c>
      <c r="Y22" s="316" t="s">
        <v>411</v>
      </c>
      <c r="Z22" s="316" t="s">
        <v>444</v>
      </c>
      <c r="AA22" s="316" t="s">
        <v>445</v>
      </c>
      <c r="AB22" s="316" t="s">
        <v>445</v>
      </c>
      <c r="AC22" s="316" t="s">
        <v>446</v>
      </c>
      <c r="AD22" s="316" t="s">
        <v>455</v>
      </c>
      <c r="AE22" s="316" t="s">
        <v>455</v>
      </c>
      <c r="AF22" s="303"/>
      <c r="AG22" s="69"/>
      <c r="AH22" s="69"/>
      <c r="AI22" s="85"/>
      <c r="AJ22" s="69"/>
      <c r="AK22" s="85"/>
      <c r="AL22" s="69"/>
      <c r="AM22" s="70"/>
      <c r="AN22" s="70"/>
      <c r="AO22" s="70"/>
    </row>
    <row r="23" spans="1:41" ht="13.5" customHeight="1">
      <c r="A23" s="87"/>
      <c r="B23" s="342">
        <v>8</v>
      </c>
      <c r="C23" s="84" t="s">
        <v>169</v>
      </c>
      <c r="D23" s="327" t="s">
        <v>685</v>
      </c>
      <c r="E23" s="327" t="s">
        <v>630</v>
      </c>
      <c r="F23" s="327" t="s">
        <v>630</v>
      </c>
      <c r="G23" s="327" t="s">
        <v>183</v>
      </c>
      <c r="H23" s="327" t="s">
        <v>183</v>
      </c>
      <c r="I23" s="419" t="s">
        <v>600</v>
      </c>
      <c r="J23" s="327" t="s">
        <v>184</v>
      </c>
      <c r="K23" s="327" t="s">
        <v>184</v>
      </c>
      <c r="L23" s="327" t="s">
        <v>411</v>
      </c>
      <c r="M23" s="327" t="s">
        <v>448</v>
      </c>
      <c r="N23" s="327" t="s">
        <v>441</v>
      </c>
      <c r="O23" s="327"/>
      <c r="P23" s="327" t="s">
        <v>411</v>
      </c>
      <c r="Q23" s="327" t="s">
        <v>156</v>
      </c>
      <c r="R23" s="327" t="s">
        <v>184</v>
      </c>
      <c r="S23" s="327" t="s">
        <v>449</v>
      </c>
      <c r="T23" s="327"/>
      <c r="U23" s="327" t="s">
        <v>156</v>
      </c>
      <c r="V23" s="327" t="s">
        <v>156</v>
      </c>
      <c r="W23" s="327" t="s">
        <v>156</v>
      </c>
      <c r="X23" s="327"/>
      <c r="Y23" s="327" t="s">
        <v>411</v>
      </c>
      <c r="Z23" s="327">
        <v>40640.750486111108</v>
      </c>
      <c r="AA23" s="327">
        <v>470195</v>
      </c>
      <c r="AB23" s="327">
        <v>470195</v>
      </c>
      <c r="AC23" s="327">
        <v>40640.750486111108</v>
      </c>
      <c r="AD23" s="327">
        <v>470195</v>
      </c>
      <c r="AE23" s="327">
        <v>470195</v>
      </c>
      <c r="AF23" s="303"/>
      <c r="AG23" s="69"/>
      <c r="AH23" s="69"/>
      <c r="AI23" s="85"/>
      <c r="AJ23" s="69"/>
      <c r="AK23" s="85"/>
      <c r="AL23" s="69"/>
      <c r="AM23" s="70"/>
      <c r="AN23" s="70"/>
      <c r="AO23" s="70"/>
    </row>
    <row r="24" spans="1:41" ht="13.5" customHeight="1">
      <c r="A24" s="86"/>
      <c r="B24" s="83" t="s">
        <v>178</v>
      </c>
      <c r="C24" s="341" t="s">
        <v>635</v>
      </c>
      <c r="D24" s="316" t="s">
        <v>641</v>
      </c>
      <c r="E24" s="316" t="s">
        <v>438</v>
      </c>
      <c r="F24" s="316" t="s">
        <v>438</v>
      </c>
      <c r="G24" s="316" t="s">
        <v>183</v>
      </c>
      <c r="H24" s="316" t="s">
        <v>439</v>
      </c>
      <c r="I24" s="316" t="s">
        <v>439</v>
      </c>
      <c r="J24" s="316" t="s">
        <v>184</v>
      </c>
      <c r="K24" s="316" t="s">
        <v>646</v>
      </c>
      <c r="L24" s="316" t="s">
        <v>411</v>
      </c>
      <c r="M24" s="316" t="s">
        <v>156</v>
      </c>
      <c r="N24" s="316" t="s">
        <v>441</v>
      </c>
      <c r="O24" s="316"/>
      <c r="P24" s="316" t="s">
        <v>183</v>
      </c>
      <c r="Q24" s="316" t="s">
        <v>156</v>
      </c>
      <c r="R24" s="316" t="s">
        <v>442</v>
      </c>
      <c r="S24" s="316" t="s">
        <v>647</v>
      </c>
      <c r="T24" s="316"/>
      <c r="U24" s="316" t="s">
        <v>648</v>
      </c>
      <c r="V24" s="316" t="s">
        <v>649</v>
      </c>
      <c r="W24" s="316" t="s">
        <v>650</v>
      </c>
      <c r="X24" s="316"/>
      <c r="Y24" s="316" t="s">
        <v>411</v>
      </c>
      <c r="Z24" s="316" t="s">
        <v>444</v>
      </c>
      <c r="AA24" s="316" t="s">
        <v>445</v>
      </c>
      <c r="AB24" s="316" t="s">
        <v>445</v>
      </c>
      <c r="AC24" s="316" t="s">
        <v>651</v>
      </c>
      <c r="AD24" s="316">
        <v>375901</v>
      </c>
      <c r="AE24" s="316" t="s">
        <v>652</v>
      </c>
      <c r="AF24" s="303"/>
      <c r="AG24" s="69"/>
      <c r="AH24" s="69"/>
      <c r="AI24" s="85"/>
      <c r="AJ24" s="69"/>
      <c r="AK24" s="85"/>
      <c r="AL24" s="69"/>
      <c r="AM24" s="70"/>
      <c r="AN24" s="70"/>
      <c r="AO24" s="70"/>
    </row>
    <row r="25" spans="1:41" ht="13.5" customHeight="1">
      <c r="A25" s="86"/>
      <c r="B25" s="83" t="s">
        <v>644</v>
      </c>
      <c r="C25" s="341" t="s">
        <v>635</v>
      </c>
      <c r="D25" s="327" t="s">
        <v>642</v>
      </c>
      <c r="E25" s="327" t="s">
        <v>438</v>
      </c>
      <c r="F25" s="327" t="s">
        <v>438</v>
      </c>
      <c r="G25" s="327" t="s">
        <v>183</v>
      </c>
      <c r="H25" s="327" t="s">
        <v>439</v>
      </c>
      <c r="I25" s="327" t="s">
        <v>439</v>
      </c>
      <c r="J25" s="327" t="s">
        <v>184</v>
      </c>
      <c r="K25" s="327" t="s">
        <v>653</v>
      </c>
      <c r="L25" s="327" t="s">
        <v>411</v>
      </c>
      <c r="M25" s="327" t="s">
        <v>654</v>
      </c>
      <c r="N25" s="327" t="s">
        <v>441</v>
      </c>
      <c r="O25" s="327"/>
      <c r="P25" s="327" t="s">
        <v>439</v>
      </c>
      <c r="Q25" s="327" t="s">
        <v>156</v>
      </c>
      <c r="R25" s="327" t="s">
        <v>655</v>
      </c>
      <c r="S25" s="327" t="s">
        <v>443</v>
      </c>
      <c r="T25" s="327"/>
      <c r="U25" s="327" t="s">
        <v>156</v>
      </c>
      <c r="V25" s="327" t="s">
        <v>156</v>
      </c>
      <c r="W25" s="327" t="s">
        <v>156</v>
      </c>
      <c r="X25" s="327"/>
      <c r="Y25" s="327" t="s">
        <v>411</v>
      </c>
      <c r="Z25" s="327" t="s">
        <v>656</v>
      </c>
      <c r="AA25" s="327" t="s">
        <v>445</v>
      </c>
      <c r="AB25" s="327" t="s">
        <v>445</v>
      </c>
      <c r="AC25" s="327" t="s">
        <v>657</v>
      </c>
      <c r="AD25" s="327" t="s">
        <v>658</v>
      </c>
      <c r="AE25" s="327" t="s">
        <v>658</v>
      </c>
      <c r="AF25" s="303"/>
      <c r="AG25" s="69"/>
      <c r="AH25" s="63"/>
      <c r="AI25" s="85"/>
      <c r="AJ25" s="69"/>
      <c r="AK25" s="69"/>
      <c r="AL25" s="69"/>
      <c r="AM25" s="70"/>
      <c r="AN25" s="70"/>
      <c r="AO25" s="70"/>
    </row>
    <row r="26" spans="1:41" ht="13.5" customHeight="1">
      <c r="A26" s="82"/>
      <c r="B26" s="83" t="s">
        <v>670</v>
      </c>
      <c r="C26" s="341" t="s">
        <v>635</v>
      </c>
      <c r="D26" s="327" t="s">
        <v>437</v>
      </c>
      <c r="E26" s="327" t="s">
        <v>453</v>
      </c>
      <c r="F26" s="327" t="s">
        <v>672</v>
      </c>
      <c r="G26" s="327" t="s">
        <v>454</v>
      </c>
      <c r="H26" s="327" t="s">
        <v>614</v>
      </c>
      <c r="I26" s="419" t="s">
        <v>600</v>
      </c>
      <c r="J26" s="327" t="s">
        <v>184</v>
      </c>
      <c r="K26" s="327" t="s">
        <v>665</v>
      </c>
      <c r="L26" s="327" t="s">
        <v>666</v>
      </c>
      <c r="M26" s="327" t="s">
        <v>156</v>
      </c>
      <c r="N26" s="327" t="s">
        <v>441</v>
      </c>
      <c r="O26" s="327" t="s">
        <v>156</v>
      </c>
      <c r="P26" s="327" t="s">
        <v>183</v>
      </c>
      <c r="Q26" s="327" t="s">
        <v>156</v>
      </c>
      <c r="R26" s="327" t="s">
        <v>442</v>
      </c>
      <c r="S26" s="327" t="s">
        <v>443</v>
      </c>
      <c r="T26" s="327" t="s">
        <v>156</v>
      </c>
      <c r="U26" s="327" t="s">
        <v>156</v>
      </c>
      <c r="V26" s="327" t="s">
        <v>156</v>
      </c>
      <c r="W26" s="327" t="s">
        <v>156</v>
      </c>
      <c r="X26" s="327" t="s">
        <v>156</v>
      </c>
      <c r="Y26" s="327" t="s">
        <v>411</v>
      </c>
      <c r="Z26" s="327" t="s">
        <v>444</v>
      </c>
      <c r="AA26" s="327" t="s">
        <v>445</v>
      </c>
      <c r="AB26" s="327" t="s">
        <v>445</v>
      </c>
      <c r="AC26" s="327" t="s">
        <v>446</v>
      </c>
      <c r="AD26" s="327" t="s">
        <v>455</v>
      </c>
      <c r="AE26" s="327" t="s">
        <v>455</v>
      </c>
      <c r="AF26" s="303"/>
      <c r="AG26" s="69"/>
      <c r="AH26" s="63"/>
      <c r="AI26" s="85"/>
      <c r="AJ26" s="69"/>
      <c r="AK26" s="69"/>
      <c r="AL26" s="69"/>
      <c r="AM26" s="70"/>
      <c r="AN26" s="70"/>
      <c r="AO26" s="70"/>
    </row>
    <row r="27" spans="1:41" ht="13.5" customHeight="1">
      <c r="A27" s="82"/>
      <c r="B27" s="83" t="s">
        <v>671</v>
      </c>
      <c r="C27" s="341" t="s">
        <v>635</v>
      </c>
      <c r="D27" s="327" t="s">
        <v>437</v>
      </c>
      <c r="E27" s="327" t="s">
        <v>453</v>
      </c>
      <c r="F27" s="327" t="s">
        <v>612</v>
      </c>
      <c r="G27" s="327" t="s">
        <v>454</v>
      </c>
      <c r="H27" s="327" t="s">
        <v>439</v>
      </c>
      <c r="I27" s="327" t="s">
        <v>439</v>
      </c>
      <c r="J27" s="327" t="s">
        <v>183</v>
      </c>
      <c r="K27" s="327" t="s">
        <v>665</v>
      </c>
      <c r="L27" s="327" t="s">
        <v>666</v>
      </c>
      <c r="M27" s="327" t="s">
        <v>156</v>
      </c>
      <c r="N27" s="327" t="s">
        <v>441</v>
      </c>
      <c r="O27" s="327" t="s">
        <v>156</v>
      </c>
      <c r="P27" s="327" t="s">
        <v>183</v>
      </c>
      <c r="Q27" s="327" t="s">
        <v>156</v>
      </c>
      <c r="R27" s="327" t="s">
        <v>442</v>
      </c>
      <c r="S27" s="327" t="s">
        <v>443</v>
      </c>
      <c r="T27" s="327" t="s">
        <v>156</v>
      </c>
      <c r="U27" s="327" t="s">
        <v>156</v>
      </c>
      <c r="V27" s="327" t="s">
        <v>156</v>
      </c>
      <c r="W27" s="327" t="s">
        <v>156</v>
      </c>
      <c r="X27" s="327" t="s">
        <v>156</v>
      </c>
      <c r="Y27" s="327" t="s">
        <v>411</v>
      </c>
      <c r="Z27" s="327" t="s">
        <v>444</v>
      </c>
      <c r="AA27" s="327" t="s">
        <v>445</v>
      </c>
      <c r="AB27" s="327" t="s">
        <v>445</v>
      </c>
      <c r="AC27" s="327" t="s">
        <v>446</v>
      </c>
      <c r="AD27" s="327" t="s">
        <v>455</v>
      </c>
      <c r="AE27" s="327" t="s">
        <v>455</v>
      </c>
      <c r="AF27" s="303"/>
      <c r="AG27" s="69"/>
      <c r="AH27" s="63"/>
      <c r="AI27" s="85"/>
      <c r="AJ27" s="69"/>
      <c r="AK27" s="69"/>
      <c r="AL27" s="69"/>
      <c r="AM27" s="70"/>
      <c r="AN27" s="70"/>
      <c r="AO27" s="70"/>
    </row>
    <row r="28" spans="1:41" ht="13.5" customHeight="1">
      <c r="A28" s="82"/>
      <c r="B28" s="83" t="s">
        <v>681</v>
      </c>
      <c r="C28" s="341" t="s">
        <v>635</v>
      </c>
      <c r="D28" s="327" t="s">
        <v>679</v>
      </c>
      <c r="E28" s="327" t="s">
        <v>613</v>
      </c>
      <c r="F28" s="327" t="s">
        <v>613</v>
      </c>
      <c r="G28" s="327" t="s">
        <v>454</v>
      </c>
      <c r="H28" s="327" t="s">
        <v>614</v>
      </c>
      <c r="I28" s="419" t="s">
        <v>600</v>
      </c>
      <c r="J28" s="327" t="s">
        <v>184</v>
      </c>
      <c r="K28" s="327" t="s">
        <v>665</v>
      </c>
      <c r="L28" s="327" t="s">
        <v>666</v>
      </c>
      <c r="M28" s="327" t="s">
        <v>156</v>
      </c>
      <c r="N28" s="327" t="s">
        <v>441</v>
      </c>
      <c r="O28" s="327" t="s">
        <v>156</v>
      </c>
      <c r="P28" s="327" t="s">
        <v>183</v>
      </c>
      <c r="Q28" s="327" t="s">
        <v>156</v>
      </c>
      <c r="R28" s="327" t="s">
        <v>442</v>
      </c>
      <c r="S28" s="327" t="s">
        <v>443</v>
      </c>
      <c r="T28" s="327" t="s">
        <v>156</v>
      </c>
      <c r="U28" s="327" t="s">
        <v>156</v>
      </c>
      <c r="V28" s="327" t="s">
        <v>156</v>
      </c>
      <c r="W28" s="327" t="s">
        <v>156</v>
      </c>
      <c r="X28" s="327" t="s">
        <v>156</v>
      </c>
      <c r="Y28" s="327" t="s">
        <v>411</v>
      </c>
      <c r="Z28" s="327" t="s">
        <v>444</v>
      </c>
      <c r="AA28" s="327" t="s">
        <v>445</v>
      </c>
      <c r="AB28" s="327" t="s">
        <v>445</v>
      </c>
      <c r="AC28" s="327" t="s">
        <v>446</v>
      </c>
      <c r="AD28" s="327" t="s">
        <v>455</v>
      </c>
      <c r="AE28" s="327" t="s">
        <v>455</v>
      </c>
      <c r="AF28" s="303"/>
      <c r="AG28" s="69"/>
      <c r="AH28" s="63"/>
      <c r="AI28" s="85"/>
      <c r="AJ28" s="69"/>
      <c r="AK28" s="69"/>
      <c r="AL28" s="69"/>
      <c r="AM28" s="70"/>
      <c r="AN28" s="70"/>
      <c r="AO28" s="70"/>
    </row>
    <row r="29" spans="1:41" ht="13.5" customHeight="1">
      <c r="A29" s="79"/>
      <c r="B29" s="83" t="s">
        <v>682</v>
      </c>
      <c r="C29" s="341" t="s">
        <v>635</v>
      </c>
      <c r="D29" s="327" t="s">
        <v>437</v>
      </c>
      <c r="E29" s="327" t="s">
        <v>612</v>
      </c>
      <c r="F29" s="327" t="s">
        <v>613</v>
      </c>
      <c r="G29" s="327" t="s">
        <v>454</v>
      </c>
      <c r="H29" s="327" t="s">
        <v>614</v>
      </c>
      <c r="I29" s="419" t="s">
        <v>600</v>
      </c>
      <c r="J29" s="327" t="s">
        <v>184</v>
      </c>
      <c r="K29" s="327" t="s">
        <v>665</v>
      </c>
      <c r="L29" s="327" t="s">
        <v>666</v>
      </c>
      <c r="M29" s="327" t="s">
        <v>156</v>
      </c>
      <c r="N29" s="327" t="s">
        <v>441</v>
      </c>
      <c r="O29" s="327" t="s">
        <v>156</v>
      </c>
      <c r="P29" s="327" t="s">
        <v>183</v>
      </c>
      <c r="Q29" s="327" t="s">
        <v>156</v>
      </c>
      <c r="R29" s="327" t="s">
        <v>442</v>
      </c>
      <c r="S29" s="327" t="s">
        <v>443</v>
      </c>
      <c r="T29" s="327" t="s">
        <v>156</v>
      </c>
      <c r="U29" s="327" t="s">
        <v>156</v>
      </c>
      <c r="V29" s="327" t="s">
        <v>156</v>
      </c>
      <c r="W29" s="327" t="s">
        <v>156</v>
      </c>
      <c r="X29" s="327" t="s">
        <v>156</v>
      </c>
      <c r="Y29" s="327" t="s">
        <v>411</v>
      </c>
      <c r="Z29" s="327" t="s">
        <v>444</v>
      </c>
      <c r="AA29" s="327" t="s">
        <v>445</v>
      </c>
      <c r="AB29" s="327" t="s">
        <v>445</v>
      </c>
      <c r="AC29" s="327" t="s">
        <v>446</v>
      </c>
      <c r="AD29" s="327" t="s">
        <v>455</v>
      </c>
      <c r="AE29" s="327" t="s">
        <v>455</v>
      </c>
      <c r="AF29" s="303"/>
      <c r="AG29" s="69"/>
      <c r="AH29" s="69"/>
      <c r="AI29" s="85"/>
      <c r="AJ29" s="69"/>
      <c r="AK29" s="85"/>
      <c r="AL29" s="69"/>
      <c r="AM29" s="70"/>
      <c r="AN29" s="70"/>
      <c r="AO29" s="70"/>
    </row>
    <row r="30" spans="1:41" ht="13.5" customHeight="1">
      <c r="A30" s="79"/>
      <c r="B30" s="83" t="s">
        <v>683</v>
      </c>
      <c r="C30" s="341" t="s">
        <v>635</v>
      </c>
      <c r="D30" s="327" t="s">
        <v>437</v>
      </c>
      <c r="E30" s="327" t="s">
        <v>612</v>
      </c>
      <c r="F30" s="327" t="s">
        <v>453</v>
      </c>
      <c r="G30" s="327" t="s">
        <v>454</v>
      </c>
      <c r="H30" s="327" t="s">
        <v>439</v>
      </c>
      <c r="I30" s="327" t="s">
        <v>439</v>
      </c>
      <c r="J30" s="327" t="s">
        <v>183</v>
      </c>
      <c r="K30" s="327" t="s">
        <v>665</v>
      </c>
      <c r="L30" s="327" t="s">
        <v>666</v>
      </c>
      <c r="M30" s="327" t="s">
        <v>156</v>
      </c>
      <c r="N30" s="327" t="s">
        <v>441</v>
      </c>
      <c r="O30" s="327" t="s">
        <v>156</v>
      </c>
      <c r="P30" s="327" t="s">
        <v>183</v>
      </c>
      <c r="Q30" s="327" t="s">
        <v>156</v>
      </c>
      <c r="R30" s="327" t="s">
        <v>442</v>
      </c>
      <c r="S30" s="327" t="s">
        <v>443</v>
      </c>
      <c r="T30" s="327" t="s">
        <v>156</v>
      </c>
      <c r="U30" s="327" t="s">
        <v>156</v>
      </c>
      <c r="V30" s="327" t="s">
        <v>156</v>
      </c>
      <c r="W30" s="327" t="s">
        <v>156</v>
      </c>
      <c r="X30" s="327" t="s">
        <v>156</v>
      </c>
      <c r="Y30" s="327" t="s">
        <v>411</v>
      </c>
      <c r="Z30" s="327" t="s">
        <v>444</v>
      </c>
      <c r="AA30" s="327" t="s">
        <v>445</v>
      </c>
      <c r="AB30" s="327" t="s">
        <v>445</v>
      </c>
      <c r="AC30" s="327" t="s">
        <v>446</v>
      </c>
      <c r="AD30" s="327" t="s">
        <v>455</v>
      </c>
      <c r="AE30" s="327" t="s">
        <v>455</v>
      </c>
      <c r="AF30" s="303"/>
      <c r="AG30" s="69"/>
      <c r="AH30" s="69"/>
      <c r="AI30" s="85"/>
      <c r="AJ30" s="69"/>
      <c r="AK30" s="85"/>
      <c r="AL30" s="69"/>
      <c r="AM30" s="70"/>
      <c r="AN30" s="70"/>
      <c r="AO30" s="70"/>
    </row>
    <row r="31" spans="1:41" ht="12.75" customHeight="1">
      <c r="A31" s="88"/>
      <c r="B31" s="83" t="s">
        <v>704</v>
      </c>
      <c r="C31" s="84" t="s">
        <v>169</v>
      </c>
      <c r="D31" s="327" t="s">
        <v>437</v>
      </c>
      <c r="E31" s="327" t="s">
        <v>702</v>
      </c>
      <c r="F31" s="327" t="s">
        <v>453</v>
      </c>
      <c r="G31" s="327" t="s">
        <v>454</v>
      </c>
      <c r="H31" s="327" t="s">
        <v>703</v>
      </c>
      <c r="I31" s="419" t="s">
        <v>600</v>
      </c>
      <c r="J31" s="327" t="s">
        <v>184</v>
      </c>
      <c r="K31" s="327" t="s">
        <v>665</v>
      </c>
      <c r="L31" s="327" t="s">
        <v>666</v>
      </c>
      <c r="M31" s="327" t="s">
        <v>156</v>
      </c>
      <c r="N31" s="327" t="s">
        <v>441</v>
      </c>
      <c r="O31" s="327" t="s">
        <v>156</v>
      </c>
      <c r="P31" s="327" t="s">
        <v>183</v>
      </c>
      <c r="Q31" s="327" t="s">
        <v>156</v>
      </c>
      <c r="R31" s="327" t="s">
        <v>442</v>
      </c>
      <c r="S31" s="327" t="s">
        <v>443</v>
      </c>
      <c r="T31" s="327" t="s">
        <v>156</v>
      </c>
      <c r="U31" s="327" t="s">
        <v>156</v>
      </c>
      <c r="V31" s="327" t="s">
        <v>156</v>
      </c>
      <c r="W31" s="327" t="s">
        <v>156</v>
      </c>
      <c r="X31" s="327" t="s">
        <v>156</v>
      </c>
      <c r="Y31" s="327" t="s">
        <v>411</v>
      </c>
      <c r="Z31" s="327" t="s">
        <v>444</v>
      </c>
      <c r="AA31" s="327" t="s">
        <v>445</v>
      </c>
      <c r="AB31" s="327" t="s">
        <v>445</v>
      </c>
      <c r="AC31" s="327" t="s">
        <v>446</v>
      </c>
      <c r="AD31" s="327" t="s">
        <v>455</v>
      </c>
      <c r="AE31" s="327" t="s">
        <v>455</v>
      </c>
      <c r="AF31" s="303"/>
      <c r="AG31" s="69"/>
      <c r="AH31" s="69"/>
      <c r="AI31" s="85"/>
      <c r="AJ31" s="69"/>
      <c r="AK31" s="85"/>
      <c r="AL31" s="69"/>
      <c r="AM31" s="70"/>
      <c r="AN31" s="70"/>
      <c r="AO31" s="70"/>
    </row>
    <row r="32" spans="1:41" ht="13.5" customHeight="1">
      <c r="A32" s="88"/>
      <c r="B32" s="372" t="s">
        <v>736</v>
      </c>
      <c r="C32" s="84" t="s">
        <v>169</v>
      </c>
      <c r="D32" s="327" t="s">
        <v>437</v>
      </c>
      <c r="E32" s="327" t="s">
        <v>438</v>
      </c>
      <c r="F32" s="327" t="s">
        <v>612</v>
      </c>
      <c r="G32" s="327" t="s">
        <v>411</v>
      </c>
      <c r="H32" s="327" t="s">
        <v>439</v>
      </c>
      <c r="I32" s="327" t="s">
        <v>439</v>
      </c>
      <c r="J32" s="327" t="s">
        <v>184</v>
      </c>
      <c r="K32" s="327" t="s">
        <v>710</v>
      </c>
      <c r="L32" s="327" t="s">
        <v>666</v>
      </c>
      <c r="M32" s="327" t="s">
        <v>448</v>
      </c>
      <c r="N32" s="327" t="s">
        <v>441</v>
      </c>
      <c r="O32" s="327"/>
      <c r="P32" s="327" t="s">
        <v>411</v>
      </c>
      <c r="Q32" s="327" t="s">
        <v>156</v>
      </c>
      <c r="R32" s="327" t="s">
        <v>184</v>
      </c>
      <c r="S32" s="327" t="s">
        <v>449</v>
      </c>
      <c r="T32" s="327"/>
      <c r="U32" s="327" t="s">
        <v>156</v>
      </c>
      <c r="V32" s="327" t="s">
        <v>156</v>
      </c>
      <c r="W32" s="327" t="s">
        <v>156</v>
      </c>
      <c r="X32" s="327"/>
      <c r="Y32" s="327" t="s">
        <v>411</v>
      </c>
      <c r="Z32" s="327" t="s">
        <v>450</v>
      </c>
      <c r="AA32" s="327" t="s">
        <v>451</v>
      </c>
      <c r="AB32" s="327">
        <v>470195</v>
      </c>
      <c r="AC32" s="327" t="s">
        <v>450</v>
      </c>
      <c r="AD32" s="327">
        <v>470195</v>
      </c>
      <c r="AE32" s="327" t="s">
        <v>451</v>
      </c>
      <c r="AF32" s="303"/>
      <c r="AG32" s="69"/>
      <c r="AH32" s="69"/>
      <c r="AI32" s="85"/>
      <c r="AJ32" s="69"/>
      <c r="AK32" s="85"/>
      <c r="AL32" s="69"/>
      <c r="AM32" s="70"/>
      <c r="AN32" s="70"/>
      <c r="AO32" s="70"/>
    </row>
    <row r="33" spans="1:59" ht="13.5" customHeight="1">
      <c r="A33" s="88"/>
      <c r="B33" s="83" t="s">
        <v>785</v>
      </c>
      <c r="C33" s="84" t="s">
        <v>169</v>
      </c>
      <c r="D33" s="327" t="s">
        <v>437</v>
      </c>
      <c r="E33" s="327" t="s">
        <v>784</v>
      </c>
      <c r="F33" s="327" t="s">
        <v>453</v>
      </c>
      <c r="G33" s="327" t="s">
        <v>183</v>
      </c>
      <c r="H33" s="327" t="s">
        <v>183</v>
      </c>
      <c r="I33" s="420" t="s">
        <v>600</v>
      </c>
      <c r="J33" s="327" t="s">
        <v>184</v>
      </c>
      <c r="K33" s="327" t="s">
        <v>665</v>
      </c>
      <c r="L33" s="327" t="s">
        <v>666</v>
      </c>
      <c r="M33" s="327" t="s">
        <v>156</v>
      </c>
      <c r="N33" s="327" t="s">
        <v>441</v>
      </c>
      <c r="O33" s="327" t="s">
        <v>156</v>
      </c>
      <c r="P33" s="327" t="s">
        <v>183</v>
      </c>
      <c r="Q33" s="327" t="s">
        <v>156</v>
      </c>
      <c r="R33" s="327" t="s">
        <v>442</v>
      </c>
      <c r="S33" s="327" t="s">
        <v>443</v>
      </c>
      <c r="T33" s="327" t="s">
        <v>156</v>
      </c>
      <c r="U33" s="327" t="s">
        <v>156</v>
      </c>
      <c r="V33" s="327" t="s">
        <v>156</v>
      </c>
      <c r="W33" s="327" t="s">
        <v>156</v>
      </c>
      <c r="X33" s="327" t="s">
        <v>156</v>
      </c>
      <c r="Y33" s="327" t="s">
        <v>411</v>
      </c>
      <c r="Z33" s="327" t="s">
        <v>444</v>
      </c>
      <c r="AA33" s="327" t="s">
        <v>445</v>
      </c>
      <c r="AB33" s="327" t="s">
        <v>445</v>
      </c>
      <c r="AC33" s="327" t="s">
        <v>446</v>
      </c>
      <c r="AD33" s="327" t="s">
        <v>455</v>
      </c>
      <c r="AE33" s="327" t="s">
        <v>455</v>
      </c>
      <c r="AF33" s="303"/>
      <c r="AG33" s="69"/>
      <c r="AH33" s="69"/>
      <c r="AI33" s="85"/>
      <c r="AJ33" s="69"/>
      <c r="AK33" s="69"/>
      <c r="AL33" s="69"/>
      <c r="AM33" s="70"/>
      <c r="AN33" s="70"/>
      <c r="AO33" s="70"/>
    </row>
    <row r="34" spans="1:59" ht="13.5" customHeight="1">
      <c r="A34" s="88"/>
      <c r="B34" s="83" t="s">
        <v>791</v>
      </c>
      <c r="C34" s="84" t="s">
        <v>169</v>
      </c>
      <c r="D34" s="327" t="s">
        <v>437</v>
      </c>
      <c r="E34" s="327" t="s">
        <v>790</v>
      </c>
      <c r="F34" s="327" t="s">
        <v>453</v>
      </c>
      <c r="G34" s="327" t="s">
        <v>183</v>
      </c>
      <c r="H34" s="327" t="s">
        <v>703</v>
      </c>
      <c r="I34" s="419" t="s">
        <v>600</v>
      </c>
      <c r="J34" s="327" t="s">
        <v>184</v>
      </c>
      <c r="K34" s="327" t="s">
        <v>665</v>
      </c>
      <c r="L34" s="327" t="s">
        <v>666</v>
      </c>
      <c r="M34" s="327" t="s">
        <v>156</v>
      </c>
      <c r="N34" s="327" t="s">
        <v>441</v>
      </c>
      <c r="O34" s="327" t="s">
        <v>156</v>
      </c>
      <c r="P34" s="327" t="s">
        <v>183</v>
      </c>
      <c r="Q34" s="327" t="s">
        <v>156</v>
      </c>
      <c r="R34" s="327" t="s">
        <v>442</v>
      </c>
      <c r="S34" s="327" t="s">
        <v>443</v>
      </c>
      <c r="T34" s="327" t="s">
        <v>156</v>
      </c>
      <c r="U34" s="327" t="s">
        <v>156</v>
      </c>
      <c r="V34" s="327" t="s">
        <v>156</v>
      </c>
      <c r="W34" s="327" t="s">
        <v>156</v>
      </c>
      <c r="X34" s="327" t="s">
        <v>156</v>
      </c>
      <c r="Y34" s="327" t="s">
        <v>411</v>
      </c>
      <c r="Z34" s="327" t="s">
        <v>444</v>
      </c>
      <c r="AA34" s="327" t="s">
        <v>445</v>
      </c>
      <c r="AB34" s="327" t="s">
        <v>445</v>
      </c>
      <c r="AC34" s="327" t="s">
        <v>446</v>
      </c>
      <c r="AD34" s="327" t="s">
        <v>455</v>
      </c>
      <c r="AE34" s="327" t="s">
        <v>455</v>
      </c>
      <c r="AF34" s="303"/>
      <c r="AG34" s="69"/>
      <c r="AH34" s="69"/>
      <c r="AI34" s="85"/>
      <c r="AJ34" s="69"/>
      <c r="AK34" s="69"/>
      <c r="AL34" s="69"/>
      <c r="AM34" s="70"/>
      <c r="AN34" s="70"/>
      <c r="AO34" s="70"/>
    </row>
    <row r="35" spans="1:59" ht="13.5" customHeight="1">
      <c r="A35" s="79"/>
      <c r="B35" s="83"/>
      <c r="C35" s="84"/>
      <c r="D35" s="307"/>
      <c r="E35" s="309"/>
      <c r="F35" s="307"/>
      <c r="G35" s="307"/>
      <c r="H35" s="308"/>
      <c r="I35" s="307"/>
      <c r="J35" s="307"/>
      <c r="K35" s="307"/>
      <c r="L35" s="307"/>
      <c r="M35" s="307"/>
      <c r="N35" s="307"/>
      <c r="O35" s="307"/>
      <c r="P35" s="309"/>
      <c r="Q35" s="307"/>
      <c r="R35" s="307"/>
      <c r="S35" s="307"/>
      <c r="T35" s="307"/>
      <c r="U35" s="307"/>
      <c r="V35" s="307"/>
      <c r="W35" s="307"/>
      <c r="X35" s="307"/>
      <c r="Y35" s="307"/>
      <c r="Z35" s="307"/>
      <c r="AA35" s="307"/>
      <c r="AB35" s="303"/>
      <c r="AC35" s="310"/>
      <c r="AD35" s="303"/>
      <c r="AE35" s="310"/>
      <c r="AF35" s="303"/>
      <c r="AG35" s="69"/>
      <c r="AH35" s="69"/>
      <c r="AI35" s="85"/>
      <c r="AJ35" s="69"/>
      <c r="AK35" s="85"/>
      <c r="AL35" s="69"/>
      <c r="AM35" s="70"/>
      <c r="AN35" s="70"/>
      <c r="AO35" s="70"/>
    </row>
    <row r="36" spans="1:59" ht="13.5" customHeight="1">
      <c r="A36" s="79"/>
      <c r="B36" s="83"/>
      <c r="C36" s="84"/>
      <c r="D36" s="307"/>
      <c r="E36" s="309"/>
      <c r="F36" s="307"/>
      <c r="G36" s="307"/>
      <c r="H36" s="308"/>
      <c r="I36" s="307"/>
      <c r="J36" s="307"/>
      <c r="K36" s="307"/>
      <c r="L36" s="307"/>
      <c r="M36" s="307"/>
      <c r="N36" s="307"/>
      <c r="O36" s="307"/>
      <c r="P36" s="309"/>
      <c r="Q36" s="307"/>
      <c r="R36" s="307"/>
      <c r="S36" s="307"/>
      <c r="T36" s="307"/>
      <c r="U36" s="307"/>
      <c r="V36" s="307"/>
      <c r="W36" s="307"/>
      <c r="X36" s="307"/>
      <c r="Y36" s="307"/>
      <c r="Z36" s="307"/>
      <c r="AA36" s="307"/>
      <c r="AB36" s="303"/>
      <c r="AC36" s="310"/>
      <c r="AD36" s="303"/>
      <c r="AE36" s="310"/>
      <c r="AF36" s="303"/>
      <c r="AG36" s="69"/>
      <c r="AH36" s="69"/>
      <c r="AI36" s="85"/>
      <c r="AJ36" s="69"/>
      <c r="AK36" s="85"/>
      <c r="AL36" s="69"/>
      <c r="AM36" s="70"/>
      <c r="AN36" s="70"/>
      <c r="AO36" s="70"/>
    </row>
    <row r="37" spans="1:59">
      <c r="B37" s="66"/>
      <c r="C37" s="81"/>
      <c r="D37" s="66"/>
      <c r="E37" s="66"/>
      <c r="F37" s="66"/>
      <c r="G37" s="66"/>
      <c r="H37" s="66"/>
      <c r="I37" s="66"/>
      <c r="J37" s="66"/>
      <c r="K37" s="66"/>
      <c r="L37" s="66"/>
      <c r="M37" s="66"/>
      <c r="N37" s="66"/>
      <c r="O37" s="66"/>
      <c r="P37" s="66"/>
      <c r="Q37" s="66"/>
      <c r="R37" s="66"/>
      <c r="S37" s="66"/>
      <c r="T37" s="89"/>
      <c r="U37" s="89"/>
      <c r="V37" s="89"/>
      <c r="W37" s="90"/>
      <c r="X37" s="89"/>
      <c r="Y37" s="89"/>
      <c r="Z37" s="70"/>
      <c r="AA37" s="70"/>
      <c r="AB37" s="70"/>
      <c r="AC37" s="70"/>
      <c r="AD37" s="70"/>
      <c r="AE37" s="70"/>
      <c r="AF37" s="70"/>
      <c r="AG37" s="69"/>
      <c r="AH37" s="69"/>
      <c r="AI37" s="69"/>
      <c r="AJ37" s="69"/>
      <c r="AK37" s="69"/>
      <c r="AL37" s="69"/>
      <c r="AM37" s="70"/>
      <c r="AN37" s="70"/>
      <c r="AO37" s="70"/>
    </row>
    <row r="38" spans="1:59">
      <c r="B38" s="66"/>
      <c r="C38" s="81"/>
      <c r="D38" s="66"/>
      <c r="E38" s="66"/>
      <c r="F38" s="66"/>
      <c r="G38" s="66"/>
      <c r="H38" s="66"/>
      <c r="I38" s="66"/>
      <c r="J38" s="66"/>
      <c r="K38" s="66"/>
      <c r="L38" s="66"/>
      <c r="M38" s="66"/>
      <c r="N38" s="66"/>
      <c r="O38" s="66"/>
      <c r="P38" s="66"/>
      <c r="Q38" s="66"/>
      <c r="R38" s="66"/>
      <c r="S38" s="66"/>
      <c r="T38" s="89"/>
      <c r="U38" s="89"/>
      <c r="V38" s="89"/>
      <c r="W38" s="91"/>
      <c r="X38" s="89"/>
      <c r="Y38" s="89"/>
      <c r="Z38" s="70"/>
      <c r="AA38" s="70"/>
      <c r="AB38" s="70"/>
      <c r="AC38" s="70"/>
      <c r="AD38" s="70"/>
      <c r="AE38" s="70"/>
      <c r="AF38" s="70"/>
      <c r="AG38" s="70"/>
      <c r="AH38" s="70"/>
      <c r="AI38" s="70"/>
      <c r="AJ38" s="70"/>
      <c r="AK38" s="70"/>
      <c r="AL38" s="70"/>
      <c r="AM38" s="70"/>
      <c r="AN38" s="70"/>
      <c r="AO38" s="70"/>
    </row>
    <row r="39" spans="1:59" ht="19.5" customHeight="1">
      <c r="B39" s="66"/>
      <c r="C39" s="67"/>
      <c r="D39" s="449" t="s">
        <v>737</v>
      </c>
      <c r="E39" s="450"/>
      <c r="F39" s="450"/>
      <c r="G39" s="450"/>
      <c r="H39" s="450"/>
      <c r="I39" s="450"/>
      <c r="J39" s="450"/>
      <c r="K39" s="450"/>
      <c r="L39" s="450"/>
      <c r="M39" s="450"/>
      <c r="N39" s="450"/>
      <c r="O39" s="450"/>
      <c r="P39" s="450"/>
      <c r="Q39" s="450"/>
      <c r="R39" s="450"/>
      <c r="S39" s="450"/>
      <c r="T39" s="92"/>
      <c r="U39" s="92"/>
      <c r="V39" s="92"/>
      <c r="W39" s="92"/>
      <c r="X39" s="92"/>
      <c r="Y39" s="92"/>
      <c r="Z39" s="93"/>
      <c r="AA39" s="93"/>
      <c r="AB39" s="93"/>
      <c r="AC39" s="93"/>
      <c r="AD39" s="93"/>
      <c r="AE39" s="93"/>
      <c r="AF39" s="93"/>
      <c r="AG39" s="93"/>
      <c r="AH39" s="93"/>
      <c r="AI39" s="93"/>
      <c r="AJ39" s="93"/>
      <c r="AK39" s="93"/>
      <c r="AL39" s="93"/>
      <c r="AM39" s="93"/>
      <c r="AN39" s="93"/>
      <c r="AO39" s="93"/>
      <c r="AP39" s="94"/>
      <c r="AQ39" s="94"/>
      <c r="AR39" s="94"/>
      <c r="AS39" s="94"/>
      <c r="AT39" s="94"/>
      <c r="AU39" s="94"/>
      <c r="AV39" s="94"/>
      <c r="AW39" s="94"/>
      <c r="AX39" s="94"/>
      <c r="AY39" s="94"/>
      <c r="AZ39" s="94"/>
      <c r="BA39" s="94"/>
      <c r="BB39" s="94"/>
      <c r="BC39" s="94"/>
      <c r="BD39" s="94"/>
      <c r="BE39" s="94"/>
      <c r="BF39" s="94"/>
      <c r="BG39" s="94"/>
    </row>
    <row r="40" spans="1:59" s="72" customFormat="1" ht="16.5" customHeight="1">
      <c r="A40" s="453" t="s">
        <v>168</v>
      </c>
      <c r="B40" s="453"/>
      <c r="C40" s="454"/>
      <c r="D40" s="322"/>
      <c r="E40" s="322"/>
      <c r="F40" s="322"/>
      <c r="G40" s="324"/>
      <c r="H40" s="324"/>
      <c r="I40" s="319" t="s">
        <v>169</v>
      </c>
      <c r="J40" s="319" t="s">
        <v>169</v>
      </c>
      <c r="K40" s="324" t="s">
        <v>169</v>
      </c>
      <c r="L40" s="324"/>
      <c r="M40" s="324"/>
      <c r="N40" s="324"/>
      <c r="O40" s="324"/>
      <c r="P40" s="324"/>
      <c r="Q40" s="324"/>
      <c r="R40" s="324"/>
      <c r="S40" s="324"/>
      <c r="T40" s="324"/>
      <c r="U40" s="324"/>
      <c r="V40" s="324"/>
      <c r="W40" s="324"/>
      <c r="X40" s="324"/>
      <c r="Y40" s="324"/>
      <c r="Z40" s="325"/>
      <c r="AA40" s="325"/>
      <c r="AB40" s="325"/>
      <c r="AC40" s="325"/>
      <c r="AD40" s="325"/>
      <c r="AE40" s="325"/>
      <c r="AF40" s="325"/>
      <c r="AG40" s="325"/>
      <c r="AH40" s="325"/>
      <c r="AI40" s="325"/>
      <c r="AJ40" s="325"/>
      <c r="AK40" s="325"/>
      <c r="AL40" s="319" t="s">
        <v>169</v>
      </c>
      <c r="AM40" s="325"/>
      <c r="AN40" s="325"/>
      <c r="AO40" s="325"/>
      <c r="AP40" s="325"/>
      <c r="AQ40" s="325"/>
      <c r="AR40" s="325"/>
      <c r="AS40" s="319" t="s">
        <v>169</v>
      </c>
      <c r="AT40" s="325"/>
      <c r="AU40" s="325"/>
      <c r="AV40" s="325"/>
      <c r="AW40" s="325"/>
      <c r="AX40" s="325"/>
      <c r="AY40" s="325"/>
      <c r="AZ40" s="325"/>
      <c r="BA40" s="325"/>
      <c r="BB40" s="325"/>
      <c r="BC40" s="325"/>
      <c r="BD40" s="325"/>
      <c r="BE40" s="325"/>
      <c r="BF40" s="325"/>
      <c r="BG40" s="325"/>
    </row>
    <row r="41" spans="1:59" s="78" customFormat="1" ht="86" customHeight="1">
      <c r="B41" s="74" t="s">
        <v>170</v>
      </c>
      <c r="C41" s="95" t="s">
        <v>171</v>
      </c>
      <c r="D41" s="312" t="s">
        <v>533</v>
      </c>
      <c r="E41" s="312" t="s">
        <v>588</v>
      </c>
      <c r="F41" s="312" t="s">
        <v>589</v>
      </c>
      <c r="G41" s="314" t="s">
        <v>67</v>
      </c>
      <c r="H41" s="314" t="s">
        <v>456</v>
      </c>
      <c r="I41" s="314" t="s">
        <v>96</v>
      </c>
      <c r="J41" s="314" t="s">
        <v>799</v>
      </c>
      <c r="K41" s="314" t="s">
        <v>800</v>
      </c>
      <c r="L41" s="314" t="s">
        <v>534</v>
      </c>
      <c r="M41" s="314" t="s">
        <v>535</v>
      </c>
      <c r="N41" s="314" t="s">
        <v>536</v>
      </c>
      <c r="O41" s="314" t="s">
        <v>537</v>
      </c>
      <c r="P41" s="314" t="s">
        <v>538</v>
      </c>
      <c r="Q41" s="314" t="s">
        <v>539</v>
      </c>
      <c r="R41" s="314" t="s">
        <v>540</v>
      </c>
      <c r="S41" s="314" t="s">
        <v>541</v>
      </c>
      <c r="T41" s="314" t="s">
        <v>542</v>
      </c>
      <c r="U41" s="314" t="s">
        <v>543</v>
      </c>
      <c r="V41" s="314" t="s">
        <v>544</v>
      </c>
      <c r="W41" s="314" t="s">
        <v>545</v>
      </c>
      <c r="X41" s="314" t="s">
        <v>546</v>
      </c>
      <c r="Y41" s="314" t="s">
        <v>547</v>
      </c>
      <c r="Z41" s="314" t="s">
        <v>548</v>
      </c>
      <c r="AA41" s="314" t="s">
        <v>549</v>
      </c>
      <c r="AB41" s="314" t="s">
        <v>550</v>
      </c>
      <c r="AC41" s="314" t="s">
        <v>551</v>
      </c>
      <c r="AD41" s="314" t="s">
        <v>552</v>
      </c>
      <c r="AE41" s="314" t="s">
        <v>553</v>
      </c>
      <c r="AF41" s="314" t="s">
        <v>554</v>
      </c>
      <c r="AG41" s="314" t="s">
        <v>555</v>
      </c>
      <c r="AH41" s="314" t="s">
        <v>556</v>
      </c>
      <c r="AI41" s="314" t="s">
        <v>558</v>
      </c>
      <c r="AJ41" s="314" t="s">
        <v>557</v>
      </c>
      <c r="AK41" s="314" t="s">
        <v>566</v>
      </c>
      <c r="AL41" s="314" t="s">
        <v>559</v>
      </c>
      <c r="AM41" s="314" t="s">
        <v>560</v>
      </c>
      <c r="AN41" s="314" t="s">
        <v>561</v>
      </c>
      <c r="AO41" s="314" t="s">
        <v>562</v>
      </c>
      <c r="AP41" s="314" t="s">
        <v>563</v>
      </c>
      <c r="AQ41" s="314" t="s">
        <v>567</v>
      </c>
      <c r="AR41" s="314" t="s">
        <v>564</v>
      </c>
      <c r="AS41" s="314" t="s">
        <v>801</v>
      </c>
      <c r="AT41" s="314" t="s">
        <v>565</v>
      </c>
      <c r="AU41" s="314" t="s">
        <v>568</v>
      </c>
      <c r="AV41" s="314" t="s">
        <v>569</v>
      </c>
      <c r="AW41" s="314" t="s">
        <v>570</v>
      </c>
      <c r="AX41" s="314" t="s">
        <v>571</v>
      </c>
      <c r="AY41" s="314" t="s">
        <v>572</v>
      </c>
      <c r="AZ41" s="314" t="s">
        <v>573</v>
      </c>
      <c r="BA41" s="314" t="s">
        <v>397</v>
      </c>
      <c r="BB41" s="314" t="s">
        <v>398</v>
      </c>
      <c r="BC41" s="314" t="s">
        <v>399</v>
      </c>
      <c r="BD41" s="314" t="s">
        <v>400</v>
      </c>
      <c r="BE41" s="314" t="s">
        <v>151</v>
      </c>
      <c r="BF41" s="314" t="s">
        <v>152</v>
      </c>
      <c r="BG41" s="314" t="s">
        <v>401</v>
      </c>
    </row>
    <row r="42" spans="1:59" s="78" customFormat="1" ht="12.5">
      <c r="B42" s="74"/>
      <c r="C42" s="323"/>
      <c r="D42" s="312" t="s">
        <v>371</v>
      </c>
      <c r="E42" s="312" t="s">
        <v>381</v>
      </c>
      <c r="F42" s="312" t="s">
        <v>390</v>
      </c>
      <c r="G42" s="313" t="s">
        <v>419</v>
      </c>
      <c r="H42" s="313" t="s">
        <v>420</v>
      </c>
      <c r="I42" s="313" t="s">
        <v>490</v>
      </c>
      <c r="J42" s="313" t="s">
        <v>491</v>
      </c>
      <c r="K42" s="313" t="s">
        <v>492</v>
      </c>
      <c r="L42" s="313" t="s">
        <v>493</v>
      </c>
      <c r="M42" s="313" t="s">
        <v>494</v>
      </c>
      <c r="N42" s="313" t="s">
        <v>495</v>
      </c>
      <c r="O42" s="313" t="s">
        <v>496</v>
      </c>
      <c r="P42" s="313" t="s">
        <v>497</v>
      </c>
      <c r="Q42" s="313" t="s">
        <v>498</v>
      </c>
      <c r="R42" s="313" t="s">
        <v>499</v>
      </c>
      <c r="S42" s="313" t="s">
        <v>500</v>
      </c>
      <c r="T42" s="313" t="s">
        <v>501</v>
      </c>
      <c r="U42" s="313" t="s">
        <v>502</v>
      </c>
      <c r="V42" s="313" t="s">
        <v>503</v>
      </c>
      <c r="W42" s="313" t="s">
        <v>504</v>
      </c>
      <c r="X42" s="313" t="s">
        <v>505</v>
      </c>
      <c r="Y42" s="313" t="s">
        <v>506</v>
      </c>
      <c r="Z42" s="313" t="s">
        <v>507</v>
      </c>
      <c r="AA42" s="313" t="s">
        <v>508</v>
      </c>
      <c r="AB42" s="313" t="s">
        <v>509</v>
      </c>
      <c r="AC42" s="313" t="s">
        <v>510</v>
      </c>
      <c r="AD42" s="313" t="s">
        <v>511</v>
      </c>
      <c r="AE42" s="313" t="s">
        <v>512</v>
      </c>
      <c r="AF42" s="313" t="s">
        <v>513</v>
      </c>
      <c r="AG42" s="313" t="s">
        <v>514</v>
      </c>
      <c r="AH42" s="313" t="s">
        <v>515</v>
      </c>
      <c r="AI42" s="313" t="s">
        <v>516</v>
      </c>
      <c r="AJ42" s="313" t="s">
        <v>517</v>
      </c>
      <c r="AK42" s="313" t="s">
        <v>518</v>
      </c>
      <c r="AL42" s="313" t="s">
        <v>519</v>
      </c>
      <c r="AM42" s="313" t="s">
        <v>520</v>
      </c>
      <c r="AN42" s="313" t="s">
        <v>521</v>
      </c>
      <c r="AO42" s="313" t="s">
        <v>522</v>
      </c>
      <c r="AP42" s="313" t="s">
        <v>402</v>
      </c>
      <c r="AQ42" s="313" t="s">
        <v>523</v>
      </c>
      <c r="AR42" s="313" t="s">
        <v>524</v>
      </c>
      <c r="AS42" s="313" t="s">
        <v>525</v>
      </c>
      <c r="AT42" s="313" t="s">
        <v>526</v>
      </c>
      <c r="AU42" s="313" t="s">
        <v>527</v>
      </c>
      <c r="AV42" s="313" t="s">
        <v>528</v>
      </c>
      <c r="AW42" s="313" t="s">
        <v>529</v>
      </c>
      <c r="AX42" s="313" t="s">
        <v>530</v>
      </c>
      <c r="AY42" s="313" t="s">
        <v>531</v>
      </c>
      <c r="AZ42" s="313" t="s">
        <v>532</v>
      </c>
      <c r="BA42" s="313" t="s">
        <v>403</v>
      </c>
      <c r="BB42" s="313" t="s">
        <v>404</v>
      </c>
      <c r="BC42" s="313" t="s">
        <v>405</v>
      </c>
      <c r="BD42" s="313" t="s">
        <v>406</v>
      </c>
      <c r="BE42" s="313" t="s">
        <v>407</v>
      </c>
      <c r="BF42" s="313" t="s">
        <v>408</v>
      </c>
      <c r="BG42" s="313" t="s">
        <v>409</v>
      </c>
    </row>
    <row r="43" spans="1:59" s="70" customFormat="1" ht="13.5" customHeight="1">
      <c r="B43" s="80"/>
      <c r="C43" s="81"/>
      <c r="D43" s="312" t="s">
        <v>472</v>
      </c>
      <c r="E43" s="312" t="s">
        <v>574</v>
      </c>
      <c r="F43" s="312" t="s">
        <v>473</v>
      </c>
      <c r="G43" s="326" t="s">
        <v>474</v>
      </c>
      <c r="H43" s="326" t="s">
        <v>474</v>
      </c>
      <c r="I43" s="326" t="s">
        <v>474</v>
      </c>
      <c r="J43" s="326" t="s">
        <v>474</v>
      </c>
      <c r="K43" s="326" t="s">
        <v>474</v>
      </c>
      <c r="L43" s="326" t="s">
        <v>575</v>
      </c>
      <c r="M43" s="326" t="s">
        <v>575</v>
      </c>
      <c r="N43" s="326" t="s">
        <v>473</v>
      </c>
      <c r="O43" s="326" t="s">
        <v>576</v>
      </c>
      <c r="P43" s="326" t="s">
        <v>474</v>
      </c>
      <c r="Q43" s="326" t="s">
        <v>481</v>
      </c>
      <c r="R43" s="326" t="s">
        <v>476</v>
      </c>
      <c r="S43" s="326" t="s">
        <v>481</v>
      </c>
      <c r="T43" s="326" t="s">
        <v>476</v>
      </c>
      <c r="U43" s="326" t="s">
        <v>476</v>
      </c>
      <c r="V43" s="326" t="s">
        <v>474</v>
      </c>
      <c r="W43" s="326" t="s">
        <v>577</v>
      </c>
      <c r="X43" s="326" t="s">
        <v>577</v>
      </c>
      <c r="Y43" s="326" t="s">
        <v>478</v>
      </c>
      <c r="Z43" s="326" t="s">
        <v>576</v>
      </c>
      <c r="AA43" s="326" t="s">
        <v>576</v>
      </c>
      <c r="AB43" s="326" t="s">
        <v>476</v>
      </c>
      <c r="AC43" s="326" t="s">
        <v>480</v>
      </c>
      <c r="AD43" s="326" t="s">
        <v>481</v>
      </c>
      <c r="AE43" s="326" t="s">
        <v>481</v>
      </c>
      <c r="AF43" s="326" t="s">
        <v>578</v>
      </c>
      <c r="AG43" s="326" t="s">
        <v>578</v>
      </c>
      <c r="AH43" s="326" t="s">
        <v>481</v>
      </c>
      <c r="AI43" s="326" t="s">
        <v>481</v>
      </c>
      <c r="AJ43" s="326" t="s">
        <v>578</v>
      </c>
      <c r="AK43" s="326" t="s">
        <v>578</v>
      </c>
      <c r="AL43" s="326" t="s">
        <v>474</v>
      </c>
      <c r="AM43" s="326" t="s">
        <v>474</v>
      </c>
      <c r="AN43" s="326" t="s">
        <v>474</v>
      </c>
      <c r="AO43" s="326" t="s">
        <v>474</v>
      </c>
      <c r="AP43" s="326" t="s">
        <v>478</v>
      </c>
      <c r="AQ43" s="326" t="s">
        <v>473</v>
      </c>
      <c r="AR43" s="326" t="s">
        <v>474</v>
      </c>
      <c r="AS43" s="326" t="s">
        <v>476</v>
      </c>
      <c r="AT43" s="326" t="s">
        <v>476</v>
      </c>
      <c r="AU43" s="326" t="s">
        <v>474</v>
      </c>
      <c r="AV43" s="326" t="s">
        <v>579</v>
      </c>
      <c r="AW43" s="326" t="s">
        <v>481</v>
      </c>
      <c r="AX43" s="326" t="s">
        <v>478</v>
      </c>
      <c r="AY43" s="326" t="s">
        <v>474</v>
      </c>
      <c r="AZ43" s="326" t="s">
        <v>474</v>
      </c>
      <c r="BA43" s="326" t="s">
        <v>485</v>
      </c>
      <c r="BB43" s="326" t="s">
        <v>486</v>
      </c>
      <c r="BC43" s="326" t="s">
        <v>488</v>
      </c>
      <c r="BD43" s="326" t="s">
        <v>488</v>
      </c>
      <c r="BE43" s="326" t="s">
        <v>486</v>
      </c>
      <c r="BF43" s="326" t="s">
        <v>488</v>
      </c>
      <c r="BG43" s="326" t="s">
        <v>488</v>
      </c>
    </row>
    <row r="44" spans="1:59" ht="13.5" customHeight="1">
      <c r="B44" s="83" t="s">
        <v>180</v>
      </c>
      <c r="C44" s="84" t="s">
        <v>169</v>
      </c>
      <c r="D44" s="327" t="s">
        <v>437</v>
      </c>
      <c r="E44" s="327" t="s">
        <v>438</v>
      </c>
      <c r="F44" s="327" t="s">
        <v>438</v>
      </c>
      <c r="G44" s="327" t="s">
        <v>439</v>
      </c>
      <c r="H44" s="327" t="s">
        <v>439</v>
      </c>
      <c r="I44" s="328" t="s">
        <v>454</v>
      </c>
      <c r="J44" s="327" t="s">
        <v>411</v>
      </c>
      <c r="K44" s="327" t="s">
        <v>411</v>
      </c>
      <c r="L44" s="327" t="s">
        <v>156</v>
      </c>
      <c r="M44" s="327" t="s">
        <v>156</v>
      </c>
      <c r="N44" s="327" t="s">
        <v>156</v>
      </c>
      <c r="O44" s="327" t="s">
        <v>156</v>
      </c>
      <c r="P44" s="329" t="s">
        <v>580</v>
      </c>
      <c r="Q44" s="327" t="s">
        <v>411</v>
      </c>
      <c r="R44" s="327" t="s">
        <v>411</v>
      </c>
      <c r="S44" s="327" t="s">
        <v>581</v>
      </c>
      <c r="T44" s="327" t="s">
        <v>582</v>
      </c>
      <c r="U44" s="327" t="s">
        <v>183</v>
      </c>
      <c r="V44" s="327" t="s">
        <v>183</v>
      </c>
      <c r="W44" s="327" t="s">
        <v>411</v>
      </c>
      <c r="X44" s="327" t="s">
        <v>411</v>
      </c>
      <c r="Y44" s="327"/>
      <c r="Z44" s="330"/>
      <c r="AA44" s="330" t="s">
        <v>156</v>
      </c>
      <c r="AB44" s="330">
        <v>1</v>
      </c>
      <c r="AC44" s="330">
        <v>99999999</v>
      </c>
      <c r="AD44" s="327" t="s">
        <v>411</v>
      </c>
      <c r="AE44" s="327" t="s">
        <v>411</v>
      </c>
      <c r="AF44" s="327" t="s">
        <v>411</v>
      </c>
      <c r="AG44" s="327" t="s">
        <v>411</v>
      </c>
      <c r="AH44" s="330">
        <v>0</v>
      </c>
      <c r="AI44" s="330">
        <v>0</v>
      </c>
      <c r="AJ44" s="330">
        <v>0</v>
      </c>
      <c r="AK44" s="330">
        <v>0</v>
      </c>
      <c r="AL44" s="330">
        <v>1</v>
      </c>
      <c r="AM44" s="327" t="s">
        <v>183</v>
      </c>
      <c r="AN44" s="330">
        <v>0</v>
      </c>
      <c r="AO44" s="327" t="s">
        <v>411</v>
      </c>
      <c r="AP44" s="330">
        <v>1</v>
      </c>
      <c r="AQ44" s="331" t="s">
        <v>156</v>
      </c>
      <c r="AR44" s="331" t="s">
        <v>583</v>
      </c>
      <c r="AS44" s="331">
        <v>0</v>
      </c>
      <c r="AT44" s="331">
        <v>0</v>
      </c>
      <c r="AU44" s="331">
        <v>1</v>
      </c>
      <c r="AV44" s="331">
        <v>0</v>
      </c>
      <c r="AW44" s="331">
        <v>0</v>
      </c>
      <c r="AX44" s="331">
        <v>0</v>
      </c>
      <c r="AY44" s="331">
        <v>0</v>
      </c>
      <c r="AZ44" s="331">
        <v>1</v>
      </c>
      <c r="BA44" s="331">
        <v>0</v>
      </c>
      <c r="BB44" s="332">
        <v>29705</v>
      </c>
      <c r="BC44" s="331" t="s">
        <v>445</v>
      </c>
      <c r="BD44" s="331" t="s">
        <v>445</v>
      </c>
      <c r="BE44" s="332">
        <v>36413</v>
      </c>
      <c r="BF44" s="331" t="s">
        <v>445</v>
      </c>
      <c r="BG44" s="331" t="s">
        <v>445</v>
      </c>
    </row>
    <row r="45" spans="1:59" ht="13.5" customHeight="1">
      <c r="B45" s="83" t="s">
        <v>175</v>
      </c>
      <c r="C45" s="84" t="s">
        <v>169</v>
      </c>
      <c r="D45" s="327" t="s">
        <v>437</v>
      </c>
      <c r="E45" s="327" t="s">
        <v>438</v>
      </c>
      <c r="F45" s="327" t="s">
        <v>182</v>
      </c>
      <c r="G45" s="327" t="s">
        <v>439</v>
      </c>
      <c r="H45" s="327" t="s">
        <v>439</v>
      </c>
      <c r="I45" s="328" t="s">
        <v>185</v>
      </c>
      <c r="J45" s="327" t="s">
        <v>411</v>
      </c>
      <c r="K45" s="327" t="s">
        <v>411</v>
      </c>
      <c r="L45" s="327" t="s">
        <v>156</v>
      </c>
      <c r="M45" s="327" t="s">
        <v>156</v>
      </c>
      <c r="N45" s="327" t="s">
        <v>584</v>
      </c>
      <c r="O45" s="327" t="s">
        <v>156</v>
      </c>
      <c r="P45" s="329" t="s">
        <v>585</v>
      </c>
      <c r="Q45" s="327" t="s">
        <v>183</v>
      </c>
      <c r="R45" s="327" t="s">
        <v>411</v>
      </c>
      <c r="S45" s="327" t="s">
        <v>581</v>
      </c>
      <c r="T45" s="327" t="s">
        <v>582</v>
      </c>
      <c r="U45" s="327" t="s">
        <v>586</v>
      </c>
      <c r="V45" s="327" t="s">
        <v>183</v>
      </c>
      <c r="W45" s="327" t="s">
        <v>411</v>
      </c>
      <c r="X45" s="327" t="s">
        <v>411</v>
      </c>
      <c r="Y45" s="327"/>
      <c r="Z45" s="330"/>
      <c r="AA45" s="330" t="s">
        <v>587</v>
      </c>
      <c r="AB45" s="333">
        <v>5000</v>
      </c>
      <c r="AC45" s="330">
        <v>99999999</v>
      </c>
      <c r="AD45" s="327" t="s">
        <v>411</v>
      </c>
      <c r="AE45" s="327" t="s">
        <v>439</v>
      </c>
      <c r="AF45" s="327" t="s">
        <v>411</v>
      </c>
      <c r="AG45" s="327" t="s">
        <v>411</v>
      </c>
      <c r="AH45" s="330">
        <v>0</v>
      </c>
      <c r="AI45" s="330">
        <v>0</v>
      </c>
      <c r="AJ45" s="330">
        <v>0</v>
      </c>
      <c r="AK45" s="330">
        <v>0</v>
      </c>
      <c r="AL45" s="330">
        <v>0</v>
      </c>
      <c r="AM45" s="327" t="s">
        <v>183</v>
      </c>
      <c r="AN45" s="330">
        <v>0</v>
      </c>
      <c r="AO45" s="327" t="s">
        <v>411</v>
      </c>
      <c r="AP45" s="330">
        <v>1</v>
      </c>
      <c r="AQ45" s="331">
        <v>1111</v>
      </c>
      <c r="AR45" s="331" t="s">
        <v>583</v>
      </c>
      <c r="AS45" s="331">
        <v>30</v>
      </c>
      <c r="AT45" s="331">
        <v>10</v>
      </c>
      <c r="AU45" s="331">
        <v>1</v>
      </c>
      <c r="AV45" s="331">
        <v>0</v>
      </c>
      <c r="AW45" s="331">
        <v>0</v>
      </c>
      <c r="AX45" s="331">
        <v>0</v>
      </c>
      <c r="AY45" s="331">
        <v>0</v>
      </c>
      <c r="AZ45" s="331">
        <v>1</v>
      </c>
      <c r="BA45" s="331">
        <v>0</v>
      </c>
      <c r="BB45" s="332">
        <v>40640.750486111108</v>
      </c>
      <c r="BC45" s="331">
        <v>470195</v>
      </c>
      <c r="BD45" s="331">
        <v>470195</v>
      </c>
      <c r="BE45" s="332">
        <v>45392.67769675926</v>
      </c>
      <c r="BF45" s="331">
        <v>363363</v>
      </c>
      <c r="BG45" s="331">
        <v>363363</v>
      </c>
    </row>
    <row r="46" spans="1:59" ht="13.5" customHeight="1">
      <c r="B46" s="83" t="s">
        <v>179</v>
      </c>
      <c r="C46" s="341" t="s">
        <v>635</v>
      </c>
      <c r="D46" s="327" t="s">
        <v>437</v>
      </c>
      <c r="E46" s="327" t="s">
        <v>452</v>
      </c>
      <c r="F46" s="327" t="s">
        <v>453</v>
      </c>
      <c r="G46" s="327" t="s">
        <v>183</v>
      </c>
      <c r="H46" s="420" t="s">
        <v>600</v>
      </c>
      <c r="I46" s="334" t="s">
        <v>454</v>
      </c>
      <c r="J46" s="327" t="s">
        <v>411</v>
      </c>
      <c r="K46" s="327" t="s">
        <v>411</v>
      </c>
      <c r="L46" s="327" t="s">
        <v>156</v>
      </c>
      <c r="M46" s="327" t="s">
        <v>156</v>
      </c>
      <c r="N46" s="327" t="s">
        <v>156</v>
      </c>
      <c r="O46" s="327" t="s">
        <v>156</v>
      </c>
      <c r="P46" s="329" t="s">
        <v>580</v>
      </c>
      <c r="Q46" s="327" t="s">
        <v>411</v>
      </c>
      <c r="R46" s="327" t="s">
        <v>411</v>
      </c>
      <c r="S46" s="327" t="s">
        <v>581</v>
      </c>
      <c r="T46" s="327" t="s">
        <v>582</v>
      </c>
      <c r="U46" s="327" t="s">
        <v>183</v>
      </c>
      <c r="V46" s="327" t="s">
        <v>183</v>
      </c>
      <c r="W46" s="327" t="s">
        <v>411</v>
      </c>
      <c r="X46" s="327" t="s">
        <v>411</v>
      </c>
      <c r="Y46" s="327" t="s">
        <v>156</v>
      </c>
      <c r="Z46" s="330" t="s">
        <v>156</v>
      </c>
      <c r="AA46" s="330" t="s">
        <v>156</v>
      </c>
      <c r="AB46" s="330">
        <v>1</v>
      </c>
      <c r="AC46" s="330">
        <v>99999999</v>
      </c>
      <c r="AD46" s="327" t="s">
        <v>411</v>
      </c>
      <c r="AE46" s="327" t="s">
        <v>411</v>
      </c>
      <c r="AF46" s="327" t="s">
        <v>411</v>
      </c>
      <c r="AG46" s="327" t="s">
        <v>411</v>
      </c>
      <c r="AH46" s="330">
        <v>0</v>
      </c>
      <c r="AI46" s="330">
        <v>0</v>
      </c>
      <c r="AJ46" s="330">
        <v>0</v>
      </c>
      <c r="AK46" s="330">
        <v>0</v>
      </c>
      <c r="AL46" s="330">
        <v>1</v>
      </c>
      <c r="AM46" s="327" t="s">
        <v>183</v>
      </c>
      <c r="AN46" s="330">
        <v>0</v>
      </c>
      <c r="AO46" s="327" t="s">
        <v>411</v>
      </c>
      <c r="AP46" s="330">
        <v>1</v>
      </c>
      <c r="AQ46" s="331" t="s">
        <v>156</v>
      </c>
      <c r="AR46" s="331" t="s">
        <v>583</v>
      </c>
      <c r="AS46" s="331">
        <v>0</v>
      </c>
      <c r="AT46" s="331">
        <v>0</v>
      </c>
      <c r="AU46" s="331">
        <v>1</v>
      </c>
      <c r="AV46" s="331">
        <v>0</v>
      </c>
      <c r="AW46" s="331">
        <v>0</v>
      </c>
      <c r="AX46" s="331">
        <v>0</v>
      </c>
      <c r="AY46" s="331">
        <v>0</v>
      </c>
      <c r="AZ46" s="331">
        <v>1</v>
      </c>
      <c r="BA46" s="331">
        <v>0</v>
      </c>
      <c r="BB46" s="332">
        <v>29705</v>
      </c>
      <c r="BC46" s="331" t="s">
        <v>445</v>
      </c>
      <c r="BD46" s="331" t="s">
        <v>445</v>
      </c>
      <c r="BE46" s="332">
        <v>36413</v>
      </c>
      <c r="BF46" s="331" t="s">
        <v>445</v>
      </c>
      <c r="BG46" s="331" t="s">
        <v>445</v>
      </c>
    </row>
    <row r="47" spans="1:59" ht="13.5" customHeight="1">
      <c r="B47" s="339" t="s">
        <v>181</v>
      </c>
      <c r="C47" s="84" t="s">
        <v>169</v>
      </c>
      <c r="D47" s="327" t="s">
        <v>437</v>
      </c>
      <c r="E47" s="327" t="s">
        <v>610</v>
      </c>
      <c r="F47" s="346" t="s">
        <v>182</v>
      </c>
      <c r="G47" s="327" t="s">
        <v>439</v>
      </c>
      <c r="H47" s="327" t="s">
        <v>439</v>
      </c>
      <c r="I47" s="327" t="s">
        <v>186</v>
      </c>
      <c r="J47" s="327" t="s">
        <v>411</v>
      </c>
      <c r="K47" s="327" t="s">
        <v>411</v>
      </c>
      <c r="L47" s="327" t="s">
        <v>156</v>
      </c>
      <c r="M47" s="327" t="s">
        <v>156</v>
      </c>
      <c r="N47" s="327" t="s">
        <v>584</v>
      </c>
      <c r="O47" s="327" t="s">
        <v>156</v>
      </c>
      <c r="P47" s="327" t="s">
        <v>585</v>
      </c>
      <c r="Q47" s="327" t="s">
        <v>183</v>
      </c>
      <c r="R47" s="327" t="s">
        <v>411</v>
      </c>
      <c r="S47" s="327" t="s">
        <v>581</v>
      </c>
      <c r="T47" s="327" t="s">
        <v>582</v>
      </c>
      <c r="U47" s="327" t="s">
        <v>586</v>
      </c>
      <c r="V47" s="327" t="s">
        <v>183</v>
      </c>
      <c r="W47" s="327" t="s">
        <v>411</v>
      </c>
      <c r="X47" s="327" t="s">
        <v>411</v>
      </c>
      <c r="Y47" s="327"/>
      <c r="Z47" s="327"/>
      <c r="AA47" s="327" t="s">
        <v>587</v>
      </c>
      <c r="AB47" s="327">
        <v>5000</v>
      </c>
      <c r="AC47" s="327">
        <v>99999999</v>
      </c>
      <c r="AD47" s="327" t="s">
        <v>411</v>
      </c>
      <c r="AE47" s="327" t="s">
        <v>439</v>
      </c>
      <c r="AF47" s="327" t="s">
        <v>411</v>
      </c>
      <c r="AG47" s="327" t="s">
        <v>411</v>
      </c>
      <c r="AH47" s="327">
        <v>0</v>
      </c>
      <c r="AI47" s="327">
        <v>0</v>
      </c>
      <c r="AJ47" s="327">
        <v>0</v>
      </c>
      <c r="AK47" s="327">
        <v>0</v>
      </c>
      <c r="AL47" s="327">
        <v>0</v>
      </c>
      <c r="AM47" s="327" t="s">
        <v>183</v>
      </c>
      <c r="AN47" s="327">
        <v>0</v>
      </c>
      <c r="AO47" s="327" t="s">
        <v>411</v>
      </c>
      <c r="AP47" s="327">
        <v>1</v>
      </c>
      <c r="AQ47" s="327">
        <v>1111</v>
      </c>
      <c r="AR47" s="327" t="s">
        <v>583</v>
      </c>
      <c r="AS47" s="327">
        <v>30</v>
      </c>
      <c r="AT47" s="327">
        <v>10</v>
      </c>
      <c r="AU47" s="327">
        <v>1</v>
      </c>
      <c r="AV47" s="327">
        <v>0</v>
      </c>
      <c r="AW47" s="327">
        <v>0</v>
      </c>
      <c r="AX47" s="327">
        <v>0</v>
      </c>
      <c r="AY47" s="327">
        <v>0</v>
      </c>
      <c r="AZ47" s="327">
        <v>1</v>
      </c>
      <c r="BA47" s="327">
        <v>0</v>
      </c>
      <c r="BB47" s="327">
        <v>40640.750486111108</v>
      </c>
      <c r="BC47" s="327">
        <v>470195</v>
      </c>
      <c r="BD47" s="327">
        <v>470195</v>
      </c>
      <c r="BE47" s="327">
        <v>45392.67769675926</v>
      </c>
      <c r="BF47" s="327">
        <v>363363</v>
      </c>
      <c r="BG47" s="327">
        <v>363363</v>
      </c>
    </row>
    <row r="48" spans="1:59" ht="13.5" customHeight="1">
      <c r="B48" s="339" t="s">
        <v>633</v>
      </c>
      <c r="C48" s="84" t="s">
        <v>169</v>
      </c>
      <c r="D48" s="327" t="s">
        <v>437</v>
      </c>
      <c r="E48" s="327" t="s">
        <v>453</v>
      </c>
      <c r="F48" s="327" t="s">
        <v>453</v>
      </c>
      <c r="G48" s="327" t="s">
        <v>611</v>
      </c>
      <c r="H48" s="420" t="s">
        <v>600</v>
      </c>
      <c r="I48" s="327" t="s">
        <v>185</v>
      </c>
      <c r="J48" s="327" t="s">
        <v>411</v>
      </c>
      <c r="K48" s="327" t="s">
        <v>411</v>
      </c>
      <c r="L48" s="327" t="s">
        <v>156</v>
      </c>
      <c r="M48" s="327" t="s">
        <v>156</v>
      </c>
      <c r="N48" s="327" t="s">
        <v>584</v>
      </c>
      <c r="O48" s="327" t="s">
        <v>156</v>
      </c>
      <c r="P48" s="327" t="s">
        <v>585</v>
      </c>
      <c r="Q48" s="327" t="s">
        <v>183</v>
      </c>
      <c r="R48" s="327" t="s">
        <v>411</v>
      </c>
      <c r="S48" s="327" t="s">
        <v>581</v>
      </c>
      <c r="T48" s="327" t="s">
        <v>582</v>
      </c>
      <c r="U48" s="327" t="s">
        <v>586</v>
      </c>
      <c r="V48" s="327" t="s">
        <v>183</v>
      </c>
      <c r="W48" s="327" t="s">
        <v>411</v>
      </c>
      <c r="X48" s="327" t="s">
        <v>411</v>
      </c>
      <c r="Y48" s="327"/>
      <c r="Z48" s="327"/>
      <c r="AA48" s="327" t="s">
        <v>587</v>
      </c>
      <c r="AB48" s="327">
        <v>5000</v>
      </c>
      <c r="AC48" s="327">
        <v>99999999</v>
      </c>
      <c r="AD48" s="327" t="s">
        <v>411</v>
      </c>
      <c r="AE48" s="327" t="s">
        <v>439</v>
      </c>
      <c r="AF48" s="327" t="s">
        <v>411</v>
      </c>
      <c r="AG48" s="327" t="s">
        <v>411</v>
      </c>
      <c r="AH48" s="327">
        <v>0</v>
      </c>
      <c r="AI48" s="327">
        <v>0</v>
      </c>
      <c r="AJ48" s="327">
        <v>0</v>
      </c>
      <c r="AK48" s="327">
        <v>0</v>
      </c>
      <c r="AL48" s="327">
        <v>0</v>
      </c>
      <c r="AM48" s="327" t="s">
        <v>183</v>
      </c>
      <c r="AN48" s="327">
        <v>0</v>
      </c>
      <c r="AO48" s="327" t="s">
        <v>411</v>
      </c>
      <c r="AP48" s="327">
        <v>1</v>
      </c>
      <c r="AQ48" s="327">
        <v>1111</v>
      </c>
      <c r="AR48" s="327" t="s">
        <v>583</v>
      </c>
      <c r="AS48" s="327">
        <v>30</v>
      </c>
      <c r="AT48" s="327">
        <v>10</v>
      </c>
      <c r="AU48" s="327">
        <v>1</v>
      </c>
      <c r="AV48" s="327">
        <v>0</v>
      </c>
      <c r="AW48" s="327">
        <v>0</v>
      </c>
      <c r="AX48" s="327">
        <v>0</v>
      </c>
      <c r="AY48" s="327">
        <v>0</v>
      </c>
      <c r="AZ48" s="327">
        <v>1</v>
      </c>
      <c r="BA48" s="327">
        <v>0</v>
      </c>
      <c r="BB48" s="327">
        <v>40640.750486111108</v>
      </c>
      <c r="BC48" s="327">
        <v>470195</v>
      </c>
      <c r="BD48" s="327">
        <v>470195</v>
      </c>
      <c r="BE48" s="327">
        <v>45392.67769675926</v>
      </c>
      <c r="BF48" s="327">
        <v>363363</v>
      </c>
      <c r="BG48" s="327">
        <v>363363</v>
      </c>
    </row>
    <row r="49" spans="1:59" ht="13.5" customHeight="1">
      <c r="B49" s="339" t="s">
        <v>634</v>
      </c>
      <c r="C49" s="84" t="s">
        <v>169</v>
      </c>
      <c r="D49" s="327" t="s">
        <v>437</v>
      </c>
      <c r="E49" s="327" t="s">
        <v>612</v>
      </c>
      <c r="F49" s="327" t="s">
        <v>612</v>
      </c>
      <c r="G49" s="327" t="s">
        <v>439</v>
      </c>
      <c r="H49" s="327" t="s">
        <v>439</v>
      </c>
      <c r="I49" s="327" t="s">
        <v>185</v>
      </c>
      <c r="J49" s="327" t="s">
        <v>411</v>
      </c>
      <c r="K49" s="327" t="s">
        <v>411</v>
      </c>
      <c r="L49" s="327" t="s">
        <v>156</v>
      </c>
      <c r="M49" s="327" t="s">
        <v>156</v>
      </c>
      <c r="N49" s="327" t="s">
        <v>584</v>
      </c>
      <c r="O49" s="327" t="s">
        <v>156</v>
      </c>
      <c r="P49" s="327" t="s">
        <v>585</v>
      </c>
      <c r="Q49" s="327" t="s">
        <v>183</v>
      </c>
      <c r="R49" s="327" t="s">
        <v>411</v>
      </c>
      <c r="S49" s="327" t="s">
        <v>581</v>
      </c>
      <c r="T49" s="327" t="s">
        <v>582</v>
      </c>
      <c r="U49" s="327" t="s">
        <v>586</v>
      </c>
      <c r="V49" s="327" t="s">
        <v>183</v>
      </c>
      <c r="W49" s="327" t="s">
        <v>411</v>
      </c>
      <c r="X49" s="327" t="s">
        <v>411</v>
      </c>
      <c r="Y49" s="327"/>
      <c r="Z49" s="327"/>
      <c r="AA49" s="327" t="s">
        <v>587</v>
      </c>
      <c r="AB49" s="327">
        <v>5000</v>
      </c>
      <c r="AC49" s="327">
        <v>99999999</v>
      </c>
      <c r="AD49" s="327" t="s">
        <v>411</v>
      </c>
      <c r="AE49" s="327" t="s">
        <v>439</v>
      </c>
      <c r="AF49" s="327" t="s">
        <v>411</v>
      </c>
      <c r="AG49" s="327" t="s">
        <v>411</v>
      </c>
      <c r="AH49" s="327">
        <v>0</v>
      </c>
      <c r="AI49" s="327">
        <v>0</v>
      </c>
      <c r="AJ49" s="327">
        <v>0</v>
      </c>
      <c r="AK49" s="327">
        <v>0</v>
      </c>
      <c r="AL49" s="327">
        <v>0</v>
      </c>
      <c r="AM49" s="327" t="s">
        <v>183</v>
      </c>
      <c r="AN49" s="327">
        <v>0</v>
      </c>
      <c r="AO49" s="327" t="s">
        <v>411</v>
      </c>
      <c r="AP49" s="327">
        <v>1</v>
      </c>
      <c r="AQ49" s="327">
        <v>1111</v>
      </c>
      <c r="AR49" s="327" t="s">
        <v>583</v>
      </c>
      <c r="AS49" s="327">
        <v>30</v>
      </c>
      <c r="AT49" s="327">
        <v>10</v>
      </c>
      <c r="AU49" s="327">
        <v>1</v>
      </c>
      <c r="AV49" s="327">
        <v>0</v>
      </c>
      <c r="AW49" s="327">
        <v>0</v>
      </c>
      <c r="AX49" s="327">
        <v>0</v>
      </c>
      <c r="AY49" s="327">
        <v>0</v>
      </c>
      <c r="AZ49" s="327">
        <v>1</v>
      </c>
      <c r="BA49" s="327">
        <v>0</v>
      </c>
      <c r="BB49" s="327">
        <v>40640.750486111108</v>
      </c>
      <c r="BC49" s="327">
        <v>470195</v>
      </c>
      <c r="BD49" s="327">
        <v>470195</v>
      </c>
      <c r="BE49" s="327">
        <v>45392.67769675926</v>
      </c>
      <c r="BF49" s="327">
        <v>363363</v>
      </c>
      <c r="BG49" s="327">
        <v>363363</v>
      </c>
    </row>
    <row r="50" spans="1:59" ht="13.5" customHeight="1">
      <c r="B50" s="339" t="s">
        <v>176</v>
      </c>
      <c r="C50" s="84" t="s">
        <v>169</v>
      </c>
      <c r="D50" s="327" t="s">
        <v>437</v>
      </c>
      <c r="E50" s="327" t="s">
        <v>613</v>
      </c>
      <c r="F50" s="327" t="s">
        <v>613</v>
      </c>
      <c r="G50" s="327" t="s">
        <v>614</v>
      </c>
      <c r="H50" s="420" t="s">
        <v>600</v>
      </c>
      <c r="I50" s="327" t="s">
        <v>185</v>
      </c>
      <c r="J50" s="327" t="s">
        <v>411</v>
      </c>
      <c r="K50" s="327" t="s">
        <v>411</v>
      </c>
      <c r="L50" s="327" t="s">
        <v>156</v>
      </c>
      <c r="M50" s="327" t="s">
        <v>156</v>
      </c>
      <c r="N50" s="327" t="s">
        <v>584</v>
      </c>
      <c r="O50" s="327" t="s">
        <v>156</v>
      </c>
      <c r="P50" s="327" t="s">
        <v>585</v>
      </c>
      <c r="Q50" s="327" t="s">
        <v>183</v>
      </c>
      <c r="R50" s="327" t="s">
        <v>411</v>
      </c>
      <c r="S50" s="327" t="s">
        <v>581</v>
      </c>
      <c r="T50" s="327" t="s">
        <v>582</v>
      </c>
      <c r="U50" s="327" t="s">
        <v>586</v>
      </c>
      <c r="V50" s="327" t="s">
        <v>183</v>
      </c>
      <c r="W50" s="327" t="s">
        <v>411</v>
      </c>
      <c r="X50" s="327" t="s">
        <v>411</v>
      </c>
      <c r="Y50" s="327"/>
      <c r="Z50" s="327"/>
      <c r="AA50" s="327" t="s">
        <v>587</v>
      </c>
      <c r="AB50" s="327">
        <v>5000</v>
      </c>
      <c r="AC50" s="327">
        <v>99999999</v>
      </c>
      <c r="AD50" s="327" t="s">
        <v>411</v>
      </c>
      <c r="AE50" s="327" t="s">
        <v>439</v>
      </c>
      <c r="AF50" s="327" t="s">
        <v>411</v>
      </c>
      <c r="AG50" s="327" t="s">
        <v>411</v>
      </c>
      <c r="AH50" s="327">
        <v>0</v>
      </c>
      <c r="AI50" s="327">
        <v>0</v>
      </c>
      <c r="AJ50" s="327">
        <v>0</v>
      </c>
      <c r="AK50" s="327">
        <v>0</v>
      </c>
      <c r="AL50" s="327">
        <v>0</v>
      </c>
      <c r="AM50" s="327" t="s">
        <v>183</v>
      </c>
      <c r="AN50" s="327">
        <v>0</v>
      </c>
      <c r="AO50" s="327" t="s">
        <v>411</v>
      </c>
      <c r="AP50" s="327">
        <v>1</v>
      </c>
      <c r="AQ50" s="327">
        <v>1111</v>
      </c>
      <c r="AR50" s="327" t="s">
        <v>583</v>
      </c>
      <c r="AS50" s="327">
        <v>30</v>
      </c>
      <c r="AT50" s="327">
        <v>10</v>
      </c>
      <c r="AU50" s="327">
        <v>1</v>
      </c>
      <c r="AV50" s="327">
        <v>0</v>
      </c>
      <c r="AW50" s="327">
        <v>0</v>
      </c>
      <c r="AX50" s="327">
        <v>0</v>
      </c>
      <c r="AY50" s="327">
        <v>0</v>
      </c>
      <c r="AZ50" s="327">
        <v>1</v>
      </c>
      <c r="BA50" s="327">
        <v>0</v>
      </c>
      <c r="BB50" s="327">
        <v>40640.750486111108</v>
      </c>
      <c r="BC50" s="327">
        <v>470195</v>
      </c>
      <c r="BD50" s="327">
        <v>470195</v>
      </c>
      <c r="BE50" s="327">
        <v>45392.67769675926</v>
      </c>
      <c r="BF50" s="327">
        <v>363363</v>
      </c>
      <c r="BG50" s="327">
        <v>363363</v>
      </c>
    </row>
    <row r="51" spans="1:59">
      <c r="B51" s="339" t="s">
        <v>177</v>
      </c>
      <c r="C51" s="84" t="s">
        <v>169</v>
      </c>
      <c r="D51" s="327" t="s">
        <v>685</v>
      </c>
      <c r="E51" s="327" t="s">
        <v>630</v>
      </c>
      <c r="F51" s="327" t="s">
        <v>630</v>
      </c>
      <c r="G51" s="327" t="s">
        <v>183</v>
      </c>
      <c r="H51" s="420" t="s">
        <v>600</v>
      </c>
      <c r="I51" s="327" t="s">
        <v>439</v>
      </c>
      <c r="J51" s="327" t="s">
        <v>183</v>
      </c>
      <c r="K51" s="327" t="s">
        <v>411</v>
      </c>
      <c r="L51" s="327" t="s">
        <v>156</v>
      </c>
      <c r="M51" s="327" t="s">
        <v>156</v>
      </c>
      <c r="N51" s="327" t="s">
        <v>584</v>
      </c>
      <c r="O51" s="327" t="s">
        <v>156</v>
      </c>
      <c r="P51" s="327" t="s">
        <v>585</v>
      </c>
      <c r="Q51" s="327" t="s">
        <v>183</v>
      </c>
      <c r="R51" s="327" t="s">
        <v>411</v>
      </c>
      <c r="S51" s="327" t="s">
        <v>581</v>
      </c>
      <c r="T51" s="327" t="s">
        <v>582</v>
      </c>
      <c r="U51" s="327" t="s">
        <v>586</v>
      </c>
      <c r="V51" s="327" t="s">
        <v>183</v>
      </c>
      <c r="W51" s="327" t="s">
        <v>411</v>
      </c>
      <c r="X51" s="327" t="s">
        <v>411</v>
      </c>
      <c r="Y51" s="327"/>
      <c r="Z51" s="327"/>
      <c r="AA51" s="327" t="s">
        <v>587</v>
      </c>
      <c r="AB51" s="327">
        <v>5000</v>
      </c>
      <c r="AC51" s="327">
        <v>99999999</v>
      </c>
      <c r="AD51" s="327">
        <v>0</v>
      </c>
      <c r="AE51" s="327">
        <v>2</v>
      </c>
      <c r="AF51" s="327">
        <v>0</v>
      </c>
      <c r="AG51" s="327">
        <v>0</v>
      </c>
      <c r="AH51" s="327">
        <v>0</v>
      </c>
      <c r="AI51" s="327">
        <v>0</v>
      </c>
      <c r="AJ51" s="327">
        <v>0</v>
      </c>
      <c r="AK51" s="327">
        <v>0</v>
      </c>
      <c r="AL51" s="327">
        <v>0</v>
      </c>
      <c r="AM51" s="327">
        <v>1</v>
      </c>
      <c r="AN51" s="327">
        <v>0</v>
      </c>
      <c r="AO51" s="327">
        <v>0</v>
      </c>
      <c r="AP51" s="327">
        <v>1</v>
      </c>
      <c r="AQ51" s="327">
        <v>1111</v>
      </c>
      <c r="AR51" s="327" t="s">
        <v>583</v>
      </c>
      <c r="AS51" s="327">
        <v>30</v>
      </c>
      <c r="AT51" s="327">
        <v>10</v>
      </c>
      <c r="AU51" s="327">
        <v>1</v>
      </c>
      <c r="AV51" s="327">
        <v>0</v>
      </c>
      <c r="AW51" s="327">
        <v>0</v>
      </c>
      <c r="AX51" s="327">
        <v>0</v>
      </c>
      <c r="AY51" s="327">
        <v>0</v>
      </c>
      <c r="AZ51" s="327">
        <v>1</v>
      </c>
      <c r="BA51" s="327">
        <v>0</v>
      </c>
      <c r="BB51" s="327">
        <v>40640.750486111108</v>
      </c>
      <c r="BC51" s="327">
        <v>470195</v>
      </c>
      <c r="BD51" s="327">
        <v>470195</v>
      </c>
      <c r="BE51" s="327">
        <v>45392.67769675926</v>
      </c>
      <c r="BF51" s="327">
        <v>363363</v>
      </c>
      <c r="BG51" s="327">
        <v>363363</v>
      </c>
    </row>
    <row r="52" spans="1:59">
      <c r="B52" s="339" t="s">
        <v>178</v>
      </c>
      <c r="C52" s="341" t="s">
        <v>635</v>
      </c>
      <c r="D52" s="327" t="s">
        <v>645</v>
      </c>
      <c r="E52" s="327" t="s">
        <v>630</v>
      </c>
      <c r="F52" s="327" t="s">
        <v>438</v>
      </c>
      <c r="G52" s="327" t="s">
        <v>439</v>
      </c>
      <c r="H52" s="327" t="s">
        <v>439</v>
      </c>
      <c r="I52" s="327" t="s">
        <v>454</v>
      </c>
      <c r="J52" s="327" t="s">
        <v>411</v>
      </c>
      <c r="K52" s="327" t="s">
        <v>411</v>
      </c>
      <c r="L52" s="327" t="s">
        <v>156</v>
      </c>
      <c r="M52" s="327" t="s">
        <v>156</v>
      </c>
      <c r="N52" s="327" t="s">
        <v>156</v>
      </c>
      <c r="O52" s="327" t="s">
        <v>156</v>
      </c>
      <c r="P52" s="327" t="s">
        <v>580</v>
      </c>
      <c r="Q52" s="327" t="s">
        <v>411</v>
      </c>
      <c r="R52" s="327" t="s">
        <v>411</v>
      </c>
      <c r="S52" s="327" t="s">
        <v>581</v>
      </c>
      <c r="T52" s="327" t="s">
        <v>582</v>
      </c>
      <c r="U52" s="327" t="s">
        <v>183</v>
      </c>
      <c r="V52" s="327" t="s">
        <v>183</v>
      </c>
      <c r="W52" s="327" t="s">
        <v>411</v>
      </c>
      <c r="X52" s="327" t="s">
        <v>411</v>
      </c>
      <c r="Y52" s="327"/>
      <c r="Z52" s="327"/>
      <c r="AA52" s="327" t="s">
        <v>156</v>
      </c>
      <c r="AB52" s="327">
        <v>1</v>
      </c>
      <c r="AC52" s="327">
        <v>99999999</v>
      </c>
      <c r="AD52" s="327">
        <v>0</v>
      </c>
      <c r="AE52" s="327">
        <v>0</v>
      </c>
      <c r="AF52" s="327">
        <v>0</v>
      </c>
      <c r="AG52" s="327">
        <v>0</v>
      </c>
      <c r="AH52" s="327">
        <v>0</v>
      </c>
      <c r="AI52" s="327">
        <v>0</v>
      </c>
      <c r="AJ52" s="327">
        <v>0</v>
      </c>
      <c r="AK52" s="327">
        <v>0</v>
      </c>
      <c r="AL52" s="327">
        <v>1</v>
      </c>
      <c r="AM52" s="327">
        <v>1</v>
      </c>
      <c r="AN52" s="327">
        <v>0</v>
      </c>
      <c r="AO52" s="327">
        <v>0</v>
      </c>
      <c r="AP52" s="327">
        <v>1</v>
      </c>
      <c r="AQ52" s="327" t="s">
        <v>156</v>
      </c>
      <c r="AR52" s="327" t="s">
        <v>583</v>
      </c>
      <c r="AS52" s="327">
        <v>0</v>
      </c>
      <c r="AT52" s="327">
        <v>0</v>
      </c>
      <c r="AU52" s="327">
        <v>1</v>
      </c>
      <c r="AV52" s="327">
        <v>0</v>
      </c>
      <c r="AW52" s="327">
        <v>0</v>
      </c>
      <c r="AX52" s="327">
        <v>0</v>
      </c>
      <c r="AY52" s="327">
        <v>0</v>
      </c>
      <c r="AZ52" s="327">
        <v>1</v>
      </c>
      <c r="BA52" s="327">
        <v>0</v>
      </c>
      <c r="BB52" s="327">
        <v>29705</v>
      </c>
      <c r="BC52" s="327" t="s">
        <v>445</v>
      </c>
      <c r="BD52" s="327" t="s">
        <v>445</v>
      </c>
      <c r="BE52" s="327">
        <v>39993.705960648149</v>
      </c>
      <c r="BF52" s="327">
        <v>375901</v>
      </c>
      <c r="BG52" s="327">
        <v>375901</v>
      </c>
    </row>
    <row r="53" spans="1:59">
      <c r="B53" s="339" t="s">
        <v>644</v>
      </c>
      <c r="C53" s="341" t="s">
        <v>635</v>
      </c>
      <c r="D53" s="327" t="s">
        <v>642</v>
      </c>
      <c r="E53" s="327" t="s">
        <v>438</v>
      </c>
      <c r="F53" s="327" t="s">
        <v>438</v>
      </c>
      <c r="G53" s="327" t="s">
        <v>439</v>
      </c>
      <c r="H53" s="327" t="s">
        <v>439</v>
      </c>
      <c r="I53" s="327" t="s">
        <v>454</v>
      </c>
      <c r="J53" s="327" t="s">
        <v>411</v>
      </c>
      <c r="K53" s="327" t="s">
        <v>411</v>
      </c>
      <c r="L53" s="327" t="s">
        <v>156</v>
      </c>
      <c r="M53" s="327" t="s">
        <v>156</v>
      </c>
      <c r="N53" s="327" t="s">
        <v>156</v>
      </c>
      <c r="O53" s="327" t="s">
        <v>156</v>
      </c>
      <c r="P53" s="327" t="s">
        <v>580</v>
      </c>
      <c r="Q53" s="327" t="s">
        <v>411</v>
      </c>
      <c r="R53" s="327" t="s">
        <v>411</v>
      </c>
      <c r="S53" s="327" t="s">
        <v>581</v>
      </c>
      <c r="T53" s="327" t="s">
        <v>582</v>
      </c>
      <c r="U53" s="327" t="s">
        <v>183</v>
      </c>
      <c r="V53" s="327" t="s">
        <v>183</v>
      </c>
      <c r="W53" s="327" t="s">
        <v>411</v>
      </c>
      <c r="X53" s="327" t="s">
        <v>411</v>
      </c>
      <c r="Y53" s="327"/>
      <c r="Z53" s="327"/>
      <c r="AA53" s="327" t="s">
        <v>156</v>
      </c>
      <c r="AB53" s="327">
        <v>1</v>
      </c>
      <c r="AC53" s="327">
        <v>99999999</v>
      </c>
      <c r="AD53" s="327">
        <v>0</v>
      </c>
      <c r="AE53" s="327">
        <v>0</v>
      </c>
      <c r="AF53" s="327">
        <v>0</v>
      </c>
      <c r="AG53" s="327">
        <v>0</v>
      </c>
      <c r="AH53" s="327">
        <v>0</v>
      </c>
      <c r="AI53" s="327">
        <v>0</v>
      </c>
      <c r="AJ53" s="327">
        <v>0</v>
      </c>
      <c r="AK53" s="327">
        <v>0</v>
      </c>
      <c r="AL53" s="327">
        <v>1</v>
      </c>
      <c r="AM53" s="327">
        <v>1</v>
      </c>
      <c r="AN53" s="327">
        <v>0</v>
      </c>
      <c r="AO53" s="327">
        <v>0</v>
      </c>
      <c r="AP53" s="327">
        <v>1</v>
      </c>
      <c r="AQ53" s="327" t="s">
        <v>156</v>
      </c>
      <c r="AR53" s="327" t="s">
        <v>583</v>
      </c>
      <c r="AS53" s="327">
        <v>0</v>
      </c>
      <c r="AT53" s="327">
        <v>0</v>
      </c>
      <c r="AU53" s="327">
        <v>1</v>
      </c>
      <c r="AV53" s="327">
        <v>0</v>
      </c>
      <c r="AW53" s="327">
        <v>0</v>
      </c>
      <c r="AX53" s="327">
        <v>0</v>
      </c>
      <c r="AY53" s="327">
        <v>0</v>
      </c>
      <c r="AZ53" s="327">
        <v>1</v>
      </c>
      <c r="BA53" s="327">
        <v>0</v>
      </c>
      <c r="BB53" s="327">
        <v>31819</v>
      </c>
      <c r="BC53" s="327" t="s">
        <v>445</v>
      </c>
      <c r="BD53" s="327" t="s">
        <v>445</v>
      </c>
      <c r="BE53" s="327">
        <v>45636.056898148148</v>
      </c>
      <c r="BF53" s="327" t="s">
        <v>643</v>
      </c>
      <c r="BG53" s="327" t="s">
        <v>643</v>
      </c>
    </row>
    <row r="54" spans="1:59">
      <c r="B54" s="339" t="s">
        <v>670</v>
      </c>
      <c r="C54" s="341" t="s">
        <v>635</v>
      </c>
      <c r="D54" s="327" t="s">
        <v>437</v>
      </c>
      <c r="E54" s="327" t="s">
        <v>453</v>
      </c>
      <c r="F54" s="327" t="s">
        <v>672</v>
      </c>
      <c r="G54" s="327" t="s">
        <v>614</v>
      </c>
      <c r="H54" s="420" t="s">
        <v>600</v>
      </c>
      <c r="I54" s="327" t="s">
        <v>185</v>
      </c>
      <c r="J54" s="327" t="s">
        <v>411</v>
      </c>
      <c r="K54" s="327" t="s">
        <v>411</v>
      </c>
      <c r="L54" s="327" t="s">
        <v>156</v>
      </c>
      <c r="M54" s="327" t="s">
        <v>156</v>
      </c>
      <c r="N54" s="327" t="s">
        <v>584</v>
      </c>
      <c r="O54" s="327" t="s">
        <v>156</v>
      </c>
      <c r="P54" s="327" t="s">
        <v>585</v>
      </c>
      <c r="Q54" s="327" t="s">
        <v>183</v>
      </c>
      <c r="R54" s="327" t="s">
        <v>666</v>
      </c>
      <c r="S54" s="327" t="s">
        <v>581</v>
      </c>
      <c r="T54" s="327" t="s">
        <v>667</v>
      </c>
      <c r="U54" s="327" t="s">
        <v>668</v>
      </c>
      <c r="V54" s="327" t="s">
        <v>183</v>
      </c>
      <c r="W54" s="327" t="s">
        <v>669</v>
      </c>
      <c r="X54" s="327" t="s">
        <v>669</v>
      </c>
      <c r="Y54" s="327"/>
      <c r="Z54" s="327"/>
      <c r="AA54" s="327" t="s">
        <v>587</v>
      </c>
      <c r="AB54" s="327">
        <v>5000</v>
      </c>
      <c r="AC54" s="327">
        <v>99999999</v>
      </c>
      <c r="AD54" s="327">
        <v>0</v>
      </c>
      <c r="AE54" s="327">
        <v>2</v>
      </c>
      <c r="AF54" s="327">
        <v>0</v>
      </c>
      <c r="AG54" s="327">
        <v>0</v>
      </c>
      <c r="AH54" s="327">
        <v>0</v>
      </c>
      <c r="AI54" s="327">
        <v>0</v>
      </c>
      <c r="AJ54" s="327">
        <v>0</v>
      </c>
      <c r="AK54" s="327">
        <v>0</v>
      </c>
      <c r="AL54" s="327">
        <v>0</v>
      </c>
      <c r="AM54" s="327">
        <v>1</v>
      </c>
      <c r="AN54" s="327">
        <v>0</v>
      </c>
      <c r="AO54" s="327">
        <v>0</v>
      </c>
      <c r="AP54" s="327">
        <v>1</v>
      </c>
      <c r="AQ54" s="327">
        <v>1111</v>
      </c>
      <c r="AR54" s="327" t="s">
        <v>583</v>
      </c>
      <c r="AS54" s="327">
        <v>30</v>
      </c>
      <c r="AT54" s="327">
        <v>10</v>
      </c>
      <c r="AU54" s="327">
        <v>1</v>
      </c>
      <c r="AV54" s="327">
        <v>0</v>
      </c>
      <c r="AW54" s="327">
        <v>0</v>
      </c>
      <c r="AX54" s="327">
        <v>0</v>
      </c>
      <c r="AY54" s="327">
        <v>0</v>
      </c>
      <c r="AZ54" s="327">
        <v>1</v>
      </c>
      <c r="BA54" s="327">
        <v>0</v>
      </c>
      <c r="BB54" s="327">
        <v>40640.750486111108</v>
      </c>
      <c r="BC54" s="327">
        <v>470195</v>
      </c>
      <c r="BD54" s="327">
        <v>470195</v>
      </c>
      <c r="BE54" s="327">
        <v>45392.67769675926</v>
      </c>
      <c r="BF54" s="327">
        <v>363363</v>
      </c>
      <c r="BG54" s="327">
        <v>363363</v>
      </c>
    </row>
    <row r="55" spans="1:59">
      <c r="B55" s="339" t="s">
        <v>671</v>
      </c>
      <c r="C55" s="341" t="s">
        <v>635</v>
      </c>
      <c r="D55" s="327" t="s">
        <v>437</v>
      </c>
      <c r="E55" s="327" t="s">
        <v>453</v>
      </c>
      <c r="F55" s="327" t="s">
        <v>631</v>
      </c>
      <c r="G55" s="327" t="s">
        <v>439</v>
      </c>
      <c r="H55" s="327" t="s">
        <v>439</v>
      </c>
      <c r="I55" s="327" t="s">
        <v>185</v>
      </c>
      <c r="J55" s="327" t="s">
        <v>411</v>
      </c>
      <c r="K55" s="327" t="s">
        <v>411</v>
      </c>
      <c r="L55" s="327" t="s">
        <v>156</v>
      </c>
      <c r="M55" s="327" t="s">
        <v>156</v>
      </c>
      <c r="N55" s="327" t="s">
        <v>584</v>
      </c>
      <c r="O55" s="327" t="s">
        <v>156</v>
      </c>
      <c r="P55" s="327" t="s">
        <v>585</v>
      </c>
      <c r="Q55" s="327" t="s">
        <v>183</v>
      </c>
      <c r="R55" s="327" t="s">
        <v>666</v>
      </c>
      <c r="S55" s="327" t="s">
        <v>581</v>
      </c>
      <c r="T55" s="327" t="s">
        <v>667</v>
      </c>
      <c r="U55" s="327" t="s">
        <v>668</v>
      </c>
      <c r="V55" s="327" t="s">
        <v>183</v>
      </c>
      <c r="W55" s="327" t="s">
        <v>669</v>
      </c>
      <c r="X55" s="327" t="s">
        <v>669</v>
      </c>
      <c r="Y55" s="327"/>
      <c r="Z55" s="327"/>
      <c r="AA55" s="327" t="s">
        <v>587</v>
      </c>
      <c r="AB55" s="327">
        <v>5000</v>
      </c>
      <c r="AC55" s="327">
        <v>99999999</v>
      </c>
      <c r="AD55" s="327">
        <v>0</v>
      </c>
      <c r="AE55" s="327">
        <v>2</v>
      </c>
      <c r="AF55" s="327">
        <v>0</v>
      </c>
      <c r="AG55" s="327">
        <v>0</v>
      </c>
      <c r="AH55" s="327">
        <v>0</v>
      </c>
      <c r="AI55" s="327">
        <v>0</v>
      </c>
      <c r="AJ55" s="327">
        <v>0</v>
      </c>
      <c r="AK55" s="327">
        <v>0</v>
      </c>
      <c r="AL55" s="327">
        <v>0</v>
      </c>
      <c r="AM55" s="327">
        <v>1</v>
      </c>
      <c r="AN55" s="327">
        <v>0</v>
      </c>
      <c r="AO55" s="327">
        <v>0</v>
      </c>
      <c r="AP55" s="327">
        <v>1</v>
      </c>
      <c r="AQ55" s="327">
        <v>1111</v>
      </c>
      <c r="AR55" s="327" t="s">
        <v>583</v>
      </c>
      <c r="AS55" s="327">
        <v>30</v>
      </c>
      <c r="AT55" s="327">
        <v>10</v>
      </c>
      <c r="AU55" s="327">
        <v>1</v>
      </c>
      <c r="AV55" s="327">
        <v>0</v>
      </c>
      <c r="AW55" s="327">
        <v>0</v>
      </c>
      <c r="AX55" s="327">
        <v>0</v>
      </c>
      <c r="AY55" s="327">
        <v>0</v>
      </c>
      <c r="AZ55" s="327">
        <v>1</v>
      </c>
      <c r="BA55" s="327">
        <v>0</v>
      </c>
      <c r="BB55" s="327">
        <v>40640.750486111108</v>
      </c>
      <c r="BC55" s="327">
        <v>470195</v>
      </c>
      <c r="BD55" s="327">
        <v>470195</v>
      </c>
      <c r="BE55" s="327">
        <v>45392.67769675926</v>
      </c>
      <c r="BF55" s="327">
        <v>363363</v>
      </c>
      <c r="BG55" s="327">
        <v>363363</v>
      </c>
    </row>
    <row r="56" spans="1:59">
      <c r="B56" s="339" t="s">
        <v>681</v>
      </c>
      <c r="C56" s="341" t="s">
        <v>635</v>
      </c>
      <c r="D56" s="327" t="s">
        <v>679</v>
      </c>
      <c r="E56" s="327" t="s">
        <v>613</v>
      </c>
      <c r="F56" s="327" t="s">
        <v>613</v>
      </c>
      <c r="G56" s="327" t="s">
        <v>614</v>
      </c>
      <c r="H56" s="420" t="s">
        <v>600</v>
      </c>
      <c r="I56" s="327" t="s">
        <v>185</v>
      </c>
      <c r="J56" s="327" t="s">
        <v>411</v>
      </c>
      <c r="K56" s="327" t="s">
        <v>411</v>
      </c>
      <c r="L56" s="327" t="s">
        <v>156</v>
      </c>
      <c r="M56" s="327" t="s">
        <v>156</v>
      </c>
      <c r="N56" s="327" t="s">
        <v>584</v>
      </c>
      <c r="O56" s="327" t="s">
        <v>156</v>
      </c>
      <c r="P56" s="327" t="s">
        <v>585</v>
      </c>
      <c r="Q56" s="327" t="s">
        <v>183</v>
      </c>
      <c r="R56" s="327" t="s">
        <v>666</v>
      </c>
      <c r="S56" s="327" t="s">
        <v>581</v>
      </c>
      <c r="T56" s="327" t="s">
        <v>667</v>
      </c>
      <c r="U56" s="327" t="s">
        <v>668</v>
      </c>
      <c r="V56" s="327" t="s">
        <v>183</v>
      </c>
      <c r="W56" s="327" t="s">
        <v>669</v>
      </c>
      <c r="X56" s="327" t="s">
        <v>669</v>
      </c>
      <c r="Y56" s="327"/>
      <c r="Z56" s="327"/>
      <c r="AA56" s="327" t="s">
        <v>587</v>
      </c>
      <c r="AB56" s="327" t="s">
        <v>668</v>
      </c>
      <c r="AC56" s="327" t="s">
        <v>673</v>
      </c>
      <c r="AD56" s="327" t="s">
        <v>411</v>
      </c>
      <c r="AE56" s="327" t="s">
        <v>439</v>
      </c>
      <c r="AF56" s="327" t="s">
        <v>411</v>
      </c>
      <c r="AG56" s="327" t="s">
        <v>411</v>
      </c>
      <c r="AH56" s="327" t="s">
        <v>411</v>
      </c>
      <c r="AI56" s="327" t="s">
        <v>411</v>
      </c>
      <c r="AJ56" s="327" t="s">
        <v>411</v>
      </c>
      <c r="AK56" s="327" t="s">
        <v>411</v>
      </c>
      <c r="AL56" s="327" t="s">
        <v>411</v>
      </c>
      <c r="AM56" s="327" t="s">
        <v>183</v>
      </c>
      <c r="AN56" s="327" t="s">
        <v>411</v>
      </c>
      <c r="AO56" s="327" t="s">
        <v>411</v>
      </c>
      <c r="AP56" s="327" t="s">
        <v>413</v>
      </c>
      <c r="AQ56" s="327" t="s">
        <v>674</v>
      </c>
      <c r="AR56" s="327" t="s">
        <v>583</v>
      </c>
      <c r="AS56" s="327" t="s">
        <v>675</v>
      </c>
      <c r="AT56" s="327" t="s">
        <v>676</v>
      </c>
      <c r="AU56" s="327" t="s">
        <v>183</v>
      </c>
      <c r="AV56" s="327" t="s">
        <v>666</v>
      </c>
      <c r="AW56" s="327" t="s">
        <v>411</v>
      </c>
      <c r="AX56" s="327" t="s">
        <v>441</v>
      </c>
      <c r="AY56" s="327" t="s">
        <v>411</v>
      </c>
      <c r="AZ56" s="327" t="s">
        <v>183</v>
      </c>
      <c r="BA56" s="327" t="s">
        <v>411</v>
      </c>
      <c r="BB56" s="327" t="s">
        <v>450</v>
      </c>
      <c r="BC56" s="327" t="s">
        <v>451</v>
      </c>
      <c r="BD56" s="327" t="s">
        <v>451</v>
      </c>
      <c r="BE56" s="327" t="s">
        <v>677</v>
      </c>
      <c r="BF56" s="327" t="s">
        <v>678</v>
      </c>
      <c r="BG56" s="327" t="s">
        <v>678</v>
      </c>
    </row>
    <row r="57" spans="1:59">
      <c r="B57" s="339" t="s">
        <v>682</v>
      </c>
      <c r="C57" s="341" t="s">
        <v>635</v>
      </c>
      <c r="D57" s="327" t="s">
        <v>437</v>
      </c>
      <c r="E57" s="327" t="s">
        <v>612</v>
      </c>
      <c r="F57" s="327" t="s">
        <v>613</v>
      </c>
      <c r="G57" s="327" t="s">
        <v>614</v>
      </c>
      <c r="H57" s="420" t="s">
        <v>600</v>
      </c>
      <c r="I57" s="327" t="s">
        <v>185</v>
      </c>
      <c r="J57" s="327" t="s">
        <v>411</v>
      </c>
      <c r="K57" s="327" t="s">
        <v>411</v>
      </c>
      <c r="L57" s="327" t="s">
        <v>156</v>
      </c>
      <c r="M57" s="327" t="s">
        <v>156</v>
      </c>
      <c r="N57" s="327" t="s">
        <v>584</v>
      </c>
      <c r="O57" s="327" t="s">
        <v>156</v>
      </c>
      <c r="P57" s="327" t="s">
        <v>585</v>
      </c>
      <c r="Q57" s="327" t="s">
        <v>183</v>
      </c>
      <c r="R57" s="327" t="s">
        <v>666</v>
      </c>
      <c r="S57" s="327" t="s">
        <v>581</v>
      </c>
      <c r="T57" s="327" t="s">
        <v>667</v>
      </c>
      <c r="U57" s="327" t="s">
        <v>668</v>
      </c>
      <c r="V57" s="327" t="s">
        <v>183</v>
      </c>
      <c r="W57" s="327" t="s">
        <v>669</v>
      </c>
      <c r="X57" s="327" t="s">
        <v>669</v>
      </c>
      <c r="Y57" s="327"/>
      <c r="Z57" s="327"/>
      <c r="AA57" s="327" t="s">
        <v>587</v>
      </c>
      <c r="AB57" s="327" t="s">
        <v>668</v>
      </c>
      <c r="AC57" s="327" t="s">
        <v>673</v>
      </c>
      <c r="AD57" s="327" t="s">
        <v>411</v>
      </c>
      <c r="AE57" s="327" t="s">
        <v>439</v>
      </c>
      <c r="AF57" s="327" t="s">
        <v>411</v>
      </c>
      <c r="AG57" s="327" t="s">
        <v>411</v>
      </c>
      <c r="AH57" s="327" t="s">
        <v>411</v>
      </c>
      <c r="AI57" s="327" t="s">
        <v>411</v>
      </c>
      <c r="AJ57" s="327" t="s">
        <v>411</v>
      </c>
      <c r="AK57" s="327" t="s">
        <v>411</v>
      </c>
      <c r="AL57" s="327" t="s">
        <v>411</v>
      </c>
      <c r="AM57" s="327" t="s">
        <v>183</v>
      </c>
      <c r="AN57" s="327" t="s">
        <v>411</v>
      </c>
      <c r="AO57" s="327" t="s">
        <v>411</v>
      </c>
      <c r="AP57" s="327" t="s">
        <v>413</v>
      </c>
      <c r="AQ57" s="327" t="s">
        <v>674</v>
      </c>
      <c r="AR57" s="327" t="s">
        <v>583</v>
      </c>
      <c r="AS57" s="327" t="s">
        <v>675</v>
      </c>
      <c r="AT57" s="327" t="s">
        <v>676</v>
      </c>
      <c r="AU57" s="327" t="s">
        <v>183</v>
      </c>
      <c r="AV57" s="327" t="s">
        <v>666</v>
      </c>
      <c r="AW57" s="327" t="s">
        <v>411</v>
      </c>
      <c r="AX57" s="327" t="s">
        <v>441</v>
      </c>
      <c r="AY57" s="327" t="s">
        <v>411</v>
      </c>
      <c r="AZ57" s="327" t="s">
        <v>183</v>
      </c>
      <c r="BA57" s="327" t="s">
        <v>411</v>
      </c>
      <c r="BB57" s="327" t="s">
        <v>450</v>
      </c>
      <c r="BC57" s="327" t="s">
        <v>451</v>
      </c>
      <c r="BD57" s="327" t="s">
        <v>451</v>
      </c>
      <c r="BE57" s="327" t="s">
        <v>677</v>
      </c>
      <c r="BF57" s="327" t="s">
        <v>678</v>
      </c>
      <c r="BG57" s="327" t="s">
        <v>678</v>
      </c>
    </row>
    <row r="58" spans="1:59">
      <c r="B58" s="339" t="s">
        <v>683</v>
      </c>
      <c r="C58" s="341" t="s">
        <v>635</v>
      </c>
      <c r="D58" s="327" t="s">
        <v>437</v>
      </c>
      <c r="E58" s="327" t="s">
        <v>612</v>
      </c>
      <c r="F58" s="327" t="s">
        <v>453</v>
      </c>
      <c r="G58" s="327" t="s">
        <v>439</v>
      </c>
      <c r="H58" s="327" t="s">
        <v>439</v>
      </c>
      <c r="I58" s="327" t="s">
        <v>185</v>
      </c>
      <c r="J58" s="327" t="s">
        <v>411</v>
      </c>
      <c r="K58" s="327" t="s">
        <v>411</v>
      </c>
      <c r="L58" s="327" t="s">
        <v>156</v>
      </c>
      <c r="M58" s="327" t="s">
        <v>156</v>
      </c>
      <c r="N58" s="327" t="s">
        <v>584</v>
      </c>
      <c r="O58" s="327" t="s">
        <v>156</v>
      </c>
      <c r="P58" s="327" t="s">
        <v>585</v>
      </c>
      <c r="Q58" s="327" t="s">
        <v>183</v>
      </c>
      <c r="R58" s="327" t="s">
        <v>666</v>
      </c>
      <c r="S58" s="327" t="s">
        <v>581</v>
      </c>
      <c r="T58" s="327" t="s">
        <v>667</v>
      </c>
      <c r="U58" s="327" t="s">
        <v>668</v>
      </c>
      <c r="V58" s="327" t="s">
        <v>183</v>
      </c>
      <c r="W58" s="327" t="s">
        <v>669</v>
      </c>
      <c r="X58" s="327" t="s">
        <v>669</v>
      </c>
      <c r="Y58" s="327"/>
      <c r="Z58" s="327"/>
      <c r="AA58" s="327" t="s">
        <v>587</v>
      </c>
      <c r="AB58" s="327" t="s">
        <v>668</v>
      </c>
      <c r="AC58" s="327" t="s">
        <v>673</v>
      </c>
      <c r="AD58" s="327" t="s">
        <v>411</v>
      </c>
      <c r="AE58" s="327" t="s">
        <v>439</v>
      </c>
      <c r="AF58" s="327" t="s">
        <v>411</v>
      </c>
      <c r="AG58" s="327" t="s">
        <v>411</v>
      </c>
      <c r="AH58" s="327" t="s">
        <v>411</v>
      </c>
      <c r="AI58" s="327" t="s">
        <v>411</v>
      </c>
      <c r="AJ58" s="327" t="s">
        <v>411</v>
      </c>
      <c r="AK58" s="327" t="s">
        <v>411</v>
      </c>
      <c r="AL58" s="327" t="s">
        <v>411</v>
      </c>
      <c r="AM58" s="327" t="s">
        <v>183</v>
      </c>
      <c r="AN58" s="327" t="s">
        <v>411</v>
      </c>
      <c r="AO58" s="327" t="s">
        <v>411</v>
      </c>
      <c r="AP58" s="327" t="s">
        <v>413</v>
      </c>
      <c r="AQ58" s="327" t="s">
        <v>674</v>
      </c>
      <c r="AR58" s="327" t="s">
        <v>583</v>
      </c>
      <c r="AS58" s="327" t="s">
        <v>675</v>
      </c>
      <c r="AT58" s="327" t="s">
        <v>676</v>
      </c>
      <c r="AU58" s="327" t="s">
        <v>183</v>
      </c>
      <c r="AV58" s="327" t="s">
        <v>666</v>
      </c>
      <c r="AW58" s="327" t="s">
        <v>411</v>
      </c>
      <c r="AX58" s="327" t="s">
        <v>441</v>
      </c>
      <c r="AY58" s="327" t="s">
        <v>411</v>
      </c>
      <c r="AZ58" s="327" t="s">
        <v>183</v>
      </c>
      <c r="BA58" s="327" t="s">
        <v>411</v>
      </c>
      <c r="BB58" s="327" t="s">
        <v>450</v>
      </c>
      <c r="BC58" s="327" t="s">
        <v>451</v>
      </c>
      <c r="BD58" s="327" t="s">
        <v>451</v>
      </c>
      <c r="BE58" s="327" t="s">
        <v>677</v>
      </c>
      <c r="BF58" s="327" t="s">
        <v>678</v>
      </c>
      <c r="BG58" s="327" t="s">
        <v>678</v>
      </c>
    </row>
    <row r="59" spans="1:59">
      <c r="B59" s="339" t="s">
        <v>704</v>
      </c>
      <c r="C59" s="84" t="s">
        <v>169</v>
      </c>
      <c r="D59" s="327" t="s">
        <v>437</v>
      </c>
      <c r="E59" s="327" t="s">
        <v>702</v>
      </c>
      <c r="F59" s="327" t="s">
        <v>453</v>
      </c>
      <c r="G59" s="327" t="s">
        <v>703</v>
      </c>
      <c r="H59" s="420" t="s">
        <v>600</v>
      </c>
      <c r="I59" s="327" t="s">
        <v>185</v>
      </c>
      <c r="J59" s="327" t="s">
        <v>411</v>
      </c>
      <c r="K59" s="327" t="s">
        <v>411</v>
      </c>
      <c r="L59" s="327" t="s">
        <v>156</v>
      </c>
      <c r="M59" s="327" t="s">
        <v>156</v>
      </c>
      <c r="N59" s="327" t="s">
        <v>584</v>
      </c>
      <c r="O59" s="327" t="s">
        <v>156</v>
      </c>
      <c r="P59" s="327" t="s">
        <v>585</v>
      </c>
      <c r="Q59" s="327" t="s">
        <v>183</v>
      </c>
      <c r="R59" s="327" t="s">
        <v>666</v>
      </c>
      <c r="S59" s="327" t="s">
        <v>581</v>
      </c>
      <c r="T59" s="327" t="s">
        <v>667</v>
      </c>
      <c r="U59" s="327" t="s">
        <v>668</v>
      </c>
      <c r="V59" s="327" t="s">
        <v>183</v>
      </c>
      <c r="W59" s="327" t="s">
        <v>669</v>
      </c>
      <c r="X59" s="327" t="s">
        <v>669</v>
      </c>
      <c r="Y59" s="327"/>
      <c r="Z59" s="327"/>
      <c r="AA59" s="327" t="s">
        <v>587</v>
      </c>
      <c r="AB59" s="327">
        <v>5000</v>
      </c>
      <c r="AC59" s="327">
        <v>99999999</v>
      </c>
      <c r="AD59" s="327">
        <v>0</v>
      </c>
      <c r="AE59" s="327">
        <v>2</v>
      </c>
      <c r="AF59" s="327">
        <v>0</v>
      </c>
      <c r="AG59" s="327">
        <v>0</v>
      </c>
      <c r="AH59" s="327">
        <v>0</v>
      </c>
      <c r="AI59" s="327">
        <v>0</v>
      </c>
      <c r="AJ59" s="327">
        <v>0</v>
      </c>
      <c r="AK59" s="327">
        <v>0</v>
      </c>
      <c r="AL59" s="327">
        <v>0</v>
      </c>
      <c r="AM59" s="327">
        <v>1</v>
      </c>
      <c r="AN59" s="327">
        <v>0</v>
      </c>
      <c r="AO59" s="327">
        <v>0</v>
      </c>
      <c r="AP59" s="327">
        <v>1</v>
      </c>
      <c r="AQ59" s="327">
        <v>1111</v>
      </c>
      <c r="AR59" s="327" t="s">
        <v>583</v>
      </c>
      <c r="AS59" s="327">
        <v>30</v>
      </c>
      <c r="AT59" s="327">
        <v>10</v>
      </c>
      <c r="AU59" s="327">
        <v>1</v>
      </c>
      <c r="AV59" s="327">
        <v>0</v>
      </c>
      <c r="AW59" s="327">
        <v>0</v>
      </c>
      <c r="AX59" s="327">
        <v>0</v>
      </c>
      <c r="AY59" s="327">
        <v>0</v>
      </c>
      <c r="AZ59" s="327">
        <v>1</v>
      </c>
      <c r="BA59" s="327">
        <v>0</v>
      </c>
      <c r="BB59" s="327">
        <v>40640.750486111108</v>
      </c>
      <c r="BC59" s="327">
        <v>470195</v>
      </c>
      <c r="BD59" s="327">
        <v>470195</v>
      </c>
      <c r="BE59" s="327">
        <v>45392.67769675926</v>
      </c>
      <c r="BF59" s="327">
        <v>363363</v>
      </c>
      <c r="BG59" s="327">
        <v>363363</v>
      </c>
    </row>
    <row r="60" spans="1:59">
      <c r="B60" s="339" t="s">
        <v>736</v>
      </c>
      <c r="C60" s="84" t="s">
        <v>169</v>
      </c>
      <c r="D60" s="327" t="s">
        <v>437</v>
      </c>
      <c r="E60" s="327" t="s">
        <v>438</v>
      </c>
      <c r="F60" s="327" t="s">
        <v>631</v>
      </c>
      <c r="G60" s="327" t="s">
        <v>439</v>
      </c>
      <c r="H60" s="327" t="s">
        <v>439</v>
      </c>
      <c r="I60" s="327" t="s">
        <v>185</v>
      </c>
      <c r="J60" s="327" t="s">
        <v>411</v>
      </c>
      <c r="K60" s="327" t="s">
        <v>411</v>
      </c>
      <c r="L60" s="327" t="s">
        <v>156</v>
      </c>
      <c r="M60" s="327" t="s">
        <v>156</v>
      </c>
      <c r="N60" s="327" t="s">
        <v>584</v>
      </c>
      <c r="O60" s="327" t="s">
        <v>156</v>
      </c>
      <c r="P60" s="327" t="s">
        <v>585</v>
      </c>
      <c r="Q60" s="327" t="s">
        <v>183</v>
      </c>
      <c r="R60" s="327" t="s">
        <v>666</v>
      </c>
      <c r="S60" s="327" t="s">
        <v>581</v>
      </c>
      <c r="T60" s="327" t="s">
        <v>667</v>
      </c>
      <c r="U60" s="327" t="s">
        <v>668</v>
      </c>
      <c r="V60" s="327" t="s">
        <v>183</v>
      </c>
      <c r="W60" s="327" t="s">
        <v>669</v>
      </c>
      <c r="X60" s="327" t="s">
        <v>669</v>
      </c>
      <c r="Y60" s="327"/>
      <c r="Z60" s="327"/>
      <c r="AA60" s="327" t="s">
        <v>587</v>
      </c>
      <c r="AB60" s="327">
        <v>5000</v>
      </c>
      <c r="AC60" s="327">
        <v>99999999</v>
      </c>
      <c r="AD60" s="327">
        <v>0</v>
      </c>
      <c r="AE60" s="327">
        <v>2</v>
      </c>
      <c r="AF60" s="327">
        <v>0</v>
      </c>
      <c r="AG60" s="327">
        <v>0</v>
      </c>
      <c r="AH60" s="327">
        <v>0</v>
      </c>
      <c r="AI60" s="327">
        <v>0</v>
      </c>
      <c r="AJ60" s="327">
        <v>0</v>
      </c>
      <c r="AK60" s="327">
        <v>0</v>
      </c>
      <c r="AL60" s="327">
        <v>0</v>
      </c>
      <c r="AM60" s="327">
        <v>1</v>
      </c>
      <c r="AN60" s="327">
        <v>0</v>
      </c>
      <c r="AO60" s="327">
        <v>0</v>
      </c>
      <c r="AP60" s="327">
        <v>1</v>
      </c>
      <c r="AQ60" s="327">
        <v>1111</v>
      </c>
      <c r="AR60" s="327" t="s">
        <v>583</v>
      </c>
      <c r="AS60" s="327">
        <v>30</v>
      </c>
      <c r="AT60" s="327">
        <v>10</v>
      </c>
      <c r="AU60" s="327">
        <v>1</v>
      </c>
      <c r="AV60" s="327">
        <v>0</v>
      </c>
      <c r="AW60" s="327">
        <v>0</v>
      </c>
      <c r="AX60" s="327">
        <v>0</v>
      </c>
      <c r="AY60" s="327">
        <v>0</v>
      </c>
      <c r="AZ60" s="327">
        <v>1</v>
      </c>
      <c r="BA60" s="327">
        <v>0</v>
      </c>
      <c r="BB60" s="327">
        <v>40640.750486111108</v>
      </c>
      <c r="BC60" s="327">
        <v>470195</v>
      </c>
      <c r="BD60" s="327">
        <v>470195</v>
      </c>
      <c r="BE60" s="327">
        <v>45392.67769675926</v>
      </c>
      <c r="BF60" s="327">
        <v>363363</v>
      </c>
      <c r="BG60" s="327">
        <v>363363</v>
      </c>
    </row>
    <row r="61" spans="1:59">
      <c r="B61" s="339" t="s">
        <v>785</v>
      </c>
      <c r="C61" s="84" t="s">
        <v>169</v>
      </c>
      <c r="D61" s="327" t="s">
        <v>437</v>
      </c>
      <c r="E61" s="327" t="s">
        <v>784</v>
      </c>
      <c r="F61" s="327" t="s">
        <v>453</v>
      </c>
      <c r="G61" s="327" t="s">
        <v>183</v>
      </c>
      <c r="H61" s="420" t="s">
        <v>600</v>
      </c>
      <c r="I61" s="327" t="s">
        <v>186</v>
      </c>
      <c r="J61" s="327" t="s">
        <v>411</v>
      </c>
      <c r="K61" s="327" t="s">
        <v>411</v>
      </c>
      <c r="L61" s="327" t="s">
        <v>156</v>
      </c>
      <c r="M61" s="327" t="s">
        <v>156</v>
      </c>
      <c r="N61" s="327" t="s">
        <v>584</v>
      </c>
      <c r="O61" s="327" t="s">
        <v>156</v>
      </c>
      <c r="P61" s="327" t="s">
        <v>585</v>
      </c>
      <c r="Q61" s="327" t="s">
        <v>183</v>
      </c>
      <c r="R61" s="327" t="s">
        <v>666</v>
      </c>
      <c r="S61" s="327" t="s">
        <v>581</v>
      </c>
      <c r="T61" s="327" t="s">
        <v>667</v>
      </c>
      <c r="U61" s="327" t="s">
        <v>668</v>
      </c>
      <c r="V61" s="327" t="s">
        <v>183</v>
      </c>
      <c r="W61" s="327" t="s">
        <v>669</v>
      </c>
      <c r="X61" s="327" t="s">
        <v>669</v>
      </c>
      <c r="Y61" s="327"/>
      <c r="Z61" s="327"/>
      <c r="AA61" s="327" t="s">
        <v>587</v>
      </c>
      <c r="AB61" s="327">
        <v>5000</v>
      </c>
      <c r="AC61" s="327">
        <v>99999999</v>
      </c>
      <c r="AD61" s="327">
        <v>0</v>
      </c>
      <c r="AE61" s="327">
        <v>2</v>
      </c>
      <c r="AF61" s="327">
        <v>0</v>
      </c>
      <c r="AG61" s="327">
        <v>0</v>
      </c>
      <c r="AH61" s="327">
        <v>0</v>
      </c>
      <c r="AI61" s="327">
        <v>0</v>
      </c>
      <c r="AJ61" s="327">
        <v>0</v>
      </c>
      <c r="AK61" s="327">
        <v>0</v>
      </c>
      <c r="AL61" s="327">
        <v>0</v>
      </c>
      <c r="AM61" s="327">
        <v>1</v>
      </c>
      <c r="AN61" s="327">
        <v>0</v>
      </c>
      <c r="AO61" s="327">
        <v>0</v>
      </c>
      <c r="AP61" s="327">
        <v>1</v>
      </c>
      <c r="AQ61" s="327">
        <v>1111</v>
      </c>
      <c r="AR61" s="327" t="s">
        <v>583</v>
      </c>
      <c r="AS61" s="327">
        <v>30</v>
      </c>
      <c r="AT61" s="327">
        <v>10</v>
      </c>
      <c r="AU61" s="327">
        <v>1</v>
      </c>
      <c r="AV61" s="327">
        <v>0</v>
      </c>
      <c r="AW61" s="327">
        <v>0</v>
      </c>
      <c r="AX61" s="327">
        <v>0</v>
      </c>
      <c r="AY61" s="327">
        <v>0</v>
      </c>
      <c r="AZ61" s="327">
        <v>1</v>
      </c>
      <c r="BA61" s="327">
        <v>0</v>
      </c>
      <c r="BB61" s="327">
        <v>40640.750486111108</v>
      </c>
      <c r="BC61" s="327">
        <v>470195</v>
      </c>
      <c r="BD61" s="327">
        <v>470195</v>
      </c>
      <c r="BE61" s="327">
        <v>45392.67769675926</v>
      </c>
      <c r="BF61" s="327">
        <v>363363</v>
      </c>
      <c r="BG61" s="327">
        <v>363363</v>
      </c>
    </row>
    <row r="62" spans="1:59">
      <c r="B62" s="339" t="s">
        <v>791</v>
      </c>
      <c r="C62" s="84" t="s">
        <v>169</v>
      </c>
      <c r="D62" s="327" t="s">
        <v>437</v>
      </c>
      <c r="E62" s="327" t="s">
        <v>790</v>
      </c>
      <c r="F62" s="327" t="s">
        <v>453</v>
      </c>
      <c r="G62" s="327" t="s">
        <v>703</v>
      </c>
      <c r="H62" s="420" t="s">
        <v>600</v>
      </c>
      <c r="I62" s="327" t="s">
        <v>185</v>
      </c>
      <c r="J62" s="327" t="s">
        <v>411</v>
      </c>
      <c r="K62" s="327" t="s">
        <v>411</v>
      </c>
      <c r="L62" s="327" t="s">
        <v>156</v>
      </c>
      <c r="M62" s="327" t="s">
        <v>156</v>
      </c>
      <c r="N62" s="327" t="s">
        <v>584</v>
      </c>
      <c r="O62" s="327" t="s">
        <v>156</v>
      </c>
      <c r="P62" s="327" t="s">
        <v>585</v>
      </c>
      <c r="Q62" s="327" t="s">
        <v>183</v>
      </c>
      <c r="R62" s="327" t="s">
        <v>666</v>
      </c>
      <c r="S62" s="327" t="s">
        <v>581</v>
      </c>
      <c r="T62" s="327" t="s">
        <v>667</v>
      </c>
      <c r="U62" s="327" t="s">
        <v>668</v>
      </c>
      <c r="V62" s="327" t="s">
        <v>183</v>
      </c>
      <c r="W62" s="327" t="s">
        <v>669</v>
      </c>
      <c r="X62" s="327" t="s">
        <v>669</v>
      </c>
      <c r="Y62" s="327"/>
      <c r="Z62" s="327"/>
      <c r="AA62" s="327" t="s">
        <v>587</v>
      </c>
      <c r="AB62" s="327">
        <v>5000</v>
      </c>
      <c r="AC62" s="327">
        <v>99999999</v>
      </c>
      <c r="AD62" s="327">
        <v>0</v>
      </c>
      <c r="AE62" s="327">
        <v>2</v>
      </c>
      <c r="AF62" s="327">
        <v>0</v>
      </c>
      <c r="AG62" s="327">
        <v>0</v>
      </c>
      <c r="AH62" s="327">
        <v>0</v>
      </c>
      <c r="AI62" s="327">
        <v>0</v>
      </c>
      <c r="AJ62" s="327">
        <v>0</v>
      </c>
      <c r="AK62" s="327">
        <v>0</v>
      </c>
      <c r="AL62" s="327">
        <v>0</v>
      </c>
      <c r="AM62" s="327">
        <v>1</v>
      </c>
      <c r="AN62" s="327">
        <v>0</v>
      </c>
      <c r="AO62" s="327">
        <v>0</v>
      </c>
      <c r="AP62" s="327">
        <v>1</v>
      </c>
      <c r="AQ62" s="327">
        <v>1111</v>
      </c>
      <c r="AR62" s="327" t="s">
        <v>583</v>
      </c>
      <c r="AS62" s="327">
        <v>30</v>
      </c>
      <c r="AT62" s="327">
        <v>10</v>
      </c>
      <c r="AU62" s="327">
        <v>1</v>
      </c>
      <c r="AV62" s="327">
        <v>0</v>
      </c>
      <c r="AW62" s="327">
        <v>0</v>
      </c>
      <c r="AX62" s="327">
        <v>0</v>
      </c>
      <c r="AY62" s="327">
        <v>0</v>
      </c>
      <c r="AZ62" s="327">
        <v>1</v>
      </c>
      <c r="BA62" s="327">
        <v>0</v>
      </c>
      <c r="BB62" s="327">
        <v>40640.750486111108</v>
      </c>
      <c r="BC62" s="327">
        <v>470195</v>
      </c>
      <c r="BD62" s="327">
        <v>470195</v>
      </c>
      <c r="BE62" s="327">
        <v>45392.67769675926</v>
      </c>
      <c r="BF62" s="327">
        <v>363363</v>
      </c>
      <c r="BG62" s="327">
        <v>363363</v>
      </c>
    </row>
    <row r="63" spans="1:59">
      <c r="B63" s="66"/>
      <c r="C63" s="81"/>
      <c r="D63" s="66"/>
      <c r="E63" s="66"/>
      <c r="F63" s="66"/>
      <c r="G63" s="66"/>
      <c r="H63" s="66"/>
      <c r="I63" s="66"/>
      <c r="J63" s="66"/>
      <c r="K63" s="66"/>
      <c r="L63" s="66"/>
      <c r="M63" s="66"/>
      <c r="N63" s="66"/>
      <c r="O63" s="66"/>
      <c r="P63" s="66"/>
      <c r="Q63" s="66"/>
      <c r="R63" s="66"/>
      <c r="S63" s="66"/>
      <c r="T63" s="89"/>
      <c r="U63" s="89"/>
      <c r="V63" s="89"/>
      <c r="W63" s="89"/>
      <c r="X63" s="89"/>
      <c r="Y63" s="89"/>
      <c r="Z63" s="70"/>
      <c r="AA63" s="70"/>
      <c r="AB63" s="70"/>
      <c r="AC63" s="70"/>
      <c r="AD63" s="70"/>
      <c r="AE63" s="70"/>
      <c r="AF63" s="70"/>
      <c r="AG63" s="70"/>
      <c r="AH63" s="70"/>
      <c r="AI63" s="70"/>
      <c r="AJ63" s="70"/>
      <c r="AK63" s="70"/>
      <c r="AL63" s="70"/>
      <c r="AM63" s="70"/>
      <c r="AN63" s="70"/>
      <c r="AO63" s="70"/>
    </row>
    <row r="64" spans="1:59">
      <c r="A64" s="455"/>
      <c r="B64" s="456"/>
      <c r="C64" s="456"/>
      <c r="D64" s="456"/>
      <c r="E64" s="456"/>
      <c r="F64" s="373"/>
      <c r="G64" s="373"/>
      <c r="H64" s="373"/>
      <c r="I64" s="373"/>
      <c r="J64" s="373"/>
      <c r="K64" s="373"/>
      <c r="L64" s="373"/>
      <c r="M64" s="373"/>
      <c r="N64" s="373"/>
      <c r="O64" s="373"/>
      <c r="P64" s="373"/>
      <c r="Q64" s="373"/>
      <c r="R64" s="373"/>
      <c r="S64" s="373"/>
      <c r="T64" s="310"/>
      <c r="U64" s="310"/>
      <c r="V64" s="310"/>
      <c r="W64" s="310"/>
      <c r="X64" s="310"/>
      <c r="Y64" s="310"/>
      <c r="Z64" s="70"/>
      <c r="AA64" s="70"/>
      <c r="AB64" s="70"/>
      <c r="AC64" s="70"/>
      <c r="AD64" s="70"/>
      <c r="AE64" s="70"/>
      <c r="AF64" s="70"/>
      <c r="AG64" s="70"/>
      <c r="AH64" s="70"/>
      <c r="AI64" s="70"/>
      <c r="AJ64" s="70"/>
      <c r="AK64" s="70"/>
      <c r="AL64" s="70"/>
      <c r="AM64" s="70"/>
      <c r="AN64" s="70"/>
      <c r="AO64" s="70"/>
    </row>
    <row r="65" spans="1:41">
      <c r="A65" s="456"/>
      <c r="B65" s="456"/>
      <c r="C65" s="456"/>
      <c r="D65" s="456"/>
      <c r="E65" s="456"/>
      <c r="F65" s="373"/>
      <c r="G65" s="373"/>
      <c r="H65" s="373"/>
      <c r="I65" s="373"/>
      <c r="J65" s="373"/>
      <c r="K65" s="373"/>
      <c r="L65" s="373"/>
      <c r="M65" s="373"/>
      <c r="N65" s="373"/>
      <c r="O65" s="373"/>
      <c r="P65" s="373"/>
      <c r="Q65" s="373"/>
      <c r="R65" s="373"/>
      <c r="S65" s="373"/>
      <c r="T65" s="310"/>
      <c r="U65" s="310"/>
      <c r="V65" s="310"/>
      <c r="W65" s="310"/>
      <c r="X65" s="310"/>
      <c r="Y65" s="310"/>
      <c r="Z65" s="70"/>
      <c r="AA65" s="70"/>
      <c r="AB65" s="70"/>
      <c r="AC65" s="70"/>
      <c r="AD65" s="70"/>
      <c r="AE65" s="70"/>
      <c r="AF65" s="70"/>
      <c r="AG65" s="70"/>
      <c r="AH65" s="70"/>
      <c r="AI65" s="70"/>
      <c r="AJ65" s="70"/>
      <c r="AK65" s="70"/>
      <c r="AL65" s="70"/>
      <c r="AM65" s="70"/>
      <c r="AN65" s="70"/>
      <c r="AO65" s="70"/>
    </row>
    <row r="66" spans="1:41">
      <c r="A66" s="374"/>
      <c r="B66" s="373"/>
      <c r="C66" s="375"/>
      <c r="D66" s="373"/>
      <c r="E66" s="373"/>
      <c r="F66" s="373"/>
      <c r="G66" s="373"/>
      <c r="H66" s="373"/>
      <c r="I66" s="373"/>
      <c r="J66" s="373"/>
      <c r="K66" s="373"/>
      <c r="L66" s="373"/>
      <c r="M66" s="373"/>
      <c r="N66" s="373"/>
      <c r="O66" s="373"/>
      <c r="P66" s="373"/>
      <c r="Q66" s="373"/>
      <c r="R66" s="373"/>
      <c r="S66" s="373"/>
      <c r="T66" s="310"/>
      <c r="U66" s="310"/>
      <c r="V66" s="310"/>
      <c r="W66" s="310"/>
      <c r="X66" s="310"/>
      <c r="Y66" s="310"/>
      <c r="Z66" s="303"/>
      <c r="AA66" s="303"/>
      <c r="AB66" s="303"/>
      <c r="AC66" s="303"/>
      <c r="AD66" s="303"/>
      <c r="AE66" s="303"/>
      <c r="AF66" s="303"/>
      <c r="AG66" s="303"/>
      <c r="AH66" s="303"/>
      <c r="AI66" s="70"/>
      <c r="AJ66" s="70"/>
      <c r="AK66" s="70"/>
      <c r="AL66" s="70"/>
      <c r="AM66" s="70"/>
      <c r="AN66" s="70"/>
      <c r="AO66" s="70"/>
    </row>
    <row r="67" spans="1:41" ht="19.5" customHeight="1">
      <c r="A67" s="374"/>
      <c r="B67" s="373"/>
      <c r="C67" s="376"/>
      <c r="D67" s="446"/>
      <c r="E67" s="446"/>
      <c r="F67" s="446"/>
      <c r="G67" s="446"/>
      <c r="H67" s="446"/>
      <c r="I67" s="446"/>
      <c r="J67" s="446"/>
      <c r="K67" s="446"/>
      <c r="L67" s="446"/>
      <c r="M67" s="446"/>
      <c r="N67" s="446"/>
      <c r="O67" s="446"/>
      <c r="P67" s="446"/>
      <c r="Q67" s="446"/>
      <c r="R67" s="446"/>
      <c r="S67" s="446"/>
      <c r="T67" s="446"/>
      <c r="U67" s="446"/>
      <c r="V67" s="446"/>
      <c r="W67" s="446"/>
      <c r="X67" s="446"/>
      <c r="Y67" s="446"/>
      <c r="Z67" s="303"/>
      <c r="AA67" s="303"/>
      <c r="AB67" s="303"/>
      <c r="AC67" s="303"/>
      <c r="AD67" s="303"/>
      <c r="AE67" s="303"/>
      <c r="AF67" s="303"/>
      <c r="AG67" s="303"/>
      <c r="AH67" s="303"/>
      <c r="AI67" s="69"/>
      <c r="AJ67" s="69"/>
      <c r="AK67" s="69"/>
      <c r="AL67" s="69"/>
      <c r="AM67" s="70"/>
      <c r="AN67" s="70"/>
      <c r="AO67" s="70"/>
    </row>
    <row r="68" spans="1:41" s="72" customFormat="1" ht="16.5" customHeight="1">
      <c r="A68" s="447"/>
      <c r="B68" s="447"/>
      <c r="C68" s="447"/>
      <c r="D68" s="402"/>
      <c r="E68" s="402"/>
      <c r="F68" s="402"/>
      <c r="G68" s="402"/>
      <c r="H68" s="402"/>
      <c r="I68" s="402"/>
      <c r="J68" s="403"/>
      <c r="K68" s="403"/>
      <c r="L68" s="403"/>
      <c r="M68" s="403"/>
      <c r="N68" s="403"/>
      <c r="O68" s="403"/>
      <c r="P68" s="403"/>
      <c r="Q68" s="403"/>
      <c r="R68" s="403"/>
      <c r="S68" s="403"/>
      <c r="T68" s="403"/>
      <c r="U68" s="403"/>
      <c r="V68" s="402"/>
      <c r="W68" s="402"/>
      <c r="X68" s="402"/>
      <c r="Y68" s="402"/>
      <c r="Z68" s="304"/>
      <c r="AA68" s="304"/>
      <c r="AB68" s="304"/>
      <c r="AC68" s="304"/>
      <c r="AD68" s="304"/>
      <c r="AE68" s="304"/>
      <c r="AF68" s="304"/>
      <c r="AG68" s="304"/>
      <c r="AH68" s="304"/>
      <c r="AI68" s="71"/>
      <c r="AJ68" s="71"/>
      <c r="AK68" s="71"/>
      <c r="AL68" s="71"/>
    </row>
    <row r="69" spans="1:41" s="78" customFormat="1" ht="93.75" customHeight="1">
      <c r="A69" s="377"/>
      <c r="B69" s="378"/>
      <c r="C69" s="379"/>
      <c r="D69" s="404"/>
      <c r="E69" s="405"/>
      <c r="F69" s="406"/>
      <c r="G69" s="404"/>
      <c r="H69" s="405"/>
      <c r="I69" s="404"/>
      <c r="J69" s="406"/>
      <c r="K69" s="407"/>
      <c r="L69" s="405"/>
      <c r="M69" s="407"/>
      <c r="N69" s="408"/>
      <c r="O69" s="407"/>
      <c r="P69" s="406"/>
      <c r="Q69" s="404"/>
      <c r="R69" s="406"/>
      <c r="S69" s="409"/>
      <c r="T69" s="408"/>
      <c r="U69" s="408"/>
      <c r="V69" s="409"/>
      <c r="W69" s="410"/>
      <c r="X69" s="410"/>
      <c r="Y69" s="409"/>
      <c r="Z69" s="411"/>
      <c r="AA69" s="411"/>
      <c r="AB69" s="305"/>
      <c r="AC69" s="305"/>
      <c r="AD69" s="305"/>
      <c r="AE69" s="305"/>
      <c r="AF69" s="305"/>
      <c r="AG69" s="305"/>
      <c r="AH69" s="411"/>
      <c r="AI69" s="76"/>
      <c r="AJ69" s="76"/>
      <c r="AK69" s="76"/>
      <c r="AL69" s="76"/>
      <c r="AM69" s="77"/>
      <c r="AN69" s="77"/>
      <c r="AO69" s="77"/>
    </row>
    <row r="70" spans="1:41" s="70" customFormat="1" ht="13.5" customHeight="1">
      <c r="A70" s="380"/>
      <c r="B70" s="381"/>
      <c r="C70" s="375"/>
      <c r="D70" s="307"/>
      <c r="E70" s="412"/>
      <c r="F70" s="412"/>
      <c r="G70" s="412"/>
      <c r="H70" s="412"/>
      <c r="I70" s="412"/>
      <c r="J70" s="307"/>
      <c r="K70" s="412"/>
      <c r="L70" s="307"/>
      <c r="M70" s="307"/>
      <c r="N70" s="307"/>
      <c r="O70" s="412"/>
      <c r="P70" s="412"/>
      <c r="Q70" s="307"/>
      <c r="R70" s="307"/>
      <c r="S70" s="307"/>
      <c r="T70" s="412"/>
      <c r="U70" s="412"/>
      <c r="V70" s="412"/>
      <c r="W70" s="307"/>
      <c r="X70" s="307"/>
      <c r="Y70" s="307"/>
      <c r="Z70" s="307"/>
      <c r="AA70" s="303"/>
      <c r="AB70" s="303"/>
      <c r="AC70" s="303"/>
      <c r="AD70" s="303"/>
      <c r="AE70" s="303"/>
      <c r="AF70" s="303"/>
      <c r="AG70" s="303"/>
      <c r="AH70" s="303"/>
      <c r="AI70" s="69"/>
      <c r="AJ70" s="69"/>
      <c r="AK70" s="69"/>
      <c r="AL70" s="69"/>
    </row>
    <row r="71" spans="1:41" ht="13.5" customHeight="1">
      <c r="A71" s="382"/>
      <c r="B71" s="383"/>
      <c r="C71" s="384"/>
      <c r="D71" s="307"/>
      <c r="E71" s="307"/>
      <c r="F71" s="307"/>
      <c r="G71" s="307"/>
      <c r="H71" s="308"/>
      <c r="I71" s="307"/>
      <c r="J71" s="307"/>
      <c r="K71" s="307"/>
      <c r="L71" s="307"/>
      <c r="M71" s="307"/>
      <c r="N71" s="307"/>
      <c r="O71" s="307"/>
      <c r="P71" s="309"/>
      <c r="Q71" s="307"/>
      <c r="R71" s="307"/>
      <c r="S71" s="307"/>
      <c r="T71" s="307"/>
      <c r="U71" s="307"/>
      <c r="V71" s="307"/>
      <c r="W71" s="307"/>
      <c r="X71" s="307"/>
      <c r="Y71" s="307"/>
      <c r="Z71" s="307"/>
      <c r="AA71" s="307"/>
      <c r="AB71" s="303"/>
      <c r="AC71" s="310"/>
      <c r="AD71" s="303"/>
      <c r="AE71" s="310"/>
      <c r="AF71" s="303"/>
      <c r="AG71" s="303"/>
      <c r="AH71" s="307"/>
      <c r="AI71" s="85"/>
      <c r="AJ71" s="69"/>
      <c r="AK71" s="69"/>
      <c r="AL71" s="69"/>
      <c r="AM71" s="70"/>
      <c r="AN71" s="70"/>
      <c r="AO71" s="70"/>
    </row>
    <row r="72" spans="1:41" ht="13.5" customHeight="1">
      <c r="A72" s="382"/>
      <c r="B72" s="383"/>
      <c r="C72" s="384"/>
      <c r="D72" s="307"/>
      <c r="E72" s="307"/>
      <c r="F72" s="307"/>
      <c r="G72" s="307"/>
      <c r="H72" s="308"/>
      <c r="I72" s="307"/>
      <c r="J72" s="307"/>
      <c r="K72" s="307"/>
      <c r="L72" s="307"/>
      <c r="M72" s="307"/>
      <c r="N72" s="307"/>
      <c r="O72" s="307"/>
      <c r="P72" s="309"/>
      <c r="Q72" s="307"/>
      <c r="R72" s="307"/>
      <c r="S72" s="307"/>
      <c r="T72" s="307"/>
      <c r="U72" s="307"/>
      <c r="V72" s="307"/>
      <c r="W72" s="307"/>
      <c r="X72" s="307"/>
      <c r="Y72" s="307"/>
      <c r="Z72" s="307"/>
      <c r="AA72" s="307"/>
      <c r="AB72" s="303"/>
      <c r="AC72" s="310"/>
      <c r="AD72" s="303"/>
      <c r="AE72" s="310"/>
      <c r="AF72" s="303"/>
      <c r="AG72" s="303"/>
      <c r="AH72" s="307"/>
      <c r="AI72" s="85"/>
      <c r="AJ72" s="69"/>
      <c r="AK72" s="69"/>
      <c r="AL72" s="69"/>
      <c r="AM72" s="70"/>
      <c r="AN72" s="70"/>
      <c r="AO72" s="70"/>
    </row>
    <row r="73" spans="1:41" ht="13.5" customHeight="1">
      <c r="A73" s="382"/>
      <c r="B73" s="383"/>
      <c r="C73" s="384"/>
      <c r="D73" s="307"/>
      <c r="E73" s="307"/>
      <c r="F73" s="307"/>
      <c r="G73" s="307"/>
      <c r="H73" s="308"/>
      <c r="I73" s="307"/>
      <c r="J73" s="307"/>
      <c r="K73" s="307"/>
      <c r="L73" s="307"/>
      <c r="M73" s="307"/>
      <c r="N73" s="307"/>
      <c r="O73" s="307"/>
      <c r="P73" s="309"/>
      <c r="Q73" s="307"/>
      <c r="R73" s="307"/>
      <c r="S73" s="307"/>
      <c r="T73" s="307"/>
      <c r="U73" s="307"/>
      <c r="V73" s="307"/>
      <c r="W73" s="307"/>
      <c r="X73" s="307"/>
      <c r="Y73" s="307"/>
      <c r="Z73" s="307"/>
      <c r="AA73" s="307"/>
      <c r="AB73" s="303"/>
      <c r="AC73" s="310"/>
      <c r="AD73" s="303"/>
      <c r="AE73" s="310"/>
      <c r="AF73" s="303"/>
      <c r="AG73" s="303"/>
      <c r="AH73" s="303"/>
      <c r="AI73" s="85"/>
      <c r="AJ73" s="69"/>
      <c r="AK73" s="85"/>
      <c r="AL73" s="69"/>
      <c r="AM73" s="70"/>
      <c r="AN73" s="70"/>
      <c r="AO73" s="70"/>
    </row>
    <row r="74" spans="1:41">
      <c r="B74" s="66"/>
      <c r="C74" s="81"/>
      <c r="D74" s="373"/>
      <c r="E74" s="373"/>
      <c r="F74" s="373"/>
      <c r="G74" s="373"/>
      <c r="H74" s="373"/>
      <c r="I74" s="373"/>
      <c r="J74" s="373"/>
      <c r="K74" s="373"/>
      <c r="L74" s="373"/>
      <c r="M74" s="373"/>
      <c r="N74" s="373"/>
      <c r="O74" s="373"/>
      <c r="P74" s="373"/>
      <c r="Q74" s="373"/>
      <c r="R74" s="373"/>
      <c r="S74" s="373"/>
      <c r="T74" s="310"/>
      <c r="U74" s="310"/>
      <c r="V74" s="310"/>
      <c r="W74" s="310"/>
      <c r="X74" s="310"/>
      <c r="Y74" s="310"/>
      <c r="Z74" s="303"/>
      <c r="AA74" s="303"/>
      <c r="AB74" s="303"/>
      <c r="AC74" s="303"/>
      <c r="AD74" s="303"/>
      <c r="AE74" s="303"/>
      <c r="AF74" s="303"/>
      <c r="AG74" s="303"/>
      <c r="AH74" s="303"/>
      <c r="AI74" s="70"/>
      <c r="AJ74" s="70"/>
      <c r="AK74" s="70"/>
      <c r="AL74" s="70"/>
      <c r="AM74" s="70"/>
      <c r="AN74" s="70"/>
      <c r="AO74" s="70"/>
    </row>
    <row r="75" spans="1:41">
      <c r="B75" s="66"/>
      <c r="C75" s="81"/>
      <c r="D75" s="373"/>
      <c r="E75" s="373"/>
      <c r="F75" s="373"/>
      <c r="G75" s="373"/>
      <c r="H75" s="373"/>
      <c r="I75" s="373"/>
      <c r="J75" s="373"/>
      <c r="K75" s="373"/>
      <c r="L75" s="373"/>
      <c r="M75" s="373"/>
      <c r="N75" s="373"/>
      <c r="O75" s="373"/>
      <c r="P75" s="373"/>
      <c r="Q75" s="373"/>
      <c r="R75" s="373"/>
      <c r="S75" s="373"/>
      <c r="T75" s="310"/>
      <c r="U75" s="310"/>
      <c r="V75" s="310"/>
      <c r="W75" s="310"/>
      <c r="X75" s="310"/>
      <c r="Y75" s="310"/>
      <c r="Z75" s="303"/>
      <c r="AA75" s="303"/>
      <c r="AB75" s="303"/>
      <c r="AC75" s="303"/>
      <c r="AD75" s="303"/>
      <c r="AE75" s="303"/>
      <c r="AF75" s="303"/>
      <c r="AG75" s="303"/>
      <c r="AH75" s="303"/>
      <c r="AI75" s="70"/>
      <c r="AJ75" s="70"/>
      <c r="AK75" s="70"/>
      <c r="AL75" s="70"/>
      <c r="AM75" s="70"/>
      <c r="AN75" s="70"/>
      <c r="AO75" s="70"/>
    </row>
    <row r="76" spans="1:41">
      <c r="B76" s="66"/>
      <c r="C76" s="81"/>
      <c r="D76" s="373"/>
      <c r="E76" s="373"/>
      <c r="F76" s="373"/>
      <c r="G76" s="373"/>
      <c r="H76" s="373"/>
      <c r="I76" s="373"/>
      <c r="J76" s="373"/>
      <c r="K76" s="373"/>
      <c r="L76" s="373"/>
      <c r="M76" s="373"/>
      <c r="N76" s="373"/>
      <c r="O76" s="373"/>
      <c r="P76" s="373"/>
      <c r="Q76" s="373"/>
      <c r="R76" s="373"/>
      <c r="S76" s="373"/>
      <c r="T76" s="310"/>
      <c r="U76" s="310"/>
      <c r="V76" s="310"/>
      <c r="W76" s="310"/>
      <c r="X76" s="310"/>
      <c r="Y76" s="310"/>
      <c r="Z76" s="303"/>
      <c r="AA76" s="303"/>
      <c r="AB76" s="303"/>
      <c r="AC76" s="303"/>
      <c r="AD76" s="303"/>
      <c r="AE76" s="303"/>
      <c r="AF76" s="303"/>
      <c r="AG76" s="303"/>
      <c r="AH76" s="303"/>
      <c r="AI76" s="70"/>
      <c r="AJ76" s="70"/>
      <c r="AK76" s="70"/>
      <c r="AL76" s="70"/>
      <c r="AM76" s="70"/>
      <c r="AN76" s="70"/>
      <c r="AO76" s="70"/>
    </row>
    <row r="77" spans="1:41">
      <c r="B77" s="66"/>
      <c r="C77" s="81"/>
      <c r="D77" s="373"/>
      <c r="E77" s="373"/>
      <c r="F77" s="373"/>
      <c r="G77" s="373"/>
      <c r="H77" s="373"/>
      <c r="I77" s="373"/>
      <c r="J77" s="373"/>
      <c r="K77" s="373"/>
      <c r="L77" s="373"/>
      <c r="M77" s="373"/>
      <c r="N77" s="373"/>
      <c r="O77" s="373"/>
      <c r="P77" s="373"/>
      <c r="Q77" s="373"/>
      <c r="R77" s="373"/>
      <c r="S77" s="373"/>
      <c r="T77" s="310"/>
      <c r="U77" s="310"/>
      <c r="V77" s="310"/>
      <c r="W77" s="310"/>
      <c r="X77" s="310"/>
      <c r="Y77" s="310"/>
      <c r="Z77" s="303"/>
      <c r="AA77" s="303"/>
      <c r="AB77" s="303"/>
      <c r="AC77" s="303"/>
      <c r="AD77" s="303"/>
      <c r="AE77" s="303"/>
      <c r="AF77" s="303"/>
      <c r="AG77" s="303"/>
      <c r="AH77" s="303"/>
      <c r="AI77" s="70"/>
      <c r="AJ77" s="70"/>
      <c r="AK77" s="70"/>
      <c r="AL77" s="70"/>
      <c r="AM77" s="70"/>
      <c r="AN77" s="70"/>
      <c r="AO77" s="70"/>
    </row>
    <row r="78" spans="1:41">
      <c r="B78" s="66"/>
      <c r="C78" s="81"/>
      <c r="D78" s="66"/>
      <c r="E78" s="66"/>
      <c r="F78" s="66"/>
      <c r="G78" s="66"/>
      <c r="H78" s="66"/>
      <c r="I78" s="66"/>
      <c r="J78" s="66"/>
      <c r="K78" s="66"/>
      <c r="L78" s="66"/>
      <c r="M78" s="66"/>
      <c r="N78" s="66"/>
      <c r="O78" s="66"/>
      <c r="P78" s="66"/>
      <c r="Q78" s="66"/>
      <c r="R78" s="66"/>
      <c r="S78" s="66"/>
      <c r="T78" s="89"/>
      <c r="U78" s="89"/>
      <c r="V78" s="89"/>
      <c r="W78" s="89"/>
      <c r="X78" s="89"/>
      <c r="Y78" s="89"/>
      <c r="Z78" s="70"/>
      <c r="AA78" s="70"/>
      <c r="AB78" s="70"/>
      <c r="AC78" s="70"/>
      <c r="AD78" s="70"/>
      <c r="AE78" s="70"/>
      <c r="AF78" s="70"/>
      <c r="AG78" s="70"/>
      <c r="AH78" s="70"/>
      <c r="AI78" s="70"/>
      <c r="AJ78" s="70"/>
      <c r="AK78" s="70"/>
      <c r="AL78" s="70"/>
      <c r="AM78" s="70"/>
      <c r="AN78" s="70"/>
      <c r="AO78" s="70"/>
    </row>
  </sheetData>
  <mergeCells count="8">
    <mergeCell ref="D67:Y67"/>
    <mergeCell ref="A68:C68"/>
    <mergeCell ref="B2:K2"/>
    <mergeCell ref="D11:Y11"/>
    <mergeCell ref="A12:C12"/>
    <mergeCell ref="D39:S39"/>
    <mergeCell ref="A40:C40"/>
    <mergeCell ref="A64:E65"/>
  </mergeCells>
  <phoneticPr fontId="3"/>
  <hyperlinks>
    <hyperlink ref="A1" location="TCS!A1" display="戻る" xr:uid="{A9A9D66D-7FBE-43EA-A29B-CD90C9B692DB}"/>
  </hyperlinks>
  <pageMargins left="0.75" right="0.75" top="1" bottom="1" header="0.51200000000000001" footer="0.51200000000000001"/>
  <pageSetup paperSize="9" orientation="portrait" r:id="rId1"/>
  <headerFooter alignWithMargins="0"/>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2C2238-2592-4702-B567-3D7E73475D20}">
  <dimension ref="A1:M83"/>
  <sheetViews>
    <sheetView showGridLines="0" zoomScaleNormal="100" workbookViewId="0">
      <pane ySplit="3" topLeftCell="A4" activePane="bottomLeft" state="frozen"/>
      <selection activeCell="G18" sqref="G18"/>
      <selection pane="bottomLeft"/>
    </sheetView>
  </sheetViews>
  <sheetFormatPr defaultColWidth="9" defaultRowHeight="15"/>
  <cols>
    <col min="1" max="1" width="5.453125" style="27" customWidth="1"/>
    <col min="2" max="2" width="7.453125" style="27" customWidth="1"/>
    <col min="3" max="3" width="9" style="27"/>
    <col min="4" max="4" width="22.36328125" style="29" customWidth="1"/>
    <col min="5" max="5" width="27.1796875" style="29" customWidth="1"/>
    <col min="6" max="6" width="28.453125" style="29" customWidth="1"/>
    <col min="7" max="7" width="29.453125" style="29" customWidth="1"/>
    <col min="8" max="8" width="36.54296875" style="29" customWidth="1"/>
    <col min="9" max="9" width="29.453125" style="29" customWidth="1"/>
    <col min="10" max="10" width="31.54296875" style="29" customWidth="1"/>
    <col min="11" max="11" width="25.81640625" style="29" customWidth="1"/>
    <col min="12" max="12" width="26.1796875" style="29" customWidth="1"/>
    <col min="13" max="13" width="29.08984375" style="29" customWidth="1"/>
    <col min="14" max="16384" width="9" style="27"/>
  </cols>
  <sheetData>
    <row r="1" spans="1:13">
      <c r="A1" s="295" t="s">
        <v>145</v>
      </c>
    </row>
    <row r="2" spans="1:13" ht="33" thickBot="1">
      <c r="A2" s="30"/>
      <c r="B2" s="31" t="s">
        <v>146</v>
      </c>
      <c r="C2" s="32"/>
      <c r="D2" s="32"/>
      <c r="E2" s="32"/>
      <c r="F2" s="32"/>
      <c r="G2" s="32"/>
      <c r="H2" s="32"/>
      <c r="I2" s="32"/>
      <c r="J2" s="32"/>
      <c r="K2" s="32"/>
      <c r="L2" s="32"/>
      <c r="M2" s="32"/>
    </row>
    <row r="3" spans="1:13" ht="16" thickTop="1" thickBot="1">
      <c r="B3" s="33" t="s">
        <v>147</v>
      </c>
      <c r="C3" s="33" t="s">
        <v>148</v>
      </c>
      <c r="D3" s="33"/>
      <c r="E3" s="34"/>
    </row>
    <row r="4" spans="1:13">
      <c r="B4" s="385" t="s">
        <v>353</v>
      </c>
      <c r="C4" s="35" t="s">
        <v>354</v>
      </c>
      <c r="D4" s="35"/>
      <c r="E4" s="35"/>
      <c r="F4" s="35"/>
      <c r="G4" s="35"/>
      <c r="H4" s="35"/>
      <c r="I4" s="35"/>
      <c r="J4" s="35"/>
      <c r="K4" s="35"/>
      <c r="L4" s="35"/>
      <c r="M4" s="36"/>
    </row>
    <row r="5" spans="1:13">
      <c r="B5" s="37"/>
      <c r="C5" s="38"/>
      <c r="D5" s="38"/>
      <c r="E5" s="38"/>
      <c r="F5" s="38"/>
      <c r="G5" s="38"/>
      <c r="H5" s="38"/>
      <c r="I5" s="38"/>
      <c r="J5" s="38"/>
      <c r="K5" s="38"/>
      <c r="L5" s="38"/>
      <c r="M5" s="39"/>
    </row>
    <row r="6" spans="1:13">
      <c r="B6" s="40"/>
      <c r="C6" s="386" t="s">
        <v>149</v>
      </c>
      <c r="D6" s="387" t="s">
        <v>368</v>
      </c>
      <c r="E6" s="388"/>
      <c r="F6" s="389"/>
      <c r="G6" s="389"/>
      <c r="H6" s="389"/>
      <c r="I6" s="389"/>
      <c r="J6" s="389"/>
      <c r="K6" s="389"/>
      <c r="L6" s="389"/>
      <c r="M6" s="41"/>
    </row>
    <row r="7" spans="1:13" s="42" customFormat="1" ht="13.5">
      <c r="B7" s="37"/>
      <c r="C7" s="400" t="s">
        <v>150</v>
      </c>
      <c r="D7" s="400"/>
      <c r="E7" s="400"/>
      <c r="F7" s="400"/>
      <c r="G7" s="400"/>
      <c r="H7" s="400"/>
      <c r="I7" s="400"/>
      <c r="J7" s="400"/>
      <c r="K7" s="400"/>
      <c r="L7" s="400"/>
      <c r="M7" s="401"/>
    </row>
    <row r="8" spans="1:13" s="42" customFormat="1" ht="13.5">
      <c r="B8" s="37"/>
      <c r="C8" s="400" t="s">
        <v>355</v>
      </c>
      <c r="D8" s="400"/>
      <c r="E8" s="400"/>
      <c r="F8" s="400"/>
      <c r="G8" s="400"/>
      <c r="H8" s="400"/>
      <c r="I8" s="400"/>
      <c r="J8" s="400"/>
      <c r="K8" s="400"/>
      <c r="L8" s="400"/>
      <c r="M8" s="401"/>
    </row>
    <row r="9" spans="1:13" s="42" customFormat="1" ht="13.5">
      <c r="B9" s="37"/>
      <c r="C9" s="400"/>
      <c r="D9" s="400"/>
      <c r="E9" s="400"/>
      <c r="F9" s="400"/>
      <c r="G9" s="400"/>
      <c r="H9" s="400"/>
      <c r="I9" s="400"/>
      <c r="J9" s="400"/>
      <c r="K9" s="400"/>
      <c r="L9" s="400"/>
      <c r="M9" s="401"/>
    </row>
    <row r="10" spans="1:13" s="42" customFormat="1" ht="13.5">
      <c r="B10" s="37"/>
      <c r="C10" s="400" t="s">
        <v>153</v>
      </c>
      <c r="D10" s="400"/>
      <c r="E10" s="400"/>
      <c r="F10" s="400"/>
      <c r="G10" s="400"/>
      <c r="H10" s="400"/>
      <c r="I10" s="400"/>
      <c r="J10" s="400"/>
      <c r="K10" s="400"/>
      <c r="L10" s="400"/>
      <c r="M10" s="401"/>
    </row>
    <row r="11" spans="1:13" s="42" customFormat="1" ht="13.5">
      <c r="B11" s="37"/>
      <c r="C11" s="400" t="s">
        <v>154</v>
      </c>
      <c r="D11" s="400" t="s">
        <v>155</v>
      </c>
      <c r="E11" s="400" t="s">
        <v>157</v>
      </c>
      <c r="F11" s="400" t="s">
        <v>384</v>
      </c>
      <c r="G11" s="400" t="s">
        <v>356</v>
      </c>
      <c r="H11" s="400" t="s">
        <v>357</v>
      </c>
      <c r="I11" s="400" t="s">
        <v>358</v>
      </c>
      <c r="J11" s="400" t="s">
        <v>359</v>
      </c>
      <c r="K11" s="400" t="s">
        <v>360</v>
      </c>
      <c r="L11" s="400" t="s">
        <v>361</v>
      </c>
      <c r="M11" s="401" t="s">
        <v>362</v>
      </c>
    </row>
    <row r="12" spans="1:13" s="42" customFormat="1" ht="13.5">
      <c r="B12" s="37"/>
      <c r="C12" s="400">
        <v>-2</v>
      </c>
      <c r="D12" s="400" t="s">
        <v>156</v>
      </c>
      <c r="E12" s="400" t="s">
        <v>742</v>
      </c>
      <c r="F12" s="400" t="s">
        <v>363</v>
      </c>
      <c r="G12" s="400" t="s">
        <v>364</v>
      </c>
      <c r="H12" s="400" t="s">
        <v>156</v>
      </c>
      <c r="I12" s="400" t="s">
        <v>156</v>
      </c>
      <c r="J12" s="400" t="s">
        <v>156</v>
      </c>
      <c r="K12" s="400" t="s">
        <v>156</v>
      </c>
      <c r="L12" s="400">
        <v>0</v>
      </c>
      <c r="M12" s="401" t="s">
        <v>156</v>
      </c>
    </row>
    <row r="13" spans="1:13" s="42" customFormat="1" ht="13.5">
      <c r="B13" s="37"/>
      <c r="C13" s="400"/>
      <c r="D13" s="400"/>
      <c r="E13" s="400"/>
      <c r="F13" s="400"/>
      <c r="G13" s="400"/>
      <c r="H13" s="400"/>
      <c r="I13" s="400"/>
      <c r="J13" s="400"/>
      <c r="K13" s="400"/>
      <c r="L13" s="400"/>
      <c r="M13" s="401"/>
    </row>
    <row r="14" spans="1:13" s="42" customFormat="1" ht="13.5">
      <c r="B14" s="37"/>
      <c r="C14" s="392"/>
      <c r="D14" s="392"/>
      <c r="E14" s="393"/>
      <c r="F14" s="393"/>
      <c r="G14" s="392"/>
      <c r="H14" s="38"/>
      <c r="I14" s="38"/>
      <c r="J14" s="38"/>
      <c r="K14" s="38"/>
      <c r="L14" s="38"/>
      <c r="M14" s="39"/>
    </row>
    <row r="15" spans="1:13" s="42" customFormat="1" ht="13.5">
      <c r="B15" s="37"/>
      <c r="C15" s="386" t="s">
        <v>149</v>
      </c>
      <c r="D15" s="387" t="s">
        <v>369</v>
      </c>
      <c r="E15" s="388"/>
      <c r="F15" s="389"/>
      <c r="G15" s="389"/>
      <c r="H15" s="389"/>
      <c r="I15" s="389"/>
      <c r="J15" s="389"/>
      <c r="K15" s="389"/>
      <c r="L15" s="389"/>
      <c r="M15" s="39"/>
    </row>
    <row r="16" spans="1:13" s="42" customFormat="1" ht="13.5">
      <c r="B16" s="37"/>
      <c r="C16" s="400" t="s">
        <v>150</v>
      </c>
      <c r="D16" s="400"/>
      <c r="E16" s="400"/>
      <c r="F16" s="400"/>
      <c r="G16" s="400"/>
      <c r="H16" s="400"/>
      <c r="I16" s="400"/>
      <c r="J16" s="400"/>
      <c r="K16" s="400"/>
      <c r="L16" s="400"/>
      <c r="M16" s="401"/>
    </row>
    <row r="17" spans="2:13" s="42" customFormat="1" ht="13.5">
      <c r="B17" s="37"/>
      <c r="C17" s="400" t="s">
        <v>367</v>
      </c>
      <c r="D17" s="400"/>
      <c r="E17" s="400"/>
      <c r="F17" s="400"/>
      <c r="G17" s="400"/>
      <c r="H17" s="400"/>
      <c r="I17" s="400"/>
      <c r="J17" s="400"/>
      <c r="K17" s="400"/>
      <c r="L17" s="400"/>
      <c r="M17" s="401"/>
    </row>
    <row r="18" spans="2:13" s="42" customFormat="1" ht="13.5">
      <c r="B18" s="37"/>
      <c r="C18" s="400"/>
      <c r="D18" s="400"/>
      <c r="E18" s="400"/>
      <c r="F18" s="400"/>
      <c r="G18" s="400"/>
      <c r="H18" s="400"/>
      <c r="I18" s="400"/>
      <c r="J18" s="400"/>
      <c r="K18" s="400"/>
      <c r="L18" s="400"/>
      <c r="M18" s="401"/>
    </row>
    <row r="19" spans="2:13" s="42" customFormat="1" ht="13.5">
      <c r="B19" s="37"/>
      <c r="C19" s="400" t="s">
        <v>153</v>
      </c>
      <c r="D19" s="400"/>
      <c r="E19" s="400"/>
      <c r="F19" s="400"/>
      <c r="G19" s="400"/>
      <c r="H19" s="400"/>
      <c r="I19" s="400"/>
      <c r="J19" s="400"/>
      <c r="K19" s="400"/>
      <c r="L19" s="400"/>
      <c r="M19" s="401"/>
    </row>
    <row r="20" spans="2:13" s="42" customFormat="1" ht="13.5">
      <c r="B20" s="37"/>
      <c r="C20" s="400" t="s">
        <v>154</v>
      </c>
      <c r="D20" s="400" t="s">
        <v>155</v>
      </c>
      <c r="E20" s="400" t="s">
        <v>157</v>
      </c>
      <c r="F20" s="400" t="s">
        <v>158</v>
      </c>
      <c r="G20" s="400" t="s">
        <v>356</v>
      </c>
      <c r="H20" s="400" t="s">
        <v>357</v>
      </c>
      <c r="I20" s="400" t="s">
        <v>358</v>
      </c>
      <c r="J20" s="400" t="s">
        <v>359</v>
      </c>
      <c r="K20" s="400" t="s">
        <v>360</v>
      </c>
      <c r="L20" s="400" t="s">
        <v>361</v>
      </c>
      <c r="M20" s="401" t="s">
        <v>362</v>
      </c>
    </row>
    <row r="21" spans="2:13" s="42" customFormat="1" ht="13.5">
      <c r="B21" s="37"/>
      <c r="C21" s="400">
        <v>-2</v>
      </c>
      <c r="D21" s="400" t="s">
        <v>156</v>
      </c>
      <c r="E21" s="400" t="s">
        <v>738</v>
      </c>
      <c r="F21" s="400" t="s">
        <v>822</v>
      </c>
      <c r="G21" s="400" t="s">
        <v>364</v>
      </c>
      <c r="H21" s="400" t="s">
        <v>156</v>
      </c>
      <c r="I21" s="400" t="s">
        <v>156</v>
      </c>
      <c r="J21" s="400" t="s">
        <v>156</v>
      </c>
      <c r="K21" s="400" t="s">
        <v>156</v>
      </c>
      <c r="L21" s="400">
        <v>0</v>
      </c>
      <c r="M21" s="401" t="s">
        <v>156</v>
      </c>
    </row>
    <row r="22" spans="2:13" s="42" customFormat="1" ht="13.5">
      <c r="B22" s="37"/>
      <c r="C22" s="392"/>
      <c r="D22" s="392"/>
      <c r="E22" s="393"/>
      <c r="F22" s="393"/>
      <c r="G22" s="392"/>
      <c r="H22" s="38"/>
      <c r="I22" s="38"/>
      <c r="J22" s="38"/>
      <c r="K22" s="38"/>
      <c r="L22" s="38"/>
      <c r="M22" s="39"/>
    </row>
    <row r="23" spans="2:13" s="42" customFormat="1" ht="14" thickBot="1">
      <c r="B23" s="37"/>
      <c r="D23" s="38"/>
      <c r="E23" s="38"/>
      <c r="F23" s="38"/>
      <c r="G23" s="38"/>
      <c r="H23" s="38"/>
      <c r="I23" s="38"/>
      <c r="J23" s="38"/>
      <c r="K23" s="38"/>
      <c r="L23" s="38"/>
      <c r="M23" s="39"/>
    </row>
    <row r="24" spans="2:13">
      <c r="B24" s="394" t="s">
        <v>365</v>
      </c>
      <c r="C24" s="35" t="s">
        <v>366</v>
      </c>
      <c r="D24" s="35"/>
      <c r="E24" s="35"/>
      <c r="F24" s="35"/>
      <c r="G24" s="35"/>
      <c r="H24" s="35"/>
      <c r="I24" s="35"/>
      <c r="J24" s="35"/>
      <c r="K24" s="35"/>
      <c r="L24" s="35"/>
      <c r="M24" s="36"/>
    </row>
    <row r="25" spans="2:13">
      <c r="B25" s="43"/>
      <c r="C25" s="395"/>
      <c r="D25" s="153"/>
      <c r="E25" s="44"/>
      <c r="F25" s="44"/>
      <c r="G25" s="44"/>
      <c r="H25" s="44"/>
      <c r="I25" s="44"/>
      <c r="J25" s="44"/>
      <c r="K25" s="44"/>
      <c r="L25" s="44"/>
      <c r="M25" s="41"/>
    </row>
    <row r="26" spans="2:13">
      <c r="B26" s="43"/>
      <c r="C26" s="386" t="s">
        <v>149</v>
      </c>
      <c r="D26" s="387" t="s">
        <v>377</v>
      </c>
      <c r="E26" s="388"/>
      <c r="F26" s="389"/>
      <c r="G26" s="389"/>
      <c r="H26" s="389"/>
      <c r="I26" s="389"/>
      <c r="J26" s="389"/>
      <c r="K26" s="389"/>
      <c r="L26" s="389"/>
      <c r="M26" s="41"/>
    </row>
    <row r="27" spans="2:13">
      <c r="B27" s="43"/>
      <c r="C27" s="400" t="s">
        <v>150</v>
      </c>
      <c r="D27" s="400"/>
      <c r="E27" s="400"/>
      <c r="F27" s="400"/>
      <c r="G27" s="400"/>
      <c r="H27" s="400"/>
      <c r="I27" s="400"/>
      <c r="J27" s="400"/>
      <c r="K27" s="400"/>
      <c r="L27" s="400"/>
      <c r="M27" s="401"/>
    </row>
    <row r="28" spans="2:13">
      <c r="B28" s="43"/>
      <c r="C28" s="400" t="s">
        <v>372</v>
      </c>
      <c r="D28" s="400"/>
      <c r="E28" s="400"/>
      <c r="F28" s="400"/>
      <c r="G28" s="400"/>
      <c r="H28" s="400"/>
      <c r="I28" s="400"/>
      <c r="J28" s="400"/>
      <c r="K28" s="400"/>
      <c r="L28" s="400"/>
      <c r="M28" s="401"/>
    </row>
    <row r="29" spans="2:13">
      <c r="B29" s="43"/>
      <c r="C29" s="400"/>
      <c r="D29" s="400"/>
      <c r="E29" s="400"/>
      <c r="F29" s="400"/>
      <c r="G29" s="400"/>
      <c r="H29" s="400"/>
      <c r="I29" s="400"/>
      <c r="J29" s="400"/>
      <c r="K29" s="400"/>
      <c r="L29" s="400"/>
      <c r="M29" s="401"/>
    </row>
    <row r="30" spans="2:13">
      <c r="B30" s="43"/>
      <c r="C30" s="400" t="s">
        <v>153</v>
      </c>
      <c r="D30" s="400"/>
      <c r="E30" s="400"/>
      <c r="F30" s="400"/>
      <c r="G30" s="400"/>
      <c r="H30" s="400"/>
      <c r="I30" s="400"/>
      <c r="J30" s="400"/>
      <c r="K30" s="400"/>
      <c r="L30" s="400"/>
      <c r="M30" s="401"/>
    </row>
    <row r="31" spans="2:13">
      <c r="B31" s="43"/>
      <c r="C31" s="400" t="s">
        <v>154</v>
      </c>
      <c r="D31" s="400" t="s">
        <v>155</v>
      </c>
      <c r="E31" s="400" t="s">
        <v>157</v>
      </c>
      <c r="F31" s="400" t="s">
        <v>158</v>
      </c>
      <c r="G31" s="400" t="s">
        <v>356</v>
      </c>
      <c r="H31" s="400" t="s">
        <v>357</v>
      </c>
      <c r="I31" s="400" t="s">
        <v>358</v>
      </c>
      <c r="J31" s="400" t="s">
        <v>359</v>
      </c>
      <c r="K31" s="400" t="s">
        <v>360</v>
      </c>
      <c r="L31" s="400" t="s">
        <v>361</v>
      </c>
      <c r="M31" s="401" t="s">
        <v>362</v>
      </c>
    </row>
    <row r="32" spans="2:13">
      <c r="B32" s="40"/>
      <c r="C32" s="400">
        <v>-2</v>
      </c>
      <c r="D32" s="400" t="s">
        <v>156</v>
      </c>
      <c r="E32" s="400" t="s">
        <v>744</v>
      </c>
      <c r="F32" s="400" t="s">
        <v>370</v>
      </c>
      <c r="G32" s="400" t="s">
        <v>371</v>
      </c>
      <c r="H32" s="400" t="s">
        <v>156</v>
      </c>
      <c r="I32" s="400" t="s">
        <v>156</v>
      </c>
      <c r="J32" s="400" t="s">
        <v>156</v>
      </c>
      <c r="K32" s="400" t="s">
        <v>156</v>
      </c>
      <c r="L32" s="400">
        <v>0</v>
      </c>
      <c r="M32" s="401" t="s">
        <v>156</v>
      </c>
    </row>
    <row r="33" spans="2:13" s="42" customFormat="1" ht="13.5">
      <c r="B33" s="37"/>
      <c r="C33" s="400"/>
      <c r="D33" s="400"/>
      <c r="E33" s="400"/>
      <c r="F33" s="400"/>
      <c r="G33" s="400"/>
      <c r="H33" s="400"/>
      <c r="I33" s="400"/>
      <c r="J33" s="400"/>
      <c r="K33" s="400"/>
      <c r="L33" s="400"/>
      <c r="M33" s="401"/>
    </row>
    <row r="34" spans="2:13" s="42" customFormat="1" ht="13.5">
      <c r="B34" s="37"/>
      <c r="C34" s="396"/>
      <c r="D34" s="392"/>
      <c r="E34" s="393"/>
      <c r="F34" s="393"/>
      <c r="G34" s="392"/>
      <c r="H34" s="392"/>
      <c r="I34" s="392"/>
      <c r="J34" s="392"/>
      <c r="K34" s="392"/>
      <c r="L34" s="38"/>
      <c r="M34" s="39"/>
    </row>
    <row r="35" spans="2:13" s="42" customFormat="1" ht="13.5">
      <c r="B35" s="37"/>
      <c r="C35" s="386" t="s">
        <v>149</v>
      </c>
      <c r="D35" s="387" t="s">
        <v>373</v>
      </c>
      <c r="E35" s="388"/>
      <c r="F35" s="389"/>
      <c r="G35" s="389"/>
      <c r="H35" s="389"/>
      <c r="I35" s="389"/>
      <c r="J35" s="389"/>
      <c r="K35" s="389"/>
      <c r="L35" s="389"/>
      <c r="M35" s="39"/>
    </row>
    <row r="36" spans="2:13" s="42" customFormat="1" ht="13.5">
      <c r="B36" s="37"/>
      <c r="C36" s="400" t="s">
        <v>150</v>
      </c>
      <c r="D36" s="400"/>
      <c r="E36" s="400"/>
      <c r="F36" s="400"/>
      <c r="G36" s="400"/>
      <c r="H36" s="400"/>
      <c r="I36" s="400"/>
      <c r="J36" s="400"/>
      <c r="K36" s="400"/>
      <c r="L36" s="400"/>
      <c r="M36" s="401"/>
    </row>
    <row r="37" spans="2:13" s="42" customFormat="1" ht="13.5">
      <c r="B37" s="37"/>
      <c r="C37" s="400" t="s">
        <v>374</v>
      </c>
      <c r="D37" s="400"/>
      <c r="E37" s="400"/>
      <c r="F37" s="400"/>
      <c r="G37" s="400"/>
      <c r="H37" s="400"/>
      <c r="I37" s="400"/>
      <c r="J37" s="400"/>
      <c r="K37" s="400"/>
      <c r="L37" s="400"/>
      <c r="M37" s="401"/>
    </row>
    <row r="38" spans="2:13" s="42" customFormat="1" ht="13.5">
      <c r="B38" s="37"/>
      <c r="C38" s="400"/>
      <c r="D38" s="400"/>
      <c r="E38" s="400"/>
      <c r="F38" s="400"/>
      <c r="G38" s="400"/>
      <c r="H38" s="400"/>
      <c r="I38" s="400"/>
      <c r="J38" s="400"/>
      <c r="K38" s="400"/>
      <c r="L38" s="400"/>
      <c r="M38" s="401"/>
    </row>
    <row r="39" spans="2:13" s="42" customFormat="1" ht="13.5">
      <c r="B39" s="37"/>
      <c r="C39" s="400" t="s">
        <v>153</v>
      </c>
      <c r="D39" s="400"/>
      <c r="E39" s="400"/>
      <c r="F39" s="400"/>
      <c r="G39" s="400"/>
      <c r="H39" s="400"/>
      <c r="I39" s="400"/>
      <c r="J39" s="400"/>
      <c r="K39" s="400"/>
      <c r="L39" s="400"/>
      <c r="M39" s="401"/>
    </row>
    <row r="40" spans="2:13" s="42" customFormat="1" ht="13.5">
      <c r="B40" s="37"/>
      <c r="C40" s="400" t="s">
        <v>154</v>
      </c>
      <c r="D40" s="400" t="s">
        <v>155</v>
      </c>
      <c r="E40" s="400" t="s">
        <v>157</v>
      </c>
      <c r="F40" s="400" t="s">
        <v>158</v>
      </c>
      <c r="G40" s="400" t="s">
        <v>356</v>
      </c>
      <c r="H40" s="400" t="s">
        <v>357</v>
      </c>
      <c r="I40" s="400" t="s">
        <v>358</v>
      </c>
      <c r="J40" s="400" t="s">
        <v>359</v>
      </c>
      <c r="K40" s="400" t="s">
        <v>360</v>
      </c>
      <c r="L40" s="400" t="s">
        <v>361</v>
      </c>
      <c r="M40" s="401" t="s">
        <v>362</v>
      </c>
    </row>
    <row r="41" spans="2:13" s="42" customFormat="1" ht="13.5">
      <c r="B41" s="37"/>
      <c r="C41" s="400">
        <v>-2</v>
      </c>
      <c r="D41" s="400" t="s">
        <v>156</v>
      </c>
      <c r="E41" s="400" t="s">
        <v>739</v>
      </c>
      <c r="F41" s="400" t="s">
        <v>823</v>
      </c>
      <c r="G41" s="400" t="s">
        <v>371</v>
      </c>
      <c r="H41" s="400" t="s">
        <v>156</v>
      </c>
      <c r="I41" s="400" t="s">
        <v>156</v>
      </c>
      <c r="J41" s="400" t="s">
        <v>156</v>
      </c>
      <c r="K41" s="400" t="s">
        <v>156</v>
      </c>
      <c r="L41" s="400">
        <v>0</v>
      </c>
      <c r="M41" s="401" t="s">
        <v>156</v>
      </c>
    </row>
    <row r="42" spans="2:13" s="42" customFormat="1" ht="13.5">
      <c r="B42" s="37"/>
      <c r="C42" s="390"/>
      <c r="D42" s="390"/>
      <c r="E42" s="390"/>
      <c r="F42" s="390"/>
      <c r="G42" s="390"/>
      <c r="H42" s="390"/>
      <c r="I42" s="390"/>
      <c r="J42" s="390"/>
      <c r="K42" s="390"/>
      <c r="L42" s="390"/>
      <c r="M42" s="391"/>
    </row>
    <row r="43" spans="2:13" s="42" customFormat="1" ht="14" thickBot="1">
      <c r="B43" s="37"/>
      <c r="C43" s="392"/>
      <c r="D43" s="392"/>
      <c r="E43" s="393"/>
      <c r="F43" s="393"/>
      <c r="G43" s="392"/>
      <c r="H43" s="392"/>
      <c r="I43" s="392"/>
      <c r="J43" s="392"/>
      <c r="K43" s="392"/>
      <c r="L43" s="38"/>
      <c r="M43" s="39"/>
    </row>
    <row r="44" spans="2:13" s="42" customFormat="1" ht="13.5">
      <c r="B44" s="394" t="s">
        <v>375</v>
      </c>
      <c r="C44" s="35" t="s">
        <v>376</v>
      </c>
      <c r="D44" s="35"/>
      <c r="E44" s="35"/>
      <c r="F44" s="35"/>
      <c r="G44" s="35"/>
      <c r="H44" s="35"/>
      <c r="I44" s="35"/>
      <c r="J44" s="35"/>
      <c r="K44" s="35"/>
      <c r="L44" s="35"/>
      <c r="M44" s="36"/>
    </row>
    <row r="45" spans="2:13" s="42" customFormat="1" ht="13.5">
      <c r="B45" s="37"/>
      <c r="C45" s="392"/>
      <c r="D45" s="392"/>
      <c r="E45" s="393"/>
      <c r="F45" s="393"/>
      <c r="G45" s="392"/>
      <c r="H45" s="392"/>
      <c r="I45" s="392"/>
      <c r="J45" s="392"/>
      <c r="K45" s="392"/>
      <c r="L45" s="38"/>
      <c r="M45" s="39"/>
    </row>
    <row r="46" spans="2:13" s="42" customFormat="1" ht="13.5">
      <c r="B46" s="37"/>
      <c r="C46" s="386" t="s">
        <v>149</v>
      </c>
      <c r="D46" s="387" t="s">
        <v>378</v>
      </c>
      <c r="E46" s="388"/>
      <c r="F46" s="389"/>
      <c r="G46" s="389"/>
      <c r="H46" s="389"/>
      <c r="I46" s="389"/>
      <c r="J46" s="389"/>
      <c r="K46" s="389"/>
      <c r="L46" s="389"/>
      <c r="M46" s="39"/>
    </row>
    <row r="47" spans="2:13" s="42" customFormat="1" ht="13.5">
      <c r="B47" s="37"/>
      <c r="C47" s="400" t="s">
        <v>150</v>
      </c>
      <c r="D47" s="400"/>
      <c r="E47" s="400"/>
      <c r="F47" s="400"/>
      <c r="G47" s="400"/>
      <c r="H47" s="400"/>
      <c r="I47" s="400"/>
      <c r="J47" s="400"/>
      <c r="K47" s="400"/>
      <c r="L47" s="400"/>
      <c r="M47" s="401"/>
    </row>
    <row r="48" spans="2:13" s="42" customFormat="1" ht="13.5">
      <c r="B48" s="37"/>
      <c r="C48" s="400" t="s">
        <v>379</v>
      </c>
      <c r="D48" s="400"/>
      <c r="E48" s="400"/>
      <c r="F48" s="400"/>
      <c r="G48" s="400"/>
      <c r="H48" s="400"/>
      <c r="I48" s="400"/>
      <c r="J48" s="400"/>
      <c r="K48" s="400"/>
      <c r="L48" s="400"/>
      <c r="M48" s="401"/>
    </row>
    <row r="49" spans="2:13" s="42" customFormat="1" ht="13.5">
      <c r="B49" s="37"/>
      <c r="C49" s="400"/>
      <c r="D49" s="400"/>
      <c r="E49" s="400"/>
      <c r="F49" s="400"/>
      <c r="G49" s="400"/>
      <c r="H49" s="400"/>
      <c r="I49" s="400"/>
      <c r="J49" s="400"/>
      <c r="K49" s="400"/>
      <c r="L49" s="400"/>
      <c r="M49" s="401"/>
    </row>
    <row r="50" spans="2:13">
      <c r="B50" s="43"/>
      <c r="C50" s="400" t="s">
        <v>153</v>
      </c>
      <c r="D50" s="400"/>
      <c r="E50" s="400"/>
      <c r="F50" s="400"/>
      <c r="G50" s="400"/>
      <c r="H50" s="400"/>
      <c r="I50" s="400"/>
      <c r="J50" s="400"/>
      <c r="K50" s="400"/>
      <c r="L50" s="400"/>
      <c r="M50" s="401"/>
    </row>
    <row r="51" spans="2:13">
      <c r="B51" s="43"/>
      <c r="C51" s="400" t="s">
        <v>154</v>
      </c>
      <c r="D51" s="400" t="s">
        <v>155</v>
      </c>
      <c r="E51" s="400" t="s">
        <v>157</v>
      </c>
      <c r="F51" s="400" t="s">
        <v>158</v>
      </c>
      <c r="G51" s="400" t="s">
        <v>356</v>
      </c>
      <c r="H51" s="400" t="s">
        <v>357</v>
      </c>
      <c r="I51" s="400" t="s">
        <v>358</v>
      </c>
      <c r="J51" s="400" t="s">
        <v>359</v>
      </c>
      <c r="K51" s="400" t="s">
        <v>360</v>
      </c>
      <c r="L51" s="400" t="s">
        <v>361</v>
      </c>
      <c r="M51" s="401" t="s">
        <v>362</v>
      </c>
    </row>
    <row r="52" spans="2:13">
      <c r="B52" s="43"/>
      <c r="C52" s="400">
        <v>-2</v>
      </c>
      <c r="D52" s="400" t="s">
        <v>156</v>
      </c>
      <c r="E52" s="400" t="s">
        <v>746</v>
      </c>
      <c r="F52" s="400" t="s">
        <v>380</v>
      </c>
      <c r="G52" s="400" t="s">
        <v>381</v>
      </c>
      <c r="H52" s="400" t="s">
        <v>156</v>
      </c>
      <c r="I52" s="400" t="s">
        <v>156</v>
      </c>
      <c r="J52" s="400" t="s">
        <v>156</v>
      </c>
      <c r="K52" s="400" t="s">
        <v>156</v>
      </c>
      <c r="L52" s="400">
        <v>0</v>
      </c>
      <c r="M52" s="401" t="s">
        <v>156</v>
      </c>
    </row>
    <row r="53" spans="2:13">
      <c r="B53" s="43"/>
      <c r="C53" s="390"/>
      <c r="D53" s="398"/>
      <c r="E53" s="397"/>
      <c r="F53" s="397"/>
      <c r="G53" s="397"/>
      <c r="H53" s="397"/>
      <c r="I53" s="397"/>
      <c r="J53" s="397"/>
      <c r="K53" s="397"/>
      <c r="L53" s="44"/>
      <c r="M53" s="41"/>
    </row>
    <row r="54" spans="2:13">
      <c r="B54" s="43"/>
      <c r="C54" s="390"/>
      <c r="D54" s="398"/>
      <c r="E54" s="397"/>
      <c r="F54" s="397"/>
      <c r="G54" s="397"/>
      <c r="H54" s="397"/>
      <c r="I54" s="397"/>
      <c r="J54" s="397"/>
      <c r="K54" s="397"/>
      <c r="L54" s="44"/>
      <c r="M54" s="41"/>
    </row>
    <row r="55" spans="2:13">
      <c r="B55" s="43"/>
      <c r="C55" s="386" t="s">
        <v>149</v>
      </c>
      <c r="D55" s="387" t="s">
        <v>382</v>
      </c>
      <c r="E55" s="388"/>
      <c r="F55" s="389"/>
      <c r="G55" s="389"/>
      <c r="H55" s="389"/>
      <c r="I55" s="389"/>
      <c r="J55" s="389"/>
      <c r="K55" s="389"/>
      <c r="L55" s="389"/>
      <c r="M55" s="41"/>
    </row>
    <row r="56" spans="2:13">
      <c r="B56" s="43"/>
      <c r="C56" s="400" t="s">
        <v>150</v>
      </c>
      <c r="D56" s="400"/>
      <c r="E56" s="400"/>
      <c r="F56" s="400"/>
      <c r="G56" s="400"/>
      <c r="H56" s="400"/>
      <c r="I56" s="400"/>
      <c r="J56" s="400"/>
      <c r="K56" s="400"/>
      <c r="L56" s="400"/>
      <c r="M56" s="401"/>
    </row>
    <row r="57" spans="2:13">
      <c r="B57" s="40"/>
      <c r="C57" s="400" t="s">
        <v>383</v>
      </c>
      <c r="D57" s="400"/>
      <c r="E57" s="400"/>
      <c r="F57" s="400"/>
      <c r="G57" s="400"/>
      <c r="H57" s="400"/>
      <c r="I57" s="400"/>
      <c r="J57" s="400"/>
      <c r="K57" s="400"/>
      <c r="L57" s="400"/>
      <c r="M57" s="401"/>
    </row>
    <row r="58" spans="2:13">
      <c r="B58" s="40"/>
      <c r="C58" s="400"/>
      <c r="D58" s="400"/>
      <c r="E58" s="400"/>
      <c r="F58" s="400"/>
      <c r="G58" s="400"/>
      <c r="H58" s="400"/>
      <c r="I58" s="400"/>
      <c r="J58" s="400"/>
      <c r="K58" s="400"/>
      <c r="L58" s="400"/>
      <c r="M58" s="401"/>
    </row>
    <row r="59" spans="2:13" s="42" customFormat="1" ht="13.5">
      <c r="B59" s="37"/>
      <c r="C59" s="400" t="s">
        <v>153</v>
      </c>
      <c r="D59" s="400"/>
      <c r="E59" s="400"/>
      <c r="F59" s="400"/>
      <c r="G59" s="400"/>
      <c r="H59" s="400"/>
      <c r="I59" s="400"/>
      <c r="J59" s="400"/>
      <c r="K59" s="400"/>
      <c r="L59" s="400"/>
      <c r="M59" s="401"/>
    </row>
    <row r="60" spans="2:13" s="42" customFormat="1" ht="13.5">
      <c r="B60" s="37"/>
      <c r="C60" s="400" t="s">
        <v>154</v>
      </c>
      <c r="D60" s="400" t="s">
        <v>155</v>
      </c>
      <c r="E60" s="400" t="s">
        <v>157</v>
      </c>
      <c r="F60" s="400" t="s">
        <v>158</v>
      </c>
      <c r="G60" s="400" t="s">
        <v>356</v>
      </c>
      <c r="H60" s="400" t="s">
        <v>357</v>
      </c>
      <c r="I60" s="400" t="s">
        <v>358</v>
      </c>
      <c r="J60" s="400" t="s">
        <v>359</v>
      </c>
      <c r="K60" s="400" t="s">
        <v>360</v>
      </c>
      <c r="L60" s="400" t="s">
        <v>361</v>
      </c>
      <c r="M60" s="401" t="s">
        <v>362</v>
      </c>
    </row>
    <row r="61" spans="2:13" s="42" customFormat="1" ht="13.5">
      <c r="B61" s="37"/>
      <c r="C61" s="400">
        <v>-2</v>
      </c>
      <c r="D61" s="400" t="s">
        <v>156</v>
      </c>
      <c r="E61" s="400" t="s">
        <v>740</v>
      </c>
      <c r="F61" s="400" t="s">
        <v>824</v>
      </c>
      <c r="G61" s="400" t="s">
        <v>381</v>
      </c>
      <c r="H61" s="400" t="s">
        <v>156</v>
      </c>
      <c r="I61" s="400" t="s">
        <v>156</v>
      </c>
      <c r="J61" s="400" t="s">
        <v>156</v>
      </c>
      <c r="K61" s="400" t="s">
        <v>156</v>
      </c>
      <c r="L61" s="400">
        <v>0</v>
      </c>
      <c r="M61" s="401" t="s">
        <v>156</v>
      </c>
    </row>
    <row r="62" spans="2:13" s="42" customFormat="1" ht="13.5">
      <c r="B62" s="37"/>
      <c r="C62" s="392"/>
      <c r="D62" s="392"/>
      <c r="E62" s="393"/>
      <c r="F62" s="393"/>
      <c r="G62" s="392"/>
      <c r="H62" s="392"/>
      <c r="I62" s="392"/>
      <c r="J62" s="392"/>
      <c r="K62" s="392"/>
      <c r="L62" s="392"/>
      <c r="M62" s="39"/>
    </row>
    <row r="63" spans="2:13" s="42" customFormat="1" ht="14" thickBot="1">
      <c r="B63" s="37"/>
      <c r="C63" s="392"/>
      <c r="D63" s="392"/>
      <c r="E63" s="393"/>
      <c r="F63" s="393"/>
      <c r="G63" s="392"/>
      <c r="H63" s="392"/>
      <c r="I63" s="392"/>
      <c r="J63" s="392"/>
      <c r="K63" s="392"/>
      <c r="L63" s="392"/>
      <c r="M63" s="39"/>
    </row>
    <row r="64" spans="2:13" s="42" customFormat="1" ht="13.5">
      <c r="B64" s="394" t="s">
        <v>392</v>
      </c>
      <c r="C64" s="35" t="s">
        <v>385</v>
      </c>
      <c r="D64" s="35"/>
      <c r="E64" s="35"/>
      <c r="F64" s="35"/>
      <c r="G64" s="35"/>
      <c r="H64" s="35"/>
      <c r="I64" s="35"/>
      <c r="J64" s="35"/>
      <c r="K64" s="35"/>
      <c r="L64" s="35"/>
      <c r="M64" s="36"/>
    </row>
    <row r="65" spans="2:13" s="42" customFormat="1" ht="13.5">
      <c r="B65" s="37"/>
      <c r="C65" s="392"/>
      <c r="D65" s="392"/>
      <c r="E65" s="393"/>
      <c r="F65" s="393"/>
      <c r="G65" s="392"/>
      <c r="H65" s="392"/>
      <c r="I65" s="392"/>
      <c r="J65" s="392"/>
      <c r="K65" s="392"/>
      <c r="L65" s="392"/>
      <c r="M65" s="39"/>
    </row>
    <row r="66" spans="2:13" s="42" customFormat="1" ht="13.5">
      <c r="B66" s="37"/>
      <c r="C66" s="386" t="s">
        <v>149</v>
      </c>
      <c r="D66" s="387" t="s">
        <v>386</v>
      </c>
      <c r="E66" s="388"/>
      <c r="F66" s="389"/>
      <c r="G66" s="389"/>
      <c r="H66" s="389"/>
      <c r="I66" s="389"/>
      <c r="J66" s="389"/>
      <c r="K66" s="389"/>
      <c r="L66" s="389"/>
      <c r="M66" s="39"/>
    </row>
    <row r="67" spans="2:13" s="42" customFormat="1" ht="13.5">
      <c r="B67" s="37"/>
      <c r="C67" s="400" t="s">
        <v>150</v>
      </c>
      <c r="D67" s="400"/>
      <c r="E67" s="400"/>
      <c r="F67" s="400"/>
      <c r="G67" s="400"/>
      <c r="H67" s="400"/>
      <c r="I67" s="400"/>
      <c r="J67" s="400"/>
      <c r="K67" s="400"/>
      <c r="L67" s="400"/>
      <c r="M67" s="401"/>
    </row>
    <row r="68" spans="2:13" s="42" customFormat="1" ht="13.5">
      <c r="B68" s="37"/>
      <c r="C68" s="400" t="s">
        <v>388</v>
      </c>
      <c r="D68" s="400"/>
      <c r="E68" s="400"/>
      <c r="F68" s="400"/>
      <c r="G68" s="400"/>
      <c r="H68" s="400"/>
      <c r="I68" s="400"/>
      <c r="J68" s="400"/>
      <c r="K68" s="400"/>
      <c r="L68" s="400"/>
      <c r="M68" s="401"/>
    </row>
    <row r="69" spans="2:13" s="42" customFormat="1" ht="13.5">
      <c r="B69" s="37"/>
      <c r="C69" s="400"/>
      <c r="D69" s="400"/>
      <c r="E69" s="400"/>
      <c r="F69" s="400"/>
      <c r="G69" s="400"/>
      <c r="H69" s="400"/>
      <c r="I69" s="400"/>
      <c r="J69" s="400"/>
      <c r="K69" s="400"/>
      <c r="L69" s="400"/>
      <c r="M69" s="401"/>
    </row>
    <row r="70" spans="2:13" s="42" customFormat="1" ht="13.5">
      <c r="B70" s="37"/>
      <c r="C70" s="400" t="s">
        <v>153</v>
      </c>
      <c r="D70" s="400"/>
      <c r="E70" s="400"/>
      <c r="F70" s="400"/>
      <c r="G70" s="400"/>
      <c r="H70" s="400"/>
      <c r="I70" s="400"/>
      <c r="J70" s="400"/>
      <c r="K70" s="400"/>
      <c r="L70" s="400"/>
      <c r="M70" s="401"/>
    </row>
    <row r="71" spans="2:13" s="42" customFormat="1" ht="13.5">
      <c r="B71" s="37"/>
      <c r="C71" s="400" t="s">
        <v>154</v>
      </c>
      <c r="D71" s="400" t="s">
        <v>155</v>
      </c>
      <c r="E71" s="400" t="s">
        <v>157</v>
      </c>
      <c r="F71" s="400" t="s">
        <v>158</v>
      </c>
      <c r="G71" s="400" t="s">
        <v>356</v>
      </c>
      <c r="H71" s="400" t="s">
        <v>357</v>
      </c>
      <c r="I71" s="400" t="s">
        <v>358</v>
      </c>
      <c r="J71" s="400" t="s">
        <v>359</v>
      </c>
      <c r="K71" s="400" t="s">
        <v>360</v>
      </c>
      <c r="L71" s="400" t="s">
        <v>361</v>
      </c>
      <c r="M71" s="401" t="s">
        <v>362</v>
      </c>
    </row>
    <row r="72" spans="2:13" s="42" customFormat="1" ht="13.5">
      <c r="B72" s="37"/>
      <c r="C72" s="400">
        <v>-2</v>
      </c>
      <c r="D72" s="400" t="s">
        <v>156</v>
      </c>
      <c r="E72" s="400" t="s">
        <v>748</v>
      </c>
      <c r="F72" s="400" t="s">
        <v>389</v>
      </c>
      <c r="G72" s="400" t="s">
        <v>390</v>
      </c>
      <c r="H72" s="400" t="s">
        <v>156</v>
      </c>
      <c r="I72" s="400" t="s">
        <v>156</v>
      </c>
      <c r="J72" s="400" t="s">
        <v>156</v>
      </c>
      <c r="K72" s="400" t="s">
        <v>156</v>
      </c>
      <c r="L72" s="400">
        <v>0</v>
      </c>
      <c r="M72" s="401" t="s">
        <v>156</v>
      </c>
    </row>
    <row r="73" spans="2:13" s="42" customFormat="1" ht="13.5">
      <c r="B73" s="37"/>
      <c r="C73" s="392"/>
      <c r="D73" s="392"/>
      <c r="E73" s="393"/>
      <c r="F73" s="393"/>
      <c r="G73" s="392"/>
      <c r="H73" s="392"/>
      <c r="I73" s="392"/>
      <c r="J73" s="392"/>
      <c r="K73" s="392"/>
      <c r="L73" s="392"/>
      <c r="M73" s="39"/>
    </row>
    <row r="74" spans="2:13" s="42" customFormat="1" ht="13.5">
      <c r="B74" s="37"/>
      <c r="C74" s="392"/>
      <c r="D74" s="392"/>
      <c r="E74" s="392"/>
      <c r="F74" s="392"/>
      <c r="G74" s="392"/>
      <c r="H74" s="392"/>
      <c r="I74" s="392"/>
      <c r="J74" s="392"/>
      <c r="K74" s="392"/>
      <c r="L74" s="392"/>
      <c r="M74" s="39"/>
    </row>
    <row r="75" spans="2:13">
      <c r="B75" s="43"/>
      <c r="C75" s="386" t="s">
        <v>149</v>
      </c>
      <c r="D75" s="387" t="s">
        <v>387</v>
      </c>
      <c r="E75" s="388"/>
      <c r="F75" s="389"/>
      <c r="G75" s="389"/>
      <c r="H75" s="389"/>
      <c r="I75" s="389"/>
      <c r="J75" s="389"/>
      <c r="K75" s="389"/>
      <c r="L75" s="389"/>
      <c r="M75" s="41"/>
    </row>
    <row r="76" spans="2:13">
      <c r="B76" s="43"/>
      <c r="C76" s="400" t="s">
        <v>150</v>
      </c>
      <c r="D76" s="400"/>
      <c r="E76" s="400"/>
      <c r="F76" s="400"/>
      <c r="G76" s="400"/>
      <c r="H76" s="400"/>
      <c r="I76" s="400"/>
      <c r="J76" s="400"/>
      <c r="K76" s="400"/>
      <c r="L76" s="400"/>
      <c r="M76" s="401"/>
    </row>
    <row r="77" spans="2:13">
      <c r="B77" s="43"/>
      <c r="C77" s="400" t="s">
        <v>391</v>
      </c>
      <c r="D77" s="400"/>
      <c r="E77" s="400"/>
      <c r="F77" s="400"/>
      <c r="G77" s="400"/>
      <c r="H77" s="400"/>
      <c r="I77" s="400"/>
      <c r="J77" s="400"/>
      <c r="K77" s="400"/>
      <c r="L77" s="400"/>
      <c r="M77" s="401"/>
    </row>
    <row r="78" spans="2:13">
      <c r="B78" s="43"/>
      <c r="C78" s="400"/>
      <c r="D78" s="400"/>
      <c r="E78" s="400"/>
      <c r="F78" s="400"/>
      <c r="G78" s="400"/>
      <c r="H78" s="400"/>
      <c r="I78" s="400"/>
      <c r="J78" s="400"/>
      <c r="K78" s="400"/>
      <c r="L78" s="400"/>
      <c r="M78" s="401"/>
    </row>
    <row r="79" spans="2:13">
      <c r="B79" s="43"/>
      <c r="C79" s="400" t="s">
        <v>153</v>
      </c>
      <c r="D79" s="400"/>
      <c r="E79" s="400"/>
      <c r="F79" s="400"/>
      <c r="G79" s="400"/>
      <c r="H79" s="400"/>
      <c r="I79" s="400"/>
      <c r="J79" s="400"/>
      <c r="K79" s="400"/>
      <c r="L79" s="400"/>
      <c r="M79" s="401"/>
    </row>
    <row r="80" spans="2:13">
      <c r="B80" s="43"/>
      <c r="C80" s="400" t="s">
        <v>154</v>
      </c>
      <c r="D80" s="400" t="s">
        <v>155</v>
      </c>
      <c r="E80" s="400" t="s">
        <v>157</v>
      </c>
      <c r="F80" s="400" t="s">
        <v>158</v>
      </c>
      <c r="G80" s="400" t="s">
        <v>356</v>
      </c>
      <c r="H80" s="400" t="s">
        <v>357</v>
      </c>
      <c r="I80" s="400" t="s">
        <v>358</v>
      </c>
      <c r="J80" s="400" t="s">
        <v>359</v>
      </c>
      <c r="K80" s="400" t="s">
        <v>360</v>
      </c>
      <c r="L80" s="400" t="s">
        <v>361</v>
      </c>
      <c r="M80" s="401" t="s">
        <v>362</v>
      </c>
    </row>
    <row r="81" spans="2:13">
      <c r="B81" s="43"/>
      <c r="C81" s="400">
        <v>-2</v>
      </c>
      <c r="D81" s="400" t="s">
        <v>156</v>
      </c>
      <c r="E81" s="400" t="s">
        <v>741</v>
      </c>
      <c r="F81" s="400" t="s">
        <v>825</v>
      </c>
      <c r="G81" s="400" t="s">
        <v>390</v>
      </c>
      <c r="H81" s="400" t="s">
        <v>156</v>
      </c>
      <c r="I81" s="400" t="s">
        <v>156</v>
      </c>
      <c r="J81" s="400" t="s">
        <v>156</v>
      </c>
      <c r="K81" s="400" t="s">
        <v>156</v>
      </c>
      <c r="L81" s="400">
        <v>0</v>
      </c>
      <c r="M81" s="401" t="s">
        <v>156</v>
      </c>
    </row>
    <row r="82" spans="2:13">
      <c r="B82" s="43"/>
      <c r="C82" s="399"/>
      <c r="D82" s="46"/>
      <c r="E82" s="46"/>
      <c r="F82" s="46"/>
      <c r="G82" s="46"/>
      <c r="H82" s="46"/>
      <c r="J82" s="46"/>
      <c r="K82" s="46"/>
      <c r="L82" s="46"/>
      <c r="M82" s="41"/>
    </row>
    <row r="83" spans="2:13" ht="15.5" thickBot="1">
      <c r="B83" s="47"/>
      <c r="C83" s="48"/>
      <c r="D83" s="49"/>
      <c r="E83" s="49"/>
      <c r="F83" s="49"/>
      <c r="G83" s="49"/>
      <c r="H83" s="49"/>
      <c r="I83" s="49"/>
      <c r="J83" s="49"/>
      <c r="K83" s="49"/>
      <c r="L83" s="49"/>
      <c r="M83" s="50"/>
    </row>
  </sheetData>
  <phoneticPr fontId="3"/>
  <hyperlinks>
    <hyperlink ref="A1" location="TCS!A1" display="戻る" xr:uid="{B58A403D-B1B7-42BA-A643-006AC035AF8C}"/>
  </hyperlinks>
  <pageMargins left="0.78700000000000003" right="0.78700000000000003" top="0.98399999999999999" bottom="0.98399999999999999" header="0.51200000000000001" footer="0.51200000000000001"/>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E35A7-EB60-4820-99C5-C8569CAB2C5F}">
  <dimension ref="A1:BG729"/>
  <sheetViews>
    <sheetView zoomScaleNormal="100" workbookViewId="0"/>
  </sheetViews>
  <sheetFormatPr defaultRowHeight="13"/>
  <cols>
    <col min="2" max="2" width="14.08984375" bestFit="1" customWidth="1"/>
    <col min="3" max="3" width="42.7265625" customWidth="1"/>
    <col min="4" max="4" width="15.26953125" bestFit="1" customWidth="1"/>
    <col min="5" max="5" width="14.26953125" bestFit="1" customWidth="1"/>
    <col min="6" max="6" width="101.08984375" bestFit="1" customWidth="1"/>
    <col min="7" max="7" width="14" bestFit="1" customWidth="1"/>
    <col min="8" max="8" width="18.90625" bestFit="1" customWidth="1"/>
    <col min="9" max="9" width="16.90625" bestFit="1" customWidth="1"/>
    <col min="10" max="10" width="23.81640625" customWidth="1"/>
    <col min="11" max="11" width="12.6328125" bestFit="1" customWidth="1"/>
    <col min="12" max="12" width="26.453125" bestFit="1" customWidth="1"/>
    <col min="13" max="13" width="26.26953125" bestFit="1" customWidth="1"/>
    <col min="14" max="14" width="25.54296875" bestFit="1" customWidth="1"/>
    <col min="15" max="15" width="24.6328125" bestFit="1" customWidth="1"/>
    <col min="16" max="16" width="16.36328125" bestFit="1" customWidth="1"/>
    <col min="17" max="17" width="17.54296875" bestFit="1" customWidth="1"/>
    <col min="18" max="18" width="15.90625" bestFit="1" customWidth="1"/>
    <col min="19" max="19" width="13.90625" bestFit="1" customWidth="1"/>
    <col min="20" max="20" width="16.1796875" bestFit="1" customWidth="1"/>
    <col min="21" max="21" width="13.6328125" bestFit="1" customWidth="1"/>
    <col min="22" max="22" width="14.1796875" bestFit="1" customWidth="1"/>
    <col min="23" max="23" width="18.08984375" bestFit="1" customWidth="1"/>
    <col min="24" max="24" width="17" bestFit="1" customWidth="1"/>
    <col min="25" max="25" width="15" bestFit="1" customWidth="1"/>
    <col min="26" max="26" width="15.1796875" bestFit="1" customWidth="1"/>
    <col min="27" max="27" width="23.26953125" bestFit="1" customWidth="1"/>
    <col min="28" max="28" width="12.90625" bestFit="1" customWidth="1"/>
    <col min="29" max="29" width="13.6328125" bestFit="1" customWidth="1"/>
    <col min="30" max="30" width="23.26953125" bestFit="1" customWidth="1"/>
    <col min="31" max="31" width="13.453125" customWidth="1"/>
    <col min="32" max="32" width="13.1796875" customWidth="1"/>
    <col min="33" max="33" width="13.36328125" bestFit="1" customWidth="1"/>
    <col min="34" max="34" width="14.7265625" bestFit="1" customWidth="1"/>
    <col min="35" max="35" width="14.54296875" bestFit="1" customWidth="1"/>
    <col min="36" max="36" width="15.90625" bestFit="1" customWidth="1"/>
    <col min="37" max="37" width="19.36328125" bestFit="1" customWidth="1"/>
    <col min="38" max="38" width="20.7265625" bestFit="1" customWidth="1"/>
    <col min="39" max="39" width="18.7265625" bestFit="1" customWidth="1"/>
    <col min="40" max="40" width="17.81640625" bestFit="1" customWidth="1"/>
    <col min="41" max="41" width="14.7265625" bestFit="1" customWidth="1"/>
    <col min="42" max="42" width="11.81640625" bestFit="1" customWidth="1"/>
    <col min="43" max="43" width="15.54296875" bestFit="1" customWidth="1"/>
    <col min="44" max="44" width="14.54296875" bestFit="1" customWidth="1"/>
    <col min="45" max="45" width="13.6328125" bestFit="1" customWidth="1"/>
    <col min="46" max="46" width="25.1796875" bestFit="1" customWidth="1"/>
    <col min="47" max="47" width="18.90625" bestFit="1" customWidth="1"/>
    <col min="48" max="48" width="20.1796875" bestFit="1" customWidth="1"/>
    <col min="49" max="49" width="16.08984375" bestFit="1" customWidth="1"/>
    <col min="50" max="50" width="18.90625" bestFit="1" customWidth="1"/>
    <col min="51" max="51" width="19.08984375" bestFit="1" customWidth="1"/>
    <col min="52" max="52" width="14.26953125" bestFit="1" customWidth="1"/>
    <col min="53" max="53" width="15.26953125" bestFit="1" customWidth="1"/>
    <col min="54" max="54" width="12.90625" bestFit="1" customWidth="1"/>
    <col min="55" max="55" width="12.6328125" bestFit="1" customWidth="1"/>
    <col min="56" max="56" width="15.6328125" bestFit="1" customWidth="1"/>
    <col min="57" max="57" width="13.453125" bestFit="1" customWidth="1"/>
    <col min="58" max="58" width="13.1796875" bestFit="1" customWidth="1"/>
  </cols>
  <sheetData>
    <row r="1" spans="1:59" ht="15">
      <c r="A1" s="298" t="s">
        <v>145</v>
      </c>
      <c r="B1" s="347"/>
      <c r="C1" s="348"/>
      <c r="D1" s="349"/>
      <c r="E1" s="349"/>
      <c r="F1" s="349"/>
      <c r="G1" s="349"/>
      <c r="H1" s="349"/>
      <c r="I1" s="349"/>
      <c r="J1" s="349"/>
      <c r="K1" s="350"/>
      <c r="L1" s="350"/>
      <c r="M1" s="349"/>
      <c r="N1" s="349"/>
      <c r="O1" s="349"/>
      <c r="P1" s="349"/>
      <c r="Q1" s="349"/>
      <c r="R1" s="349"/>
      <c r="S1" s="349"/>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1"/>
    </row>
    <row r="2" spans="1:59" ht="33" thickBot="1">
      <c r="A2" s="296"/>
      <c r="B2" s="352" t="s">
        <v>393</v>
      </c>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T2" s="297"/>
      <c r="AU2" s="297"/>
      <c r="AV2" s="297"/>
      <c r="AW2" s="297"/>
      <c r="AX2" s="297"/>
      <c r="AY2" s="297"/>
      <c r="AZ2" s="297"/>
      <c r="BA2" s="297"/>
      <c r="BB2" s="297"/>
      <c r="BC2" s="297"/>
      <c r="BD2" s="297"/>
      <c r="BE2" s="297"/>
      <c r="BF2" s="297"/>
      <c r="BG2" s="353"/>
    </row>
    <row r="3" spans="1:59" ht="14" thickTop="1" thickBot="1">
      <c r="B3" s="354" t="s">
        <v>147</v>
      </c>
      <c r="C3" s="355" t="s">
        <v>148</v>
      </c>
      <c r="BG3" s="353"/>
    </row>
    <row r="4" spans="1:59" ht="14" thickBot="1">
      <c r="B4" s="299" t="s">
        <v>394</v>
      </c>
      <c r="C4" s="300" t="s">
        <v>414</v>
      </c>
      <c r="D4" s="300"/>
      <c r="E4" s="300"/>
      <c r="F4" s="300"/>
      <c r="G4" s="300"/>
      <c r="H4" s="300"/>
      <c r="I4" s="300"/>
      <c r="J4" s="300"/>
      <c r="K4" s="300"/>
      <c r="L4" s="300"/>
      <c r="M4" s="300"/>
      <c r="N4" s="300"/>
      <c r="O4" s="300"/>
      <c r="P4" s="300"/>
      <c r="Q4" s="300"/>
      <c r="R4" s="300"/>
      <c r="S4" s="300"/>
      <c r="T4" s="300"/>
      <c r="U4" s="300"/>
      <c r="V4" s="300"/>
      <c r="W4" s="300"/>
      <c r="X4" s="300"/>
      <c r="Y4" s="300"/>
      <c r="Z4" s="300"/>
      <c r="AA4" s="300"/>
      <c r="AB4" s="300"/>
      <c r="AC4" s="300"/>
      <c r="AD4" s="300"/>
      <c r="AE4" s="300"/>
      <c r="AF4" s="300"/>
      <c r="AG4" s="300"/>
      <c r="AH4" s="300"/>
      <c r="AI4" s="300"/>
      <c r="AJ4" s="300"/>
      <c r="AK4" s="300"/>
      <c r="AL4" s="300"/>
      <c r="AM4" s="300"/>
      <c r="AN4" s="300"/>
      <c r="AO4" s="300"/>
      <c r="AP4" s="300"/>
      <c r="AQ4" s="300"/>
      <c r="AR4" s="300"/>
      <c r="AS4" s="300"/>
      <c r="AT4" s="300"/>
      <c r="AU4" s="300"/>
      <c r="AV4" s="300"/>
      <c r="AW4" s="300"/>
      <c r="AX4" s="300"/>
      <c r="AY4" s="300"/>
      <c r="AZ4" s="300"/>
      <c r="BA4" s="300"/>
      <c r="BB4" s="300"/>
      <c r="BC4" s="300"/>
      <c r="BD4" s="300"/>
      <c r="BE4" s="300"/>
      <c r="BF4" s="300"/>
      <c r="BG4" s="353"/>
    </row>
    <row r="5" spans="1:59" ht="14" thickBot="1">
      <c r="B5" s="299" t="s">
        <v>415</v>
      </c>
      <c r="C5" s="300" t="s">
        <v>416</v>
      </c>
      <c r="D5" s="300"/>
      <c r="E5" s="300"/>
      <c r="F5" s="300"/>
      <c r="G5" s="300"/>
      <c r="H5" s="300"/>
      <c r="I5" s="300"/>
      <c r="J5" s="300"/>
      <c r="K5" s="300"/>
      <c r="L5" s="300"/>
      <c r="M5" s="300"/>
      <c r="N5" s="300"/>
      <c r="O5" s="300"/>
      <c r="P5" s="300"/>
      <c r="Q5" s="300"/>
      <c r="R5" s="300"/>
      <c r="S5" s="300"/>
      <c r="T5" s="300"/>
      <c r="U5" s="300"/>
      <c r="V5" s="300"/>
      <c r="W5" s="300"/>
      <c r="X5" s="300"/>
      <c r="Y5" s="300"/>
      <c r="Z5" s="300"/>
      <c r="AA5" s="300"/>
      <c r="AB5" s="300"/>
      <c r="AC5" s="300"/>
      <c r="AD5" s="300"/>
      <c r="AE5" s="300"/>
      <c r="AF5" s="300"/>
      <c r="AG5" s="300"/>
      <c r="AH5" s="300"/>
      <c r="AI5" s="300"/>
      <c r="AJ5" s="300"/>
      <c r="AK5" s="300"/>
      <c r="AL5" s="300"/>
      <c r="AM5" s="300"/>
      <c r="AN5" s="300"/>
      <c r="AO5" s="300"/>
      <c r="AP5" s="300"/>
      <c r="AQ5" s="300"/>
      <c r="AR5" s="300"/>
      <c r="AS5" s="300"/>
      <c r="AT5" s="300"/>
      <c r="AU5" s="300"/>
      <c r="AV5" s="300"/>
      <c r="AW5" s="300"/>
      <c r="AX5" s="300"/>
      <c r="AY5" s="300"/>
      <c r="AZ5" s="300"/>
      <c r="BA5" s="300"/>
      <c r="BB5" s="300"/>
      <c r="BC5" s="300"/>
      <c r="BD5" s="300"/>
      <c r="BE5" s="300"/>
      <c r="BF5" s="300"/>
      <c r="BG5" s="353"/>
    </row>
    <row r="6" spans="1:59" ht="14" thickBot="1">
      <c r="B6" s="299" t="s">
        <v>603</v>
      </c>
      <c r="C6" s="300" t="s">
        <v>602</v>
      </c>
      <c r="D6" s="300"/>
      <c r="E6" s="300"/>
      <c r="F6" s="300"/>
      <c r="G6" s="300"/>
      <c r="H6" s="300"/>
      <c r="I6" s="300"/>
      <c r="J6" s="300"/>
      <c r="K6" s="300"/>
      <c r="L6" s="300"/>
      <c r="M6" s="300"/>
      <c r="N6" s="300"/>
      <c r="O6" s="300"/>
      <c r="P6" s="300"/>
      <c r="Q6" s="300"/>
      <c r="R6" s="300"/>
      <c r="S6" s="300"/>
      <c r="T6" s="300"/>
      <c r="U6" s="300"/>
      <c r="V6" s="300"/>
      <c r="W6" s="300"/>
      <c r="X6" s="300"/>
      <c r="Y6" s="300"/>
      <c r="Z6" s="300"/>
      <c r="AA6" s="300"/>
      <c r="AB6" s="300"/>
      <c r="AC6" s="300"/>
      <c r="AD6" s="300"/>
      <c r="AE6" s="300"/>
      <c r="AF6" s="300"/>
      <c r="AG6" s="300"/>
      <c r="AH6" s="300"/>
      <c r="AI6" s="300"/>
      <c r="AJ6" s="300"/>
      <c r="AK6" s="300"/>
      <c r="AL6" s="300"/>
      <c r="AM6" s="300"/>
      <c r="AN6" s="300"/>
      <c r="AO6" s="300"/>
      <c r="AP6" s="300"/>
      <c r="AQ6" s="300"/>
      <c r="AR6" s="300"/>
      <c r="AS6" s="300"/>
      <c r="AT6" s="300"/>
      <c r="AU6" s="300"/>
      <c r="AV6" s="300"/>
      <c r="AW6" s="300"/>
      <c r="AX6" s="300"/>
      <c r="AY6" s="300"/>
      <c r="AZ6" s="300"/>
      <c r="BA6" s="300"/>
      <c r="BB6" s="300"/>
      <c r="BC6" s="300"/>
      <c r="BD6" s="300"/>
      <c r="BE6" s="300"/>
      <c r="BF6" s="300"/>
      <c r="BG6" s="353"/>
    </row>
    <row r="7" spans="1:59" ht="14" thickBot="1">
      <c r="B7" s="335" t="s">
        <v>601</v>
      </c>
      <c r="C7" s="300" t="s">
        <v>395</v>
      </c>
      <c r="D7" s="300"/>
      <c r="E7" s="300"/>
      <c r="F7" s="300"/>
      <c r="G7" s="300"/>
      <c r="H7" s="300"/>
      <c r="I7" s="300"/>
      <c r="J7" s="300"/>
      <c r="K7" s="300"/>
      <c r="L7" s="300"/>
      <c r="M7" s="300"/>
      <c r="N7" s="300"/>
      <c r="O7" s="300"/>
      <c r="P7" s="300"/>
      <c r="Q7" s="300"/>
      <c r="R7" s="300"/>
      <c r="S7" s="300"/>
      <c r="T7" s="300"/>
      <c r="U7" s="300"/>
      <c r="V7" s="300"/>
      <c r="W7" s="300"/>
      <c r="X7" s="300"/>
      <c r="Y7" s="300"/>
      <c r="Z7" s="300"/>
      <c r="AA7" s="300"/>
      <c r="AB7" s="300"/>
      <c r="AC7" s="300"/>
      <c r="AD7" s="300"/>
      <c r="AE7" s="300"/>
      <c r="AF7" s="300"/>
      <c r="AG7" s="300"/>
      <c r="AH7" s="300"/>
      <c r="AI7" s="300"/>
      <c r="AJ7" s="300"/>
      <c r="AK7" s="300"/>
      <c r="AL7" s="300"/>
      <c r="AM7" s="300"/>
      <c r="AN7" s="300"/>
      <c r="AO7" s="300"/>
      <c r="AP7" s="300"/>
      <c r="AQ7" s="300"/>
      <c r="AR7" s="300"/>
      <c r="AS7" s="300"/>
      <c r="AT7" s="300"/>
      <c r="AU7" s="300"/>
      <c r="AV7" s="300"/>
      <c r="AW7" s="300"/>
      <c r="AX7" s="300"/>
      <c r="AY7" s="300"/>
      <c r="AZ7" s="300"/>
      <c r="BA7" s="300"/>
      <c r="BB7" s="300"/>
      <c r="BC7" s="300"/>
      <c r="BD7" s="300"/>
      <c r="BE7" s="300"/>
      <c r="BF7" s="300"/>
      <c r="BG7" s="353"/>
    </row>
    <row r="8" spans="1:59" ht="13.5">
      <c r="B8" s="301"/>
      <c r="C8" s="356"/>
      <c r="D8" s="357"/>
      <c r="E8" s="357"/>
      <c r="F8" s="357"/>
      <c r="G8" s="357"/>
      <c r="H8" s="357"/>
      <c r="I8" s="357"/>
      <c r="J8" s="357"/>
      <c r="K8" s="357"/>
      <c r="L8" s="357"/>
      <c r="M8" s="357"/>
      <c r="N8" s="357"/>
      <c r="O8" s="357"/>
      <c r="P8" s="357"/>
      <c r="Q8" s="357"/>
      <c r="R8" s="357"/>
      <c r="S8" s="357"/>
      <c r="T8" s="357"/>
      <c r="U8" s="357"/>
      <c r="V8" s="357"/>
      <c r="W8" s="357"/>
      <c r="X8" s="357"/>
      <c r="Y8" s="357"/>
      <c r="Z8" s="357"/>
      <c r="AA8" s="357"/>
      <c r="AB8" s="357"/>
      <c r="AC8" s="357"/>
      <c r="AD8" s="357"/>
      <c r="AE8" s="357"/>
      <c r="AF8" s="357"/>
      <c r="AG8" s="357"/>
      <c r="AH8" s="357"/>
      <c r="AI8" s="357"/>
      <c r="AJ8" s="357"/>
      <c r="AK8" s="357"/>
      <c r="AL8" s="357"/>
      <c r="AM8" s="357"/>
      <c r="AN8" s="357"/>
      <c r="AO8" s="357"/>
      <c r="AP8" s="357"/>
      <c r="AQ8" s="357"/>
      <c r="AR8" s="357"/>
      <c r="AS8" s="357"/>
      <c r="AT8" s="357"/>
      <c r="AU8" s="357"/>
      <c r="AV8" s="357"/>
      <c r="AW8" s="357"/>
      <c r="AX8" s="357"/>
      <c r="AY8" s="357"/>
      <c r="AZ8" s="357"/>
      <c r="BA8" s="357"/>
      <c r="BB8" s="357"/>
      <c r="BC8" s="357"/>
      <c r="BD8" s="357"/>
      <c r="BE8" s="357"/>
      <c r="BF8" s="357"/>
      <c r="BG8" s="353"/>
    </row>
    <row r="9" spans="1:59" ht="13.5">
      <c r="B9" s="301"/>
      <c r="C9" s="356" t="s">
        <v>396</v>
      </c>
      <c r="D9" s="357"/>
      <c r="E9" s="357"/>
      <c r="F9" s="357"/>
      <c r="G9" s="357"/>
      <c r="H9" s="357"/>
      <c r="I9" s="357"/>
      <c r="J9" s="357"/>
      <c r="K9" s="357"/>
      <c r="L9" s="357"/>
      <c r="M9" s="357"/>
      <c r="N9" s="357"/>
      <c r="O9" s="357"/>
      <c r="P9" s="357"/>
      <c r="Q9" s="357"/>
      <c r="R9" s="357"/>
      <c r="S9" s="357"/>
      <c r="AF9" s="357"/>
      <c r="AG9" s="357"/>
      <c r="AH9" s="357"/>
      <c r="AI9" s="357"/>
      <c r="AJ9" s="357"/>
      <c r="AK9" s="357"/>
      <c r="AL9" s="357"/>
      <c r="AM9" s="357"/>
      <c r="AN9" s="357"/>
      <c r="AO9" s="357"/>
      <c r="AP9" s="357"/>
      <c r="AQ9" s="357"/>
      <c r="AR9" s="357"/>
      <c r="AS9" s="357"/>
      <c r="AT9" s="357"/>
      <c r="AU9" s="357"/>
      <c r="AV9" s="357"/>
      <c r="AW9" s="357"/>
      <c r="AX9" s="357"/>
      <c r="AY9" s="357"/>
      <c r="AZ9" s="357"/>
      <c r="BA9" s="357"/>
      <c r="BB9" s="357"/>
      <c r="BC9" s="357"/>
      <c r="BD9" s="357"/>
      <c r="BE9" s="357"/>
      <c r="BF9" s="357"/>
      <c r="BG9" s="353"/>
    </row>
    <row r="10" spans="1:59" ht="13.5">
      <c r="B10" s="301"/>
      <c r="C10" s="356" t="s">
        <v>626</v>
      </c>
      <c r="D10" s="357"/>
      <c r="E10" s="357"/>
      <c r="F10" s="357"/>
      <c r="G10" s="357"/>
      <c r="H10" s="357"/>
      <c r="I10" s="357"/>
      <c r="J10" s="357"/>
      <c r="K10" s="357"/>
      <c r="L10" s="357"/>
      <c r="M10" s="357"/>
      <c r="N10" s="357"/>
      <c r="O10" s="357"/>
      <c r="P10" s="357"/>
      <c r="Q10" s="357"/>
      <c r="R10" s="357"/>
      <c r="S10" s="357"/>
      <c r="AF10" s="357"/>
      <c r="AG10" s="357"/>
      <c r="AH10" s="357"/>
      <c r="AI10" s="357"/>
      <c r="AJ10" s="357"/>
      <c r="AK10" s="357"/>
      <c r="AL10" s="357"/>
      <c r="AM10" s="357"/>
      <c r="AN10" s="357"/>
      <c r="AO10" s="357"/>
      <c r="AP10" s="357"/>
      <c r="AQ10" s="357"/>
      <c r="AR10" s="357"/>
      <c r="AS10" s="357"/>
      <c r="AT10" s="357"/>
      <c r="AU10" s="357"/>
      <c r="AV10" s="357"/>
      <c r="AW10" s="357"/>
      <c r="AX10" s="357"/>
      <c r="AY10" s="357"/>
      <c r="AZ10" s="357"/>
      <c r="BA10" s="357"/>
      <c r="BB10" s="357"/>
      <c r="BC10" s="357"/>
      <c r="BD10" s="357"/>
      <c r="BE10" s="357"/>
      <c r="BF10" s="357"/>
      <c r="BG10" s="353"/>
    </row>
    <row r="11" spans="1:59" ht="13.5">
      <c r="B11" s="301"/>
      <c r="C11" s="356"/>
      <c r="D11" s="357"/>
      <c r="E11" s="357"/>
      <c r="F11" s="357"/>
      <c r="G11" s="357"/>
      <c r="H11" s="357"/>
      <c r="I11" s="357"/>
      <c r="J11" s="357"/>
      <c r="K11" s="357"/>
      <c r="L11" s="357"/>
      <c r="M11" s="357"/>
      <c r="N11" s="357"/>
      <c r="O11" s="357"/>
      <c r="P11" s="357"/>
      <c r="Q11" s="357"/>
      <c r="R11" s="357"/>
      <c r="S11" s="357"/>
      <c r="AF11" s="357"/>
      <c r="AG11" s="357"/>
      <c r="AH11" s="357"/>
      <c r="AI11" s="357"/>
      <c r="AJ11" s="357"/>
      <c r="AK11" s="357"/>
      <c r="AL11" s="357"/>
      <c r="AM11" s="357"/>
      <c r="AN11" s="357"/>
      <c r="AO11" s="357"/>
      <c r="AP11" s="357"/>
      <c r="AQ11" s="357"/>
      <c r="AR11" s="357"/>
      <c r="AS11" s="357"/>
      <c r="AT11" s="357"/>
      <c r="AU11" s="357"/>
      <c r="AV11" s="357"/>
      <c r="AW11" s="357"/>
      <c r="AX11" s="357"/>
      <c r="AY11" s="357"/>
      <c r="AZ11" s="357"/>
      <c r="BA11" s="357"/>
      <c r="BB11" s="357"/>
      <c r="BC11" s="357"/>
      <c r="BD11" s="357"/>
      <c r="BE11" s="357"/>
      <c r="BF11" s="357"/>
      <c r="BG11" s="353"/>
    </row>
    <row r="12" spans="1:59" ht="15">
      <c r="B12" s="301"/>
      <c r="C12" s="449" t="s">
        <v>436</v>
      </c>
      <c r="D12" s="450"/>
      <c r="E12" s="450"/>
      <c r="F12" s="451"/>
      <c r="G12" s="451"/>
      <c r="H12" s="451"/>
      <c r="I12" s="451"/>
      <c r="J12" s="451"/>
      <c r="K12" s="451"/>
      <c r="L12" s="451"/>
      <c r="M12" s="451"/>
      <c r="N12" s="451"/>
      <c r="O12" s="451"/>
      <c r="P12" s="451"/>
      <c r="Q12" s="451"/>
      <c r="R12" s="451"/>
      <c r="S12" s="451"/>
      <c r="T12" s="451"/>
      <c r="U12" s="451"/>
      <c r="V12" s="451"/>
      <c r="W12" s="451"/>
      <c r="X12" s="451"/>
      <c r="Y12" s="451"/>
      <c r="Z12" s="452"/>
      <c r="AA12" s="68"/>
      <c r="AB12" s="68"/>
      <c r="AC12" s="68"/>
      <c r="AD12" s="68"/>
      <c r="BG12" s="353"/>
    </row>
    <row r="13" spans="1:59" ht="15">
      <c r="B13" s="301"/>
      <c r="C13" s="322"/>
      <c r="D13" s="322"/>
      <c r="E13" s="322"/>
      <c r="F13" s="319" t="s">
        <v>169</v>
      </c>
      <c r="G13" s="319" t="s">
        <v>169</v>
      </c>
      <c r="H13" s="319" t="s">
        <v>169</v>
      </c>
      <c r="I13" s="319"/>
      <c r="J13" s="319"/>
      <c r="K13" s="319"/>
      <c r="L13" s="319"/>
      <c r="M13" s="319"/>
      <c r="N13" s="319"/>
      <c r="O13" s="319"/>
      <c r="P13" s="319"/>
      <c r="Q13" s="319"/>
      <c r="R13" s="319"/>
      <c r="S13" s="319"/>
      <c r="T13" s="319"/>
      <c r="U13" s="319"/>
      <c r="V13" s="319"/>
      <c r="W13" s="319"/>
      <c r="X13" s="319"/>
      <c r="Y13" s="319"/>
      <c r="Z13" s="319"/>
      <c r="AA13" s="319"/>
      <c r="AB13" s="319"/>
      <c r="AC13" s="319"/>
      <c r="AD13" s="319"/>
      <c r="BG13" s="353"/>
    </row>
    <row r="14" spans="1:59" ht="13.5">
      <c r="B14" s="301"/>
      <c r="C14" s="312" t="s">
        <v>172</v>
      </c>
      <c r="D14" s="312" t="s">
        <v>173</v>
      </c>
      <c r="E14" s="312" t="s">
        <v>174</v>
      </c>
      <c r="F14" s="314" t="s">
        <v>815</v>
      </c>
      <c r="G14" s="314" t="s">
        <v>67</v>
      </c>
      <c r="H14" s="314" t="s">
        <v>69</v>
      </c>
      <c r="I14" s="314" t="s">
        <v>457</v>
      </c>
      <c r="J14" s="314" t="s">
        <v>458</v>
      </c>
      <c r="K14" s="314" t="s">
        <v>459</v>
      </c>
      <c r="L14" s="314" t="s">
        <v>460</v>
      </c>
      <c r="M14" s="314" t="s">
        <v>461</v>
      </c>
      <c r="N14" s="314" t="s">
        <v>462</v>
      </c>
      <c r="O14" s="314" t="s">
        <v>463</v>
      </c>
      <c r="P14" s="314" t="s">
        <v>464</v>
      </c>
      <c r="Q14" s="314" t="s">
        <v>465</v>
      </c>
      <c r="R14" s="314" t="s">
        <v>466</v>
      </c>
      <c r="S14" s="314" t="s">
        <v>467</v>
      </c>
      <c r="T14" s="314" t="s">
        <v>468</v>
      </c>
      <c r="U14" s="314" t="s">
        <v>469</v>
      </c>
      <c r="V14" s="314" t="s">
        <v>470</v>
      </c>
      <c r="W14" s="314" t="s">
        <v>471</v>
      </c>
      <c r="X14" s="314" t="s">
        <v>397</v>
      </c>
      <c r="Y14" s="314" t="s">
        <v>398</v>
      </c>
      <c r="Z14" s="314" t="s">
        <v>399</v>
      </c>
      <c r="AA14" s="314" t="s">
        <v>400</v>
      </c>
      <c r="AB14" s="314" t="s">
        <v>151</v>
      </c>
      <c r="AC14" s="314" t="s">
        <v>152</v>
      </c>
      <c r="AD14" s="314" t="s">
        <v>401</v>
      </c>
      <c r="BG14" s="353"/>
    </row>
    <row r="15" spans="1:59" ht="13.5">
      <c r="B15" s="301"/>
      <c r="C15" s="312" t="s">
        <v>371</v>
      </c>
      <c r="D15" s="312" t="s">
        <v>381</v>
      </c>
      <c r="E15" s="312" t="s">
        <v>390</v>
      </c>
      <c r="F15" s="313" t="s">
        <v>418</v>
      </c>
      <c r="G15" s="313" t="s">
        <v>419</v>
      </c>
      <c r="H15" s="313" t="s">
        <v>421</v>
      </c>
      <c r="I15" s="313" t="s">
        <v>420</v>
      </c>
      <c r="J15" s="313" t="s">
        <v>422</v>
      </c>
      <c r="K15" s="313" t="s">
        <v>423</v>
      </c>
      <c r="L15" s="313" t="s">
        <v>424</v>
      </c>
      <c r="M15" s="313" t="s">
        <v>425</v>
      </c>
      <c r="N15" s="313" t="s">
        <v>426</v>
      </c>
      <c r="O15" s="313" t="s">
        <v>427</v>
      </c>
      <c r="P15" s="313" t="s">
        <v>428</v>
      </c>
      <c r="Q15" s="313" t="s">
        <v>429</v>
      </c>
      <c r="R15" s="313" t="s">
        <v>430</v>
      </c>
      <c r="S15" s="313" t="s">
        <v>431</v>
      </c>
      <c r="T15" s="313" t="s">
        <v>432</v>
      </c>
      <c r="U15" s="313" t="s">
        <v>433</v>
      </c>
      <c r="V15" s="313" t="s">
        <v>434</v>
      </c>
      <c r="W15" s="313" t="s">
        <v>435</v>
      </c>
      <c r="X15" s="313" t="s">
        <v>403</v>
      </c>
      <c r="Y15" s="313" t="s">
        <v>404</v>
      </c>
      <c r="Z15" s="313" t="s">
        <v>405</v>
      </c>
      <c r="AA15" s="313" t="s">
        <v>406</v>
      </c>
      <c r="AB15" s="313" t="s">
        <v>407</v>
      </c>
      <c r="AC15" s="313" t="s">
        <v>408</v>
      </c>
      <c r="AD15" s="313" t="s">
        <v>409</v>
      </c>
      <c r="BG15" s="353"/>
    </row>
    <row r="16" spans="1:59" ht="13.5">
      <c r="B16" s="317"/>
      <c r="C16" s="312" t="s">
        <v>472</v>
      </c>
      <c r="D16" s="312" t="s">
        <v>473</v>
      </c>
      <c r="E16" s="312" t="s">
        <v>473</v>
      </c>
      <c r="F16" s="314" t="s">
        <v>474</v>
      </c>
      <c r="G16" s="314" t="s">
        <v>474</v>
      </c>
      <c r="H16" s="314" t="s">
        <v>475</v>
      </c>
      <c r="I16" s="314" t="s">
        <v>474</v>
      </c>
      <c r="J16" s="314" t="s">
        <v>476</v>
      </c>
      <c r="K16" s="314" t="s">
        <v>477</v>
      </c>
      <c r="L16" s="313" t="s">
        <v>478</v>
      </c>
      <c r="M16" s="314" t="s">
        <v>478</v>
      </c>
      <c r="N16" s="314" t="s">
        <v>479</v>
      </c>
      <c r="O16" s="314" t="s">
        <v>474</v>
      </c>
      <c r="P16" s="314" t="s">
        <v>480</v>
      </c>
      <c r="Q16" s="314" t="s">
        <v>481</v>
      </c>
      <c r="R16" s="314" t="s">
        <v>480</v>
      </c>
      <c r="S16" s="314" t="s">
        <v>482</v>
      </c>
      <c r="T16" s="313" t="s">
        <v>483</v>
      </c>
      <c r="U16" s="314" t="s">
        <v>483</v>
      </c>
      <c r="V16" s="314" t="s">
        <v>484</v>
      </c>
      <c r="W16" s="314" t="s">
        <v>474</v>
      </c>
      <c r="X16" s="314" t="s">
        <v>485</v>
      </c>
      <c r="Y16" s="314" t="s">
        <v>487</v>
      </c>
      <c r="Z16" s="314" t="s">
        <v>488</v>
      </c>
      <c r="AA16" s="314" t="s">
        <v>488</v>
      </c>
      <c r="AB16" s="313" t="s">
        <v>486</v>
      </c>
      <c r="AC16" s="314" t="s">
        <v>488</v>
      </c>
      <c r="AD16" s="314" t="s">
        <v>488</v>
      </c>
      <c r="BG16" s="353"/>
    </row>
    <row r="17" spans="2:59" ht="21" customHeight="1">
      <c r="B17" s="317" t="s">
        <v>412</v>
      </c>
      <c r="C17" s="338" t="s">
        <v>684</v>
      </c>
      <c r="D17" s="313" t="s">
        <v>438</v>
      </c>
      <c r="E17" s="314" t="s">
        <v>438</v>
      </c>
      <c r="F17" s="314" t="s">
        <v>183</v>
      </c>
      <c r="G17" s="314" t="s">
        <v>439</v>
      </c>
      <c r="H17" s="314" t="s">
        <v>184</v>
      </c>
      <c r="I17" s="314" t="s">
        <v>439</v>
      </c>
      <c r="J17" s="314" t="s">
        <v>440</v>
      </c>
      <c r="K17" s="314" t="s">
        <v>411</v>
      </c>
      <c r="L17" s="313" t="s">
        <v>156</v>
      </c>
      <c r="M17" s="314" t="s">
        <v>441</v>
      </c>
      <c r="N17" s="314"/>
      <c r="O17" s="314" t="s">
        <v>183</v>
      </c>
      <c r="P17" s="314" t="s">
        <v>156</v>
      </c>
      <c r="Q17" s="314" t="s">
        <v>442</v>
      </c>
      <c r="R17" s="314" t="s">
        <v>443</v>
      </c>
      <c r="S17" s="314"/>
      <c r="T17" s="313" t="s">
        <v>156</v>
      </c>
      <c r="U17" s="314" t="s">
        <v>156</v>
      </c>
      <c r="V17" s="314" t="s">
        <v>156</v>
      </c>
      <c r="W17" s="314"/>
      <c r="X17" s="314" t="s">
        <v>411</v>
      </c>
      <c r="Y17" s="314" t="s">
        <v>444</v>
      </c>
      <c r="Z17" s="314" t="s">
        <v>445</v>
      </c>
      <c r="AA17" s="314" t="s">
        <v>445</v>
      </c>
      <c r="AB17" s="313" t="s">
        <v>446</v>
      </c>
      <c r="AC17" s="314" t="s">
        <v>447</v>
      </c>
      <c r="AD17" s="314" t="s">
        <v>447</v>
      </c>
      <c r="BG17" s="353"/>
    </row>
    <row r="18" spans="2:59" ht="19.5" customHeight="1">
      <c r="B18" s="315" t="s">
        <v>410</v>
      </c>
      <c r="C18" s="338" t="s">
        <v>684</v>
      </c>
      <c r="D18" s="326" t="s">
        <v>438</v>
      </c>
      <c r="E18" s="337" t="s">
        <v>182</v>
      </c>
      <c r="F18" s="311" t="s">
        <v>183</v>
      </c>
      <c r="G18" s="327" t="s">
        <v>439</v>
      </c>
      <c r="H18" s="311" t="s">
        <v>184</v>
      </c>
      <c r="I18" s="327" t="s">
        <v>439</v>
      </c>
      <c r="J18" s="311" t="s">
        <v>184</v>
      </c>
      <c r="K18" s="311" t="s">
        <v>411</v>
      </c>
      <c r="L18" s="326" t="s">
        <v>448</v>
      </c>
      <c r="M18" s="311" t="s">
        <v>441</v>
      </c>
      <c r="N18" s="311"/>
      <c r="O18" s="311" t="s">
        <v>411</v>
      </c>
      <c r="P18" s="311" t="s">
        <v>156</v>
      </c>
      <c r="Q18" s="311" t="s">
        <v>184</v>
      </c>
      <c r="R18" s="311" t="s">
        <v>449</v>
      </c>
      <c r="S18" s="311"/>
      <c r="T18" s="326" t="s">
        <v>156</v>
      </c>
      <c r="U18" s="311" t="s">
        <v>156</v>
      </c>
      <c r="V18" s="311" t="s">
        <v>156</v>
      </c>
      <c r="W18" s="311"/>
      <c r="X18" s="311" t="s">
        <v>411</v>
      </c>
      <c r="Y18" s="311" t="s">
        <v>450</v>
      </c>
      <c r="Z18" s="311" t="s">
        <v>451</v>
      </c>
      <c r="AA18" s="311">
        <v>470195</v>
      </c>
      <c r="AB18" s="326" t="s">
        <v>450</v>
      </c>
      <c r="AC18" s="311">
        <v>470195</v>
      </c>
      <c r="AD18" s="311" t="s">
        <v>451</v>
      </c>
      <c r="BG18" s="353"/>
    </row>
    <row r="19" spans="2:59" ht="14">
      <c r="B19" s="315" t="s">
        <v>410</v>
      </c>
      <c r="C19" s="337" t="s">
        <v>645</v>
      </c>
      <c r="D19" s="316" t="s">
        <v>438</v>
      </c>
      <c r="E19" s="316" t="s">
        <v>438</v>
      </c>
      <c r="F19" s="316" t="s">
        <v>183</v>
      </c>
      <c r="G19" s="316" t="s">
        <v>439</v>
      </c>
      <c r="H19" s="316" t="s">
        <v>184</v>
      </c>
      <c r="I19" s="316" t="s">
        <v>439</v>
      </c>
      <c r="J19" s="316" t="s">
        <v>646</v>
      </c>
      <c r="K19" s="316" t="s">
        <v>411</v>
      </c>
      <c r="L19" s="316" t="s">
        <v>156</v>
      </c>
      <c r="M19" s="316" t="s">
        <v>441</v>
      </c>
      <c r="N19" s="316"/>
      <c r="O19" s="316" t="s">
        <v>183</v>
      </c>
      <c r="P19" s="316" t="s">
        <v>156</v>
      </c>
      <c r="Q19" s="316" t="s">
        <v>442</v>
      </c>
      <c r="R19" s="316" t="s">
        <v>647</v>
      </c>
      <c r="S19" s="316"/>
      <c r="T19" s="316" t="s">
        <v>648</v>
      </c>
      <c r="U19" s="316" t="s">
        <v>649</v>
      </c>
      <c r="V19" s="316" t="s">
        <v>650</v>
      </c>
      <c r="W19" s="316"/>
      <c r="X19" s="316" t="s">
        <v>411</v>
      </c>
      <c r="Y19" s="316" t="s">
        <v>444</v>
      </c>
      <c r="Z19" s="316" t="s">
        <v>445</v>
      </c>
      <c r="AA19" s="316" t="s">
        <v>445</v>
      </c>
      <c r="AB19" s="316" t="s">
        <v>651</v>
      </c>
      <c r="AC19" s="316">
        <v>375901</v>
      </c>
      <c r="AD19" s="316" t="s">
        <v>652</v>
      </c>
      <c r="BG19" s="353"/>
    </row>
    <row r="20" spans="2:59" ht="14">
      <c r="B20" s="315" t="s">
        <v>410</v>
      </c>
      <c r="C20" s="337" t="s">
        <v>659</v>
      </c>
      <c r="D20" s="316" t="s">
        <v>438</v>
      </c>
      <c r="E20" s="316" t="s">
        <v>438</v>
      </c>
      <c r="F20" s="316" t="s">
        <v>183</v>
      </c>
      <c r="G20" s="316" t="s">
        <v>439</v>
      </c>
      <c r="H20" s="316" t="s">
        <v>184</v>
      </c>
      <c r="I20" s="316" t="s">
        <v>439</v>
      </c>
      <c r="J20" s="316" t="s">
        <v>653</v>
      </c>
      <c r="K20" s="316" t="s">
        <v>411</v>
      </c>
      <c r="L20" s="316" t="s">
        <v>654</v>
      </c>
      <c r="M20" s="316" t="s">
        <v>441</v>
      </c>
      <c r="N20" s="316"/>
      <c r="O20" s="316" t="s">
        <v>439</v>
      </c>
      <c r="P20" s="316" t="s">
        <v>156</v>
      </c>
      <c r="Q20" s="316" t="s">
        <v>655</v>
      </c>
      <c r="R20" s="316" t="s">
        <v>443</v>
      </c>
      <c r="S20" s="316"/>
      <c r="T20" s="316" t="s">
        <v>156</v>
      </c>
      <c r="U20" s="316" t="s">
        <v>156</v>
      </c>
      <c r="V20" s="316" t="s">
        <v>156</v>
      </c>
      <c r="W20" s="316"/>
      <c r="X20" s="316" t="s">
        <v>411</v>
      </c>
      <c r="Y20" s="316" t="s">
        <v>656</v>
      </c>
      <c r="Z20" s="316" t="s">
        <v>445</v>
      </c>
      <c r="AA20" s="316" t="s">
        <v>445</v>
      </c>
      <c r="AB20" s="316" t="s">
        <v>657</v>
      </c>
      <c r="AC20" s="316" t="s">
        <v>658</v>
      </c>
      <c r="AD20" s="316" t="s">
        <v>658</v>
      </c>
      <c r="BG20" s="353"/>
    </row>
    <row r="21" spans="2:59" ht="13.5">
      <c r="B21" s="301"/>
      <c r="C21" s="356"/>
      <c r="D21" s="356"/>
      <c r="E21" s="356"/>
      <c r="F21" s="356"/>
      <c r="G21" s="356"/>
      <c r="H21" s="356"/>
      <c r="I21" s="356"/>
      <c r="J21" s="356"/>
      <c r="M21" s="356"/>
      <c r="N21" s="356"/>
      <c r="O21" s="356"/>
      <c r="P21" s="356"/>
      <c r="Q21" s="356"/>
      <c r="R21" s="356"/>
      <c r="S21" s="356"/>
      <c r="T21" s="356"/>
      <c r="U21" s="356"/>
      <c r="V21" s="356"/>
      <c r="W21" s="356"/>
      <c r="X21" s="356"/>
      <c r="Y21" s="356"/>
      <c r="Z21" s="356"/>
      <c r="AA21" s="356"/>
      <c r="AB21" s="356"/>
      <c r="AC21" s="356"/>
      <c r="AD21" s="356"/>
      <c r="AE21" s="356"/>
      <c r="AF21" s="356"/>
      <c r="BG21" s="353"/>
    </row>
    <row r="22" spans="2:59" ht="15">
      <c r="B22" s="301"/>
      <c r="C22" s="457" t="s">
        <v>489</v>
      </c>
      <c r="D22" s="458"/>
      <c r="E22" s="458"/>
      <c r="F22" s="458"/>
      <c r="G22" s="458"/>
      <c r="H22" s="458"/>
      <c r="I22" s="458"/>
      <c r="J22" s="458"/>
      <c r="K22" s="458"/>
      <c r="L22" s="458"/>
      <c r="M22" s="458"/>
      <c r="N22" s="458"/>
      <c r="O22" s="458"/>
      <c r="P22" s="458"/>
      <c r="Q22" s="458"/>
      <c r="R22" s="458"/>
      <c r="S22" s="458"/>
      <c r="T22" s="458"/>
      <c r="U22" s="92"/>
      <c r="V22" s="92"/>
      <c r="W22" s="92"/>
      <c r="X22" s="92"/>
      <c r="Y22" s="92"/>
      <c r="Z22" s="92"/>
      <c r="AA22" s="93"/>
      <c r="AB22" s="93"/>
      <c r="AC22" s="93"/>
      <c r="AD22" s="93"/>
      <c r="AE22" s="93"/>
      <c r="AF22" s="93"/>
      <c r="AG22" s="93"/>
      <c r="AH22" s="93"/>
      <c r="AI22" s="93"/>
      <c r="AJ22" s="93"/>
      <c r="AK22" s="93"/>
      <c r="AL22" s="93"/>
      <c r="AM22" s="93"/>
      <c r="AN22" s="93"/>
      <c r="AO22" s="93"/>
      <c r="AP22" s="94"/>
      <c r="AQ22" s="94"/>
      <c r="AR22" s="94"/>
      <c r="AS22" s="94"/>
      <c r="AT22" s="94"/>
      <c r="AU22" s="94"/>
      <c r="AV22" s="94"/>
      <c r="AW22" s="94"/>
      <c r="AX22" s="94"/>
      <c r="AY22" s="94"/>
      <c r="AZ22" s="94"/>
      <c r="BA22" s="94"/>
      <c r="BB22" s="94"/>
      <c r="BC22" s="94"/>
      <c r="BD22" s="94"/>
      <c r="BE22" s="94"/>
      <c r="BF22" s="94"/>
      <c r="BG22" s="353"/>
    </row>
    <row r="23" spans="2:59" ht="15">
      <c r="B23" s="301"/>
      <c r="C23" s="322"/>
      <c r="D23" s="322"/>
      <c r="E23" s="322"/>
      <c r="F23" s="319" t="s">
        <v>169</v>
      </c>
      <c r="G23" s="319" t="s">
        <v>169</v>
      </c>
      <c r="H23" s="324" t="s">
        <v>169</v>
      </c>
      <c r="I23" s="319" t="s">
        <v>169</v>
      </c>
      <c r="J23" s="319" t="s">
        <v>169</v>
      </c>
      <c r="K23" s="324"/>
      <c r="L23" s="324"/>
      <c r="M23" s="324"/>
      <c r="N23" s="324"/>
      <c r="O23" s="324"/>
      <c r="P23" s="324"/>
      <c r="Q23" s="324"/>
      <c r="R23" s="324"/>
      <c r="S23" s="324"/>
      <c r="T23" s="324"/>
      <c r="U23" s="324"/>
      <c r="V23" s="324"/>
      <c r="W23" s="324"/>
      <c r="X23" s="324"/>
      <c r="Y23" s="324"/>
      <c r="Z23" s="324"/>
      <c r="AA23" s="325"/>
      <c r="AB23" s="325"/>
      <c r="AC23" s="325"/>
      <c r="AD23" s="325"/>
      <c r="AE23" s="325"/>
      <c r="AF23" s="325"/>
      <c r="AG23" s="325"/>
      <c r="AH23" s="325"/>
      <c r="AI23" s="325"/>
      <c r="AJ23" s="325"/>
      <c r="AK23" s="325"/>
      <c r="AL23" s="325"/>
      <c r="AM23" s="325"/>
      <c r="AN23" s="325"/>
      <c r="AO23" s="325"/>
      <c r="AP23" s="325"/>
      <c r="AQ23" s="325"/>
      <c r="AR23" s="325"/>
      <c r="AS23" s="325"/>
      <c r="AT23" s="325"/>
      <c r="AU23" s="325"/>
      <c r="AV23" s="325"/>
      <c r="AW23" s="325"/>
      <c r="AX23" s="325"/>
      <c r="AY23" s="325"/>
      <c r="AZ23" s="325"/>
      <c r="BA23" s="325"/>
      <c r="BB23" s="325"/>
      <c r="BC23" s="325"/>
      <c r="BD23" s="325"/>
      <c r="BE23" s="325"/>
      <c r="BF23" s="325"/>
      <c r="BG23" s="353"/>
    </row>
    <row r="24" spans="2:59" ht="25">
      <c r="B24" s="301"/>
      <c r="C24" s="312" t="s">
        <v>533</v>
      </c>
      <c r="D24" s="312" t="s">
        <v>588</v>
      </c>
      <c r="E24" s="312" t="s">
        <v>589</v>
      </c>
      <c r="F24" s="314" t="s">
        <v>814</v>
      </c>
      <c r="G24" s="314" t="s">
        <v>99</v>
      </c>
      <c r="H24" s="314" t="s">
        <v>130</v>
      </c>
      <c r="I24" s="314" t="s">
        <v>559</v>
      </c>
      <c r="J24" s="314" t="s">
        <v>127</v>
      </c>
      <c r="K24" s="314" t="s">
        <v>67</v>
      </c>
      <c r="L24" s="314" t="s">
        <v>456</v>
      </c>
      <c r="M24" s="314" t="s">
        <v>534</v>
      </c>
      <c r="N24" s="314" t="s">
        <v>535</v>
      </c>
      <c r="O24" s="314" t="s">
        <v>536</v>
      </c>
      <c r="P24" s="314" t="s">
        <v>537</v>
      </c>
      <c r="Q24" s="314" t="s">
        <v>538</v>
      </c>
      <c r="R24" s="314" t="s">
        <v>539</v>
      </c>
      <c r="S24" s="314" t="s">
        <v>540</v>
      </c>
      <c r="T24" s="314" t="s">
        <v>541</v>
      </c>
      <c r="U24" s="314" t="s">
        <v>542</v>
      </c>
      <c r="V24" s="314" t="s">
        <v>543</v>
      </c>
      <c r="W24" s="314" t="s">
        <v>544</v>
      </c>
      <c r="X24" s="314" t="s">
        <v>545</v>
      </c>
      <c r="Y24" s="314" t="s">
        <v>546</v>
      </c>
      <c r="Z24" s="314" t="s">
        <v>547</v>
      </c>
      <c r="AA24" s="314" t="s">
        <v>548</v>
      </c>
      <c r="AB24" s="314" t="s">
        <v>549</v>
      </c>
      <c r="AC24" s="314" t="s">
        <v>550</v>
      </c>
      <c r="AD24" s="314" t="s">
        <v>551</v>
      </c>
      <c r="AE24" s="314" t="s">
        <v>552</v>
      </c>
      <c r="AF24" s="314" t="s">
        <v>553</v>
      </c>
      <c r="AG24" s="314" t="s">
        <v>554</v>
      </c>
      <c r="AH24" s="314" t="s">
        <v>555</v>
      </c>
      <c r="AI24" s="314" t="s">
        <v>556</v>
      </c>
      <c r="AJ24" s="314" t="s">
        <v>558</v>
      </c>
      <c r="AK24" s="314" t="s">
        <v>557</v>
      </c>
      <c r="AL24" s="314" t="s">
        <v>566</v>
      </c>
      <c r="AM24" s="314" t="s">
        <v>560</v>
      </c>
      <c r="AN24" s="314" t="s">
        <v>561</v>
      </c>
      <c r="AO24" s="314" t="s">
        <v>562</v>
      </c>
      <c r="AP24" s="314" t="s">
        <v>563</v>
      </c>
      <c r="AQ24" s="314" t="s">
        <v>567</v>
      </c>
      <c r="AR24" s="314" t="s">
        <v>564</v>
      </c>
      <c r="AS24" s="314" t="s">
        <v>565</v>
      </c>
      <c r="AT24" s="314" t="s">
        <v>568</v>
      </c>
      <c r="AU24" s="314" t="s">
        <v>569</v>
      </c>
      <c r="AV24" s="314" t="s">
        <v>570</v>
      </c>
      <c r="AW24" s="314" t="s">
        <v>571</v>
      </c>
      <c r="AX24" s="314" t="s">
        <v>572</v>
      </c>
      <c r="AY24" s="314" t="s">
        <v>573</v>
      </c>
      <c r="AZ24" s="314" t="s">
        <v>397</v>
      </c>
      <c r="BA24" s="314" t="s">
        <v>398</v>
      </c>
      <c r="BB24" s="314" t="s">
        <v>399</v>
      </c>
      <c r="BC24" s="314" t="s">
        <v>400</v>
      </c>
      <c r="BD24" s="314" t="s">
        <v>151</v>
      </c>
      <c r="BE24" s="314" t="s">
        <v>152</v>
      </c>
      <c r="BF24" s="314" t="s">
        <v>688</v>
      </c>
      <c r="BG24" s="353"/>
    </row>
    <row r="25" spans="2:59">
      <c r="B25" s="358"/>
      <c r="C25" s="312" t="s">
        <v>371</v>
      </c>
      <c r="D25" s="312" t="s">
        <v>381</v>
      </c>
      <c r="E25" s="312" t="s">
        <v>390</v>
      </c>
      <c r="F25" s="313" t="s">
        <v>490</v>
      </c>
      <c r="G25" s="313" t="s">
        <v>491</v>
      </c>
      <c r="H25" s="313" t="s">
        <v>492</v>
      </c>
      <c r="I25" s="313" t="s">
        <v>519</v>
      </c>
      <c r="J25" s="313" t="s">
        <v>525</v>
      </c>
      <c r="K25" s="313" t="s">
        <v>419</v>
      </c>
      <c r="L25" s="313" t="s">
        <v>420</v>
      </c>
      <c r="M25" s="313" t="s">
        <v>493</v>
      </c>
      <c r="N25" s="313" t="s">
        <v>494</v>
      </c>
      <c r="O25" s="313" t="s">
        <v>495</v>
      </c>
      <c r="P25" s="313" t="s">
        <v>496</v>
      </c>
      <c r="Q25" s="313" t="s">
        <v>497</v>
      </c>
      <c r="R25" s="313" t="s">
        <v>498</v>
      </c>
      <c r="S25" s="313" t="s">
        <v>499</v>
      </c>
      <c r="T25" s="313" t="s">
        <v>500</v>
      </c>
      <c r="U25" s="313" t="s">
        <v>501</v>
      </c>
      <c r="V25" s="313" t="s">
        <v>502</v>
      </c>
      <c r="W25" s="313" t="s">
        <v>503</v>
      </c>
      <c r="X25" s="313" t="s">
        <v>504</v>
      </c>
      <c r="Y25" s="313" t="s">
        <v>505</v>
      </c>
      <c r="Z25" s="313" t="s">
        <v>506</v>
      </c>
      <c r="AA25" s="313" t="s">
        <v>507</v>
      </c>
      <c r="AB25" s="313" t="s">
        <v>508</v>
      </c>
      <c r="AC25" s="313" t="s">
        <v>509</v>
      </c>
      <c r="AD25" s="313" t="s">
        <v>510</v>
      </c>
      <c r="AE25" s="313" t="s">
        <v>511</v>
      </c>
      <c r="AF25" s="313" t="s">
        <v>512</v>
      </c>
      <c r="AG25" s="313" t="s">
        <v>513</v>
      </c>
      <c r="AH25" s="313" t="s">
        <v>514</v>
      </c>
      <c r="AI25" s="313" t="s">
        <v>515</v>
      </c>
      <c r="AJ25" s="313" t="s">
        <v>516</v>
      </c>
      <c r="AK25" s="313" t="s">
        <v>517</v>
      </c>
      <c r="AL25" s="313" t="s">
        <v>518</v>
      </c>
      <c r="AM25" s="313" t="s">
        <v>520</v>
      </c>
      <c r="AN25" s="313" t="s">
        <v>521</v>
      </c>
      <c r="AO25" s="313" t="s">
        <v>522</v>
      </c>
      <c r="AP25" s="313" t="s">
        <v>402</v>
      </c>
      <c r="AQ25" s="313" t="s">
        <v>523</v>
      </c>
      <c r="AR25" s="313" t="s">
        <v>524</v>
      </c>
      <c r="AS25" s="313" t="s">
        <v>526</v>
      </c>
      <c r="AT25" s="313" t="s">
        <v>527</v>
      </c>
      <c r="AU25" s="313" t="s">
        <v>528</v>
      </c>
      <c r="AV25" s="313" t="s">
        <v>529</v>
      </c>
      <c r="AW25" s="313" t="s">
        <v>530</v>
      </c>
      <c r="AX25" s="313" t="s">
        <v>531</v>
      </c>
      <c r="AY25" s="313" t="s">
        <v>532</v>
      </c>
      <c r="AZ25" s="313" t="s">
        <v>403</v>
      </c>
      <c r="BA25" s="313" t="s">
        <v>404</v>
      </c>
      <c r="BB25" s="313" t="s">
        <v>405</v>
      </c>
      <c r="BC25" s="313" t="s">
        <v>406</v>
      </c>
      <c r="BD25" s="313" t="s">
        <v>407</v>
      </c>
      <c r="BE25" s="313" t="s">
        <v>408</v>
      </c>
      <c r="BF25" s="313" t="s">
        <v>409</v>
      </c>
      <c r="BG25" s="353"/>
    </row>
    <row r="26" spans="2:59">
      <c r="B26" s="358"/>
      <c r="C26" s="312" t="s">
        <v>472</v>
      </c>
      <c r="D26" s="312" t="s">
        <v>574</v>
      </c>
      <c r="E26" s="312" t="s">
        <v>473</v>
      </c>
      <c r="F26" s="326" t="s">
        <v>474</v>
      </c>
      <c r="G26" s="326" t="s">
        <v>474</v>
      </c>
      <c r="H26" s="326" t="s">
        <v>474</v>
      </c>
      <c r="I26" s="326" t="s">
        <v>474</v>
      </c>
      <c r="J26" s="326" t="s">
        <v>476</v>
      </c>
      <c r="K26" s="326" t="s">
        <v>474</v>
      </c>
      <c r="L26" s="326" t="s">
        <v>474</v>
      </c>
      <c r="M26" s="326" t="s">
        <v>575</v>
      </c>
      <c r="N26" s="326" t="s">
        <v>575</v>
      </c>
      <c r="O26" s="326" t="s">
        <v>473</v>
      </c>
      <c r="P26" s="326" t="s">
        <v>576</v>
      </c>
      <c r="Q26" s="326" t="s">
        <v>474</v>
      </c>
      <c r="R26" s="326" t="s">
        <v>481</v>
      </c>
      <c r="S26" s="326" t="s">
        <v>476</v>
      </c>
      <c r="T26" s="326" t="s">
        <v>481</v>
      </c>
      <c r="U26" s="326" t="s">
        <v>476</v>
      </c>
      <c r="V26" s="326" t="s">
        <v>476</v>
      </c>
      <c r="W26" s="326" t="s">
        <v>474</v>
      </c>
      <c r="X26" s="326" t="s">
        <v>577</v>
      </c>
      <c r="Y26" s="326" t="s">
        <v>577</v>
      </c>
      <c r="Z26" s="326" t="s">
        <v>478</v>
      </c>
      <c r="AA26" s="326" t="s">
        <v>576</v>
      </c>
      <c r="AB26" s="326" t="s">
        <v>576</v>
      </c>
      <c r="AC26" s="326" t="s">
        <v>476</v>
      </c>
      <c r="AD26" s="326" t="s">
        <v>480</v>
      </c>
      <c r="AE26" s="326" t="s">
        <v>481</v>
      </c>
      <c r="AF26" s="326" t="s">
        <v>481</v>
      </c>
      <c r="AG26" s="326" t="s">
        <v>578</v>
      </c>
      <c r="AH26" s="326" t="s">
        <v>578</v>
      </c>
      <c r="AI26" s="326" t="s">
        <v>481</v>
      </c>
      <c r="AJ26" s="326" t="s">
        <v>481</v>
      </c>
      <c r="AK26" s="326" t="s">
        <v>578</v>
      </c>
      <c r="AL26" s="326" t="s">
        <v>578</v>
      </c>
      <c r="AM26" s="326" t="s">
        <v>474</v>
      </c>
      <c r="AN26" s="326" t="s">
        <v>474</v>
      </c>
      <c r="AO26" s="326" t="s">
        <v>474</v>
      </c>
      <c r="AP26" s="326" t="s">
        <v>478</v>
      </c>
      <c r="AQ26" s="326" t="s">
        <v>473</v>
      </c>
      <c r="AR26" s="326" t="s">
        <v>474</v>
      </c>
      <c r="AS26" s="326" t="s">
        <v>476</v>
      </c>
      <c r="AT26" s="326" t="s">
        <v>474</v>
      </c>
      <c r="AU26" s="326" t="s">
        <v>579</v>
      </c>
      <c r="AV26" s="326" t="s">
        <v>481</v>
      </c>
      <c r="AW26" s="326" t="s">
        <v>478</v>
      </c>
      <c r="AX26" s="326" t="s">
        <v>474</v>
      </c>
      <c r="AY26" s="326" t="s">
        <v>474</v>
      </c>
      <c r="AZ26" s="326" t="s">
        <v>485</v>
      </c>
      <c r="BA26" s="326" t="s">
        <v>486</v>
      </c>
      <c r="BB26" s="326" t="s">
        <v>488</v>
      </c>
      <c r="BC26" s="326" t="s">
        <v>488</v>
      </c>
      <c r="BD26" s="326" t="s">
        <v>486</v>
      </c>
      <c r="BE26" s="326" t="s">
        <v>488</v>
      </c>
      <c r="BF26" s="326" t="s">
        <v>488</v>
      </c>
      <c r="BG26" s="353"/>
    </row>
    <row r="27" spans="2:59" ht="15">
      <c r="B27" s="317" t="s">
        <v>412</v>
      </c>
      <c r="C27" s="327" t="s">
        <v>437</v>
      </c>
      <c r="D27" s="327" t="s">
        <v>438</v>
      </c>
      <c r="E27" s="327" t="s">
        <v>438</v>
      </c>
      <c r="F27" s="328" t="s">
        <v>454</v>
      </c>
      <c r="G27" s="327" t="s">
        <v>411</v>
      </c>
      <c r="H27" s="327" t="s">
        <v>411</v>
      </c>
      <c r="I27" s="330">
        <v>1</v>
      </c>
      <c r="J27" s="331">
        <v>0</v>
      </c>
      <c r="K27" s="327" t="s">
        <v>439</v>
      </c>
      <c r="L27" s="327" t="s">
        <v>439</v>
      </c>
      <c r="M27" s="327" t="s">
        <v>156</v>
      </c>
      <c r="N27" s="327" t="s">
        <v>156</v>
      </c>
      <c r="O27" s="327" t="s">
        <v>156</v>
      </c>
      <c r="P27" s="327" t="s">
        <v>156</v>
      </c>
      <c r="Q27" s="329" t="s">
        <v>580</v>
      </c>
      <c r="R27" s="327" t="s">
        <v>411</v>
      </c>
      <c r="S27" s="327" t="s">
        <v>411</v>
      </c>
      <c r="T27" s="327" t="s">
        <v>581</v>
      </c>
      <c r="U27" s="327" t="s">
        <v>582</v>
      </c>
      <c r="V27" s="327" t="s">
        <v>183</v>
      </c>
      <c r="W27" s="327" t="s">
        <v>183</v>
      </c>
      <c r="X27" s="327" t="s">
        <v>411</v>
      </c>
      <c r="Y27" s="327" t="s">
        <v>411</v>
      </c>
      <c r="Z27" s="327"/>
      <c r="AA27" s="330"/>
      <c r="AB27" s="330" t="s">
        <v>156</v>
      </c>
      <c r="AC27" s="330">
        <v>1</v>
      </c>
      <c r="AD27" s="330">
        <v>99999999</v>
      </c>
      <c r="AE27" s="327" t="s">
        <v>411</v>
      </c>
      <c r="AF27" s="327" t="s">
        <v>411</v>
      </c>
      <c r="AG27" s="327" t="s">
        <v>411</v>
      </c>
      <c r="AH27" s="327" t="s">
        <v>411</v>
      </c>
      <c r="AI27" s="330">
        <v>0</v>
      </c>
      <c r="AJ27" s="330">
        <v>0</v>
      </c>
      <c r="AK27" s="330">
        <v>0</v>
      </c>
      <c r="AL27" s="330">
        <v>0</v>
      </c>
      <c r="AM27" s="327" t="s">
        <v>183</v>
      </c>
      <c r="AN27" s="330">
        <v>0</v>
      </c>
      <c r="AO27" s="327" t="s">
        <v>411</v>
      </c>
      <c r="AP27" s="330">
        <v>1</v>
      </c>
      <c r="AQ27" s="331" t="s">
        <v>156</v>
      </c>
      <c r="AR27" s="331" t="s">
        <v>583</v>
      </c>
      <c r="AS27" s="331">
        <v>0</v>
      </c>
      <c r="AT27" s="331">
        <v>1</v>
      </c>
      <c r="AU27" s="331">
        <v>0</v>
      </c>
      <c r="AV27" s="331">
        <v>0</v>
      </c>
      <c r="AW27" s="331">
        <v>0</v>
      </c>
      <c r="AX27" s="331">
        <v>0</v>
      </c>
      <c r="AY27" s="331">
        <v>1</v>
      </c>
      <c r="AZ27" s="331">
        <v>0</v>
      </c>
      <c r="BA27" s="332">
        <v>29705</v>
      </c>
      <c r="BB27" s="331" t="s">
        <v>445</v>
      </c>
      <c r="BC27" s="331" t="s">
        <v>445</v>
      </c>
      <c r="BD27" s="332">
        <v>36413</v>
      </c>
      <c r="BE27" s="331" t="s">
        <v>445</v>
      </c>
      <c r="BF27" s="331" t="s">
        <v>445</v>
      </c>
      <c r="BG27" s="353"/>
    </row>
    <row r="28" spans="2:59" ht="15">
      <c r="B28" s="315" t="s">
        <v>410</v>
      </c>
      <c r="C28" s="327" t="s">
        <v>437</v>
      </c>
      <c r="D28" s="327" t="s">
        <v>438</v>
      </c>
      <c r="E28" s="337" t="s">
        <v>182</v>
      </c>
      <c r="F28" s="328" t="s">
        <v>185</v>
      </c>
      <c r="G28" s="327" t="s">
        <v>411</v>
      </c>
      <c r="H28" s="327" t="s">
        <v>411</v>
      </c>
      <c r="I28" s="330">
        <v>0</v>
      </c>
      <c r="J28" s="331">
        <v>30</v>
      </c>
      <c r="K28" s="327" t="s">
        <v>439</v>
      </c>
      <c r="L28" s="327" t="s">
        <v>439</v>
      </c>
      <c r="M28" s="327" t="s">
        <v>156</v>
      </c>
      <c r="N28" s="327" t="s">
        <v>156</v>
      </c>
      <c r="O28" s="327" t="s">
        <v>584</v>
      </c>
      <c r="P28" s="327" t="s">
        <v>156</v>
      </c>
      <c r="Q28" s="329" t="s">
        <v>585</v>
      </c>
      <c r="R28" s="327" t="s">
        <v>183</v>
      </c>
      <c r="S28" s="327" t="s">
        <v>411</v>
      </c>
      <c r="T28" s="327" t="s">
        <v>581</v>
      </c>
      <c r="U28" s="327" t="s">
        <v>582</v>
      </c>
      <c r="V28" s="327" t="s">
        <v>586</v>
      </c>
      <c r="W28" s="327" t="s">
        <v>183</v>
      </c>
      <c r="X28" s="327" t="s">
        <v>411</v>
      </c>
      <c r="Y28" s="327" t="s">
        <v>411</v>
      </c>
      <c r="Z28" s="327"/>
      <c r="AA28" s="330"/>
      <c r="AB28" s="330" t="s">
        <v>587</v>
      </c>
      <c r="AC28" s="333">
        <v>5000</v>
      </c>
      <c r="AD28" s="330">
        <v>99999999</v>
      </c>
      <c r="AE28" s="327" t="s">
        <v>411</v>
      </c>
      <c r="AF28" s="327" t="s">
        <v>439</v>
      </c>
      <c r="AG28" s="327" t="s">
        <v>411</v>
      </c>
      <c r="AH28" s="327" t="s">
        <v>411</v>
      </c>
      <c r="AI28" s="330">
        <v>0</v>
      </c>
      <c r="AJ28" s="330">
        <v>0</v>
      </c>
      <c r="AK28" s="330">
        <v>0</v>
      </c>
      <c r="AL28" s="330">
        <v>0</v>
      </c>
      <c r="AM28" s="327" t="s">
        <v>183</v>
      </c>
      <c r="AN28" s="330">
        <v>0</v>
      </c>
      <c r="AO28" s="327" t="s">
        <v>411</v>
      </c>
      <c r="AP28" s="330">
        <v>1</v>
      </c>
      <c r="AQ28" s="331">
        <v>1111</v>
      </c>
      <c r="AR28" s="331" t="s">
        <v>583</v>
      </c>
      <c r="AS28" s="331">
        <v>10</v>
      </c>
      <c r="AT28" s="331">
        <v>1</v>
      </c>
      <c r="AU28" s="331">
        <v>0</v>
      </c>
      <c r="AV28" s="331">
        <v>0</v>
      </c>
      <c r="AW28" s="331">
        <v>0</v>
      </c>
      <c r="AX28" s="331">
        <v>0</v>
      </c>
      <c r="AY28" s="331">
        <v>1</v>
      </c>
      <c r="AZ28" s="331">
        <v>0</v>
      </c>
      <c r="BA28" s="332">
        <v>40640.750486111108</v>
      </c>
      <c r="BB28" s="331">
        <v>470195</v>
      </c>
      <c r="BC28" s="331">
        <v>470195</v>
      </c>
      <c r="BD28" s="332">
        <v>45392.67769675926</v>
      </c>
      <c r="BE28" s="331">
        <v>363363</v>
      </c>
      <c r="BF28" s="331">
        <v>363363</v>
      </c>
      <c r="BG28" s="353"/>
    </row>
    <row r="29" spans="2:59" ht="14">
      <c r="B29" s="315" t="s">
        <v>410</v>
      </c>
      <c r="C29" s="337" t="s">
        <v>645</v>
      </c>
      <c r="D29" s="327" t="s">
        <v>438</v>
      </c>
      <c r="E29" s="327" t="s">
        <v>438</v>
      </c>
      <c r="F29" s="327" t="s">
        <v>454</v>
      </c>
      <c r="G29" s="327" t="s">
        <v>411</v>
      </c>
      <c r="H29" s="327" t="s">
        <v>411</v>
      </c>
      <c r="I29" s="327">
        <v>1</v>
      </c>
      <c r="J29" s="327">
        <v>0</v>
      </c>
      <c r="K29" s="327" t="s">
        <v>439</v>
      </c>
      <c r="L29" s="327" t="s">
        <v>439</v>
      </c>
      <c r="M29" s="327" t="s">
        <v>156</v>
      </c>
      <c r="N29" s="327" t="s">
        <v>156</v>
      </c>
      <c r="O29" s="327" t="s">
        <v>156</v>
      </c>
      <c r="P29" s="327" t="s">
        <v>156</v>
      </c>
      <c r="Q29" s="327" t="s">
        <v>580</v>
      </c>
      <c r="R29" s="327" t="s">
        <v>411</v>
      </c>
      <c r="S29" s="327" t="s">
        <v>411</v>
      </c>
      <c r="T29" s="327" t="s">
        <v>581</v>
      </c>
      <c r="U29" s="327" t="s">
        <v>582</v>
      </c>
      <c r="V29" s="327" t="s">
        <v>183</v>
      </c>
      <c r="W29" s="327" t="s">
        <v>183</v>
      </c>
      <c r="X29" s="327" t="s">
        <v>411</v>
      </c>
      <c r="Y29" s="327" t="s">
        <v>411</v>
      </c>
      <c r="Z29" s="327"/>
      <c r="AA29" s="327"/>
      <c r="AB29" s="327" t="s">
        <v>156</v>
      </c>
      <c r="AC29" s="327">
        <v>1</v>
      </c>
      <c r="AD29" s="327">
        <v>99999999</v>
      </c>
      <c r="AE29" s="327">
        <v>0</v>
      </c>
      <c r="AF29" s="327">
        <v>0</v>
      </c>
      <c r="AG29" s="327">
        <v>0</v>
      </c>
      <c r="AH29" s="327">
        <v>0</v>
      </c>
      <c r="AI29" s="327">
        <v>0</v>
      </c>
      <c r="AJ29" s="327">
        <v>0</v>
      </c>
      <c r="AK29" s="327">
        <v>0</v>
      </c>
      <c r="AL29" s="327">
        <v>0</v>
      </c>
      <c r="AM29" s="327">
        <v>1</v>
      </c>
      <c r="AN29" s="327">
        <v>0</v>
      </c>
      <c r="AO29" s="327">
        <v>0</v>
      </c>
      <c r="AP29" s="327">
        <v>1</v>
      </c>
      <c r="AQ29" s="327" t="s">
        <v>156</v>
      </c>
      <c r="AR29" s="327" t="s">
        <v>583</v>
      </c>
      <c r="AS29" s="327">
        <v>0</v>
      </c>
      <c r="AT29" s="327">
        <v>1</v>
      </c>
      <c r="AU29" s="327">
        <v>0</v>
      </c>
      <c r="AV29" s="327">
        <v>0</v>
      </c>
      <c r="AW29" s="327">
        <v>0</v>
      </c>
      <c r="AX29" s="327">
        <v>0</v>
      </c>
      <c r="AY29" s="327">
        <v>1</v>
      </c>
      <c r="AZ29" s="327">
        <v>0</v>
      </c>
      <c r="BA29" s="327">
        <v>29705</v>
      </c>
      <c r="BB29" s="327" t="s">
        <v>445</v>
      </c>
      <c r="BC29" s="327" t="s">
        <v>445</v>
      </c>
      <c r="BD29" s="327">
        <v>39993.705960648149</v>
      </c>
      <c r="BE29" s="327">
        <v>375901</v>
      </c>
      <c r="BF29" s="327">
        <v>375901</v>
      </c>
      <c r="BG29" s="353"/>
    </row>
    <row r="30" spans="2:59" ht="14">
      <c r="B30" s="315" t="s">
        <v>410</v>
      </c>
      <c r="C30" s="337" t="s">
        <v>659</v>
      </c>
      <c r="D30" s="327" t="s">
        <v>438</v>
      </c>
      <c r="E30" s="327" t="s">
        <v>438</v>
      </c>
      <c r="F30" s="327" t="s">
        <v>454</v>
      </c>
      <c r="G30" s="327" t="s">
        <v>411</v>
      </c>
      <c r="H30" s="327" t="s">
        <v>411</v>
      </c>
      <c r="I30" s="327">
        <v>1</v>
      </c>
      <c r="J30" s="327">
        <v>0</v>
      </c>
      <c r="K30" s="327" t="s">
        <v>439</v>
      </c>
      <c r="L30" s="327" t="s">
        <v>439</v>
      </c>
      <c r="M30" s="327" t="s">
        <v>156</v>
      </c>
      <c r="N30" s="327" t="s">
        <v>156</v>
      </c>
      <c r="O30" s="327" t="s">
        <v>156</v>
      </c>
      <c r="P30" s="327" t="s">
        <v>156</v>
      </c>
      <c r="Q30" s="327" t="s">
        <v>580</v>
      </c>
      <c r="R30" s="327" t="s">
        <v>411</v>
      </c>
      <c r="S30" s="327" t="s">
        <v>411</v>
      </c>
      <c r="T30" s="327" t="s">
        <v>581</v>
      </c>
      <c r="U30" s="327" t="s">
        <v>582</v>
      </c>
      <c r="V30" s="327" t="s">
        <v>183</v>
      </c>
      <c r="W30" s="327" t="s">
        <v>183</v>
      </c>
      <c r="X30" s="327" t="s">
        <v>411</v>
      </c>
      <c r="Y30" s="327" t="s">
        <v>411</v>
      </c>
      <c r="Z30" s="327"/>
      <c r="AA30" s="327"/>
      <c r="AB30" s="327" t="s">
        <v>156</v>
      </c>
      <c r="AC30" s="327">
        <v>1</v>
      </c>
      <c r="AD30" s="327">
        <v>99999999</v>
      </c>
      <c r="AE30" s="327">
        <v>0</v>
      </c>
      <c r="AF30" s="327">
        <v>0</v>
      </c>
      <c r="AG30" s="327">
        <v>0</v>
      </c>
      <c r="AH30" s="327">
        <v>0</v>
      </c>
      <c r="AI30" s="327">
        <v>0</v>
      </c>
      <c r="AJ30" s="327">
        <v>0</v>
      </c>
      <c r="AK30" s="327">
        <v>0</v>
      </c>
      <c r="AL30" s="327">
        <v>0</v>
      </c>
      <c r="AM30" s="327">
        <v>1</v>
      </c>
      <c r="AN30" s="327">
        <v>0</v>
      </c>
      <c r="AO30" s="327">
        <v>0</v>
      </c>
      <c r="AP30" s="327">
        <v>1</v>
      </c>
      <c r="AQ30" s="327" t="s">
        <v>156</v>
      </c>
      <c r="AR30" s="327" t="s">
        <v>583</v>
      </c>
      <c r="AS30" s="327">
        <v>0</v>
      </c>
      <c r="AT30" s="327">
        <v>1</v>
      </c>
      <c r="AU30" s="327">
        <v>0</v>
      </c>
      <c r="AV30" s="327">
        <v>0</v>
      </c>
      <c r="AW30" s="327">
        <v>0</v>
      </c>
      <c r="AX30" s="327">
        <v>0</v>
      </c>
      <c r="AY30" s="327">
        <v>1</v>
      </c>
      <c r="AZ30" s="327">
        <v>0</v>
      </c>
      <c r="BA30" s="327">
        <v>31819</v>
      </c>
      <c r="BB30" s="327" t="s">
        <v>445</v>
      </c>
      <c r="BC30" s="327" t="s">
        <v>445</v>
      </c>
      <c r="BD30" s="327">
        <v>45636.056898148148</v>
      </c>
      <c r="BE30" s="327" t="s">
        <v>643</v>
      </c>
      <c r="BF30" s="327" t="s">
        <v>643</v>
      </c>
      <c r="BG30" s="353"/>
    </row>
    <row r="31" spans="2:59">
      <c r="B31" s="358"/>
      <c r="BG31" s="353"/>
    </row>
    <row r="32" spans="2:59" ht="14">
      <c r="B32" s="358"/>
      <c r="C32" s="359" t="s">
        <v>153</v>
      </c>
      <c r="BG32" s="353"/>
    </row>
    <row r="33" spans="2:59" ht="14">
      <c r="B33" s="358"/>
      <c r="C33" s="359" t="s">
        <v>590</v>
      </c>
      <c r="D33" s="359" t="s">
        <v>591</v>
      </c>
      <c r="E33" s="359" t="s">
        <v>159</v>
      </c>
      <c r="F33" s="359" t="s">
        <v>592</v>
      </c>
      <c r="G33" s="359" t="s">
        <v>593</v>
      </c>
      <c r="H33" s="359" t="s">
        <v>594</v>
      </c>
      <c r="I33" s="359" t="s">
        <v>595</v>
      </c>
      <c r="J33" s="359" t="s">
        <v>596</v>
      </c>
      <c r="K33" s="359" t="s">
        <v>597</v>
      </c>
      <c r="L33" s="359" t="s">
        <v>598</v>
      </c>
      <c r="M33" s="359" t="s">
        <v>599</v>
      </c>
      <c r="P33" s="359"/>
      <c r="BG33" s="353"/>
    </row>
    <row r="34" spans="2:59" ht="14">
      <c r="B34" s="358"/>
      <c r="C34" s="359">
        <v>0</v>
      </c>
      <c r="D34" s="359">
        <v>0</v>
      </c>
      <c r="E34" s="359">
        <v>0</v>
      </c>
      <c r="F34" s="359" t="s">
        <v>600</v>
      </c>
      <c r="G34" s="359" t="s">
        <v>600</v>
      </c>
      <c r="H34" s="359">
        <v>2</v>
      </c>
      <c r="I34" s="359">
        <v>4</v>
      </c>
      <c r="J34" s="359">
        <v>3</v>
      </c>
      <c r="K34" s="359">
        <v>1</v>
      </c>
      <c r="L34" s="359">
        <v>0</v>
      </c>
      <c r="M34" s="359">
        <v>0</v>
      </c>
      <c r="P34" s="359"/>
      <c r="BG34" s="353"/>
    </row>
    <row r="35" spans="2:59" ht="13.5" thickBot="1">
      <c r="B35" s="358"/>
      <c r="BG35" s="353"/>
    </row>
    <row r="36" spans="2:59" ht="14" thickBot="1">
      <c r="B36" s="299" t="s">
        <v>604</v>
      </c>
      <c r="C36" s="300" t="s">
        <v>605</v>
      </c>
      <c r="D36" s="300"/>
      <c r="E36" s="300"/>
      <c r="F36" s="300"/>
      <c r="G36" s="300"/>
      <c r="H36" s="300"/>
      <c r="I36" s="300"/>
      <c r="J36" s="300"/>
      <c r="K36" s="300"/>
      <c r="L36" s="300"/>
      <c r="M36" s="300"/>
      <c r="N36" s="300"/>
      <c r="O36" s="300"/>
      <c r="P36" s="300"/>
      <c r="Q36" s="300"/>
      <c r="R36" s="300"/>
      <c r="S36" s="300"/>
      <c r="T36" s="300"/>
      <c r="U36" s="300"/>
      <c r="V36" s="300"/>
      <c r="W36" s="300"/>
      <c r="X36" s="300"/>
      <c r="Y36" s="300"/>
      <c r="Z36" s="300"/>
      <c r="AA36" s="300"/>
      <c r="AB36" s="300"/>
      <c r="AC36" s="300"/>
      <c r="AD36" s="300"/>
      <c r="AE36" s="300"/>
      <c r="AF36" s="300"/>
      <c r="AG36" s="300"/>
      <c r="AH36" s="300"/>
      <c r="AI36" s="300"/>
      <c r="AJ36" s="300"/>
      <c r="AK36" s="300"/>
      <c r="AL36" s="300"/>
      <c r="AM36" s="300"/>
      <c r="AN36" s="300"/>
      <c r="AO36" s="300"/>
      <c r="AP36" s="300"/>
      <c r="AQ36" s="300"/>
      <c r="AR36" s="300"/>
      <c r="AS36" s="300"/>
      <c r="AT36" s="300"/>
      <c r="AU36" s="300"/>
      <c r="AV36" s="300"/>
      <c r="AW36" s="300"/>
      <c r="AX36" s="300"/>
      <c r="AY36" s="300"/>
      <c r="AZ36" s="300"/>
      <c r="BA36" s="300"/>
      <c r="BB36" s="300"/>
      <c r="BC36" s="300"/>
      <c r="BD36" s="300"/>
      <c r="BE36" s="300"/>
      <c r="BF36" s="300"/>
      <c r="BG36" s="353"/>
    </row>
    <row r="37" spans="2:59" ht="14" thickBot="1">
      <c r="B37" s="335" t="s">
        <v>804</v>
      </c>
      <c r="C37" s="300" t="s">
        <v>615</v>
      </c>
      <c r="D37" s="300"/>
      <c r="E37" s="300"/>
      <c r="F37" s="300"/>
      <c r="G37" s="300"/>
      <c r="H37" s="300"/>
      <c r="I37" s="300"/>
      <c r="J37" s="300"/>
      <c r="K37" s="300"/>
      <c r="L37" s="300"/>
      <c r="M37" s="300"/>
      <c r="N37" s="300"/>
      <c r="O37" s="300"/>
      <c r="P37" s="300"/>
      <c r="Q37" s="300"/>
      <c r="R37" s="300"/>
      <c r="S37" s="300"/>
      <c r="T37" s="300"/>
      <c r="U37" s="300"/>
      <c r="V37" s="300"/>
      <c r="W37" s="300"/>
      <c r="X37" s="300"/>
      <c r="Y37" s="300"/>
      <c r="Z37" s="300"/>
      <c r="AA37" s="300"/>
      <c r="AB37" s="300"/>
      <c r="AC37" s="300"/>
      <c r="AD37" s="300"/>
      <c r="AE37" s="300"/>
      <c r="AF37" s="300"/>
      <c r="AG37" s="300"/>
      <c r="AH37" s="300"/>
      <c r="AI37" s="300"/>
      <c r="AJ37" s="300"/>
      <c r="AK37" s="300"/>
      <c r="AL37" s="300"/>
      <c r="AM37" s="300"/>
      <c r="AN37" s="300"/>
      <c r="AO37" s="300"/>
      <c r="AP37" s="300"/>
      <c r="AQ37" s="300"/>
      <c r="AR37" s="300"/>
      <c r="AS37" s="300"/>
      <c r="AT37" s="300"/>
      <c r="AU37" s="300"/>
      <c r="AV37" s="300"/>
      <c r="AW37" s="300"/>
      <c r="AX37" s="300"/>
      <c r="AY37" s="300"/>
      <c r="AZ37" s="300"/>
      <c r="BA37" s="300"/>
      <c r="BB37" s="300"/>
      <c r="BC37" s="300"/>
      <c r="BD37" s="300"/>
      <c r="BE37" s="300"/>
      <c r="BF37" s="300"/>
      <c r="BG37" s="353"/>
    </row>
    <row r="38" spans="2:59">
      <c r="B38" s="358"/>
      <c r="BG38" s="353"/>
    </row>
    <row r="39" spans="2:59" ht="13.5">
      <c r="B39" s="358"/>
      <c r="C39" s="356" t="s">
        <v>396</v>
      </c>
      <c r="BG39" s="353"/>
    </row>
    <row r="40" spans="2:59" ht="14.5">
      <c r="B40" s="358"/>
      <c r="C40" s="356" t="s">
        <v>735</v>
      </c>
      <c r="BG40" s="353"/>
    </row>
    <row r="41" spans="2:59">
      <c r="B41" s="358"/>
      <c r="BG41" s="353"/>
    </row>
    <row r="42" spans="2:59" ht="15">
      <c r="B42" s="301"/>
      <c r="C42" s="449" t="s">
        <v>436</v>
      </c>
      <c r="D42" s="450"/>
      <c r="E42" s="450"/>
      <c r="F42" s="451"/>
      <c r="G42" s="451"/>
      <c r="H42" s="451"/>
      <c r="I42" s="451"/>
      <c r="J42" s="451"/>
      <c r="K42" s="451"/>
      <c r="L42" s="451"/>
      <c r="M42" s="451"/>
      <c r="N42" s="451"/>
      <c r="O42" s="451"/>
      <c r="P42" s="451"/>
      <c r="Q42" s="451"/>
      <c r="R42" s="451"/>
      <c r="S42" s="451"/>
      <c r="T42" s="451"/>
      <c r="U42" s="451"/>
      <c r="V42" s="451"/>
      <c r="W42" s="451"/>
      <c r="X42" s="451"/>
      <c r="Y42" s="451"/>
      <c r="Z42" s="452"/>
      <c r="AA42" s="68"/>
      <c r="AB42" s="68"/>
      <c r="AC42" s="68"/>
      <c r="AD42" s="68"/>
      <c r="BG42" s="353"/>
    </row>
    <row r="43" spans="2:59" ht="15">
      <c r="B43" s="301"/>
      <c r="C43" s="322"/>
      <c r="D43" s="322"/>
      <c r="E43" s="322"/>
      <c r="F43" s="319" t="s">
        <v>169</v>
      </c>
      <c r="G43" s="319" t="s">
        <v>169</v>
      </c>
      <c r="H43" s="319" t="s">
        <v>169</v>
      </c>
      <c r="I43" s="319"/>
      <c r="J43" s="319"/>
      <c r="K43" s="319"/>
      <c r="L43" s="319"/>
      <c r="M43" s="319"/>
      <c r="N43" s="319"/>
      <c r="O43" s="319"/>
      <c r="P43" s="319"/>
      <c r="Q43" s="319"/>
      <c r="R43" s="319"/>
      <c r="S43" s="319"/>
      <c r="T43" s="319"/>
      <c r="U43" s="319"/>
      <c r="V43" s="319"/>
      <c r="W43" s="319"/>
      <c r="X43" s="319"/>
      <c r="Y43" s="319"/>
      <c r="Z43" s="319"/>
      <c r="AA43" s="319"/>
      <c r="AB43" s="319"/>
      <c r="AC43" s="319"/>
      <c r="AD43" s="319"/>
      <c r="BG43" s="353"/>
    </row>
    <row r="44" spans="2:59" ht="13.5">
      <c r="B44" s="301"/>
      <c r="C44" s="312" t="s">
        <v>172</v>
      </c>
      <c r="D44" s="312" t="s">
        <v>173</v>
      </c>
      <c r="E44" s="312" t="s">
        <v>174</v>
      </c>
      <c r="F44" s="314" t="s">
        <v>91</v>
      </c>
      <c r="G44" s="314" t="s">
        <v>812</v>
      </c>
      <c r="H44" s="314" t="s">
        <v>69</v>
      </c>
      <c r="I44" s="314" t="s">
        <v>457</v>
      </c>
      <c r="J44" s="314" t="s">
        <v>458</v>
      </c>
      <c r="K44" s="314" t="s">
        <v>459</v>
      </c>
      <c r="L44" s="314" t="s">
        <v>460</v>
      </c>
      <c r="M44" s="314" t="s">
        <v>461</v>
      </c>
      <c r="N44" s="314" t="s">
        <v>462</v>
      </c>
      <c r="O44" s="314" t="s">
        <v>463</v>
      </c>
      <c r="P44" s="314" t="s">
        <v>464</v>
      </c>
      <c r="Q44" s="314" t="s">
        <v>465</v>
      </c>
      <c r="R44" s="314" t="s">
        <v>466</v>
      </c>
      <c r="S44" s="314" t="s">
        <v>467</v>
      </c>
      <c r="T44" s="314" t="s">
        <v>468</v>
      </c>
      <c r="U44" s="314" t="s">
        <v>469</v>
      </c>
      <c r="V44" s="314" t="s">
        <v>470</v>
      </c>
      <c r="W44" s="314" t="s">
        <v>471</v>
      </c>
      <c r="X44" s="314" t="s">
        <v>397</v>
      </c>
      <c r="Y44" s="314" t="s">
        <v>398</v>
      </c>
      <c r="Z44" s="314" t="s">
        <v>399</v>
      </c>
      <c r="AA44" s="314" t="s">
        <v>400</v>
      </c>
      <c r="AB44" s="314" t="s">
        <v>151</v>
      </c>
      <c r="AC44" s="314" t="s">
        <v>152</v>
      </c>
      <c r="AD44" s="314" t="s">
        <v>401</v>
      </c>
      <c r="BG44" s="353"/>
    </row>
    <row r="45" spans="2:59" ht="13.5">
      <c r="B45" s="301"/>
      <c r="C45" s="312" t="s">
        <v>371</v>
      </c>
      <c r="D45" s="312" t="s">
        <v>381</v>
      </c>
      <c r="E45" s="312" t="s">
        <v>390</v>
      </c>
      <c r="F45" s="313" t="s">
        <v>418</v>
      </c>
      <c r="G45" s="313" t="s">
        <v>419</v>
      </c>
      <c r="H45" s="313" t="s">
        <v>421</v>
      </c>
      <c r="I45" s="313" t="s">
        <v>420</v>
      </c>
      <c r="J45" s="313" t="s">
        <v>422</v>
      </c>
      <c r="K45" s="313" t="s">
        <v>423</v>
      </c>
      <c r="L45" s="313" t="s">
        <v>424</v>
      </c>
      <c r="M45" s="313" t="s">
        <v>425</v>
      </c>
      <c r="N45" s="313" t="s">
        <v>426</v>
      </c>
      <c r="O45" s="313" t="s">
        <v>427</v>
      </c>
      <c r="P45" s="313" t="s">
        <v>428</v>
      </c>
      <c r="Q45" s="313" t="s">
        <v>429</v>
      </c>
      <c r="R45" s="313" t="s">
        <v>430</v>
      </c>
      <c r="S45" s="313" t="s">
        <v>431</v>
      </c>
      <c r="T45" s="313" t="s">
        <v>432</v>
      </c>
      <c r="U45" s="313" t="s">
        <v>433</v>
      </c>
      <c r="V45" s="313" t="s">
        <v>434</v>
      </c>
      <c r="W45" s="313" t="s">
        <v>435</v>
      </c>
      <c r="X45" s="313" t="s">
        <v>403</v>
      </c>
      <c r="Y45" s="313" t="s">
        <v>404</v>
      </c>
      <c r="Z45" s="313" t="s">
        <v>405</v>
      </c>
      <c r="AA45" s="313" t="s">
        <v>406</v>
      </c>
      <c r="AB45" s="313" t="s">
        <v>407</v>
      </c>
      <c r="AC45" s="313" t="s">
        <v>408</v>
      </c>
      <c r="AD45" s="313" t="s">
        <v>409</v>
      </c>
      <c r="BG45" s="353"/>
    </row>
    <row r="46" spans="2:59" ht="13.5">
      <c r="B46" s="317"/>
      <c r="C46" s="312" t="s">
        <v>472</v>
      </c>
      <c r="D46" s="312" t="s">
        <v>473</v>
      </c>
      <c r="E46" s="312" t="s">
        <v>473</v>
      </c>
      <c r="F46" s="314" t="s">
        <v>474</v>
      </c>
      <c r="G46" s="314" t="s">
        <v>474</v>
      </c>
      <c r="H46" s="314" t="s">
        <v>475</v>
      </c>
      <c r="I46" s="314" t="s">
        <v>474</v>
      </c>
      <c r="J46" s="314" t="s">
        <v>476</v>
      </c>
      <c r="K46" s="314" t="s">
        <v>477</v>
      </c>
      <c r="L46" s="313" t="s">
        <v>478</v>
      </c>
      <c r="M46" s="314" t="s">
        <v>478</v>
      </c>
      <c r="N46" s="314" t="s">
        <v>479</v>
      </c>
      <c r="O46" s="314" t="s">
        <v>474</v>
      </c>
      <c r="P46" s="314" t="s">
        <v>480</v>
      </c>
      <c r="Q46" s="314" t="s">
        <v>481</v>
      </c>
      <c r="R46" s="314" t="s">
        <v>480</v>
      </c>
      <c r="S46" s="314" t="s">
        <v>482</v>
      </c>
      <c r="T46" s="313" t="s">
        <v>483</v>
      </c>
      <c r="U46" s="314" t="s">
        <v>483</v>
      </c>
      <c r="V46" s="314" t="s">
        <v>484</v>
      </c>
      <c r="W46" s="314" t="s">
        <v>474</v>
      </c>
      <c r="X46" s="314" t="s">
        <v>485</v>
      </c>
      <c r="Y46" s="314" t="s">
        <v>487</v>
      </c>
      <c r="Z46" s="314" t="s">
        <v>488</v>
      </c>
      <c r="AA46" s="314" t="s">
        <v>488</v>
      </c>
      <c r="AB46" s="313" t="s">
        <v>486</v>
      </c>
      <c r="AC46" s="314" t="s">
        <v>488</v>
      </c>
      <c r="AD46" s="314" t="s">
        <v>488</v>
      </c>
      <c r="BG46" s="353"/>
    </row>
    <row r="47" spans="2:59" ht="25">
      <c r="B47" s="315" t="s">
        <v>410</v>
      </c>
      <c r="C47" s="337" t="s">
        <v>684</v>
      </c>
      <c r="D47" s="313" t="s">
        <v>438</v>
      </c>
      <c r="E47" s="314" t="s">
        <v>438</v>
      </c>
      <c r="F47" s="314" t="s">
        <v>183</v>
      </c>
      <c r="G47" s="314" t="s">
        <v>439</v>
      </c>
      <c r="H47" s="314" t="s">
        <v>184</v>
      </c>
      <c r="I47" s="314" t="s">
        <v>439</v>
      </c>
      <c r="J47" s="314" t="s">
        <v>440</v>
      </c>
      <c r="K47" s="314" t="s">
        <v>411</v>
      </c>
      <c r="L47" s="313" t="s">
        <v>156</v>
      </c>
      <c r="M47" s="314" t="s">
        <v>441</v>
      </c>
      <c r="N47" s="314"/>
      <c r="O47" s="314" t="s">
        <v>183</v>
      </c>
      <c r="P47" s="314" t="s">
        <v>156</v>
      </c>
      <c r="Q47" s="314" t="s">
        <v>442</v>
      </c>
      <c r="R47" s="314" t="s">
        <v>443</v>
      </c>
      <c r="S47" s="314"/>
      <c r="T47" s="313" t="s">
        <v>156</v>
      </c>
      <c r="U47" s="314" t="s">
        <v>156</v>
      </c>
      <c r="V47" s="314" t="s">
        <v>156</v>
      </c>
      <c r="W47" s="314"/>
      <c r="X47" s="314" t="s">
        <v>411</v>
      </c>
      <c r="Y47" s="314" t="s">
        <v>444</v>
      </c>
      <c r="Z47" s="314" t="s">
        <v>445</v>
      </c>
      <c r="AA47" s="314" t="s">
        <v>445</v>
      </c>
      <c r="AB47" s="313" t="s">
        <v>446</v>
      </c>
      <c r="AC47" s="314" t="s">
        <v>447</v>
      </c>
      <c r="AD47" s="314" t="s">
        <v>447</v>
      </c>
      <c r="BG47" s="353"/>
    </row>
    <row r="48" spans="2:59" ht="25">
      <c r="B48" s="315" t="s">
        <v>410</v>
      </c>
      <c r="C48" s="337" t="s">
        <v>684</v>
      </c>
      <c r="D48" s="326" t="s">
        <v>438</v>
      </c>
      <c r="E48" s="337" t="s">
        <v>182</v>
      </c>
      <c r="F48" s="311" t="s">
        <v>183</v>
      </c>
      <c r="G48" s="338" t="s">
        <v>175</v>
      </c>
      <c r="H48" s="311" t="s">
        <v>184</v>
      </c>
      <c r="I48" s="327" t="s">
        <v>439</v>
      </c>
      <c r="J48" s="311" t="s">
        <v>184</v>
      </c>
      <c r="K48" s="311" t="s">
        <v>411</v>
      </c>
      <c r="L48" s="326" t="s">
        <v>448</v>
      </c>
      <c r="M48" s="311" t="s">
        <v>441</v>
      </c>
      <c r="N48" s="311"/>
      <c r="O48" s="311" t="s">
        <v>411</v>
      </c>
      <c r="P48" s="311" t="s">
        <v>156</v>
      </c>
      <c r="Q48" s="311" t="s">
        <v>184</v>
      </c>
      <c r="R48" s="311" t="s">
        <v>449</v>
      </c>
      <c r="S48" s="311"/>
      <c r="T48" s="326" t="s">
        <v>156</v>
      </c>
      <c r="U48" s="311" t="s">
        <v>156</v>
      </c>
      <c r="V48" s="311" t="s">
        <v>156</v>
      </c>
      <c r="W48" s="311"/>
      <c r="X48" s="311" t="s">
        <v>411</v>
      </c>
      <c r="Y48" s="311" t="s">
        <v>450</v>
      </c>
      <c r="Z48" s="311" t="s">
        <v>451</v>
      </c>
      <c r="AA48" s="311">
        <v>470195</v>
      </c>
      <c r="AB48" s="326" t="s">
        <v>450</v>
      </c>
      <c r="AC48" s="311">
        <v>470195</v>
      </c>
      <c r="AD48" s="311" t="s">
        <v>451</v>
      </c>
      <c r="BG48" s="353"/>
    </row>
    <row r="49" spans="2:59" ht="14">
      <c r="B49" s="315" t="s">
        <v>410</v>
      </c>
      <c r="C49" s="337" t="s">
        <v>645</v>
      </c>
      <c r="D49" s="316" t="s">
        <v>438</v>
      </c>
      <c r="E49" s="316" t="s">
        <v>438</v>
      </c>
      <c r="F49" s="316" t="s">
        <v>183</v>
      </c>
      <c r="G49" s="316" t="s">
        <v>439</v>
      </c>
      <c r="H49" s="316" t="s">
        <v>184</v>
      </c>
      <c r="I49" s="316" t="s">
        <v>439</v>
      </c>
      <c r="J49" s="316" t="s">
        <v>646</v>
      </c>
      <c r="K49" s="316" t="s">
        <v>411</v>
      </c>
      <c r="L49" s="316" t="s">
        <v>156</v>
      </c>
      <c r="M49" s="316" t="s">
        <v>441</v>
      </c>
      <c r="N49" s="316"/>
      <c r="O49" s="316" t="s">
        <v>183</v>
      </c>
      <c r="P49" s="316" t="s">
        <v>156</v>
      </c>
      <c r="Q49" s="316" t="s">
        <v>442</v>
      </c>
      <c r="R49" s="316" t="s">
        <v>647</v>
      </c>
      <c r="S49" s="316"/>
      <c r="T49" s="316" t="s">
        <v>648</v>
      </c>
      <c r="U49" s="316" t="s">
        <v>649</v>
      </c>
      <c r="V49" s="316" t="s">
        <v>650</v>
      </c>
      <c r="W49" s="316"/>
      <c r="X49" s="316" t="s">
        <v>411</v>
      </c>
      <c r="Y49" s="316" t="s">
        <v>444</v>
      </c>
      <c r="Z49" s="316" t="s">
        <v>445</v>
      </c>
      <c r="AA49" s="316" t="s">
        <v>445</v>
      </c>
      <c r="AB49" s="316" t="s">
        <v>651</v>
      </c>
      <c r="AC49" s="316">
        <v>375901</v>
      </c>
      <c r="AD49" s="316" t="s">
        <v>652</v>
      </c>
      <c r="BG49" s="353"/>
    </row>
    <row r="50" spans="2:59" ht="14">
      <c r="B50" s="315" t="s">
        <v>410</v>
      </c>
      <c r="C50" s="337" t="s">
        <v>659</v>
      </c>
      <c r="D50" s="316" t="s">
        <v>438</v>
      </c>
      <c r="E50" s="316" t="s">
        <v>438</v>
      </c>
      <c r="F50" s="316" t="s">
        <v>183</v>
      </c>
      <c r="G50" s="316" t="s">
        <v>439</v>
      </c>
      <c r="H50" s="316" t="s">
        <v>184</v>
      </c>
      <c r="I50" s="316" t="s">
        <v>439</v>
      </c>
      <c r="J50" s="316" t="s">
        <v>653</v>
      </c>
      <c r="K50" s="316" t="s">
        <v>411</v>
      </c>
      <c r="L50" s="316" t="s">
        <v>654</v>
      </c>
      <c r="M50" s="316" t="s">
        <v>441</v>
      </c>
      <c r="N50" s="316"/>
      <c r="O50" s="316" t="s">
        <v>439</v>
      </c>
      <c r="P50" s="316" t="s">
        <v>156</v>
      </c>
      <c r="Q50" s="316" t="s">
        <v>655</v>
      </c>
      <c r="R50" s="316" t="s">
        <v>443</v>
      </c>
      <c r="S50" s="316"/>
      <c r="T50" s="316" t="s">
        <v>156</v>
      </c>
      <c r="U50" s="316" t="s">
        <v>156</v>
      </c>
      <c r="V50" s="316" t="s">
        <v>156</v>
      </c>
      <c r="W50" s="316"/>
      <c r="X50" s="316" t="s">
        <v>411</v>
      </c>
      <c r="Y50" s="316" t="s">
        <v>656</v>
      </c>
      <c r="Z50" s="316" t="s">
        <v>445</v>
      </c>
      <c r="AA50" s="316" t="s">
        <v>445</v>
      </c>
      <c r="AB50" s="316" t="s">
        <v>657</v>
      </c>
      <c r="AC50" s="316" t="s">
        <v>658</v>
      </c>
      <c r="AD50" s="316" t="s">
        <v>658</v>
      </c>
      <c r="BG50" s="353"/>
    </row>
    <row r="51" spans="2:59" ht="14">
      <c r="B51" s="301"/>
      <c r="C51" s="307"/>
      <c r="D51" s="360"/>
      <c r="E51" s="361"/>
      <c r="F51" s="361"/>
      <c r="G51" s="361"/>
      <c r="H51" s="361"/>
      <c r="I51" s="361"/>
      <c r="J51" s="361"/>
      <c r="M51" s="361"/>
      <c r="N51" s="360"/>
      <c r="O51" s="361"/>
      <c r="P51" s="361"/>
      <c r="Q51" s="361"/>
      <c r="R51" s="361"/>
      <c r="S51" s="361"/>
      <c r="T51" s="361"/>
      <c r="U51" s="361"/>
      <c r="V51" s="360"/>
      <c r="W51" s="361"/>
      <c r="X51" s="361"/>
      <c r="Y51" s="361"/>
      <c r="Z51" s="361"/>
      <c r="BG51" s="353"/>
    </row>
    <row r="52" spans="2:59" ht="15">
      <c r="B52" s="301"/>
      <c r="C52" s="449" t="s">
        <v>489</v>
      </c>
      <c r="D52" s="450"/>
      <c r="E52" s="450"/>
      <c r="F52" s="450"/>
      <c r="G52" s="450"/>
      <c r="H52" s="450"/>
      <c r="I52" s="450"/>
      <c r="J52" s="450"/>
      <c r="K52" s="450"/>
      <c r="L52" s="450"/>
      <c r="M52" s="450"/>
      <c r="N52" s="450"/>
      <c r="O52" s="450"/>
      <c r="P52" s="450"/>
      <c r="Q52" s="450"/>
      <c r="R52" s="450"/>
      <c r="S52" s="450"/>
      <c r="T52" s="450"/>
      <c r="U52" s="92"/>
      <c r="V52" s="92"/>
      <c r="W52" s="92"/>
      <c r="X52" s="92"/>
      <c r="Y52" s="92"/>
      <c r="Z52" s="92"/>
      <c r="AA52" s="93"/>
      <c r="AB52" s="93"/>
      <c r="AC52" s="93"/>
      <c r="AD52" s="93"/>
      <c r="AE52" s="93"/>
      <c r="AF52" s="93"/>
      <c r="AG52" s="93"/>
      <c r="AH52" s="93"/>
      <c r="AI52" s="93"/>
      <c r="AJ52" s="93"/>
      <c r="AK52" s="93"/>
      <c r="AL52" s="93"/>
      <c r="AM52" s="93"/>
      <c r="AN52" s="93"/>
      <c r="AO52" s="93"/>
      <c r="AP52" s="94"/>
      <c r="AQ52" s="94"/>
      <c r="AR52" s="94"/>
      <c r="AS52" s="94"/>
      <c r="AT52" s="94"/>
      <c r="AU52" s="94"/>
      <c r="AV52" s="94"/>
      <c r="AW52" s="94"/>
      <c r="AX52" s="94"/>
      <c r="AY52" s="94"/>
      <c r="AZ52" s="94"/>
      <c r="BA52" s="94"/>
      <c r="BB52" s="94"/>
      <c r="BC52" s="94"/>
      <c r="BD52" s="94"/>
      <c r="BE52" s="94"/>
      <c r="BF52" s="94"/>
      <c r="BG52" s="353"/>
    </row>
    <row r="53" spans="2:59" ht="15">
      <c r="B53" s="301"/>
      <c r="C53" s="322"/>
      <c r="D53" s="322"/>
      <c r="E53" s="322"/>
      <c r="F53" s="319" t="s">
        <v>169</v>
      </c>
      <c r="G53" s="319" t="s">
        <v>169</v>
      </c>
      <c r="H53" s="324" t="s">
        <v>169</v>
      </c>
      <c r="I53" s="319" t="s">
        <v>169</v>
      </c>
      <c r="J53" s="319" t="s">
        <v>169</v>
      </c>
      <c r="K53" s="324"/>
      <c r="L53" s="324"/>
      <c r="M53" s="324"/>
      <c r="N53" s="324"/>
      <c r="O53" s="324"/>
      <c r="P53" s="324"/>
      <c r="Q53" s="324"/>
      <c r="R53" s="324"/>
      <c r="S53" s="324"/>
      <c r="T53" s="324"/>
      <c r="U53" s="324"/>
      <c r="V53" s="324"/>
      <c r="W53" s="324"/>
      <c r="X53" s="324"/>
      <c r="Y53" s="324"/>
      <c r="Z53" s="324"/>
      <c r="AA53" s="325"/>
      <c r="AB53" s="325"/>
      <c r="AC53" s="325"/>
      <c r="AD53" s="325"/>
      <c r="AE53" s="325"/>
      <c r="AF53" s="325"/>
      <c r="AG53" s="325"/>
      <c r="AH53" s="325"/>
      <c r="AI53" s="325"/>
      <c r="AJ53" s="325"/>
      <c r="AK53" s="325"/>
      <c r="AL53" s="325"/>
      <c r="AM53" s="325"/>
      <c r="AN53" s="325"/>
      <c r="AO53" s="325"/>
      <c r="AP53" s="325"/>
      <c r="AQ53" s="325"/>
      <c r="AR53" s="325"/>
      <c r="AS53" s="325"/>
      <c r="AT53" s="325"/>
      <c r="AU53" s="325"/>
      <c r="AV53" s="325"/>
      <c r="AW53" s="325"/>
      <c r="AX53" s="325"/>
      <c r="AY53" s="325"/>
      <c r="AZ53" s="325"/>
      <c r="BA53" s="325"/>
      <c r="BB53" s="325"/>
      <c r="BC53" s="325"/>
      <c r="BD53" s="325"/>
      <c r="BE53" s="325"/>
      <c r="BF53" s="325"/>
      <c r="BG53" s="353"/>
    </row>
    <row r="54" spans="2:59" ht="25">
      <c r="B54" s="301"/>
      <c r="C54" s="312" t="s">
        <v>533</v>
      </c>
      <c r="D54" s="312" t="s">
        <v>588</v>
      </c>
      <c r="E54" s="312" t="s">
        <v>589</v>
      </c>
      <c r="F54" s="314" t="s">
        <v>96</v>
      </c>
      <c r="G54" s="314" t="s">
        <v>99</v>
      </c>
      <c r="H54" s="314" t="s">
        <v>130</v>
      </c>
      <c r="I54" s="314" t="s">
        <v>559</v>
      </c>
      <c r="J54" s="314" t="s">
        <v>127</v>
      </c>
      <c r="K54" s="314" t="s">
        <v>67</v>
      </c>
      <c r="L54" s="314" t="s">
        <v>456</v>
      </c>
      <c r="M54" s="314" t="s">
        <v>534</v>
      </c>
      <c r="N54" s="314" t="s">
        <v>535</v>
      </c>
      <c r="O54" s="314" t="s">
        <v>536</v>
      </c>
      <c r="P54" s="314" t="s">
        <v>537</v>
      </c>
      <c r="Q54" s="314" t="s">
        <v>538</v>
      </c>
      <c r="R54" s="314" t="s">
        <v>539</v>
      </c>
      <c r="S54" s="314" t="s">
        <v>540</v>
      </c>
      <c r="T54" s="314" t="s">
        <v>541</v>
      </c>
      <c r="U54" s="314" t="s">
        <v>542</v>
      </c>
      <c r="V54" s="314" t="s">
        <v>543</v>
      </c>
      <c r="W54" s="314" t="s">
        <v>544</v>
      </c>
      <c r="X54" s="314" t="s">
        <v>545</v>
      </c>
      <c r="Y54" s="314" t="s">
        <v>546</v>
      </c>
      <c r="Z54" s="314" t="s">
        <v>547</v>
      </c>
      <c r="AA54" s="314" t="s">
        <v>548</v>
      </c>
      <c r="AB54" s="314" t="s">
        <v>549</v>
      </c>
      <c r="AC54" s="314" t="s">
        <v>550</v>
      </c>
      <c r="AD54" s="314" t="s">
        <v>551</v>
      </c>
      <c r="AE54" s="314" t="s">
        <v>552</v>
      </c>
      <c r="AF54" s="314" t="s">
        <v>553</v>
      </c>
      <c r="AG54" s="314" t="s">
        <v>554</v>
      </c>
      <c r="AH54" s="314" t="s">
        <v>555</v>
      </c>
      <c r="AI54" s="314" t="s">
        <v>556</v>
      </c>
      <c r="AJ54" s="314" t="s">
        <v>558</v>
      </c>
      <c r="AK54" s="314" t="s">
        <v>557</v>
      </c>
      <c r="AL54" s="314" t="s">
        <v>566</v>
      </c>
      <c r="AM54" s="314" t="s">
        <v>560</v>
      </c>
      <c r="AN54" s="314" t="s">
        <v>561</v>
      </c>
      <c r="AO54" s="314" t="s">
        <v>562</v>
      </c>
      <c r="AP54" s="314" t="s">
        <v>563</v>
      </c>
      <c r="AQ54" s="314" t="s">
        <v>567</v>
      </c>
      <c r="AR54" s="314" t="s">
        <v>564</v>
      </c>
      <c r="AS54" s="314" t="s">
        <v>565</v>
      </c>
      <c r="AT54" s="314" t="s">
        <v>568</v>
      </c>
      <c r="AU54" s="314" t="s">
        <v>569</v>
      </c>
      <c r="AV54" s="314" t="s">
        <v>570</v>
      </c>
      <c r="AW54" s="314" t="s">
        <v>571</v>
      </c>
      <c r="AX54" s="314" t="s">
        <v>572</v>
      </c>
      <c r="AY54" s="314" t="s">
        <v>573</v>
      </c>
      <c r="AZ54" s="314" t="s">
        <v>397</v>
      </c>
      <c r="BA54" s="314" t="s">
        <v>398</v>
      </c>
      <c r="BB54" s="314" t="s">
        <v>399</v>
      </c>
      <c r="BC54" s="314" t="s">
        <v>400</v>
      </c>
      <c r="BD54" s="314" t="s">
        <v>151</v>
      </c>
      <c r="BE54" s="314" t="s">
        <v>152</v>
      </c>
      <c r="BF54" s="314" t="s">
        <v>401</v>
      </c>
      <c r="BG54" s="353"/>
    </row>
    <row r="55" spans="2:59">
      <c r="B55" s="358"/>
      <c r="C55" s="312" t="s">
        <v>371</v>
      </c>
      <c r="D55" s="312" t="s">
        <v>381</v>
      </c>
      <c r="E55" s="312" t="s">
        <v>390</v>
      </c>
      <c r="F55" s="313" t="s">
        <v>490</v>
      </c>
      <c r="G55" s="313" t="s">
        <v>491</v>
      </c>
      <c r="H55" s="313" t="s">
        <v>492</v>
      </c>
      <c r="I55" s="313" t="s">
        <v>519</v>
      </c>
      <c r="J55" s="313" t="s">
        <v>525</v>
      </c>
      <c r="K55" s="313" t="s">
        <v>419</v>
      </c>
      <c r="L55" s="313" t="s">
        <v>420</v>
      </c>
      <c r="M55" s="313" t="s">
        <v>493</v>
      </c>
      <c r="N55" s="313" t="s">
        <v>494</v>
      </c>
      <c r="O55" s="313" t="s">
        <v>495</v>
      </c>
      <c r="P55" s="313" t="s">
        <v>496</v>
      </c>
      <c r="Q55" s="313" t="s">
        <v>497</v>
      </c>
      <c r="R55" s="313" t="s">
        <v>498</v>
      </c>
      <c r="S55" s="313" t="s">
        <v>499</v>
      </c>
      <c r="T55" s="313" t="s">
        <v>500</v>
      </c>
      <c r="U55" s="313" t="s">
        <v>501</v>
      </c>
      <c r="V55" s="313" t="s">
        <v>502</v>
      </c>
      <c r="W55" s="313" t="s">
        <v>503</v>
      </c>
      <c r="X55" s="313" t="s">
        <v>504</v>
      </c>
      <c r="Y55" s="313" t="s">
        <v>505</v>
      </c>
      <c r="Z55" s="313" t="s">
        <v>506</v>
      </c>
      <c r="AA55" s="313" t="s">
        <v>507</v>
      </c>
      <c r="AB55" s="313" t="s">
        <v>508</v>
      </c>
      <c r="AC55" s="313" t="s">
        <v>509</v>
      </c>
      <c r="AD55" s="313" t="s">
        <v>510</v>
      </c>
      <c r="AE55" s="313" t="s">
        <v>511</v>
      </c>
      <c r="AF55" s="313" t="s">
        <v>512</v>
      </c>
      <c r="AG55" s="313" t="s">
        <v>513</v>
      </c>
      <c r="AH55" s="313" t="s">
        <v>514</v>
      </c>
      <c r="AI55" s="313" t="s">
        <v>515</v>
      </c>
      <c r="AJ55" s="313" t="s">
        <v>516</v>
      </c>
      <c r="AK55" s="313" t="s">
        <v>517</v>
      </c>
      <c r="AL55" s="313" t="s">
        <v>518</v>
      </c>
      <c r="AM55" s="313" t="s">
        <v>520</v>
      </c>
      <c r="AN55" s="313" t="s">
        <v>521</v>
      </c>
      <c r="AO55" s="313" t="s">
        <v>522</v>
      </c>
      <c r="AP55" s="313" t="s">
        <v>402</v>
      </c>
      <c r="AQ55" s="313" t="s">
        <v>523</v>
      </c>
      <c r="AR55" s="313" t="s">
        <v>524</v>
      </c>
      <c r="AS55" s="313" t="s">
        <v>526</v>
      </c>
      <c r="AT55" s="313" t="s">
        <v>527</v>
      </c>
      <c r="AU55" s="313" t="s">
        <v>528</v>
      </c>
      <c r="AV55" s="313" t="s">
        <v>529</v>
      </c>
      <c r="AW55" s="313" t="s">
        <v>530</v>
      </c>
      <c r="AX55" s="313" t="s">
        <v>531</v>
      </c>
      <c r="AY55" s="313" t="s">
        <v>532</v>
      </c>
      <c r="AZ55" s="313" t="s">
        <v>403</v>
      </c>
      <c r="BA55" s="313" t="s">
        <v>404</v>
      </c>
      <c r="BB55" s="313" t="s">
        <v>405</v>
      </c>
      <c r="BC55" s="313" t="s">
        <v>406</v>
      </c>
      <c r="BD55" s="313" t="s">
        <v>407</v>
      </c>
      <c r="BE55" s="313" t="s">
        <v>408</v>
      </c>
      <c r="BF55" s="313" t="s">
        <v>409</v>
      </c>
      <c r="BG55" s="353"/>
    </row>
    <row r="56" spans="2:59">
      <c r="B56" s="358"/>
      <c r="C56" s="312" t="s">
        <v>472</v>
      </c>
      <c r="D56" s="312" t="s">
        <v>574</v>
      </c>
      <c r="E56" s="312" t="s">
        <v>473</v>
      </c>
      <c r="F56" s="326" t="s">
        <v>474</v>
      </c>
      <c r="G56" s="326" t="s">
        <v>474</v>
      </c>
      <c r="H56" s="326" t="s">
        <v>474</v>
      </c>
      <c r="I56" s="326" t="s">
        <v>474</v>
      </c>
      <c r="J56" s="326" t="s">
        <v>476</v>
      </c>
      <c r="K56" s="326" t="s">
        <v>474</v>
      </c>
      <c r="L56" s="326" t="s">
        <v>474</v>
      </c>
      <c r="M56" s="326" t="s">
        <v>575</v>
      </c>
      <c r="N56" s="326" t="s">
        <v>575</v>
      </c>
      <c r="O56" s="326" t="s">
        <v>473</v>
      </c>
      <c r="P56" s="326" t="s">
        <v>576</v>
      </c>
      <c r="Q56" s="326" t="s">
        <v>474</v>
      </c>
      <c r="R56" s="326" t="s">
        <v>481</v>
      </c>
      <c r="S56" s="326" t="s">
        <v>476</v>
      </c>
      <c r="T56" s="326" t="s">
        <v>481</v>
      </c>
      <c r="U56" s="326" t="s">
        <v>476</v>
      </c>
      <c r="V56" s="326" t="s">
        <v>476</v>
      </c>
      <c r="W56" s="326" t="s">
        <v>474</v>
      </c>
      <c r="X56" s="326" t="s">
        <v>577</v>
      </c>
      <c r="Y56" s="326" t="s">
        <v>577</v>
      </c>
      <c r="Z56" s="326" t="s">
        <v>478</v>
      </c>
      <c r="AA56" s="326" t="s">
        <v>576</v>
      </c>
      <c r="AB56" s="326" t="s">
        <v>576</v>
      </c>
      <c r="AC56" s="326" t="s">
        <v>476</v>
      </c>
      <c r="AD56" s="326" t="s">
        <v>480</v>
      </c>
      <c r="AE56" s="326" t="s">
        <v>481</v>
      </c>
      <c r="AF56" s="326" t="s">
        <v>481</v>
      </c>
      <c r="AG56" s="326" t="s">
        <v>578</v>
      </c>
      <c r="AH56" s="326" t="s">
        <v>578</v>
      </c>
      <c r="AI56" s="326" t="s">
        <v>481</v>
      </c>
      <c r="AJ56" s="326" t="s">
        <v>481</v>
      </c>
      <c r="AK56" s="326" t="s">
        <v>578</v>
      </c>
      <c r="AL56" s="326" t="s">
        <v>578</v>
      </c>
      <c r="AM56" s="326" t="s">
        <v>474</v>
      </c>
      <c r="AN56" s="326" t="s">
        <v>474</v>
      </c>
      <c r="AO56" s="326" t="s">
        <v>474</v>
      </c>
      <c r="AP56" s="326" t="s">
        <v>478</v>
      </c>
      <c r="AQ56" s="326" t="s">
        <v>473</v>
      </c>
      <c r="AR56" s="326" t="s">
        <v>474</v>
      </c>
      <c r="AS56" s="326" t="s">
        <v>476</v>
      </c>
      <c r="AT56" s="326" t="s">
        <v>474</v>
      </c>
      <c r="AU56" s="326" t="s">
        <v>579</v>
      </c>
      <c r="AV56" s="326" t="s">
        <v>481</v>
      </c>
      <c r="AW56" s="326" t="s">
        <v>478</v>
      </c>
      <c r="AX56" s="326" t="s">
        <v>474</v>
      </c>
      <c r="AY56" s="326" t="s">
        <v>474</v>
      </c>
      <c r="AZ56" s="326" t="s">
        <v>485</v>
      </c>
      <c r="BA56" s="326" t="s">
        <v>486</v>
      </c>
      <c r="BB56" s="326" t="s">
        <v>488</v>
      </c>
      <c r="BC56" s="326" t="s">
        <v>488</v>
      </c>
      <c r="BD56" s="326" t="s">
        <v>486</v>
      </c>
      <c r="BE56" s="326" t="s">
        <v>488</v>
      </c>
      <c r="BF56" s="326" t="s">
        <v>488</v>
      </c>
      <c r="BG56" s="353"/>
    </row>
    <row r="57" spans="2:59" ht="15">
      <c r="B57" s="315" t="s">
        <v>410</v>
      </c>
      <c r="C57" s="337" t="s">
        <v>684</v>
      </c>
      <c r="D57" s="327" t="s">
        <v>438</v>
      </c>
      <c r="E57" s="327" t="s">
        <v>438</v>
      </c>
      <c r="F57" s="328" t="s">
        <v>454</v>
      </c>
      <c r="G57" s="327" t="s">
        <v>411</v>
      </c>
      <c r="H57" s="327" t="s">
        <v>411</v>
      </c>
      <c r="I57" s="330">
        <v>1</v>
      </c>
      <c r="J57" s="331">
        <v>0</v>
      </c>
      <c r="K57" s="327" t="s">
        <v>439</v>
      </c>
      <c r="L57" s="327" t="s">
        <v>439</v>
      </c>
      <c r="M57" s="327" t="s">
        <v>156</v>
      </c>
      <c r="N57" s="327" t="s">
        <v>156</v>
      </c>
      <c r="O57" s="327" t="s">
        <v>156</v>
      </c>
      <c r="P57" s="327" t="s">
        <v>156</v>
      </c>
      <c r="Q57" s="329" t="s">
        <v>580</v>
      </c>
      <c r="R57" s="327" t="s">
        <v>411</v>
      </c>
      <c r="S57" s="327" t="s">
        <v>411</v>
      </c>
      <c r="T57" s="327" t="s">
        <v>581</v>
      </c>
      <c r="U57" s="327" t="s">
        <v>582</v>
      </c>
      <c r="V57" s="327" t="s">
        <v>183</v>
      </c>
      <c r="W57" s="327" t="s">
        <v>183</v>
      </c>
      <c r="X57" s="327" t="s">
        <v>411</v>
      </c>
      <c r="Y57" s="327" t="s">
        <v>411</v>
      </c>
      <c r="Z57" s="327"/>
      <c r="AA57" s="330"/>
      <c r="AB57" s="330" t="s">
        <v>156</v>
      </c>
      <c r="AC57" s="330">
        <v>1</v>
      </c>
      <c r="AD57" s="330">
        <v>99999999</v>
      </c>
      <c r="AE57" s="327" t="s">
        <v>411</v>
      </c>
      <c r="AF57" s="327" t="s">
        <v>411</v>
      </c>
      <c r="AG57" s="327" t="s">
        <v>411</v>
      </c>
      <c r="AH57" s="327" t="s">
        <v>411</v>
      </c>
      <c r="AI57" s="330">
        <v>0</v>
      </c>
      <c r="AJ57" s="330">
        <v>0</v>
      </c>
      <c r="AK57" s="330">
        <v>0</v>
      </c>
      <c r="AL57" s="330">
        <v>0</v>
      </c>
      <c r="AM57" s="327" t="s">
        <v>183</v>
      </c>
      <c r="AN57" s="330">
        <v>0</v>
      </c>
      <c r="AO57" s="327" t="s">
        <v>411</v>
      </c>
      <c r="AP57" s="330">
        <v>1</v>
      </c>
      <c r="AQ57" s="331" t="s">
        <v>156</v>
      </c>
      <c r="AR57" s="331" t="s">
        <v>583</v>
      </c>
      <c r="AS57" s="331">
        <v>0</v>
      </c>
      <c r="AT57" s="331">
        <v>1</v>
      </c>
      <c r="AU57" s="331">
        <v>0</v>
      </c>
      <c r="AV57" s="331">
        <v>0</v>
      </c>
      <c r="AW57" s="331">
        <v>0</v>
      </c>
      <c r="AX57" s="331">
        <v>0</v>
      </c>
      <c r="AY57" s="331">
        <v>1</v>
      </c>
      <c r="AZ57" s="331">
        <v>0</v>
      </c>
      <c r="BA57" s="332">
        <v>29705</v>
      </c>
      <c r="BB57" s="331" t="s">
        <v>445</v>
      </c>
      <c r="BC57" s="331" t="s">
        <v>445</v>
      </c>
      <c r="BD57" s="332">
        <v>36413</v>
      </c>
      <c r="BE57" s="331" t="s">
        <v>445</v>
      </c>
      <c r="BF57" s="331" t="s">
        <v>445</v>
      </c>
      <c r="BG57" s="353"/>
    </row>
    <row r="58" spans="2:59" ht="15">
      <c r="B58" s="315" t="s">
        <v>410</v>
      </c>
      <c r="C58" s="337" t="s">
        <v>684</v>
      </c>
      <c r="D58" s="327" t="s">
        <v>438</v>
      </c>
      <c r="E58" s="337" t="s">
        <v>182</v>
      </c>
      <c r="F58" s="328" t="s">
        <v>185</v>
      </c>
      <c r="G58" s="327" t="s">
        <v>411</v>
      </c>
      <c r="H58" s="327" t="s">
        <v>411</v>
      </c>
      <c r="I58" s="330">
        <v>0</v>
      </c>
      <c r="J58" s="327">
        <v>30</v>
      </c>
      <c r="K58" s="338" t="s">
        <v>175</v>
      </c>
      <c r="L58" s="327" t="s">
        <v>439</v>
      </c>
      <c r="M58" s="327" t="s">
        <v>156</v>
      </c>
      <c r="N58" s="327" t="s">
        <v>156</v>
      </c>
      <c r="O58" s="327" t="s">
        <v>584</v>
      </c>
      <c r="P58" s="327" t="s">
        <v>156</v>
      </c>
      <c r="Q58" s="329" t="s">
        <v>585</v>
      </c>
      <c r="R58" s="327" t="s">
        <v>183</v>
      </c>
      <c r="S58" s="327" t="s">
        <v>411</v>
      </c>
      <c r="T58" s="327" t="s">
        <v>581</v>
      </c>
      <c r="U58" s="327" t="s">
        <v>582</v>
      </c>
      <c r="V58" s="327" t="s">
        <v>586</v>
      </c>
      <c r="W58" s="327" t="s">
        <v>183</v>
      </c>
      <c r="X58" s="327" t="s">
        <v>411</v>
      </c>
      <c r="Y58" s="327" t="s">
        <v>411</v>
      </c>
      <c r="Z58" s="327"/>
      <c r="AA58" s="330"/>
      <c r="AB58" s="330" t="s">
        <v>587</v>
      </c>
      <c r="AC58" s="333">
        <v>5000</v>
      </c>
      <c r="AD58" s="330">
        <v>99999999</v>
      </c>
      <c r="AE58" s="327" t="s">
        <v>411</v>
      </c>
      <c r="AF58" s="327" t="s">
        <v>439</v>
      </c>
      <c r="AG58" s="327" t="s">
        <v>411</v>
      </c>
      <c r="AH58" s="327" t="s">
        <v>411</v>
      </c>
      <c r="AI58" s="330">
        <v>0</v>
      </c>
      <c r="AJ58" s="330">
        <v>0</v>
      </c>
      <c r="AK58" s="330">
        <v>0</v>
      </c>
      <c r="AL58" s="330">
        <v>0</v>
      </c>
      <c r="AM58" s="327" t="s">
        <v>183</v>
      </c>
      <c r="AN58" s="330">
        <v>0</v>
      </c>
      <c r="AO58" s="327" t="s">
        <v>411</v>
      </c>
      <c r="AP58" s="330">
        <v>1</v>
      </c>
      <c r="AQ58" s="331">
        <v>1111</v>
      </c>
      <c r="AR58" s="331" t="s">
        <v>583</v>
      </c>
      <c r="AS58" s="331">
        <v>10</v>
      </c>
      <c r="AT58" s="331">
        <v>1</v>
      </c>
      <c r="AU58" s="331">
        <v>0</v>
      </c>
      <c r="AV58" s="331">
        <v>0</v>
      </c>
      <c r="AW58" s="331">
        <v>0</v>
      </c>
      <c r="AX58" s="331">
        <v>0</v>
      </c>
      <c r="AY58" s="331">
        <v>1</v>
      </c>
      <c r="AZ58" s="331">
        <v>0</v>
      </c>
      <c r="BA58" s="332">
        <v>40640.750486111108</v>
      </c>
      <c r="BB58" s="331">
        <v>470195</v>
      </c>
      <c r="BC58" s="331">
        <v>470195</v>
      </c>
      <c r="BD58" s="332">
        <v>45392.67769675926</v>
      </c>
      <c r="BE58" s="331">
        <v>363363</v>
      </c>
      <c r="BF58" s="331">
        <v>363363</v>
      </c>
      <c r="BG58" s="353"/>
    </row>
    <row r="59" spans="2:59" ht="14">
      <c r="B59" s="315" t="s">
        <v>410</v>
      </c>
      <c r="C59" s="337" t="s">
        <v>645</v>
      </c>
      <c r="D59" s="327" t="s">
        <v>438</v>
      </c>
      <c r="E59" s="327" t="s">
        <v>438</v>
      </c>
      <c r="F59" s="327" t="s">
        <v>454</v>
      </c>
      <c r="G59" s="327" t="s">
        <v>411</v>
      </c>
      <c r="H59" s="327" t="s">
        <v>411</v>
      </c>
      <c r="I59" s="327">
        <v>1</v>
      </c>
      <c r="J59" s="327">
        <v>0</v>
      </c>
      <c r="K59" s="327" t="s">
        <v>439</v>
      </c>
      <c r="L59" s="327" t="s">
        <v>439</v>
      </c>
      <c r="M59" s="327" t="s">
        <v>156</v>
      </c>
      <c r="N59" s="327" t="s">
        <v>156</v>
      </c>
      <c r="O59" s="327" t="s">
        <v>156</v>
      </c>
      <c r="P59" s="327" t="s">
        <v>156</v>
      </c>
      <c r="Q59" s="327" t="s">
        <v>580</v>
      </c>
      <c r="R59" s="327" t="s">
        <v>411</v>
      </c>
      <c r="S59" s="327" t="s">
        <v>411</v>
      </c>
      <c r="T59" s="327" t="s">
        <v>581</v>
      </c>
      <c r="U59" s="327" t="s">
        <v>582</v>
      </c>
      <c r="V59" s="327" t="s">
        <v>183</v>
      </c>
      <c r="W59" s="327" t="s">
        <v>183</v>
      </c>
      <c r="X59" s="327" t="s">
        <v>411</v>
      </c>
      <c r="Y59" s="327" t="s">
        <v>411</v>
      </c>
      <c r="Z59" s="327"/>
      <c r="AA59" s="327"/>
      <c r="AB59" s="327" t="s">
        <v>156</v>
      </c>
      <c r="AC59" s="327">
        <v>1</v>
      </c>
      <c r="AD59" s="327">
        <v>99999999</v>
      </c>
      <c r="AE59" s="327">
        <v>0</v>
      </c>
      <c r="AF59" s="327">
        <v>0</v>
      </c>
      <c r="AG59" s="327">
        <v>0</v>
      </c>
      <c r="AH59" s="327">
        <v>0</v>
      </c>
      <c r="AI59" s="327">
        <v>0</v>
      </c>
      <c r="AJ59" s="327">
        <v>0</v>
      </c>
      <c r="AK59" s="327">
        <v>0</v>
      </c>
      <c r="AL59" s="327">
        <v>0</v>
      </c>
      <c r="AM59" s="327">
        <v>1</v>
      </c>
      <c r="AN59" s="327">
        <v>0</v>
      </c>
      <c r="AO59" s="327">
        <v>0</v>
      </c>
      <c r="AP59" s="327">
        <v>1</v>
      </c>
      <c r="AQ59" s="327" t="s">
        <v>156</v>
      </c>
      <c r="AR59" s="327" t="s">
        <v>583</v>
      </c>
      <c r="AS59" s="327">
        <v>0</v>
      </c>
      <c r="AT59" s="327">
        <v>1</v>
      </c>
      <c r="AU59" s="327">
        <v>0</v>
      </c>
      <c r="AV59" s="327">
        <v>0</v>
      </c>
      <c r="AW59" s="327">
        <v>0</v>
      </c>
      <c r="AX59" s="327">
        <v>0</v>
      </c>
      <c r="AY59" s="327">
        <v>1</v>
      </c>
      <c r="AZ59" s="327">
        <v>0</v>
      </c>
      <c r="BA59" s="327">
        <v>29705</v>
      </c>
      <c r="BB59" s="327" t="s">
        <v>445</v>
      </c>
      <c r="BC59" s="327" t="s">
        <v>445</v>
      </c>
      <c r="BD59" s="327">
        <v>39993.705960648149</v>
      </c>
      <c r="BE59" s="327">
        <v>375901</v>
      </c>
      <c r="BF59" s="327">
        <v>375901</v>
      </c>
      <c r="BG59" s="353"/>
    </row>
    <row r="60" spans="2:59" ht="14">
      <c r="B60" s="315" t="s">
        <v>410</v>
      </c>
      <c r="C60" s="337" t="s">
        <v>659</v>
      </c>
      <c r="D60" s="327" t="s">
        <v>438</v>
      </c>
      <c r="E60" s="327" t="s">
        <v>438</v>
      </c>
      <c r="F60" s="327" t="s">
        <v>454</v>
      </c>
      <c r="G60" s="327" t="s">
        <v>411</v>
      </c>
      <c r="H60" s="327" t="s">
        <v>411</v>
      </c>
      <c r="I60" s="327">
        <v>1</v>
      </c>
      <c r="J60" s="327">
        <v>0</v>
      </c>
      <c r="K60" s="327" t="s">
        <v>439</v>
      </c>
      <c r="L60" s="327" t="s">
        <v>439</v>
      </c>
      <c r="M60" s="327" t="s">
        <v>156</v>
      </c>
      <c r="N60" s="327" t="s">
        <v>156</v>
      </c>
      <c r="O60" s="327" t="s">
        <v>156</v>
      </c>
      <c r="P60" s="327" t="s">
        <v>156</v>
      </c>
      <c r="Q60" s="327" t="s">
        <v>580</v>
      </c>
      <c r="R60" s="327" t="s">
        <v>411</v>
      </c>
      <c r="S60" s="327" t="s">
        <v>411</v>
      </c>
      <c r="T60" s="327" t="s">
        <v>581</v>
      </c>
      <c r="U60" s="327" t="s">
        <v>582</v>
      </c>
      <c r="V60" s="327" t="s">
        <v>183</v>
      </c>
      <c r="W60" s="327" t="s">
        <v>183</v>
      </c>
      <c r="X60" s="327" t="s">
        <v>411</v>
      </c>
      <c r="Y60" s="327" t="s">
        <v>411</v>
      </c>
      <c r="Z60" s="327"/>
      <c r="AA60" s="327"/>
      <c r="AB60" s="327" t="s">
        <v>156</v>
      </c>
      <c r="AC60" s="327">
        <v>1</v>
      </c>
      <c r="AD60" s="327">
        <v>99999999</v>
      </c>
      <c r="AE60" s="327">
        <v>0</v>
      </c>
      <c r="AF60" s="327">
        <v>0</v>
      </c>
      <c r="AG60" s="327">
        <v>0</v>
      </c>
      <c r="AH60" s="327">
        <v>0</v>
      </c>
      <c r="AI60" s="327">
        <v>0</v>
      </c>
      <c r="AJ60" s="327">
        <v>0</v>
      </c>
      <c r="AK60" s="327">
        <v>0</v>
      </c>
      <c r="AL60" s="327">
        <v>0</v>
      </c>
      <c r="AM60" s="327">
        <v>1</v>
      </c>
      <c r="AN60" s="327">
        <v>0</v>
      </c>
      <c r="AO60" s="327">
        <v>0</v>
      </c>
      <c r="AP60" s="327">
        <v>1</v>
      </c>
      <c r="AQ60" s="327" t="s">
        <v>156</v>
      </c>
      <c r="AR60" s="327" t="s">
        <v>583</v>
      </c>
      <c r="AS60" s="327">
        <v>0</v>
      </c>
      <c r="AT60" s="327">
        <v>1</v>
      </c>
      <c r="AU60" s="327">
        <v>0</v>
      </c>
      <c r="AV60" s="327">
        <v>0</v>
      </c>
      <c r="AW60" s="327">
        <v>0</v>
      </c>
      <c r="AX60" s="327">
        <v>0</v>
      </c>
      <c r="AY60" s="327">
        <v>1</v>
      </c>
      <c r="AZ60" s="327">
        <v>0</v>
      </c>
      <c r="BA60" s="327">
        <v>31819</v>
      </c>
      <c r="BB60" s="327" t="s">
        <v>445</v>
      </c>
      <c r="BC60" s="327" t="s">
        <v>445</v>
      </c>
      <c r="BD60" s="327">
        <v>45636.056898148148</v>
      </c>
      <c r="BE60" s="327" t="s">
        <v>643</v>
      </c>
      <c r="BF60" s="327" t="s">
        <v>643</v>
      </c>
      <c r="BG60" s="353"/>
    </row>
    <row r="61" spans="2:59">
      <c r="B61" s="358"/>
      <c r="BG61" s="353"/>
    </row>
    <row r="62" spans="2:59" ht="14">
      <c r="B62" s="358"/>
      <c r="C62" s="359" t="s">
        <v>153</v>
      </c>
      <c r="BG62" s="353"/>
    </row>
    <row r="63" spans="2:59" ht="14">
      <c r="B63" s="358"/>
      <c r="C63" s="359" t="s">
        <v>590</v>
      </c>
      <c r="D63" s="359" t="s">
        <v>591</v>
      </c>
      <c r="E63" s="359" t="s">
        <v>159</v>
      </c>
      <c r="F63" s="359" t="s">
        <v>592</v>
      </c>
      <c r="G63" s="359" t="s">
        <v>593</v>
      </c>
      <c r="H63" s="359" t="s">
        <v>594</v>
      </c>
      <c r="I63" s="359" t="s">
        <v>595</v>
      </c>
      <c r="J63" s="359" t="s">
        <v>596</v>
      </c>
      <c r="K63" s="359" t="s">
        <v>597</v>
      </c>
      <c r="L63" s="359" t="s">
        <v>598</v>
      </c>
      <c r="M63" s="359" t="s">
        <v>599</v>
      </c>
      <c r="P63" s="359"/>
      <c r="BG63" s="353"/>
    </row>
    <row r="64" spans="2:59" ht="14">
      <c r="B64" s="358"/>
      <c r="C64" s="359">
        <v>-2</v>
      </c>
      <c r="D64" s="359">
        <v>0</v>
      </c>
      <c r="E64" s="359" t="s">
        <v>757</v>
      </c>
      <c r="F64" s="359" t="s">
        <v>750</v>
      </c>
      <c r="G64" s="359" t="s">
        <v>623</v>
      </c>
      <c r="H64" s="359" t="s">
        <v>156</v>
      </c>
      <c r="I64" s="359" t="s">
        <v>156</v>
      </c>
      <c r="J64" s="359" t="s">
        <v>156</v>
      </c>
      <c r="K64" s="359" t="s">
        <v>156</v>
      </c>
      <c r="L64" s="359">
        <v>0</v>
      </c>
      <c r="M64" s="359" t="s">
        <v>156</v>
      </c>
      <c r="P64" s="359"/>
      <c r="BG64" s="353"/>
    </row>
    <row r="65" spans="2:59" ht="13.5" thickBot="1">
      <c r="B65" s="358"/>
      <c r="BG65" s="353"/>
    </row>
    <row r="66" spans="2:59" ht="14" thickBot="1">
      <c r="B66" s="299" t="s">
        <v>608</v>
      </c>
      <c r="C66" s="300" t="s">
        <v>606</v>
      </c>
      <c r="D66" s="300"/>
      <c r="E66" s="300"/>
      <c r="F66" s="300"/>
      <c r="G66" s="300"/>
      <c r="H66" s="300"/>
      <c r="I66" s="300"/>
      <c r="J66" s="300"/>
      <c r="K66" s="300"/>
      <c r="L66" s="300"/>
      <c r="M66" s="300"/>
      <c r="N66" s="300"/>
      <c r="O66" s="300"/>
      <c r="P66" s="300"/>
      <c r="Q66" s="300"/>
      <c r="R66" s="300"/>
      <c r="S66" s="300"/>
      <c r="T66" s="300"/>
      <c r="U66" s="300"/>
      <c r="V66" s="300"/>
      <c r="W66" s="300"/>
      <c r="X66" s="300"/>
      <c r="Y66" s="300"/>
      <c r="Z66" s="300"/>
      <c r="AA66" s="300"/>
      <c r="AB66" s="300"/>
      <c r="AC66" s="300"/>
      <c r="AD66" s="300"/>
      <c r="AE66" s="300"/>
      <c r="AF66" s="300"/>
      <c r="AG66" s="300"/>
      <c r="AH66" s="300"/>
      <c r="AI66" s="300"/>
      <c r="AJ66" s="300"/>
      <c r="AK66" s="300"/>
      <c r="AL66" s="300"/>
      <c r="AM66" s="300"/>
      <c r="AN66" s="300"/>
      <c r="AO66" s="300"/>
      <c r="AP66" s="300"/>
      <c r="AQ66" s="300"/>
      <c r="AR66" s="300"/>
      <c r="AS66" s="300"/>
      <c r="AT66" s="300"/>
      <c r="AU66" s="300"/>
      <c r="AV66" s="300"/>
      <c r="AW66" s="300"/>
      <c r="AX66" s="300"/>
      <c r="AY66" s="300"/>
      <c r="AZ66" s="300"/>
      <c r="BA66" s="300"/>
      <c r="BB66" s="300"/>
      <c r="BC66" s="300"/>
      <c r="BD66" s="300"/>
      <c r="BE66" s="300"/>
      <c r="BF66" s="300"/>
      <c r="BG66" s="353"/>
    </row>
    <row r="67" spans="2:59" ht="14" thickBot="1">
      <c r="B67" s="335" t="s">
        <v>804</v>
      </c>
      <c r="C67" s="300" t="s">
        <v>615</v>
      </c>
      <c r="D67" s="300"/>
      <c r="E67" s="300"/>
      <c r="F67" s="300"/>
      <c r="G67" s="300"/>
      <c r="H67" s="300"/>
      <c r="I67" s="300"/>
      <c r="J67" s="300"/>
      <c r="K67" s="300"/>
      <c r="L67" s="300"/>
      <c r="M67" s="300"/>
      <c r="N67" s="300"/>
      <c r="O67" s="300"/>
      <c r="P67" s="300"/>
      <c r="Q67" s="300"/>
      <c r="R67" s="300"/>
      <c r="S67" s="300"/>
      <c r="T67" s="300"/>
      <c r="U67" s="300"/>
      <c r="V67" s="300"/>
      <c r="W67" s="300"/>
      <c r="X67" s="300"/>
      <c r="Y67" s="300"/>
      <c r="Z67" s="300"/>
      <c r="AA67" s="300"/>
      <c r="AB67" s="300"/>
      <c r="AC67" s="300"/>
      <c r="AD67" s="300"/>
      <c r="AE67" s="300"/>
      <c r="AF67" s="300"/>
      <c r="AG67" s="300"/>
      <c r="AH67" s="300"/>
      <c r="AI67" s="300"/>
      <c r="AJ67" s="300"/>
      <c r="AK67" s="300"/>
      <c r="AL67" s="300"/>
      <c r="AM67" s="300"/>
      <c r="AN67" s="300"/>
      <c r="AO67" s="300"/>
      <c r="AP67" s="300"/>
      <c r="AQ67" s="300"/>
      <c r="AR67" s="300"/>
      <c r="AS67" s="300"/>
      <c r="AT67" s="300"/>
      <c r="AU67" s="300"/>
      <c r="AV67" s="300"/>
      <c r="AW67" s="300"/>
      <c r="AX67" s="300"/>
      <c r="AY67" s="300"/>
      <c r="AZ67" s="300"/>
      <c r="BA67" s="300"/>
      <c r="BB67" s="300"/>
      <c r="BC67" s="300"/>
      <c r="BD67" s="300"/>
      <c r="BE67" s="300"/>
      <c r="BF67" s="300"/>
      <c r="BG67" s="353"/>
    </row>
    <row r="68" spans="2:59">
      <c r="B68" s="358"/>
      <c r="BG68" s="353"/>
    </row>
    <row r="69" spans="2:59" ht="13.5">
      <c r="B69" s="358"/>
      <c r="C69" s="356" t="s">
        <v>396</v>
      </c>
      <c r="BG69" s="353"/>
    </row>
    <row r="70" spans="2:59" ht="13.5">
      <c r="B70" s="358"/>
      <c r="C70" s="356" t="s">
        <v>609</v>
      </c>
      <c r="BG70" s="353"/>
    </row>
    <row r="71" spans="2:59">
      <c r="B71" s="358"/>
      <c r="BG71" s="353"/>
    </row>
    <row r="72" spans="2:59" ht="15">
      <c r="B72" s="358"/>
      <c r="C72" s="449" t="s">
        <v>436</v>
      </c>
      <c r="D72" s="450"/>
      <c r="E72" s="450"/>
      <c r="F72" s="451"/>
      <c r="G72" s="451"/>
      <c r="H72" s="451"/>
      <c r="I72" s="451"/>
      <c r="J72" s="451"/>
      <c r="K72" s="451"/>
      <c r="L72" s="451"/>
      <c r="M72" s="451"/>
      <c r="N72" s="451"/>
      <c r="O72" s="451"/>
      <c r="P72" s="451"/>
      <c r="Q72" s="451"/>
      <c r="R72" s="451"/>
      <c r="S72" s="451"/>
      <c r="T72" s="451"/>
      <c r="U72" s="451"/>
      <c r="V72" s="451"/>
      <c r="W72" s="451"/>
      <c r="X72" s="451"/>
      <c r="Y72" s="451"/>
      <c r="Z72" s="452"/>
      <c r="AA72" s="68"/>
      <c r="AB72" s="68"/>
      <c r="AC72" s="68"/>
      <c r="AD72" s="68"/>
      <c r="BG72" s="353"/>
    </row>
    <row r="73" spans="2:59" ht="15">
      <c r="B73" s="358"/>
      <c r="C73" s="322"/>
      <c r="D73" s="322"/>
      <c r="E73" s="322"/>
      <c r="F73" s="319" t="s">
        <v>169</v>
      </c>
      <c r="G73" s="319" t="s">
        <v>169</v>
      </c>
      <c r="H73" s="319" t="s">
        <v>169</v>
      </c>
      <c r="I73" s="319"/>
      <c r="J73" s="319"/>
      <c r="K73" s="319"/>
      <c r="L73" s="319"/>
      <c r="M73" s="319"/>
      <c r="N73" s="319"/>
      <c r="O73" s="319"/>
      <c r="P73" s="319"/>
      <c r="Q73" s="319"/>
      <c r="R73" s="319"/>
      <c r="S73" s="319"/>
      <c r="T73" s="319"/>
      <c r="U73" s="319"/>
      <c r="V73" s="319"/>
      <c r="W73" s="319"/>
      <c r="X73" s="319"/>
      <c r="Y73" s="319"/>
      <c r="Z73" s="319"/>
      <c r="AA73" s="319"/>
      <c r="AB73" s="319"/>
      <c r="AC73" s="319"/>
      <c r="AD73" s="319"/>
      <c r="BG73" s="353"/>
    </row>
    <row r="74" spans="2:59">
      <c r="B74" s="358"/>
      <c r="C74" s="312" t="s">
        <v>172</v>
      </c>
      <c r="D74" s="312" t="s">
        <v>173</v>
      </c>
      <c r="E74" s="312" t="s">
        <v>174</v>
      </c>
      <c r="F74" s="314" t="s">
        <v>91</v>
      </c>
      <c r="G74" s="314" t="s">
        <v>67</v>
      </c>
      <c r="H74" s="314" t="s">
        <v>69</v>
      </c>
      <c r="I74" s="314" t="s">
        <v>457</v>
      </c>
      <c r="J74" s="314" t="s">
        <v>458</v>
      </c>
      <c r="K74" s="314" t="s">
        <v>459</v>
      </c>
      <c r="L74" s="314" t="s">
        <v>460</v>
      </c>
      <c r="M74" s="314" t="s">
        <v>461</v>
      </c>
      <c r="N74" s="314" t="s">
        <v>462</v>
      </c>
      <c r="O74" s="314" t="s">
        <v>463</v>
      </c>
      <c r="P74" s="314" t="s">
        <v>464</v>
      </c>
      <c r="Q74" s="314" t="s">
        <v>465</v>
      </c>
      <c r="R74" s="314" t="s">
        <v>466</v>
      </c>
      <c r="S74" s="314" t="s">
        <v>467</v>
      </c>
      <c r="T74" s="314" t="s">
        <v>468</v>
      </c>
      <c r="U74" s="314" t="s">
        <v>469</v>
      </c>
      <c r="V74" s="314" t="s">
        <v>470</v>
      </c>
      <c r="W74" s="314" t="s">
        <v>471</v>
      </c>
      <c r="X74" s="314" t="s">
        <v>397</v>
      </c>
      <c r="Y74" s="314" t="s">
        <v>398</v>
      </c>
      <c r="Z74" s="314" t="s">
        <v>399</v>
      </c>
      <c r="AA74" s="314" t="s">
        <v>400</v>
      </c>
      <c r="AB74" s="314" t="s">
        <v>151</v>
      </c>
      <c r="AC74" s="314" t="s">
        <v>152</v>
      </c>
      <c r="AD74" s="314" t="s">
        <v>401</v>
      </c>
      <c r="BG74" s="353"/>
    </row>
    <row r="75" spans="2:59">
      <c r="B75" s="358"/>
      <c r="C75" s="312" t="s">
        <v>371</v>
      </c>
      <c r="D75" s="312" t="s">
        <v>381</v>
      </c>
      <c r="E75" s="312" t="s">
        <v>390</v>
      </c>
      <c r="F75" s="313" t="s">
        <v>418</v>
      </c>
      <c r="G75" s="313" t="s">
        <v>419</v>
      </c>
      <c r="H75" s="313" t="s">
        <v>421</v>
      </c>
      <c r="I75" s="313" t="s">
        <v>420</v>
      </c>
      <c r="J75" s="313" t="s">
        <v>422</v>
      </c>
      <c r="K75" s="313" t="s">
        <v>423</v>
      </c>
      <c r="L75" s="313" t="s">
        <v>424</v>
      </c>
      <c r="M75" s="313" t="s">
        <v>425</v>
      </c>
      <c r="N75" s="313" t="s">
        <v>426</v>
      </c>
      <c r="O75" s="313" t="s">
        <v>427</v>
      </c>
      <c r="P75" s="313" t="s">
        <v>428</v>
      </c>
      <c r="Q75" s="313" t="s">
        <v>429</v>
      </c>
      <c r="R75" s="313" t="s">
        <v>430</v>
      </c>
      <c r="S75" s="313" t="s">
        <v>431</v>
      </c>
      <c r="T75" s="313" t="s">
        <v>432</v>
      </c>
      <c r="U75" s="313" t="s">
        <v>433</v>
      </c>
      <c r="V75" s="313" t="s">
        <v>434</v>
      </c>
      <c r="W75" s="313" t="s">
        <v>435</v>
      </c>
      <c r="X75" s="313" t="s">
        <v>403</v>
      </c>
      <c r="Y75" s="313" t="s">
        <v>404</v>
      </c>
      <c r="Z75" s="313" t="s">
        <v>405</v>
      </c>
      <c r="AA75" s="313" t="s">
        <v>406</v>
      </c>
      <c r="AB75" s="313" t="s">
        <v>407</v>
      </c>
      <c r="AC75" s="313" t="s">
        <v>408</v>
      </c>
      <c r="AD75" s="313" t="s">
        <v>409</v>
      </c>
      <c r="BG75" s="353"/>
    </row>
    <row r="76" spans="2:59">
      <c r="B76" s="358"/>
      <c r="C76" s="312" t="s">
        <v>472</v>
      </c>
      <c r="D76" s="312" t="s">
        <v>473</v>
      </c>
      <c r="E76" s="312" t="s">
        <v>473</v>
      </c>
      <c r="F76" s="314" t="s">
        <v>474</v>
      </c>
      <c r="G76" s="314" t="s">
        <v>474</v>
      </c>
      <c r="H76" s="314" t="s">
        <v>475</v>
      </c>
      <c r="I76" s="314" t="s">
        <v>474</v>
      </c>
      <c r="J76" s="314" t="s">
        <v>476</v>
      </c>
      <c r="K76" s="314" t="s">
        <v>477</v>
      </c>
      <c r="L76" s="313" t="s">
        <v>478</v>
      </c>
      <c r="M76" s="314" t="s">
        <v>478</v>
      </c>
      <c r="N76" s="314" t="s">
        <v>479</v>
      </c>
      <c r="O76" s="314" t="s">
        <v>474</v>
      </c>
      <c r="P76" s="314" t="s">
        <v>480</v>
      </c>
      <c r="Q76" s="314" t="s">
        <v>481</v>
      </c>
      <c r="R76" s="314" t="s">
        <v>480</v>
      </c>
      <c r="S76" s="314" t="s">
        <v>482</v>
      </c>
      <c r="T76" s="313" t="s">
        <v>483</v>
      </c>
      <c r="U76" s="314" t="s">
        <v>483</v>
      </c>
      <c r="V76" s="314" t="s">
        <v>484</v>
      </c>
      <c r="W76" s="314" t="s">
        <v>474</v>
      </c>
      <c r="X76" s="314" t="s">
        <v>485</v>
      </c>
      <c r="Y76" s="314" t="s">
        <v>487</v>
      </c>
      <c r="Z76" s="314" t="s">
        <v>488</v>
      </c>
      <c r="AA76" s="314" t="s">
        <v>488</v>
      </c>
      <c r="AB76" s="313" t="s">
        <v>486</v>
      </c>
      <c r="AC76" s="314" t="s">
        <v>488</v>
      </c>
      <c r="AD76" s="314" t="s">
        <v>488</v>
      </c>
      <c r="BG76" s="353"/>
    </row>
    <row r="77" spans="2:59" ht="14">
      <c r="B77" s="315" t="s">
        <v>410</v>
      </c>
      <c r="C77" s="316" t="s">
        <v>437</v>
      </c>
      <c r="D77" s="337" t="s">
        <v>629</v>
      </c>
      <c r="E77" s="338" t="s">
        <v>182</v>
      </c>
      <c r="F77" s="316" t="s">
        <v>454</v>
      </c>
      <c r="G77" s="316" t="s">
        <v>183</v>
      </c>
      <c r="H77" s="316" t="s">
        <v>184</v>
      </c>
      <c r="I77" s="311"/>
      <c r="J77" s="316" t="s">
        <v>440</v>
      </c>
      <c r="K77" s="316" t="s">
        <v>411</v>
      </c>
      <c r="L77" s="316" t="s">
        <v>156</v>
      </c>
      <c r="M77" s="316" t="s">
        <v>441</v>
      </c>
      <c r="N77" s="316" t="s">
        <v>156</v>
      </c>
      <c r="O77" s="316" t="s">
        <v>183</v>
      </c>
      <c r="P77" s="316" t="s">
        <v>156</v>
      </c>
      <c r="Q77" s="316" t="s">
        <v>442</v>
      </c>
      <c r="R77" s="316" t="s">
        <v>443</v>
      </c>
      <c r="S77" s="316" t="s">
        <v>156</v>
      </c>
      <c r="T77" s="316" t="s">
        <v>156</v>
      </c>
      <c r="U77" s="316" t="s">
        <v>156</v>
      </c>
      <c r="V77" s="316" t="s">
        <v>156</v>
      </c>
      <c r="W77" s="316" t="s">
        <v>156</v>
      </c>
      <c r="X77" s="316" t="s">
        <v>411</v>
      </c>
      <c r="Y77" s="316" t="s">
        <v>444</v>
      </c>
      <c r="Z77" s="316" t="s">
        <v>445</v>
      </c>
      <c r="AA77" s="316" t="s">
        <v>445</v>
      </c>
      <c r="AB77" s="316" t="s">
        <v>446</v>
      </c>
      <c r="AC77" s="316" t="s">
        <v>455</v>
      </c>
      <c r="AD77" s="316" t="s">
        <v>455</v>
      </c>
      <c r="BG77" s="353"/>
    </row>
    <row r="78" spans="2:59" ht="14">
      <c r="B78" s="317" t="s">
        <v>412</v>
      </c>
      <c r="C78" s="316" t="s">
        <v>437</v>
      </c>
      <c r="D78" s="316" t="s">
        <v>453</v>
      </c>
      <c r="E78" s="316" t="s">
        <v>453</v>
      </c>
      <c r="F78" s="316" t="s">
        <v>454</v>
      </c>
      <c r="G78" s="413" t="s">
        <v>811</v>
      </c>
      <c r="H78" s="316" t="s">
        <v>184</v>
      </c>
      <c r="I78" s="311"/>
      <c r="J78" s="316" t="s">
        <v>440</v>
      </c>
      <c r="K78" s="316" t="s">
        <v>411</v>
      </c>
      <c r="L78" s="316" t="s">
        <v>156</v>
      </c>
      <c r="M78" s="316" t="s">
        <v>441</v>
      </c>
      <c r="N78" s="316" t="s">
        <v>156</v>
      </c>
      <c r="O78" s="316" t="s">
        <v>183</v>
      </c>
      <c r="P78" s="316" t="s">
        <v>156</v>
      </c>
      <c r="Q78" s="316" t="s">
        <v>442</v>
      </c>
      <c r="R78" s="316" t="s">
        <v>443</v>
      </c>
      <c r="S78" s="316" t="s">
        <v>156</v>
      </c>
      <c r="T78" s="316" t="s">
        <v>156</v>
      </c>
      <c r="U78" s="316" t="s">
        <v>156</v>
      </c>
      <c r="V78" s="316" t="s">
        <v>156</v>
      </c>
      <c r="W78" s="316" t="s">
        <v>156</v>
      </c>
      <c r="X78" s="316" t="s">
        <v>411</v>
      </c>
      <c r="Y78" s="316" t="s">
        <v>444</v>
      </c>
      <c r="Z78" s="316" t="s">
        <v>445</v>
      </c>
      <c r="AA78" s="316" t="s">
        <v>445</v>
      </c>
      <c r="AB78" s="316" t="s">
        <v>446</v>
      </c>
      <c r="AC78" s="316" t="s">
        <v>455</v>
      </c>
      <c r="AD78" s="316" t="s">
        <v>455</v>
      </c>
      <c r="BG78" s="353"/>
    </row>
    <row r="79" spans="2:59" ht="14">
      <c r="B79" s="315" t="s">
        <v>410</v>
      </c>
      <c r="C79" s="327" t="s">
        <v>437</v>
      </c>
      <c r="D79" s="327" t="s">
        <v>453</v>
      </c>
      <c r="E79" s="337" t="s">
        <v>631</v>
      </c>
      <c r="F79" s="327" t="s">
        <v>454</v>
      </c>
      <c r="G79" s="327" t="s">
        <v>439</v>
      </c>
      <c r="H79" s="327" t="s">
        <v>183</v>
      </c>
      <c r="I79" s="327" t="s">
        <v>439</v>
      </c>
      <c r="J79" s="327" t="s">
        <v>665</v>
      </c>
      <c r="K79" s="327" t="s">
        <v>666</v>
      </c>
      <c r="L79" s="327" t="s">
        <v>156</v>
      </c>
      <c r="M79" s="327" t="s">
        <v>441</v>
      </c>
      <c r="N79" s="327" t="s">
        <v>156</v>
      </c>
      <c r="O79" s="327" t="s">
        <v>183</v>
      </c>
      <c r="P79" s="327" t="s">
        <v>156</v>
      </c>
      <c r="Q79" s="327" t="s">
        <v>442</v>
      </c>
      <c r="R79" s="327" t="s">
        <v>443</v>
      </c>
      <c r="S79" s="327" t="s">
        <v>156</v>
      </c>
      <c r="T79" s="327" t="s">
        <v>156</v>
      </c>
      <c r="U79" s="327" t="s">
        <v>156</v>
      </c>
      <c r="V79" s="327" t="s">
        <v>156</v>
      </c>
      <c r="W79" s="327" t="s">
        <v>156</v>
      </c>
      <c r="X79" s="327" t="s">
        <v>411</v>
      </c>
      <c r="Y79" s="327" t="s">
        <v>444</v>
      </c>
      <c r="Z79" s="327" t="s">
        <v>445</v>
      </c>
      <c r="AA79" s="327" t="s">
        <v>445</v>
      </c>
      <c r="AB79" s="327" t="s">
        <v>446</v>
      </c>
      <c r="AC79" s="327" t="s">
        <v>455</v>
      </c>
      <c r="AD79" s="327" t="s">
        <v>455</v>
      </c>
      <c r="BG79" s="353"/>
    </row>
    <row r="80" spans="2:59" ht="14">
      <c r="B80" s="315" t="s">
        <v>410</v>
      </c>
      <c r="C80" s="327" t="s">
        <v>437</v>
      </c>
      <c r="D80" s="327" t="s">
        <v>453</v>
      </c>
      <c r="E80" s="337" t="s">
        <v>672</v>
      </c>
      <c r="F80" s="327" t="s">
        <v>454</v>
      </c>
      <c r="G80" s="327" t="s">
        <v>614</v>
      </c>
      <c r="H80" s="327" t="s">
        <v>184</v>
      </c>
      <c r="I80" s="327"/>
      <c r="J80" s="327" t="s">
        <v>665</v>
      </c>
      <c r="K80" s="327" t="s">
        <v>666</v>
      </c>
      <c r="L80" s="327" t="s">
        <v>156</v>
      </c>
      <c r="M80" s="327" t="s">
        <v>441</v>
      </c>
      <c r="N80" s="327" t="s">
        <v>156</v>
      </c>
      <c r="O80" s="327" t="s">
        <v>183</v>
      </c>
      <c r="P80" s="327" t="s">
        <v>156</v>
      </c>
      <c r="Q80" s="327" t="s">
        <v>442</v>
      </c>
      <c r="R80" s="327" t="s">
        <v>443</v>
      </c>
      <c r="S80" s="327" t="s">
        <v>156</v>
      </c>
      <c r="T80" s="327" t="s">
        <v>156</v>
      </c>
      <c r="U80" s="327" t="s">
        <v>156</v>
      </c>
      <c r="V80" s="327" t="s">
        <v>156</v>
      </c>
      <c r="W80" s="327" t="s">
        <v>156</v>
      </c>
      <c r="X80" s="327" t="s">
        <v>411</v>
      </c>
      <c r="Y80" s="327" t="s">
        <v>444</v>
      </c>
      <c r="Z80" s="327" t="s">
        <v>445</v>
      </c>
      <c r="AA80" s="327" t="s">
        <v>445</v>
      </c>
      <c r="AB80" s="327" t="s">
        <v>446</v>
      </c>
      <c r="AC80" s="327" t="s">
        <v>455</v>
      </c>
      <c r="AD80" s="327" t="s">
        <v>455</v>
      </c>
      <c r="BG80" s="353"/>
    </row>
    <row r="81" spans="2:59">
      <c r="B81" s="358"/>
      <c r="BG81" s="353"/>
    </row>
    <row r="82" spans="2:59" ht="15">
      <c r="B82" s="358"/>
      <c r="C82" s="449" t="s">
        <v>489</v>
      </c>
      <c r="D82" s="450"/>
      <c r="E82" s="450"/>
      <c r="F82" s="450"/>
      <c r="G82" s="450"/>
      <c r="H82" s="450"/>
      <c r="I82" s="450"/>
      <c r="J82" s="450"/>
      <c r="K82" s="450"/>
      <c r="L82" s="450"/>
      <c r="M82" s="450"/>
      <c r="N82" s="450"/>
      <c r="O82" s="450"/>
      <c r="P82" s="450"/>
      <c r="Q82" s="450"/>
      <c r="R82" s="450"/>
      <c r="S82" s="450"/>
      <c r="T82" s="450"/>
      <c r="U82" s="92"/>
      <c r="V82" s="92"/>
      <c r="W82" s="92"/>
      <c r="X82" s="92"/>
      <c r="Y82" s="92"/>
      <c r="Z82" s="92"/>
      <c r="AA82" s="93"/>
      <c r="AB82" s="93"/>
      <c r="AC82" s="93"/>
      <c r="AD82" s="93"/>
      <c r="AE82" s="93"/>
      <c r="AF82" s="93"/>
      <c r="AG82" s="93"/>
      <c r="AH82" s="93"/>
      <c r="AI82" s="93"/>
      <c r="AJ82" s="93"/>
      <c r="AK82" s="93"/>
      <c r="AL82" s="93"/>
      <c r="AM82" s="93"/>
      <c r="AN82" s="93"/>
      <c r="AO82" s="93"/>
      <c r="AP82" s="94"/>
      <c r="AQ82" s="94"/>
      <c r="AR82" s="94"/>
      <c r="AS82" s="94"/>
      <c r="AT82" s="94"/>
      <c r="AU82" s="94"/>
      <c r="AV82" s="94"/>
      <c r="AW82" s="94"/>
      <c r="AX82" s="94"/>
      <c r="AY82" s="94"/>
      <c r="AZ82" s="94"/>
      <c r="BA82" s="94"/>
      <c r="BB82" s="94"/>
      <c r="BC82" s="94"/>
      <c r="BD82" s="94"/>
      <c r="BE82" s="94"/>
      <c r="BF82" s="94"/>
      <c r="BG82" s="353"/>
    </row>
    <row r="83" spans="2:59" ht="15">
      <c r="B83" s="358"/>
      <c r="C83" s="322"/>
      <c r="D83" s="322"/>
      <c r="E83" s="322"/>
      <c r="F83" s="319" t="s">
        <v>169</v>
      </c>
      <c r="G83" s="319" t="s">
        <v>169</v>
      </c>
      <c r="H83" s="324" t="s">
        <v>169</v>
      </c>
      <c r="I83" s="319" t="s">
        <v>169</v>
      </c>
      <c r="J83" s="319" t="s">
        <v>169</v>
      </c>
      <c r="K83" s="324"/>
      <c r="L83" s="324"/>
      <c r="M83" s="324"/>
      <c r="N83" s="324"/>
      <c r="O83" s="324"/>
      <c r="P83" s="324"/>
      <c r="Q83" s="324"/>
      <c r="R83" s="324"/>
      <c r="S83" s="324"/>
      <c r="T83" s="324"/>
      <c r="U83" s="324"/>
      <c r="V83" s="324"/>
      <c r="W83" s="324"/>
      <c r="X83" s="324"/>
      <c r="Y83" s="324"/>
      <c r="Z83" s="324"/>
      <c r="AA83" s="325"/>
      <c r="AB83" s="325"/>
      <c r="AC83" s="325"/>
      <c r="AD83" s="325"/>
      <c r="AE83" s="325"/>
      <c r="AF83" s="325"/>
      <c r="AG83" s="325"/>
      <c r="AH83" s="325"/>
      <c r="AI83" s="325"/>
      <c r="AJ83" s="325"/>
      <c r="AK83" s="325"/>
      <c r="AL83" s="325"/>
      <c r="AM83" s="325"/>
      <c r="AN83" s="325"/>
      <c r="AO83" s="325"/>
      <c r="AP83" s="325"/>
      <c r="AQ83" s="325"/>
      <c r="AR83" s="325"/>
      <c r="AS83" s="325"/>
      <c r="AT83" s="325"/>
      <c r="AU83" s="325"/>
      <c r="AV83" s="325"/>
      <c r="AW83" s="325"/>
      <c r="AX83" s="325"/>
      <c r="AY83" s="325"/>
      <c r="AZ83" s="325"/>
      <c r="BA83" s="325"/>
      <c r="BB83" s="325"/>
      <c r="BC83" s="325"/>
      <c r="BD83" s="325"/>
      <c r="BE83" s="325"/>
      <c r="BF83" s="325"/>
      <c r="BG83" s="353"/>
    </row>
    <row r="84" spans="2:59" ht="25">
      <c r="B84" s="358"/>
      <c r="C84" s="312" t="s">
        <v>533</v>
      </c>
      <c r="D84" s="312" t="s">
        <v>588</v>
      </c>
      <c r="E84" s="312" t="s">
        <v>589</v>
      </c>
      <c r="F84" s="314" t="s">
        <v>96</v>
      </c>
      <c r="G84" s="314" t="s">
        <v>99</v>
      </c>
      <c r="H84" s="314" t="s">
        <v>130</v>
      </c>
      <c r="I84" s="314" t="s">
        <v>559</v>
      </c>
      <c r="J84" s="314" t="s">
        <v>127</v>
      </c>
      <c r="K84" s="314" t="s">
        <v>67</v>
      </c>
      <c r="L84" s="314" t="s">
        <v>456</v>
      </c>
      <c r="M84" s="314" t="s">
        <v>534</v>
      </c>
      <c r="N84" s="314" t="s">
        <v>535</v>
      </c>
      <c r="O84" s="314" t="s">
        <v>536</v>
      </c>
      <c r="P84" s="314" t="s">
        <v>537</v>
      </c>
      <c r="Q84" s="314" t="s">
        <v>538</v>
      </c>
      <c r="R84" s="314" t="s">
        <v>539</v>
      </c>
      <c r="S84" s="314" t="s">
        <v>540</v>
      </c>
      <c r="T84" s="314" t="s">
        <v>541</v>
      </c>
      <c r="U84" s="314" t="s">
        <v>542</v>
      </c>
      <c r="V84" s="314" t="s">
        <v>543</v>
      </c>
      <c r="W84" s="314" t="s">
        <v>544</v>
      </c>
      <c r="X84" s="314" t="s">
        <v>545</v>
      </c>
      <c r="Y84" s="314" t="s">
        <v>546</v>
      </c>
      <c r="Z84" s="314" t="s">
        <v>547</v>
      </c>
      <c r="AA84" s="314" t="s">
        <v>548</v>
      </c>
      <c r="AB84" s="314" t="s">
        <v>549</v>
      </c>
      <c r="AC84" s="314" t="s">
        <v>550</v>
      </c>
      <c r="AD84" s="314" t="s">
        <v>551</v>
      </c>
      <c r="AE84" s="314" t="s">
        <v>552</v>
      </c>
      <c r="AF84" s="314" t="s">
        <v>553</v>
      </c>
      <c r="AG84" s="314" t="s">
        <v>554</v>
      </c>
      <c r="AH84" s="314" t="s">
        <v>555</v>
      </c>
      <c r="AI84" s="314" t="s">
        <v>556</v>
      </c>
      <c r="AJ84" s="314" t="s">
        <v>558</v>
      </c>
      <c r="AK84" s="314" t="s">
        <v>557</v>
      </c>
      <c r="AL84" s="314" t="s">
        <v>566</v>
      </c>
      <c r="AM84" s="314" t="s">
        <v>560</v>
      </c>
      <c r="AN84" s="314" t="s">
        <v>561</v>
      </c>
      <c r="AO84" s="314" t="s">
        <v>562</v>
      </c>
      <c r="AP84" s="314" t="s">
        <v>563</v>
      </c>
      <c r="AQ84" s="314" t="s">
        <v>567</v>
      </c>
      <c r="AR84" s="314" t="s">
        <v>564</v>
      </c>
      <c r="AS84" s="314" t="s">
        <v>565</v>
      </c>
      <c r="AT84" s="314" t="s">
        <v>568</v>
      </c>
      <c r="AU84" s="314" t="s">
        <v>569</v>
      </c>
      <c r="AV84" s="314" t="s">
        <v>570</v>
      </c>
      <c r="AW84" s="314" t="s">
        <v>571</v>
      </c>
      <c r="AX84" s="314" t="s">
        <v>572</v>
      </c>
      <c r="AY84" s="314" t="s">
        <v>573</v>
      </c>
      <c r="AZ84" s="314" t="s">
        <v>397</v>
      </c>
      <c r="BA84" s="314" t="s">
        <v>398</v>
      </c>
      <c r="BB84" s="314" t="s">
        <v>399</v>
      </c>
      <c r="BC84" s="314" t="s">
        <v>400</v>
      </c>
      <c r="BD84" s="314" t="s">
        <v>151</v>
      </c>
      <c r="BE84" s="314" t="s">
        <v>152</v>
      </c>
      <c r="BF84" s="314" t="s">
        <v>401</v>
      </c>
      <c r="BG84" s="353"/>
    </row>
    <row r="85" spans="2:59">
      <c r="B85" s="358"/>
      <c r="C85" s="312" t="s">
        <v>371</v>
      </c>
      <c r="D85" s="312" t="s">
        <v>381</v>
      </c>
      <c r="E85" s="312" t="s">
        <v>390</v>
      </c>
      <c r="F85" s="313" t="s">
        <v>490</v>
      </c>
      <c r="G85" s="313" t="s">
        <v>491</v>
      </c>
      <c r="H85" s="313" t="s">
        <v>492</v>
      </c>
      <c r="I85" s="313" t="s">
        <v>519</v>
      </c>
      <c r="J85" s="313" t="s">
        <v>525</v>
      </c>
      <c r="K85" s="313" t="s">
        <v>419</v>
      </c>
      <c r="L85" s="313" t="s">
        <v>420</v>
      </c>
      <c r="M85" s="313" t="s">
        <v>493</v>
      </c>
      <c r="N85" s="313" t="s">
        <v>494</v>
      </c>
      <c r="O85" s="313" t="s">
        <v>495</v>
      </c>
      <c r="P85" s="313" t="s">
        <v>496</v>
      </c>
      <c r="Q85" s="313" t="s">
        <v>497</v>
      </c>
      <c r="R85" s="313" t="s">
        <v>498</v>
      </c>
      <c r="S85" s="313" t="s">
        <v>499</v>
      </c>
      <c r="T85" s="313" t="s">
        <v>500</v>
      </c>
      <c r="U85" s="313" t="s">
        <v>501</v>
      </c>
      <c r="V85" s="313" t="s">
        <v>502</v>
      </c>
      <c r="W85" s="313" t="s">
        <v>503</v>
      </c>
      <c r="X85" s="313" t="s">
        <v>504</v>
      </c>
      <c r="Y85" s="313" t="s">
        <v>505</v>
      </c>
      <c r="Z85" s="313" t="s">
        <v>506</v>
      </c>
      <c r="AA85" s="313" t="s">
        <v>507</v>
      </c>
      <c r="AB85" s="313" t="s">
        <v>508</v>
      </c>
      <c r="AC85" s="313" t="s">
        <v>509</v>
      </c>
      <c r="AD85" s="313" t="s">
        <v>510</v>
      </c>
      <c r="AE85" s="313" t="s">
        <v>511</v>
      </c>
      <c r="AF85" s="313" t="s">
        <v>512</v>
      </c>
      <c r="AG85" s="313" t="s">
        <v>513</v>
      </c>
      <c r="AH85" s="313" t="s">
        <v>514</v>
      </c>
      <c r="AI85" s="313" t="s">
        <v>515</v>
      </c>
      <c r="AJ85" s="313" t="s">
        <v>516</v>
      </c>
      <c r="AK85" s="313" t="s">
        <v>517</v>
      </c>
      <c r="AL85" s="313" t="s">
        <v>518</v>
      </c>
      <c r="AM85" s="313" t="s">
        <v>520</v>
      </c>
      <c r="AN85" s="313" t="s">
        <v>521</v>
      </c>
      <c r="AO85" s="313" t="s">
        <v>522</v>
      </c>
      <c r="AP85" s="313" t="s">
        <v>402</v>
      </c>
      <c r="AQ85" s="313" t="s">
        <v>523</v>
      </c>
      <c r="AR85" s="313" t="s">
        <v>524</v>
      </c>
      <c r="AS85" s="313" t="s">
        <v>526</v>
      </c>
      <c r="AT85" s="313" t="s">
        <v>527</v>
      </c>
      <c r="AU85" s="313" t="s">
        <v>528</v>
      </c>
      <c r="AV85" s="313" t="s">
        <v>529</v>
      </c>
      <c r="AW85" s="313" t="s">
        <v>530</v>
      </c>
      <c r="AX85" s="313" t="s">
        <v>531</v>
      </c>
      <c r="AY85" s="313" t="s">
        <v>532</v>
      </c>
      <c r="AZ85" s="313" t="s">
        <v>403</v>
      </c>
      <c r="BA85" s="313" t="s">
        <v>404</v>
      </c>
      <c r="BB85" s="313" t="s">
        <v>405</v>
      </c>
      <c r="BC85" s="313" t="s">
        <v>406</v>
      </c>
      <c r="BD85" s="313" t="s">
        <v>407</v>
      </c>
      <c r="BE85" s="313" t="s">
        <v>408</v>
      </c>
      <c r="BF85" s="313" t="s">
        <v>409</v>
      </c>
      <c r="BG85" s="353"/>
    </row>
    <row r="86" spans="2:59">
      <c r="B86" s="358"/>
      <c r="C86" s="312" t="s">
        <v>472</v>
      </c>
      <c r="D86" s="312" t="s">
        <v>574</v>
      </c>
      <c r="E86" s="312" t="s">
        <v>473</v>
      </c>
      <c r="F86" s="326" t="s">
        <v>474</v>
      </c>
      <c r="G86" s="326" t="s">
        <v>474</v>
      </c>
      <c r="H86" s="326" t="s">
        <v>474</v>
      </c>
      <c r="I86" s="326" t="s">
        <v>474</v>
      </c>
      <c r="J86" s="326" t="s">
        <v>476</v>
      </c>
      <c r="K86" s="326" t="s">
        <v>474</v>
      </c>
      <c r="L86" s="326" t="s">
        <v>474</v>
      </c>
      <c r="M86" s="326" t="s">
        <v>575</v>
      </c>
      <c r="N86" s="326" t="s">
        <v>575</v>
      </c>
      <c r="O86" s="326" t="s">
        <v>473</v>
      </c>
      <c r="P86" s="326" t="s">
        <v>576</v>
      </c>
      <c r="Q86" s="326" t="s">
        <v>474</v>
      </c>
      <c r="R86" s="326" t="s">
        <v>481</v>
      </c>
      <c r="S86" s="326" t="s">
        <v>476</v>
      </c>
      <c r="T86" s="326" t="s">
        <v>481</v>
      </c>
      <c r="U86" s="326" t="s">
        <v>476</v>
      </c>
      <c r="V86" s="326" t="s">
        <v>476</v>
      </c>
      <c r="W86" s="326" t="s">
        <v>474</v>
      </c>
      <c r="X86" s="326" t="s">
        <v>577</v>
      </c>
      <c r="Y86" s="326" t="s">
        <v>577</v>
      </c>
      <c r="Z86" s="326" t="s">
        <v>478</v>
      </c>
      <c r="AA86" s="326" t="s">
        <v>576</v>
      </c>
      <c r="AB86" s="326" t="s">
        <v>576</v>
      </c>
      <c r="AC86" s="326" t="s">
        <v>476</v>
      </c>
      <c r="AD86" s="326" t="s">
        <v>480</v>
      </c>
      <c r="AE86" s="326" t="s">
        <v>481</v>
      </c>
      <c r="AF86" s="326" t="s">
        <v>481</v>
      </c>
      <c r="AG86" s="326" t="s">
        <v>578</v>
      </c>
      <c r="AH86" s="326" t="s">
        <v>578</v>
      </c>
      <c r="AI86" s="326" t="s">
        <v>481</v>
      </c>
      <c r="AJ86" s="326" t="s">
        <v>481</v>
      </c>
      <c r="AK86" s="326" t="s">
        <v>578</v>
      </c>
      <c r="AL86" s="326" t="s">
        <v>578</v>
      </c>
      <c r="AM86" s="326" t="s">
        <v>474</v>
      </c>
      <c r="AN86" s="326" t="s">
        <v>474</v>
      </c>
      <c r="AO86" s="326" t="s">
        <v>474</v>
      </c>
      <c r="AP86" s="326" t="s">
        <v>478</v>
      </c>
      <c r="AQ86" s="326" t="s">
        <v>473</v>
      </c>
      <c r="AR86" s="326" t="s">
        <v>474</v>
      </c>
      <c r="AS86" s="326" t="s">
        <v>476</v>
      </c>
      <c r="AT86" s="326" t="s">
        <v>474</v>
      </c>
      <c r="AU86" s="326" t="s">
        <v>579</v>
      </c>
      <c r="AV86" s="326" t="s">
        <v>481</v>
      </c>
      <c r="AW86" s="326" t="s">
        <v>478</v>
      </c>
      <c r="AX86" s="326" t="s">
        <v>474</v>
      </c>
      <c r="AY86" s="326" t="s">
        <v>474</v>
      </c>
      <c r="AZ86" s="326" t="s">
        <v>485</v>
      </c>
      <c r="BA86" s="326" t="s">
        <v>486</v>
      </c>
      <c r="BB86" s="326" t="s">
        <v>488</v>
      </c>
      <c r="BC86" s="326" t="s">
        <v>488</v>
      </c>
      <c r="BD86" s="326" t="s">
        <v>486</v>
      </c>
      <c r="BE86" s="326" t="s">
        <v>488</v>
      </c>
      <c r="BF86" s="326" t="s">
        <v>488</v>
      </c>
      <c r="BG86" s="353"/>
    </row>
    <row r="87" spans="2:59" ht="15">
      <c r="B87" s="315" t="s">
        <v>410</v>
      </c>
      <c r="C87" s="327" t="s">
        <v>437</v>
      </c>
      <c r="D87" s="337" t="s">
        <v>629</v>
      </c>
      <c r="E87" s="327" t="s">
        <v>453</v>
      </c>
      <c r="F87" s="334" t="s">
        <v>454</v>
      </c>
      <c r="G87" s="327" t="s">
        <v>411</v>
      </c>
      <c r="H87" s="327" t="s">
        <v>411</v>
      </c>
      <c r="I87" s="330">
        <v>1</v>
      </c>
      <c r="J87" s="331">
        <v>0</v>
      </c>
      <c r="K87" s="327" t="s">
        <v>183</v>
      </c>
      <c r="L87" s="311"/>
      <c r="M87" s="327" t="s">
        <v>156</v>
      </c>
      <c r="N87" s="327" t="s">
        <v>156</v>
      </c>
      <c r="O87" s="327" t="s">
        <v>156</v>
      </c>
      <c r="P87" s="327" t="s">
        <v>156</v>
      </c>
      <c r="Q87" s="329" t="s">
        <v>580</v>
      </c>
      <c r="R87" s="327" t="s">
        <v>411</v>
      </c>
      <c r="S87" s="327" t="s">
        <v>411</v>
      </c>
      <c r="T87" s="327" t="s">
        <v>581</v>
      </c>
      <c r="U87" s="327" t="s">
        <v>582</v>
      </c>
      <c r="V87" s="327" t="s">
        <v>183</v>
      </c>
      <c r="W87" s="327" t="s">
        <v>183</v>
      </c>
      <c r="X87" s="327" t="s">
        <v>411</v>
      </c>
      <c r="Y87" s="327" t="s">
        <v>411</v>
      </c>
      <c r="Z87" s="327" t="s">
        <v>156</v>
      </c>
      <c r="AA87" s="330" t="s">
        <v>156</v>
      </c>
      <c r="AB87" s="330" t="s">
        <v>156</v>
      </c>
      <c r="AC87" s="330">
        <v>1</v>
      </c>
      <c r="AD87" s="330">
        <v>99999999</v>
      </c>
      <c r="AE87" s="327" t="s">
        <v>411</v>
      </c>
      <c r="AF87" s="327" t="s">
        <v>411</v>
      </c>
      <c r="AG87" s="327" t="s">
        <v>411</v>
      </c>
      <c r="AH87" s="327" t="s">
        <v>411</v>
      </c>
      <c r="AI87" s="330">
        <v>0</v>
      </c>
      <c r="AJ87" s="330">
        <v>0</v>
      </c>
      <c r="AK87" s="330">
        <v>0</v>
      </c>
      <c r="AL87" s="330">
        <v>0</v>
      </c>
      <c r="AM87" s="327" t="s">
        <v>183</v>
      </c>
      <c r="AN87" s="330">
        <v>0</v>
      </c>
      <c r="AO87" s="327" t="s">
        <v>411</v>
      </c>
      <c r="AP87" s="330">
        <v>1</v>
      </c>
      <c r="AQ87" s="331" t="s">
        <v>156</v>
      </c>
      <c r="AR87" s="331" t="s">
        <v>583</v>
      </c>
      <c r="AS87" s="331">
        <v>0</v>
      </c>
      <c r="AT87" s="331">
        <v>1</v>
      </c>
      <c r="AU87" s="331">
        <v>0</v>
      </c>
      <c r="AV87" s="331">
        <v>0</v>
      </c>
      <c r="AW87" s="331">
        <v>0</v>
      </c>
      <c r="AX87" s="331">
        <v>0</v>
      </c>
      <c r="AY87" s="331">
        <v>1</v>
      </c>
      <c r="AZ87" s="331">
        <v>0</v>
      </c>
      <c r="BA87" s="332">
        <v>29705</v>
      </c>
      <c r="BB87" s="331" t="s">
        <v>445</v>
      </c>
      <c r="BC87" s="331" t="s">
        <v>445</v>
      </c>
      <c r="BD87" s="332">
        <v>36413</v>
      </c>
      <c r="BE87" s="331" t="s">
        <v>445</v>
      </c>
      <c r="BF87" s="331" t="s">
        <v>445</v>
      </c>
      <c r="BG87" s="353"/>
    </row>
    <row r="88" spans="2:59" ht="14">
      <c r="B88" s="317" t="s">
        <v>412</v>
      </c>
      <c r="C88" s="327" t="s">
        <v>437</v>
      </c>
      <c r="D88" s="327" t="s">
        <v>453</v>
      </c>
      <c r="E88" s="327" t="s">
        <v>453</v>
      </c>
      <c r="F88" s="327" t="s">
        <v>185</v>
      </c>
      <c r="G88" s="327" t="s">
        <v>411</v>
      </c>
      <c r="H88" s="327" t="s">
        <v>411</v>
      </c>
      <c r="I88" s="327">
        <v>0</v>
      </c>
      <c r="J88" s="327">
        <v>30</v>
      </c>
      <c r="K88" s="327" t="s">
        <v>611</v>
      </c>
      <c r="L88" s="311"/>
      <c r="M88" s="327" t="s">
        <v>156</v>
      </c>
      <c r="N88" s="327" t="s">
        <v>156</v>
      </c>
      <c r="O88" s="327" t="s">
        <v>584</v>
      </c>
      <c r="P88" s="327" t="s">
        <v>156</v>
      </c>
      <c r="Q88" s="327" t="s">
        <v>585</v>
      </c>
      <c r="R88" s="327" t="s">
        <v>183</v>
      </c>
      <c r="S88" s="327" t="s">
        <v>411</v>
      </c>
      <c r="T88" s="327" t="s">
        <v>581</v>
      </c>
      <c r="U88" s="327" t="s">
        <v>582</v>
      </c>
      <c r="V88" s="327" t="s">
        <v>586</v>
      </c>
      <c r="W88" s="327" t="s">
        <v>183</v>
      </c>
      <c r="X88" s="327" t="s">
        <v>411</v>
      </c>
      <c r="Y88" s="327" t="s">
        <v>411</v>
      </c>
      <c r="Z88" s="327"/>
      <c r="AA88" s="327"/>
      <c r="AB88" s="327" t="s">
        <v>587</v>
      </c>
      <c r="AC88" s="327">
        <v>5000</v>
      </c>
      <c r="AD88" s="327">
        <v>99999999</v>
      </c>
      <c r="AE88" s="327" t="s">
        <v>411</v>
      </c>
      <c r="AF88" s="327" t="s">
        <v>439</v>
      </c>
      <c r="AG88" s="327" t="s">
        <v>411</v>
      </c>
      <c r="AH88" s="327" t="s">
        <v>411</v>
      </c>
      <c r="AI88" s="327">
        <v>0</v>
      </c>
      <c r="AJ88" s="327">
        <v>0</v>
      </c>
      <c r="AK88" s="327">
        <v>0</v>
      </c>
      <c r="AL88" s="327">
        <v>0</v>
      </c>
      <c r="AM88" s="327" t="s">
        <v>183</v>
      </c>
      <c r="AN88" s="327">
        <v>0</v>
      </c>
      <c r="AO88" s="327" t="s">
        <v>411</v>
      </c>
      <c r="AP88" s="327">
        <v>1</v>
      </c>
      <c r="AQ88" s="327">
        <v>1111</v>
      </c>
      <c r="AR88" s="327" t="s">
        <v>583</v>
      </c>
      <c r="AS88" s="327">
        <v>10</v>
      </c>
      <c r="AT88" s="327">
        <v>1</v>
      </c>
      <c r="AU88" s="327">
        <v>0</v>
      </c>
      <c r="AV88" s="327">
        <v>0</v>
      </c>
      <c r="AW88" s="327">
        <v>0</v>
      </c>
      <c r="AX88" s="327">
        <v>0</v>
      </c>
      <c r="AY88" s="327">
        <v>1</v>
      </c>
      <c r="AZ88" s="327">
        <v>0</v>
      </c>
      <c r="BA88" s="327">
        <v>40640.750486111108</v>
      </c>
      <c r="BB88" s="327">
        <v>470195</v>
      </c>
      <c r="BC88" s="327">
        <v>470195</v>
      </c>
      <c r="BD88" s="327">
        <v>45392.67769675926</v>
      </c>
      <c r="BE88" s="327">
        <v>363363</v>
      </c>
      <c r="BF88" s="327">
        <v>363363</v>
      </c>
      <c r="BG88" s="353"/>
    </row>
    <row r="89" spans="2:59" ht="14">
      <c r="B89" s="315" t="s">
        <v>410</v>
      </c>
      <c r="C89" s="327" t="s">
        <v>437</v>
      </c>
      <c r="D89" s="327" t="s">
        <v>453</v>
      </c>
      <c r="E89" s="337" t="s">
        <v>672</v>
      </c>
      <c r="F89" s="327" t="s">
        <v>185</v>
      </c>
      <c r="G89" s="327" t="s">
        <v>411</v>
      </c>
      <c r="H89" s="327" t="s">
        <v>411</v>
      </c>
      <c r="I89" s="327">
        <v>0</v>
      </c>
      <c r="J89" s="327">
        <v>30</v>
      </c>
      <c r="K89" s="327" t="s">
        <v>614</v>
      </c>
      <c r="L89" s="311"/>
      <c r="M89" s="327" t="s">
        <v>156</v>
      </c>
      <c r="N89" s="327" t="s">
        <v>156</v>
      </c>
      <c r="O89" s="327" t="s">
        <v>584</v>
      </c>
      <c r="P89" s="327" t="s">
        <v>156</v>
      </c>
      <c r="Q89" s="327" t="s">
        <v>585</v>
      </c>
      <c r="R89" s="327" t="s">
        <v>183</v>
      </c>
      <c r="S89" s="327" t="s">
        <v>666</v>
      </c>
      <c r="T89" s="327" t="s">
        <v>581</v>
      </c>
      <c r="U89" s="327" t="s">
        <v>667</v>
      </c>
      <c r="V89" s="327" t="s">
        <v>668</v>
      </c>
      <c r="W89" s="327" t="s">
        <v>183</v>
      </c>
      <c r="X89" s="327" t="s">
        <v>669</v>
      </c>
      <c r="Y89" s="327" t="s">
        <v>669</v>
      </c>
      <c r="Z89" s="327"/>
      <c r="AA89" s="327"/>
      <c r="AB89" s="327" t="s">
        <v>587</v>
      </c>
      <c r="AC89" s="327">
        <v>5000</v>
      </c>
      <c r="AD89" s="327">
        <v>99999999</v>
      </c>
      <c r="AE89" s="327">
        <v>0</v>
      </c>
      <c r="AF89" s="327">
        <v>2</v>
      </c>
      <c r="AG89" s="327">
        <v>0</v>
      </c>
      <c r="AH89" s="327">
        <v>0</v>
      </c>
      <c r="AI89" s="327">
        <v>0</v>
      </c>
      <c r="AJ89" s="327">
        <v>0</v>
      </c>
      <c r="AK89" s="327">
        <v>0</v>
      </c>
      <c r="AL89" s="327">
        <v>0</v>
      </c>
      <c r="AM89" s="327">
        <v>1</v>
      </c>
      <c r="AN89" s="327">
        <v>0</v>
      </c>
      <c r="AO89" s="327">
        <v>0</v>
      </c>
      <c r="AP89" s="327">
        <v>1</v>
      </c>
      <c r="AQ89" s="327">
        <v>1111</v>
      </c>
      <c r="AR89" s="327" t="s">
        <v>583</v>
      </c>
      <c r="AS89" s="327">
        <v>10</v>
      </c>
      <c r="AT89" s="327">
        <v>1</v>
      </c>
      <c r="AU89" s="327">
        <v>0</v>
      </c>
      <c r="AV89" s="327">
        <v>0</v>
      </c>
      <c r="AW89" s="327">
        <v>0</v>
      </c>
      <c r="AX89" s="327">
        <v>0</v>
      </c>
      <c r="AY89" s="327">
        <v>1</v>
      </c>
      <c r="AZ89" s="327">
        <v>0</v>
      </c>
      <c r="BA89" s="327">
        <v>40640.750486111108</v>
      </c>
      <c r="BB89" s="327">
        <v>470195</v>
      </c>
      <c r="BC89" s="327">
        <v>470195</v>
      </c>
      <c r="BD89" s="327">
        <v>45392.67769675926</v>
      </c>
      <c r="BE89" s="327">
        <v>363363</v>
      </c>
      <c r="BF89" s="327">
        <v>363363</v>
      </c>
      <c r="BG89" s="353"/>
    </row>
    <row r="90" spans="2:59" ht="14">
      <c r="B90" s="315" t="s">
        <v>410</v>
      </c>
      <c r="C90" s="327" t="s">
        <v>437</v>
      </c>
      <c r="D90" s="327" t="s">
        <v>453</v>
      </c>
      <c r="E90" s="337" t="s">
        <v>631</v>
      </c>
      <c r="F90" s="327" t="s">
        <v>185</v>
      </c>
      <c r="G90" s="327" t="s">
        <v>411</v>
      </c>
      <c r="H90" s="327" t="s">
        <v>411</v>
      </c>
      <c r="I90" s="327">
        <v>0</v>
      </c>
      <c r="J90" s="327">
        <v>30</v>
      </c>
      <c r="K90" s="327" t="s">
        <v>439</v>
      </c>
      <c r="L90" s="327" t="s">
        <v>439</v>
      </c>
      <c r="M90" s="327" t="s">
        <v>156</v>
      </c>
      <c r="N90" s="327" t="s">
        <v>156</v>
      </c>
      <c r="O90" s="327" t="s">
        <v>584</v>
      </c>
      <c r="P90" s="327" t="s">
        <v>156</v>
      </c>
      <c r="Q90" s="327" t="s">
        <v>585</v>
      </c>
      <c r="R90" s="327" t="s">
        <v>183</v>
      </c>
      <c r="S90" s="327" t="s">
        <v>666</v>
      </c>
      <c r="T90" s="327" t="s">
        <v>581</v>
      </c>
      <c r="U90" s="327" t="s">
        <v>667</v>
      </c>
      <c r="V90" s="327" t="s">
        <v>668</v>
      </c>
      <c r="W90" s="327" t="s">
        <v>183</v>
      </c>
      <c r="X90" s="327" t="s">
        <v>669</v>
      </c>
      <c r="Y90" s="327" t="s">
        <v>669</v>
      </c>
      <c r="Z90" s="327"/>
      <c r="AA90" s="327"/>
      <c r="AB90" s="327" t="s">
        <v>587</v>
      </c>
      <c r="AC90" s="327">
        <v>5000</v>
      </c>
      <c r="AD90" s="327">
        <v>99999999</v>
      </c>
      <c r="AE90" s="327">
        <v>0</v>
      </c>
      <c r="AF90" s="327">
        <v>2</v>
      </c>
      <c r="AG90" s="327">
        <v>0</v>
      </c>
      <c r="AH90" s="327">
        <v>0</v>
      </c>
      <c r="AI90" s="327">
        <v>0</v>
      </c>
      <c r="AJ90" s="327">
        <v>0</v>
      </c>
      <c r="AK90" s="327">
        <v>0</v>
      </c>
      <c r="AL90" s="327">
        <v>0</v>
      </c>
      <c r="AM90" s="327">
        <v>1</v>
      </c>
      <c r="AN90" s="327">
        <v>0</v>
      </c>
      <c r="AO90" s="327">
        <v>0</v>
      </c>
      <c r="AP90" s="327">
        <v>1</v>
      </c>
      <c r="AQ90" s="327">
        <v>1111</v>
      </c>
      <c r="AR90" s="327" t="s">
        <v>583</v>
      </c>
      <c r="AS90" s="327">
        <v>10</v>
      </c>
      <c r="AT90" s="327">
        <v>1</v>
      </c>
      <c r="AU90" s="327">
        <v>0</v>
      </c>
      <c r="AV90" s="327">
        <v>0</v>
      </c>
      <c r="AW90" s="327">
        <v>0</v>
      </c>
      <c r="AX90" s="327">
        <v>0</v>
      </c>
      <c r="AY90" s="327">
        <v>1</v>
      </c>
      <c r="AZ90" s="327">
        <v>0</v>
      </c>
      <c r="BA90" s="327">
        <v>40640.750486111108</v>
      </c>
      <c r="BB90" s="327">
        <v>470195</v>
      </c>
      <c r="BC90" s="327">
        <v>470195</v>
      </c>
      <c r="BD90" s="327">
        <v>45392.67769675926</v>
      </c>
      <c r="BE90" s="327">
        <v>363363</v>
      </c>
      <c r="BF90" s="327">
        <v>363363</v>
      </c>
      <c r="BG90" s="353"/>
    </row>
    <row r="91" spans="2:59">
      <c r="B91" s="358"/>
      <c r="BG91" s="353"/>
    </row>
    <row r="92" spans="2:59" ht="14">
      <c r="B92" s="358"/>
      <c r="C92" s="359" t="s">
        <v>153</v>
      </c>
      <c r="BG92" s="353"/>
    </row>
    <row r="93" spans="2:59" ht="14">
      <c r="B93" s="358"/>
      <c r="C93" s="359" t="s">
        <v>590</v>
      </c>
      <c r="D93" s="359" t="s">
        <v>591</v>
      </c>
      <c r="E93" s="359" t="s">
        <v>159</v>
      </c>
      <c r="F93" s="359" t="s">
        <v>592</v>
      </c>
      <c r="G93" s="359" t="s">
        <v>593</v>
      </c>
      <c r="H93" s="359" t="s">
        <v>594</v>
      </c>
      <c r="I93" s="359" t="s">
        <v>595</v>
      </c>
      <c r="J93" s="359" t="s">
        <v>596</v>
      </c>
      <c r="K93" s="359" t="s">
        <v>597</v>
      </c>
      <c r="L93" s="359" t="s">
        <v>598</v>
      </c>
      <c r="M93" s="359" t="s">
        <v>599</v>
      </c>
      <c r="BG93" s="353"/>
    </row>
    <row r="94" spans="2:59" ht="14">
      <c r="B94" s="358"/>
      <c r="C94" s="359">
        <v>-2</v>
      </c>
      <c r="D94" s="359" t="s">
        <v>156</v>
      </c>
      <c r="E94" s="359" t="s">
        <v>759</v>
      </c>
      <c r="F94" s="359" t="s">
        <v>752</v>
      </c>
      <c r="G94" s="359" t="s">
        <v>623</v>
      </c>
      <c r="H94" s="359" t="s">
        <v>156</v>
      </c>
      <c r="I94" s="359" t="s">
        <v>156</v>
      </c>
      <c r="J94" s="359" t="s">
        <v>156</v>
      </c>
      <c r="K94" s="359" t="s">
        <v>156</v>
      </c>
      <c r="L94" s="359">
        <v>0</v>
      </c>
      <c r="M94" s="359" t="s">
        <v>156</v>
      </c>
      <c r="BG94" s="353"/>
    </row>
    <row r="95" spans="2:59" ht="13.5" thickBot="1">
      <c r="B95" s="358"/>
      <c r="BG95" s="353"/>
    </row>
    <row r="96" spans="2:59" ht="14" thickBot="1">
      <c r="B96" s="299" t="s">
        <v>616</v>
      </c>
      <c r="C96" s="300" t="s">
        <v>617</v>
      </c>
      <c r="D96" s="300"/>
      <c r="E96" s="300"/>
      <c r="F96" s="300"/>
      <c r="G96" s="300"/>
      <c r="H96" s="300"/>
      <c r="I96" s="300"/>
      <c r="J96" s="300"/>
      <c r="K96" s="300"/>
      <c r="L96" s="300"/>
      <c r="M96" s="300"/>
      <c r="N96" s="300"/>
      <c r="O96" s="300"/>
      <c r="P96" s="300"/>
      <c r="Q96" s="300"/>
      <c r="R96" s="300"/>
      <c r="S96" s="300"/>
      <c r="T96" s="300"/>
      <c r="U96" s="300"/>
      <c r="V96" s="300"/>
      <c r="W96" s="300"/>
      <c r="X96" s="300"/>
      <c r="Y96" s="300"/>
      <c r="Z96" s="300"/>
      <c r="AA96" s="300"/>
      <c r="AB96" s="300"/>
      <c r="AC96" s="300"/>
      <c r="AD96" s="300"/>
      <c r="AE96" s="300"/>
      <c r="AF96" s="300"/>
      <c r="AG96" s="300"/>
      <c r="AH96" s="300"/>
      <c r="AI96" s="300"/>
      <c r="AJ96" s="300"/>
      <c r="AK96" s="300"/>
      <c r="AL96" s="300"/>
      <c r="AM96" s="300"/>
      <c r="AN96" s="300"/>
      <c r="AO96" s="300"/>
      <c r="AP96" s="300"/>
      <c r="AQ96" s="300"/>
      <c r="AR96" s="300"/>
      <c r="AS96" s="300"/>
      <c r="AT96" s="300"/>
      <c r="AU96" s="300"/>
      <c r="AV96" s="300"/>
      <c r="AW96" s="300"/>
      <c r="AX96" s="300"/>
      <c r="AY96" s="300"/>
      <c r="AZ96" s="300"/>
      <c r="BA96" s="300"/>
      <c r="BB96" s="300"/>
      <c r="BC96" s="300"/>
      <c r="BD96" s="300"/>
      <c r="BE96" s="300"/>
      <c r="BF96" s="300"/>
      <c r="BG96" s="353"/>
    </row>
    <row r="97" spans="2:59" ht="14" thickBot="1">
      <c r="B97" s="335" t="s">
        <v>803</v>
      </c>
      <c r="C97" s="300" t="s">
        <v>615</v>
      </c>
      <c r="D97" s="300"/>
      <c r="E97" s="300"/>
      <c r="F97" s="300"/>
      <c r="G97" s="300"/>
      <c r="H97" s="300"/>
      <c r="I97" s="300"/>
      <c r="J97" s="300"/>
      <c r="K97" s="300"/>
      <c r="L97" s="300"/>
      <c r="M97" s="300"/>
      <c r="N97" s="300"/>
      <c r="O97" s="300"/>
      <c r="P97" s="300"/>
      <c r="Q97" s="300"/>
      <c r="R97" s="300"/>
      <c r="S97" s="300"/>
      <c r="T97" s="300"/>
      <c r="U97" s="300"/>
      <c r="V97" s="300"/>
      <c r="W97" s="300"/>
      <c r="X97" s="300"/>
      <c r="Y97" s="300"/>
      <c r="Z97" s="300"/>
      <c r="AA97" s="300"/>
      <c r="AB97" s="300"/>
      <c r="AC97" s="300"/>
      <c r="AD97" s="300"/>
      <c r="AE97" s="300"/>
      <c r="AF97" s="300"/>
      <c r="AG97" s="300"/>
      <c r="AH97" s="300"/>
      <c r="AI97" s="300"/>
      <c r="AJ97" s="300"/>
      <c r="AK97" s="300"/>
      <c r="AL97" s="300"/>
      <c r="AM97" s="300"/>
      <c r="AN97" s="300"/>
      <c r="AO97" s="300"/>
      <c r="AP97" s="300"/>
      <c r="AQ97" s="300"/>
      <c r="AR97" s="300"/>
      <c r="AS97" s="300"/>
      <c r="AT97" s="300"/>
      <c r="AU97" s="300"/>
      <c r="AV97" s="300"/>
      <c r="AW97" s="300"/>
      <c r="AX97" s="300"/>
      <c r="AY97" s="300"/>
      <c r="AZ97" s="300"/>
      <c r="BA97" s="300"/>
      <c r="BB97" s="300"/>
      <c r="BC97" s="300"/>
      <c r="BD97" s="300"/>
      <c r="BE97" s="300"/>
      <c r="BF97" s="300"/>
      <c r="BG97" s="353"/>
    </row>
    <row r="98" spans="2:59">
      <c r="B98" s="358"/>
      <c r="BG98" s="353"/>
    </row>
    <row r="99" spans="2:59" ht="13.5">
      <c r="B99" s="358"/>
      <c r="C99" s="356" t="s">
        <v>396</v>
      </c>
      <c r="BG99" s="353"/>
    </row>
    <row r="100" spans="2:59" ht="13.5">
      <c r="B100" s="358"/>
      <c r="C100" s="356" t="s">
        <v>618</v>
      </c>
      <c r="BG100" s="353"/>
    </row>
    <row r="101" spans="2:59">
      <c r="B101" s="358"/>
      <c r="BG101" s="353"/>
    </row>
    <row r="102" spans="2:59" ht="15">
      <c r="B102" s="358"/>
      <c r="C102" s="449" t="s">
        <v>436</v>
      </c>
      <c r="D102" s="450"/>
      <c r="E102" s="450"/>
      <c r="F102" s="451"/>
      <c r="G102" s="451"/>
      <c r="H102" s="451"/>
      <c r="I102" s="451"/>
      <c r="J102" s="451"/>
      <c r="K102" s="451"/>
      <c r="L102" s="451"/>
      <c r="M102" s="451"/>
      <c r="N102" s="451"/>
      <c r="O102" s="451"/>
      <c r="P102" s="451"/>
      <c r="Q102" s="451"/>
      <c r="R102" s="451"/>
      <c r="S102" s="451"/>
      <c r="T102" s="451"/>
      <c r="U102" s="451"/>
      <c r="V102" s="451"/>
      <c r="W102" s="451"/>
      <c r="X102" s="451"/>
      <c r="Y102" s="451"/>
      <c r="Z102" s="452"/>
      <c r="AA102" s="68"/>
      <c r="AB102" s="68"/>
      <c r="AC102" s="68"/>
      <c r="AD102" s="68"/>
      <c r="BG102" s="353"/>
    </row>
    <row r="103" spans="2:59" ht="15">
      <c r="B103" s="358"/>
      <c r="C103" s="322"/>
      <c r="D103" s="322"/>
      <c r="E103" s="322"/>
      <c r="F103" s="319" t="s">
        <v>169</v>
      </c>
      <c r="G103" s="319" t="s">
        <v>169</v>
      </c>
      <c r="H103" s="319" t="s">
        <v>169</v>
      </c>
      <c r="I103" s="319"/>
      <c r="J103" s="319"/>
      <c r="K103" s="319"/>
      <c r="L103" s="319"/>
      <c r="M103" s="319"/>
      <c r="N103" s="319"/>
      <c r="O103" s="319"/>
      <c r="P103" s="319"/>
      <c r="Q103" s="319"/>
      <c r="R103" s="319"/>
      <c r="S103" s="319"/>
      <c r="T103" s="319"/>
      <c r="U103" s="319"/>
      <c r="V103" s="319"/>
      <c r="W103" s="319"/>
      <c r="X103" s="319"/>
      <c r="Y103" s="319"/>
      <c r="Z103" s="319"/>
      <c r="AA103" s="319"/>
      <c r="AB103" s="319"/>
      <c r="AC103" s="319"/>
      <c r="AD103" s="319"/>
      <c r="BG103" s="353"/>
    </row>
    <row r="104" spans="2:59">
      <c r="B104" s="358"/>
      <c r="C104" s="312" t="s">
        <v>172</v>
      </c>
      <c r="D104" s="312" t="s">
        <v>173</v>
      </c>
      <c r="E104" s="312" t="s">
        <v>174</v>
      </c>
      <c r="F104" s="314" t="s">
        <v>91</v>
      </c>
      <c r="G104" s="314" t="s">
        <v>812</v>
      </c>
      <c r="H104" s="314" t="s">
        <v>69</v>
      </c>
      <c r="I104" s="314" t="s">
        <v>457</v>
      </c>
      <c r="J104" s="314" t="s">
        <v>458</v>
      </c>
      <c r="K104" s="314" t="s">
        <v>459</v>
      </c>
      <c r="L104" s="314" t="s">
        <v>460</v>
      </c>
      <c r="M104" s="314" t="s">
        <v>461</v>
      </c>
      <c r="N104" s="314" t="s">
        <v>462</v>
      </c>
      <c r="O104" s="314" t="s">
        <v>463</v>
      </c>
      <c r="P104" s="314" t="s">
        <v>464</v>
      </c>
      <c r="Q104" s="314" t="s">
        <v>465</v>
      </c>
      <c r="R104" s="314" t="s">
        <v>466</v>
      </c>
      <c r="S104" s="314" t="s">
        <v>467</v>
      </c>
      <c r="T104" s="314" t="s">
        <v>468</v>
      </c>
      <c r="U104" s="314" t="s">
        <v>469</v>
      </c>
      <c r="V104" s="314" t="s">
        <v>470</v>
      </c>
      <c r="W104" s="314" t="s">
        <v>471</v>
      </c>
      <c r="X104" s="314" t="s">
        <v>397</v>
      </c>
      <c r="Y104" s="314" t="s">
        <v>398</v>
      </c>
      <c r="Z104" s="314" t="s">
        <v>399</v>
      </c>
      <c r="AA104" s="314" t="s">
        <v>400</v>
      </c>
      <c r="AB104" s="314" t="s">
        <v>151</v>
      </c>
      <c r="AC104" s="314" t="s">
        <v>152</v>
      </c>
      <c r="AD104" s="314" t="s">
        <v>401</v>
      </c>
      <c r="BG104" s="353"/>
    </row>
    <row r="105" spans="2:59">
      <c r="B105" s="358"/>
      <c r="C105" s="312" t="s">
        <v>371</v>
      </c>
      <c r="D105" s="312" t="s">
        <v>381</v>
      </c>
      <c r="E105" s="312" t="s">
        <v>390</v>
      </c>
      <c r="F105" s="313" t="s">
        <v>418</v>
      </c>
      <c r="G105" s="313" t="s">
        <v>419</v>
      </c>
      <c r="H105" s="313" t="s">
        <v>421</v>
      </c>
      <c r="I105" s="313" t="s">
        <v>420</v>
      </c>
      <c r="J105" s="313" t="s">
        <v>422</v>
      </c>
      <c r="K105" s="313" t="s">
        <v>423</v>
      </c>
      <c r="L105" s="313" t="s">
        <v>424</v>
      </c>
      <c r="M105" s="313" t="s">
        <v>425</v>
      </c>
      <c r="N105" s="313" t="s">
        <v>426</v>
      </c>
      <c r="O105" s="313" t="s">
        <v>427</v>
      </c>
      <c r="P105" s="313" t="s">
        <v>428</v>
      </c>
      <c r="Q105" s="313" t="s">
        <v>429</v>
      </c>
      <c r="R105" s="313" t="s">
        <v>430</v>
      </c>
      <c r="S105" s="313" t="s">
        <v>431</v>
      </c>
      <c r="T105" s="313" t="s">
        <v>432</v>
      </c>
      <c r="U105" s="313" t="s">
        <v>433</v>
      </c>
      <c r="V105" s="313" t="s">
        <v>434</v>
      </c>
      <c r="W105" s="313" t="s">
        <v>435</v>
      </c>
      <c r="X105" s="313" t="s">
        <v>403</v>
      </c>
      <c r="Y105" s="313" t="s">
        <v>404</v>
      </c>
      <c r="Z105" s="313" t="s">
        <v>405</v>
      </c>
      <c r="AA105" s="313" t="s">
        <v>406</v>
      </c>
      <c r="AB105" s="313" t="s">
        <v>407</v>
      </c>
      <c r="AC105" s="313" t="s">
        <v>408</v>
      </c>
      <c r="AD105" s="313" t="s">
        <v>409</v>
      </c>
      <c r="BG105" s="353"/>
    </row>
    <row r="106" spans="2:59">
      <c r="B106" s="358"/>
      <c r="C106" s="312" t="s">
        <v>472</v>
      </c>
      <c r="D106" s="312" t="s">
        <v>473</v>
      </c>
      <c r="E106" s="312" t="s">
        <v>473</v>
      </c>
      <c r="F106" s="314" t="s">
        <v>474</v>
      </c>
      <c r="G106" s="314" t="s">
        <v>474</v>
      </c>
      <c r="H106" s="314" t="s">
        <v>475</v>
      </c>
      <c r="I106" s="314" t="s">
        <v>474</v>
      </c>
      <c r="J106" s="314" t="s">
        <v>476</v>
      </c>
      <c r="K106" s="314" t="s">
        <v>477</v>
      </c>
      <c r="L106" s="313" t="s">
        <v>478</v>
      </c>
      <c r="M106" s="314" t="s">
        <v>478</v>
      </c>
      <c r="N106" s="314" t="s">
        <v>479</v>
      </c>
      <c r="O106" s="314" t="s">
        <v>474</v>
      </c>
      <c r="P106" s="314" t="s">
        <v>480</v>
      </c>
      <c r="Q106" s="314" t="s">
        <v>481</v>
      </c>
      <c r="R106" s="314" t="s">
        <v>480</v>
      </c>
      <c r="S106" s="314" t="s">
        <v>482</v>
      </c>
      <c r="T106" s="313" t="s">
        <v>483</v>
      </c>
      <c r="U106" s="314" t="s">
        <v>483</v>
      </c>
      <c r="V106" s="314" t="s">
        <v>484</v>
      </c>
      <c r="W106" s="314" t="s">
        <v>474</v>
      </c>
      <c r="X106" s="314" t="s">
        <v>485</v>
      </c>
      <c r="Y106" s="314" t="s">
        <v>487</v>
      </c>
      <c r="Z106" s="314" t="s">
        <v>488</v>
      </c>
      <c r="AA106" s="314" t="s">
        <v>488</v>
      </c>
      <c r="AB106" s="313" t="s">
        <v>486</v>
      </c>
      <c r="AC106" s="314" t="s">
        <v>488</v>
      </c>
      <c r="AD106" s="314" t="s">
        <v>488</v>
      </c>
      <c r="BG106" s="353"/>
    </row>
    <row r="107" spans="2:59" ht="14">
      <c r="B107" s="315" t="s">
        <v>410</v>
      </c>
      <c r="C107" s="327" t="s">
        <v>437</v>
      </c>
      <c r="D107" s="337" t="s">
        <v>182</v>
      </c>
      <c r="E107" s="327" t="s">
        <v>613</v>
      </c>
      <c r="F107" s="327" t="s">
        <v>454</v>
      </c>
      <c r="G107" s="327" t="s">
        <v>614</v>
      </c>
      <c r="H107" s="327" t="s">
        <v>184</v>
      </c>
      <c r="I107" s="311"/>
      <c r="J107" s="327" t="s">
        <v>665</v>
      </c>
      <c r="K107" s="327" t="s">
        <v>666</v>
      </c>
      <c r="L107" s="327" t="s">
        <v>156</v>
      </c>
      <c r="M107" s="327" t="s">
        <v>441</v>
      </c>
      <c r="N107" s="327" t="s">
        <v>156</v>
      </c>
      <c r="O107" s="327" t="s">
        <v>183</v>
      </c>
      <c r="P107" s="327" t="s">
        <v>156</v>
      </c>
      <c r="Q107" s="327" t="s">
        <v>442</v>
      </c>
      <c r="R107" s="327" t="s">
        <v>443</v>
      </c>
      <c r="S107" s="327" t="s">
        <v>156</v>
      </c>
      <c r="T107" s="327" t="s">
        <v>156</v>
      </c>
      <c r="U107" s="327" t="s">
        <v>156</v>
      </c>
      <c r="V107" s="327" t="s">
        <v>156</v>
      </c>
      <c r="W107" s="327" t="s">
        <v>156</v>
      </c>
      <c r="X107" s="327" t="s">
        <v>411</v>
      </c>
      <c r="Y107" s="327" t="s">
        <v>444</v>
      </c>
      <c r="Z107" s="327" t="s">
        <v>445</v>
      </c>
      <c r="AA107" s="327" t="s">
        <v>445</v>
      </c>
      <c r="AB107" s="327" t="s">
        <v>446</v>
      </c>
      <c r="AC107" s="327" t="s">
        <v>455</v>
      </c>
      <c r="AD107" s="327" t="s">
        <v>455</v>
      </c>
      <c r="BG107" s="353"/>
    </row>
    <row r="108" spans="2:59" ht="14">
      <c r="B108" s="315" t="s">
        <v>410</v>
      </c>
      <c r="C108" s="337" t="s">
        <v>680</v>
      </c>
      <c r="D108" s="327" t="s">
        <v>613</v>
      </c>
      <c r="E108" s="327" t="s">
        <v>613</v>
      </c>
      <c r="F108" s="327" t="s">
        <v>454</v>
      </c>
      <c r="G108" s="327" t="s">
        <v>614</v>
      </c>
      <c r="H108" s="327" t="s">
        <v>184</v>
      </c>
      <c r="I108" s="311"/>
      <c r="J108" s="327" t="s">
        <v>665</v>
      </c>
      <c r="K108" s="327" t="s">
        <v>666</v>
      </c>
      <c r="L108" s="327" t="s">
        <v>156</v>
      </c>
      <c r="M108" s="327" t="s">
        <v>441</v>
      </c>
      <c r="N108" s="327" t="s">
        <v>156</v>
      </c>
      <c r="O108" s="327" t="s">
        <v>183</v>
      </c>
      <c r="P108" s="327" t="s">
        <v>156</v>
      </c>
      <c r="Q108" s="327" t="s">
        <v>442</v>
      </c>
      <c r="R108" s="327" t="s">
        <v>443</v>
      </c>
      <c r="S108" s="327" t="s">
        <v>156</v>
      </c>
      <c r="T108" s="327" t="s">
        <v>156</v>
      </c>
      <c r="U108" s="327" t="s">
        <v>156</v>
      </c>
      <c r="V108" s="327" t="s">
        <v>156</v>
      </c>
      <c r="W108" s="327" t="s">
        <v>156</v>
      </c>
      <c r="X108" s="327" t="s">
        <v>411</v>
      </c>
      <c r="Y108" s="327" t="s">
        <v>444</v>
      </c>
      <c r="Z108" s="327" t="s">
        <v>445</v>
      </c>
      <c r="AA108" s="327" t="s">
        <v>445</v>
      </c>
      <c r="AB108" s="327" t="s">
        <v>446</v>
      </c>
      <c r="AC108" s="327" t="s">
        <v>455</v>
      </c>
      <c r="AD108" s="327" t="s">
        <v>455</v>
      </c>
      <c r="BG108" s="353"/>
    </row>
    <row r="109" spans="2:59" ht="14">
      <c r="B109" s="315" t="s">
        <v>410</v>
      </c>
      <c r="C109" s="327" t="s">
        <v>437</v>
      </c>
      <c r="D109" s="337" t="s">
        <v>631</v>
      </c>
      <c r="E109" s="327" t="s">
        <v>613</v>
      </c>
      <c r="F109" s="327" t="s">
        <v>454</v>
      </c>
      <c r="G109" s="327" t="s">
        <v>614</v>
      </c>
      <c r="H109" s="327" t="s">
        <v>184</v>
      </c>
      <c r="I109" s="311"/>
      <c r="J109" s="327" t="s">
        <v>665</v>
      </c>
      <c r="K109" s="327" t="s">
        <v>666</v>
      </c>
      <c r="L109" s="327" t="s">
        <v>156</v>
      </c>
      <c r="M109" s="327" t="s">
        <v>441</v>
      </c>
      <c r="N109" s="327" t="s">
        <v>156</v>
      </c>
      <c r="O109" s="327" t="s">
        <v>183</v>
      </c>
      <c r="P109" s="327" t="s">
        <v>156</v>
      </c>
      <c r="Q109" s="327" t="s">
        <v>442</v>
      </c>
      <c r="R109" s="327" t="s">
        <v>443</v>
      </c>
      <c r="S109" s="327" t="s">
        <v>156</v>
      </c>
      <c r="T109" s="327" t="s">
        <v>156</v>
      </c>
      <c r="U109" s="327" t="s">
        <v>156</v>
      </c>
      <c r="V109" s="327" t="s">
        <v>156</v>
      </c>
      <c r="W109" s="327" t="s">
        <v>156</v>
      </c>
      <c r="X109" s="327" t="s">
        <v>411</v>
      </c>
      <c r="Y109" s="327" t="s">
        <v>444</v>
      </c>
      <c r="Z109" s="327" t="s">
        <v>445</v>
      </c>
      <c r="AA109" s="327" t="s">
        <v>445</v>
      </c>
      <c r="AB109" s="327" t="s">
        <v>446</v>
      </c>
      <c r="AC109" s="327" t="s">
        <v>455</v>
      </c>
      <c r="AD109" s="327" t="s">
        <v>455</v>
      </c>
      <c r="BG109" s="353"/>
    </row>
    <row r="110" spans="2:59" ht="14">
      <c r="B110" s="317" t="s">
        <v>412</v>
      </c>
      <c r="C110" s="316" t="s">
        <v>437</v>
      </c>
      <c r="D110" s="316" t="s">
        <v>613</v>
      </c>
      <c r="E110" s="316" t="s">
        <v>613</v>
      </c>
      <c r="F110" s="316" t="s">
        <v>454</v>
      </c>
      <c r="G110" s="413" t="s">
        <v>614</v>
      </c>
      <c r="H110" s="316" t="s">
        <v>184</v>
      </c>
      <c r="I110" s="316"/>
      <c r="J110" s="316" t="s">
        <v>440</v>
      </c>
      <c r="K110" s="316" t="s">
        <v>411</v>
      </c>
      <c r="L110" s="316" t="s">
        <v>156</v>
      </c>
      <c r="M110" s="316" t="s">
        <v>441</v>
      </c>
      <c r="N110" s="316" t="s">
        <v>156</v>
      </c>
      <c r="O110" s="316" t="s">
        <v>183</v>
      </c>
      <c r="P110" s="316" t="s">
        <v>156</v>
      </c>
      <c r="Q110" s="316" t="s">
        <v>442</v>
      </c>
      <c r="R110" s="316" t="s">
        <v>443</v>
      </c>
      <c r="S110" s="316" t="s">
        <v>156</v>
      </c>
      <c r="T110" s="316" t="s">
        <v>156</v>
      </c>
      <c r="U110" s="316" t="s">
        <v>156</v>
      </c>
      <c r="V110" s="316" t="s">
        <v>156</v>
      </c>
      <c r="W110" s="316" t="s">
        <v>156</v>
      </c>
      <c r="X110" s="316" t="s">
        <v>411</v>
      </c>
      <c r="Y110" s="316" t="s">
        <v>444</v>
      </c>
      <c r="Z110" s="316" t="s">
        <v>445</v>
      </c>
      <c r="AA110" s="316" t="s">
        <v>445</v>
      </c>
      <c r="AB110" s="316" t="s">
        <v>446</v>
      </c>
      <c r="AC110" s="316" t="s">
        <v>455</v>
      </c>
      <c r="AD110" s="316" t="s">
        <v>455</v>
      </c>
      <c r="BG110" s="353"/>
    </row>
    <row r="111" spans="2:59">
      <c r="B111" s="358"/>
      <c r="BG111" s="353"/>
    </row>
    <row r="112" spans="2:59" ht="15">
      <c r="B112" s="358"/>
      <c r="C112" s="449" t="s">
        <v>489</v>
      </c>
      <c r="D112" s="450"/>
      <c r="E112" s="450"/>
      <c r="F112" s="450"/>
      <c r="G112" s="450"/>
      <c r="H112" s="450"/>
      <c r="I112" s="450"/>
      <c r="J112" s="450"/>
      <c r="K112" s="450"/>
      <c r="L112" s="450"/>
      <c r="M112" s="450"/>
      <c r="N112" s="450"/>
      <c r="O112" s="450"/>
      <c r="P112" s="450"/>
      <c r="Q112" s="450"/>
      <c r="R112" s="450"/>
      <c r="S112" s="450"/>
      <c r="T112" s="450"/>
      <c r="U112" s="92"/>
      <c r="V112" s="92"/>
      <c r="W112" s="92"/>
      <c r="X112" s="92"/>
      <c r="Y112" s="92"/>
      <c r="Z112" s="92"/>
      <c r="AA112" s="93"/>
      <c r="AB112" s="93"/>
      <c r="AC112" s="93"/>
      <c r="AD112" s="93"/>
      <c r="AE112" s="93"/>
      <c r="AF112" s="93"/>
      <c r="AG112" s="93"/>
      <c r="AH112" s="93"/>
      <c r="AI112" s="93"/>
      <c r="AJ112" s="93"/>
      <c r="AK112" s="93"/>
      <c r="AL112" s="93"/>
      <c r="AM112" s="93"/>
      <c r="AN112" s="93"/>
      <c r="AO112" s="93"/>
      <c r="AP112" s="94"/>
      <c r="AQ112" s="94"/>
      <c r="AR112" s="94"/>
      <c r="AS112" s="94"/>
      <c r="AT112" s="94"/>
      <c r="AU112" s="94"/>
      <c r="AV112" s="94"/>
      <c r="AW112" s="94"/>
      <c r="AX112" s="94"/>
      <c r="AY112" s="94"/>
      <c r="AZ112" s="94"/>
      <c r="BA112" s="94"/>
      <c r="BB112" s="94"/>
      <c r="BC112" s="94"/>
      <c r="BD112" s="94"/>
      <c r="BE112" s="94"/>
      <c r="BF112" s="94"/>
      <c r="BG112" s="353"/>
    </row>
    <row r="113" spans="2:59" ht="15">
      <c r="B113" s="358"/>
      <c r="C113" s="322"/>
      <c r="D113" s="322"/>
      <c r="E113" s="322"/>
      <c r="F113" s="319" t="s">
        <v>169</v>
      </c>
      <c r="G113" s="319" t="s">
        <v>169</v>
      </c>
      <c r="H113" s="324" t="s">
        <v>169</v>
      </c>
      <c r="I113" s="319" t="s">
        <v>169</v>
      </c>
      <c r="J113" s="319" t="s">
        <v>169</v>
      </c>
      <c r="K113" s="324"/>
      <c r="L113" s="324"/>
      <c r="M113" s="324"/>
      <c r="N113" s="324"/>
      <c r="O113" s="324"/>
      <c r="P113" s="324"/>
      <c r="Q113" s="324"/>
      <c r="R113" s="324"/>
      <c r="S113" s="324"/>
      <c r="T113" s="324"/>
      <c r="U113" s="324"/>
      <c r="V113" s="324"/>
      <c r="W113" s="324"/>
      <c r="X113" s="324"/>
      <c r="Y113" s="324"/>
      <c r="Z113" s="324"/>
      <c r="AA113" s="325"/>
      <c r="AB113" s="325"/>
      <c r="AC113" s="325"/>
      <c r="AD113" s="325"/>
      <c r="AE113" s="325"/>
      <c r="AF113" s="325"/>
      <c r="AG113" s="325"/>
      <c r="AH113" s="325"/>
      <c r="AI113" s="325"/>
      <c r="AJ113" s="325"/>
      <c r="AK113" s="325"/>
      <c r="AL113" s="325"/>
      <c r="AM113" s="325"/>
      <c r="AN113" s="325"/>
      <c r="AO113" s="325"/>
      <c r="AP113" s="325"/>
      <c r="AQ113" s="325"/>
      <c r="AR113" s="325"/>
      <c r="AS113" s="325"/>
      <c r="AT113" s="325"/>
      <c r="AU113" s="325"/>
      <c r="AV113" s="325"/>
      <c r="AW113" s="325"/>
      <c r="AX113" s="325"/>
      <c r="AY113" s="325"/>
      <c r="AZ113" s="325"/>
      <c r="BA113" s="325"/>
      <c r="BB113" s="325"/>
      <c r="BC113" s="325"/>
      <c r="BD113" s="325"/>
      <c r="BE113" s="325"/>
      <c r="BF113" s="325"/>
      <c r="BG113" s="353"/>
    </row>
    <row r="114" spans="2:59" ht="25">
      <c r="B114" s="358"/>
      <c r="C114" s="312" t="s">
        <v>533</v>
      </c>
      <c r="D114" s="312" t="s">
        <v>588</v>
      </c>
      <c r="E114" s="312" t="s">
        <v>589</v>
      </c>
      <c r="F114" s="314" t="s">
        <v>814</v>
      </c>
      <c r="G114" s="314" t="s">
        <v>99</v>
      </c>
      <c r="H114" s="314" t="s">
        <v>130</v>
      </c>
      <c r="I114" s="314" t="s">
        <v>559</v>
      </c>
      <c r="J114" s="314" t="s">
        <v>127</v>
      </c>
      <c r="K114" s="314" t="s">
        <v>67</v>
      </c>
      <c r="L114" s="314" t="s">
        <v>813</v>
      </c>
      <c r="M114" s="314" t="s">
        <v>534</v>
      </c>
      <c r="N114" s="314" t="s">
        <v>535</v>
      </c>
      <c r="O114" s="314" t="s">
        <v>536</v>
      </c>
      <c r="P114" s="314" t="s">
        <v>537</v>
      </c>
      <c r="Q114" s="314" t="s">
        <v>538</v>
      </c>
      <c r="R114" s="314" t="s">
        <v>539</v>
      </c>
      <c r="S114" s="314" t="s">
        <v>540</v>
      </c>
      <c r="T114" s="314" t="s">
        <v>541</v>
      </c>
      <c r="U114" s="314" t="s">
        <v>542</v>
      </c>
      <c r="V114" s="314" t="s">
        <v>543</v>
      </c>
      <c r="W114" s="314" t="s">
        <v>544</v>
      </c>
      <c r="X114" s="314" t="s">
        <v>545</v>
      </c>
      <c r="Y114" s="314" t="s">
        <v>546</v>
      </c>
      <c r="Z114" s="314" t="s">
        <v>547</v>
      </c>
      <c r="AA114" s="314" t="s">
        <v>548</v>
      </c>
      <c r="AB114" s="314" t="s">
        <v>549</v>
      </c>
      <c r="AC114" s="314" t="s">
        <v>550</v>
      </c>
      <c r="AD114" s="314" t="s">
        <v>551</v>
      </c>
      <c r="AE114" s="314" t="s">
        <v>552</v>
      </c>
      <c r="AF114" s="314" t="s">
        <v>553</v>
      </c>
      <c r="AG114" s="314" t="s">
        <v>554</v>
      </c>
      <c r="AH114" s="314" t="s">
        <v>555</v>
      </c>
      <c r="AI114" s="314" t="s">
        <v>556</v>
      </c>
      <c r="AJ114" s="314" t="s">
        <v>558</v>
      </c>
      <c r="AK114" s="314" t="s">
        <v>557</v>
      </c>
      <c r="AL114" s="314" t="s">
        <v>566</v>
      </c>
      <c r="AM114" s="314" t="s">
        <v>560</v>
      </c>
      <c r="AN114" s="314" t="s">
        <v>561</v>
      </c>
      <c r="AO114" s="314" t="s">
        <v>562</v>
      </c>
      <c r="AP114" s="314" t="s">
        <v>563</v>
      </c>
      <c r="AQ114" s="314" t="s">
        <v>567</v>
      </c>
      <c r="AR114" s="314" t="s">
        <v>564</v>
      </c>
      <c r="AS114" s="314" t="s">
        <v>565</v>
      </c>
      <c r="AT114" s="314" t="s">
        <v>568</v>
      </c>
      <c r="AU114" s="314" t="s">
        <v>569</v>
      </c>
      <c r="AV114" s="314" t="s">
        <v>570</v>
      </c>
      <c r="AW114" s="314" t="s">
        <v>571</v>
      </c>
      <c r="AX114" s="314" t="s">
        <v>572</v>
      </c>
      <c r="AY114" s="314" t="s">
        <v>573</v>
      </c>
      <c r="AZ114" s="314" t="s">
        <v>397</v>
      </c>
      <c r="BA114" s="314" t="s">
        <v>398</v>
      </c>
      <c r="BB114" s="314" t="s">
        <v>399</v>
      </c>
      <c r="BC114" s="314" t="s">
        <v>400</v>
      </c>
      <c r="BD114" s="314" t="s">
        <v>151</v>
      </c>
      <c r="BE114" s="314" t="s">
        <v>152</v>
      </c>
      <c r="BF114" s="314" t="s">
        <v>401</v>
      </c>
      <c r="BG114" s="353"/>
    </row>
    <row r="115" spans="2:59">
      <c r="B115" s="358"/>
      <c r="C115" s="312" t="s">
        <v>371</v>
      </c>
      <c r="D115" s="312" t="s">
        <v>381</v>
      </c>
      <c r="E115" s="312" t="s">
        <v>390</v>
      </c>
      <c r="F115" s="313" t="s">
        <v>490</v>
      </c>
      <c r="G115" s="313" t="s">
        <v>491</v>
      </c>
      <c r="H115" s="313" t="s">
        <v>492</v>
      </c>
      <c r="I115" s="313" t="s">
        <v>519</v>
      </c>
      <c r="J115" s="313" t="s">
        <v>525</v>
      </c>
      <c r="K115" s="313" t="s">
        <v>419</v>
      </c>
      <c r="L115" s="313" t="s">
        <v>420</v>
      </c>
      <c r="M115" s="313" t="s">
        <v>493</v>
      </c>
      <c r="N115" s="313" t="s">
        <v>494</v>
      </c>
      <c r="O115" s="313" t="s">
        <v>495</v>
      </c>
      <c r="P115" s="313" t="s">
        <v>496</v>
      </c>
      <c r="Q115" s="313" t="s">
        <v>497</v>
      </c>
      <c r="R115" s="313" t="s">
        <v>498</v>
      </c>
      <c r="S115" s="313" t="s">
        <v>499</v>
      </c>
      <c r="T115" s="313" t="s">
        <v>500</v>
      </c>
      <c r="U115" s="313" t="s">
        <v>501</v>
      </c>
      <c r="V115" s="313" t="s">
        <v>502</v>
      </c>
      <c r="W115" s="313" t="s">
        <v>503</v>
      </c>
      <c r="X115" s="313" t="s">
        <v>504</v>
      </c>
      <c r="Y115" s="313" t="s">
        <v>505</v>
      </c>
      <c r="Z115" s="313" t="s">
        <v>506</v>
      </c>
      <c r="AA115" s="313" t="s">
        <v>507</v>
      </c>
      <c r="AB115" s="313" t="s">
        <v>508</v>
      </c>
      <c r="AC115" s="313" t="s">
        <v>509</v>
      </c>
      <c r="AD115" s="313" t="s">
        <v>510</v>
      </c>
      <c r="AE115" s="313" t="s">
        <v>511</v>
      </c>
      <c r="AF115" s="313" t="s">
        <v>512</v>
      </c>
      <c r="AG115" s="313" t="s">
        <v>513</v>
      </c>
      <c r="AH115" s="313" t="s">
        <v>514</v>
      </c>
      <c r="AI115" s="313" t="s">
        <v>515</v>
      </c>
      <c r="AJ115" s="313" t="s">
        <v>516</v>
      </c>
      <c r="AK115" s="313" t="s">
        <v>517</v>
      </c>
      <c r="AL115" s="313" t="s">
        <v>518</v>
      </c>
      <c r="AM115" s="313" t="s">
        <v>520</v>
      </c>
      <c r="AN115" s="313" t="s">
        <v>521</v>
      </c>
      <c r="AO115" s="313" t="s">
        <v>522</v>
      </c>
      <c r="AP115" s="313" t="s">
        <v>402</v>
      </c>
      <c r="AQ115" s="313" t="s">
        <v>523</v>
      </c>
      <c r="AR115" s="313" t="s">
        <v>524</v>
      </c>
      <c r="AS115" s="313" t="s">
        <v>526</v>
      </c>
      <c r="AT115" s="313" t="s">
        <v>527</v>
      </c>
      <c r="AU115" s="313" t="s">
        <v>528</v>
      </c>
      <c r="AV115" s="313" t="s">
        <v>529</v>
      </c>
      <c r="AW115" s="313" t="s">
        <v>530</v>
      </c>
      <c r="AX115" s="313" t="s">
        <v>531</v>
      </c>
      <c r="AY115" s="313" t="s">
        <v>532</v>
      </c>
      <c r="AZ115" s="313" t="s">
        <v>403</v>
      </c>
      <c r="BA115" s="313" t="s">
        <v>404</v>
      </c>
      <c r="BB115" s="313" t="s">
        <v>405</v>
      </c>
      <c r="BC115" s="313" t="s">
        <v>406</v>
      </c>
      <c r="BD115" s="313" t="s">
        <v>407</v>
      </c>
      <c r="BE115" s="313" t="s">
        <v>408</v>
      </c>
      <c r="BF115" s="313" t="s">
        <v>409</v>
      </c>
      <c r="BG115" s="353"/>
    </row>
    <row r="116" spans="2:59">
      <c r="B116" s="358"/>
      <c r="C116" s="312" t="s">
        <v>472</v>
      </c>
      <c r="D116" s="312" t="s">
        <v>574</v>
      </c>
      <c r="E116" s="312" t="s">
        <v>473</v>
      </c>
      <c r="F116" s="326" t="s">
        <v>474</v>
      </c>
      <c r="G116" s="326" t="s">
        <v>474</v>
      </c>
      <c r="H116" s="326" t="s">
        <v>474</v>
      </c>
      <c r="I116" s="326" t="s">
        <v>474</v>
      </c>
      <c r="J116" s="326" t="s">
        <v>476</v>
      </c>
      <c r="K116" s="326" t="s">
        <v>474</v>
      </c>
      <c r="L116" s="326" t="s">
        <v>474</v>
      </c>
      <c r="M116" s="326" t="s">
        <v>575</v>
      </c>
      <c r="N116" s="326" t="s">
        <v>575</v>
      </c>
      <c r="O116" s="326" t="s">
        <v>473</v>
      </c>
      <c r="P116" s="326" t="s">
        <v>576</v>
      </c>
      <c r="Q116" s="326" t="s">
        <v>474</v>
      </c>
      <c r="R116" s="326" t="s">
        <v>481</v>
      </c>
      <c r="S116" s="326" t="s">
        <v>476</v>
      </c>
      <c r="T116" s="326" t="s">
        <v>481</v>
      </c>
      <c r="U116" s="326" t="s">
        <v>476</v>
      </c>
      <c r="V116" s="326" t="s">
        <v>476</v>
      </c>
      <c r="W116" s="326" t="s">
        <v>474</v>
      </c>
      <c r="X116" s="326" t="s">
        <v>577</v>
      </c>
      <c r="Y116" s="326" t="s">
        <v>577</v>
      </c>
      <c r="Z116" s="326" t="s">
        <v>478</v>
      </c>
      <c r="AA116" s="326" t="s">
        <v>576</v>
      </c>
      <c r="AB116" s="326" t="s">
        <v>576</v>
      </c>
      <c r="AC116" s="326" t="s">
        <v>476</v>
      </c>
      <c r="AD116" s="326" t="s">
        <v>480</v>
      </c>
      <c r="AE116" s="326" t="s">
        <v>481</v>
      </c>
      <c r="AF116" s="326" t="s">
        <v>481</v>
      </c>
      <c r="AG116" s="326" t="s">
        <v>578</v>
      </c>
      <c r="AH116" s="326" t="s">
        <v>578</v>
      </c>
      <c r="AI116" s="326" t="s">
        <v>481</v>
      </c>
      <c r="AJ116" s="326" t="s">
        <v>481</v>
      </c>
      <c r="AK116" s="326" t="s">
        <v>578</v>
      </c>
      <c r="AL116" s="326" t="s">
        <v>578</v>
      </c>
      <c r="AM116" s="326" t="s">
        <v>474</v>
      </c>
      <c r="AN116" s="326" t="s">
        <v>474</v>
      </c>
      <c r="AO116" s="326" t="s">
        <v>474</v>
      </c>
      <c r="AP116" s="326" t="s">
        <v>478</v>
      </c>
      <c r="AQ116" s="326" t="s">
        <v>473</v>
      </c>
      <c r="AR116" s="326" t="s">
        <v>474</v>
      </c>
      <c r="AS116" s="326" t="s">
        <v>476</v>
      </c>
      <c r="AT116" s="326" t="s">
        <v>474</v>
      </c>
      <c r="AU116" s="326" t="s">
        <v>579</v>
      </c>
      <c r="AV116" s="326" t="s">
        <v>481</v>
      </c>
      <c r="AW116" s="326" t="s">
        <v>478</v>
      </c>
      <c r="AX116" s="326" t="s">
        <v>474</v>
      </c>
      <c r="AY116" s="326" t="s">
        <v>474</v>
      </c>
      <c r="AZ116" s="326" t="s">
        <v>485</v>
      </c>
      <c r="BA116" s="326" t="s">
        <v>486</v>
      </c>
      <c r="BB116" s="326" t="s">
        <v>488</v>
      </c>
      <c r="BC116" s="326" t="s">
        <v>488</v>
      </c>
      <c r="BD116" s="326" t="s">
        <v>486</v>
      </c>
      <c r="BE116" s="326" t="s">
        <v>488</v>
      </c>
      <c r="BF116" s="326" t="s">
        <v>488</v>
      </c>
      <c r="BG116" s="353"/>
    </row>
    <row r="117" spans="2:59" ht="14">
      <c r="B117" s="315" t="s">
        <v>410</v>
      </c>
      <c r="C117" s="327" t="s">
        <v>437</v>
      </c>
      <c r="D117" s="337" t="s">
        <v>182</v>
      </c>
      <c r="E117" s="327" t="s">
        <v>613</v>
      </c>
      <c r="F117" s="327" t="s">
        <v>185</v>
      </c>
      <c r="G117" s="327" t="s">
        <v>411</v>
      </c>
      <c r="H117" s="327" t="s">
        <v>411</v>
      </c>
      <c r="I117" s="327">
        <v>0</v>
      </c>
      <c r="J117" s="327">
        <v>30</v>
      </c>
      <c r="K117" s="327" t="s">
        <v>614</v>
      </c>
      <c r="L117" s="311"/>
      <c r="M117" s="327" t="s">
        <v>156</v>
      </c>
      <c r="N117" s="327" t="s">
        <v>156</v>
      </c>
      <c r="O117" s="327" t="s">
        <v>584</v>
      </c>
      <c r="P117" s="327" t="s">
        <v>156</v>
      </c>
      <c r="Q117" s="327" t="s">
        <v>585</v>
      </c>
      <c r="R117" s="327" t="s">
        <v>183</v>
      </c>
      <c r="S117" s="327" t="s">
        <v>666</v>
      </c>
      <c r="T117" s="327" t="s">
        <v>581</v>
      </c>
      <c r="U117" s="327" t="s">
        <v>667</v>
      </c>
      <c r="V117" s="327" t="s">
        <v>668</v>
      </c>
      <c r="W117" s="327" t="s">
        <v>183</v>
      </c>
      <c r="X117" s="327" t="s">
        <v>669</v>
      </c>
      <c r="Y117" s="327" t="s">
        <v>669</v>
      </c>
      <c r="Z117" s="327"/>
      <c r="AA117" s="327"/>
      <c r="AB117" s="327" t="s">
        <v>587</v>
      </c>
      <c r="AC117" s="327">
        <v>5000</v>
      </c>
      <c r="AD117" s="327">
        <v>99999999</v>
      </c>
      <c r="AE117" s="327">
        <v>0</v>
      </c>
      <c r="AF117" s="327">
        <v>2</v>
      </c>
      <c r="AG117" s="327">
        <v>0</v>
      </c>
      <c r="AH117" s="327">
        <v>0</v>
      </c>
      <c r="AI117" s="327">
        <v>0</v>
      </c>
      <c r="AJ117" s="327">
        <v>0</v>
      </c>
      <c r="AK117" s="327">
        <v>0</v>
      </c>
      <c r="AL117" s="327">
        <v>0</v>
      </c>
      <c r="AM117" s="327">
        <v>1</v>
      </c>
      <c r="AN117" s="327">
        <v>0</v>
      </c>
      <c r="AO117" s="327">
        <v>0</v>
      </c>
      <c r="AP117" s="327">
        <v>1</v>
      </c>
      <c r="AQ117" s="327">
        <v>1111</v>
      </c>
      <c r="AR117" s="327" t="s">
        <v>583</v>
      </c>
      <c r="AS117" s="327">
        <v>10</v>
      </c>
      <c r="AT117" s="327">
        <v>1</v>
      </c>
      <c r="AU117" s="327">
        <v>0</v>
      </c>
      <c r="AV117" s="327">
        <v>0</v>
      </c>
      <c r="AW117" s="327">
        <v>0</v>
      </c>
      <c r="AX117" s="327">
        <v>0</v>
      </c>
      <c r="AY117" s="327">
        <v>1</v>
      </c>
      <c r="AZ117" s="327">
        <v>0</v>
      </c>
      <c r="BA117" s="327">
        <v>40640.750486111108</v>
      </c>
      <c r="BB117" s="327">
        <v>470195</v>
      </c>
      <c r="BC117" s="327">
        <v>470195</v>
      </c>
      <c r="BD117" s="327">
        <v>45392.67769675926</v>
      </c>
      <c r="BE117" s="327">
        <v>363363</v>
      </c>
      <c r="BF117" s="327">
        <v>363363</v>
      </c>
      <c r="BG117" s="353"/>
    </row>
    <row r="118" spans="2:59" ht="14">
      <c r="B118" s="315" t="s">
        <v>410</v>
      </c>
      <c r="C118" s="337" t="s">
        <v>680</v>
      </c>
      <c r="D118" s="327" t="s">
        <v>613</v>
      </c>
      <c r="E118" s="327" t="s">
        <v>613</v>
      </c>
      <c r="F118" s="327" t="s">
        <v>185</v>
      </c>
      <c r="G118" s="327" t="s">
        <v>411</v>
      </c>
      <c r="H118" s="327" t="s">
        <v>411</v>
      </c>
      <c r="I118" s="327" t="s">
        <v>411</v>
      </c>
      <c r="J118" s="327" t="s">
        <v>675</v>
      </c>
      <c r="K118" s="327" t="s">
        <v>614</v>
      </c>
      <c r="L118" s="311"/>
      <c r="M118" s="327" t="s">
        <v>156</v>
      </c>
      <c r="N118" s="327" t="s">
        <v>156</v>
      </c>
      <c r="O118" s="327" t="s">
        <v>584</v>
      </c>
      <c r="P118" s="327" t="s">
        <v>156</v>
      </c>
      <c r="Q118" s="327" t="s">
        <v>585</v>
      </c>
      <c r="R118" s="327" t="s">
        <v>183</v>
      </c>
      <c r="S118" s="327" t="s">
        <v>666</v>
      </c>
      <c r="T118" s="327" t="s">
        <v>581</v>
      </c>
      <c r="U118" s="327" t="s">
        <v>667</v>
      </c>
      <c r="V118" s="327" t="s">
        <v>668</v>
      </c>
      <c r="W118" s="327" t="s">
        <v>183</v>
      </c>
      <c r="X118" s="327" t="s">
        <v>669</v>
      </c>
      <c r="Y118" s="327" t="s">
        <v>669</v>
      </c>
      <c r="Z118" s="327"/>
      <c r="AA118" s="327"/>
      <c r="AB118" s="327" t="s">
        <v>587</v>
      </c>
      <c r="AC118" s="327" t="s">
        <v>668</v>
      </c>
      <c r="AD118" s="327" t="s">
        <v>673</v>
      </c>
      <c r="AE118" s="327" t="s">
        <v>411</v>
      </c>
      <c r="AF118" s="327" t="s">
        <v>439</v>
      </c>
      <c r="AG118" s="327" t="s">
        <v>411</v>
      </c>
      <c r="AH118" s="327" t="s">
        <v>411</v>
      </c>
      <c r="AI118" s="327" t="s">
        <v>411</v>
      </c>
      <c r="AJ118" s="327" t="s">
        <v>411</v>
      </c>
      <c r="AK118" s="327" t="s">
        <v>411</v>
      </c>
      <c r="AL118" s="327" t="s">
        <v>411</v>
      </c>
      <c r="AM118" s="327" t="s">
        <v>183</v>
      </c>
      <c r="AN118" s="327" t="s">
        <v>411</v>
      </c>
      <c r="AO118" s="327" t="s">
        <v>411</v>
      </c>
      <c r="AP118" s="327" t="s">
        <v>413</v>
      </c>
      <c r="AQ118" s="327" t="s">
        <v>674</v>
      </c>
      <c r="AR118" s="327" t="s">
        <v>583</v>
      </c>
      <c r="AS118" s="327" t="s">
        <v>676</v>
      </c>
      <c r="AT118" s="327" t="s">
        <v>183</v>
      </c>
      <c r="AU118" s="327" t="s">
        <v>666</v>
      </c>
      <c r="AV118" s="327" t="s">
        <v>411</v>
      </c>
      <c r="AW118" s="327" t="s">
        <v>441</v>
      </c>
      <c r="AX118" s="327" t="s">
        <v>411</v>
      </c>
      <c r="AY118" s="327" t="s">
        <v>183</v>
      </c>
      <c r="AZ118" s="327" t="s">
        <v>411</v>
      </c>
      <c r="BA118" s="327" t="s">
        <v>450</v>
      </c>
      <c r="BB118" s="327" t="s">
        <v>451</v>
      </c>
      <c r="BC118" s="327" t="s">
        <v>451</v>
      </c>
      <c r="BD118" s="327" t="s">
        <v>677</v>
      </c>
      <c r="BE118" s="327" t="s">
        <v>678</v>
      </c>
      <c r="BF118" s="327" t="s">
        <v>678</v>
      </c>
      <c r="BG118" s="353"/>
    </row>
    <row r="119" spans="2:59" ht="14">
      <c r="B119" s="315" t="s">
        <v>410</v>
      </c>
      <c r="C119" s="327" t="s">
        <v>437</v>
      </c>
      <c r="D119" s="337" t="s">
        <v>631</v>
      </c>
      <c r="E119" s="327" t="s">
        <v>613</v>
      </c>
      <c r="F119" s="327" t="s">
        <v>185</v>
      </c>
      <c r="G119" s="327" t="s">
        <v>411</v>
      </c>
      <c r="H119" s="327" t="s">
        <v>411</v>
      </c>
      <c r="I119" s="327" t="s">
        <v>411</v>
      </c>
      <c r="J119" s="327" t="s">
        <v>675</v>
      </c>
      <c r="K119" s="327" t="s">
        <v>614</v>
      </c>
      <c r="L119" s="311"/>
      <c r="M119" s="327" t="s">
        <v>156</v>
      </c>
      <c r="N119" s="327" t="s">
        <v>156</v>
      </c>
      <c r="O119" s="327" t="s">
        <v>584</v>
      </c>
      <c r="P119" s="327" t="s">
        <v>156</v>
      </c>
      <c r="Q119" s="327" t="s">
        <v>585</v>
      </c>
      <c r="R119" s="327" t="s">
        <v>183</v>
      </c>
      <c r="S119" s="327" t="s">
        <v>666</v>
      </c>
      <c r="T119" s="327" t="s">
        <v>581</v>
      </c>
      <c r="U119" s="327" t="s">
        <v>667</v>
      </c>
      <c r="V119" s="327" t="s">
        <v>668</v>
      </c>
      <c r="W119" s="327" t="s">
        <v>183</v>
      </c>
      <c r="X119" s="327" t="s">
        <v>669</v>
      </c>
      <c r="Y119" s="327" t="s">
        <v>669</v>
      </c>
      <c r="Z119" s="327"/>
      <c r="AA119" s="327"/>
      <c r="AB119" s="327" t="s">
        <v>587</v>
      </c>
      <c r="AC119" s="327" t="s">
        <v>668</v>
      </c>
      <c r="AD119" s="327" t="s">
        <v>673</v>
      </c>
      <c r="AE119" s="327" t="s">
        <v>411</v>
      </c>
      <c r="AF119" s="327" t="s">
        <v>439</v>
      </c>
      <c r="AG119" s="327" t="s">
        <v>411</v>
      </c>
      <c r="AH119" s="327" t="s">
        <v>411</v>
      </c>
      <c r="AI119" s="327" t="s">
        <v>411</v>
      </c>
      <c r="AJ119" s="327" t="s">
        <v>411</v>
      </c>
      <c r="AK119" s="327" t="s">
        <v>411</v>
      </c>
      <c r="AL119" s="327" t="s">
        <v>411</v>
      </c>
      <c r="AM119" s="327" t="s">
        <v>183</v>
      </c>
      <c r="AN119" s="327" t="s">
        <v>411</v>
      </c>
      <c r="AO119" s="327" t="s">
        <v>411</v>
      </c>
      <c r="AP119" s="327" t="s">
        <v>413</v>
      </c>
      <c r="AQ119" s="327" t="s">
        <v>674</v>
      </c>
      <c r="AR119" s="327" t="s">
        <v>583</v>
      </c>
      <c r="AS119" s="327" t="s">
        <v>676</v>
      </c>
      <c r="AT119" s="327" t="s">
        <v>183</v>
      </c>
      <c r="AU119" s="327" t="s">
        <v>666</v>
      </c>
      <c r="AV119" s="327" t="s">
        <v>411</v>
      </c>
      <c r="AW119" s="327" t="s">
        <v>441</v>
      </c>
      <c r="AX119" s="327" t="s">
        <v>411</v>
      </c>
      <c r="AY119" s="327" t="s">
        <v>183</v>
      </c>
      <c r="AZ119" s="327" t="s">
        <v>411</v>
      </c>
      <c r="BA119" s="327" t="s">
        <v>450</v>
      </c>
      <c r="BB119" s="327" t="s">
        <v>451</v>
      </c>
      <c r="BC119" s="327" t="s">
        <v>451</v>
      </c>
      <c r="BD119" s="327" t="s">
        <v>677</v>
      </c>
      <c r="BE119" s="327" t="s">
        <v>678</v>
      </c>
      <c r="BF119" s="327" t="s">
        <v>678</v>
      </c>
      <c r="BG119" s="353"/>
    </row>
    <row r="120" spans="2:59" ht="14">
      <c r="B120" s="317" t="s">
        <v>412</v>
      </c>
      <c r="C120" s="327" t="s">
        <v>437</v>
      </c>
      <c r="D120" s="327" t="s">
        <v>613</v>
      </c>
      <c r="E120" s="327" t="s">
        <v>613</v>
      </c>
      <c r="F120" s="327" t="s">
        <v>185</v>
      </c>
      <c r="G120" s="327" t="s">
        <v>411</v>
      </c>
      <c r="H120" s="327" t="s">
        <v>411</v>
      </c>
      <c r="I120" s="327">
        <v>0</v>
      </c>
      <c r="J120" s="327">
        <v>30</v>
      </c>
      <c r="K120" s="327" t="s">
        <v>614</v>
      </c>
      <c r="L120" s="327"/>
      <c r="M120" s="327" t="s">
        <v>156</v>
      </c>
      <c r="N120" s="327" t="s">
        <v>156</v>
      </c>
      <c r="O120" s="327" t="s">
        <v>584</v>
      </c>
      <c r="P120" s="327" t="s">
        <v>156</v>
      </c>
      <c r="Q120" s="327" t="s">
        <v>585</v>
      </c>
      <c r="R120" s="327" t="s">
        <v>183</v>
      </c>
      <c r="S120" s="327" t="s">
        <v>411</v>
      </c>
      <c r="T120" s="327" t="s">
        <v>581</v>
      </c>
      <c r="U120" s="327" t="s">
        <v>582</v>
      </c>
      <c r="V120" s="327" t="s">
        <v>586</v>
      </c>
      <c r="W120" s="327" t="s">
        <v>183</v>
      </c>
      <c r="X120" s="327" t="s">
        <v>411</v>
      </c>
      <c r="Y120" s="327" t="s">
        <v>411</v>
      </c>
      <c r="Z120" s="327"/>
      <c r="AA120" s="327"/>
      <c r="AB120" s="327" t="s">
        <v>587</v>
      </c>
      <c r="AC120" s="327">
        <v>5000</v>
      </c>
      <c r="AD120" s="327">
        <v>99999999</v>
      </c>
      <c r="AE120" s="327" t="s">
        <v>411</v>
      </c>
      <c r="AF120" s="327" t="s">
        <v>439</v>
      </c>
      <c r="AG120" s="327" t="s">
        <v>411</v>
      </c>
      <c r="AH120" s="327" t="s">
        <v>411</v>
      </c>
      <c r="AI120" s="327">
        <v>0</v>
      </c>
      <c r="AJ120" s="327">
        <v>0</v>
      </c>
      <c r="AK120" s="327">
        <v>0</v>
      </c>
      <c r="AL120" s="327">
        <v>0</v>
      </c>
      <c r="AM120" s="327" t="s">
        <v>183</v>
      </c>
      <c r="AN120" s="327">
        <v>0</v>
      </c>
      <c r="AO120" s="327" t="s">
        <v>411</v>
      </c>
      <c r="AP120" s="327">
        <v>1</v>
      </c>
      <c r="AQ120" s="327">
        <v>1111</v>
      </c>
      <c r="AR120" s="327" t="s">
        <v>583</v>
      </c>
      <c r="AS120" s="327">
        <v>10</v>
      </c>
      <c r="AT120" s="327">
        <v>1</v>
      </c>
      <c r="AU120" s="327">
        <v>0</v>
      </c>
      <c r="AV120" s="327">
        <v>0</v>
      </c>
      <c r="AW120" s="327">
        <v>0</v>
      </c>
      <c r="AX120" s="327">
        <v>0</v>
      </c>
      <c r="AY120" s="327">
        <v>1</v>
      </c>
      <c r="AZ120" s="327">
        <v>0</v>
      </c>
      <c r="BA120" s="327">
        <v>40640.750486111108</v>
      </c>
      <c r="BB120" s="327">
        <v>470195</v>
      </c>
      <c r="BC120" s="327">
        <v>470195</v>
      </c>
      <c r="BD120" s="327">
        <v>45392.67769675926</v>
      </c>
      <c r="BE120" s="327">
        <v>363363</v>
      </c>
      <c r="BF120" s="327">
        <v>363363</v>
      </c>
      <c r="BG120" s="353"/>
    </row>
    <row r="121" spans="2:59">
      <c r="B121" s="358"/>
      <c r="BG121" s="353"/>
    </row>
    <row r="122" spans="2:59" ht="14">
      <c r="B122" s="358"/>
      <c r="C122" s="359" t="s">
        <v>153</v>
      </c>
      <c r="BG122" s="353"/>
    </row>
    <row r="123" spans="2:59" ht="14">
      <c r="B123" s="358"/>
      <c r="C123" s="359" t="s">
        <v>590</v>
      </c>
      <c r="D123" s="359" t="s">
        <v>591</v>
      </c>
      <c r="E123" s="359" t="s">
        <v>159</v>
      </c>
      <c r="F123" s="359" t="s">
        <v>592</v>
      </c>
      <c r="G123" s="359" t="s">
        <v>593</v>
      </c>
      <c r="H123" s="359" t="s">
        <v>594</v>
      </c>
      <c r="I123" s="359" t="s">
        <v>595</v>
      </c>
      <c r="J123" s="359" t="s">
        <v>596</v>
      </c>
      <c r="K123" s="359" t="s">
        <v>597</v>
      </c>
      <c r="L123" s="359" t="s">
        <v>598</v>
      </c>
      <c r="M123" s="359" t="s">
        <v>599</v>
      </c>
      <c r="BG123" s="353"/>
    </row>
    <row r="124" spans="2:59" ht="14">
      <c r="B124" s="358"/>
      <c r="C124" s="359">
        <v>-2</v>
      </c>
      <c r="D124" s="359" t="s">
        <v>156</v>
      </c>
      <c r="E124" s="359" t="s">
        <v>751</v>
      </c>
      <c r="F124" s="359" t="s">
        <v>752</v>
      </c>
      <c r="G124" s="359" t="s">
        <v>623</v>
      </c>
      <c r="H124" s="359" t="s">
        <v>156</v>
      </c>
      <c r="I124" s="359" t="s">
        <v>156</v>
      </c>
      <c r="J124" s="359" t="s">
        <v>156</v>
      </c>
      <c r="K124" s="359" t="s">
        <v>156</v>
      </c>
      <c r="L124" s="359">
        <v>0</v>
      </c>
      <c r="M124" s="359" t="s">
        <v>156</v>
      </c>
      <c r="BG124" s="353"/>
    </row>
    <row r="125" spans="2:59" ht="13.5" thickBot="1">
      <c r="B125" s="358"/>
      <c r="BG125" s="353"/>
    </row>
    <row r="126" spans="2:59" ht="14" thickBot="1">
      <c r="B126" s="299" t="s">
        <v>620</v>
      </c>
      <c r="C126" s="300" t="s">
        <v>619</v>
      </c>
      <c r="D126" s="300"/>
      <c r="E126" s="300"/>
      <c r="F126" s="300"/>
      <c r="G126" s="300"/>
      <c r="H126" s="300"/>
      <c r="I126" s="300"/>
      <c r="J126" s="300"/>
      <c r="K126" s="300"/>
      <c r="L126" s="300"/>
      <c r="M126" s="300"/>
      <c r="N126" s="300"/>
      <c r="O126" s="300"/>
      <c r="P126" s="300"/>
      <c r="Q126" s="300"/>
      <c r="R126" s="300"/>
      <c r="S126" s="300"/>
      <c r="T126" s="300"/>
      <c r="U126" s="300"/>
      <c r="V126" s="300"/>
      <c r="W126" s="300"/>
      <c r="X126" s="300"/>
      <c r="Y126" s="300"/>
      <c r="Z126" s="300"/>
      <c r="AA126" s="300"/>
      <c r="AB126" s="300"/>
      <c r="AC126" s="300"/>
      <c r="AD126" s="300"/>
      <c r="AE126" s="300"/>
      <c r="AF126" s="300"/>
      <c r="AG126" s="300"/>
      <c r="AH126" s="300"/>
      <c r="AI126" s="300"/>
      <c r="AJ126" s="300"/>
      <c r="AK126" s="300"/>
      <c r="AL126" s="300"/>
      <c r="AM126" s="300"/>
      <c r="AN126" s="300"/>
      <c r="AO126" s="300"/>
      <c r="AP126" s="300"/>
      <c r="AQ126" s="300"/>
      <c r="AR126" s="300"/>
      <c r="AS126" s="300"/>
      <c r="AT126" s="300"/>
      <c r="AU126" s="300"/>
      <c r="AV126" s="300"/>
      <c r="AW126" s="300"/>
      <c r="AX126" s="300"/>
      <c r="AY126" s="300"/>
      <c r="AZ126" s="300"/>
      <c r="BA126" s="300"/>
      <c r="BB126" s="300"/>
      <c r="BC126" s="300"/>
      <c r="BD126" s="300"/>
      <c r="BE126" s="300"/>
      <c r="BF126" s="300"/>
      <c r="BG126" s="353"/>
    </row>
    <row r="127" spans="2:59" ht="14" thickBot="1">
      <c r="B127" s="335" t="s">
        <v>805</v>
      </c>
      <c r="C127" s="300" t="s">
        <v>615</v>
      </c>
      <c r="D127" s="300"/>
      <c r="E127" s="300"/>
      <c r="F127" s="300"/>
      <c r="G127" s="300"/>
      <c r="H127" s="300"/>
      <c r="I127" s="300"/>
      <c r="J127" s="300"/>
      <c r="K127" s="300"/>
      <c r="L127" s="300"/>
      <c r="M127" s="300"/>
      <c r="N127" s="300"/>
      <c r="O127" s="300"/>
      <c r="P127" s="300"/>
      <c r="Q127" s="300"/>
      <c r="R127" s="300"/>
      <c r="S127" s="300"/>
      <c r="T127" s="300"/>
      <c r="U127" s="300"/>
      <c r="V127" s="300"/>
      <c r="W127" s="300"/>
      <c r="X127" s="300"/>
      <c r="Y127" s="300"/>
      <c r="Z127" s="300"/>
      <c r="AA127" s="300"/>
      <c r="AB127" s="300"/>
      <c r="AC127" s="300"/>
      <c r="AD127" s="300"/>
      <c r="AE127" s="300"/>
      <c r="AF127" s="300"/>
      <c r="AG127" s="300"/>
      <c r="AH127" s="300"/>
      <c r="AI127" s="300"/>
      <c r="AJ127" s="300"/>
      <c r="AK127" s="300"/>
      <c r="AL127" s="300"/>
      <c r="AM127" s="300"/>
      <c r="AN127" s="300"/>
      <c r="AO127" s="300"/>
      <c r="AP127" s="300"/>
      <c r="AQ127" s="300"/>
      <c r="AR127" s="300"/>
      <c r="AS127" s="300"/>
      <c r="AT127" s="300"/>
      <c r="AU127" s="300"/>
      <c r="AV127" s="300"/>
      <c r="AW127" s="300"/>
      <c r="AX127" s="300"/>
      <c r="AY127" s="300"/>
      <c r="AZ127" s="300"/>
      <c r="BA127" s="300"/>
      <c r="BB127" s="300"/>
      <c r="BC127" s="300"/>
      <c r="BD127" s="300"/>
      <c r="BE127" s="300"/>
      <c r="BF127" s="300"/>
      <c r="BG127" s="353"/>
    </row>
    <row r="128" spans="2:59">
      <c r="B128" s="358"/>
      <c r="BG128" s="353"/>
    </row>
    <row r="129" spans="2:59" ht="13.5">
      <c r="B129" s="358"/>
      <c r="C129" s="356" t="s">
        <v>396</v>
      </c>
      <c r="BG129" s="353"/>
    </row>
    <row r="130" spans="2:59" ht="13.5">
      <c r="B130" s="358"/>
      <c r="C130" s="356" t="s">
        <v>621</v>
      </c>
      <c r="BG130" s="353"/>
    </row>
    <row r="131" spans="2:59">
      <c r="B131" s="358"/>
      <c r="BG131" s="353"/>
    </row>
    <row r="132" spans="2:59" ht="15">
      <c r="B132" s="358"/>
      <c r="C132" s="449" t="s">
        <v>436</v>
      </c>
      <c r="D132" s="450"/>
      <c r="E132" s="450"/>
      <c r="F132" s="451"/>
      <c r="G132" s="451"/>
      <c r="H132" s="451"/>
      <c r="I132" s="451"/>
      <c r="J132" s="451"/>
      <c r="K132" s="451"/>
      <c r="L132" s="451"/>
      <c r="M132" s="451"/>
      <c r="N132" s="451"/>
      <c r="O132" s="451"/>
      <c r="P132" s="451"/>
      <c r="Q132" s="451"/>
      <c r="R132" s="451"/>
      <c r="S132" s="451"/>
      <c r="T132" s="451"/>
      <c r="U132" s="451"/>
      <c r="V132" s="451"/>
      <c r="W132" s="451"/>
      <c r="X132" s="451"/>
      <c r="Y132" s="451"/>
      <c r="Z132" s="452"/>
      <c r="AA132" s="68"/>
      <c r="AB132" s="68"/>
      <c r="AC132" s="68"/>
      <c r="AD132" s="68"/>
      <c r="BG132" s="353"/>
    </row>
    <row r="133" spans="2:59" ht="15">
      <c r="B133" s="358"/>
      <c r="C133" s="322"/>
      <c r="D133" s="322"/>
      <c r="E133" s="322"/>
      <c r="F133" s="319" t="s">
        <v>169</v>
      </c>
      <c r="G133" s="319" t="s">
        <v>169</v>
      </c>
      <c r="H133" s="319"/>
      <c r="I133" s="319" t="s">
        <v>169</v>
      </c>
      <c r="J133" s="319"/>
      <c r="K133" s="319"/>
      <c r="L133" s="319"/>
      <c r="M133" s="319"/>
      <c r="N133" s="319"/>
      <c r="O133" s="319"/>
      <c r="P133" s="319"/>
      <c r="Q133" s="319"/>
      <c r="R133" s="319"/>
      <c r="S133" s="319"/>
      <c r="T133" s="319"/>
      <c r="U133" s="319"/>
      <c r="V133" s="319"/>
      <c r="W133" s="319"/>
      <c r="X133" s="319"/>
      <c r="Y133" s="319"/>
      <c r="Z133" s="319"/>
      <c r="AA133" s="319"/>
      <c r="AB133" s="319"/>
      <c r="AC133" s="319"/>
      <c r="AD133" s="319"/>
      <c r="BG133" s="353"/>
    </row>
    <row r="134" spans="2:59">
      <c r="B134" s="358"/>
      <c r="C134" s="312" t="s">
        <v>172</v>
      </c>
      <c r="D134" s="312" t="s">
        <v>173</v>
      </c>
      <c r="E134" s="312" t="s">
        <v>174</v>
      </c>
      <c r="F134" s="314" t="s">
        <v>91</v>
      </c>
      <c r="G134" s="314" t="s">
        <v>812</v>
      </c>
      <c r="H134" s="314" t="s">
        <v>457</v>
      </c>
      <c r="I134" s="314" t="s">
        <v>69</v>
      </c>
      <c r="J134" s="314" t="s">
        <v>458</v>
      </c>
      <c r="K134" s="314" t="s">
        <v>459</v>
      </c>
      <c r="L134" s="314" t="s">
        <v>460</v>
      </c>
      <c r="M134" s="314" t="s">
        <v>461</v>
      </c>
      <c r="N134" s="314" t="s">
        <v>462</v>
      </c>
      <c r="O134" s="314" t="s">
        <v>463</v>
      </c>
      <c r="P134" s="314" t="s">
        <v>464</v>
      </c>
      <c r="Q134" s="314" t="s">
        <v>465</v>
      </c>
      <c r="R134" s="314" t="s">
        <v>466</v>
      </c>
      <c r="S134" s="314" t="s">
        <v>467</v>
      </c>
      <c r="T134" s="314" t="s">
        <v>468</v>
      </c>
      <c r="U134" s="314" t="s">
        <v>469</v>
      </c>
      <c r="V134" s="314" t="s">
        <v>470</v>
      </c>
      <c r="W134" s="314" t="s">
        <v>471</v>
      </c>
      <c r="X134" s="314" t="s">
        <v>397</v>
      </c>
      <c r="Y134" s="314" t="s">
        <v>398</v>
      </c>
      <c r="Z134" s="314" t="s">
        <v>399</v>
      </c>
      <c r="AA134" s="314" t="s">
        <v>400</v>
      </c>
      <c r="AB134" s="314" t="s">
        <v>151</v>
      </c>
      <c r="AC134" s="314" t="s">
        <v>152</v>
      </c>
      <c r="AD134" s="314" t="s">
        <v>401</v>
      </c>
      <c r="BG134" s="353"/>
    </row>
    <row r="135" spans="2:59">
      <c r="B135" s="358"/>
      <c r="C135" s="312" t="s">
        <v>371</v>
      </c>
      <c r="D135" s="312" t="s">
        <v>381</v>
      </c>
      <c r="E135" s="312" t="s">
        <v>390</v>
      </c>
      <c r="F135" s="313" t="s">
        <v>418</v>
      </c>
      <c r="G135" s="313" t="s">
        <v>419</v>
      </c>
      <c r="H135" s="313" t="s">
        <v>420</v>
      </c>
      <c r="I135" s="313" t="s">
        <v>421</v>
      </c>
      <c r="J135" s="313" t="s">
        <v>422</v>
      </c>
      <c r="K135" s="313" t="s">
        <v>423</v>
      </c>
      <c r="L135" s="313" t="s">
        <v>424</v>
      </c>
      <c r="M135" s="313" t="s">
        <v>425</v>
      </c>
      <c r="N135" s="313" t="s">
        <v>426</v>
      </c>
      <c r="O135" s="313" t="s">
        <v>427</v>
      </c>
      <c r="P135" s="313" t="s">
        <v>428</v>
      </c>
      <c r="Q135" s="313" t="s">
        <v>429</v>
      </c>
      <c r="R135" s="313" t="s">
        <v>430</v>
      </c>
      <c r="S135" s="313" t="s">
        <v>431</v>
      </c>
      <c r="T135" s="313" t="s">
        <v>432</v>
      </c>
      <c r="U135" s="313" t="s">
        <v>433</v>
      </c>
      <c r="V135" s="313" t="s">
        <v>434</v>
      </c>
      <c r="W135" s="313" t="s">
        <v>435</v>
      </c>
      <c r="X135" s="313" t="s">
        <v>403</v>
      </c>
      <c r="Y135" s="313" t="s">
        <v>404</v>
      </c>
      <c r="Z135" s="313" t="s">
        <v>405</v>
      </c>
      <c r="AA135" s="313" t="s">
        <v>406</v>
      </c>
      <c r="AB135" s="313" t="s">
        <v>407</v>
      </c>
      <c r="AC135" s="313" t="s">
        <v>408</v>
      </c>
      <c r="AD135" s="313" t="s">
        <v>409</v>
      </c>
      <c r="BG135" s="353"/>
    </row>
    <row r="136" spans="2:59">
      <c r="B136" s="358"/>
      <c r="C136" s="312" t="s">
        <v>472</v>
      </c>
      <c r="D136" s="312" t="s">
        <v>473</v>
      </c>
      <c r="E136" s="312" t="s">
        <v>473</v>
      </c>
      <c r="F136" s="314" t="s">
        <v>474</v>
      </c>
      <c r="G136" s="314" t="s">
        <v>474</v>
      </c>
      <c r="H136" s="314" t="s">
        <v>474</v>
      </c>
      <c r="I136" s="314" t="s">
        <v>475</v>
      </c>
      <c r="J136" s="314" t="s">
        <v>476</v>
      </c>
      <c r="K136" s="314" t="s">
        <v>477</v>
      </c>
      <c r="L136" s="313" t="s">
        <v>478</v>
      </c>
      <c r="M136" s="314" t="s">
        <v>478</v>
      </c>
      <c r="N136" s="314" t="s">
        <v>479</v>
      </c>
      <c r="O136" s="314" t="s">
        <v>474</v>
      </c>
      <c r="P136" s="314" t="s">
        <v>480</v>
      </c>
      <c r="Q136" s="314" t="s">
        <v>481</v>
      </c>
      <c r="R136" s="314" t="s">
        <v>480</v>
      </c>
      <c r="S136" s="314" t="s">
        <v>482</v>
      </c>
      <c r="T136" s="313" t="s">
        <v>483</v>
      </c>
      <c r="U136" s="314" t="s">
        <v>483</v>
      </c>
      <c r="V136" s="314" t="s">
        <v>484</v>
      </c>
      <c r="W136" s="314" t="s">
        <v>474</v>
      </c>
      <c r="X136" s="314" t="s">
        <v>485</v>
      </c>
      <c r="Y136" s="314" t="s">
        <v>487</v>
      </c>
      <c r="Z136" s="314" t="s">
        <v>488</v>
      </c>
      <c r="AA136" s="314" t="s">
        <v>488</v>
      </c>
      <c r="AB136" s="313" t="s">
        <v>486</v>
      </c>
      <c r="AC136" s="314" t="s">
        <v>488</v>
      </c>
      <c r="AD136" s="314" t="s">
        <v>488</v>
      </c>
      <c r="BG136" s="353"/>
    </row>
    <row r="137" spans="2:59" ht="14">
      <c r="B137" s="315" t="s">
        <v>410</v>
      </c>
      <c r="C137" s="327" t="s">
        <v>437</v>
      </c>
      <c r="D137" s="337" t="s">
        <v>182</v>
      </c>
      <c r="E137" s="327" t="s">
        <v>612</v>
      </c>
      <c r="F137" s="327" t="s">
        <v>454</v>
      </c>
      <c r="G137" s="327" t="s">
        <v>439</v>
      </c>
      <c r="H137" s="327" t="s">
        <v>439</v>
      </c>
      <c r="I137" s="327" t="s">
        <v>183</v>
      </c>
      <c r="J137" s="327" t="s">
        <v>665</v>
      </c>
      <c r="K137" s="327" t="s">
        <v>666</v>
      </c>
      <c r="L137" s="327" t="s">
        <v>156</v>
      </c>
      <c r="M137" s="327" t="s">
        <v>441</v>
      </c>
      <c r="N137" s="327" t="s">
        <v>156</v>
      </c>
      <c r="O137" s="327" t="s">
        <v>183</v>
      </c>
      <c r="P137" s="327" t="s">
        <v>156</v>
      </c>
      <c r="Q137" s="327" t="s">
        <v>442</v>
      </c>
      <c r="R137" s="327" t="s">
        <v>443</v>
      </c>
      <c r="S137" s="327" t="s">
        <v>156</v>
      </c>
      <c r="T137" s="327" t="s">
        <v>156</v>
      </c>
      <c r="U137" s="327" t="s">
        <v>156</v>
      </c>
      <c r="V137" s="327" t="s">
        <v>156</v>
      </c>
      <c r="W137" s="327" t="s">
        <v>156</v>
      </c>
      <c r="X137" s="327" t="s">
        <v>411</v>
      </c>
      <c r="Y137" s="327" t="s">
        <v>444</v>
      </c>
      <c r="Z137" s="327" t="s">
        <v>445</v>
      </c>
      <c r="AA137" s="327" t="s">
        <v>445</v>
      </c>
      <c r="AB137" s="327" t="s">
        <v>446</v>
      </c>
      <c r="AC137" s="327" t="s">
        <v>455</v>
      </c>
      <c r="AD137" s="327" t="s">
        <v>455</v>
      </c>
      <c r="BG137" s="353"/>
    </row>
    <row r="138" spans="2:59" ht="14">
      <c r="B138" s="315" t="s">
        <v>410</v>
      </c>
      <c r="C138" s="327" t="s">
        <v>437</v>
      </c>
      <c r="D138" s="327" t="s">
        <v>612</v>
      </c>
      <c r="E138" s="337" t="s">
        <v>632</v>
      </c>
      <c r="F138" s="327" t="s">
        <v>454</v>
      </c>
      <c r="G138" s="327" t="s">
        <v>614</v>
      </c>
      <c r="H138" s="327"/>
      <c r="I138" s="327" t="s">
        <v>184</v>
      </c>
      <c r="J138" s="327" t="s">
        <v>665</v>
      </c>
      <c r="K138" s="327" t="s">
        <v>666</v>
      </c>
      <c r="L138" s="327" t="s">
        <v>156</v>
      </c>
      <c r="M138" s="327" t="s">
        <v>441</v>
      </c>
      <c r="N138" s="327" t="s">
        <v>156</v>
      </c>
      <c r="O138" s="327" t="s">
        <v>183</v>
      </c>
      <c r="P138" s="327" t="s">
        <v>156</v>
      </c>
      <c r="Q138" s="327" t="s">
        <v>442</v>
      </c>
      <c r="R138" s="327" t="s">
        <v>443</v>
      </c>
      <c r="S138" s="327" t="s">
        <v>156</v>
      </c>
      <c r="T138" s="327" t="s">
        <v>156</v>
      </c>
      <c r="U138" s="327" t="s">
        <v>156</v>
      </c>
      <c r="V138" s="327" t="s">
        <v>156</v>
      </c>
      <c r="W138" s="327" t="s">
        <v>156</v>
      </c>
      <c r="X138" s="327" t="s">
        <v>411</v>
      </c>
      <c r="Y138" s="327" t="s">
        <v>444</v>
      </c>
      <c r="Z138" s="327" t="s">
        <v>445</v>
      </c>
      <c r="AA138" s="327" t="s">
        <v>445</v>
      </c>
      <c r="AB138" s="327" t="s">
        <v>446</v>
      </c>
      <c r="AC138" s="327" t="s">
        <v>455</v>
      </c>
      <c r="AD138" s="327" t="s">
        <v>455</v>
      </c>
      <c r="BG138" s="353"/>
    </row>
    <row r="139" spans="2:59" ht="14">
      <c r="B139" s="315" t="s">
        <v>410</v>
      </c>
      <c r="C139" s="327" t="s">
        <v>437</v>
      </c>
      <c r="D139" s="327" t="s">
        <v>612</v>
      </c>
      <c r="E139" s="337" t="s">
        <v>182</v>
      </c>
      <c r="F139" s="327" t="s">
        <v>454</v>
      </c>
      <c r="G139" s="327" t="s">
        <v>439</v>
      </c>
      <c r="H139" s="327" t="s">
        <v>439</v>
      </c>
      <c r="I139" s="327" t="s">
        <v>183</v>
      </c>
      <c r="J139" s="327" t="s">
        <v>665</v>
      </c>
      <c r="K139" s="327" t="s">
        <v>666</v>
      </c>
      <c r="L139" s="327" t="s">
        <v>156</v>
      </c>
      <c r="M139" s="327" t="s">
        <v>441</v>
      </c>
      <c r="N139" s="327" t="s">
        <v>156</v>
      </c>
      <c r="O139" s="327" t="s">
        <v>183</v>
      </c>
      <c r="P139" s="327" t="s">
        <v>156</v>
      </c>
      <c r="Q139" s="327" t="s">
        <v>442</v>
      </c>
      <c r="R139" s="327" t="s">
        <v>443</v>
      </c>
      <c r="S139" s="327" t="s">
        <v>156</v>
      </c>
      <c r="T139" s="327" t="s">
        <v>156</v>
      </c>
      <c r="U139" s="327" t="s">
        <v>156</v>
      </c>
      <c r="V139" s="327" t="s">
        <v>156</v>
      </c>
      <c r="W139" s="327" t="s">
        <v>156</v>
      </c>
      <c r="X139" s="327" t="s">
        <v>411</v>
      </c>
      <c r="Y139" s="327" t="s">
        <v>444</v>
      </c>
      <c r="Z139" s="327" t="s">
        <v>445</v>
      </c>
      <c r="AA139" s="327" t="s">
        <v>445</v>
      </c>
      <c r="AB139" s="327" t="s">
        <v>446</v>
      </c>
      <c r="AC139" s="327" t="s">
        <v>455</v>
      </c>
      <c r="AD139" s="327" t="s">
        <v>455</v>
      </c>
      <c r="BG139" s="353"/>
    </row>
    <row r="140" spans="2:59" ht="14">
      <c r="B140" s="317" t="s">
        <v>412</v>
      </c>
      <c r="C140" s="316" t="s">
        <v>684</v>
      </c>
      <c r="D140" s="316" t="s">
        <v>612</v>
      </c>
      <c r="E140" s="316" t="s">
        <v>612</v>
      </c>
      <c r="F140" s="316" t="s">
        <v>454</v>
      </c>
      <c r="G140" s="316" t="s">
        <v>439</v>
      </c>
      <c r="H140" s="316" t="s">
        <v>439</v>
      </c>
      <c r="I140" s="413" t="s">
        <v>183</v>
      </c>
      <c r="J140" s="316" t="s">
        <v>440</v>
      </c>
      <c r="K140" s="316" t="s">
        <v>411</v>
      </c>
      <c r="L140" s="316" t="s">
        <v>156</v>
      </c>
      <c r="M140" s="316" t="s">
        <v>441</v>
      </c>
      <c r="N140" s="316" t="s">
        <v>156</v>
      </c>
      <c r="O140" s="316" t="s">
        <v>183</v>
      </c>
      <c r="P140" s="316" t="s">
        <v>156</v>
      </c>
      <c r="Q140" s="316" t="s">
        <v>442</v>
      </c>
      <c r="R140" s="316" t="s">
        <v>443</v>
      </c>
      <c r="S140" s="316" t="s">
        <v>156</v>
      </c>
      <c r="T140" s="316" t="s">
        <v>156</v>
      </c>
      <c r="U140" s="316" t="s">
        <v>156</v>
      </c>
      <c r="V140" s="316" t="s">
        <v>156</v>
      </c>
      <c r="W140" s="316" t="s">
        <v>156</v>
      </c>
      <c r="X140" s="316" t="s">
        <v>411</v>
      </c>
      <c r="Y140" s="316" t="s">
        <v>444</v>
      </c>
      <c r="Z140" s="316" t="s">
        <v>445</v>
      </c>
      <c r="AA140" s="316" t="s">
        <v>445</v>
      </c>
      <c r="AB140" s="316" t="s">
        <v>446</v>
      </c>
      <c r="AC140" s="316" t="s">
        <v>455</v>
      </c>
      <c r="AD140" s="316" t="s">
        <v>455</v>
      </c>
      <c r="BG140" s="353"/>
    </row>
    <row r="141" spans="2:59">
      <c r="B141" s="358"/>
      <c r="BG141" s="353"/>
    </row>
    <row r="142" spans="2:59" ht="15">
      <c r="B142" s="358"/>
      <c r="C142" s="449" t="s">
        <v>489</v>
      </c>
      <c r="D142" s="450"/>
      <c r="E142" s="450"/>
      <c r="F142" s="450"/>
      <c r="G142" s="450"/>
      <c r="H142" s="450"/>
      <c r="I142" s="450"/>
      <c r="J142" s="450"/>
      <c r="K142" s="450"/>
      <c r="L142" s="450"/>
      <c r="M142" s="450"/>
      <c r="N142" s="450"/>
      <c r="O142" s="450"/>
      <c r="P142" s="450"/>
      <c r="Q142" s="450"/>
      <c r="R142" s="450"/>
      <c r="S142" s="450"/>
      <c r="T142" s="450"/>
      <c r="U142" s="92"/>
      <c r="V142" s="92"/>
      <c r="W142" s="92"/>
      <c r="X142" s="92"/>
      <c r="Y142" s="92"/>
      <c r="Z142" s="92"/>
      <c r="AA142" s="93"/>
      <c r="AB142" s="93"/>
      <c r="AC142" s="93"/>
      <c r="AD142" s="93"/>
      <c r="AE142" s="93"/>
      <c r="AF142" s="93"/>
      <c r="AG142" s="93"/>
      <c r="AH142" s="93"/>
      <c r="AI142" s="93"/>
      <c r="AJ142" s="93"/>
      <c r="AK142" s="93"/>
      <c r="AL142" s="93"/>
      <c r="AM142" s="93"/>
      <c r="AN142" s="93"/>
      <c r="AO142" s="93"/>
      <c r="AP142" s="94"/>
      <c r="AQ142" s="94"/>
      <c r="AR142" s="94"/>
      <c r="AS142" s="94"/>
      <c r="AT142" s="94"/>
      <c r="AU142" s="94"/>
      <c r="AV142" s="94"/>
      <c r="AW142" s="94"/>
      <c r="AX142" s="94"/>
      <c r="AY142" s="94"/>
      <c r="AZ142" s="94"/>
      <c r="BA142" s="94"/>
      <c r="BB142" s="94"/>
      <c r="BC142" s="94"/>
      <c r="BD142" s="94"/>
      <c r="BE142" s="94"/>
      <c r="BF142" s="94"/>
      <c r="BG142" s="353"/>
    </row>
    <row r="143" spans="2:59" ht="15">
      <c r="B143" s="358"/>
      <c r="C143" s="322"/>
      <c r="D143" s="322"/>
      <c r="E143" s="322"/>
      <c r="F143" s="319" t="s">
        <v>169</v>
      </c>
      <c r="G143" s="319" t="s">
        <v>169</v>
      </c>
      <c r="H143" s="324" t="s">
        <v>169</v>
      </c>
      <c r="I143" s="319" t="s">
        <v>169</v>
      </c>
      <c r="J143" s="319" t="s">
        <v>169</v>
      </c>
      <c r="K143" s="324"/>
      <c r="L143" s="324"/>
      <c r="M143" s="324"/>
      <c r="N143" s="324"/>
      <c r="O143" s="324"/>
      <c r="P143" s="324"/>
      <c r="Q143" s="324"/>
      <c r="R143" s="324"/>
      <c r="S143" s="324"/>
      <c r="T143" s="324"/>
      <c r="U143" s="324"/>
      <c r="V143" s="324"/>
      <c r="W143" s="324"/>
      <c r="X143" s="324"/>
      <c r="Y143" s="324"/>
      <c r="Z143" s="324"/>
      <c r="AA143" s="325"/>
      <c r="AB143" s="325"/>
      <c r="AC143" s="325"/>
      <c r="AD143" s="325"/>
      <c r="AE143" s="325"/>
      <c r="AF143" s="325"/>
      <c r="AG143" s="325"/>
      <c r="AH143" s="325"/>
      <c r="AI143" s="325"/>
      <c r="AJ143" s="325"/>
      <c r="AK143" s="325"/>
      <c r="AL143" s="325"/>
      <c r="AM143" s="325"/>
      <c r="AN143" s="325"/>
      <c r="AO143" s="325"/>
      <c r="AP143" s="325"/>
      <c r="AQ143" s="325"/>
      <c r="AR143" s="325"/>
      <c r="AS143" s="325"/>
      <c r="AT143" s="325"/>
      <c r="AU143" s="325"/>
      <c r="AV143" s="325"/>
      <c r="AW143" s="325"/>
      <c r="AX143" s="325"/>
      <c r="AY143" s="325"/>
      <c r="AZ143" s="325"/>
      <c r="BA143" s="325"/>
      <c r="BB143" s="325"/>
      <c r="BC143" s="325"/>
      <c r="BD143" s="325"/>
      <c r="BE143" s="325"/>
      <c r="BF143" s="325"/>
      <c r="BG143" s="353"/>
    </row>
    <row r="144" spans="2:59" ht="25">
      <c r="B144" s="358"/>
      <c r="C144" s="312" t="s">
        <v>533</v>
      </c>
      <c r="D144" s="312" t="s">
        <v>588</v>
      </c>
      <c r="E144" s="312" t="s">
        <v>589</v>
      </c>
      <c r="F144" s="314" t="s">
        <v>96</v>
      </c>
      <c r="G144" s="314" t="s">
        <v>99</v>
      </c>
      <c r="H144" s="314" t="s">
        <v>130</v>
      </c>
      <c r="I144" s="314" t="s">
        <v>559</v>
      </c>
      <c r="J144" s="314" t="s">
        <v>127</v>
      </c>
      <c r="K144" s="314" t="s">
        <v>67</v>
      </c>
      <c r="L144" s="314" t="s">
        <v>813</v>
      </c>
      <c r="M144" s="314" t="s">
        <v>534</v>
      </c>
      <c r="N144" s="314" t="s">
        <v>535</v>
      </c>
      <c r="O144" s="314" t="s">
        <v>536</v>
      </c>
      <c r="P144" s="314" t="s">
        <v>537</v>
      </c>
      <c r="Q144" s="314" t="s">
        <v>538</v>
      </c>
      <c r="R144" s="314" t="s">
        <v>539</v>
      </c>
      <c r="S144" s="314" t="s">
        <v>540</v>
      </c>
      <c r="T144" s="314" t="s">
        <v>541</v>
      </c>
      <c r="U144" s="314" t="s">
        <v>542</v>
      </c>
      <c r="V144" s="314" t="s">
        <v>543</v>
      </c>
      <c r="W144" s="314" t="s">
        <v>544</v>
      </c>
      <c r="X144" s="314" t="s">
        <v>545</v>
      </c>
      <c r="Y144" s="314" t="s">
        <v>546</v>
      </c>
      <c r="Z144" s="314" t="s">
        <v>547</v>
      </c>
      <c r="AA144" s="314" t="s">
        <v>548</v>
      </c>
      <c r="AB144" s="314" t="s">
        <v>549</v>
      </c>
      <c r="AC144" s="314" t="s">
        <v>550</v>
      </c>
      <c r="AD144" s="314" t="s">
        <v>551</v>
      </c>
      <c r="AE144" s="314" t="s">
        <v>552</v>
      </c>
      <c r="AF144" s="314" t="s">
        <v>553</v>
      </c>
      <c r="AG144" s="314" t="s">
        <v>554</v>
      </c>
      <c r="AH144" s="314" t="s">
        <v>555</v>
      </c>
      <c r="AI144" s="314" t="s">
        <v>556</v>
      </c>
      <c r="AJ144" s="314" t="s">
        <v>558</v>
      </c>
      <c r="AK144" s="314" t="s">
        <v>557</v>
      </c>
      <c r="AL144" s="314" t="s">
        <v>566</v>
      </c>
      <c r="AM144" s="314" t="s">
        <v>560</v>
      </c>
      <c r="AN144" s="314" t="s">
        <v>561</v>
      </c>
      <c r="AO144" s="314" t="s">
        <v>562</v>
      </c>
      <c r="AP144" s="314" t="s">
        <v>563</v>
      </c>
      <c r="AQ144" s="314" t="s">
        <v>567</v>
      </c>
      <c r="AR144" s="314" t="s">
        <v>564</v>
      </c>
      <c r="AS144" s="314" t="s">
        <v>565</v>
      </c>
      <c r="AT144" s="314" t="s">
        <v>568</v>
      </c>
      <c r="AU144" s="314" t="s">
        <v>569</v>
      </c>
      <c r="AV144" s="314" t="s">
        <v>570</v>
      </c>
      <c r="AW144" s="314" t="s">
        <v>571</v>
      </c>
      <c r="AX144" s="314" t="s">
        <v>572</v>
      </c>
      <c r="AY144" s="314" t="s">
        <v>573</v>
      </c>
      <c r="AZ144" s="314" t="s">
        <v>397</v>
      </c>
      <c r="BA144" s="314" t="s">
        <v>398</v>
      </c>
      <c r="BB144" s="314" t="s">
        <v>399</v>
      </c>
      <c r="BC144" s="314" t="s">
        <v>400</v>
      </c>
      <c r="BD144" s="314" t="s">
        <v>151</v>
      </c>
      <c r="BE144" s="314" t="s">
        <v>152</v>
      </c>
      <c r="BF144" s="314" t="s">
        <v>401</v>
      </c>
      <c r="BG144" s="353"/>
    </row>
    <row r="145" spans="2:59">
      <c r="B145" s="358"/>
      <c r="C145" s="312" t="s">
        <v>371</v>
      </c>
      <c r="D145" s="312" t="s">
        <v>381</v>
      </c>
      <c r="E145" s="312" t="s">
        <v>390</v>
      </c>
      <c r="F145" s="313" t="s">
        <v>490</v>
      </c>
      <c r="G145" s="313" t="s">
        <v>491</v>
      </c>
      <c r="H145" s="313" t="s">
        <v>492</v>
      </c>
      <c r="I145" s="313" t="s">
        <v>519</v>
      </c>
      <c r="J145" s="313" t="s">
        <v>525</v>
      </c>
      <c r="K145" s="313" t="s">
        <v>419</v>
      </c>
      <c r="L145" s="313" t="s">
        <v>420</v>
      </c>
      <c r="M145" s="313" t="s">
        <v>493</v>
      </c>
      <c r="N145" s="313" t="s">
        <v>494</v>
      </c>
      <c r="O145" s="313" t="s">
        <v>495</v>
      </c>
      <c r="P145" s="313" t="s">
        <v>496</v>
      </c>
      <c r="Q145" s="313" t="s">
        <v>497</v>
      </c>
      <c r="R145" s="313" t="s">
        <v>498</v>
      </c>
      <c r="S145" s="313" t="s">
        <v>499</v>
      </c>
      <c r="T145" s="313" t="s">
        <v>500</v>
      </c>
      <c r="U145" s="313" t="s">
        <v>501</v>
      </c>
      <c r="V145" s="313" t="s">
        <v>502</v>
      </c>
      <c r="W145" s="313" t="s">
        <v>503</v>
      </c>
      <c r="X145" s="313" t="s">
        <v>504</v>
      </c>
      <c r="Y145" s="313" t="s">
        <v>505</v>
      </c>
      <c r="Z145" s="313" t="s">
        <v>506</v>
      </c>
      <c r="AA145" s="313" t="s">
        <v>507</v>
      </c>
      <c r="AB145" s="313" t="s">
        <v>508</v>
      </c>
      <c r="AC145" s="313" t="s">
        <v>509</v>
      </c>
      <c r="AD145" s="313" t="s">
        <v>510</v>
      </c>
      <c r="AE145" s="313" t="s">
        <v>511</v>
      </c>
      <c r="AF145" s="313" t="s">
        <v>512</v>
      </c>
      <c r="AG145" s="313" t="s">
        <v>513</v>
      </c>
      <c r="AH145" s="313" t="s">
        <v>514</v>
      </c>
      <c r="AI145" s="313" t="s">
        <v>515</v>
      </c>
      <c r="AJ145" s="313" t="s">
        <v>516</v>
      </c>
      <c r="AK145" s="313" t="s">
        <v>517</v>
      </c>
      <c r="AL145" s="313" t="s">
        <v>518</v>
      </c>
      <c r="AM145" s="313" t="s">
        <v>520</v>
      </c>
      <c r="AN145" s="313" t="s">
        <v>521</v>
      </c>
      <c r="AO145" s="313" t="s">
        <v>522</v>
      </c>
      <c r="AP145" s="313" t="s">
        <v>402</v>
      </c>
      <c r="AQ145" s="313" t="s">
        <v>523</v>
      </c>
      <c r="AR145" s="313" t="s">
        <v>524</v>
      </c>
      <c r="AS145" s="313" t="s">
        <v>526</v>
      </c>
      <c r="AT145" s="313" t="s">
        <v>527</v>
      </c>
      <c r="AU145" s="313" t="s">
        <v>528</v>
      </c>
      <c r="AV145" s="313" t="s">
        <v>529</v>
      </c>
      <c r="AW145" s="313" t="s">
        <v>530</v>
      </c>
      <c r="AX145" s="313" t="s">
        <v>531</v>
      </c>
      <c r="AY145" s="313" t="s">
        <v>532</v>
      </c>
      <c r="AZ145" s="313" t="s">
        <v>403</v>
      </c>
      <c r="BA145" s="313" t="s">
        <v>404</v>
      </c>
      <c r="BB145" s="313" t="s">
        <v>405</v>
      </c>
      <c r="BC145" s="313" t="s">
        <v>406</v>
      </c>
      <c r="BD145" s="313" t="s">
        <v>407</v>
      </c>
      <c r="BE145" s="313" t="s">
        <v>408</v>
      </c>
      <c r="BF145" s="313" t="s">
        <v>409</v>
      </c>
      <c r="BG145" s="353"/>
    </row>
    <row r="146" spans="2:59">
      <c r="B146" s="358"/>
      <c r="C146" s="312" t="s">
        <v>472</v>
      </c>
      <c r="D146" s="312" t="s">
        <v>574</v>
      </c>
      <c r="E146" s="312" t="s">
        <v>473</v>
      </c>
      <c r="F146" s="326" t="s">
        <v>474</v>
      </c>
      <c r="G146" s="326" t="s">
        <v>474</v>
      </c>
      <c r="H146" s="326" t="s">
        <v>474</v>
      </c>
      <c r="I146" s="326" t="s">
        <v>474</v>
      </c>
      <c r="J146" s="326" t="s">
        <v>476</v>
      </c>
      <c r="K146" s="326" t="s">
        <v>474</v>
      </c>
      <c r="L146" s="326" t="s">
        <v>474</v>
      </c>
      <c r="M146" s="326" t="s">
        <v>575</v>
      </c>
      <c r="N146" s="326" t="s">
        <v>575</v>
      </c>
      <c r="O146" s="326" t="s">
        <v>473</v>
      </c>
      <c r="P146" s="326" t="s">
        <v>576</v>
      </c>
      <c r="Q146" s="326" t="s">
        <v>474</v>
      </c>
      <c r="R146" s="326" t="s">
        <v>481</v>
      </c>
      <c r="S146" s="326" t="s">
        <v>476</v>
      </c>
      <c r="T146" s="326" t="s">
        <v>481</v>
      </c>
      <c r="U146" s="326" t="s">
        <v>476</v>
      </c>
      <c r="V146" s="326" t="s">
        <v>476</v>
      </c>
      <c r="W146" s="326" t="s">
        <v>474</v>
      </c>
      <c r="X146" s="326" t="s">
        <v>577</v>
      </c>
      <c r="Y146" s="326" t="s">
        <v>577</v>
      </c>
      <c r="Z146" s="326" t="s">
        <v>478</v>
      </c>
      <c r="AA146" s="326" t="s">
        <v>576</v>
      </c>
      <c r="AB146" s="326" t="s">
        <v>576</v>
      </c>
      <c r="AC146" s="326" t="s">
        <v>476</v>
      </c>
      <c r="AD146" s="326" t="s">
        <v>480</v>
      </c>
      <c r="AE146" s="326" t="s">
        <v>481</v>
      </c>
      <c r="AF146" s="326" t="s">
        <v>481</v>
      </c>
      <c r="AG146" s="326" t="s">
        <v>578</v>
      </c>
      <c r="AH146" s="326" t="s">
        <v>578</v>
      </c>
      <c r="AI146" s="326" t="s">
        <v>481</v>
      </c>
      <c r="AJ146" s="326" t="s">
        <v>481</v>
      </c>
      <c r="AK146" s="326" t="s">
        <v>578</v>
      </c>
      <c r="AL146" s="326" t="s">
        <v>578</v>
      </c>
      <c r="AM146" s="326" t="s">
        <v>474</v>
      </c>
      <c r="AN146" s="326" t="s">
        <v>474</v>
      </c>
      <c r="AO146" s="326" t="s">
        <v>474</v>
      </c>
      <c r="AP146" s="326" t="s">
        <v>478</v>
      </c>
      <c r="AQ146" s="326" t="s">
        <v>473</v>
      </c>
      <c r="AR146" s="326" t="s">
        <v>474</v>
      </c>
      <c r="AS146" s="326" t="s">
        <v>476</v>
      </c>
      <c r="AT146" s="326" t="s">
        <v>474</v>
      </c>
      <c r="AU146" s="326" t="s">
        <v>579</v>
      </c>
      <c r="AV146" s="326" t="s">
        <v>481</v>
      </c>
      <c r="AW146" s="326" t="s">
        <v>478</v>
      </c>
      <c r="AX146" s="326" t="s">
        <v>474</v>
      </c>
      <c r="AY146" s="326" t="s">
        <v>474</v>
      </c>
      <c r="AZ146" s="326" t="s">
        <v>485</v>
      </c>
      <c r="BA146" s="326" t="s">
        <v>486</v>
      </c>
      <c r="BB146" s="326" t="s">
        <v>488</v>
      </c>
      <c r="BC146" s="326" t="s">
        <v>488</v>
      </c>
      <c r="BD146" s="326" t="s">
        <v>486</v>
      </c>
      <c r="BE146" s="326" t="s">
        <v>488</v>
      </c>
      <c r="BF146" s="326" t="s">
        <v>488</v>
      </c>
      <c r="BG146" s="353"/>
    </row>
    <row r="147" spans="2:59" ht="14">
      <c r="B147" s="315" t="s">
        <v>410</v>
      </c>
      <c r="C147" s="327" t="s">
        <v>437</v>
      </c>
      <c r="D147" s="337" t="s">
        <v>182</v>
      </c>
      <c r="E147" s="327" t="s">
        <v>612</v>
      </c>
      <c r="F147" s="327" t="s">
        <v>185</v>
      </c>
      <c r="G147" s="327" t="s">
        <v>411</v>
      </c>
      <c r="H147" s="327" t="s">
        <v>411</v>
      </c>
      <c r="I147" s="327">
        <v>0</v>
      </c>
      <c r="J147" s="327">
        <v>30</v>
      </c>
      <c r="K147" s="327" t="s">
        <v>439</v>
      </c>
      <c r="L147" s="327" t="s">
        <v>439</v>
      </c>
      <c r="M147" s="327" t="s">
        <v>156</v>
      </c>
      <c r="N147" s="327" t="s">
        <v>156</v>
      </c>
      <c r="O147" s="327" t="s">
        <v>584</v>
      </c>
      <c r="P147" s="327" t="s">
        <v>156</v>
      </c>
      <c r="Q147" s="327" t="s">
        <v>585</v>
      </c>
      <c r="R147" s="327" t="s">
        <v>183</v>
      </c>
      <c r="S147" s="327" t="s">
        <v>666</v>
      </c>
      <c r="T147" s="327" t="s">
        <v>581</v>
      </c>
      <c r="U147" s="327" t="s">
        <v>667</v>
      </c>
      <c r="V147" s="327" t="s">
        <v>668</v>
      </c>
      <c r="W147" s="327" t="s">
        <v>183</v>
      </c>
      <c r="X147" s="327" t="s">
        <v>669</v>
      </c>
      <c r="Y147" s="327" t="s">
        <v>669</v>
      </c>
      <c r="Z147" s="327"/>
      <c r="AA147" s="327"/>
      <c r="AB147" s="327" t="s">
        <v>587</v>
      </c>
      <c r="AC147" s="327">
        <v>5000</v>
      </c>
      <c r="AD147" s="327">
        <v>99999999</v>
      </c>
      <c r="AE147" s="327">
        <v>0</v>
      </c>
      <c r="AF147" s="327">
        <v>2</v>
      </c>
      <c r="AG147" s="327">
        <v>0</v>
      </c>
      <c r="AH147" s="327">
        <v>0</v>
      </c>
      <c r="AI147" s="327">
        <v>0</v>
      </c>
      <c r="AJ147" s="327">
        <v>0</v>
      </c>
      <c r="AK147" s="327">
        <v>0</v>
      </c>
      <c r="AL147" s="327">
        <v>0</v>
      </c>
      <c r="AM147" s="327">
        <v>1</v>
      </c>
      <c r="AN147" s="327">
        <v>0</v>
      </c>
      <c r="AO147" s="327">
        <v>0</v>
      </c>
      <c r="AP147" s="327">
        <v>1</v>
      </c>
      <c r="AQ147" s="327">
        <v>1111</v>
      </c>
      <c r="AR147" s="327" t="s">
        <v>583</v>
      </c>
      <c r="AS147" s="327">
        <v>10</v>
      </c>
      <c r="AT147" s="327">
        <v>1</v>
      </c>
      <c r="AU147" s="327">
        <v>0</v>
      </c>
      <c r="AV147" s="327">
        <v>0</v>
      </c>
      <c r="AW147" s="327">
        <v>0</v>
      </c>
      <c r="AX147" s="327">
        <v>0</v>
      </c>
      <c r="AY147" s="327">
        <v>1</v>
      </c>
      <c r="AZ147" s="327">
        <v>0</v>
      </c>
      <c r="BA147" s="327">
        <v>40640.750486111108</v>
      </c>
      <c r="BB147" s="327">
        <v>470195</v>
      </c>
      <c r="BC147" s="327">
        <v>470195</v>
      </c>
      <c r="BD147" s="327">
        <v>45392.67769675926</v>
      </c>
      <c r="BE147" s="327">
        <v>363363</v>
      </c>
      <c r="BF147" s="327">
        <v>363363</v>
      </c>
      <c r="BG147" s="353"/>
    </row>
    <row r="148" spans="2:59" ht="14">
      <c r="B148" s="315" t="s">
        <v>410</v>
      </c>
      <c r="C148" s="327" t="s">
        <v>437</v>
      </c>
      <c r="D148" s="327" t="s">
        <v>612</v>
      </c>
      <c r="E148" s="337" t="s">
        <v>182</v>
      </c>
      <c r="F148" s="327" t="s">
        <v>185</v>
      </c>
      <c r="G148" s="327" t="s">
        <v>411</v>
      </c>
      <c r="H148" s="327" t="s">
        <v>411</v>
      </c>
      <c r="I148" s="327" t="s">
        <v>411</v>
      </c>
      <c r="J148" s="327" t="s">
        <v>675</v>
      </c>
      <c r="K148" s="327" t="s">
        <v>439</v>
      </c>
      <c r="L148" s="327" t="s">
        <v>439</v>
      </c>
      <c r="M148" s="327" t="s">
        <v>156</v>
      </c>
      <c r="N148" s="327" t="s">
        <v>156</v>
      </c>
      <c r="O148" s="327" t="s">
        <v>584</v>
      </c>
      <c r="P148" s="327" t="s">
        <v>156</v>
      </c>
      <c r="Q148" s="327" t="s">
        <v>585</v>
      </c>
      <c r="R148" s="327" t="s">
        <v>183</v>
      </c>
      <c r="S148" s="327" t="s">
        <v>666</v>
      </c>
      <c r="T148" s="327" t="s">
        <v>581</v>
      </c>
      <c r="U148" s="327" t="s">
        <v>667</v>
      </c>
      <c r="V148" s="327" t="s">
        <v>668</v>
      </c>
      <c r="W148" s="327" t="s">
        <v>183</v>
      </c>
      <c r="X148" s="327" t="s">
        <v>669</v>
      </c>
      <c r="Y148" s="327" t="s">
        <v>669</v>
      </c>
      <c r="Z148" s="327"/>
      <c r="AA148" s="327"/>
      <c r="AB148" s="327" t="s">
        <v>587</v>
      </c>
      <c r="AC148" s="327" t="s">
        <v>668</v>
      </c>
      <c r="AD148" s="327" t="s">
        <v>673</v>
      </c>
      <c r="AE148" s="327" t="s">
        <v>411</v>
      </c>
      <c r="AF148" s="327" t="s">
        <v>439</v>
      </c>
      <c r="AG148" s="327" t="s">
        <v>411</v>
      </c>
      <c r="AH148" s="327" t="s">
        <v>411</v>
      </c>
      <c r="AI148" s="327" t="s">
        <v>411</v>
      </c>
      <c r="AJ148" s="327" t="s">
        <v>411</v>
      </c>
      <c r="AK148" s="327" t="s">
        <v>411</v>
      </c>
      <c r="AL148" s="327" t="s">
        <v>411</v>
      </c>
      <c r="AM148" s="327" t="s">
        <v>183</v>
      </c>
      <c r="AN148" s="327" t="s">
        <v>411</v>
      </c>
      <c r="AO148" s="327" t="s">
        <v>411</v>
      </c>
      <c r="AP148" s="327" t="s">
        <v>413</v>
      </c>
      <c r="AQ148" s="327" t="s">
        <v>674</v>
      </c>
      <c r="AR148" s="327" t="s">
        <v>583</v>
      </c>
      <c r="AS148" s="327" t="s">
        <v>676</v>
      </c>
      <c r="AT148" s="327" t="s">
        <v>183</v>
      </c>
      <c r="AU148" s="327" t="s">
        <v>666</v>
      </c>
      <c r="AV148" s="327" t="s">
        <v>411</v>
      </c>
      <c r="AW148" s="327" t="s">
        <v>441</v>
      </c>
      <c r="AX148" s="327" t="s">
        <v>411</v>
      </c>
      <c r="AY148" s="327" t="s">
        <v>183</v>
      </c>
      <c r="AZ148" s="327" t="s">
        <v>411</v>
      </c>
      <c r="BA148" s="327" t="s">
        <v>450</v>
      </c>
      <c r="BB148" s="327" t="s">
        <v>451</v>
      </c>
      <c r="BC148" s="327" t="s">
        <v>451</v>
      </c>
      <c r="BD148" s="327" t="s">
        <v>677</v>
      </c>
      <c r="BE148" s="327" t="s">
        <v>678</v>
      </c>
      <c r="BF148" s="327" t="s">
        <v>678</v>
      </c>
      <c r="BG148" s="353"/>
    </row>
    <row r="149" spans="2:59" ht="14">
      <c r="B149" s="315" t="s">
        <v>410</v>
      </c>
      <c r="C149" s="327" t="s">
        <v>437</v>
      </c>
      <c r="D149" s="327" t="s">
        <v>612</v>
      </c>
      <c r="E149" s="337" t="s">
        <v>632</v>
      </c>
      <c r="F149" s="327" t="s">
        <v>185</v>
      </c>
      <c r="G149" s="327" t="s">
        <v>411</v>
      </c>
      <c r="H149" s="327" t="s">
        <v>411</v>
      </c>
      <c r="I149" s="327" t="s">
        <v>411</v>
      </c>
      <c r="J149" s="327" t="s">
        <v>675</v>
      </c>
      <c r="K149" s="327" t="s">
        <v>614</v>
      </c>
      <c r="L149" s="327"/>
      <c r="M149" s="327" t="s">
        <v>156</v>
      </c>
      <c r="N149" s="327" t="s">
        <v>156</v>
      </c>
      <c r="O149" s="327" t="s">
        <v>584</v>
      </c>
      <c r="P149" s="327" t="s">
        <v>156</v>
      </c>
      <c r="Q149" s="327" t="s">
        <v>585</v>
      </c>
      <c r="R149" s="327" t="s">
        <v>183</v>
      </c>
      <c r="S149" s="327" t="s">
        <v>666</v>
      </c>
      <c r="T149" s="327" t="s">
        <v>581</v>
      </c>
      <c r="U149" s="327" t="s">
        <v>667</v>
      </c>
      <c r="V149" s="327" t="s">
        <v>668</v>
      </c>
      <c r="W149" s="327" t="s">
        <v>183</v>
      </c>
      <c r="X149" s="327" t="s">
        <v>669</v>
      </c>
      <c r="Y149" s="327" t="s">
        <v>669</v>
      </c>
      <c r="Z149" s="327"/>
      <c r="AA149" s="327"/>
      <c r="AB149" s="327" t="s">
        <v>587</v>
      </c>
      <c r="AC149" s="327" t="s">
        <v>668</v>
      </c>
      <c r="AD149" s="327" t="s">
        <v>673</v>
      </c>
      <c r="AE149" s="327" t="s">
        <v>411</v>
      </c>
      <c r="AF149" s="327" t="s">
        <v>439</v>
      </c>
      <c r="AG149" s="327" t="s">
        <v>411</v>
      </c>
      <c r="AH149" s="327" t="s">
        <v>411</v>
      </c>
      <c r="AI149" s="327" t="s">
        <v>411</v>
      </c>
      <c r="AJ149" s="327" t="s">
        <v>411</v>
      </c>
      <c r="AK149" s="327" t="s">
        <v>411</v>
      </c>
      <c r="AL149" s="327" t="s">
        <v>411</v>
      </c>
      <c r="AM149" s="327" t="s">
        <v>183</v>
      </c>
      <c r="AN149" s="327" t="s">
        <v>411</v>
      </c>
      <c r="AO149" s="327" t="s">
        <v>411</v>
      </c>
      <c r="AP149" s="327" t="s">
        <v>413</v>
      </c>
      <c r="AQ149" s="327" t="s">
        <v>674</v>
      </c>
      <c r="AR149" s="327" t="s">
        <v>583</v>
      </c>
      <c r="AS149" s="327" t="s">
        <v>676</v>
      </c>
      <c r="AT149" s="327" t="s">
        <v>183</v>
      </c>
      <c r="AU149" s="327" t="s">
        <v>666</v>
      </c>
      <c r="AV149" s="327" t="s">
        <v>411</v>
      </c>
      <c r="AW149" s="327" t="s">
        <v>441</v>
      </c>
      <c r="AX149" s="327" t="s">
        <v>411</v>
      </c>
      <c r="AY149" s="327" t="s">
        <v>183</v>
      </c>
      <c r="AZ149" s="327" t="s">
        <v>411</v>
      </c>
      <c r="BA149" s="327" t="s">
        <v>450</v>
      </c>
      <c r="BB149" s="327" t="s">
        <v>451</v>
      </c>
      <c r="BC149" s="327" t="s">
        <v>451</v>
      </c>
      <c r="BD149" s="327" t="s">
        <v>677</v>
      </c>
      <c r="BE149" s="327" t="s">
        <v>678</v>
      </c>
      <c r="BF149" s="327" t="s">
        <v>678</v>
      </c>
      <c r="BG149" s="353"/>
    </row>
    <row r="150" spans="2:59" ht="14">
      <c r="B150" s="317" t="s">
        <v>412</v>
      </c>
      <c r="C150" s="327" t="s">
        <v>437</v>
      </c>
      <c r="D150" s="327" t="s">
        <v>612</v>
      </c>
      <c r="E150" s="327" t="s">
        <v>612</v>
      </c>
      <c r="F150" s="327" t="s">
        <v>185</v>
      </c>
      <c r="G150" s="327" t="s">
        <v>411</v>
      </c>
      <c r="H150" s="327" t="s">
        <v>411</v>
      </c>
      <c r="I150" s="327">
        <v>0</v>
      </c>
      <c r="J150" s="327">
        <v>30</v>
      </c>
      <c r="K150" s="327" t="s">
        <v>439</v>
      </c>
      <c r="L150" s="327" t="s">
        <v>439</v>
      </c>
      <c r="M150" s="327" t="s">
        <v>156</v>
      </c>
      <c r="N150" s="327" t="s">
        <v>156</v>
      </c>
      <c r="O150" s="327" t="s">
        <v>584</v>
      </c>
      <c r="P150" s="327" t="s">
        <v>156</v>
      </c>
      <c r="Q150" s="327" t="s">
        <v>585</v>
      </c>
      <c r="R150" s="327" t="s">
        <v>183</v>
      </c>
      <c r="S150" s="327" t="s">
        <v>411</v>
      </c>
      <c r="T150" s="327" t="s">
        <v>581</v>
      </c>
      <c r="U150" s="327" t="s">
        <v>582</v>
      </c>
      <c r="V150" s="327" t="s">
        <v>586</v>
      </c>
      <c r="W150" s="327" t="s">
        <v>183</v>
      </c>
      <c r="X150" s="327" t="s">
        <v>411</v>
      </c>
      <c r="Y150" s="327" t="s">
        <v>411</v>
      </c>
      <c r="Z150" s="327"/>
      <c r="AA150" s="327"/>
      <c r="AB150" s="327" t="s">
        <v>587</v>
      </c>
      <c r="AC150" s="327">
        <v>5000</v>
      </c>
      <c r="AD150" s="327">
        <v>99999999</v>
      </c>
      <c r="AE150" s="327" t="s">
        <v>411</v>
      </c>
      <c r="AF150" s="327" t="s">
        <v>439</v>
      </c>
      <c r="AG150" s="327" t="s">
        <v>411</v>
      </c>
      <c r="AH150" s="327" t="s">
        <v>411</v>
      </c>
      <c r="AI150" s="327">
        <v>0</v>
      </c>
      <c r="AJ150" s="327">
        <v>0</v>
      </c>
      <c r="AK150" s="327">
        <v>0</v>
      </c>
      <c r="AL150" s="327">
        <v>0</v>
      </c>
      <c r="AM150" s="327" t="s">
        <v>183</v>
      </c>
      <c r="AN150" s="327">
        <v>0</v>
      </c>
      <c r="AO150" s="327" t="s">
        <v>411</v>
      </c>
      <c r="AP150" s="327">
        <v>1</v>
      </c>
      <c r="AQ150" s="327">
        <v>1111</v>
      </c>
      <c r="AR150" s="327" t="s">
        <v>583</v>
      </c>
      <c r="AS150" s="327">
        <v>10</v>
      </c>
      <c r="AT150" s="327">
        <v>1</v>
      </c>
      <c r="AU150" s="327">
        <v>0</v>
      </c>
      <c r="AV150" s="327">
        <v>0</v>
      </c>
      <c r="AW150" s="327">
        <v>0</v>
      </c>
      <c r="AX150" s="327">
        <v>0</v>
      </c>
      <c r="AY150" s="327">
        <v>1</v>
      </c>
      <c r="AZ150" s="327">
        <v>0</v>
      </c>
      <c r="BA150" s="327">
        <v>40640.750486111108</v>
      </c>
      <c r="BB150" s="327">
        <v>470195</v>
      </c>
      <c r="BC150" s="327">
        <v>470195</v>
      </c>
      <c r="BD150" s="327">
        <v>45392.67769675926</v>
      </c>
      <c r="BE150" s="327">
        <v>363363</v>
      </c>
      <c r="BF150" s="327">
        <v>363363</v>
      </c>
      <c r="BG150" s="353"/>
    </row>
    <row r="151" spans="2:59">
      <c r="B151" s="358"/>
      <c r="BG151" s="353"/>
    </row>
    <row r="152" spans="2:59" ht="14">
      <c r="B152" s="358"/>
      <c r="C152" s="359" t="s">
        <v>153</v>
      </c>
      <c r="BG152" s="353"/>
    </row>
    <row r="153" spans="2:59" ht="14">
      <c r="B153" s="358"/>
      <c r="C153" s="359" t="s">
        <v>590</v>
      </c>
      <c r="D153" s="359" t="s">
        <v>591</v>
      </c>
      <c r="E153" s="359" t="s">
        <v>159</v>
      </c>
      <c r="F153" s="359" t="s">
        <v>592</v>
      </c>
      <c r="G153" s="359" t="s">
        <v>593</v>
      </c>
      <c r="H153" s="359" t="s">
        <v>594</v>
      </c>
      <c r="I153" s="359" t="s">
        <v>595</v>
      </c>
      <c r="J153" s="359" t="s">
        <v>596</v>
      </c>
      <c r="K153" s="359" t="s">
        <v>597</v>
      </c>
      <c r="L153" s="359" t="s">
        <v>598</v>
      </c>
      <c r="M153" s="359" t="s">
        <v>599</v>
      </c>
      <c r="BG153" s="353"/>
    </row>
    <row r="154" spans="2:59" ht="14">
      <c r="B154" s="358"/>
      <c r="C154" s="359">
        <v>-2</v>
      </c>
      <c r="D154" s="359" t="s">
        <v>156</v>
      </c>
      <c r="E154" s="359" t="s">
        <v>761</v>
      </c>
      <c r="F154" s="359" t="s">
        <v>753</v>
      </c>
      <c r="G154" s="359" t="s">
        <v>623</v>
      </c>
      <c r="H154" s="359" t="s">
        <v>156</v>
      </c>
      <c r="I154" s="359" t="s">
        <v>156</v>
      </c>
      <c r="J154" s="359" t="s">
        <v>156</v>
      </c>
      <c r="K154" s="359" t="s">
        <v>156</v>
      </c>
      <c r="L154" s="359">
        <v>0</v>
      </c>
      <c r="M154" s="359" t="s">
        <v>156</v>
      </c>
      <c r="BG154" s="353"/>
    </row>
    <row r="155" spans="2:59" ht="13.5" thickBot="1">
      <c r="B155" s="358"/>
      <c r="BG155" s="353"/>
    </row>
    <row r="156" spans="2:59" ht="14" thickBot="1">
      <c r="B156" s="299" t="s">
        <v>624</v>
      </c>
      <c r="C156" s="300" t="s">
        <v>625</v>
      </c>
      <c r="D156" s="300"/>
      <c r="E156" s="300"/>
      <c r="F156" s="300"/>
      <c r="G156" s="300"/>
      <c r="H156" s="300"/>
      <c r="I156" s="300"/>
      <c r="J156" s="300"/>
      <c r="K156" s="300"/>
      <c r="L156" s="300"/>
      <c r="M156" s="300"/>
      <c r="N156" s="300"/>
      <c r="O156" s="300"/>
      <c r="P156" s="300"/>
      <c r="Q156" s="300"/>
      <c r="R156" s="300"/>
      <c r="S156" s="300"/>
      <c r="T156" s="300"/>
      <c r="U156" s="300"/>
      <c r="V156" s="300"/>
      <c r="W156" s="300"/>
      <c r="X156" s="300"/>
      <c r="Y156" s="300"/>
      <c r="Z156" s="300"/>
      <c r="AA156" s="300"/>
      <c r="AB156" s="300"/>
      <c r="AC156" s="300"/>
      <c r="AD156" s="300"/>
      <c r="AE156" s="300"/>
      <c r="AF156" s="300"/>
      <c r="AG156" s="300"/>
      <c r="AH156" s="300"/>
      <c r="AI156" s="300"/>
      <c r="AJ156" s="300"/>
      <c r="AK156" s="300"/>
      <c r="AL156" s="300"/>
      <c r="AM156" s="300"/>
      <c r="AN156" s="300"/>
      <c r="AO156" s="300"/>
      <c r="AP156" s="300"/>
      <c r="AQ156" s="300"/>
      <c r="AR156" s="300"/>
      <c r="AS156" s="300"/>
      <c r="AT156" s="300"/>
      <c r="AU156" s="300"/>
      <c r="AV156" s="300"/>
      <c r="AW156" s="300"/>
      <c r="AX156" s="300"/>
      <c r="AY156" s="300"/>
      <c r="AZ156" s="300"/>
      <c r="BA156" s="300"/>
      <c r="BB156" s="300"/>
      <c r="BC156" s="300"/>
      <c r="BD156" s="300"/>
      <c r="BE156" s="300"/>
      <c r="BF156" s="300"/>
      <c r="BG156" s="353"/>
    </row>
    <row r="157" spans="2:59" ht="14" thickBot="1">
      <c r="B157" s="335" t="s">
        <v>601</v>
      </c>
      <c r="C157" s="300" t="s">
        <v>395</v>
      </c>
      <c r="D157" s="300"/>
      <c r="E157" s="300"/>
      <c r="F157" s="300"/>
      <c r="G157" s="300"/>
      <c r="H157" s="300"/>
      <c r="I157" s="300"/>
      <c r="J157" s="300"/>
      <c r="K157" s="300"/>
      <c r="L157" s="300"/>
      <c r="M157" s="300"/>
      <c r="N157" s="300"/>
      <c r="O157" s="300"/>
      <c r="P157" s="300"/>
      <c r="Q157" s="300"/>
      <c r="R157" s="300"/>
      <c r="S157" s="300"/>
      <c r="T157" s="300"/>
      <c r="U157" s="300"/>
      <c r="V157" s="300"/>
      <c r="W157" s="300"/>
      <c r="X157" s="300"/>
      <c r="Y157" s="300"/>
      <c r="Z157" s="300"/>
      <c r="AA157" s="300"/>
      <c r="AB157" s="300"/>
      <c r="AC157" s="300"/>
      <c r="AD157" s="300"/>
      <c r="AE157" s="300"/>
      <c r="AF157" s="300"/>
      <c r="AG157" s="300"/>
      <c r="AH157" s="300"/>
      <c r="AI157" s="300"/>
      <c r="AJ157" s="300"/>
      <c r="AK157" s="300"/>
      <c r="AL157" s="300"/>
      <c r="AM157" s="300"/>
      <c r="AN157" s="300"/>
      <c r="AO157" s="300"/>
      <c r="AP157" s="300"/>
      <c r="AQ157" s="300"/>
      <c r="AR157" s="300"/>
      <c r="AS157" s="300"/>
      <c r="AT157" s="300"/>
      <c r="AU157" s="300"/>
      <c r="AV157" s="300"/>
      <c r="AW157" s="300"/>
      <c r="AX157" s="300"/>
      <c r="AY157" s="300"/>
      <c r="AZ157" s="300"/>
      <c r="BA157" s="300"/>
      <c r="BB157" s="300"/>
      <c r="BC157" s="300"/>
      <c r="BD157" s="300"/>
      <c r="BE157" s="300"/>
      <c r="BF157" s="300"/>
      <c r="BG157" s="353"/>
    </row>
    <row r="158" spans="2:59">
      <c r="B158" s="358"/>
      <c r="BG158" s="353"/>
    </row>
    <row r="159" spans="2:59" ht="13.5">
      <c r="B159" s="358"/>
      <c r="C159" s="356" t="s">
        <v>396</v>
      </c>
      <c r="BG159" s="353"/>
    </row>
    <row r="160" spans="2:59" ht="13.5">
      <c r="B160" s="358"/>
      <c r="C160" s="356" t="s">
        <v>817</v>
      </c>
      <c r="BG160" s="353"/>
    </row>
    <row r="161" spans="2:59">
      <c r="B161" s="358"/>
      <c r="BG161" s="353"/>
    </row>
    <row r="162" spans="2:59" ht="15">
      <c r="B162" s="358"/>
      <c r="C162" s="449" t="s">
        <v>436</v>
      </c>
      <c r="D162" s="450"/>
      <c r="E162" s="450"/>
      <c r="F162" s="451"/>
      <c r="G162" s="451"/>
      <c r="H162" s="451"/>
      <c r="I162" s="451"/>
      <c r="J162" s="451"/>
      <c r="K162" s="451"/>
      <c r="L162" s="451"/>
      <c r="M162" s="451"/>
      <c r="N162" s="451"/>
      <c r="O162" s="451"/>
      <c r="P162" s="451"/>
      <c r="Q162" s="451"/>
      <c r="R162" s="451"/>
      <c r="S162" s="451"/>
      <c r="T162" s="451"/>
      <c r="U162" s="451"/>
      <c r="V162" s="451"/>
      <c r="W162" s="451"/>
      <c r="X162" s="451"/>
      <c r="Y162" s="451"/>
      <c r="Z162" s="452"/>
      <c r="AA162" s="68"/>
      <c r="AB162" s="68"/>
      <c r="AC162" s="68"/>
      <c r="AD162" s="68"/>
      <c r="BG162" s="353"/>
    </row>
    <row r="163" spans="2:59" ht="15">
      <c r="B163" s="358"/>
      <c r="C163" s="322"/>
      <c r="D163" s="322"/>
      <c r="E163" s="322"/>
      <c r="F163" s="319" t="s">
        <v>169</v>
      </c>
      <c r="G163" s="319" t="s">
        <v>169</v>
      </c>
      <c r="H163" s="319" t="s">
        <v>169</v>
      </c>
      <c r="I163" s="319"/>
      <c r="J163" s="319"/>
      <c r="K163" s="319"/>
      <c r="L163" s="319"/>
      <c r="M163" s="319"/>
      <c r="N163" s="319"/>
      <c r="O163" s="319"/>
      <c r="P163" s="319"/>
      <c r="Q163" s="319"/>
      <c r="R163" s="319"/>
      <c r="S163" s="319"/>
      <c r="T163" s="319"/>
      <c r="U163" s="319"/>
      <c r="V163" s="319"/>
      <c r="W163" s="319"/>
      <c r="X163" s="319"/>
      <c r="Y163" s="319"/>
      <c r="Z163" s="319"/>
      <c r="AA163" s="319"/>
      <c r="AB163" s="319"/>
      <c r="AC163" s="319"/>
      <c r="AD163" s="319"/>
      <c r="BG163" s="353"/>
    </row>
    <row r="164" spans="2:59">
      <c r="B164" s="358"/>
      <c r="C164" s="312" t="s">
        <v>172</v>
      </c>
      <c r="D164" s="312" t="s">
        <v>173</v>
      </c>
      <c r="E164" s="312" t="s">
        <v>174</v>
      </c>
      <c r="F164" s="314" t="s">
        <v>91</v>
      </c>
      <c r="G164" s="314" t="s">
        <v>67</v>
      </c>
      <c r="H164" s="314" t="s">
        <v>69</v>
      </c>
      <c r="I164" s="314" t="s">
        <v>457</v>
      </c>
      <c r="J164" s="314" t="s">
        <v>458</v>
      </c>
      <c r="K164" s="314" t="s">
        <v>459</v>
      </c>
      <c r="L164" s="314" t="s">
        <v>460</v>
      </c>
      <c r="M164" s="314" t="s">
        <v>461</v>
      </c>
      <c r="N164" s="314" t="s">
        <v>462</v>
      </c>
      <c r="O164" s="314" t="s">
        <v>463</v>
      </c>
      <c r="P164" s="314" t="s">
        <v>464</v>
      </c>
      <c r="Q164" s="314" t="s">
        <v>465</v>
      </c>
      <c r="R164" s="314" t="s">
        <v>466</v>
      </c>
      <c r="S164" s="314" t="s">
        <v>467</v>
      </c>
      <c r="T164" s="314" t="s">
        <v>468</v>
      </c>
      <c r="U164" s="314" t="s">
        <v>469</v>
      </c>
      <c r="V164" s="314" t="s">
        <v>470</v>
      </c>
      <c r="W164" s="314" t="s">
        <v>471</v>
      </c>
      <c r="X164" s="314" t="s">
        <v>397</v>
      </c>
      <c r="Y164" s="314" t="s">
        <v>398</v>
      </c>
      <c r="Z164" s="314" t="s">
        <v>399</v>
      </c>
      <c r="AA164" s="314" t="s">
        <v>400</v>
      </c>
      <c r="AB164" s="314" t="s">
        <v>151</v>
      </c>
      <c r="AC164" s="314" t="s">
        <v>152</v>
      </c>
      <c r="AD164" s="314" t="s">
        <v>401</v>
      </c>
      <c r="BG164" s="353"/>
    </row>
    <row r="165" spans="2:59">
      <c r="B165" s="358"/>
      <c r="C165" s="312" t="s">
        <v>371</v>
      </c>
      <c r="D165" s="312" t="s">
        <v>381</v>
      </c>
      <c r="E165" s="312" t="s">
        <v>390</v>
      </c>
      <c r="F165" s="313" t="s">
        <v>418</v>
      </c>
      <c r="G165" s="313" t="s">
        <v>419</v>
      </c>
      <c r="H165" s="313" t="s">
        <v>421</v>
      </c>
      <c r="I165" s="313" t="s">
        <v>420</v>
      </c>
      <c r="J165" s="313" t="s">
        <v>422</v>
      </c>
      <c r="K165" s="313" t="s">
        <v>423</v>
      </c>
      <c r="L165" s="313" t="s">
        <v>424</v>
      </c>
      <c r="M165" s="313" t="s">
        <v>425</v>
      </c>
      <c r="N165" s="313" t="s">
        <v>426</v>
      </c>
      <c r="O165" s="313" t="s">
        <v>427</v>
      </c>
      <c r="P165" s="313" t="s">
        <v>428</v>
      </c>
      <c r="Q165" s="313" t="s">
        <v>429</v>
      </c>
      <c r="R165" s="313" t="s">
        <v>430</v>
      </c>
      <c r="S165" s="313" t="s">
        <v>431</v>
      </c>
      <c r="T165" s="313" t="s">
        <v>432</v>
      </c>
      <c r="U165" s="313" t="s">
        <v>433</v>
      </c>
      <c r="V165" s="313" t="s">
        <v>434</v>
      </c>
      <c r="W165" s="313" t="s">
        <v>435</v>
      </c>
      <c r="X165" s="313" t="s">
        <v>403</v>
      </c>
      <c r="Y165" s="313" t="s">
        <v>404</v>
      </c>
      <c r="Z165" s="313" t="s">
        <v>405</v>
      </c>
      <c r="AA165" s="313" t="s">
        <v>406</v>
      </c>
      <c r="AB165" s="313" t="s">
        <v>407</v>
      </c>
      <c r="AC165" s="313" t="s">
        <v>408</v>
      </c>
      <c r="AD165" s="313" t="s">
        <v>409</v>
      </c>
      <c r="BG165" s="353"/>
    </row>
    <row r="166" spans="2:59">
      <c r="B166" s="358"/>
      <c r="C166" s="312" t="s">
        <v>472</v>
      </c>
      <c r="D166" s="312" t="s">
        <v>473</v>
      </c>
      <c r="E166" s="312" t="s">
        <v>473</v>
      </c>
      <c r="F166" s="314" t="s">
        <v>474</v>
      </c>
      <c r="G166" s="314" t="s">
        <v>474</v>
      </c>
      <c r="H166" s="314" t="s">
        <v>475</v>
      </c>
      <c r="I166" s="314" t="s">
        <v>474</v>
      </c>
      <c r="J166" s="314" t="s">
        <v>476</v>
      </c>
      <c r="K166" s="314" t="s">
        <v>477</v>
      </c>
      <c r="L166" s="313" t="s">
        <v>478</v>
      </c>
      <c r="M166" s="314" t="s">
        <v>478</v>
      </c>
      <c r="N166" s="314" t="s">
        <v>479</v>
      </c>
      <c r="O166" s="314" t="s">
        <v>474</v>
      </c>
      <c r="P166" s="314" t="s">
        <v>480</v>
      </c>
      <c r="Q166" s="314" t="s">
        <v>481</v>
      </c>
      <c r="R166" s="314" t="s">
        <v>480</v>
      </c>
      <c r="S166" s="314" t="s">
        <v>482</v>
      </c>
      <c r="T166" s="313" t="s">
        <v>483</v>
      </c>
      <c r="U166" s="314" t="s">
        <v>483</v>
      </c>
      <c r="V166" s="314" t="s">
        <v>484</v>
      </c>
      <c r="W166" s="314" t="s">
        <v>474</v>
      </c>
      <c r="X166" s="314" t="s">
        <v>485</v>
      </c>
      <c r="Y166" s="314" t="s">
        <v>487</v>
      </c>
      <c r="Z166" s="314" t="s">
        <v>488</v>
      </c>
      <c r="AA166" s="314" t="s">
        <v>488</v>
      </c>
      <c r="AB166" s="313" t="s">
        <v>486</v>
      </c>
      <c r="AC166" s="314" t="s">
        <v>488</v>
      </c>
      <c r="AD166" s="314" t="s">
        <v>488</v>
      </c>
      <c r="BG166" s="353"/>
    </row>
    <row r="167" spans="2:59" ht="25">
      <c r="B167" s="317" t="s">
        <v>412</v>
      </c>
      <c r="C167" s="316" t="s">
        <v>437</v>
      </c>
      <c r="D167" s="338" t="s">
        <v>630</v>
      </c>
      <c r="E167" s="338" t="s">
        <v>630</v>
      </c>
      <c r="F167" s="314" t="s">
        <v>183</v>
      </c>
      <c r="G167" s="314" t="s">
        <v>439</v>
      </c>
      <c r="H167" s="314" t="s">
        <v>184</v>
      </c>
      <c r="I167" s="314" t="s">
        <v>439</v>
      </c>
      <c r="J167" s="314" t="s">
        <v>440</v>
      </c>
      <c r="K167" s="314" t="s">
        <v>411</v>
      </c>
      <c r="L167" s="313" t="s">
        <v>156</v>
      </c>
      <c r="M167" s="314" t="s">
        <v>441</v>
      </c>
      <c r="N167" s="314"/>
      <c r="O167" s="314" t="s">
        <v>183</v>
      </c>
      <c r="P167" s="314" t="s">
        <v>156</v>
      </c>
      <c r="Q167" s="314" t="s">
        <v>442</v>
      </c>
      <c r="R167" s="314" t="s">
        <v>443</v>
      </c>
      <c r="S167" s="314"/>
      <c r="T167" s="313" t="s">
        <v>156</v>
      </c>
      <c r="U167" s="314" t="s">
        <v>156</v>
      </c>
      <c r="V167" s="314" t="s">
        <v>156</v>
      </c>
      <c r="W167" s="314"/>
      <c r="X167" s="314" t="s">
        <v>411</v>
      </c>
      <c r="Y167" s="314" t="s">
        <v>444</v>
      </c>
      <c r="Z167" s="314" t="s">
        <v>445</v>
      </c>
      <c r="AA167" s="314" t="s">
        <v>445</v>
      </c>
      <c r="AB167" s="313" t="s">
        <v>446</v>
      </c>
      <c r="AC167" s="314" t="s">
        <v>447</v>
      </c>
      <c r="AD167" s="314" t="s">
        <v>447</v>
      </c>
      <c r="BG167" s="353"/>
    </row>
    <row r="168" spans="2:59" ht="14">
      <c r="B168" s="315" t="s">
        <v>410</v>
      </c>
      <c r="C168" s="337" t="s">
        <v>645</v>
      </c>
      <c r="D168" s="316" t="s">
        <v>438</v>
      </c>
      <c r="E168" s="316" t="s">
        <v>438</v>
      </c>
      <c r="F168" s="316" t="s">
        <v>183</v>
      </c>
      <c r="G168" s="316" t="s">
        <v>439</v>
      </c>
      <c r="H168" s="316" t="s">
        <v>184</v>
      </c>
      <c r="I168" s="316" t="s">
        <v>439</v>
      </c>
      <c r="J168" s="316" t="s">
        <v>646</v>
      </c>
      <c r="K168" s="316" t="s">
        <v>411</v>
      </c>
      <c r="L168" s="316" t="s">
        <v>156</v>
      </c>
      <c r="M168" s="316" t="s">
        <v>441</v>
      </c>
      <c r="N168" s="316"/>
      <c r="O168" s="316" t="s">
        <v>183</v>
      </c>
      <c r="P168" s="316" t="s">
        <v>156</v>
      </c>
      <c r="Q168" s="316" t="s">
        <v>442</v>
      </c>
      <c r="R168" s="316" t="s">
        <v>647</v>
      </c>
      <c r="S168" s="316"/>
      <c r="T168" s="316" t="s">
        <v>648</v>
      </c>
      <c r="U168" s="316" t="s">
        <v>649</v>
      </c>
      <c r="V168" s="316" t="s">
        <v>650</v>
      </c>
      <c r="W168" s="316"/>
      <c r="X168" s="316" t="s">
        <v>411</v>
      </c>
      <c r="Y168" s="316" t="s">
        <v>444</v>
      </c>
      <c r="Z168" s="316" t="s">
        <v>445</v>
      </c>
      <c r="AA168" s="316" t="s">
        <v>445</v>
      </c>
      <c r="AB168" s="316" t="s">
        <v>651</v>
      </c>
      <c r="AC168" s="316">
        <v>375901</v>
      </c>
      <c r="AD168" s="316" t="s">
        <v>652</v>
      </c>
      <c r="BG168" s="353"/>
    </row>
    <row r="169" spans="2:59" ht="14">
      <c r="B169" s="315" t="s">
        <v>410</v>
      </c>
      <c r="C169" s="337" t="s">
        <v>659</v>
      </c>
      <c r="D169" s="327" t="s">
        <v>438</v>
      </c>
      <c r="E169" s="327" t="s">
        <v>438</v>
      </c>
      <c r="F169" s="327" t="s">
        <v>183</v>
      </c>
      <c r="G169" s="327" t="s">
        <v>439</v>
      </c>
      <c r="H169" s="327" t="s">
        <v>184</v>
      </c>
      <c r="I169" s="327" t="s">
        <v>439</v>
      </c>
      <c r="J169" s="327" t="s">
        <v>653</v>
      </c>
      <c r="K169" s="327" t="s">
        <v>411</v>
      </c>
      <c r="L169" s="327" t="s">
        <v>654</v>
      </c>
      <c r="M169" s="327" t="s">
        <v>441</v>
      </c>
      <c r="N169" s="327"/>
      <c r="O169" s="327" t="s">
        <v>439</v>
      </c>
      <c r="P169" s="327" t="s">
        <v>156</v>
      </c>
      <c r="Q169" s="327" t="s">
        <v>655</v>
      </c>
      <c r="R169" s="327" t="s">
        <v>443</v>
      </c>
      <c r="S169" s="327"/>
      <c r="T169" s="327" t="s">
        <v>156</v>
      </c>
      <c r="U169" s="327" t="s">
        <v>156</v>
      </c>
      <c r="V169" s="327" t="s">
        <v>156</v>
      </c>
      <c r="W169" s="327"/>
      <c r="X169" s="327" t="s">
        <v>411</v>
      </c>
      <c r="Y169" s="327" t="s">
        <v>656</v>
      </c>
      <c r="Z169" s="327" t="s">
        <v>445</v>
      </c>
      <c r="AA169" s="327" t="s">
        <v>445</v>
      </c>
      <c r="AB169" s="327" t="s">
        <v>657</v>
      </c>
      <c r="AC169" s="327" t="s">
        <v>658</v>
      </c>
      <c r="AD169" s="327" t="s">
        <v>658</v>
      </c>
      <c r="BG169" s="353"/>
    </row>
    <row r="170" spans="2:59" ht="25">
      <c r="B170" s="315" t="s">
        <v>410</v>
      </c>
      <c r="C170" s="316" t="s">
        <v>437</v>
      </c>
      <c r="D170" s="313" t="s">
        <v>438</v>
      </c>
      <c r="E170" s="337" t="s">
        <v>182</v>
      </c>
      <c r="F170" s="314" t="s">
        <v>183</v>
      </c>
      <c r="G170" s="327" t="s">
        <v>439</v>
      </c>
      <c r="H170" s="314" t="s">
        <v>184</v>
      </c>
      <c r="I170" s="327" t="s">
        <v>439</v>
      </c>
      <c r="J170" s="314" t="s">
        <v>184</v>
      </c>
      <c r="K170" s="314" t="s">
        <v>411</v>
      </c>
      <c r="L170" s="313" t="s">
        <v>448</v>
      </c>
      <c r="M170" s="314" t="s">
        <v>441</v>
      </c>
      <c r="N170" s="314"/>
      <c r="O170" s="314" t="s">
        <v>411</v>
      </c>
      <c r="P170" s="314" t="s">
        <v>156</v>
      </c>
      <c r="Q170" s="314" t="s">
        <v>184</v>
      </c>
      <c r="R170" s="314" t="s">
        <v>449</v>
      </c>
      <c r="S170" s="314"/>
      <c r="T170" s="313" t="s">
        <v>156</v>
      </c>
      <c r="U170" s="314" t="s">
        <v>156</v>
      </c>
      <c r="V170" s="314" t="s">
        <v>156</v>
      </c>
      <c r="W170" s="314"/>
      <c r="X170" s="314" t="s">
        <v>411</v>
      </c>
      <c r="Y170" s="314" t="s">
        <v>450</v>
      </c>
      <c r="Z170" s="314" t="s">
        <v>451</v>
      </c>
      <c r="AA170" s="314">
        <v>470195</v>
      </c>
      <c r="AB170" s="313" t="s">
        <v>450</v>
      </c>
      <c r="AC170" s="314">
        <v>470195</v>
      </c>
      <c r="AD170" s="314" t="s">
        <v>451</v>
      </c>
      <c r="BG170" s="353"/>
    </row>
    <row r="171" spans="2:59">
      <c r="B171" s="358"/>
      <c r="BG171" s="353"/>
    </row>
    <row r="172" spans="2:59" ht="15">
      <c r="B172" s="358"/>
      <c r="C172" s="449" t="s">
        <v>489</v>
      </c>
      <c r="D172" s="450"/>
      <c r="E172" s="450"/>
      <c r="F172" s="450"/>
      <c r="G172" s="450"/>
      <c r="H172" s="450"/>
      <c r="I172" s="450"/>
      <c r="J172" s="450"/>
      <c r="K172" s="450"/>
      <c r="L172" s="450"/>
      <c r="M172" s="450"/>
      <c r="N172" s="450"/>
      <c r="O172" s="450"/>
      <c r="P172" s="450"/>
      <c r="Q172" s="450"/>
      <c r="R172" s="450"/>
      <c r="S172" s="450"/>
      <c r="T172" s="450"/>
      <c r="U172" s="92"/>
      <c r="V172" s="92"/>
      <c r="W172" s="92"/>
      <c r="X172" s="92"/>
      <c r="Y172" s="92"/>
      <c r="Z172" s="92"/>
      <c r="AA172" s="93"/>
      <c r="AB172" s="93"/>
      <c r="AC172" s="93"/>
      <c r="AD172" s="93"/>
      <c r="AE172" s="93"/>
      <c r="AF172" s="93"/>
      <c r="AG172" s="93"/>
      <c r="AH172" s="93"/>
      <c r="AI172" s="93"/>
      <c r="AJ172" s="93"/>
      <c r="AK172" s="93"/>
      <c r="AL172" s="93"/>
      <c r="AM172" s="93"/>
      <c r="AN172" s="93"/>
      <c r="AO172" s="93"/>
      <c r="AP172" s="94"/>
      <c r="AQ172" s="94"/>
      <c r="AR172" s="94"/>
      <c r="AS172" s="94"/>
      <c r="AT172" s="94"/>
      <c r="AU172" s="94"/>
      <c r="AV172" s="94"/>
      <c r="AW172" s="94"/>
      <c r="AX172" s="94"/>
      <c r="AY172" s="94"/>
      <c r="AZ172" s="94"/>
      <c r="BA172" s="94"/>
      <c r="BB172" s="94"/>
      <c r="BC172" s="94"/>
      <c r="BD172" s="94"/>
      <c r="BE172" s="94"/>
      <c r="BF172" s="94"/>
      <c r="BG172" s="353"/>
    </row>
    <row r="173" spans="2:59" ht="15">
      <c r="B173" s="358"/>
      <c r="C173" s="322"/>
      <c r="D173" s="322"/>
      <c r="E173" s="322"/>
      <c r="F173" s="319" t="s">
        <v>169</v>
      </c>
      <c r="G173" s="319" t="s">
        <v>169</v>
      </c>
      <c r="H173" s="324" t="s">
        <v>169</v>
      </c>
      <c r="I173" s="319" t="s">
        <v>169</v>
      </c>
      <c r="J173" s="319" t="s">
        <v>169</v>
      </c>
      <c r="K173" s="324"/>
      <c r="L173" s="324"/>
      <c r="M173" s="324"/>
      <c r="N173" s="324"/>
      <c r="O173" s="324"/>
      <c r="P173" s="324"/>
      <c r="Q173" s="324"/>
      <c r="R173" s="324"/>
      <c r="S173" s="324"/>
      <c r="T173" s="324"/>
      <c r="U173" s="324"/>
      <c r="V173" s="324"/>
      <c r="W173" s="324"/>
      <c r="X173" s="324"/>
      <c r="Y173" s="324"/>
      <c r="Z173" s="324"/>
      <c r="AA173" s="325"/>
      <c r="AB173" s="325"/>
      <c r="AC173" s="325"/>
      <c r="AD173" s="325"/>
      <c r="AE173" s="325"/>
      <c r="AF173" s="325"/>
      <c r="AG173" s="325"/>
      <c r="AH173" s="325"/>
      <c r="AI173" s="325"/>
      <c r="AJ173" s="325"/>
      <c r="AK173" s="325"/>
      <c r="AL173" s="325"/>
      <c r="AM173" s="325"/>
      <c r="AN173" s="325"/>
      <c r="AO173" s="325"/>
      <c r="AP173" s="325"/>
      <c r="AQ173" s="325"/>
      <c r="AR173" s="325"/>
      <c r="AS173" s="325"/>
      <c r="AT173" s="325"/>
      <c r="AU173" s="325"/>
      <c r="AV173" s="325"/>
      <c r="AW173" s="325"/>
      <c r="AX173" s="325"/>
      <c r="AY173" s="325"/>
      <c r="AZ173" s="325"/>
      <c r="BA173" s="325"/>
      <c r="BB173" s="325"/>
      <c r="BC173" s="325"/>
      <c r="BD173" s="325"/>
      <c r="BE173" s="325"/>
      <c r="BF173" s="325"/>
      <c r="BG173" s="353"/>
    </row>
    <row r="174" spans="2:59" ht="25">
      <c r="B174" s="358"/>
      <c r="C174" s="312" t="s">
        <v>533</v>
      </c>
      <c r="D174" s="312" t="s">
        <v>588</v>
      </c>
      <c r="E174" s="312" t="s">
        <v>589</v>
      </c>
      <c r="F174" s="314" t="s">
        <v>96</v>
      </c>
      <c r="G174" s="314" t="s">
        <v>99</v>
      </c>
      <c r="H174" s="314" t="s">
        <v>130</v>
      </c>
      <c r="I174" s="314" t="s">
        <v>559</v>
      </c>
      <c r="J174" s="314" t="s">
        <v>127</v>
      </c>
      <c r="K174" s="314" t="s">
        <v>67</v>
      </c>
      <c r="L174" s="314" t="s">
        <v>456</v>
      </c>
      <c r="M174" s="314" t="s">
        <v>534</v>
      </c>
      <c r="N174" s="314" t="s">
        <v>535</v>
      </c>
      <c r="O174" s="314" t="s">
        <v>536</v>
      </c>
      <c r="P174" s="314" t="s">
        <v>537</v>
      </c>
      <c r="Q174" s="314" t="s">
        <v>538</v>
      </c>
      <c r="R174" s="314" t="s">
        <v>539</v>
      </c>
      <c r="S174" s="314" t="s">
        <v>540</v>
      </c>
      <c r="T174" s="314" t="s">
        <v>541</v>
      </c>
      <c r="U174" s="314" t="s">
        <v>542</v>
      </c>
      <c r="V174" s="314" t="s">
        <v>543</v>
      </c>
      <c r="W174" s="314" t="s">
        <v>544</v>
      </c>
      <c r="X174" s="314" t="s">
        <v>545</v>
      </c>
      <c r="Y174" s="314" t="s">
        <v>546</v>
      </c>
      <c r="Z174" s="314" t="s">
        <v>547</v>
      </c>
      <c r="AA174" s="314" t="s">
        <v>548</v>
      </c>
      <c r="AB174" s="314" t="s">
        <v>549</v>
      </c>
      <c r="AC174" s="314" t="s">
        <v>550</v>
      </c>
      <c r="AD174" s="314" t="s">
        <v>551</v>
      </c>
      <c r="AE174" s="314" t="s">
        <v>552</v>
      </c>
      <c r="AF174" s="314" t="s">
        <v>553</v>
      </c>
      <c r="AG174" s="314" t="s">
        <v>554</v>
      </c>
      <c r="AH174" s="314" t="s">
        <v>555</v>
      </c>
      <c r="AI174" s="314" t="s">
        <v>556</v>
      </c>
      <c r="AJ174" s="314" t="s">
        <v>558</v>
      </c>
      <c r="AK174" s="314" t="s">
        <v>557</v>
      </c>
      <c r="AL174" s="314" t="s">
        <v>566</v>
      </c>
      <c r="AM174" s="314" t="s">
        <v>560</v>
      </c>
      <c r="AN174" s="314" t="s">
        <v>561</v>
      </c>
      <c r="AO174" s="314" t="s">
        <v>562</v>
      </c>
      <c r="AP174" s="314" t="s">
        <v>563</v>
      </c>
      <c r="AQ174" s="314" t="s">
        <v>567</v>
      </c>
      <c r="AR174" s="314" t="s">
        <v>564</v>
      </c>
      <c r="AS174" s="314" t="s">
        <v>565</v>
      </c>
      <c r="AT174" s="314" t="s">
        <v>568</v>
      </c>
      <c r="AU174" s="314" t="s">
        <v>569</v>
      </c>
      <c r="AV174" s="314" t="s">
        <v>570</v>
      </c>
      <c r="AW174" s="314" t="s">
        <v>571</v>
      </c>
      <c r="AX174" s="314" t="s">
        <v>572</v>
      </c>
      <c r="AY174" s="314" t="s">
        <v>573</v>
      </c>
      <c r="AZ174" s="314" t="s">
        <v>397</v>
      </c>
      <c r="BA174" s="314" t="s">
        <v>398</v>
      </c>
      <c r="BB174" s="314" t="s">
        <v>399</v>
      </c>
      <c r="BC174" s="314" t="s">
        <v>400</v>
      </c>
      <c r="BD174" s="314" t="s">
        <v>151</v>
      </c>
      <c r="BE174" s="314" t="s">
        <v>152</v>
      </c>
      <c r="BF174" s="314" t="s">
        <v>401</v>
      </c>
      <c r="BG174" s="353"/>
    </row>
    <row r="175" spans="2:59">
      <c r="B175" s="358"/>
      <c r="C175" s="312" t="s">
        <v>371</v>
      </c>
      <c r="D175" s="312" t="s">
        <v>381</v>
      </c>
      <c r="E175" s="312" t="s">
        <v>390</v>
      </c>
      <c r="F175" s="313" t="s">
        <v>490</v>
      </c>
      <c r="G175" s="313" t="s">
        <v>491</v>
      </c>
      <c r="H175" s="313" t="s">
        <v>492</v>
      </c>
      <c r="I175" s="313" t="s">
        <v>519</v>
      </c>
      <c r="J175" s="313" t="s">
        <v>525</v>
      </c>
      <c r="K175" s="313" t="s">
        <v>419</v>
      </c>
      <c r="L175" s="313" t="s">
        <v>420</v>
      </c>
      <c r="M175" s="313" t="s">
        <v>493</v>
      </c>
      <c r="N175" s="313" t="s">
        <v>494</v>
      </c>
      <c r="O175" s="313" t="s">
        <v>495</v>
      </c>
      <c r="P175" s="313" t="s">
        <v>496</v>
      </c>
      <c r="Q175" s="313" t="s">
        <v>497</v>
      </c>
      <c r="R175" s="313" t="s">
        <v>498</v>
      </c>
      <c r="S175" s="313" t="s">
        <v>499</v>
      </c>
      <c r="T175" s="313" t="s">
        <v>500</v>
      </c>
      <c r="U175" s="313" t="s">
        <v>501</v>
      </c>
      <c r="V175" s="313" t="s">
        <v>502</v>
      </c>
      <c r="W175" s="313" t="s">
        <v>503</v>
      </c>
      <c r="X175" s="313" t="s">
        <v>504</v>
      </c>
      <c r="Y175" s="313" t="s">
        <v>505</v>
      </c>
      <c r="Z175" s="313" t="s">
        <v>506</v>
      </c>
      <c r="AA175" s="313" t="s">
        <v>507</v>
      </c>
      <c r="AB175" s="313" t="s">
        <v>508</v>
      </c>
      <c r="AC175" s="313" t="s">
        <v>509</v>
      </c>
      <c r="AD175" s="313" t="s">
        <v>510</v>
      </c>
      <c r="AE175" s="313" t="s">
        <v>511</v>
      </c>
      <c r="AF175" s="313" t="s">
        <v>512</v>
      </c>
      <c r="AG175" s="313" t="s">
        <v>513</v>
      </c>
      <c r="AH175" s="313" t="s">
        <v>514</v>
      </c>
      <c r="AI175" s="313" t="s">
        <v>515</v>
      </c>
      <c r="AJ175" s="313" t="s">
        <v>516</v>
      </c>
      <c r="AK175" s="313" t="s">
        <v>517</v>
      </c>
      <c r="AL175" s="313" t="s">
        <v>518</v>
      </c>
      <c r="AM175" s="313" t="s">
        <v>520</v>
      </c>
      <c r="AN175" s="313" t="s">
        <v>521</v>
      </c>
      <c r="AO175" s="313" t="s">
        <v>522</v>
      </c>
      <c r="AP175" s="313" t="s">
        <v>402</v>
      </c>
      <c r="AQ175" s="313" t="s">
        <v>523</v>
      </c>
      <c r="AR175" s="313" t="s">
        <v>524</v>
      </c>
      <c r="AS175" s="313" t="s">
        <v>526</v>
      </c>
      <c r="AT175" s="313" t="s">
        <v>527</v>
      </c>
      <c r="AU175" s="313" t="s">
        <v>528</v>
      </c>
      <c r="AV175" s="313" t="s">
        <v>529</v>
      </c>
      <c r="AW175" s="313" t="s">
        <v>530</v>
      </c>
      <c r="AX175" s="313" t="s">
        <v>531</v>
      </c>
      <c r="AY175" s="313" t="s">
        <v>532</v>
      </c>
      <c r="AZ175" s="313" t="s">
        <v>403</v>
      </c>
      <c r="BA175" s="313" t="s">
        <v>404</v>
      </c>
      <c r="BB175" s="313" t="s">
        <v>405</v>
      </c>
      <c r="BC175" s="313" t="s">
        <v>406</v>
      </c>
      <c r="BD175" s="313" t="s">
        <v>407</v>
      </c>
      <c r="BE175" s="313" t="s">
        <v>408</v>
      </c>
      <c r="BF175" s="313" t="s">
        <v>409</v>
      </c>
      <c r="BG175" s="353"/>
    </row>
    <row r="176" spans="2:59">
      <c r="B176" s="358"/>
      <c r="C176" s="312" t="s">
        <v>472</v>
      </c>
      <c r="D176" s="312" t="s">
        <v>574</v>
      </c>
      <c r="E176" s="312" t="s">
        <v>473</v>
      </c>
      <c r="F176" s="326" t="s">
        <v>474</v>
      </c>
      <c r="G176" s="326" t="s">
        <v>474</v>
      </c>
      <c r="H176" s="326" t="s">
        <v>474</v>
      </c>
      <c r="I176" s="326" t="s">
        <v>474</v>
      </c>
      <c r="J176" s="326" t="s">
        <v>476</v>
      </c>
      <c r="K176" s="326" t="s">
        <v>474</v>
      </c>
      <c r="L176" s="326" t="s">
        <v>474</v>
      </c>
      <c r="M176" s="326" t="s">
        <v>575</v>
      </c>
      <c r="N176" s="326" t="s">
        <v>575</v>
      </c>
      <c r="O176" s="326" t="s">
        <v>473</v>
      </c>
      <c r="P176" s="326" t="s">
        <v>576</v>
      </c>
      <c r="Q176" s="326" t="s">
        <v>474</v>
      </c>
      <c r="R176" s="326" t="s">
        <v>481</v>
      </c>
      <c r="S176" s="326" t="s">
        <v>476</v>
      </c>
      <c r="T176" s="326" t="s">
        <v>481</v>
      </c>
      <c r="U176" s="326" t="s">
        <v>476</v>
      </c>
      <c r="V176" s="326" t="s">
        <v>476</v>
      </c>
      <c r="W176" s="326" t="s">
        <v>474</v>
      </c>
      <c r="X176" s="326" t="s">
        <v>577</v>
      </c>
      <c r="Y176" s="326" t="s">
        <v>577</v>
      </c>
      <c r="Z176" s="326" t="s">
        <v>478</v>
      </c>
      <c r="AA176" s="326" t="s">
        <v>576</v>
      </c>
      <c r="AB176" s="326" t="s">
        <v>576</v>
      </c>
      <c r="AC176" s="326" t="s">
        <v>476</v>
      </c>
      <c r="AD176" s="326" t="s">
        <v>480</v>
      </c>
      <c r="AE176" s="326" t="s">
        <v>481</v>
      </c>
      <c r="AF176" s="326" t="s">
        <v>481</v>
      </c>
      <c r="AG176" s="326" t="s">
        <v>578</v>
      </c>
      <c r="AH176" s="326" t="s">
        <v>578</v>
      </c>
      <c r="AI176" s="326" t="s">
        <v>481</v>
      </c>
      <c r="AJ176" s="326" t="s">
        <v>481</v>
      </c>
      <c r="AK176" s="326" t="s">
        <v>578</v>
      </c>
      <c r="AL176" s="326" t="s">
        <v>578</v>
      </c>
      <c r="AM176" s="326" t="s">
        <v>474</v>
      </c>
      <c r="AN176" s="326" t="s">
        <v>474</v>
      </c>
      <c r="AO176" s="326" t="s">
        <v>474</v>
      </c>
      <c r="AP176" s="326" t="s">
        <v>478</v>
      </c>
      <c r="AQ176" s="326" t="s">
        <v>473</v>
      </c>
      <c r="AR176" s="326" t="s">
        <v>474</v>
      </c>
      <c r="AS176" s="326" t="s">
        <v>476</v>
      </c>
      <c r="AT176" s="326" t="s">
        <v>474</v>
      </c>
      <c r="AU176" s="326" t="s">
        <v>579</v>
      </c>
      <c r="AV176" s="326" t="s">
        <v>481</v>
      </c>
      <c r="AW176" s="326" t="s">
        <v>478</v>
      </c>
      <c r="AX176" s="326" t="s">
        <v>474</v>
      </c>
      <c r="AY176" s="326" t="s">
        <v>474</v>
      </c>
      <c r="AZ176" s="326" t="s">
        <v>485</v>
      </c>
      <c r="BA176" s="326" t="s">
        <v>486</v>
      </c>
      <c r="BB176" s="326" t="s">
        <v>488</v>
      </c>
      <c r="BC176" s="326" t="s">
        <v>488</v>
      </c>
      <c r="BD176" s="326" t="s">
        <v>486</v>
      </c>
      <c r="BE176" s="326" t="s">
        <v>488</v>
      </c>
      <c r="BF176" s="326" t="s">
        <v>488</v>
      </c>
      <c r="BG176" s="353"/>
    </row>
    <row r="177" spans="2:59" ht="15">
      <c r="B177" s="317" t="s">
        <v>412</v>
      </c>
      <c r="C177" s="327" t="s">
        <v>437</v>
      </c>
      <c r="D177" s="338" t="s">
        <v>630</v>
      </c>
      <c r="E177" s="338" t="s">
        <v>630</v>
      </c>
      <c r="F177" s="328" t="s">
        <v>454</v>
      </c>
      <c r="G177" s="327" t="s">
        <v>411</v>
      </c>
      <c r="H177" s="327" t="s">
        <v>411</v>
      </c>
      <c r="I177" s="330">
        <v>1</v>
      </c>
      <c r="J177" s="331">
        <v>0</v>
      </c>
      <c r="K177" s="327" t="s">
        <v>439</v>
      </c>
      <c r="L177" s="327" t="s">
        <v>439</v>
      </c>
      <c r="M177" s="327" t="s">
        <v>156</v>
      </c>
      <c r="N177" s="327" t="s">
        <v>156</v>
      </c>
      <c r="O177" s="327" t="s">
        <v>156</v>
      </c>
      <c r="P177" s="327" t="s">
        <v>156</v>
      </c>
      <c r="Q177" s="329" t="s">
        <v>580</v>
      </c>
      <c r="R177" s="327" t="s">
        <v>411</v>
      </c>
      <c r="S177" s="327" t="s">
        <v>411</v>
      </c>
      <c r="T177" s="327" t="s">
        <v>581</v>
      </c>
      <c r="U177" s="327" t="s">
        <v>582</v>
      </c>
      <c r="V177" s="327" t="s">
        <v>183</v>
      </c>
      <c r="W177" s="327" t="s">
        <v>183</v>
      </c>
      <c r="X177" s="327" t="s">
        <v>411</v>
      </c>
      <c r="Y177" s="327" t="s">
        <v>411</v>
      </c>
      <c r="Z177" s="327"/>
      <c r="AA177" s="330"/>
      <c r="AB177" s="330" t="s">
        <v>156</v>
      </c>
      <c r="AC177" s="330">
        <v>1</v>
      </c>
      <c r="AD177" s="330">
        <v>99999999</v>
      </c>
      <c r="AE177" s="327" t="s">
        <v>411</v>
      </c>
      <c r="AF177" s="327" t="s">
        <v>411</v>
      </c>
      <c r="AG177" s="327" t="s">
        <v>411</v>
      </c>
      <c r="AH177" s="327" t="s">
        <v>411</v>
      </c>
      <c r="AI177" s="330">
        <v>0</v>
      </c>
      <c r="AJ177" s="330">
        <v>0</v>
      </c>
      <c r="AK177" s="330">
        <v>0</v>
      </c>
      <c r="AL177" s="330">
        <v>0</v>
      </c>
      <c r="AM177" s="327" t="s">
        <v>183</v>
      </c>
      <c r="AN177" s="330">
        <v>0</v>
      </c>
      <c r="AO177" s="327" t="s">
        <v>411</v>
      </c>
      <c r="AP177" s="330">
        <v>1</v>
      </c>
      <c r="AQ177" s="331" t="s">
        <v>156</v>
      </c>
      <c r="AR177" s="331" t="s">
        <v>583</v>
      </c>
      <c r="AS177" s="331">
        <v>0</v>
      </c>
      <c r="AT177" s="331">
        <v>1</v>
      </c>
      <c r="AU177" s="331">
        <v>0</v>
      </c>
      <c r="AV177" s="331">
        <v>0</v>
      </c>
      <c r="AW177" s="331">
        <v>0</v>
      </c>
      <c r="AX177" s="331">
        <v>0</v>
      </c>
      <c r="AY177" s="331">
        <v>1</v>
      </c>
      <c r="AZ177" s="331">
        <v>0</v>
      </c>
      <c r="BA177" s="332">
        <v>29705</v>
      </c>
      <c r="BB177" s="331" t="s">
        <v>445</v>
      </c>
      <c r="BC177" s="331" t="s">
        <v>445</v>
      </c>
      <c r="BD177" s="332">
        <v>36413</v>
      </c>
      <c r="BE177" s="331" t="s">
        <v>445</v>
      </c>
      <c r="BF177" s="331" t="s">
        <v>445</v>
      </c>
      <c r="BG177" s="353"/>
    </row>
    <row r="178" spans="2:59" ht="14">
      <c r="B178" s="315" t="s">
        <v>410</v>
      </c>
      <c r="C178" s="337" t="s">
        <v>645</v>
      </c>
      <c r="D178" s="327" t="s">
        <v>438</v>
      </c>
      <c r="E178" s="327" t="s">
        <v>438</v>
      </c>
      <c r="F178" s="327" t="s">
        <v>454</v>
      </c>
      <c r="G178" s="327" t="s">
        <v>411</v>
      </c>
      <c r="H178" s="327" t="s">
        <v>411</v>
      </c>
      <c r="I178" s="327">
        <v>1</v>
      </c>
      <c r="J178" s="327">
        <v>0</v>
      </c>
      <c r="K178" s="327" t="s">
        <v>439</v>
      </c>
      <c r="L178" s="327" t="s">
        <v>439</v>
      </c>
      <c r="M178" s="327" t="s">
        <v>156</v>
      </c>
      <c r="N178" s="327" t="s">
        <v>156</v>
      </c>
      <c r="O178" s="327" t="s">
        <v>156</v>
      </c>
      <c r="P178" s="327" t="s">
        <v>156</v>
      </c>
      <c r="Q178" s="327" t="s">
        <v>580</v>
      </c>
      <c r="R178" s="327" t="s">
        <v>411</v>
      </c>
      <c r="S178" s="327" t="s">
        <v>411</v>
      </c>
      <c r="T178" s="327" t="s">
        <v>581</v>
      </c>
      <c r="U178" s="327" t="s">
        <v>582</v>
      </c>
      <c r="V178" s="327" t="s">
        <v>183</v>
      </c>
      <c r="W178" s="327" t="s">
        <v>183</v>
      </c>
      <c r="X178" s="327" t="s">
        <v>411</v>
      </c>
      <c r="Y178" s="327" t="s">
        <v>411</v>
      </c>
      <c r="Z178" s="327"/>
      <c r="AA178" s="327"/>
      <c r="AB178" s="327" t="s">
        <v>156</v>
      </c>
      <c r="AC178" s="327">
        <v>1</v>
      </c>
      <c r="AD178" s="327">
        <v>99999999</v>
      </c>
      <c r="AE178" s="327">
        <v>0</v>
      </c>
      <c r="AF178" s="327">
        <v>0</v>
      </c>
      <c r="AG178" s="327">
        <v>0</v>
      </c>
      <c r="AH178" s="327">
        <v>0</v>
      </c>
      <c r="AI178" s="327">
        <v>0</v>
      </c>
      <c r="AJ178" s="327">
        <v>0</v>
      </c>
      <c r="AK178" s="327">
        <v>0</v>
      </c>
      <c r="AL178" s="327">
        <v>0</v>
      </c>
      <c r="AM178" s="327">
        <v>1</v>
      </c>
      <c r="AN178" s="327">
        <v>0</v>
      </c>
      <c r="AO178" s="327">
        <v>0</v>
      </c>
      <c r="AP178" s="327">
        <v>1</v>
      </c>
      <c r="AQ178" s="327" t="s">
        <v>156</v>
      </c>
      <c r="AR178" s="327" t="s">
        <v>583</v>
      </c>
      <c r="AS178" s="327">
        <v>0</v>
      </c>
      <c r="AT178" s="327">
        <v>1</v>
      </c>
      <c r="AU178" s="327">
        <v>0</v>
      </c>
      <c r="AV178" s="327">
        <v>0</v>
      </c>
      <c r="AW178" s="327">
        <v>0</v>
      </c>
      <c r="AX178" s="327">
        <v>0</v>
      </c>
      <c r="AY178" s="327">
        <v>1</v>
      </c>
      <c r="AZ178" s="327">
        <v>0</v>
      </c>
      <c r="BA178" s="327">
        <v>29705</v>
      </c>
      <c r="BB178" s="327" t="s">
        <v>445</v>
      </c>
      <c r="BC178" s="327" t="s">
        <v>445</v>
      </c>
      <c r="BD178" s="327">
        <v>39993.705960648149</v>
      </c>
      <c r="BE178" s="327">
        <v>375901</v>
      </c>
      <c r="BF178" s="327">
        <v>375901</v>
      </c>
      <c r="BG178" s="353"/>
    </row>
    <row r="179" spans="2:59" ht="14">
      <c r="B179" s="315" t="s">
        <v>410</v>
      </c>
      <c r="C179" s="337" t="s">
        <v>659</v>
      </c>
      <c r="D179" s="327" t="s">
        <v>438</v>
      </c>
      <c r="E179" s="327" t="s">
        <v>438</v>
      </c>
      <c r="F179" s="327" t="s">
        <v>454</v>
      </c>
      <c r="G179" s="327" t="s">
        <v>411</v>
      </c>
      <c r="H179" s="327" t="s">
        <v>411</v>
      </c>
      <c r="I179" s="327">
        <v>1</v>
      </c>
      <c r="J179" s="327">
        <v>0</v>
      </c>
      <c r="K179" s="327" t="s">
        <v>439</v>
      </c>
      <c r="L179" s="327" t="s">
        <v>439</v>
      </c>
      <c r="M179" s="327" t="s">
        <v>156</v>
      </c>
      <c r="N179" s="327" t="s">
        <v>156</v>
      </c>
      <c r="O179" s="327" t="s">
        <v>156</v>
      </c>
      <c r="P179" s="327" t="s">
        <v>156</v>
      </c>
      <c r="Q179" s="327" t="s">
        <v>580</v>
      </c>
      <c r="R179" s="327" t="s">
        <v>411</v>
      </c>
      <c r="S179" s="327" t="s">
        <v>411</v>
      </c>
      <c r="T179" s="327" t="s">
        <v>581</v>
      </c>
      <c r="U179" s="327" t="s">
        <v>582</v>
      </c>
      <c r="V179" s="327" t="s">
        <v>183</v>
      </c>
      <c r="W179" s="327" t="s">
        <v>183</v>
      </c>
      <c r="X179" s="327" t="s">
        <v>411</v>
      </c>
      <c r="Y179" s="327" t="s">
        <v>411</v>
      </c>
      <c r="Z179" s="327"/>
      <c r="AA179" s="327"/>
      <c r="AB179" s="327" t="s">
        <v>156</v>
      </c>
      <c r="AC179" s="327">
        <v>1</v>
      </c>
      <c r="AD179" s="327">
        <v>99999999</v>
      </c>
      <c r="AE179" s="327">
        <v>0</v>
      </c>
      <c r="AF179" s="327">
        <v>0</v>
      </c>
      <c r="AG179" s="327">
        <v>0</v>
      </c>
      <c r="AH179" s="327">
        <v>0</v>
      </c>
      <c r="AI179" s="327">
        <v>0</v>
      </c>
      <c r="AJ179" s="327">
        <v>0</v>
      </c>
      <c r="AK179" s="327">
        <v>0</v>
      </c>
      <c r="AL179" s="327">
        <v>0</v>
      </c>
      <c r="AM179" s="327">
        <v>1</v>
      </c>
      <c r="AN179" s="327">
        <v>0</v>
      </c>
      <c r="AO179" s="327">
        <v>0</v>
      </c>
      <c r="AP179" s="327">
        <v>1</v>
      </c>
      <c r="AQ179" s="327" t="s">
        <v>156</v>
      </c>
      <c r="AR179" s="327" t="s">
        <v>583</v>
      </c>
      <c r="AS179" s="327">
        <v>0</v>
      </c>
      <c r="AT179" s="327">
        <v>1</v>
      </c>
      <c r="AU179" s="327">
        <v>0</v>
      </c>
      <c r="AV179" s="327">
        <v>0</v>
      </c>
      <c r="AW179" s="327">
        <v>0</v>
      </c>
      <c r="AX179" s="327">
        <v>0</v>
      </c>
      <c r="AY179" s="327">
        <v>1</v>
      </c>
      <c r="AZ179" s="327">
        <v>0</v>
      </c>
      <c r="BA179" s="327">
        <v>31819</v>
      </c>
      <c r="BB179" s="327" t="s">
        <v>445</v>
      </c>
      <c r="BC179" s="327" t="s">
        <v>445</v>
      </c>
      <c r="BD179" s="327">
        <v>45636.056898148148</v>
      </c>
      <c r="BE179" s="327" t="s">
        <v>643</v>
      </c>
      <c r="BF179" s="327" t="s">
        <v>643</v>
      </c>
      <c r="BG179" s="353"/>
    </row>
    <row r="180" spans="2:59" ht="15">
      <c r="B180" s="315" t="s">
        <v>410</v>
      </c>
      <c r="C180" s="327" t="s">
        <v>437</v>
      </c>
      <c r="D180" s="327" t="s">
        <v>438</v>
      </c>
      <c r="E180" s="337" t="s">
        <v>182</v>
      </c>
      <c r="F180" s="328" t="s">
        <v>185</v>
      </c>
      <c r="G180" s="327" t="s">
        <v>411</v>
      </c>
      <c r="H180" s="327" t="s">
        <v>411</v>
      </c>
      <c r="I180" s="330">
        <v>0</v>
      </c>
      <c r="J180" s="313">
        <v>30</v>
      </c>
      <c r="K180" s="327" t="s">
        <v>439</v>
      </c>
      <c r="L180" s="327" t="s">
        <v>439</v>
      </c>
      <c r="M180" s="327" t="s">
        <v>156</v>
      </c>
      <c r="N180" s="327" t="s">
        <v>156</v>
      </c>
      <c r="O180" s="327" t="s">
        <v>584</v>
      </c>
      <c r="P180" s="327" t="s">
        <v>156</v>
      </c>
      <c r="Q180" s="329" t="s">
        <v>585</v>
      </c>
      <c r="R180" s="327" t="s">
        <v>183</v>
      </c>
      <c r="S180" s="327" t="s">
        <v>411</v>
      </c>
      <c r="T180" s="327" t="s">
        <v>581</v>
      </c>
      <c r="U180" s="327" t="s">
        <v>582</v>
      </c>
      <c r="V180" s="327" t="s">
        <v>586</v>
      </c>
      <c r="W180" s="327" t="s">
        <v>183</v>
      </c>
      <c r="X180" s="327" t="s">
        <v>411</v>
      </c>
      <c r="Y180" s="327" t="s">
        <v>411</v>
      </c>
      <c r="Z180" s="327"/>
      <c r="AA180" s="330"/>
      <c r="AB180" s="330" t="s">
        <v>587</v>
      </c>
      <c r="AC180" s="333">
        <v>5000</v>
      </c>
      <c r="AD180" s="330">
        <v>99999999</v>
      </c>
      <c r="AE180" s="327" t="s">
        <v>411</v>
      </c>
      <c r="AF180" s="327" t="s">
        <v>439</v>
      </c>
      <c r="AG180" s="327" t="s">
        <v>411</v>
      </c>
      <c r="AH180" s="327" t="s">
        <v>411</v>
      </c>
      <c r="AI180" s="330">
        <v>0</v>
      </c>
      <c r="AJ180" s="330">
        <v>0</v>
      </c>
      <c r="AK180" s="330">
        <v>0</v>
      </c>
      <c r="AL180" s="330">
        <v>0</v>
      </c>
      <c r="AM180" s="327" t="s">
        <v>183</v>
      </c>
      <c r="AN180" s="330">
        <v>0</v>
      </c>
      <c r="AO180" s="327" t="s">
        <v>411</v>
      </c>
      <c r="AP180" s="330">
        <v>1</v>
      </c>
      <c r="AQ180" s="331">
        <v>1111</v>
      </c>
      <c r="AR180" s="331" t="s">
        <v>583</v>
      </c>
      <c r="AS180" s="331">
        <v>10</v>
      </c>
      <c r="AT180" s="331">
        <v>1</v>
      </c>
      <c r="AU180" s="331">
        <v>0</v>
      </c>
      <c r="AV180" s="331">
        <v>0</v>
      </c>
      <c r="AW180" s="331">
        <v>0</v>
      </c>
      <c r="AX180" s="331">
        <v>0</v>
      </c>
      <c r="AY180" s="331">
        <v>1</v>
      </c>
      <c r="AZ180" s="331">
        <v>0</v>
      </c>
      <c r="BA180" s="332">
        <v>40640.750486111108</v>
      </c>
      <c r="BB180" s="331">
        <v>470195</v>
      </c>
      <c r="BC180" s="331">
        <v>470195</v>
      </c>
      <c r="BD180" s="332">
        <v>45392.67769675926</v>
      </c>
      <c r="BE180" s="331">
        <v>363363</v>
      </c>
      <c r="BF180" s="331">
        <v>363363</v>
      </c>
      <c r="BG180" s="353"/>
    </row>
    <row r="181" spans="2:59">
      <c r="B181" s="358"/>
      <c r="BG181" s="353"/>
    </row>
    <row r="182" spans="2:59" ht="14">
      <c r="B182" s="358"/>
      <c r="C182" s="359" t="s">
        <v>153</v>
      </c>
      <c r="BG182" s="353"/>
    </row>
    <row r="183" spans="2:59" ht="14">
      <c r="B183" s="358"/>
      <c r="C183" s="359" t="s">
        <v>590</v>
      </c>
      <c r="D183" s="359" t="s">
        <v>591</v>
      </c>
      <c r="E183" s="359" t="s">
        <v>159</v>
      </c>
      <c r="F183" s="359" t="s">
        <v>592</v>
      </c>
      <c r="G183" s="359" t="s">
        <v>593</v>
      </c>
      <c r="H183" s="359" t="s">
        <v>594</v>
      </c>
      <c r="I183" s="359" t="s">
        <v>595</v>
      </c>
      <c r="J183" s="359" t="s">
        <v>596</v>
      </c>
      <c r="K183" s="359" t="s">
        <v>597</v>
      </c>
      <c r="L183" s="359" t="s">
        <v>598</v>
      </c>
      <c r="M183" s="359" t="s">
        <v>599</v>
      </c>
      <c r="BG183" s="353"/>
    </row>
    <row r="184" spans="2:59" ht="14">
      <c r="B184" s="358"/>
      <c r="C184" s="359">
        <v>0</v>
      </c>
      <c r="D184" s="359">
        <v>0</v>
      </c>
      <c r="E184" s="359">
        <v>0</v>
      </c>
      <c r="F184" s="359" t="s">
        <v>600</v>
      </c>
      <c r="G184" s="359" t="s">
        <v>600</v>
      </c>
      <c r="H184" s="359">
        <v>2</v>
      </c>
      <c r="I184" s="359">
        <v>4</v>
      </c>
      <c r="J184" s="359">
        <v>3</v>
      </c>
      <c r="K184" s="359">
        <v>1</v>
      </c>
      <c r="L184" s="359">
        <v>0</v>
      </c>
      <c r="M184" s="359">
        <v>0</v>
      </c>
      <c r="BG184" s="353"/>
    </row>
    <row r="185" spans="2:59" ht="13.5" thickBot="1">
      <c r="B185" s="358"/>
      <c r="BG185" s="353"/>
    </row>
    <row r="186" spans="2:59" ht="14" thickBot="1">
      <c r="B186" s="299" t="s">
        <v>638</v>
      </c>
      <c r="C186" s="300" t="s">
        <v>636</v>
      </c>
      <c r="D186" s="300"/>
      <c r="E186" s="300"/>
      <c r="F186" s="300"/>
      <c r="G186" s="300"/>
      <c r="H186" s="300"/>
      <c r="I186" s="300"/>
      <c r="J186" s="300"/>
      <c r="K186" s="300"/>
      <c r="L186" s="300"/>
      <c r="M186" s="300"/>
      <c r="N186" s="300"/>
      <c r="O186" s="300"/>
      <c r="P186" s="300"/>
      <c r="Q186" s="300"/>
      <c r="R186" s="300"/>
      <c r="S186" s="300"/>
      <c r="T186" s="300"/>
      <c r="U186" s="300"/>
      <c r="V186" s="300"/>
      <c r="W186" s="300"/>
      <c r="X186" s="300"/>
      <c r="Y186" s="300"/>
      <c r="Z186" s="300"/>
      <c r="AA186" s="300"/>
      <c r="AB186" s="300"/>
      <c r="AC186" s="300"/>
      <c r="AD186" s="300"/>
      <c r="AE186" s="300"/>
      <c r="AF186" s="300"/>
      <c r="AG186" s="300"/>
      <c r="AH186" s="300"/>
      <c r="AI186" s="300"/>
      <c r="AJ186" s="300"/>
      <c r="AK186" s="300"/>
      <c r="AL186" s="300"/>
      <c r="AM186" s="300"/>
      <c r="AN186" s="300"/>
      <c r="AO186" s="300"/>
      <c r="AP186" s="300"/>
      <c r="AQ186" s="300"/>
      <c r="AR186" s="300"/>
      <c r="AS186" s="300"/>
      <c r="AT186" s="300"/>
      <c r="AU186" s="300"/>
      <c r="AV186" s="300"/>
      <c r="AW186" s="300"/>
      <c r="AX186" s="300"/>
      <c r="AY186" s="300"/>
      <c r="AZ186" s="300"/>
      <c r="BA186" s="300"/>
      <c r="BB186" s="300"/>
      <c r="BC186" s="300"/>
      <c r="BD186" s="300"/>
      <c r="BE186" s="300"/>
      <c r="BF186" s="300"/>
      <c r="BG186" s="353"/>
    </row>
    <row r="187" spans="2:59" ht="14" thickBot="1">
      <c r="B187" s="335" t="s">
        <v>601</v>
      </c>
      <c r="C187" s="300" t="s">
        <v>395</v>
      </c>
      <c r="D187" s="300"/>
      <c r="E187" s="300"/>
      <c r="F187" s="300"/>
      <c r="G187" s="300"/>
      <c r="H187" s="300"/>
      <c r="I187" s="300"/>
      <c r="J187" s="300"/>
      <c r="K187" s="300"/>
      <c r="L187" s="300"/>
      <c r="M187" s="300"/>
      <c r="N187" s="300"/>
      <c r="O187" s="300"/>
      <c r="P187" s="300"/>
      <c r="Q187" s="300"/>
      <c r="R187" s="300"/>
      <c r="S187" s="300"/>
      <c r="T187" s="300"/>
      <c r="U187" s="300"/>
      <c r="V187" s="300"/>
      <c r="W187" s="300"/>
      <c r="X187" s="300"/>
      <c r="Y187" s="300"/>
      <c r="Z187" s="300"/>
      <c r="AA187" s="300"/>
      <c r="AB187" s="300"/>
      <c r="AC187" s="300"/>
      <c r="AD187" s="300"/>
      <c r="AE187" s="300"/>
      <c r="AF187" s="300"/>
      <c r="AG187" s="300"/>
      <c r="AH187" s="300"/>
      <c r="AI187" s="300"/>
      <c r="AJ187" s="300"/>
      <c r="AK187" s="300"/>
      <c r="AL187" s="300"/>
      <c r="AM187" s="300"/>
      <c r="AN187" s="300"/>
      <c r="AO187" s="300"/>
      <c r="AP187" s="300"/>
      <c r="AQ187" s="300"/>
      <c r="AR187" s="300"/>
      <c r="AS187" s="300"/>
      <c r="AT187" s="300"/>
      <c r="AU187" s="300"/>
      <c r="AV187" s="300"/>
      <c r="AW187" s="300"/>
      <c r="AX187" s="300"/>
      <c r="AY187" s="300"/>
      <c r="AZ187" s="300"/>
      <c r="BA187" s="300"/>
      <c r="BB187" s="300"/>
      <c r="BC187" s="300"/>
      <c r="BD187" s="300"/>
      <c r="BE187" s="300"/>
      <c r="BF187" s="300"/>
      <c r="BG187" s="353"/>
    </row>
    <row r="188" spans="2:59">
      <c r="B188" s="358"/>
      <c r="BG188" s="353"/>
    </row>
    <row r="189" spans="2:59" ht="13.5">
      <c r="B189" s="358"/>
      <c r="C189" s="356" t="s">
        <v>396</v>
      </c>
      <c r="BG189" s="353"/>
    </row>
    <row r="190" spans="2:59" ht="13.5">
      <c r="B190" s="358"/>
      <c r="C190" s="356" t="s">
        <v>637</v>
      </c>
      <c r="BG190" s="353"/>
    </row>
    <row r="191" spans="2:59">
      <c r="B191" s="358"/>
      <c r="BG191" s="353"/>
    </row>
    <row r="192" spans="2:59" ht="15">
      <c r="B192" s="358"/>
      <c r="C192" s="449" t="s">
        <v>436</v>
      </c>
      <c r="D192" s="450"/>
      <c r="E192" s="450"/>
      <c r="F192" s="451"/>
      <c r="G192" s="451"/>
      <c r="H192" s="451"/>
      <c r="I192" s="451"/>
      <c r="J192" s="451"/>
      <c r="K192" s="451"/>
      <c r="L192" s="451"/>
      <c r="M192" s="451"/>
      <c r="N192" s="451"/>
      <c r="O192" s="451"/>
      <c r="P192" s="451"/>
      <c r="Q192" s="451"/>
      <c r="R192" s="451"/>
      <c r="S192" s="451"/>
      <c r="T192" s="451"/>
      <c r="U192" s="451"/>
      <c r="V192" s="451"/>
      <c r="W192" s="451"/>
      <c r="X192" s="451"/>
      <c r="Y192" s="451"/>
      <c r="Z192" s="452"/>
      <c r="AA192" s="68"/>
      <c r="AB192" s="68"/>
      <c r="AC192" s="68"/>
      <c r="AD192" s="68"/>
      <c r="BG192" s="353"/>
    </row>
    <row r="193" spans="2:59" ht="15">
      <c r="B193" s="358"/>
      <c r="C193" s="322"/>
      <c r="D193" s="322"/>
      <c r="E193" s="322"/>
      <c r="F193" s="319" t="s">
        <v>169</v>
      </c>
      <c r="G193" s="319" t="s">
        <v>169</v>
      </c>
      <c r="H193" s="319" t="s">
        <v>169</v>
      </c>
      <c r="I193" s="319"/>
      <c r="J193" s="319"/>
      <c r="K193" s="319"/>
      <c r="L193" s="319"/>
      <c r="M193" s="319"/>
      <c r="N193" s="319"/>
      <c r="O193" s="319"/>
      <c r="P193" s="319"/>
      <c r="Q193" s="319"/>
      <c r="R193" s="319"/>
      <c r="S193" s="319"/>
      <c r="T193" s="319"/>
      <c r="U193" s="319"/>
      <c r="V193" s="319"/>
      <c r="W193" s="319"/>
      <c r="X193" s="319"/>
      <c r="Y193" s="319"/>
      <c r="Z193" s="319"/>
      <c r="AA193" s="319"/>
      <c r="AB193" s="319"/>
      <c r="AC193" s="319"/>
      <c r="AD193" s="319"/>
      <c r="BG193" s="353"/>
    </row>
    <row r="194" spans="2:59">
      <c r="B194" s="358"/>
      <c r="C194" s="312" t="s">
        <v>172</v>
      </c>
      <c r="D194" s="312" t="s">
        <v>173</v>
      </c>
      <c r="E194" s="312" t="s">
        <v>174</v>
      </c>
      <c r="F194" s="314" t="s">
        <v>91</v>
      </c>
      <c r="G194" s="314" t="s">
        <v>67</v>
      </c>
      <c r="H194" s="314" t="s">
        <v>69</v>
      </c>
      <c r="I194" s="314" t="s">
        <v>457</v>
      </c>
      <c r="J194" s="314" t="s">
        <v>458</v>
      </c>
      <c r="K194" s="314" t="s">
        <v>459</v>
      </c>
      <c r="L194" s="314" t="s">
        <v>460</v>
      </c>
      <c r="M194" s="314" t="s">
        <v>461</v>
      </c>
      <c r="N194" s="314" t="s">
        <v>462</v>
      </c>
      <c r="O194" s="314" t="s">
        <v>463</v>
      </c>
      <c r="P194" s="314" t="s">
        <v>464</v>
      </c>
      <c r="Q194" s="314" t="s">
        <v>465</v>
      </c>
      <c r="R194" s="314" t="s">
        <v>466</v>
      </c>
      <c r="S194" s="314" t="s">
        <v>467</v>
      </c>
      <c r="T194" s="314" t="s">
        <v>468</v>
      </c>
      <c r="U194" s="314" t="s">
        <v>469</v>
      </c>
      <c r="V194" s="314" t="s">
        <v>470</v>
      </c>
      <c r="W194" s="314" t="s">
        <v>471</v>
      </c>
      <c r="X194" s="314" t="s">
        <v>397</v>
      </c>
      <c r="Y194" s="314" t="s">
        <v>398</v>
      </c>
      <c r="Z194" s="314" t="s">
        <v>399</v>
      </c>
      <c r="AA194" s="314" t="s">
        <v>400</v>
      </c>
      <c r="AB194" s="314" t="s">
        <v>151</v>
      </c>
      <c r="AC194" s="314" t="s">
        <v>152</v>
      </c>
      <c r="AD194" s="314" t="s">
        <v>401</v>
      </c>
      <c r="BG194" s="353"/>
    </row>
    <row r="195" spans="2:59">
      <c r="B195" s="358"/>
      <c r="C195" s="312" t="s">
        <v>371</v>
      </c>
      <c r="D195" s="312" t="s">
        <v>381</v>
      </c>
      <c r="E195" s="312" t="s">
        <v>390</v>
      </c>
      <c r="F195" s="313" t="s">
        <v>418</v>
      </c>
      <c r="G195" s="313" t="s">
        <v>419</v>
      </c>
      <c r="H195" s="313" t="s">
        <v>421</v>
      </c>
      <c r="I195" s="313" t="s">
        <v>420</v>
      </c>
      <c r="J195" s="313" t="s">
        <v>422</v>
      </c>
      <c r="K195" s="313" t="s">
        <v>423</v>
      </c>
      <c r="L195" s="313" t="s">
        <v>424</v>
      </c>
      <c r="M195" s="313" t="s">
        <v>425</v>
      </c>
      <c r="N195" s="313" t="s">
        <v>426</v>
      </c>
      <c r="O195" s="313" t="s">
        <v>427</v>
      </c>
      <c r="P195" s="313" t="s">
        <v>428</v>
      </c>
      <c r="Q195" s="313" t="s">
        <v>429</v>
      </c>
      <c r="R195" s="313" t="s">
        <v>430</v>
      </c>
      <c r="S195" s="313" t="s">
        <v>431</v>
      </c>
      <c r="T195" s="313" t="s">
        <v>432</v>
      </c>
      <c r="U195" s="313" t="s">
        <v>433</v>
      </c>
      <c r="V195" s="313" t="s">
        <v>434</v>
      </c>
      <c r="W195" s="313" t="s">
        <v>435</v>
      </c>
      <c r="X195" s="313" t="s">
        <v>403</v>
      </c>
      <c r="Y195" s="313" t="s">
        <v>404</v>
      </c>
      <c r="Z195" s="313" t="s">
        <v>405</v>
      </c>
      <c r="AA195" s="313" t="s">
        <v>406</v>
      </c>
      <c r="AB195" s="313" t="s">
        <v>407</v>
      </c>
      <c r="AC195" s="313" t="s">
        <v>408</v>
      </c>
      <c r="AD195" s="313" t="s">
        <v>409</v>
      </c>
      <c r="BG195" s="353"/>
    </row>
    <row r="196" spans="2:59">
      <c r="B196" s="358"/>
      <c r="C196" s="312" t="s">
        <v>472</v>
      </c>
      <c r="D196" s="312" t="s">
        <v>473</v>
      </c>
      <c r="E196" s="312" t="s">
        <v>473</v>
      </c>
      <c r="F196" s="314" t="s">
        <v>474</v>
      </c>
      <c r="G196" s="314" t="s">
        <v>474</v>
      </c>
      <c r="H196" s="314" t="s">
        <v>475</v>
      </c>
      <c r="I196" s="314" t="s">
        <v>474</v>
      </c>
      <c r="J196" s="314" t="s">
        <v>476</v>
      </c>
      <c r="K196" s="314" t="s">
        <v>477</v>
      </c>
      <c r="L196" s="313" t="s">
        <v>478</v>
      </c>
      <c r="M196" s="314" t="s">
        <v>478</v>
      </c>
      <c r="N196" s="314" t="s">
        <v>479</v>
      </c>
      <c r="O196" s="314" t="s">
        <v>474</v>
      </c>
      <c r="P196" s="314" t="s">
        <v>480</v>
      </c>
      <c r="Q196" s="314" t="s">
        <v>481</v>
      </c>
      <c r="R196" s="314" t="s">
        <v>480</v>
      </c>
      <c r="S196" s="314" t="s">
        <v>482</v>
      </c>
      <c r="T196" s="313" t="s">
        <v>483</v>
      </c>
      <c r="U196" s="314" t="s">
        <v>483</v>
      </c>
      <c r="V196" s="314" t="s">
        <v>484</v>
      </c>
      <c r="W196" s="314" t="s">
        <v>474</v>
      </c>
      <c r="X196" s="314" t="s">
        <v>485</v>
      </c>
      <c r="Y196" s="314" t="s">
        <v>487</v>
      </c>
      <c r="Z196" s="314" t="s">
        <v>488</v>
      </c>
      <c r="AA196" s="314" t="s">
        <v>488</v>
      </c>
      <c r="AB196" s="313" t="s">
        <v>486</v>
      </c>
      <c r="AC196" s="314" t="s">
        <v>488</v>
      </c>
      <c r="AD196" s="314" t="s">
        <v>488</v>
      </c>
      <c r="BG196" s="353"/>
    </row>
    <row r="197" spans="2:59" ht="25">
      <c r="B197" s="317" t="s">
        <v>412</v>
      </c>
      <c r="C197" s="316" t="s">
        <v>437</v>
      </c>
      <c r="D197" s="338" t="s">
        <v>630</v>
      </c>
      <c r="E197" s="338" t="s">
        <v>630</v>
      </c>
      <c r="F197" s="314" t="s">
        <v>183</v>
      </c>
      <c r="G197" s="314" t="s">
        <v>439</v>
      </c>
      <c r="H197" s="314" t="s">
        <v>184</v>
      </c>
      <c r="I197" s="314" t="s">
        <v>439</v>
      </c>
      <c r="J197" s="314" t="s">
        <v>440</v>
      </c>
      <c r="K197" s="314" t="s">
        <v>411</v>
      </c>
      <c r="L197" s="313" t="s">
        <v>156</v>
      </c>
      <c r="M197" s="314" t="s">
        <v>441</v>
      </c>
      <c r="N197" s="314"/>
      <c r="O197" s="314" t="s">
        <v>183</v>
      </c>
      <c r="P197" s="314" t="s">
        <v>156</v>
      </c>
      <c r="Q197" s="314" t="s">
        <v>442</v>
      </c>
      <c r="R197" s="314" t="s">
        <v>443</v>
      </c>
      <c r="S197" s="314"/>
      <c r="T197" s="313" t="s">
        <v>156</v>
      </c>
      <c r="U197" s="314" t="s">
        <v>156</v>
      </c>
      <c r="V197" s="314" t="s">
        <v>156</v>
      </c>
      <c r="W197" s="314"/>
      <c r="X197" s="314" t="s">
        <v>411</v>
      </c>
      <c r="Y197" s="314" t="s">
        <v>444</v>
      </c>
      <c r="Z197" s="314" t="s">
        <v>445</v>
      </c>
      <c r="AA197" s="314" t="s">
        <v>445</v>
      </c>
      <c r="AB197" s="313" t="s">
        <v>446</v>
      </c>
      <c r="AC197" s="314" t="s">
        <v>447</v>
      </c>
      <c r="AD197" s="314" t="s">
        <v>447</v>
      </c>
      <c r="BG197" s="353"/>
    </row>
    <row r="198" spans="2:59" ht="14">
      <c r="B198" s="315" t="s">
        <v>410</v>
      </c>
      <c r="C198" s="337" t="s">
        <v>645</v>
      </c>
      <c r="D198" s="316" t="s">
        <v>438</v>
      </c>
      <c r="E198" s="316" t="s">
        <v>438</v>
      </c>
      <c r="F198" s="316" t="s">
        <v>183</v>
      </c>
      <c r="G198" s="316" t="s">
        <v>439</v>
      </c>
      <c r="H198" s="316" t="s">
        <v>184</v>
      </c>
      <c r="I198" s="316" t="s">
        <v>439</v>
      </c>
      <c r="J198" s="316" t="s">
        <v>646</v>
      </c>
      <c r="K198" s="316" t="s">
        <v>411</v>
      </c>
      <c r="L198" s="316" t="s">
        <v>156</v>
      </c>
      <c r="M198" s="316" t="s">
        <v>441</v>
      </c>
      <c r="N198" s="316"/>
      <c r="O198" s="316" t="s">
        <v>183</v>
      </c>
      <c r="P198" s="316" t="s">
        <v>156</v>
      </c>
      <c r="Q198" s="316" t="s">
        <v>442</v>
      </c>
      <c r="R198" s="316" t="s">
        <v>647</v>
      </c>
      <c r="S198" s="316"/>
      <c r="T198" s="316" t="s">
        <v>648</v>
      </c>
      <c r="U198" s="316" t="s">
        <v>649</v>
      </c>
      <c r="V198" s="316" t="s">
        <v>650</v>
      </c>
      <c r="W198" s="316"/>
      <c r="X198" s="316" t="s">
        <v>411</v>
      </c>
      <c r="Y198" s="316" t="s">
        <v>444</v>
      </c>
      <c r="Z198" s="316" t="s">
        <v>445</v>
      </c>
      <c r="AA198" s="316" t="s">
        <v>445</v>
      </c>
      <c r="AB198" s="316" t="s">
        <v>651</v>
      </c>
      <c r="AC198" s="316">
        <v>375901</v>
      </c>
      <c r="AD198" s="316" t="s">
        <v>652</v>
      </c>
      <c r="BG198" s="353"/>
    </row>
    <row r="199" spans="2:59" ht="14">
      <c r="B199" s="315" t="s">
        <v>410</v>
      </c>
      <c r="C199" s="337" t="s">
        <v>659</v>
      </c>
      <c r="D199" s="327" t="s">
        <v>438</v>
      </c>
      <c r="E199" s="327" t="s">
        <v>438</v>
      </c>
      <c r="F199" s="327" t="s">
        <v>183</v>
      </c>
      <c r="G199" s="327" t="s">
        <v>439</v>
      </c>
      <c r="H199" s="327" t="s">
        <v>184</v>
      </c>
      <c r="I199" s="327" t="s">
        <v>439</v>
      </c>
      <c r="J199" s="327" t="s">
        <v>653</v>
      </c>
      <c r="K199" s="327" t="s">
        <v>411</v>
      </c>
      <c r="L199" s="327" t="s">
        <v>654</v>
      </c>
      <c r="M199" s="327" t="s">
        <v>441</v>
      </c>
      <c r="N199" s="327"/>
      <c r="O199" s="327" t="s">
        <v>439</v>
      </c>
      <c r="P199" s="327" t="s">
        <v>156</v>
      </c>
      <c r="Q199" s="327" t="s">
        <v>655</v>
      </c>
      <c r="R199" s="327" t="s">
        <v>443</v>
      </c>
      <c r="S199" s="327"/>
      <c r="T199" s="327" t="s">
        <v>156</v>
      </c>
      <c r="U199" s="327" t="s">
        <v>156</v>
      </c>
      <c r="V199" s="327" t="s">
        <v>156</v>
      </c>
      <c r="W199" s="327"/>
      <c r="X199" s="327" t="s">
        <v>411</v>
      </c>
      <c r="Y199" s="327" t="s">
        <v>656</v>
      </c>
      <c r="Z199" s="327" t="s">
        <v>445</v>
      </c>
      <c r="AA199" s="327" t="s">
        <v>445</v>
      </c>
      <c r="AB199" s="327" t="s">
        <v>657</v>
      </c>
      <c r="AC199" s="327" t="s">
        <v>658</v>
      </c>
      <c r="AD199" s="327" t="s">
        <v>658</v>
      </c>
      <c r="BG199" s="353"/>
    </row>
    <row r="200" spans="2:59" ht="25">
      <c r="B200" s="315" t="s">
        <v>410</v>
      </c>
      <c r="C200" s="316" t="s">
        <v>437</v>
      </c>
      <c r="D200" s="313" t="s">
        <v>438</v>
      </c>
      <c r="E200" s="337" t="s">
        <v>182</v>
      </c>
      <c r="F200" s="314" t="s">
        <v>183</v>
      </c>
      <c r="G200" s="327" t="s">
        <v>439</v>
      </c>
      <c r="H200" s="314" t="s">
        <v>184</v>
      </c>
      <c r="I200" s="327" t="s">
        <v>439</v>
      </c>
      <c r="J200" s="314" t="s">
        <v>184</v>
      </c>
      <c r="K200" s="314" t="s">
        <v>411</v>
      </c>
      <c r="L200" s="313" t="s">
        <v>448</v>
      </c>
      <c r="M200" s="314" t="s">
        <v>441</v>
      </c>
      <c r="N200" s="314"/>
      <c r="O200" s="314" t="s">
        <v>411</v>
      </c>
      <c r="P200" s="314" t="s">
        <v>156</v>
      </c>
      <c r="Q200" s="314" t="s">
        <v>184</v>
      </c>
      <c r="R200" s="314" t="s">
        <v>449</v>
      </c>
      <c r="S200" s="314"/>
      <c r="T200" s="313" t="s">
        <v>156</v>
      </c>
      <c r="U200" s="314" t="s">
        <v>156</v>
      </c>
      <c r="V200" s="314" t="s">
        <v>156</v>
      </c>
      <c r="W200" s="314"/>
      <c r="X200" s="314" t="s">
        <v>411</v>
      </c>
      <c r="Y200" s="314" t="s">
        <v>450</v>
      </c>
      <c r="Z200" s="314" t="s">
        <v>451</v>
      </c>
      <c r="AA200" s="314">
        <v>470195</v>
      </c>
      <c r="AB200" s="313" t="s">
        <v>450</v>
      </c>
      <c r="AC200" s="314">
        <v>470195</v>
      </c>
      <c r="AD200" s="314" t="s">
        <v>451</v>
      </c>
      <c r="BG200" s="353"/>
    </row>
    <row r="201" spans="2:59">
      <c r="B201" s="358"/>
      <c r="BG201" s="353"/>
    </row>
    <row r="202" spans="2:59" ht="15">
      <c r="B202" s="358"/>
      <c r="C202" s="449" t="s">
        <v>489</v>
      </c>
      <c r="D202" s="450"/>
      <c r="E202" s="450"/>
      <c r="F202" s="450"/>
      <c r="G202" s="450"/>
      <c r="H202" s="450"/>
      <c r="I202" s="450"/>
      <c r="J202" s="450"/>
      <c r="K202" s="450"/>
      <c r="L202" s="450"/>
      <c r="M202" s="450"/>
      <c r="N202" s="450"/>
      <c r="O202" s="450"/>
      <c r="P202" s="450"/>
      <c r="Q202" s="450"/>
      <c r="R202" s="450"/>
      <c r="S202" s="450"/>
      <c r="T202" s="450"/>
      <c r="U202" s="92"/>
      <c r="V202" s="92"/>
      <c r="W202" s="92"/>
      <c r="X202" s="92"/>
      <c r="Y202" s="92"/>
      <c r="Z202" s="92"/>
      <c r="AA202" s="93"/>
      <c r="AB202" s="93"/>
      <c r="AC202" s="93"/>
      <c r="AD202" s="93"/>
      <c r="AE202" s="93"/>
      <c r="AF202" s="93"/>
      <c r="AG202" s="93"/>
      <c r="AH202" s="93"/>
      <c r="AI202" s="93"/>
      <c r="AJ202" s="93"/>
      <c r="AK202" s="93"/>
      <c r="AL202" s="93"/>
      <c r="AM202" s="93"/>
      <c r="AN202" s="93"/>
      <c r="AO202" s="93"/>
      <c r="AP202" s="94"/>
      <c r="AQ202" s="94"/>
      <c r="AR202" s="94"/>
      <c r="AS202" s="94"/>
      <c r="AT202" s="94"/>
      <c r="AU202" s="94"/>
      <c r="AV202" s="94"/>
      <c r="AW202" s="94"/>
      <c r="AX202" s="94"/>
      <c r="AY202" s="94"/>
      <c r="AZ202" s="94"/>
      <c r="BA202" s="94"/>
      <c r="BB202" s="94"/>
      <c r="BC202" s="94"/>
      <c r="BD202" s="94"/>
      <c r="BE202" s="94"/>
      <c r="BF202" s="94"/>
      <c r="BG202" s="353"/>
    </row>
    <row r="203" spans="2:59" ht="15">
      <c r="B203" s="358"/>
      <c r="C203" s="322"/>
      <c r="D203" s="322"/>
      <c r="E203" s="322"/>
      <c r="F203" s="319" t="s">
        <v>169</v>
      </c>
      <c r="G203" s="319" t="s">
        <v>169</v>
      </c>
      <c r="H203" s="324" t="s">
        <v>169</v>
      </c>
      <c r="I203" s="319" t="s">
        <v>169</v>
      </c>
      <c r="J203" s="319" t="s">
        <v>169</v>
      </c>
      <c r="K203" s="324"/>
      <c r="L203" s="324"/>
      <c r="M203" s="324"/>
      <c r="N203" s="324"/>
      <c r="O203" s="324"/>
      <c r="P203" s="324"/>
      <c r="Q203" s="324"/>
      <c r="R203" s="324"/>
      <c r="S203" s="324"/>
      <c r="T203" s="324"/>
      <c r="U203" s="324"/>
      <c r="V203" s="324"/>
      <c r="W203" s="324"/>
      <c r="X203" s="324"/>
      <c r="Y203" s="324"/>
      <c r="Z203" s="324"/>
      <c r="AA203" s="325"/>
      <c r="AB203" s="325"/>
      <c r="AC203" s="325"/>
      <c r="AD203" s="325"/>
      <c r="AE203" s="325"/>
      <c r="AF203" s="325"/>
      <c r="AG203" s="325"/>
      <c r="AH203" s="325"/>
      <c r="AI203" s="325"/>
      <c r="AJ203" s="325"/>
      <c r="AK203" s="325"/>
      <c r="AL203" s="325"/>
      <c r="AM203" s="325"/>
      <c r="AN203" s="325"/>
      <c r="AO203" s="325"/>
      <c r="AP203" s="325"/>
      <c r="AQ203" s="325"/>
      <c r="AR203" s="325"/>
      <c r="AS203" s="325"/>
      <c r="AT203" s="325"/>
      <c r="AU203" s="325"/>
      <c r="AV203" s="325"/>
      <c r="AW203" s="325"/>
      <c r="AX203" s="325"/>
      <c r="AY203" s="325"/>
      <c r="AZ203" s="325"/>
      <c r="BA203" s="325"/>
      <c r="BB203" s="325"/>
      <c r="BC203" s="325"/>
      <c r="BD203" s="325"/>
      <c r="BE203" s="325"/>
      <c r="BF203" s="325"/>
      <c r="BG203" s="353"/>
    </row>
    <row r="204" spans="2:59" ht="25">
      <c r="B204" s="358"/>
      <c r="C204" s="312" t="s">
        <v>533</v>
      </c>
      <c r="D204" s="312" t="s">
        <v>588</v>
      </c>
      <c r="E204" s="312" t="s">
        <v>589</v>
      </c>
      <c r="F204" s="314" t="s">
        <v>96</v>
      </c>
      <c r="G204" s="314" t="s">
        <v>99</v>
      </c>
      <c r="H204" s="314" t="s">
        <v>130</v>
      </c>
      <c r="I204" s="314" t="s">
        <v>559</v>
      </c>
      <c r="J204" s="314" t="s">
        <v>127</v>
      </c>
      <c r="K204" s="314" t="s">
        <v>67</v>
      </c>
      <c r="L204" s="314" t="s">
        <v>456</v>
      </c>
      <c r="M204" s="314" t="s">
        <v>534</v>
      </c>
      <c r="N204" s="314" t="s">
        <v>535</v>
      </c>
      <c r="O204" s="314" t="s">
        <v>536</v>
      </c>
      <c r="P204" s="314" t="s">
        <v>537</v>
      </c>
      <c r="Q204" s="314" t="s">
        <v>538</v>
      </c>
      <c r="R204" s="314" t="s">
        <v>539</v>
      </c>
      <c r="S204" s="314" t="s">
        <v>540</v>
      </c>
      <c r="T204" s="314" t="s">
        <v>541</v>
      </c>
      <c r="U204" s="314" t="s">
        <v>542</v>
      </c>
      <c r="V204" s="314" t="s">
        <v>543</v>
      </c>
      <c r="W204" s="314" t="s">
        <v>544</v>
      </c>
      <c r="X204" s="314" t="s">
        <v>545</v>
      </c>
      <c r="Y204" s="314" t="s">
        <v>546</v>
      </c>
      <c r="Z204" s="314" t="s">
        <v>547</v>
      </c>
      <c r="AA204" s="314" t="s">
        <v>548</v>
      </c>
      <c r="AB204" s="314" t="s">
        <v>549</v>
      </c>
      <c r="AC204" s="314" t="s">
        <v>550</v>
      </c>
      <c r="AD204" s="314" t="s">
        <v>551</v>
      </c>
      <c r="AE204" s="314" t="s">
        <v>552</v>
      </c>
      <c r="AF204" s="314" t="s">
        <v>553</v>
      </c>
      <c r="AG204" s="314" t="s">
        <v>554</v>
      </c>
      <c r="AH204" s="314" t="s">
        <v>555</v>
      </c>
      <c r="AI204" s="314" t="s">
        <v>556</v>
      </c>
      <c r="AJ204" s="314" t="s">
        <v>558</v>
      </c>
      <c r="AK204" s="314" t="s">
        <v>557</v>
      </c>
      <c r="AL204" s="314" t="s">
        <v>566</v>
      </c>
      <c r="AM204" s="314" t="s">
        <v>560</v>
      </c>
      <c r="AN204" s="314" t="s">
        <v>561</v>
      </c>
      <c r="AO204" s="314" t="s">
        <v>562</v>
      </c>
      <c r="AP204" s="314" t="s">
        <v>563</v>
      </c>
      <c r="AQ204" s="314" t="s">
        <v>567</v>
      </c>
      <c r="AR204" s="314" t="s">
        <v>564</v>
      </c>
      <c r="AS204" s="314" t="s">
        <v>565</v>
      </c>
      <c r="AT204" s="314" t="s">
        <v>568</v>
      </c>
      <c r="AU204" s="314" t="s">
        <v>569</v>
      </c>
      <c r="AV204" s="314" t="s">
        <v>570</v>
      </c>
      <c r="AW204" s="314" t="s">
        <v>571</v>
      </c>
      <c r="AX204" s="314" t="s">
        <v>572</v>
      </c>
      <c r="AY204" s="314" t="s">
        <v>573</v>
      </c>
      <c r="AZ204" s="314" t="s">
        <v>397</v>
      </c>
      <c r="BA204" s="314" t="s">
        <v>398</v>
      </c>
      <c r="BB204" s="314" t="s">
        <v>399</v>
      </c>
      <c r="BC204" s="314" t="s">
        <v>400</v>
      </c>
      <c r="BD204" s="314" t="s">
        <v>151</v>
      </c>
      <c r="BE204" s="314" t="s">
        <v>152</v>
      </c>
      <c r="BF204" s="314" t="s">
        <v>401</v>
      </c>
      <c r="BG204" s="353"/>
    </row>
    <row r="205" spans="2:59">
      <c r="B205" s="358"/>
      <c r="C205" s="312" t="s">
        <v>371</v>
      </c>
      <c r="D205" s="312" t="s">
        <v>381</v>
      </c>
      <c r="E205" s="312" t="s">
        <v>390</v>
      </c>
      <c r="F205" s="313" t="s">
        <v>490</v>
      </c>
      <c r="G205" s="313" t="s">
        <v>491</v>
      </c>
      <c r="H205" s="313" t="s">
        <v>492</v>
      </c>
      <c r="I205" s="313" t="s">
        <v>519</v>
      </c>
      <c r="J205" s="313" t="s">
        <v>525</v>
      </c>
      <c r="K205" s="313" t="s">
        <v>419</v>
      </c>
      <c r="L205" s="313" t="s">
        <v>420</v>
      </c>
      <c r="M205" s="313" t="s">
        <v>493</v>
      </c>
      <c r="N205" s="313" t="s">
        <v>494</v>
      </c>
      <c r="O205" s="313" t="s">
        <v>495</v>
      </c>
      <c r="P205" s="313" t="s">
        <v>496</v>
      </c>
      <c r="Q205" s="313" t="s">
        <v>497</v>
      </c>
      <c r="R205" s="313" t="s">
        <v>498</v>
      </c>
      <c r="S205" s="313" t="s">
        <v>499</v>
      </c>
      <c r="T205" s="313" t="s">
        <v>500</v>
      </c>
      <c r="U205" s="313" t="s">
        <v>501</v>
      </c>
      <c r="V205" s="313" t="s">
        <v>502</v>
      </c>
      <c r="W205" s="313" t="s">
        <v>503</v>
      </c>
      <c r="X205" s="313" t="s">
        <v>504</v>
      </c>
      <c r="Y205" s="313" t="s">
        <v>505</v>
      </c>
      <c r="Z205" s="313" t="s">
        <v>506</v>
      </c>
      <c r="AA205" s="313" t="s">
        <v>507</v>
      </c>
      <c r="AB205" s="313" t="s">
        <v>508</v>
      </c>
      <c r="AC205" s="313" t="s">
        <v>509</v>
      </c>
      <c r="AD205" s="313" t="s">
        <v>510</v>
      </c>
      <c r="AE205" s="313" t="s">
        <v>511</v>
      </c>
      <c r="AF205" s="313" t="s">
        <v>512</v>
      </c>
      <c r="AG205" s="313" t="s">
        <v>513</v>
      </c>
      <c r="AH205" s="313" t="s">
        <v>514</v>
      </c>
      <c r="AI205" s="313" t="s">
        <v>515</v>
      </c>
      <c r="AJ205" s="313" t="s">
        <v>516</v>
      </c>
      <c r="AK205" s="313" t="s">
        <v>517</v>
      </c>
      <c r="AL205" s="313" t="s">
        <v>518</v>
      </c>
      <c r="AM205" s="313" t="s">
        <v>520</v>
      </c>
      <c r="AN205" s="313" t="s">
        <v>521</v>
      </c>
      <c r="AO205" s="313" t="s">
        <v>522</v>
      </c>
      <c r="AP205" s="313" t="s">
        <v>402</v>
      </c>
      <c r="AQ205" s="313" t="s">
        <v>523</v>
      </c>
      <c r="AR205" s="313" t="s">
        <v>524</v>
      </c>
      <c r="AS205" s="313" t="s">
        <v>526</v>
      </c>
      <c r="AT205" s="313" t="s">
        <v>527</v>
      </c>
      <c r="AU205" s="313" t="s">
        <v>528</v>
      </c>
      <c r="AV205" s="313" t="s">
        <v>529</v>
      </c>
      <c r="AW205" s="313" t="s">
        <v>530</v>
      </c>
      <c r="AX205" s="313" t="s">
        <v>531</v>
      </c>
      <c r="AY205" s="313" t="s">
        <v>532</v>
      </c>
      <c r="AZ205" s="313" t="s">
        <v>403</v>
      </c>
      <c r="BA205" s="313" t="s">
        <v>404</v>
      </c>
      <c r="BB205" s="313" t="s">
        <v>405</v>
      </c>
      <c r="BC205" s="313" t="s">
        <v>406</v>
      </c>
      <c r="BD205" s="313" t="s">
        <v>407</v>
      </c>
      <c r="BE205" s="313" t="s">
        <v>408</v>
      </c>
      <c r="BF205" s="313" t="s">
        <v>409</v>
      </c>
      <c r="BG205" s="353"/>
    </row>
    <row r="206" spans="2:59">
      <c r="B206" s="358"/>
      <c r="C206" s="312" t="s">
        <v>472</v>
      </c>
      <c r="D206" s="312" t="s">
        <v>574</v>
      </c>
      <c r="E206" s="312" t="s">
        <v>473</v>
      </c>
      <c r="F206" s="326" t="s">
        <v>474</v>
      </c>
      <c r="G206" s="326" t="s">
        <v>474</v>
      </c>
      <c r="H206" s="326" t="s">
        <v>474</v>
      </c>
      <c r="I206" s="326" t="s">
        <v>474</v>
      </c>
      <c r="J206" s="326" t="s">
        <v>476</v>
      </c>
      <c r="K206" s="326" t="s">
        <v>474</v>
      </c>
      <c r="L206" s="326" t="s">
        <v>474</v>
      </c>
      <c r="M206" s="326" t="s">
        <v>575</v>
      </c>
      <c r="N206" s="326" t="s">
        <v>575</v>
      </c>
      <c r="O206" s="326" t="s">
        <v>473</v>
      </c>
      <c r="P206" s="326" t="s">
        <v>576</v>
      </c>
      <c r="Q206" s="326" t="s">
        <v>474</v>
      </c>
      <c r="R206" s="326" t="s">
        <v>481</v>
      </c>
      <c r="S206" s="326" t="s">
        <v>476</v>
      </c>
      <c r="T206" s="326" t="s">
        <v>481</v>
      </c>
      <c r="U206" s="326" t="s">
        <v>476</v>
      </c>
      <c r="V206" s="326" t="s">
        <v>476</v>
      </c>
      <c r="W206" s="326" t="s">
        <v>474</v>
      </c>
      <c r="X206" s="326" t="s">
        <v>577</v>
      </c>
      <c r="Y206" s="326" t="s">
        <v>577</v>
      </c>
      <c r="Z206" s="326" t="s">
        <v>478</v>
      </c>
      <c r="AA206" s="326" t="s">
        <v>576</v>
      </c>
      <c r="AB206" s="326" t="s">
        <v>576</v>
      </c>
      <c r="AC206" s="326" t="s">
        <v>476</v>
      </c>
      <c r="AD206" s="326" t="s">
        <v>480</v>
      </c>
      <c r="AE206" s="326" t="s">
        <v>481</v>
      </c>
      <c r="AF206" s="326" t="s">
        <v>481</v>
      </c>
      <c r="AG206" s="326" t="s">
        <v>578</v>
      </c>
      <c r="AH206" s="326" t="s">
        <v>578</v>
      </c>
      <c r="AI206" s="326" t="s">
        <v>481</v>
      </c>
      <c r="AJ206" s="326" t="s">
        <v>481</v>
      </c>
      <c r="AK206" s="326" t="s">
        <v>578</v>
      </c>
      <c r="AL206" s="326" t="s">
        <v>578</v>
      </c>
      <c r="AM206" s="326" t="s">
        <v>474</v>
      </c>
      <c r="AN206" s="326" t="s">
        <v>474</v>
      </c>
      <c r="AO206" s="326" t="s">
        <v>474</v>
      </c>
      <c r="AP206" s="326" t="s">
        <v>478</v>
      </c>
      <c r="AQ206" s="326" t="s">
        <v>473</v>
      </c>
      <c r="AR206" s="326" t="s">
        <v>474</v>
      </c>
      <c r="AS206" s="326" t="s">
        <v>476</v>
      </c>
      <c r="AT206" s="326" t="s">
        <v>474</v>
      </c>
      <c r="AU206" s="326" t="s">
        <v>579</v>
      </c>
      <c r="AV206" s="326" t="s">
        <v>481</v>
      </c>
      <c r="AW206" s="326" t="s">
        <v>478</v>
      </c>
      <c r="AX206" s="326" t="s">
        <v>474</v>
      </c>
      <c r="AY206" s="326" t="s">
        <v>474</v>
      </c>
      <c r="AZ206" s="326" t="s">
        <v>485</v>
      </c>
      <c r="BA206" s="326" t="s">
        <v>486</v>
      </c>
      <c r="BB206" s="326" t="s">
        <v>488</v>
      </c>
      <c r="BC206" s="326" t="s">
        <v>488</v>
      </c>
      <c r="BD206" s="326" t="s">
        <v>486</v>
      </c>
      <c r="BE206" s="326" t="s">
        <v>488</v>
      </c>
      <c r="BF206" s="326" t="s">
        <v>488</v>
      </c>
      <c r="BG206" s="353"/>
    </row>
    <row r="207" spans="2:59" ht="15">
      <c r="B207" s="317" t="s">
        <v>412</v>
      </c>
      <c r="C207" s="327" t="s">
        <v>437</v>
      </c>
      <c r="D207" s="338" t="s">
        <v>630</v>
      </c>
      <c r="E207" s="338" t="s">
        <v>630</v>
      </c>
      <c r="F207" s="328" t="s">
        <v>454</v>
      </c>
      <c r="G207" s="327" t="s">
        <v>411</v>
      </c>
      <c r="H207" s="327" t="s">
        <v>411</v>
      </c>
      <c r="I207" s="330">
        <v>1</v>
      </c>
      <c r="J207" s="331">
        <v>0</v>
      </c>
      <c r="K207" s="327" t="s">
        <v>439</v>
      </c>
      <c r="L207" s="327" t="s">
        <v>439</v>
      </c>
      <c r="M207" s="327" t="s">
        <v>156</v>
      </c>
      <c r="N207" s="327" t="s">
        <v>156</v>
      </c>
      <c r="O207" s="327" t="s">
        <v>156</v>
      </c>
      <c r="P207" s="327" t="s">
        <v>156</v>
      </c>
      <c r="Q207" s="329" t="s">
        <v>580</v>
      </c>
      <c r="R207" s="327" t="s">
        <v>411</v>
      </c>
      <c r="S207" s="327" t="s">
        <v>411</v>
      </c>
      <c r="T207" s="327" t="s">
        <v>581</v>
      </c>
      <c r="U207" s="327" t="s">
        <v>582</v>
      </c>
      <c r="V207" s="327" t="s">
        <v>183</v>
      </c>
      <c r="W207" s="327" t="s">
        <v>183</v>
      </c>
      <c r="X207" s="327" t="s">
        <v>411</v>
      </c>
      <c r="Y207" s="327" t="s">
        <v>411</v>
      </c>
      <c r="Z207" s="327"/>
      <c r="AA207" s="330"/>
      <c r="AB207" s="330" t="s">
        <v>156</v>
      </c>
      <c r="AC207" s="330">
        <v>1</v>
      </c>
      <c r="AD207" s="330">
        <v>99999999</v>
      </c>
      <c r="AE207" s="327" t="s">
        <v>411</v>
      </c>
      <c r="AF207" s="327" t="s">
        <v>411</v>
      </c>
      <c r="AG207" s="327" t="s">
        <v>411</v>
      </c>
      <c r="AH207" s="327" t="s">
        <v>411</v>
      </c>
      <c r="AI207" s="330">
        <v>0</v>
      </c>
      <c r="AJ207" s="330">
        <v>0</v>
      </c>
      <c r="AK207" s="330">
        <v>0</v>
      </c>
      <c r="AL207" s="330">
        <v>0</v>
      </c>
      <c r="AM207" s="327" t="s">
        <v>183</v>
      </c>
      <c r="AN207" s="330">
        <v>0</v>
      </c>
      <c r="AO207" s="327" t="s">
        <v>411</v>
      </c>
      <c r="AP207" s="330">
        <v>1</v>
      </c>
      <c r="AQ207" s="331" t="s">
        <v>156</v>
      </c>
      <c r="AR207" s="331" t="s">
        <v>583</v>
      </c>
      <c r="AS207" s="331">
        <v>0</v>
      </c>
      <c r="AT207" s="331">
        <v>1</v>
      </c>
      <c r="AU207" s="331">
        <v>0</v>
      </c>
      <c r="AV207" s="331">
        <v>0</v>
      </c>
      <c r="AW207" s="331">
        <v>0</v>
      </c>
      <c r="AX207" s="331">
        <v>0</v>
      </c>
      <c r="AY207" s="331">
        <v>1</v>
      </c>
      <c r="AZ207" s="331">
        <v>0</v>
      </c>
      <c r="BA207" s="332">
        <v>29705</v>
      </c>
      <c r="BB207" s="331" t="s">
        <v>445</v>
      </c>
      <c r="BC207" s="331" t="s">
        <v>445</v>
      </c>
      <c r="BD207" s="332">
        <v>36413</v>
      </c>
      <c r="BE207" s="331" t="s">
        <v>445</v>
      </c>
      <c r="BF207" s="331" t="s">
        <v>445</v>
      </c>
      <c r="BG207" s="353"/>
    </row>
    <row r="208" spans="2:59" ht="14">
      <c r="B208" s="315" t="s">
        <v>410</v>
      </c>
      <c r="C208" s="337" t="s">
        <v>645</v>
      </c>
      <c r="D208" s="327" t="s">
        <v>438</v>
      </c>
      <c r="E208" s="327" t="s">
        <v>438</v>
      </c>
      <c r="F208" s="327" t="s">
        <v>454</v>
      </c>
      <c r="G208" s="327" t="s">
        <v>411</v>
      </c>
      <c r="H208" s="327" t="s">
        <v>411</v>
      </c>
      <c r="I208" s="327">
        <v>1</v>
      </c>
      <c r="J208" s="327">
        <v>0</v>
      </c>
      <c r="K208" s="327" t="s">
        <v>439</v>
      </c>
      <c r="L208" s="327" t="s">
        <v>439</v>
      </c>
      <c r="M208" s="327" t="s">
        <v>156</v>
      </c>
      <c r="N208" s="327" t="s">
        <v>156</v>
      </c>
      <c r="O208" s="327" t="s">
        <v>156</v>
      </c>
      <c r="P208" s="327" t="s">
        <v>156</v>
      </c>
      <c r="Q208" s="327" t="s">
        <v>580</v>
      </c>
      <c r="R208" s="327" t="s">
        <v>411</v>
      </c>
      <c r="S208" s="327" t="s">
        <v>411</v>
      </c>
      <c r="T208" s="327" t="s">
        <v>581</v>
      </c>
      <c r="U208" s="327" t="s">
        <v>582</v>
      </c>
      <c r="V208" s="327" t="s">
        <v>183</v>
      </c>
      <c r="W208" s="327" t="s">
        <v>183</v>
      </c>
      <c r="X208" s="327" t="s">
        <v>411</v>
      </c>
      <c r="Y208" s="327" t="s">
        <v>411</v>
      </c>
      <c r="Z208" s="327"/>
      <c r="AA208" s="327"/>
      <c r="AB208" s="327" t="s">
        <v>156</v>
      </c>
      <c r="AC208" s="327">
        <v>1</v>
      </c>
      <c r="AD208" s="327">
        <v>99999999</v>
      </c>
      <c r="AE208" s="327">
        <v>0</v>
      </c>
      <c r="AF208" s="327">
        <v>0</v>
      </c>
      <c r="AG208" s="327">
        <v>0</v>
      </c>
      <c r="AH208" s="327">
        <v>0</v>
      </c>
      <c r="AI208" s="327">
        <v>0</v>
      </c>
      <c r="AJ208" s="327">
        <v>0</v>
      </c>
      <c r="AK208" s="327">
        <v>0</v>
      </c>
      <c r="AL208" s="327">
        <v>0</v>
      </c>
      <c r="AM208" s="327">
        <v>1</v>
      </c>
      <c r="AN208" s="327">
        <v>0</v>
      </c>
      <c r="AO208" s="327">
        <v>0</v>
      </c>
      <c r="AP208" s="327">
        <v>1</v>
      </c>
      <c r="AQ208" s="327" t="s">
        <v>156</v>
      </c>
      <c r="AR208" s="327" t="s">
        <v>583</v>
      </c>
      <c r="AS208" s="327">
        <v>0</v>
      </c>
      <c r="AT208" s="327">
        <v>1</v>
      </c>
      <c r="AU208" s="327">
        <v>0</v>
      </c>
      <c r="AV208" s="327">
        <v>0</v>
      </c>
      <c r="AW208" s="327">
        <v>0</v>
      </c>
      <c r="AX208" s="327">
        <v>0</v>
      </c>
      <c r="AY208" s="327">
        <v>1</v>
      </c>
      <c r="AZ208" s="327">
        <v>0</v>
      </c>
      <c r="BA208" s="327">
        <v>29705</v>
      </c>
      <c r="BB208" s="327" t="s">
        <v>445</v>
      </c>
      <c r="BC208" s="327" t="s">
        <v>445</v>
      </c>
      <c r="BD208" s="327">
        <v>39993.705960648149</v>
      </c>
      <c r="BE208" s="327">
        <v>375901</v>
      </c>
      <c r="BF208" s="327">
        <v>375901</v>
      </c>
      <c r="BG208" s="353"/>
    </row>
    <row r="209" spans="2:59" ht="14">
      <c r="B209" s="315" t="s">
        <v>410</v>
      </c>
      <c r="C209" s="337" t="s">
        <v>659</v>
      </c>
      <c r="D209" s="327" t="s">
        <v>438</v>
      </c>
      <c r="E209" s="327" t="s">
        <v>438</v>
      </c>
      <c r="F209" s="327" t="s">
        <v>454</v>
      </c>
      <c r="G209" s="327" t="s">
        <v>411</v>
      </c>
      <c r="H209" s="327" t="s">
        <v>411</v>
      </c>
      <c r="I209" s="327">
        <v>1</v>
      </c>
      <c r="J209" s="327">
        <v>0</v>
      </c>
      <c r="K209" s="327" t="s">
        <v>439</v>
      </c>
      <c r="L209" s="327" t="s">
        <v>439</v>
      </c>
      <c r="M209" s="327" t="s">
        <v>156</v>
      </c>
      <c r="N209" s="327" t="s">
        <v>156</v>
      </c>
      <c r="O209" s="327" t="s">
        <v>156</v>
      </c>
      <c r="P209" s="327" t="s">
        <v>156</v>
      </c>
      <c r="Q209" s="327" t="s">
        <v>580</v>
      </c>
      <c r="R209" s="327" t="s">
        <v>411</v>
      </c>
      <c r="S209" s="327" t="s">
        <v>411</v>
      </c>
      <c r="T209" s="327" t="s">
        <v>581</v>
      </c>
      <c r="U209" s="327" t="s">
        <v>582</v>
      </c>
      <c r="V209" s="327" t="s">
        <v>183</v>
      </c>
      <c r="W209" s="327" t="s">
        <v>183</v>
      </c>
      <c r="X209" s="327" t="s">
        <v>411</v>
      </c>
      <c r="Y209" s="327" t="s">
        <v>411</v>
      </c>
      <c r="Z209" s="327"/>
      <c r="AA209" s="327"/>
      <c r="AB209" s="327" t="s">
        <v>156</v>
      </c>
      <c r="AC209" s="327">
        <v>1</v>
      </c>
      <c r="AD209" s="327">
        <v>99999999</v>
      </c>
      <c r="AE209" s="327">
        <v>0</v>
      </c>
      <c r="AF209" s="327">
        <v>0</v>
      </c>
      <c r="AG209" s="327">
        <v>0</v>
      </c>
      <c r="AH209" s="327">
        <v>0</v>
      </c>
      <c r="AI209" s="327">
        <v>0</v>
      </c>
      <c r="AJ209" s="327">
        <v>0</v>
      </c>
      <c r="AK209" s="327">
        <v>0</v>
      </c>
      <c r="AL209" s="327">
        <v>0</v>
      </c>
      <c r="AM209" s="327">
        <v>1</v>
      </c>
      <c r="AN209" s="327">
        <v>0</v>
      </c>
      <c r="AO209" s="327">
        <v>0</v>
      </c>
      <c r="AP209" s="327">
        <v>1</v>
      </c>
      <c r="AQ209" s="327" t="s">
        <v>156</v>
      </c>
      <c r="AR209" s="327" t="s">
        <v>583</v>
      </c>
      <c r="AS209" s="327">
        <v>0</v>
      </c>
      <c r="AT209" s="327">
        <v>1</v>
      </c>
      <c r="AU209" s="327">
        <v>0</v>
      </c>
      <c r="AV209" s="327">
        <v>0</v>
      </c>
      <c r="AW209" s="327">
        <v>0</v>
      </c>
      <c r="AX209" s="327">
        <v>0</v>
      </c>
      <c r="AY209" s="327">
        <v>1</v>
      </c>
      <c r="AZ209" s="327">
        <v>0</v>
      </c>
      <c r="BA209" s="327">
        <v>31819</v>
      </c>
      <c r="BB209" s="327" t="s">
        <v>445</v>
      </c>
      <c r="BC209" s="327" t="s">
        <v>445</v>
      </c>
      <c r="BD209" s="327">
        <v>45636.056898148148</v>
      </c>
      <c r="BE209" s="327" t="s">
        <v>643</v>
      </c>
      <c r="BF209" s="327" t="s">
        <v>643</v>
      </c>
      <c r="BG209" s="353"/>
    </row>
    <row r="210" spans="2:59" ht="15">
      <c r="B210" s="315" t="s">
        <v>410</v>
      </c>
      <c r="C210" s="327" t="s">
        <v>437</v>
      </c>
      <c r="D210" s="327" t="s">
        <v>438</v>
      </c>
      <c r="E210" s="337" t="s">
        <v>182</v>
      </c>
      <c r="F210" s="328" t="s">
        <v>185</v>
      </c>
      <c r="G210" s="327" t="s">
        <v>411</v>
      </c>
      <c r="H210" s="327" t="s">
        <v>411</v>
      </c>
      <c r="I210" s="330">
        <v>0</v>
      </c>
      <c r="J210" s="327">
        <v>30</v>
      </c>
      <c r="K210" s="327" t="s">
        <v>439</v>
      </c>
      <c r="L210" s="327" t="s">
        <v>439</v>
      </c>
      <c r="M210" s="327" t="s">
        <v>156</v>
      </c>
      <c r="N210" s="327" t="s">
        <v>156</v>
      </c>
      <c r="O210" s="327" t="s">
        <v>584</v>
      </c>
      <c r="P210" s="327" t="s">
        <v>156</v>
      </c>
      <c r="Q210" s="329" t="s">
        <v>585</v>
      </c>
      <c r="R210" s="327" t="s">
        <v>183</v>
      </c>
      <c r="S210" s="327" t="s">
        <v>411</v>
      </c>
      <c r="T210" s="327" t="s">
        <v>581</v>
      </c>
      <c r="U210" s="327" t="s">
        <v>582</v>
      </c>
      <c r="V210" s="327" t="s">
        <v>586</v>
      </c>
      <c r="W210" s="327" t="s">
        <v>183</v>
      </c>
      <c r="X210" s="327" t="s">
        <v>411</v>
      </c>
      <c r="Y210" s="327" t="s">
        <v>411</v>
      </c>
      <c r="Z210" s="327"/>
      <c r="AA210" s="330"/>
      <c r="AB210" s="330" t="s">
        <v>587</v>
      </c>
      <c r="AC210" s="333">
        <v>5000</v>
      </c>
      <c r="AD210" s="330">
        <v>99999999</v>
      </c>
      <c r="AE210" s="327" t="s">
        <v>411</v>
      </c>
      <c r="AF210" s="327" t="s">
        <v>439</v>
      </c>
      <c r="AG210" s="327" t="s">
        <v>411</v>
      </c>
      <c r="AH210" s="327" t="s">
        <v>411</v>
      </c>
      <c r="AI210" s="330">
        <v>0</v>
      </c>
      <c r="AJ210" s="330">
        <v>0</v>
      </c>
      <c r="AK210" s="330">
        <v>0</v>
      </c>
      <c r="AL210" s="330">
        <v>0</v>
      </c>
      <c r="AM210" s="327" t="s">
        <v>183</v>
      </c>
      <c r="AN210" s="330">
        <v>0</v>
      </c>
      <c r="AO210" s="327" t="s">
        <v>411</v>
      </c>
      <c r="AP210" s="330">
        <v>1</v>
      </c>
      <c r="AQ210" s="331">
        <v>1111</v>
      </c>
      <c r="AR210" s="331" t="s">
        <v>583</v>
      </c>
      <c r="AS210" s="331">
        <v>10</v>
      </c>
      <c r="AT210" s="331">
        <v>1</v>
      </c>
      <c r="AU210" s="331">
        <v>0</v>
      </c>
      <c r="AV210" s="331">
        <v>0</v>
      </c>
      <c r="AW210" s="331">
        <v>0</v>
      </c>
      <c r="AX210" s="331">
        <v>0</v>
      </c>
      <c r="AY210" s="331">
        <v>1</v>
      </c>
      <c r="AZ210" s="331">
        <v>0</v>
      </c>
      <c r="BA210" s="332">
        <v>40640.750486111108</v>
      </c>
      <c r="BB210" s="331">
        <v>470195</v>
      </c>
      <c r="BC210" s="331">
        <v>470195</v>
      </c>
      <c r="BD210" s="332">
        <v>45392.67769675926</v>
      </c>
      <c r="BE210" s="331">
        <v>363363</v>
      </c>
      <c r="BF210" s="331">
        <v>363363</v>
      </c>
      <c r="BG210" s="353"/>
    </row>
    <row r="211" spans="2:59">
      <c r="B211" s="358"/>
      <c r="BG211" s="353"/>
    </row>
    <row r="212" spans="2:59" ht="14">
      <c r="B212" s="358"/>
      <c r="C212" s="359" t="s">
        <v>153</v>
      </c>
      <c r="BG212" s="353"/>
    </row>
    <row r="213" spans="2:59" ht="14">
      <c r="B213" s="358"/>
      <c r="C213" s="359" t="s">
        <v>590</v>
      </c>
      <c r="D213" s="359" t="s">
        <v>591</v>
      </c>
      <c r="E213" s="359" t="s">
        <v>159</v>
      </c>
      <c r="F213" s="359" t="s">
        <v>592</v>
      </c>
      <c r="G213" s="359" t="s">
        <v>593</v>
      </c>
      <c r="H213" s="359" t="s">
        <v>594</v>
      </c>
      <c r="I213" s="359" t="s">
        <v>595</v>
      </c>
      <c r="J213" s="359" t="s">
        <v>596</v>
      </c>
      <c r="K213" s="359" t="s">
        <v>597</v>
      </c>
      <c r="L213" s="359" t="s">
        <v>598</v>
      </c>
      <c r="M213" s="359" t="s">
        <v>599</v>
      </c>
      <c r="BG213" s="353"/>
    </row>
    <row r="214" spans="2:59" ht="14">
      <c r="B214" s="358"/>
      <c r="C214" s="359">
        <v>0</v>
      </c>
      <c r="D214" s="359">
        <v>0</v>
      </c>
      <c r="E214" s="359">
        <v>0</v>
      </c>
      <c r="F214" s="359" t="s">
        <v>600</v>
      </c>
      <c r="G214" s="359" t="s">
        <v>600</v>
      </c>
      <c r="H214" s="359">
        <v>2</v>
      </c>
      <c r="I214" s="359">
        <v>4</v>
      </c>
      <c r="J214" s="359">
        <v>3</v>
      </c>
      <c r="K214" s="359">
        <v>1</v>
      </c>
      <c r="L214" s="359">
        <v>0</v>
      </c>
      <c r="M214" s="359">
        <v>0</v>
      </c>
      <c r="BG214" s="353"/>
    </row>
    <row r="215" spans="2:59" ht="13.5" thickBot="1">
      <c r="B215" s="358"/>
      <c r="BG215" s="353"/>
    </row>
    <row r="216" spans="2:59" ht="14" thickBot="1">
      <c r="B216" s="299" t="s">
        <v>639</v>
      </c>
      <c r="C216" s="300" t="s">
        <v>640</v>
      </c>
      <c r="D216" s="300"/>
      <c r="E216" s="300"/>
      <c r="F216" s="300"/>
      <c r="G216" s="300"/>
      <c r="H216" s="300"/>
      <c r="I216" s="300"/>
      <c r="J216" s="300"/>
      <c r="K216" s="300"/>
      <c r="L216" s="300"/>
      <c r="M216" s="300"/>
      <c r="N216" s="300"/>
      <c r="O216" s="300"/>
      <c r="P216" s="300"/>
      <c r="Q216" s="300"/>
      <c r="R216" s="300"/>
      <c r="S216" s="300"/>
      <c r="T216" s="300"/>
      <c r="U216" s="300"/>
      <c r="V216" s="300"/>
      <c r="W216" s="300"/>
      <c r="X216" s="300"/>
      <c r="Y216" s="300"/>
      <c r="Z216" s="300"/>
      <c r="AA216" s="300"/>
      <c r="AB216" s="300"/>
      <c r="AC216" s="300"/>
      <c r="AD216" s="300"/>
      <c r="AE216" s="300"/>
      <c r="AF216" s="300"/>
      <c r="AG216" s="300"/>
      <c r="AH216" s="300"/>
      <c r="AI216" s="300"/>
      <c r="AJ216" s="300"/>
      <c r="AK216" s="300"/>
      <c r="AL216" s="300"/>
      <c r="AM216" s="300"/>
      <c r="AN216" s="300"/>
      <c r="AO216" s="300"/>
      <c r="AP216" s="300"/>
      <c r="AQ216" s="300"/>
      <c r="AR216" s="300"/>
      <c r="AS216" s="300"/>
      <c r="AT216" s="300"/>
      <c r="AU216" s="300"/>
      <c r="AV216" s="300"/>
      <c r="AW216" s="300"/>
      <c r="AX216" s="300"/>
      <c r="AY216" s="300"/>
      <c r="AZ216" s="300"/>
      <c r="BA216" s="300"/>
      <c r="BB216" s="300"/>
      <c r="BC216" s="300"/>
      <c r="BD216" s="300"/>
      <c r="BE216" s="300"/>
      <c r="BF216" s="300"/>
      <c r="BG216" s="353"/>
    </row>
    <row r="217" spans="2:59" ht="14" thickBot="1">
      <c r="B217" s="335" t="s">
        <v>601</v>
      </c>
      <c r="C217" s="300" t="s">
        <v>395</v>
      </c>
      <c r="D217" s="300"/>
      <c r="E217" s="300"/>
      <c r="F217" s="300"/>
      <c r="G217" s="300"/>
      <c r="H217" s="300"/>
      <c r="I217" s="300"/>
      <c r="J217" s="300"/>
      <c r="K217" s="300"/>
      <c r="L217" s="300"/>
      <c r="M217" s="300"/>
      <c r="N217" s="300"/>
      <c r="O217" s="300"/>
      <c r="P217" s="300"/>
      <c r="Q217" s="300"/>
      <c r="R217" s="300"/>
      <c r="S217" s="300"/>
      <c r="T217" s="300"/>
      <c r="U217" s="300"/>
      <c r="V217" s="300"/>
      <c r="W217" s="300"/>
      <c r="X217" s="300"/>
      <c r="Y217" s="300"/>
      <c r="Z217" s="300"/>
      <c r="AA217" s="300"/>
      <c r="AB217" s="300"/>
      <c r="AC217" s="300"/>
      <c r="AD217" s="300"/>
      <c r="AE217" s="300"/>
      <c r="AF217" s="300"/>
      <c r="AG217" s="300"/>
      <c r="AH217" s="300"/>
      <c r="AI217" s="300"/>
      <c r="AJ217" s="300"/>
      <c r="AK217" s="300"/>
      <c r="AL217" s="300"/>
      <c r="AM217" s="300"/>
      <c r="AN217" s="300"/>
      <c r="AO217" s="300"/>
      <c r="AP217" s="300"/>
      <c r="AQ217" s="300"/>
      <c r="AR217" s="300"/>
      <c r="AS217" s="300"/>
      <c r="AT217" s="300"/>
      <c r="AU217" s="300"/>
      <c r="AV217" s="300"/>
      <c r="AW217" s="300"/>
      <c r="AX217" s="300"/>
      <c r="AY217" s="300"/>
      <c r="AZ217" s="300"/>
      <c r="BA217" s="300"/>
      <c r="BB217" s="300"/>
      <c r="BC217" s="300"/>
      <c r="BD217" s="300"/>
      <c r="BE217" s="300"/>
      <c r="BF217" s="300"/>
      <c r="BG217" s="353"/>
    </row>
    <row r="218" spans="2:59">
      <c r="B218" s="358"/>
      <c r="BG218" s="353"/>
    </row>
    <row r="219" spans="2:59" ht="13.5">
      <c r="B219" s="358"/>
      <c r="C219" s="356" t="s">
        <v>396</v>
      </c>
      <c r="BG219" s="353"/>
    </row>
    <row r="220" spans="2:59" ht="13.5">
      <c r="B220" s="358"/>
      <c r="C220" s="356" t="s">
        <v>725</v>
      </c>
      <c r="BG220" s="353"/>
    </row>
    <row r="221" spans="2:59">
      <c r="B221" s="358"/>
      <c r="BG221" s="353"/>
    </row>
    <row r="222" spans="2:59" ht="15">
      <c r="B222" s="358"/>
      <c r="C222" s="449" t="s">
        <v>436</v>
      </c>
      <c r="D222" s="450"/>
      <c r="E222" s="450"/>
      <c r="F222" s="451"/>
      <c r="G222" s="451"/>
      <c r="H222" s="451"/>
      <c r="I222" s="451"/>
      <c r="J222" s="451"/>
      <c r="K222" s="451"/>
      <c r="L222" s="451"/>
      <c r="M222" s="451"/>
      <c r="N222" s="451"/>
      <c r="O222" s="451"/>
      <c r="P222" s="451"/>
      <c r="Q222" s="451"/>
      <c r="R222" s="451"/>
      <c r="S222" s="451"/>
      <c r="T222" s="451"/>
      <c r="U222" s="451"/>
      <c r="V222" s="451"/>
      <c r="W222" s="451"/>
      <c r="X222" s="451"/>
      <c r="Y222" s="451"/>
      <c r="Z222" s="452"/>
      <c r="AA222" s="68"/>
      <c r="AB222" s="68"/>
      <c r="AC222" s="68"/>
      <c r="AD222" s="68"/>
      <c r="BG222" s="353"/>
    </row>
    <row r="223" spans="2:59" ht="15">
      <c r="B223" s="358"/>
      <c r="C223" s="322"/>
      <c r="D223" s="322"/>
      <c r="E223" s="322"/>
      <c r="F223" s="319" t="s">
        <v>169</v>
      </c>
      <c r="G223" s="319" t="s">
        <v>169</v>
      </c>
      <c r="H223" s="319" t="s">
        <v>169</v>
      </c>
      <c r="I223" s="319"/>
      <c r="J223" s="319"/>
      <c r="K223" s="319"/>
      <c r="L223" s="319"/>
      <c r="M223" s="319"/>
      <c r="N223" s="319"/>
      <c r="O223" s="319"/>
      <c r="P223" s="319"/>
      <c r="Q223" s="319"/>
      <c r="R223" s="319"/>
      <c r="S223" s="319"/>
      <c r="T223" s="319"/>
      <c r="U223" s="319"/>
      <c r="V223" s="319"/>
      <c r="W223" s="319"/>
      <c r="X223" s="319"/>
      <c r="Y223" s="319"/>
      <c r="Z223" s="319"/>
      <c r="AA223" s="319"/>
      <c r="AB223" s="319"/>
      <c r="AC223" s="319"/>
      <c r="AD223" s="319"/>
      <c r="BG223" s="353"/>
    </row>
    <row r="224" spans="2:59">
      <c r="B224" s="358"/>
      <c r="C224" s="312" t="s">
        <v>172</v>
      </c>
      <c r="D224" s="312" t="s">
        <v>173</v>
      </c>
      <c r="E224" s="312" t="s">
        <v>174</v>
      </c>
      <c r="F224" s="314" t="s">
        <v>91</v>
      </c>
      <c r="G224" s="314" t="s">
        <v>67</v>
      </c>
      <c r="H224" s="314" t="s">
        <v>69</v>
      </c>
      <c r="I224" s="314" t="s">
        <v>457</v>
      </c>
      <c r="J224" s="314" t="s">
        <v>458</v>
      </c>
      <c r="K224" s="314" t="s">
        <v>459</v>
      </c>
      <c r="L224" s="314" t="s">
        <v>460</v>
      </c>
      <c r="M224" s="314" t="s">
        <v>461</v>
      </c>
      <c r="N224" s="314" t="s">
        <v>462</v>
      </c>
      <c r="O224" s="314" t="s">
        <v>463</v>
      </c>
      <c r="P224" s="314" t="s">
        <v>464</v>
      </c>
      <c r="Q224" s="314" t="s">
        <v>465</v>
      </c>
      <c r="R224" s="314" t="s">
        <v>466</v>
      </c>
      <c r="S224" s="314" t="s">
        <v>467</v>
      </c>
      <c r="T224" s="314" t="s">
        <v>468</v>
      </c>
      <c r="U224" s="314" t="s">
        <v>469</v>
      </c>
      <c r="V224" s="314" t="s">
        <v>470</v>
      </c>
      <c r="W224" s="314" t="s">
        <v>471</v>
      </c>
      <c r="X224" s="314" t="s">
        <v>397</v>
      </c>
      <c r="Y224" s="314" t="s">
        <v>398</v>
      </c>
      <c r="Z224" s="314" t="s">
        <v>399</v>
      </c>
      <c r="AA224" s="314" t="s">
        <v>400</v>
      </c>
      <c r="AB224" s="314" t="s">
        <v>151</v>
      </c>
      <c r="AC224" s="314" t="s">
        <v>152</v>
      </c>
      <c r="AD224" s="314" t="s">
        <v>401</v>
      </c>
      <c r="BG224" s="353"/>
    </row>
    <row r="225" spans="2:59">
      <c r="B225" s="358"/>
      <c r="C225" s="312" t="s">
        <v>371</v>
      </c>
      <c r="D225" s="312" t="s">
        <v>381</v>
      </c>
      <c r="E225" s="312" t="s">
        <v>390</v>
      </c>
      <c r="F225" s="313" t="s">
        <v>418</v>
      </c>
      <c r="G225" s="313" t="s">
        <v>419</v>
      </c>
      <c r="H225" s="313" t="s">
        <v>421</v>
      </c>
      <c r="I225" s="313" t="s">
        <v>420</v>
      </c>
      <c r="J225" s="313" t="s">
        <v>422</v>
      </c>
      <c r="K225" s="313" t="s">
        <v>423</v>
      </c>
      <c r="L225" s="313" t="s">
        <v>424</v>
      </c>
      <c r="M225" s="313" t="s">
        <v>425</v>
      </c>
      <c r="N225" s="313" t="s">
        <v>426</v>
      </c>
      <c r="O225" s="313" t="s">
        <v>427</v>
      </c>
      <c r="P225" s="313" t="s">
        <v>428</v>
      </c>
      <c r="Q225" s="313" t="s">
        <v>429</v>
      </c>
      <c r="R225" s="313" t="s">
        <v>430</v>
      </c>
      <c r="S225" s="313" t="s">
        <v>431</v>
      </c>
      <c r="T225" s="313" t="s">
        <v>432</v>
      </c>
      <c r="U225" s="313" t="s">
        <v>433</v>
      </c>
      <c r="V225" s="313" t="s">
        <v>434</v>
      </c>
      <c r="W225" s="313" t="s">
        <v>435</v>
      </c>
      <c r="X225" s="313" t="s">
        <v>403</v>
      </c>
      <c r="Y225" s="313" t="s">
        <v>404</v>
      </c>
      <c r="Z225" s="313" t="s">
        <v>405</v>
      </c>
      <c r="AA225" s="313" t="s">
        <v>406</v>
      </c>
      <c r="AB225" s="313" t="s">
        <v>407</v>
      </c>
      <c r="AC225" s="313" t="s">
        <v>408</v>
      </c>
      <c r="AD225" s="313" t="s">
        <v>409</v>
      </c>
      <c r="BG225" s="353"/>
    </row>
    <row r="226" spans="2:59">
      <c r="B226" s="358"/>
      <c r="C226" s="312" t="s">
        <v>472</v>
      </c>
      <c r="D226" s="312" t="s">
        <v>473</v>
      </c>
      <c r="E226" s="312" t="s">
        <v>473</v>
      </c>
      <c r="F226" s="314" t="s">
        <v>474</v>
      </c>
      <c r="G226" s="314" t="s">
        <v>474</v>
      </c>
      <c r="H226" s="314" t="s">
        <v>475</v>
      </c>
      <c r="I226" s="314" t="s">
        <v>474</v>
      </c>
      <c r="J226" s="314" t="s">
        <v>476</v>
      </c>
      <c r="K226" s="314" t="s">
        <v>477</v>
      </c>
      <c r="L226" s="313" t="s">
        <v>478</v>
      </c>
      <c r="M226" s="314" t="s">
        <v>478</v>
      </c>
      <c r="N226" s="314" t="s">
        <v>479</v>
      </c>
      <c r="O226" s="314" t="s">
        <v>474</v>
      </c>
      <c r="P226" s="314" t="s">
        <v>480</v>
      </c>
      <c r="Q226" s="314" t="s">
        <v>481</v>
      </c>
      <c r="R226" s="314" t="s">
        <v>480</v>
      </c>
      <c r="S226" s="314" t="s">
        <v>482</v>
      </c>
      <c r="T226" s="313" t="s">
        <v>483</v>
      </c>
      <c r="U226" s="314" t="s">
        <v>483</v>
      </c>
      <c r="V226" s="314" t="s">
        <v>484</v>
      </c>
      <c r="W226" s="314" t="s">
        <v>474</v>
      </c>
      <c r="X226" s="314" t="s">
        <v>485</v>
      </c>
      <c r="Y226" s="314" t="s">
        <v>487</v>
      </c>
      <c r="Z226" s="314" t="s">
        <v>488</v>
      </c>
      <c r="AA226" s="314" t="s">
        <v>488</v>
      </c>
      <c r="AB226" s="313" t="s">
        <v>486</v>
      </c>
      <c r="AC226" s="314" t="s">
        <v>488</v>
      </c>
      <c r="AD226" s="314" t="s">
        <v>488</v>
      </c>
      <c r="BG226" s="353"/>
    </row>
    <row r="227" spans="2:59" ht="14">
      <c r="B227" s="317" t="s">
        <v>412</v>
      </c>
      <c r="C227" s="327" t="s">
        <v>685</v>
      </c>
      <c r="D227" s="327" t="s">
        <v>630</v>
      </c>
      <c r="E227" s="327" t="s">
        <v>630</v>
      </c>
      <c r="F227" s="327" t="s">
        <v>183</v>
      </c>
      <c r="G227" s="327" t="s">
        <v>183</v>
      </c>
      <c r="H227" s="327" t="s">
        <v>184</v>
      </c>
      <c r="I227" s="420" t="s">
        <v>600</v>
      </c>
      <c r="J227" s="327" t="s">
        <v>184</v>
      </c>
      <c r="K227" s="327" t="s">
        <v>411</v>
      </c>
      <c r="L227" s="327" t="s">
        <v>448</v>
      </c>
      <c r="M227" s="327" t="s">
        <v>441</v>
      </c>
      <c r="N227" s="327"/>
      <c r="O227" s="327" t="s">
        <v>411</v>
      </c>
      <c r="P227" s="327" t="s">
        <v>156</v>
      </c>
      <c r="Q227" s="327" t="s">
        <v>184</v>
      </c>
      <c r="R227" s="327" t="s">
        <v>449</v>
      </c>
      <c r="S227" s="327"/>
      <c r="T227" s="327" t="s">
        <v>156</v>
      </c>
      <c r="U227" s="327" t="s">
        <v>156</v>
      </c>
      <c r="V227" s="327" t="s">
        <v>156</v>
      </c>
      <c r="W227" s="327"/>
      <c r="X227" s="327" t="s">
        <v>411</v>
      </c>
      <c r="Y227" s="327">
        <v>40640.750486111108</v>
      </c>
      <c r="Z227" s="327">
        <v>470195</v>
      </c>
      <c r="AA227" s="327">
        <v>470195</v>
      </c>
      <c r="AB227" s="327">
        <v>40640.750486111108</v>
      </c>
      <c r="AC227" s="327">
        <v>470195</v>
      </c>
      <c r="AD227" s="327">
        <v>470195</v>
      </c>
      <c r="BG227" s="353"/>
    </row>
    <row r="228" spans="2:59" ht="14">
      <c r="B228" s="315" t="s">
        <v>410</v>
      </c>
      <c r="C228" s="337" t="s">
        <v>645</v>
      </c>
      <c r="D228" s="316" t="s">
        <v>438</v>
      </c>
      <c r="E228" s="316" t="s">
        <v>438</v>
      </c>
      <c r="F228" s="316" t="s">
        <v>183</v>
      </c>
      <c r="G228" s="316" t="s">
        <v>439</v>
      </c>
      <c r="H228" s="316" t="s">
        <v>184</v>
      </c>
      <c r="I228" s="316" t="s">
        <v>439</v>
      </c>
      <c r="J228" s="316" t="s">
        <v>646</v>
      </c>
      <c r="K228" s="316" t="s">
        <v>411</v>
      </c>
      <c r="L228" s="316" t="s">
        <v>156</v>
      </c>
      <c r="M228" s="316" t="s">
        <v>441</v>
      </c>
      <c r="N228" s="316"/>
      <c r="O228" s="316" t="s">
        <v>183</v>
      </c>
      <c r="P228" s="316" t="s">
        <v>156</v>
      </c>
      <c r="Q228" s="316" t="s">
        <v>442</v>
      </c>
      <c r="R228" s="316" t="s">
        <v>647</v>
      </c>
      <c r="S228" s="316"/>
      <c r="T228" s="316" t="s">
        <v>648</v>
      </c>
      <c r="U228" s="316" t="s">
        <v>649</v>
      </c>
      <c r="V228" s="316" t="s">
        <v>650</v>
      </c>
      <c r="W228" s="316"/>
      <c r="X228" s="316" t="s">
        <v>411</v>
      </c>
      <c r="Y228" s="316" t="s">
        <v>444</v>
      </c>
      <c r="Z228" s="316" t="s">
        <v>445</v>
      </c>
      <c r="AA228" s="316" t="s">
        <v>445</v>
      </c>
      <c r="AB228" s="316" t="s">
        <v>651</v>
      </c>
      <c r="AC228" s="316">
        <v>375901</v>
      </c>
      <c r="AD228" s="316" t="s">
        <v>652</v>
      </c>
      <c r="BG228" s="353"/>
    </row>
    <row r="229" spans="2:59" ht="14">
      <c r="B229" s="315" t="s">
        <v>410</v>
      </c>
      <c r="C229" s="337" t="s">
        <v>659</v>
      </c>
      <c r="D229" s="327" t="s">
        <v>438</v>
      </c>
      <c r="E229" s="327" t="s">
        <v>438</v>
      </c>
      <c r="F229" s="327" t="s">
        <v>183</v>
      </c>
      <c r="G229" s="327" t="s">
        <v>439</v>
      </c>
      <c r="H229" s="327" t="s">
        <v>184</v>
      </c>
      <c r="I229" s="327" t="s">
        <v>439</v>
      </c>
      <c r="J229" s="327" t="s">
        <v>653</v>
      </c>
      <c r="K229" s="327" t="s">
        <v>411</v>
      </c>
      <c r="L229" s="327" t="s">
        <v>654</v>
      </c>
      <c r="M229" s="327" t="s">
        <v>441</v>
      </c>
      <c r="N229" s="327"/>
      <c r="O229" s="327" t="s">
        <v>439</v>
      </c>
      <c r="P229" s="327" t="s">
        <v>156</v>
      </c>
      <c r="Q229" s="327" t="s">
        <v>655</v>
      </c>
      <c r="R229" s="327" t="s">
        <v>443</v>
      </c>
      <c r="S229" s="327"/>
      <c r="T229" s="327" t="s">
        <v>156</v>
      </c>
      <c r="U229" s="327" t="s">
        <v>156</v>
      </c>
      <c r="V229" s="327" t="s">
        <v>156</v>
      </c>
      <c r="W229" s="327"/>
      <c r="X229" s="327" t="s">
        <v>411</v>
      </c>
      <c r="Y229" s="327" t="s">
        <v>656</v>
      </c>
      <c r="Z229" s="327" t="s">
        <v>445</v>
      </c>
      <c r="AA229" s="327" t="s">
        <v>445</v>
      </c>
      <c r="AB229" s="327" t="s">
        <v>657</v>
      </c>
      <c r="AC229" s="327" t="s">
        <v>658</v>
      </c>
      <c r="AD229" s="327" t="s">
        <v>658</v>
      </c>
      <c r="BG229" s="353"/>
    </row>
    <row r="230" spans="2:59" ht="25">
      <c r="B230" s="315" t="s">
        <v>410</v>
      </c>
      <c r="C230" s="337" t="s">
        <v>684</v>
      </c>
      <c r="D230" s="313" t="s">
        <v>438</v>
      </c>
      <c r="E230" s="314" t="s">
        <v>438</v>
      </c>
      <c r="F230" s="314" t="s">
        <v>183</v>
      </c>
      <c r="G230" s="314" t="s">
        <v>439</v>
      </c>
      <c r="H230" s="314" t="s">
        <v>184</v>
      </c>
      <c r="I230" s="314" t="s">
        <v>439</v>
      </c>
      <c r="J230" s="314" t="s">
        <v>440</v>
      </c>
      <c r="K230" s="314" t="s">
        <v>411</v>
      </c>
      <c r="L230" s="313" t="s">
        <v>156</v>
      </c>
      <c r="M230" s="314" t="s">
        <v>441</v>
      </c>
      <c r="N230" s="314"/>
      <c r="O230" s="314" t="s">
        <v>183</v>
      </c>
      <c r="P230" s="314" t="s">
        <v>156</v>
      </c>
      <c r="Q230" s="314" t="s">
        <v>442</v>
      </c>
      <c r="R230" s="314" t="s">
        <v>443</v>
      </c>
      <c r="S230" s="314"/>
      <c r="T230" s="313" t="s">
        <v>156</v>
      </c>
      <c r="U230" s="314" t="s">
        <v>156</v>
      </c>
      <c r="V230" s="314" t="s">
        <v>156</v>
      </c>
      <c r="W230" s="314"/>
      <c r="X230" s="314" t="s">
        <v>411</v>
      </c>
      <c r="Y230" s="314" t="s">
        <v>444</v>
      </c>
      <c r="Z230" s="314" t="s">
        <v>445</v>
      </c>
      <c r="AA230" s="314" t="s">
        <v>445</v>
      </c>
      <c r="AB230" s="313" t="s">
        <v>446</v>
      </c>
      <c r="AC230" s="314" t="s">
        <v>447</v>
      </c>
      <c r="AD230" s="314" t="s">
        <v>447</v>
      </c>
      <c r="BG230" s="353"/>
    </row>
    <row r="231" spans="2:59">
      <c r="B231" s="358"/>
      <c r="BG231" s="353"/>
    </row>
    <row r="232" spans="2:59" ht="15">
      <c r="B232" s="358"/>
      <c r="C232" s="449" t="s">
        <v>489</v>
      </c>
      <c r="D232" s="450"/>
      <c r="E232" s="450"/>
      <c r="F232" s="450"/>
      <c r="G232" s="450"/>
      <c r="H232" s="450"/>
      <c r="I232" s="450"/>
      <c r="J232" s="450"/>
      <c r="K232" s="450"/>
      <c r="L232" s="450"/>
      <c r="M232" s="450"/>
      <c r="N232" s="450"/>
      <c r="O232" s="450"/>
      <c r="P232" s="450"/>
      <c r="Q232" s="450"/>
      <c r="R232" s="450"/>
      <c r="S232" s="450"/>
      <c r="T232" s="450"/>
      <c r="U232" s="92"/>
      <c r="V232" s="92"/>
      <c r="W232" s="92"/>
      <c r="X232" s="92"/>
      <c r="Y232" s="92"/>
      <c r="Z232" s="92"/>
      <c r="AA232" s="93"/>
      <c r="AB232" s="93"/>
      <c r="AC232" s="93"/>
      <c r="AD232" s="93"/>
      <c r="AE232" s="93"/>
      <c r="AF232" s="93"/>
      <c r="AG232" s="93"/>
      <c r="AH232" s="93"/>
      <c r="AI232" s="93"/>
      <c r="AJ232" s="93"/>
      <c r="AK232" s="93"/>
      <c r="AL232" s="93"/>
      <c r="AM232" s="93"/>
      <c r="AN232" s="93"/>
      <c r="AO232" s="93"/>
      <c r="AP232" s="94"/>
      <c r="AQ232" s="94"/>
      <c r="AR232" s="94"/>
      <c r="AS232" s="94"/>
      <c r="AT232" s="94"/>
      <c r="AU232" s="94"/>
      <c r="AV232" s="94"/>
      <c r="AW232" s="94"/>
      <c r="AX232" s="94"/>
      <c r="AY232" s="94"/>
      <c r="AZ232" s="94"/>
      <c r="BA232" s="94"/>
      <c r="BB232" s="94"/>
      <c r="BC232" s="94"/>
      <c r="BD232" s="94"/>
      <c r="BE232" s="94"/>
      <c r="BF232" s="94"/>
      <c r="BG232" s="353"/>
    </row>
    <row r="233" spans="2:59" ht="15">
      <c r="B233" s="358"/>
      <c r="C233" s="322"/>
      <c r="D233" s="322"/>
      <c r="E233" s="322"/>
      <c r="F233" s="319" t="s">
        <v>169</v>
      </c>
      <c r="G233" s="319" t="s">
        <v>169</v>
      </c>
      <c r="H233" s="324" t="s">
        <v>169</v>
      </c>
      <c r="I233" s="319" t="s">
        <v>169</v>
      </c>
      <c r="J233" s="319" t="s">
        <v>169</v>
      </c>
      <c r="K233" s="324"/>
      <c r="L233" s="324"/>
      <c r="M233" s="324"/>
      <c r="N233" s="324"/>
      <c r="O233" s="324"/>
      <c r="P233" s="324"/>
      <c r="Q233" s="324"/>
      <c r="R233" s="324"/>
      <c r="S233" s="324"/>
      <c r="T233" s="324"/>
      <c r="U233" s="324"/>
      <c r="V233" s="324"/>
      <c r="W233" s="324"/>
      <c r="X233" s="324"/>
      <c r="Y233" s="324"/>
      <c r="Z233" s="324"/>
      <c r="AA233" s="325"/>
      <c r="AB233" s="325"/>
      <c r="AC233" s="325"/>
      <c r="AD233" s="325"/>
      <c r="AE233" s="325"/>
      <c r="AF233" s="325"/>
      <c r="AG233" s="325"/>
      <c r="AH233" s="325"/>
      <c r="AI233" s="325"/>
      <c r="AJ233" s="325"/>
      <c r="AK233" s="325"/>
      <c r="AL233" s="325"/>
      <c r="AM233" s="325"/>
      <c r="AN233" s="325"/>
      <c r="AO233" s="325"/>
      <c r="AP233" s="325"/>
      <c r="AQ233" s="325"/>
      <c r="AR233" s="325"/>
      <c r="AS233" s="325"/>
      <c r="AT233" s="325"/>
      <c r="AU233" s="325"/>
      <c r="AV233" s="325"/>
      <c r="AW233" s="325"/>
      <c r="AX233" s="325"/>
      <c r="AY233" s="325"/>
      <c r="AZ233" s="325"/>
      <c r="BA233" s="325"/>
      <c r="BB233" s="325"/>
      <c r="BC233" s="325"/>
      <c r="BD233" s="325"/>
      <c r="BE233" s="325"/>
      <c r="BF233" s="325"/>
      <c r="BG233" s="353"/>
    </row>
    <row r="234" spans="2:59" ht="25">
      <c r="B234" s="358"/>
      <c r="C234" s="312" t="s">
        <v>533</v>
      </c>
      <c r="D234" s="312" t="s">
        <v>588</v>
      </c>
      <c r="E234" s="312" t="s">
        <v>589</v>
      </c>
      <c r="F234" s="314" t="s">
        <v>96</v>
      </c>
      <c r="G234" s="314" t="s">
        <v>99</v>
      </c>
      <c r="H234" s="314" t="s">
        <v>130</v>
      </c>
      <c r="I234" s="314" t="s">
        <v>559</v>
      </c>
      <c r="J234" s="314" t="s">
        <v>127</v>
      </c>
      <c r="K234" s="314" t="s">
        <v>67</v>
      </c>
      <c r="L234" s="314" t="s">
        <v>456</v>
      </c>
      <c r="M234" s="314" t="s">
        <v>534</v>
      </c>
      <c r="N234" s="314" t="s">
        <v>535</v>
      </c>
      <c r="O234" s="314" t="s">
        <v>536</v>
      </c>
      <c r="P234" s="314" t="s">
        <v>537</v>
      </c>
      <c r="Q234" s="314" t="s">
        <v>538</v>
      </c>
      <c r="R234" s="314" t="s">
        <v>539</v>
      </c>
      <c r="S234" s="314" t="s">
        <v>540</v>
      </c>
      <c r="T234" s="314" t="s">
        <v>541</v>
      </c>
      <c r="U234" s="314" t="s">
        <v>542</v>
      </c>
      <c r="V234" s="314" t="s">
        <v>543</v>
      </c>
      <c r="W234" s="314" t="s">
        <v>544</v>
      </c>
      <c r="X234" s="314" t="s">
        <v>545</v>
      </c>
      <c r="Y234" s="314" t="s">
        <v>546</v>
      </c>
      <c r="Z234" s="314" t="s">
        <v>547</v>
      </c>
      <c r="AA234" s="314" t="s">
        <v>548</v>
      </c>
      <c r="AB234" s="314" t="s">
        <v>549</v>
      </c>
      <c r="AC234" s="314" t="s">
        <v>550</v>
      </c>
      <c r="AD234" s="314" t="s">
        <v>551</v>
      </c>
      <c r="AE234" s="314" t="s">
        <v>552</v>
      </c>
      <c r="AF234" s="314" t="s">
        <v>553</v>
      </c>
      <c r="AG234" s="314" t="s">
        <v>554</v>
      </c>
      <c r="AH234" s="314" t="s">
        <v>555</v>
      </c>
      <c r="AI234" s="314" t="s">
        <v>556</v>
      </c>
      <c r="AJ234" s="314" t="s">
        <v>558</v>
      </c>
      <c r="AK234" s="314" t="s">
        <v>557</v>
      </c>
      <c r="AL234" s="314" t="s">
        <v>566</v>
      </c>
      <c r="AM234" s="314" t="s">
        <v>560</v>
      </c>
      <c r="AN234" s="314" t="s">
        <v>561</v>
      </c>
      <c r="AO234" s="314" t="s">
        <v>562</v>
      </c>
      <c r="AP234" s="314" t="s">
        <v>563</v>
      </c>
      <c r="AQ234" s="314" t="s">
        <v>567</v>
      </c>
      <c r="AR234" s="314" t="s">
        <v>564</v>
      </c>
      <c r="AS234" s="314" t="s">
        <v>565</v>
      </c>
      <c r="AT234" s="314" t="s">
        <v>568</v>
      </c>
      <c r="AU234" s="314" t="s">
        <v>569</v>
      </c>
      <c r="AV234" s="314" t="s">
        <v>570</v>
      </c>
      <c r="AW234" s="314" t="s">
        <v>571</v>
      </c>
      <c r="AX234" s="314" t="s">
        <v>572</v>
      </c>
      <c r="AY234" s="314" t="s">
        <v>573</v>
      </c>
      <c r="AZ234" s="314" t="s">
        <v>397</v>
      </c>
      <c r="BA234" s="314" t="s">
        <v>398</v>
      </c>
      <c r="BB234" s="314" t="s">
        <v>399</v>
      </c>
      <c r="BC234" s="314" t="s">
        <v>400</v>
      </c>
      <c r="BD234" s="314" t="s">
        <v>151</v>
      </c>
      <c r="BE234" s="314" t="s">
        <v>152</v>
      </c>
      <c r="BF234" s="314" t="s">
        <v>401</v>
      </c>
      <c r="BG234" s="353"/>
    </row>
    <row r="235" spans="2:59">
      <c r="B235" s="358"/>
      <c r="C235" s="312" t="s">
        <v>371</v>
      </c>
      <c r="D235" s="312" t="s">
        <v>381</v>
      </c>
      <c r="E235" s="312" t="s">
        <v>390</v>
      </c>
      <c r="F235" s="313" t="s">
        <v>490</v>
      </c>
      <c r="G235" s="313" t="s">
        <v>491</v>
      </c>
      <c r="H235" s="313" t="s">
        <v>492</v>
      </c>
      <c r="I235" s="313" t="s">
        <v>519</v>
      </c>
      <c r="J235" s="313" t="s">
        <v>525</v>
      </c>
      <c r="K235" s="313" t="s">
        <v>419</v>
      </c>
      <c r="L235" s="313" t="s">
        <v>420</v>
      </c>
      <c r="M235" s="313" t="s">
        <v>493</v>
      </c>
      <c r="N235" s="313" t="s">
        <v>494</v>
      </c>
      <c r="O235" s="313" t="s">
        <v>495</v>
      </c>
      <c r="P235" s="313" t="s">
        <v>496</v>
      </c>
      <c r="Q235" s="313" t="s">
        <v>497</v>
      </c>
      <c r="R235" s="313" t="s">
        <v>498</v>
      </c>
      <c r="S235" s="313" t="s">
        <v>499</v>
      </c>
      <c r="T235" s="313" t="s">
        <v>500</v>
      </c>
      <c r="U235" s="313" t="s">
        <v>501</v>
      </c>
      <c r="V235" s="313" t="s">
        <v>502</v>
      </c>
      <c r="W235" s="313" t="s">
        <v>503</v>
      </c>
      <c r="X235" s="313" t="s">
        <v>504</v>
      </c>
      <c r="Y235" s="313" t="s">
        <v>505</v>
      </c>
      <c r="Z235" s="313" t="s">
        <v>506</v>
      </c>
      <c r="AA235" s="313" t="s">
        <v>507</v>
      </c>
      <c r="AB235" s="313" t="s">
        <v>508</v>
      </c>
      <c r="AC235" s="313" t="s">
        <v>509</v>
      </c>
      <c r="AD235" s="313" t="s">
        <v>510</v>
      </c>
      <c r="AE235" s="313" t="s">
        <v>511</v>
      </c>
      <c r="AF235" s="313" t="s">
        <v>512</v>
      </c>
      <c r="AG235" s="313" t="s">
        <v>513</v>
      </c>
      <c r="AH235" s="313" t="s">
        <v>514</v>
      </c>
      <c r="AI235" s="313" t="s">
        <v>515</v>
      </c>
      <c r="AJ235" s="313" t="s">
        <v>516</v>
      </c>
      <c r="AK235" s="313" t="s">
        <v>517</v>
      </c>
      <c r="AL235" s="313" t="s">
        <v>518</v>
      </c>
      <c r="AM235" s="313" t="s">
        <v>520</v>
      </c>
      <c r="AN235" s="313" t="s">
        <v>521</v>
      </c>
      <c r="AO235" s="313" t="s">
        <v>522</v>
      </c>
      <c r="AP235" s="313" t="s">
        <v>402</v>
      </c>
      <c r="AQ235" s="313" t="s">
        <v>523</v>
      </c>
      <c r="AR235" s="313" t="s">
        <v>524</v>
      </c>
      <c r="AS235" s="313" t="s">
        <v>526</v>
      </c>
      <c r="AT235" s="313" t="s">
        <v>527</v>
      </c>
      <c r="AU235" s="313" t="s">
        <v>528</v>
      </c>
      <c r="AV235" s="313" t="s">
        <v>529</v>
      </c>
      <c r="AW235" s="313" t="s">
        <v>530</v>
      </c>
      <c r="AX235" s="313" t="s">
        <v>531</v>
      </c>
      <c r="AY235" s="313" t="s">
        <v>532</v>
      </c>
      <c r="AZ235" s="313" t="s">
        <v>403</v>
      </c>
      <c r="BA235" s="313" t="s">
        <v>404</v>
      </c>
      <c r="BB235" s="313" t="s">
        <v>405</v>
      </c>
      <c r="BC235" s="313" t="s">
        <v>406</v>
      </c>
      <c r="BD235" s="313" t="s">
        <v>407</v>
      </c>
      <c r="BE235" s="313" t="s">
        <v>408</v>
      </c>
      <c r="BF235" s="313" t="s">
        <v>409</v>
      </c>
      <c r="BG235" s="353"/>
    </row>
    <row r="236" spans="2:59">
      <c r="B236" s="358"/>
      <c r="C236" s="312" t="s">
        <v>472</v>
      </c>
      <c r="D236" s="312" t="s">
        <v>574</v>
      </c>
      <c r="E236" s="312" t="s">
        <v>473</v>
      </c>
      <c r="F236" s="326" t="s">
        <v>474</v>
      </c>
      <c r="G236" s="326" t="s">
        <v>474</v>
      </c>
      <c r="H236" s="326" t="s">
        <v>474</v>
      </c>
      <c r="I236" s="326" t="s">
        <v>474</v>
      </c>
      <c r="J236" s="326" t="s">
        <v>476</v>
      </c>
      <c r="K236" s="326" t="s">
        <v>474</v>
      </c>
      <c r="L236" s="326" t="s">
        <v>474</v>
      </c>
      <c r="M236" s="326" t="s">
        <v>575</v>
      </c>
      <c r="N236" s="326" t="s">
        <v>575</v>
      </c>
      <c r="O236" s="326" t="s">
        <v>473</v>
      </c>
      <c r="P236" s="326" t="s">
        <v>576</v>
      </c>
      <c r="Q236" s="326" t="s">
        <v>474</v>
      </c>
      <c r="R236" s="326" t="s">
        <v>481</v>
      </c>
      <c r="S236" s="326" t="s">
        <v>476</v>
      </c>
      <c r="T236" s="326" t="s">
        <v>481</v>
      </c>
      <c r="U236" s="326" t="s">
        <v>476</v>
      </c>
      <c r="V236" s="326" t="s">
        <v>476</v>
      </c>
      <c r="W236" s="326" t="s">
        <v>474</v>
      </c>
      <c r="X236" s="326" t="s">
        <v>577</v>
      </c>
      <c r="Y236" s="326" t="s">
        <v>577</v>
      </c>
      <c r="Z236" s="326" t="s">
        <v>478</v>
      </c>
      <c r="AA236" s="326" t="s">
        <v>576</v>
      </c>
      <c r="AB236" s="326" t="s">
        <v>576</v>
      </c>
      <c r="AC236" s="326" t="s">
        <v>476</v>
      </c>
      <c r="AD236" s="326" t="s">
        <v>480</v>
      </c>
      <c r="AE236" s="326" t="s">
        <v>481</v>
      </c>
      <c r="AF236" s="326" t="s">
        <v>481</v>
      </c>
      <c r="AG236" s="326" t="s">
        <v>578</v>
      </c>
      <c r="AH236" s="326" t="s">
        <v>578</v>
      </c>
      <c r="AI236" s="326" t="s">
        <v>481</v>
      </c>
      <c r="AJ236" s="326" t="s">
        <v>481</v>
      </c>
      <c r="AK236" s="326" t="s">
        <v>578</v>
      </c>
      <c r="AL236" s="326" t="s">
        <v>578</v>
      </c>
      <c r="AM236" s="326" t="s">
        <v>474</v>
      </c>
      <c r="AN236" s="326" t="s">
        <v>474</v>
      </c>
      <c r="AO236" s="326" t="s">
        <v>474</v>
      </c>
      <c r="AP236" s="326" t="s">
        <v>478</v>
      </c>
      <c r="AQ236" s="326" t="s">
        <v>473</v>
      </c>
      <c r="AR236" s="326" t="s">
        <v>474</v>
      </c>
      <c r="AS236" s="326" t="s">
        <v>476</v>
      </c>
      <c r="AT236" s="326" t="s">
        <v>474</v>
      </c>
      <c r="AU236" s="326" t="s">
        <v>579</v>
      </c>
      <c r="AV236" s="326" t="s">
        <v>481</v>
      </c>
      <c r="AW236" s="326" t="s">
        <v>478</v>
      </c>
      <c r="AX236" s="326" t="s">
        <v>474</v>
      </c>
      <c r="AY236" s="326" t="s">
        <v>474</v>
      </c>
      <c r="AZ236" s="326" t="s">
        <v>485</v>
      </c>
      <c r="BA236" s="326" t="s">
        <v>486</v>
      </c>
      <c r="BB236" s="326" t="s">
        <v>488</v>
      </c>
      <c r="BC236" s="326" t="s">
        <v>488</v>
      </c>
      <c r="BD236" s="326" t="s">
        <v>486</v>
      </c>
      <c r="BE236" s="326" t="s">
        <v>488</v>
      </c>
      <c r="BF236" s="326" t="s">
        <v>488</v>
      </c>
      <c r="BG236" s="353"/>
    </row>
    <row r="237" spans="2:59" ht="14">
      <c r="B237" s="317" t="s">
        <v>412</v>
      </c>
      <c r="C237" s="327" t="s">
        <v>685</v>
      </c>
      <c r="D237" s="327" t="s">
        <v>630</v>
      </c>
      <c r="E237" s="327" t="s">
        <v>630</v>
      </c>
      <c r="F237" s="327" t="s">
        <v>439</v>
      </c>
      <c r="G237" s="327" t="s">
        <v>183</v>
      </c>
      <c r="H237" s="327" t="s">
        <v>411</v>
      </c>
      <c r="I237" s="327">
        <v>0</v>
      </c>
      <c r="J237" s="327">
        <v>30</v>
      </c>
      <c r="K237" s="327" t="s">
        <v>183</v>
      </c>
      <c r="L237" s="420" t="s">
        <v>600</v>
      </c>
      <c r="M237" s="327" t="s">
        <v>156</v>
      </c>
      <c r="N237" s="327" t="s">
        <v>156</v>
      </c>
      <c r="O237" s="327" t="s">
        <v>584</v>
      </c>
      <c r="P237" s="327" t="s">
        <v>156</v>
      </c>
      <c r="Q237" s="327" t="s">
        <v>585</v>
      </c>
      <c r="R237" s="327" t="s">
        <v>183</v>
      </c>
      <c r="S237" s="327" t="s">
        <v>411</v>
      </c>
      <c r="T237" s="327" t="s">
        <v>581</v>
      </c>
      <c r="U237" s="327" t="s">
        <v>582</v>
      </c>
      <c r="V237" s="327" t="s">
        <v>586</v>
      </c>
      <c r="W237" s="327" t="s">
        <v>183</v>
      </c>
      <c r="X237" s="327" t="s">
        <v>411</v>
      </c>
      <c r="Y237" s="327" t="s">
        <v>411</v>
      </c>
      <c r="Z237" s="327"/>
      <c r="AA237" s="327"/>
      <c r="AB237" s="327" t="s">
        <v>587</v>
      </c>
      <c r="AC237" s="327">
        <v>5000</v>
      </c>
      <c r="AD237" s="327">
        <v>99999999</v>
      </c>
      <c r="AE237" s="327">
        <v>0</v>
      </c>
      <c r="AF237" s="327">
        <v>2</v>
      </c>
      <c r="AG237" s="327">
        <v>0</v>
      </c>
      <c r="AH237" s="327">
        <v>0</v>
      </c>
      <c r="AI237" s="327">
        <v>0</v>
      </c>
      <c r="AJ237" s="327">
        <v>0</v>
      </c>
      <c r="AK237" s="327">
        <v>0</v>
      </c>
      <c r="AL237" s="327">
        <v>0</v>
      </c>
      <c r="AM237" s="327">
        <v>1</v>
      </c>
      <c r="AN237" s="327">
        <v>0</v>
      </c>
      <c r="AO237" s="327">
        <v>0</v>
      </c>
      <c r="AP237" s="327">
        <v>1</v>
      </c>
      <c r="AQ237" s="327">
        <v>1111</v>
      </c>
      <c r="AR237" s="327" t="s">
        <v>583</v>
      </c>
      <c r="AS237" s="327">
        <v>10</v>
      </c>
      <c r="AT237" s="327">
        <v>1</v>
      </c>
      <c r="AU237" s="327">
        <v>0</v>
      </c>
      <c r="AV237" s="327">
        <v>0</v>
      </c>
      <c r="AW237" s="327">
        <v>0</v>
      </c>
      <c r="AX237" s="327">
        <v>0</v>
      </c>
      <c r="AY237" s="327">
        <v>1</v>
      </c>
      <c r="AZ237" s="327">
        <v>0</v>
      </c>
      <c r="BA237" s="327">
        <v>40640.750486111108</v>
      </c>
      <c r="BB237" s="327">
        <v>470195</v>
      </c>
      <c r="BC237" s="327">
        <v>470195</v>
      </c>
      <c r="BD237" s="327">
        <v>45392.67769675926</v>
      </c>
      <c r="BE237" s="327">
        <v>363363</v>
      </c>
      <c r="BF237" s="327">
        <v>363363</v>
      </c>
      <c r="BG237" s="353"/>
    </row>
    <row r="238" spans="2:59" ht="14">
      <c r="B238" s="315" t="s">
        <v>410</v>
      </c>
      <c r="C238" s="337" t="s">
        <v>645</v>
      </c>
      <c r="D238" s="338" t="s">
        <v>630</v>
      </c>
      <c r="E238" s="338" t="s">
        <v>630</v>
      </c>
      <c r="F238" s="327" t="s">
        <v>454</v>
      </c>
      <c r="G238" s="327" t="s">
        <v>411</v>
      </c>
      <c r="H238" s="327" t="s">
        <v>411</v>
      </c>
      <c r="I238" s="327">
        <v>1</v>
      </c>
      <c r="J238" s="327">
        <v>0</v>
      </c>
      <c r="K238" s="327" t="s">
        <v>439</v>
      </c>
      <c r="L238" s="327" t="s">
        <v>439</v>
      </c>
      <c r="M238" s="327" t="s">
        <v>156</v>
      </c>
      <c r="N238" s="327" t="s">
        <v>156</v>
      </c>
      <c r="O238" s="327" t="s">
        <v>156</v>
      </c>
      <c r="P238" s="327" t="s">
        <v>156</v>
      </c>
      <c r="Q238" s="327" t="s">
        <v>580</v>
      </c>
      <c r="R238" s="327" t="s">
        <v>411</v>
      </c>
      <c r="S238" s="327" t="s">
        <v>411</v>
      </c>
      <c r="T238" s="327" t="s">
        <v>581</v>
      </c>
      <c r="U238" s="327" t="s">
        <v>582</v>
      </c>
      <c r="V238" s="327" t="s">
        <v>183</v>
      </c>
      <c r="W238" s="327" t="s">
        <v>183</v>
      </c>
      <c r="X238" s="327" t="s">
        <v>411</v>
      </c>
      <c r="Y238" s="327" t="s">
        <v>411</v>
      </c>
      <c r="Z238" s="327"/>
      <c r="AA238" s="327"/>
      <c r="AB238" s="327" t="s">
        <v>156</v>
      </c>
      <c r="AC238" s="327">
        <v>1</v>
      </c>
      <c r="AD238" s="327">
        <v>99999999</v>
      </c>
      <c r="AE238" s="327">
        <v>0</v>
      </c>
      <c r="AF238" s="327">
        <v>0</v>
      </c>
      <c r="AG238" s="327">
        <v>0</v>
      </c>
      <c r="AH238" s="327">
        <v>0</v>
      </c>
      <c r="AI238" s="327">
        <v>0</v>
      </c>
      <c r="AJ238" s="327">
        <v>0</v>
      </c>
      <c r="AK238" s="327">
        <v>0</v>
      </c>
      <c r="AL238" s="327">
        <v>0</v>
      </c>
      <c r="AM238" s="327">
        <v>1</v>
      </c>
      <c r="AN238" s="327">
        <v>0</v>
      </c>
      <c r="AO238" s="327">
        <v>0</v>
      </c>
      <c r="AP238" s="327">
        <v>1</v>
      </c>
      <c r="AQ238" s="327" t="s">
        <v>156</v>
      </c>
      <c r="AR238" s="327" t="s">
        <v>583</v>
      </c>
      <c r="AS238" s="327">
        <v>0</v>
      </c>
      <c r="AT238" s="327">
        <v>1</v>
      </c>
      <c r="AU238" s="327">
        <v>0</v>
      </c>
      <c r="AV238" s="327">
        <v>0</v>
      </c>
      <c r="AW238" s="327">
        <v>0</v>
      </c>
      <c r="AX238" s="327">
        <v>0</v>
      </c>
      <c r="AY238" s="327">
        <v>1</v>
      </c>
      <c r="AZ238" s="327">
        <v>0</v>
      </c>
      <c r="BA238" s="327">
        <v>29705</v>
      </c>
      <c r="BB238" s="327" t="s">
        <v>445</v>
      </c>
      <c r="BC238" s="327" t="s">
        <v>445</v>
      </c>
      <c r="BD238" s="327">
        <v>39993.705960648149</v>
      </c>
      <c r="BE238" s="327">
        <v>375901</v>
      </c>
      <c r="BF238" s="327">
        <v>375901</v>
      </c>
      <c r="BG238" s="353"/>
    </row>
    <row r="239" spans="2:59" ht="14">
      <c r="B239" s="315" t="s">
        <v>410</v>
      </c>
      <c r="C239" s="337" t="s">
        <v>659</v>
      </c>
      <c r="D239" s="338" t="s">
        <v>630</v>
      </c>
      <c r="E239" s="338" t="s">
        <v>630</v>
      </c>
      <c r="F239" s="327" t="s">
        <v>454</v>
      </c>
      <c r="G239" s="327" t="s">
        <v>411</v>
      </c>
      <c r="H239" s="327" t="s">
        <v>411</v>
      </c>
      <c r="I239" s="327">
        <v>1</v>
      </c>
      <c r="J239" s="327">
        <v>0</v>
      </c>
      <c r="K239" s="327" t="s">
        <v>439</v>
      </c>
      <c r="L239" s="327" t="s">
        <v>439</v>
      </c>
      <c r="M239" s="327" t="s">
        <v>156</v>
      </c>
      <c r="N239" s="327" t="s">
        <v>156</v>
      </c>
      <c r="O239" s="327" t="s">
        <v>156</v>
      </c>
      <c r="P239" s="327" t="s">
        <v>156</v>
      </c>
      <c r="Q239" s="327" t="s">
        <v>580</v>
      </c>
      <c r="R239" s="327" t="s">
        <v>411</v>
      </c>
      <c r="S239" s="327" t="s">
        <v>411</v>
      </c>
      <c r="T239" s="327" t="s">
        <v>581</v>
      </c>
      <c r="U239" s="327" t="s">
        <v>582</v>
      </c>
      <c r="V239" s="327" t="s">
        <v>183</v>
      </c>
      <c r="W239" s="327" t="s">
        <v>183</v>
      </c>
      <c r="X239" s="327" t="s">
        <v>411</v>
      </c>
      <c r="Y239" s="327" t="s">
        <v>411</v>
      </c>
      <c r="Z239" s="327"/>
      <c r="AA239" s="327"/>
      <c r="AB239" s="327" t="s">
        <v>156</v>
      </c>
      <c r="AC239" s="327">
        <v>1</v>
      </c>
      <c r="AD239" s="327">
        <v>99999999</v>
      </c>
      <c r="AE239" s="327">
        <v>0</v>
      </c>
      <c r="AF239" s="327">
        <v>0</v>
      </c>
      <c r="AG239" s="327">
        <v>0</v>
      </c>
      <c r="AH239" s="327">
        <v>0</v>
      </c>
      <c r="AI239" s="327">
        <v>0</v>
      </c>
      <c r="AJ239" s="327">
        <v>0</v>
      </c>
      <c r="AK239" s="327">
        <v>0</v>
      </c>
      <c r="AL239" s="327">
        <v>0</v>
      </c>
      <c r="AM239" s="327">
        <v>1</v>
      </c>
      <c r="AN239" s="327">
        <v>0</v>
      </c>
      <c r="AO239" s="327">
        <v>0</v>
      </c>
      <c r="AP239" s="327">
        <v>1</v>
      </c>
      <c r="AQ239" s="327" t="s">
        <v>156</v>
      </c>
      <c r="AR239" s="327" t="s">
        <v>583</v>
      </c>
      <c r="AS239" s="327">
        <v>0</v>
      </c>
      <c r="AT239" s="327">
        <v>1</v>
      </c>
      <c r="AU239" s="327">
        <v>0</v>
      </c>
      <c r="AV239" s="327">
        <v>0</v>
      </c>
      <c r="AW239" s="327">
        <v>0</v>
      </c>
      <c r="AX239" s="327">
        <v>0</v>
      </c>
      <c r="AY239" s="327">
        <v>1</v>
      </c>
      <c r="AZ239" s="327">
        <v>0</v>
      </c>
      <c r="BA239" s="327">
        <v>31819</v>
      </c>
      <c r="BB239" s="327" t="s">
        <v>445</v>
      </c>
      <c r="BC239" s="327" t="s">
        <v>445</v>
      </c>
      <c r="BD239" s="327">
        <v>45636.056898148148</v>
      </c>
      <c r="BE239" s="327" t="s">
        <v>643</v>
      </c>
      <c r="BF239" s="327" t="s">
        <v>643</v>
      </c>
      <c r="BG239" s="353"/>
    </row>
    <row r="240" spans="2:59" ht="15">
      <c r="B240" s="315" t="s">
        <v>410</v>
      </c>
      <c r="C240" s="337" t="s">
        <v>684</v>
      </c>
      <c r="D240" s="327" t="s">
        <v>438</v>
      </c>
      <c r="E240" s="327" t="s">
        <v>438</v>
      </c>
      <c r="F240" s="328" t="s">
        <v>454</v>
      </c>
      <c r="G240" s="327" t="s">
        <v>411</v>
      </c>
      <c r="H240" s="327" t="s">
        <v>411</v>
      </c>
      <c r="I240" s="330">
        <v>1</v>
      </c>
      <c r="J240" s="331">
        <v>0</v>
      </c>
      <c r="K240" s="327" t="s">
        <v>439</v>
      </c>
      <c r="L240" s="327" t="s">
        <v>439</v>
      </c>
      <c r="M240" s="327" t="s">
        <v>156</v>
      </c>
      <c r="N240" s="327" t="s">
        <v>156</v>
      </c>
      <c r="O240" s="327" t="s">
        <v>156</v>
      </c>
      <c r="P240" s="327" t="s">
        <v>156</v>
      </c>
      <c r="Q240" s="329" t="s">
        <v>580</v>
      </c>
      <c r="R240" s="327" t="s">
        <v>411</v>
      </c>
      <c r="S240" s="327" t="s">
        <v>411</v>
      </c>
      <c r="T240" s="327" t="s">
        <v>581</v>
      </c>
      <c r="U240" s="327" t="s">
        <v>582</v>
      </c>
      <c r="V240" s="327" t="s">
        <v>183</v>
      </c>
      <c r="W240" s="327" t="s">
        <v>183</v>
      </c>
      <c r="X240" s="327" t="s">
        <v>411</v>
      </c>
      <c r="Y240" s="327" t="s">
        <v>411</v>
      </c>
      <c r="Z240" s="327"/>
      <c r="AA240" s="330"/>
      <c r="AB240" s="330" t="s">
        <v>156</v>
      </c>
      <c r="AC240" s="330">
        <v>1</v>
      </c>
      <c r="AD240" s="330">
        <v>99999999</v>
      </c>
      <c r="AE240" s="327" t="s">
        <v>411</v>
      </c>
      <c r="AF240" s="327" t="s">
        <v>411</v>
      </c>
      <c r="AG240" s="327" t="s">
        <v>411</v>
      </c>
      <c r="AH240" s="327" t="s">
        <v>411</v>
      </c>
      <c r="AI240" s="330">
        <v>0</v>
      </c>
      <c r="AJ240" s="330">
        <v>0</v>
      </c>
      <c r="AK240" s="330">
        <v>0</v>
      </c>
      <c r="AL240" s="330">
        <v>0</v>
      </c>
      <c r="AM240" s="327" t="s">
        <v>183</v>
      </c>
      <c r="AN240" s="330">
        <v>0</v>
      </c>
      <c r="AO240" s="327" t="s">
        <v>411</v>
      </c>
      <c r="AP240" s="330">
        <v>1</v>
      </c>
      <c r="AQ240" s="331" t="s">
        <v>156</v>
      </c>
      <c r="AR240" s="331" t="s">
        <v>583</v>
      </c>
      <c r="AS240" s="331">
        <v>0</v>
      </c>
      <c r="AT240" s="331">
        <v>1</v>
      </c>
      <c r="AU240" s="331">
        <v>0</v>
      </c>
      <c r="AV240" s="331">
        <v>0</v>
      </c>
      <c r="AW240" s="331">
        <v>0</v>
      </c>
      <c r="AX240" s="331">
        <v>0</v>
      </c>
      <c r="AY240" s="331">
        <v>1</v>
      </c>
      <c r="AZ240" s="331">
        <v>0</v>
      </c>
      <c r="BA240" s="332">
        <v>29705</v>
      </c>
      <c r="BB240" s="331" t="s">
        <v>445</v>
      </c>
      <c r="BC240" s="331" t="s">
        <v>445</v>
      </c>
      <c r="BD240" s="332">
        <v>36413</v>
      </c>
      <c r="BE240" s="331" t="s">
        <v>445</v>
      </c>
      <c r="BF240" s="331" t="s">
        <v>445</v>
      </c>
      <c r="BG240" s="353"/>
    </row>
    <row r="241" spans="2:59">
      <c r="B241" s="358"/>
      <c r="BG241" s="353"/>
    </row>
    <row r="242" spans="2:59" ht="14">
      <c r="B242" s="358"/>
      <c r="C242" s="359" t="s">
        <v>153</v>
      </c>
      <c r="BG242" s="353"/>
    </row>
    <row r="243" spans="2:59" ht="14">
      <c r="B243" s="358"/>
      <c r="C243" s="359" t="s">
        <v>590</v>
      </c>
      <c r="D243" s="359" t="s">
        <v>591</v>
      </c>
      <c r="E243" s="359" t="s">
        <v>159</v>
      </c>
      <c r="F243" s="359" t="s">
        <v>592</v>
      </c>
      <c r="G243" s="359" t="s">
        <v>593</v>
      </c>
      <c r="H243" s="359" t="s">
        <v>594</v>
      </c>
      <c r="I243" s="359" t="s">
        <v>595</v>
      </c>
      <c r="J243" s="359" t="s">
        <v>596</v>
      </c>
      <c r="K243" s="359" t="s">
        <v>597</v>
      </c>
      <c r="L243" s="359" t="s">
        <v>598</v>
      </c>
      <c r="M243" s="359" t="s">
        <v>599</v>
      </c>
      <c r="BG243" s="353"/>
    </row>
    <row r="244" spans="2:59" ht="14">
      <c r="B244" s="358"/>
      <c r="C244" s="359">
        <v>0</v>
      </c>
      <c r="D244" s="359">
        <v>0</v>
      </c>
      <c r="E244" s="359">
        <v>0</v>
      </c>
      <c r="F244" s="359" t="s">
        <v>600</v>
      </c>
      <c r="G244" s="359" t="s">
        <v>600</v>
      </c>
      <c r="H244" s="359">
        <v>1</v>
      </c>
      <c r="I244" s="359">
        <v>4</v>
      </c>
      <c r="J244" s="359">
        <v>2</v>
      </c>
      <c r="K244" s="359">
        <v>0</v>
      </c>
      <c r="L244" s="359">
        <v>30</v>
      </c>
      <c r="M244" s="359">
        <v>0</v>
      </c>
      <c r="BG244" s="353"/>
    </row>
    <row r="245" spans="2:59" ht="14.5" thickBot="1">
      <c r="B245" s="358"/>
      <c r="C245" s="359"/>
      <c r="D245" s="359"/>
      <c r="E245" s="359"/>
      <c r="F245" s="359"/>
      <c r="G245" s="359"/>
      <c r="H245" s="359"/>
      <c r="I245" s="359"/>
      <c r="J245" s="359"/>
      <c r="M245" s="359"/>
      <c r="N245" s="359"/>
      <c r="O245" s="359"/>
      <c r="BG245" s="353"/>
    </row>
    <row r="246" spans="2:59" ht="14" thickBot="1">
      <c r="B246" s="299" t="s">
        <v>661</v>
      </c>
      <c r="C246" s="300" t="s">
        <v>660</v>
      </c>
      <c r="D246" s="300"/>
      <c r="E246" s="300"/>
      <c r="F246" s="300"/>
      <c r="G246" s="300"/>
      <c r="H246" s="300"/>
      <c r="I246" s="300"/>
      <c r="J246" s="300"/>
      <c r="K246" s="300"/>
      <c r="L246" s="300"/>
      <c r="M246" s="300"/>
      <c r="N246" s="300"/>
      <c r="O246" s="300"/>
      <c r="P246" s="300"/>
      <c r="Q246" s="300"/>
      <c r="R246" s="300"/>
      <c r="S246" s="300"/>
      <c r="T246" s="300"/>
      <c r="U246" s="300"/>
      <c r="V246" s="300"/>
      <c r="W246" s="300"/>
      <c r="X246" s="300"/>
      <c r="Y246" s="300"/>
      <c r="Z246" s="300"/>
      <c r="AA246" s="300"/>
      <c r="AB246" s="300"/>
      <c r="AC246" s="300"/>
      <c r="AD246" s="300"/>
      <c r="AE246" s="300"/>
      <c r="AF246" s="300"/>
      <c r="AG246" s="300"/>
      <c r="AH246" s="300"/>
      <c r="AI246" s="300"/>
      <c r="AJ246" s="300"/>
      <c r="AK246" s="300"/>
      <c r="AL246" s="300"/>
      <c r="AM246" s="300"/>
      <c r="AN246" s="300"/>
      <c r="AO246" s="300"/>
      <c r="AP246" s="300"/>
      <c r="AQ246" s="300"/>
      <c r="AR246" s="300"/>
      <c r="AS246" s="300"/>
      <c r="AT246" s="300"/>
      <c r="AU246" s="300"/>
      <c r="AV246" s="300"/>
      <c r="AW246" s="300"/>
      <c r="AX246" s="300"/>
      <c r="AY246" s="300"/>
      <c r="AZ246" s="300"/>
      <c r="BA246" s="300"/>
      <c r="BB246" s="300"/>
      <c r="BC246" s="300"/>
      <c r="BD246" s="300"/>
      <c r="BE246" s="300"/>
      <c r="BF246" s="300"/>
      <c r="BG246" s="353"/>
    </row>
    <row r="247" spans="2:59" ht="14" thickBot="1">
      <c r="B247" s="335" t="s">
        <v>601</v>
      </c>
      <c r="C247" s="300" t="s">
        <v>395</v>
      </c>
      <c r="D247" s="300"/>
      <c r="E247" s="300"/>
      <c r="F247" s="300"/>
      <c r="G247" s="300"/>
      <c r="H247" s="300"/>
      <c r="I247" s="300"/>
      <c r="J247" s="300"/>
      <c r="K247" s="300"/>
      <c r="L247" s="300"/>
      <c r="M247" s="300"/>
      <c r="N247" s="300"/>
      <c r="O247" s="300"/>
      <c r="P247" s="300"/>
      <c r="Q247" s="300"/>
      <c r="R247" s="300"/>
      <c r="S247" s="300"/>
      <c r="T247" s="300"/>
      <c r="U247" s="300"/>
      <c r="V247" s="300"/>
      <c r="W247" s="300"/>
      <c r="X247" s="300"/>
      <c r="Y247" s="300"/>
      <c r="Z247" s="300"/>
      <c r="AA247" s="300"/>
      <c r="AB247" s="300"/>
      <c r="AC247" s="300"/>
      <c r="AD247" s="300"/>
      <c r="AE247" s="300"/>
      <c r="AF247" s="300"/>
      <c r="AG247" s="300"/>
      <c r="AH247" s="300"/>
      <c r="AI247" s="300"/>
      <c r="AJ247" s="300"/>
      <c r="AK247" s="300"/>
      <c r="AL247" s="300"/>
      <c r="AM247" s="300"/>
      <c r="AN247" s="300"/>
      <c r="AO247" s="300"/>
      <c r="AP247" s="300"/>
      <c r="AQ247" s="300"/>
      <c r="AR247" s="300"/>
      <c r="AS247" s="300"/>
      <c r="AT247" s="300"/>
      <c r="AU247" s="300"/>
      <c r="AV247" s="300"/>
      <c r="AW247" s="300"/>
      <c r="AX247" s="300"/>
      <c r="AY247" s="300"/>
      <c r="AZ247" s="300"/>
      <c r="BA247" s="300"/>
      <c r="BB247" s="300"/>
      <c r="BC247" s="300"/>
      <c r="BD247" s="300"/>
      <c r="BE247" s="300"/>
      <c r="BF247" s="300"/>
      <c r="BG247" s="353"/>
    </row>
    <row r="248" spans="2:59" ht="14">
      <c r="B248" s="358"/>
      <c r="C248" s="359"/>
      <c r="D248" s="359"/>
      <c r="E248" s="359"/>
      <c r="F248" s="359"/>
      <c r="G248" s="359"/>
      <c r="H248" s="359"/>
      <c r="I248" s="359"/>
      <c r="J248" s="359"/>
      <c r="M248" s="359"/>
      <c r="N248" s="359"/>
      <c r="O248" s="359"/>
      <c r="BG248" s="353"/>
    </row>
    <row r="249" spans="2:59" ht="14">
      <c r="B249" s="358"/>
      <c r="C249" s="356" t="s">
        <v>396</v>
      </c>
      <c r="D249" s="359"/>
      <c r="E249" s="359"/>
      <c r="F249" s="359"/>
      <c r="G249" s="359"/>
      <c r="H249" s="359"/>
      <c r="I249" s="359"/>
      <c r="J249" s="359"/>
      <c r="M249" s="359"/>
      <c r="N249" s="359"/>
      <c r="O249" s="359"/>
      <c r="BG249" s="353"/>
    </row>
    <row r="250" spans="2:59" ht="14">
      <c r="B250" s="358"/>
      <c r="C250" s="356" t="s">
        <v>662</v>
      </c>
      <c r="D250" s="359"/>
      <c r="E250" s="359"/>
      <c r="F250" s="359"/>
      <c r="G250" s="359"/>
      <c r="H250" s="359"/>
      <c r="I250" s="359"/>
      <c r="J250" s="359"/>
      <c r="M250" s="359"/>
      <c r="N250" s="359"/>
      <c r="O250" s="359"/>
      <c r="BG250" s="353"/>
    </row>
    <row r="251" spans="2:59" ht="14">
      <c r="B251" s="358"/>
      <c r="C251" s="359"/>
      <c r="D251" s="359"/>
      <c r="E251" s="359"/>
      <c r="F251" s="359"/>
      <c r="G251" s="359"/>
      <c r="H251" s="359"/>
      <c r="I251" s="359"/>
      <c r="J251" s="359"/>
      <c r="M251" s="359"/>
      <c r="N251" s="359"/>
      <c r="O251" s="359"/>
      <c r="BG251" s="353"/>
    </row>
    <row r="252" spans="2:59" ht="15">
      <c r="B252" s="358"/>
      <c r="C252" s="449" t="s">
        <v>436</v>
      </c>
      <c r="D252" s="450"/>
      <c r="E252" s="450"/>
      <c r="F252" s="451"/>
      <c r="G252" s="451"/>
      <c r="H252" s="451"/>
      <c r="I252" s="451"/>
      <c r="J252" s="451"/>
      <c r="K252" s="451"/>
      <c r="L252" s="451"/>
      <c r="M252" s="451"/>
      <c r="N252" s="451"/>
      <c r="O252" s="451"/>
      <c r="P252" s="451"/>
      <c r="Q252" s="451"/>
      <c r="R252" s="451"/>
      <c r="S252" s="451"/>
      <c r="T252" s="451"/>
      <c r="U252" s="451"/>
      <c r="V252" s="451"/>
      <c r="W252" s="451"/>
      <c r="X252" s="451"/>
      <c r="Y252" s="451"/>
      <c r="Z252" s="452"/>
      <c r="AA252" s="68"/>
      <c r="AB252" s="68"/>
      <c r="AC252" s="68"/>
      <c r="AD252" s="68"/>
      <c r="BG252" s="353"/>
    </row>
    <row r="253" spans="2:59" ht="15">
      <c r="B253" s="358"/>
      <c r="C253" s="322"/>
      <c r="D253" s="322"/>
      <c r="E253" s="322"/>
      <c r="F253" s="319" t="s">
        <v>169</v>
      </c>
      <c r="G253" s="319" t="s">
        <v>169</v>
      </c>
      <c r="H253" s="319" t="s">
        <v>169</v>
      </c>
      <c r="I253" s="319"/>
      <c r="J253" s="319"/>
      <c r="K253" s="319"/>
      <c r="L253" s="319"/>
      <c r="M253" s="319"/>
      <c r="N253" s="319"/>
      <c r="O253" s="319"/>
      <c r="P253" s="319"/>
      <c r="Q253" s="319"/>
      <c r="R253" s="319"/>
      <c r="S253" s="319"/>
      <c r="T253" s="319"/>
      <c r="U253" s="319"/>
      <c r="V253" s="319"/>
      <c r="W253" s="319"/>
      <c r="X253" s="319"/>
      <c r="Y253" s="319"/>
      <c r="Z253" s="319"/>
      <c r="AA253" s="319"/>
      <c r="AB253" s="319"/>
      <c r="AC253" s="319"/>
      <c r="AD253" s="319"/>
      <c r="BG253" s="353"/>
    </row>
    <row r="254" spans="2:59">
      <c r="B254" s="358"/>
      <c r="C254" s="312" t="s">
        <v>172</v>
      </c>
      <c r="D254" s="312" t="s">
        <v>173</v>
      </c>
      <c r="E254" s="312" t="s">
        <v>174</v>
      </c>
      <c r="F254" s="314" t="s">
        <v>91</v>
      </c>
      <c r="G254" s="314" t="s">
        <v>67</v>
      </c>
      <c r="H254" s="314" t="s">
        <v>69</v>
      </c>
      <c r="I254" s="314" t="s">
        <v>457</v>
      </c>
      <c r="J254" s="314" t="s">
        <v>458</v>
      </c>
      <c r="K254" s="314" t="s">
        <v>459</v>
      </c>
      <c r="L254" s="314" t="s">
        <v>460</v>
      </c>
      <c r="M254" s="314" t="s">
        <v>461</v>
      </c>
      <c r="N254" s="314" t="s">
        <v>462</v>
      </c>
      <c r="O254" s="314" t="s">
        <v>463</v>
      </c>
      <c r="P254" s="314" t="s">
        <v>464</v>
      </c>
      <c r="Q254" s="314" t="s">
        <v>465</v>
      </c>
      <c r="R254" s="314" t="s">
        <v>466</v>
      </c>
      <c r="S254" s="314" t="s">
        <v>467</v>
      </c>
      <c r="T254" s="314" t="s">
        <v>468</v>
      </c>
      <c r="U254" s="314" t="s">
        <v>469</v>
      </c>
      <c r="V254" s="314" t="s">
        <v>470</v>
      </c>
      <c r="W254" s="314" t="s">
        <v>471</v>
      </c>
      <c r="X254" s="314" t="s">
        <v>397</v>
      </c>
      <c r="Y254" s="314" t="s">
        <v>398</v>
      </c>
      <c r="Z254" s="314" t="s">
        <v>399</v>
      </c>
      <c r="AA254" s="314" t="s">
        <v>400</v>
      </c>
      <c r="AB254" s="314" t="s">
        <v>151</v>
      </c>
      <c r="AC254" s="314" t="s">
        <v>152</v>
      </c>
      <c r="AD254" s="314" t="s">
        <v>401</v>
      </c>
      <c r="BG254" s="353"/>
    </row>
    <row r="255" spans="2:59">
      <c r="B255" s="358"/>
      <c r="C255" s="312" t="s">
        <v>371</v>
      </c>
      <c r="D255" s="312" t="s">
        <v>381</v>
      </c>
      <c r="E255" s="312" t="s">
        <v>390</v>
      </c>
      <c r="F255" s="313" t="s">
        <v>418</v>
      </c>
      <c r="G255" s="313" t="s">
        <v>419</v>
      </c>
      <c r="H255" s="313" t="s">
        <v>421</v>
      </c>
      <c r="I255" s="313" t="s">
        <v>420</v>
      </c>
      <c r="J255" s="313" t="s">
        <v>422</v>
      </c>
      <c r="K255" s="313" t="s">
        <v>423</v>
      </c>
      <c r="L255" s="313" t="s">
        <v>424</v>
      </c>
      <c r="M255" s="313" t="s">
        <v>425</v>
      </c>
      <c r="N255" s="313" t="s">
        <v>426</v>
      </c>
      <c r="O255" s="313" t="s">
        <v>427</v>
      </c>
      <c r="P255" s="313" t="s">
        <v>428</v>
      </c>
      <c r="Q255" s="313" t="s">
        <v>429</v>
      </c>
      <c r="R255" s="313" t="s">
        <v>430</v>
      </c>
      <c r="S255" s="313" t="s">
        <v>431</v>
      </c>
      <c r="T255" s="313" t="s">
        <v>432</v>
      </c>
      <c r="U255" s="313" t="s">
        <v>433</v>
      </c>
      <c r="V255" s="313" t="s">
        <v>434</v>
      </c>
      <c r="W255" s="313" t="s">
        <v>435</v>
      </c>
      <c r="X255" s="313" t="s">
        <v>403</v>
      </c>
      <c r="Y255" s="313" t="s">
        <v>404</v>
      </c>
      <c r="Z255" s="313" t="s">
        <v>405</v>
      </c>
      <c r="AA255" s="313" t="s">
        <v>406</v>
      </c>
      <c r="AB255" s="313" t="s">
        <v>407</v>
      </c>
      <c r="AC255" s="313" t="s">
        <v>408</v>
      </c>
      <c r="AD255" s="313" t="s">
        <v>409</v>
      </c>
      <c r="BG255" s="353"/>
    </row>
    <row r="256" spans="2:59">
      <c r="B256" s="358"/>
      <c r="C256" s="312" t="s">
        <v>472</v>
      </c>
      <c r="D256" s="312" t="s">
        <v>473</v>
      </c>
      <c r="E256" s="312" t="s">
        <v>473</v>
      </c>
      <c r="F256" s="314" t="s">
        <v>474</v>
      </c>
      <c r="G256" s="314" t="s">
        <v>474</v>
      </c>
      <c r="H256" s="314" t="s">
        <v>475</v>
      </c>
      <c r="I256" s="314" t="s">
        <v>474</v>
      </c>
      <c r="J256" s="314" t="s">
        <v>476</v>
      </c>
      <c r="K256" s="314" t="s">
        <v>477</v>
      </c>
      <c r="L256" s="313" t="s">
        <v>478</v>
      </c>
      <c r="M256" s="314" t="s">
        <v>478</v>
      </c>
      <c r="N256" s="314" t="s">
        <v>479</v>
      </c>
      <c r="O256" s="314" t="s">
        <v>474</v>
      </c>
      <c r="P256" s="314" t="s">
        <v>480</v>
      </c>
      <c r="Q256" s="314" t="s">
        <v>481</v>
      </c>
      <c r="R256" s="314" t="s">
        <v>480</v>
      </c>
      <c r="S256" s="314" t="s">
        <v>482</v>
      </c>
      <c r="T256" s="313" t="s">
        <v>483</v>
      </c>
      <c r="U256" s="314" t="s">
        <v>483</v>
      </c>
      <c r="V256" s="314" t="s">
        <v>484</v>
      </c>
      <c r="W256" s="314" t="s">
        <v>474</v>
      </c>
      <c r="X256" s="314" t="s">
        <v>485</v>
      </c>
      <c r="Y256" s="314" t="s">
        <v>487</v>
      </c>
      <c r="Z256" s="314" t="s">
        <v>488</v>
      </c>
      <c r="AA256" s="314" t="s">
        <v>488</v>
      </c>
      <c r="AB256" s="313" t="s">
        <v>486</v>
      </c>
      <c r="AC256" s="314" t="s">
        <v>488</v>
      </c>
      <c r="AD256" s="314" t="s">
        <v>488</v>
      </c>
      <c r="BG256" s="353"/>
    </row>
    <row r="257" spans="2:59" ht="25">
      <c r="B257" s="317" t="s">
        <v>412</v>
      </c>
      <c r="C257" s="316" t="s">
        <v>437</v>
      </c>
      <c r="D257" s="338" t="s">
        <v>630</v>
      </c>
      <c r="E257" s="338" t="s">
        <v>630</v>
      </c>
      <c r="F257" s="314" t="s">
        <v>183</v>
      </c>
      <c r="G257" s="314" t="s">
        <v>439</v>
      </c>
      <c r="H257" s="314" t="s">
        <v>184</v>
      </c>
      <c r="I257" s="314" t="s">
        <v>439</v>
      </c>
      <c r="J257" s="314" t="s">
        <v>440</v>
      </c>
      <c r="K257" s="314" t="s">
        <v>411</v>
      </c>
      <c r="L257" s="313" t="s">
        <v>156</v>
      </c>
      <c r="M257" s="314" t="s">
        <v>441</v>
      </c>
      <c r="N257" s="314"/>
      <c r="O257" s="314" t="s">
        <v>183</v>
      </c>
      <c r="P257" s="314" t="s">
        <v>156</v>
      </c>
      <c r="Q257" s="314" t="s">
        <v>442</v>
      </c>
      <c r="R257" s="314" t="s">
        <v>443</v>
      </c>
      <c r="S257" s="314"/>
      <c r="T257" s="313" t="s">
        <v>156</v>
      </c>
      <c r="U257" s="314" t="s">
        <v>156</v>
      </c>
      <c r="V257" s="314" t="s">
        <v>156</v>
      </c>
      <c r="W257" s="314"/>
      <c r="X257" s="314" t="s">
        <v>411</v>
      </c>
      <c r="Y257" s="314" t="s">
        <v>444</v>
      </c>
      <c r="Z257" s="314" t="s">
        <v>445</v>
      </c>
      <c r="AA257" s="314" t="s">
        <v>445</v>
      </c>
      <c r="AB257" s="313" t="s">
        <v>446</v>
      </c>
      <c r="AC257" s="314" t="s">
        <v>447</v>
      </c>
      <c r="AD257" s="314" t="s">
        <v>447</v>
      </c>
      <c r="BG257" s="353"/>
    </row>
    <row r="258" spans="2:59" ht="25">
      <c r="B258" s="315" t="s">
        <v>410</v>
      </c>
      <c r="C258" s="316" t="s">
        <v>437</v>
      </c>
      <c r="D258" s="338" t="s">
        <v>630</v>
      </c>
      <c r="E258" s="337" t="s">
        <v>182</v>
      </c>
      <c r="F258" s="314" t="s">
        <v>183</v>
      </c>
      <c r="G258" s="327" t="s">
        <v>439</v>
      </c>
      <c r="H258" s="314" t="s">
        <v>184</v>
      </c>
      <c r="I258" s="327" t="s">
        <v>439</v>
      </c>
      <c r="J258" s="314" t="s">
        <v>184</v>
      </c>
      <c r="K258" s="314" t="s">
        <v>411</v>
      </c>
      <c r="L258" s="313" t="s">
        <v>448</v>
      </c>
      <c r="M258" s="314" t="s">
        <v>441</v>
      </c>
      <c r="N258" s="314"/>
      <c r="O258" s="314" t="s">
        <v>411</v>
      </c>
      <c r="P258" s="314" t="s">
        <v>156</v>
      </c>
      <c r="Q258" s="314" t="s">
        <v>184</v>
      </c>
      <c r="R258" s="314" t="s">
        <v>449</v>
      </c>
      <c r="S258" s="314"/>
      <c r="T258" s="313" t="s">
        <v>156</v>
      </c>
      <c r="U258" s="314" t="s">
        <v>156</v>
      </c>
      <c r="V258" s="314" t="s">
        <v>156</v>
      </c>
      <c r="W258" s="314"/>
      <c r="X258" s="314" t="s">
        <v>411</v>
      </c>
      <c r="Y258" s="314" t="s">
        <v>450</v>
      </c>
      <c r="Z258" s="314" t="s">
        <v>451</v>
      </c>
      <c r="AA258" s="314">
        <v>470195</v>
      </c>
      <c r="AB258" s="313" t="s">
        <v>450</v>
      </c>
      <c r="AC258" s="314">
        <v>470195</v>
      </c>
      <c r="AD258" s="314" t="s">
        <v>451</v>
      </c>
      <c r="BG258" s="353"/>
    </row>
    <row r="259" spans="2:59" ht="14">
      <c r="B259" s="315" t="s">
        <v>410</v>
      </c>
      <c r="C259" s="337" t="s">
        <v>645</v>
      </c>
      <c r="D259" s="316" t="s">
        <v>438</v>
      </c>
      <c r="E259" s="316" t="s">
        <v>438</v>
      </c>
      <c r="F259" s="316" t="s">
        <v>183</v>
      </c>
      <c r="G259" s="316" t="s">
        <v>439</v>
      </c>
      <c r="H259" s="316" t="s">
        <v>184</v>
      </c>
      <c r="I259" s="316" t="s">
        <v>439</v>
      </c>
      <c r="J259" s="316" t="s">
        <v>646</v>
      </c>
      <c r="K259" s="316" t="s">
        <v>411</v>
      </c>
      <c r="L259" s="316" t="s">
        <v>156</v>
      </c>
      <c r="M259" s="316" t="s">
        <v>441</v>
      </c>
      <c r="N259" s="316"/>
      <c r="O259" s="316" t="s">
        <v>183</v>
      </c>
      <c r="P259" s="316" t="s">
        <v>156</v>
      </c>
      <c r="Q259" s="316" t="s">
        <v>442</v>
      </c>
      <c r="R259" s="316" t="s">
        <v>647</v>
      </c>
      <c r="S259" s="316"/>
      <c r="T259" s="316" t="s">
        <v>648</v>
      </c>
      <c r="U259" s="316" t="s">
        <v>649</v>
      </c>
      <c r="V259" s="316" t="s">
        <v>650</v>
      </c>
      <c r="W259" s="316"/>
      <c r="X259" s="316" t="s">
        <v>411</v>
      </c>
      <c r="Y259" s="316" t="s">
        <v>444</v>
      </c>
      <c r="Z259" s="316" t="s">
        <v>445</v>
      </c>
      <c r="AA259" s="316" t="s">
        <v>445</v>
      </c>
      <c r="AB259" s="316" t="s">
        <v>651</v>
      </c>
      <c r="AC259" s="316">
        <v>375901</v>
      </c>
      <c r="AD259" s="316" t="s">
        <v>652</v>
      </c>
      <c r="BG259" s="353"/>
    </row>
    <row r="260" spans="2:59" ht="14">
      <c r="B260" s="315" t="s">
        <v>410</v>
      </c>
      <c r="C260" s="337" t="s">
        <v>659</v>
      </c>
      <c r="D260" s="316" t="s">
        <v>438</v>
      </c>
      <c r="E260" s="316" t="s">
        <v>438</v>
      </c>
      <c r="F260" s="316" t="s">
        <v>183</v>
      </c>
      <c r="G260" s="316" t="s">
        <v>439</v>
      </c>
      <c r="H260" s="316" t="s">
        <v>184</v>
      </c>
      <c r="I260" s="316" t="s">
        <v>439</v>
      </c>
      <c r="J260" s="316" t="s">
        <v>653</v>
      </c>
      <c r="K260" s="316" t="s">
        <v>411</v>
      </c>
      <c r="L260" s="316" t="s">
        <v>654</v>
      </c>
      <c r="M260" s="316" t="s">
        <v>441</v>
      </c>
      <c r="N260" s="316"/>
      <c r="O260" s="316" t="s">
        <v>439</v>
      </c>
      <c r="P260" s="316" t="s">
        <v>156</v>
      </c>
      <c r="Q260" s="316" t="s">
        <v>655</v>
      </c>
      <c r="R260" s="316" t="s">
        <v>443</v>
      </c>
      <c r="S260" s="316"/>
      <c r="T260" s="316" t="s">
        <v>156</v>
      </c>
      <c r="U260" s="316" t="s">
        <v>156</v>
      </c>
      <c r="V260" s="316" t="s">
        <v>156</v>
      </c>
      <c r="W260" s="316"/>
      <c r="X260" s="316" t="s">
        <v>411</v>
      </c>
      <c r="Y260" s="316" t="s">
        <v>656</v>
      </c>
      <c r="Z260" s="316" t="s">
        <v>445</v>
      </c>
      <c r="AA260" s="316" t="s">
        <v>445</v>
      </c>
      <c r="AB260" s="316" t="s">
        <v>657</v>
      </c>
      <c r="AC260" s="316" t="s">
        <v>658</v>
      </c>
      <c r="AD260" s="316" t="s">
        <v>658</v>
      </c>
      <c r="BG260" s="353"/>
    </row>
    <row r="261" spans="2:59">
      <c r="B261" s="358"/>
      <c r="BG261" s="353"/>
    </row>
    <row r="262" spans="2:59" ht="15">
      <c r="B262" s="358"/>
      <c r="C262" s="449" t="s">
        <v>489</v>
      </c>
      <c r="D262" s="450"/>
      <c r="E262" s="450"/>
      <c r="F262" s="450"/>
      <c r="G262" s="450"/>
      <c r="H262" s="450"/>
      <c r="I262" s="450"/>
      <c r="J262" s="450"/>
      <c r="K262" s="450"/>
      <c r="L262" s="450"/>
      <c r="M262" s="450"/>
      <c r="N262" s="450"/>
      <c r="O262" s="450"/>
      <c r="P262" s="450"/>
      <c r="Q262" s="450"/>
      <c r="R262" s="450"/>
      <c r="S262" s="450"/>
      <c r="T262" s="450"/>
      <c r="U262" s="92"/>
      <c r="V262" s="92"/>
      <c r="W262" s="92"/>
      <c r="X262" s="92"/>
      <c r="Y262" s="92"/>
      <c r="Z262" s="92"/>
      <c r="AA262" s="93"/>
      <c r="AB262" s="93"/>
      <c r="AC262" s="93"/>
      <c r="AD262" s="93"/>
      <c r="AE262" s="93"/>
      <c r="AF262" s="93"/>
      <c r="AG262" s="93"/>
      <c r="AH262" s="93"/>
      <c r="AI262" s="93"/>
      <c r="AJ262" s="93"/>
      <c r="AK262" s="93"/>
      <c r="AL262" s="93"/>
      <c r="AM262" s="93"/>
      <c r="AN262" s="93"/>
      <c r="AO262" s="93"/>
      <c r="AP262" s="94"/>
      <c r="AQ262" s="94"/>
      <c r="AR262" s="94"/>
      <c r="AS262" s="94"/>
      <c r="AT262" s="94"/>
      <c r="AU262" s="94"/>
      <c r="AV262" s="94"/>
      <c r="AW262" s="94"/>
      <c r="AX262" s="94"/>
      <c r="AY262" s="94"/>
      <c r="AZ262" s="94"/>
      <c r="BA262" s="94"/>
      <c r="BB262" s="94"/>
      <c r="BC262" s="94"/>
      <c r="BD262" s="94"/>
      <c r="BE262" s="94"/>
      <c r="BF262" s="94"/>
      <c r="BG262" s="353"/>
    </row>
    <row r="263" spans="2:59" ht="15">
      <c r="B263" s="358"/>
      <c r="C263" s="322"/>
      <c r="D263" s="322"/>
      <c r="E263" s="322"/>
      <c r="F263" s="319" t="s">
        <v>169</v>
      </c>
      <c r="G263" s="319" t="s">
        <v>169</v>
      </c>
      <c r="H263" s="324" t="s">
        <v>169</v>
      </c>
      <c r="I263" s="319" t="s">
        <v>169</v>
      </c>
      <c r="J263" s="319" t="s">
        <v>169</v>
      </c>
      <c r="K263" s="324"/>
      <c r="L263" s="324"/>
      <c r="M263" s="324"/>
      <c r="N263" s="324"/>
      <c r="O263" s="324"/>
      <c r="P263" s="324"/>
      <c r="Q263" s="324"/>
      <c r="R263" s="324"/>
      <c r="S263" s="324"/>
      <c r="T263" s="324"/>
      <c r="U263" s="324"/>
      <c r="V263" s="324"/>
      <c r="W263" s="324"/>
      <c r="X263" s="324"/>
      <c r="Y263" s="324"/>
      <c r="Z263" s="324"/>
      <c r="AA263" s="325"/>
      <c r="AB263" s="325"/>
      <c r="AC263" s="325"/>
      <c r="AD263" s="325"/>
      <c r="AE263" s="325"/>
      <c r="AF263" s="325"/>
      <c r="AG263" s="325"/>
      <c r="AH263" s="325"/>
      <c r="AI263" s="325"/>
      <c r="AJ263" s="325"/>
      <c r="AK263" s="325"/>
      <c r="AL263" s="325"/>
      <c r="AM263" s="325"/>
      <c r="AN263" s="325"/>
      <c r="AO263" s="325"/>
      <c r="AP263" s="325"/>
      <c r="AQ263" s="325"/>
      <c r="AR263" s="325"/>
      <c r="AS263" s="325"/>
      <c r="AT263" s="325"/>
      <c r="AU263" s="325"/>
      <c r="AV263" s="325"/>
      <c r="AW263" s="325"/>
      <c r="AX263" s="325"/>
      <c r="AY263" s="325"/>
      <c r="AZ263" s="325"/>
      <c r="BA263" s="325"/>
      <c r="BB263" s="325"/>
      <c r="BC263" s="325"/>
      <c r="BD263" s="325"/>
      <c r="BE263" s="325"/>
      <c r="BF263" s="325"/>
      <c r="BG263" s="353"/>
    </row>
    <row r="264" spans="2:59" ht="25">
      <c r="B264" s="358"/>
      <c r="C264" s="312" t="s">
        <v>533</v>
      </c>
      <c r="D264" s="312" t="s">
        <v>588</v>
      </c>
      <c r="E264" s="312" t="s">
        <v>589</v>
      </c>
      <c r="F264" s="314" t="s">
        <v>96</v>
      </c>
      <c r="G264" s="314" t="s">
        <v>99</v>
      </c>
      <c r="H264" s="314" t="s">
        <v>130</v>
      </c>
      <c r="I264" s="314" t="s">
        <v>559</v>
      </c>
      <c r="J264" s="314" t="s">
        <v>127</v>
      </c>
      <c r="K264" s="314" t="s">
        <v>67</v>
      </c>
      <c r="L264" s="314" t="s">
        <v>456</v>
      </c>
      <c r="M264" s="314" t="s">
        <v>534</v>
      </c>
      <c r="N264" s="314" t="s">
        <v>535</v>
      </c>
      <c r="O264" s="314" t="s">
        <v>536</v>
      </c>
      <c r="P264" s="314" t="s">
        <v>537</v>
      </c>
      <c r="Q264" s="314" t="s">
        <v>538</v>
      </c>
      <c r="R264" s="314" t="s">
        <v>539</v>
      </c>
      <c r="S264" s="314" t="s">
        <v>540</v>
      </c>
      <c r="T264" s="314" t="s">
        <v>541</v>
      </c>
      <c r="U264" s="314" t="s">
        <v>542</v>
      </c>
      <c r="V264" s="314" t="s">
        <v>543</v>
      </c>
      <c r="W264" s="314" t="s">
        <v>544</v>
      </c>
      <c r="X264" s="314" t="s">
        <v>545</v>
      </c>
      <c r="Y264" s="314" t="s">
        <v>546</v>
      </c>
      <c r="Z264" s="314" t="s">
        <v>547</v>
      </c>
      <c r="AA264" s="314" t="s">
        <v>548</v>
      </c>
      <c r="AB264" s="314" t="s">
        <v>549</v>
      </c>
      <c r="AC264" s="314" t="s">
        <v>550</v>
      </c>
      <c r="AD264" s="314" t="s">
        <v>551</v>
      </c>
      <c r="AE264" s="314" t="s">
        <v>552</v>
      </c>
      <c r="AF264" s="314" t="s">
        <v>553</v>
      </c>
      <c r="AG264" s="314" t="s">
        <v>554</v>
      </c>
      <c r="AH264" s="314" t="s">
        <v>555</v>
      </c>
      <c r="AI264" s="314" t="s">
        <v>556</v>
      </c>
      <c r="AJ264" s="314" t="s">
        <v>558</v>
      </c>
      <c r="AK264" s="314" t="s">
        <v>557</v>
      </c>
      <c r="AL264" s="314" t="s">
        <v>566</v>
      </c>
      <c r="AM264" s="314" t="s">
        <v>560</v>
      </c>
      <c r="AN264" s="314" t="s">
        <v>561</v>
      </c>
      <c r="AO264" s="314" t="s">
        <v>562</v>
      </c>
      <c r="AP264" s="314" t="s">
        <v>563</v>
      </c>
      <c r="AQ264" s="314" t="s">
        <v>567</v>
      </c>
      <c r="AR264" s="314" t="s">
        <v>564</v>
      </c>
      <c r="AS264" s="314" t="s">
        <v>565</v>
      </c>
      <c r="AT264" s="314" t="s">
        <v>568</v>
      </c>
      <c r="AU264" s="314" t="s">
        <v>569</v>
      </c>
      <c r="AV264" s="314" t="s">
        <v>570</v>
      </c>
      <c r="AW264" s="314" t="s">
        <v>571</v>
      </c>
      <c r="AX264" s="314" t="s">
        <v>572</v>
      </c>
      <c r="AY264" s="314" t="s">
        <v>573</v>
      </c>
      <c r="AZ264" s="314" t="s">
        <v>397</v>
      </c>
      <c r="BA264" s="314" t="s">
        <v>398</v>
      </c>
      <c r="BB264" s="314" t="s">
        <v>399</v>
      </c>
      <c r="BC264" s="314" t="s">
        <v>400</v>
      </c>
      <c r="BD264" s="314" t="s">
        <v>151</v>
      </c>
      <c r="BE264" s="314" t="s">
        <v>152</v>
      </c>
      <c r="BF264" s="314" t="s">
        <v>401</v>
      </c>
      <c r="BG264" s="353"/>
    </row>
    <row r="265" spans="2:59">
      <c r="B265" s="358"/>
      <c r="C265" s="312" t="s">
        <v>371</v>
      </c>
      <c r="D265" s="312" t="s">
        <v>381</v>
      </c>
      <c r="E265" s="312" t="s">
        <v>390</v>
      </c>
      <c r="F265" s="313" t="s">
        <v>490</v>
      </c>
      <c r="G265" s="313" t="s">
        <v>491</v>
      </c>
      <c r="H265" s="313" t="s">
        <v>492</v>
      </c>
      <c r="I265" s="313" t="s">
        <v>519</v>
      </c>
      <c r="J265" s="313" t="s">
        <v>525</v>
      </c>
      <c r="K265" s="313" t="s">
        <v>419</v>
      </c>
      <c r="L265" s="313" t="s">
        <v>420</v>
      </c>
      <c r="M265" s="313" t="s">
        <v>493</v>
      </c>
      <c r="N265" s="313" t="s">
        <v>494</v>
      </c>
      <c r="O265" s="313" t="s">
        <v>495</v>
      </c>
      <c r="P265" s="313" t="s">
        <v>496</v>
      </c>
      <c r="Q265" s="313" t="s">
        <v>497</v>
      </c>
      <c r="R265" s="313" t="s">
        <v>498</v>
      </c>
      <c r="S265" s="313" t="s">
        <v>499</v>
      </c>
      <c r="T265" s="313" t="s">
        <v>500</v>
      </c>
      <c r="U265" s="313" t="s">
        <v>501</v>
      </c>
      <c r="V265" s="313" t="s">
        <v>502</v>
      </c>
      <c r="W265" s="313" t="s">
        <v>503</v>
      </c>
      <c r="X265" s="313" t="s">
        <v>504</v>
      </c>
      <c r="Y265" s="313" t="s">
        <v>505</v>
      </c>
      <c r="Z265" s="313" t="s">
        <v>506</v>
      </c>
      <c r="AA265" s="313" t="s">
        <v>507</v>
      </c>
      <c r="AB265" s="313" t="s">
        <v>508</v>
      </c>
      <c r="AC265" s="313" t="s">
        <v>509</v>
      </c>
      <c r="AD265" s="313" t="s">
        <v>510</v>
      </c>
      <c r="AE265" s="313" t="s">
        <v>511</v>
      </c>
      <c r="AF265" s="313" t="s">
        <v>512</v>
      </c>
      <c r="AG265" s="313" t="s">
        <v>513</v>
      </c>
      <c r="AH265" s="313" t="s">
        <v>514</v>
      </c>
      <c r="AI265" s="313" t="s">
        <v>515</v>
      </c>
      <c r="AJ265" s="313" t="s">
        <v>516</v>
      </c>
      <c r="AK265" s="313" t="s">
        <v>517</v>
      </c>
      <c r="AL265" s="313" t="s">
        <v>518</v>
      </c>
      <c r="AM265" s="313" t="s">
        <v>520</v>
      </c>
      <c r="AN265" s="313" t="s">
        <v>521</v>
      </c>
      <c r="AO265" s="313" t="s">
        <v>522</v>
      </c>
      <c r="AP265" s="313" t="s">
        <v>402</v>
      </c>
      <c r="AQ265" s="313" t="s">
        <v>523</v>
      </c>
      <c r="AR265" s="313" t="s">
        <v>524</v>
      </c>
      <c r="AS265" s="313" t="s">
        <v>526</v>
      </c>
      <c r="AT265" s="313" t="s">
        <v>527</v>
      </c>
      <c r="AU265" s="313" t="s">
        <v>528</v>
      </c>
      <c r="AV265" s="313" t="s">
        <v>529</v>
      </c>
      <c r="AW265" s="313" t="s">
        <v>530</v>
      </c>
      <c r="AX265" s="313" t="s">
        <v>531</v>
      </c>
      <c r="AY265" s="313" t="s">
        <v>532</v>
      </c>
      <c r="AZ265" s="313" t="s">
        <v>403</v>
      </c>
      <c r="BA265" s="313" t="s">
        <v>404</v>
      </c>
      <c r="BB265" s="313" t="s">
        <v>405</v>
      </c>
      <c r="BC265" s="313" t="s">
        <v>406</v>
      </c>
      <c r="BD265" s="313" t="s">
        <v>407</v>
      </c>
      <c r="BE265" s="313" t="s">
        <v>408</v>
      </c>
      <c r="BF265" s="313" t="s">
        <v>409</v>
      </c>
      <c r="BG265" s="353"/>
    </row>
    <row r="266" spans="2:59">
      <c r="B266" s="358"/>
      <c r="C266" s="312" t="s">
        <v>472</v>
      </c>
      <c r="D266" s="312" t="s">
        <v>574</v>
      </c>
      <c r="E266" s="312" t="s">
        <v>473</v>
      </c>
      <c r="F266" s="326" t="s">
        <v>474</v>
      </c>
      <c r="G266" s="326" t="s">
        <v>474</v>
      </c>
      <c r="H266" s="326" t="s">
        <v>474</v>
      </c>
      <c r="I266" s="326" t="s">
        <v>474</v>
      </c>
      <c r="J266" s="326" t="s">
        <v>476</v>
      </c>
      <c r="K266" s="326" t="s">
        <v>474</v>
      </c>
      <c r="L266" s="326" t="s">
        <v>474</v>
      </c>
      <c r="M266" s="326" t="s">
        <v>575</v>
      </c>
      <c r="N266" s="326" t="s">
        <v>575</v>
      </c>
      <c r="O266" s="326" t="s">
        <v>473</v>
      </c>
      <c r="P266" s="326" t="s">
        <v>576</v>
      </c>
      <c r="Q266" s="326" t="s">
        <v>474</v>
      </c>
      <c r="R266" s="326" t="s">
        <v>481</v>
      </c>
      <c r="S266" s="326" t="s">
        <v>476</v>
      </c>
      <c r="T266" s="326" t="s">
        <v>481</v>
      </c>
      <c r="U266" s="326" t="s">
        <v>476</v>
      </c>
      <c r="V266" s="326" t="s">
        <v>476</v>
      </c>
      <c r="W266" s="326" t="s">
        <v>474</v>
      </c>
      <c r="X266" s="326" t="s">
        <v>577</v>
      </c>
      <c r="Y266" s="326" t="s">
        <v>577</v>
      </c>
      <c r="Z266" s="326" t="s">
        <v>478</v>
      </c>
      <c r="AA266" s="326" t="s">
        <v>576</v>
      </c>
      <c r="AB266" s="326" t="s">
        <v>576</v>
      </c>
      <c r="AC266" s="326" t="s">
        <v>476</v>
      </c>
      <c r="AD266" s="326" t="s">
        <v>480</v>
      </c>
      <c r="AE266" s="326" t="s">
        <v>481</v>
      </c>
      <c r="AF266" s="326" t="s">
        <v>481</v>
      </c>
      <c r="AG266" s="326" t="s">
        <v>578</v>
      </c>
      <c r="AH266" s="326" t="s">
        <v>578</v>
      </c>
      <c r="AI266" s="326" t="s">
        <v>481</v>
      </c>
      <c r="AJ266" s="326" t="s">
        <v>481</v>
      </c>
      <c r="AK266" s="326" t="s">
        <v>578</v>
      </c>
      <c r="AL266" s="326" t="s">
        <v>578</v>
      </c>
      <c r="AM266" s="326" t="s">
        <v>474</v>
      </c>
      <c r="AN266" s="326" t="s">
        <v>474</v>
      </c>
      <c r="AO266" s="326" t="s">
        <v>474</v>
      </c>
      <c r="AP266" s="326" t="s">
        <v>478</v>
      </c>
      <c r="AQ266" s="326" t="s">
        <v>473</v>
      </c>
      <c r="AR266" s="326" t="s">
        <v>474</v>
      </c>
      <c r="AS266" s="326" t="s">
        <v>476</v>
      </c>
      <c r="AT266" s="326" t="s">
        <v>474</v>
      </c>
      <c r="AU266" s="326" t="s">
        <v>579</v>
      </c>
      <c r="AV266" s="326" t="s">
        <v>481</v>
      </c>
      <c r="AW266" s="326" t="s">
        <v>478</v>
      </c>
      <c r="AX266" s="326" t="s">
        <v>474</v>
      </c>
      <c r="AY266" s="326" t="s">
        <v>474</v>
      </c>
      <c r="AZ266" s="326" t="s">
        <v>485</v>
      </c>
      <c r="BA266" s="326" t="s">
        <v>486</v>
      </c>
      <c r="BB266" s="326" t="s">
        <v>488</v>
      </c>
      <c r="BC266" s="326" t="s">
        <v>488</v>
      </c>
      <c r="BD266" s="326" t="s">
        <v>486</v>
      </c>
      <c r="BE266" s="326" t="s">
        <v>488</v>
      </c>
      <c r="BF266" s="326" t="s">
        <v>488</v>
      </c>
      <c r="BG266" s="353"/>
    </row>
    <row r="267" spans="2:59" ht="15">
      <c r="B267" s="317" t="s">
        <v>412</v>
      </c>
      <c r="C267" s="327" t="s">
        <v>437</v>
      </c>
      <c r="D267" s="338" t="s">
        <v>630</v>
      </c>
      <c r="E267" s="338" t="s">
        <v>630</v>
      </c>
      <c r="F267" s="328" t="s">
        <v>454</v>
      </c>
      <c r="G267" s="327" t="s">
        <v>411</v>
      </c>
      <c r="H267" s="327" t="s">
        <v>411</v>
      </c>
      <c r="I267" s="330">
        <v>1</v>
      </c>
      <c r="J267" s="331">
        <v>0</v>
      </c>
      <c r="K267" s="327" t="s">
        <v>439</v>
      </c>
      <c r="L267" s="327" t="s">
        <v>439</v>
      </c>
      <c r="M267" s="327" t="s">
        <v>156</v>
      </c>
      <c r="N267" s="327" t="s">
        <v>156</v>
      </c>
      <c r="O267" s="327" t="s">
        <v>156</v>
      </c>
      <c r="P267" s="327" t="s">
        <v>156</v>
      </c>
      <c r="Q267" s="329" t="s">
        <v>580</v>
      </c>
      <c r="R267" s="327" t="s">
        <v>411</v>
      </c>
      <c r="S267" s="327" t="s">
        <v>411</v>
      </c>
      <c r="T267" s="327" t="s">
        <v>581</v>
      </c>
      <c r="U267" s="327" t="s">
        <v>582</v>
      </c>
      <c r="V267" s="327" t="s">
        <v>183</v>
      </c>
      <c r="W267" s="327" t="s">
        <v>183</v>
      </c>
      <c r="X267" s="327" t="s">
        <v>411</v>
      </c>
      <c r="Y267" s="327" t="s">
        <v>411</v>
      </c>
      <c r="Z267" s="327"/>
      <c r="AA267" s="330"/>
      <c r="AB267" s="330" t="s">
        <v>156</v>
      </c>
      <c r="AC267" s="330">
        <v>1</v>
      </c>
      <c r="AD267" s="330">
        <v>99999999</v>
      </c>
      <c r="AE267" s="327" t="s">
        <v>411</v>
      </c>
      <c r="AF267" s="327" t="s">
        <v>411</v>
      </c>
      <c r="AG267" s="327" t="s">
        <v>411</v>
      </c>
      <c r="AH267" s="327" t="s">
        <v>411</v>
      </c>
      <c r="AI267" s="330">
        <v>0</v>
      </c>
      <c r="AJ267" s="330">
        <v>0</v>
      </c>
      <c r="AK267" s="330">
        <v>0</v>
      </c>
      <c r="AL267" s="330">
        <v>0</v>
      </c>
      <c r="AM267" s="327" t="s">
        <v>183</v>
      </c>
      <c r="AN267" s="330">
        <v>0</v>
      </c>
      <c r="AO267" s="327" t="s">
        <v>411</v>
      </c>
      <c r="AP267" s="330">
        <v>1</v>
      </c>
      <c r="AQ267" s="331" t="s">
        <v>156</v>
      </c>
      <c r="AR267" s="331" t="s">
        <v>583</v>
      </c>
      <c r="AS267" s="331">
        <v>0</v>
      </c>
      <c r="AT267" s="331">
        <v>1</v>
      </c>
      <c r="AU267" s="331">
        <v>0</v>
      </c>
      <c r="AV267" s="331">
        <v>0</v>
      </c>
      <c r="AW267" s="331">
        <v>0</v>
      </c>
      <c r="AX267" s="331">
        <v>0</v>
      </c>
      <c r="AY267" s="331">
        <v>1</v>
      </c>
      <c r="AZ267" s="331">
        <v>0</v>
      </c>
      <c r="BA267" s="332">
        <v>29705</v>
      </c>
      <c r="BB267" s="331" t="s">
        <v>445</v>
      </c>
      <c r="BC267" s="331" t="s">
        <v>445</v>
      </c>
      <c r="BD267" s="332">
        <v>36413</v>
      </c>
      <c r="BE267" s="331" t="s">
        <v>445</v>
      </c>
      <c r="BF267" s="331" t="s">
        <v>445</v>
      </c>
      <c r="BG267" s="353"/>
    </row>
    <row r="268" spans="2:59" ht="15">
      <c r="B268" s="315" t="s">
        <v>410</v>
      </c>
      <c r="C268" s="327" t="s">
        <v>437</v>
      </c>
      <c r="D268" s="338" t="s">
        <v>630</v>
      </c>
      <c r="E268" s="337" t="s">
        <v>182</v>
      </c>
      <c r="F268" s="328" t="s">
        <v>185</v>
      </c>
      <c r="G268" s="327" t="s">
        <v>411</v>
      </c>
      <c r="H268" s="327" t="s">
        <v>411</v>
      </c>
      <c r="I268" s="330">
        <v>0</v>
      </c>
      <c r="J268" s="331">
        <v>30</v>
      </c>
      <c r="K268" s="327" t="s">
        <v>439</v>
      </c>
      <c r="L268" s="327" t="s">
        <v>439</v>
      </c>
      <c r="M268" s="327" t="s">
        <v>156</v>
      </c>
      <c r="N268" s="327" t="s">
        <v>156</v>
      </c>
      <c r="O268" s="327" t="s">
        <v>584</v>
      </c>
      <c r="P268" s="327" t="s">
        <v>156</v>
      </c>
      <c r="Q268" s="329" t="s">
        <v>585</v>
      </c>
      <c r="R268" s="327" t="s">
        <v>183</v>
      </c>
      <c r="S268" s="327" t="s">
        <v>411</v>
      </c>
      <c r="T268" s="327" t="s">
        <v>581</v>
      </c>
      <c r="U268" s="327" t="s">
        <v>582</v>
      </c>
      <c r="V268" s="327" t="s">
        <v>586</v>
      </c>
      <c r="W268" s="327" t="s">
        <v>183</v>
      </c>
      <c r="X268" s="327" t="s">
        <v>411</v>
      </c>
      <c r="Y268" s="327" t="s">
        <v>411</v>
      </c>
      <c r="Z268" s="327"/>
      <c r="AA268" s="330"/>
      <c r="AB268" s="330" t="s">
        <v>587</v>
      </c>
      <c r="AC268" s="333">
        <v>5000</v>
      </c>
      <c r="AD268" s="330">
        <v>99999999</v>
      </c>
      <c r="AE268" s="327" t="s">
        <v>411</v>
      </c>
      <c r="AF268" s="327" t="s">
        <v>439</v>
      </c>
      <c r="AG268" s="327" t="s">
        <v>411</v>
      </c>
      <c r="AH268" s="327" t="s">
        <v>411</v>
      </c>
      <c r="AI268" s="330">
        <v>0</v>
      </c>
      <c r="AJ268" s="330">
        <v>0</v>
      </c>
      <c r="AK268" s="330">
        <v>0</v>
      </c>
      <c r="AL268" s="330">
        <v>0</v>
      </c>
      <c r="AM268" s="327" t="s">
        <v>183</v>
      </c>
      <c r="AN268" s="330">
        <v>0</v>
      </c>
      <c r="AO268" s="327" t="s">
        <v>411</v>
      </c>
      <c r="AP268" s="330">
        <v>1</v>
      </c>
      <c r="AQ268" s="331">
        <v>1111</v>
      </c>
      <c r="AR268" s="331" t="s">
        <v>583</v>
      </c>
      <c r="AS268" s="331">
        <v>10</v>
      </c>
      <c r="AT268" s="331">
        <v>1</v>
      </c>
      <c r="AU268" s="331">
        <v>0</v>
      </c>
      <c r="AV268" s="331">
        <v>0</v>
      </c>
      <c r="AW268" s="331">
        <v>0</v>
      </c>
      <c r="AX268" s="331">
        <v>0</v>
      </c>
      <c r="AY268" s="331">
        <v>1</v>
      </c>
      <c r="AZ268" s="331">
        <v>0</v>
      </c>
      <c r="BA268" s="332">
        <v>40640.750486111108</v>
      </c>
      <c r="BB268" s="331">
        <v>470195</v>
      </c>
      <c r="BC268" s="331">
        <v>470195</v>
      </c>
      <c r="BD268" s="332">
        <v>45392.67769675926</v>
      </c>
      <c r="BE268" s="331">
        <v>363363</v>
      </c>
      <c r="BF268" s="331">
        <v>363363</v>
      </c>
      <c r="BG268" s="353"/>
    </row>
    <row r="269" spans="2:59" ht="14">
      <c r="B269" s="315" t="s">
        <v>410</v>
      </c>
      <c r="C269" s="337" t="s">
        <v>645</v>
      </c>
      <c r="D269" s="327" t="s">
        <v>438</v>
      </c>
      <c r="E269" s="327" t="s">
        <v>438</v>
      </c>
      <c r="F269" s="327" t="s">
        <v>454</v>
      </c>
      <c r="G269" s="327" t="s">
        <v>411</v>
      </c>
      <c r="H269" s="327" t="s">
        <v>411</v>
      </c>
      <c r="I269" s="327">
        <v>1</v>
      </c>
      <c r="J269" s="327">
        <v>0</v>
      </c>
      <c r="K269" s="327" t="s">
        <v>439</v>
      </c>
      <c r="L269" s="327" t="s">
        <v>439</v>
      </c>
      <c r="M269" s="327" t="s">
        <v>156</v>
      </c>
      <c r="N269" s="327" t="s">
        <v>156</v>
      </c>
      <c r="O269" s="327" t="s">
        <v>156</v>
      </c>
      <c r="P269" s="327" t="s">
        <v>156</v>
      </c>
      <c r="Q269" s="327" t="s">
        <v>580</v>
      </c>
      <c r="R269" s="327" t="s">
        <v>411</v>
      </c>
      <c r="S269" s="327" t="s">
        <v>411</v>
      </c>
      <c r="T269" s="327" t="s">
        <v>581</v>
      </c>
      <c r="U269" s="327" t="s">
        <v>582</v>
      </c>
      <c r="V269" s="327" t="s">
        <v>183</v>
      </c>
      <c r="W269" s="327" t="s">
        <v>183</v>
      </c>
      <c r="X269" s="327" t="s">
        <v>411</v>
      </c>
      <c r="Y269" s="327" t="s">
        <v>411</v>
      </c>
      <c r="Z269" s="327"/>
      <c r="AA269" s="327"/>
      <c r="AB269" s="327" t="s">
        <v>156</v>
      </c>
      <c r="AC269" s="327">
        <v>1</v>
      </c>
      <c r="AD269" s="327">
        <v>99999999</v>
      </c>
      <c r="AE269" s="327">
        <v>0</v>
      </c>
      <c r="AF269" s="327">
        <v>0</v>
      </c>
      <c r="AG269" s="327">
        <v>0</v>
      </c>
      <c r="AH269" s="327">
        <v>0</v>
      </c>
      <c r="AI269" s="327">
        <v>0</v>
      </c>
      <c r="AJ269" s="327">
        <v>0</v>
      </c>
      <c r="AK269" s="327">
        <v>0</v>
      </c>
      <c r="AL269" s="327">
        <v>0</v>
      </c>
      <c r="AM269" s="327">
        <v>1</v>
      </c>
      <c r="AN269" s="327">
        <v>0</v>
      </c>
      <c r="AO269" s="327">
        <v>0</v>
      </c>
      <c r="AP269" s="327">
        <v>1</v>
      </c>
      <c r="AQ269" s="327" t="s">
        <v>156</v>
      </c>
      <c r="AR269" s="327" t="s">
        <v>583</v>
      </c>
      <c r="AS269" s="327">
        <v>0</v>
      </c>
      <c r="AT269" s="327">
        <v>1</v>
      </c>
      <c r="AU269" s="327">
        <v>0</v>
      </c>
      <c r="AV269" s="327">
        <v>0</v>
      </c>
      <c r="AW269" s="327">
        <v>0</v>
      </c>
      <c r="AX269" s="327">
        <v>0</v>
      </c>
      <c r="AY269" s="327">
        <v>1</v>
      </c>
      <c r="AZ269" s="327">
        <v>0</v>
      </c>
      <c r="BA269" s="327">
        <v>29705</v>
      </c>
      <c r="BB269" s="327" t="s">
        <v>445</v>
      </c>
      <c r="BC269" s="327" t="s">
        <v>445</v>
      </c>
      <c r="BD269" s="327">
        <v>39993.705960648149</v>
      </c>
      <c r="BE269" s="327">
        <v>375901</v>
      </c>
      <c r="BF269" s="327">
        <v>375901</v>
      </c>
      <c r="BG269" s="353"/>
    </row>
    <row r="270" spans="2:59" ht="14">
      <c r="B270" s="315" t="s">
        <v>410</v>
      </c>
      <c r="C270" s="337" t="s">
        <v>659</v>
      </c>
      <c r="D270" s="327" t="s">
        <v>438</v>
      </c>
      <c r="E270" s="327" t="s">
        <v>438</v>
      </c>
      <c r="F270" s="327" t="s">
        <v>454</v>
      </c>
      <c r="G270" s="327" t="s">
        <v>411</v>
      </c>
      <c r="H270" s="327" t="s">
        <v>411</v>
      </c>
      <c r="I270" s="327">
        <v>1</v>
      </c>
      <c r="J270" s="327">
        <v>0</v>
      </c>
      <c r="K270" s="327" t="s">
        <v>439</v>
      </c>
      <c r="L270" s="327" t="s">
        <v>439</v>
      </c>
      <c r="M270" s="327" t="s">
        <v>156</v>
      </c>
      <c r="N270" s="327" t="s">
        <v>156</v>
      </c>
      <c r="O270" s="327" t="s">
        <v>156</v>
      </c>
      <c r="P270" s="327" t="s">
        <v>156</v>
      </c>
      <c r="Q270" s="327" t="s">
        <v>580</v>
      </c>
      <c r="R270" s="327" t="s">
        <v>411</v>
      </c>
      <c r="S270" s="327" t="s">
        <v>411</v>
      </c>
      <c r="T270" s="327" t="s">
        <v>581</v>
      </c>
      <c r="U270" s="327" t="s">
        <v>582</v>
      </c>
      <c r="V270" s="327" t="s">
        <v>183</v>
      </c>
      <c r="W270" s="327" t="s">
        <v>183</v>
      </c>
      <c r="X270" s="327" t="s">
        <v>411</v>
      </c>
      <c r="Y270" s="327" t="s">
        <v>411</v>
      </c>
      <c r="Z270" s="327"/>
      <c r="AA270" s="327"/>
      <c r="AB270" s="327" t="s">
        <v>156</v>
      </c>
      <c r="AC270" s="327">
        <v>1</v>
      </c>
      <c r="AD270" s="327">
        <v>99999999</v>
      </c>
      <c r="AE270" s="327">
        <v>0</v>
      </c>
      <c r="AF270" s="327">
        <v>0</v>
      </c>
      <c r="AG270" s="327">
        <v>0</v>
      </c>
      <c r="AH270" s="327">
        <v>0</v>
      </c>
      <c r="AI270" s="327">
        <v>0</v>
      </c>
      <c r="AJ270" s="327">
        <v>0</v>
      </c>
      <c r="AK270" s="327">
        <v>0</v>
      </c>
      <c r="AL270" s="327">
        <v>0</v>
      </c>
      <c r="AM270" s="327">
        <v>1</v>
      </c>
      <c r="AN270" s="327">
        <v>0</v>
      </c>
      <c r="AO270" s="327">
        <v>0</v>
      </c>
      <c r="AP270" s="327">
        <v>1</v>
      </c>
      <c r="AQ270" s="327" t="s">
        <v>156</v>
      </c>
      <c r="AR270" s="327" t="s">
        <v>583</v>
      </c>
      <c r="AS270" s="327">
        <v>0</v>
      </c>
      <c r="AT270" s="327">
        <v>1</v>
      </c>
      <c r="AU270" s="327">
        <v>0</v>
      </c>
      <c r="AV270" s="327">
        <v>0</v>
      </c>
      <c r="AW270" s="327">
        <v>0</v>
      </c>
      <c r="AX270" s="327">
        <v>0</v>
      </c>
      <c r="AY270" s="327">
        <v>1</v>
      </c>
      <c r="AZ270" s="327">
        <v>0</v>
      </c>
      <c r="BA270" s="327">
        <v>31819</v>
      </c>
      <c r="BB270" s="327" t="s">
        <v>445</v>
      </c>
      <c r="BC270" s="327" t="s">
        <v>445</v>
      </c>
      <c r="BD270" s="327">
        <v>45636.056898148148</v>
      </c>
      <c r="BE270" s="327" t="s">
        <v>643</v>
      </c>
      <c r="BF270" s="327" t="s">
        <v>643</v>
      </c>
      <c r="BG270" s="353"/>
    </row>
    <row r="271" spans="2:59">
      <c r="B271" s="358"/>
      <c r="BG271" s="353"/>
    </row>
    <row r="272" spans="2:59" ht="14">
      <c r="B272" s="358"/>
      <c r="C272" s="359" t="s">
        <v>153</v>
      </c>
      <c r="BG272" s="353"/>
    </row>
    <row r="273" spans="1:59" ht="14">
      <c r="B273" s="358"/>
      <c r="C273" s="359" t="s">
        <v>590</v>
      </c>
      <c r="D273" s="359" t="s">
        <v>591</v>
      </c>
      <c r="E273" s="359" t="s">
        <v>159</v>
      </c>
      <c r="F273" s="359" t="s">
        <v>592</v>
      </c>
      <c r="G273" s="359" t="s">
        <v>593</v>
      </c>
      <c r="H273" s="359" t="s">
        <v>594</v>
      </c>
      <c r="I273" s="359" t="s">
        <v>595</v>
      </c>
      <c r="J273" s="359" t="s">
        <v>596</v>
      </c>
      <c r="K273" s="359" t="s">
        <v>597</v>
      </c>
      <c r="L273" s="359" t="s">
        <v>598</v>
      </c>
      <c r="M273" s="359" t="s">
        <v>599</v>
      </c>
      <c r="BG273" s="353"/>
    </row>
    <row r="274" spans="1:59" ht="14">
      <c r="B274" s="358"/>
      <c r="C274" s="359">
        <v>0</v>
      </c>
      <c r="D274" s="359">
        <v>0</v>
      </c>
      <c r="E274" s="359">
        <v>0</v>
      </c>
      <c r="F274" s="359" t="s">
        <v>600</v>
      </c>
      <c r="G274" s="359" t="s">
        <v>600</v>
      </c>
      <c r="H274" s="359">
        <v>2</v>
      </c>
      <c r="I274" s="359">
        <v>4</v>
      </c>
      <c r="J274" s="359">
        <v>3</v>
      </c>
      <c r="K274" s="359">
        <v>1</v>
      </c>
      <c r="L274" s="359">
        <v>0</v>
      </c>
      <c r="M274" s="359">
        <v>0</v>
      </c>
      <c r="BG274" s="353"/>
    </row>
    <row r="275" spans="1:59" ht="14.5" thickBot="1">
      <c r="B275" s="358"/>
      <c r="C275" s="359"/>
      <c r="D275" s="359"/>
      <c r="E275" s="359"/>
      <c r="F275" s="359"/>
      <c r="G275" s="359"/>
      <c r="H275" s="359"/>
      <c r="I275" s="359"/>
      <c r="J275" s="359"/>
      <c r="M275" s="359"/>
      <c r="N275" s="359"/>
      <c r="O275" s="359"/>
      <c r="BG275" s="353"/>
    </row>
    <row r="276" spans="1:59" ht="14" thickBot="1">
      <c r="B276" s="299" t="s">
        <v>663</v>
      </c>
      <c r="C276" s="300" t="s">
        <v>664</v>
      </c>
      <c r="D276" s="300"/>
      <c r="E276" s="300"/>
      <c r="F276" s="300"/>
      <c r="G276" s="300"/>
      <c r="H276" s="300"/>
      <c r="I276" s="300"/>
      <c r="J276" s="300"/>
      <c r="K276" s="300"/>
      <c r="L276" s="300"/>
      <c r="M276" s="300"/>
      <c r="N276" s="300"/>
      <c r="O276" s="300"/>
      <c r="P276" s="300"/>
      <c r="Q276" s="300"/>
      <c r="R276" s="300"/>
      <c r="S276" s="300"/>
      <c r="T276" s="300"/>
      <c r="U276" s="300"/>
      <c r="V276" s="300"/>
      <c r="W276" s="300"/>
      <c r="X276" s="300"/>
      <c r="Y276" s="300"/>
      <c r="Z276" s="300"/>
      <c r="AA276" s="300"/>
      <c r="AB276" s="300"/>
      <c r="AC276" s="300"/>
      <c r="AD276" s="300"/>
      <c r="AE276" s="300"/>
      <c r="AF276" s="300"/>
      <c r="AG276" s="300"/>
      <c r="AH276" s="300"/>
      <c r="AI276" s="300"/>
      <c r="AJ276" s="300"/>
      <c r="AK276" s="300"/>
      <c r="AL276" s="300"/>
      <c r="AM276" s="300"/>
      <c r="AN276" s="300"/>
      <c r="AO276" s="300"/>
      <c r="AP276" s="300"/>
      <c r="AQ276" s="300"/>
      <c r="AR276" s="300"/>
      <c r="AS276" s="300"/>
      <c r="AT276" s="300"/>
      <c r="AU276" s="300"/>
      <c r="AV276" s="300"/>
      <c r="AW276" s="300"/>
      <c r="AX276" s="300"/>
      <c r="AY276" s="300"/>
      <c r="AZ276" s="300"/>
      <c r="BA276" s="300"/>
      <c r="BB276" s="300"/>
      <c r="BC276" s="300"/>
      <c r="BD276" s="300"/>
      <c r="BE276" s="300"/>
      <c r="BF276" s="300"/>
      <c r="BG276" s="353"/>
    </row>
    <row r="277" spans="1:59" ht="14" thickBot="1">
      <c r="B277" s="335" t="s">
        <v>601</v>
      </c>
      <c r="C277" s="300" t="s">
        <v>395</v>
      </c>
      <c r="D277" s="300"/>
      <c r="E277" s="300"/>
      <c r="F277" s="300"/>
      <c r="G277" s="300"/>
      <c r="H277" s="300"/>
      <c r="I277" s="300"/>
      <c r="J277" s="300"/>
      <c r="K277" s="300"/>
      <c r="L277" s="300"/>
      <c r="M277" s="300"/>
      <c r="N277" s="300"/>
      <c r="O277" s="300"/>
      <c r="P277" s="300"/>
      <c r="Q277" s="300"/>
      <c r="R277" s="300"/>
      <c r="S277" s="300"/>
      <c r="T277" s="300"/>
      <c r="U277" s="300"/>
      <c r="V277" s="300"/>
      <c r="W277" s="300"/>
      <c r="X277" s="300"/>
      <c r="Y277" s="300"/>
      <c r="Z277" s="300"/>
      <c r="AA277" s="300"/>
      <c r="AB277" s="300"/>
      <c r="AC277" s="300"/>
      <c r="AD277" s="300"/>
      <c r="AE277" s="300"/>
      <c r="AF277" s="300"/>
      <c r="AG277" s="300"/>
      <c r="AH277" s="300"/>
      <c r="AI277" s="300"/>
      <c r="AJ277" s="300"/>
      <c r="AK277" s="300"/>
      <c r="AL277" s="300"/>
      <c r="AM277" s="300"/>
      <c r="AN277" s="300"/>
      <c r="AO277" s="300"/>
      <c r="AP277" s="300"/>
      <c r="AQ277" s="300"/>
      <c r="AR277" s="300"/>
      <c r="AS277" s="300"/>
      <c r="AT277" s="300"/>
      <c r="AU277" s="300"/>
      <c r="AV277" s="300"/>
      <c r="AW277" s="300"/>
      <c r="AX277" s="300"/>
      <c r="AY277" s="300"/>
      <c r="AZ277" s="300"/>
      <c r="BA277" s="300"/>
      <c r="BB277" s="300"/>
      <c r="BC277" s="300"/>
      <c r="BD277" s="300"/>
      <c r="BE277" s="300"/>
      <c r="BF277" s="300"/>
      <c r="BG277" s="353"/>
    </row>
    <row r="278" spans="1:59" ht="14">
      <c r="B278" s="358"/>
      <c r="C278" s="359"/>
      <c r="D278" s="359"/>
      <c r="E278" s="359"/>
      <c r="F278" s="359"/>
      <c r="G278" s="359"/>
      <c r="H278" s="359"/>
      <c r="I278" s="359"/>
      <c r="J278" s="359"/>
      <c r="M278" s="359"/>
      <c r="N278" s="359"/>
      <c r="O278" s="359"/>
      <c r="BG278" s="353"/>
    </row>
    <row r="279" spans="1:59" ht="14">
      <c r="B279" s="358"/>
      <c r="C279" s="356" t="s">
        <v>396</v>
      </c>
      <c r="D279" s="359"/>
      <c r="E279" s="359"/>
      <c r="F279" s="359"/>
      <c r="G279" s="359"/>
      <c r="H279" s="359"/>
      <c r="I279" s="359"/>
      <c r="J279" s="359"/>
      <c r="M279" s="359"/>
      <c r="N279" s="359"/>
      <c r="O279" s="359"/>
      <c r="BG279" s="353"/>
    </row>
    <row r="280" spans="1:59" ht="14">
      <c r="B280" s="358"/>
      <c r="C280" s="356" t="s">
        <v>686</v>
      </c>
      <c r="D280" s="359"/>
      <c r="E280" s="359"/>
      <c r="F280" s="359"/>
      <c r="G280" s="359"/>
      <c r="H280" s="359"/>
      <c r="I280" s="359"/>
      <c r="J280" s="359"/>
      <c r="M280" s="359"/>
      <c r="N280" s="359"/>
      <c r="O280" s="359"/>
      <c r="BG280" s="353"/>
    </row>
    <row r="281" spans="1:59" ht="14">
      <c r="B281" s="358"/>
      <c r="C281" s="359"/>
      <c r="D281" s="359"/>
      <c r="E281" s="359"/>
      <c r="F281" s="359"/>
      <c r="G281" s="359"/>
      <c r="H281" s="359"/>
      <c r="I281" s="359"/>
      <c r="J281" s="359"/>
      <c r="M281" s="359"/>
      <c r="N281" s="359"/>
      <c r="O281" s="359"/>
      <c r="BG281" s="353"/>
    </row>
    <row r="282" spans="1:59" s="27" customFormat="1" ht="19.5" customHeight="1">
      <c r="B282" s="362"/>
      <c r="C282" s="320" t="s">
        <v>436</v>
      </c>
      <c r="D282" s="321"/>
      <c r="E282" s="321"/>
      <c r="F282" s="291"/>
      <c r="G282" s="291"/>
      <c r="H282" s="291"/>
      <c r="I282" s="291"/>
      <c r="J282" s="291"/>
      <c r="K282" s="291"/>
      <c r="L282" s="291"/>
      <c r="M282" s="291"/>
      <c r="N282" s="291"/>
      <c r="O282" s="291"/>
      <c r="P282" s="291"/>
      <c r="Q282" s="291"/>
      <c r="R282" s="291"/>
      <c r="S282" s="291"/>
      <c r="T282" s="291"/>
      <c r="U282" s="291"/>
      <c r="V282" s="291"/>
      <c r="W282" s="291"/>
      <c r="X282" s="292"/>
      <c r="Y282" s="68"/>
      <c r="Z282" s="68"/>
      <c r="AA282" s="68"/>
      <c r="AB282" s="68"/>
      <c r="AC282" s="68"/>
      <c r="AD282" s="306"/>
      <c r="AH282" s="303"/>
      <c r="AJ282" s="69"/>
      <c r="AK282" s="69"/>
      <c r="AL282" s="69"/>
      <c r="AM282" s="69"/>
      <c r="AN282" s="70"/>
      <c r="AO282" s="70"/>
      <c r="AP282" s="70"/>
      <c r="BG282" s="122"/>
    </row>
    <row r="283" spans="1:59" s="72" customFormat="1" ht="16.5" customHeight="1">
      <c r="A283" s="293"/>
      <c r="B283" s="363"/>
      <c r="C283" s="322"/>
      <c r="D283" s="322"/>
      <c r="E283" s="322"/>
      <c r="F283" s="319" t="s">
        <v>169</v>
      </c>
      <c r="G283" s="319" t="s">
        <v>169</v>
      </c>
      <c r="H283" s="319" t="s">
        <v>169</v>
      </c>
      <c r="I283" s="319"/>
      <c r="J283" s="319"/>
      <c r="K283" s="319"/>
      <c r="L283" s="319"/>
      <c r="M283" s="319"/>
      <c r="N283" s="319"/>
      <c r="O283" s="319"/>
      <c r="P283" s="319"/>
      <c r="Q283" s="319"/>
      <c r="R283" s="319"/>
      <c r="S283" s="319"/>
      <c r="T283" s="319"/>
      <c r="U283" s="319"/>
      <c r="V283" s="319"/>
      <c r="W283" s="319"/>
      <c r="X283" s="319"/>
      <c r="Y283" s="319"/>
      <c r="Z283" s="319"/>
      <c r="AA283" s="319"/>
      <c r="AB283" s="319"/>
      <c r="AC283" s="319"/>
      <c r="AD283" s="319"/>
      <c r="AH283" s="304"/>
      <c r="AI283" s="71"/>
      <c r="AJ283" s="71"/>
      <c r="AK283" s="71"/>
      <c r="AL283" s="71"/>
      <c r="AM283" s="71"/>
      <c r="BG283" s="364"/>
    </row>
    <row r="284" spans="1:59" s="78" customFormat="1" ht="92" customHeight="1">
      <c r="A284" s="73"/>
      <c r="B284" s="365"/>
      <c r="C284" s="312" t="s">
        <v>172</v>
      </c>
      <c r="D284" s="312" t="s">
        <v>173</v>
      </c>
      <c r="E284" s="312" t="s">
        <v>174</v>
      </c>
      <c r="F284" s="314" t="s">
        <v>91</v>
      </c>
      <c r="G284" s="314" t="s">
        <v>812</v>
      </c>
      <c r="H284" s="314" t="s">
        <v>69</v>
      </c>
      <c r="I284" s="314" t="s">
        <v>457</v>
      </c>
      <c r="J284" s="314" t="s">
        <v>458</v>
      </c>
      <c r="K284" s="314" t="s">
        <v>459</v>
      </c>
      <c r="L284" s="314" t="s">
        <v>460</v>
      </c>
      <c r="M284" s="314" t="s">
        <v>461</v>
      </c>
      <c r="N284" s="314" t="s">
        <v>462</v>
      </c>
      <c r="O284" s="314" t="s">
        <v>463</v>
      </c>
      <c r="P284" s="314" t="s">
        <v>464</v>
      </c>
      <c r="Q284" s="314" t="s">
        <v>465</v>
      </c>
      <c r="R284" s="314" t="s">
        <v>466</v>
      </c>
      <c r="S284" s="314" t="s">
        <v>467</v>
      </c>
      <c r="T284" s="314" t="s">
        <v>468</v>
      </c>
      <c r="U284" s="314" t="s">
        <v>469</v>
      </c>
      <c r="V284" s="314" t="s">
        <v>470</v>
      </c>
      <c r="W284" s="314" t="s">
        <v>471</v>
      </c>
      <c r="X284" s="314" t="s">
        <v>397</v>
      </c>
      <c r="Y284" s="314" t="s">
        <v>398</v>
      </c>
      <c r="Z284" s="314" t="s">
        <v>399</v>
      </c>
      <c r="AA284" s="314" t="s">
        <v>400</v>
      </c>
      <c r="AB284" s="314" t="s">
        <v>151</v>
      </c>
      <c r="AC284" s="314" t="s">
        <v>152</v>
      </c>
      <c r="AD284" s="314" t="s">
        <v>401</v>
      </c>
      <c r="AH284" s="305"/>
      <c r="AI284" s="69"/>
      <c r="AJ284" s="76"/>
      <c r="AK284" s="76"/>
      <c r="AL284" s="76"/>
      <c r="AM284" s="76"/>
      <c r="AN284" s="77"/>
      <c r="AO284" s="77"/>
      <c r="AP284" s="77"/>
      <c r="BG284" s="366"/>
    </row>
    <row r="285" spans="1:59" s="78" customFormat="1" ht="15">
      <c r="A285" s="73"/>
      <c r="B285" s="365"/>
      <c r="C285" s="312" t="s">
        <v>371</v>
      </c>
      <c r="D285" s="312" t="s">
        <v>381</v>
      </c>
      <c r="E285" s="312" t="s">
        <v>390</v>
      </c>
      <c r="F285" s="313" t="s">
        <v>418</v>
      </c>
      <c r="G285" s="313" t="s">
        <v>419</v>
      </c>
      <c r="H285" s="313" t="s">
        <v>421</v>
      </c>
      <c r="I285" s="313" t="s">
        <v>420</v>
      </c>
      <c r="J285" s="313" t="s">
        <v>422</v>
      </c>
      <c r="K285" s="313" t="s">
        <v>423</v>
      </c>
      <c r="L285" s="313" t="s">
        <v>424</v>
      </c>
      <c r="M285" s="313" t="s">
        <v>425</v>
      </c>
      <c r="N285" s="313" t="s">
        <v>426</v>
      </c>
      <c r="O285" s="313" t="s">
        <v>427</v>
      </c>
      <c r="P285" s="313" t="s">
        <v>428</v>
      </c>
      <c r="Q285" s="313" t="s">
        <v>429</v>
      </c>
      <c r="R285" s="313" t="s">
        <v>430</v>
      </c>
      <c r="S285" s="313" t="s">
        <v>431</v>
      </c>
      <c r="T285" s="313" t="s">
        <v>432</v>
      </c>
      <c r="U285" s="313" t="s">
        <v>433</v>
      </c>
      <c r="V285" s="313" t="s">
        <v>434</v>
      </c>
      <c r="W285" s="313" t="s">
        <v>435</v>
      </c>
      <c r="X285" s="313" t="s">
        <v>403</v>
      </c>
      <c r="Y285" s="313" t="s">
        <v>404</v>
      </c>
      <c r="Z285" s="313" t="s">
        <v>405</v>
      </c>
      <c r="AA285" s="313" t="s">
        <v>406</v>
      </c>
      <c r="AB285" s="313" t="s">
        <v>407</v>
      </c>
      <c r="AC285" s="313" t="s">
        <v>408</v>
      </c>
      <c r="AD285" s="313" t="s">
        <v>409</v>
      </c>
      <c r="AH285" s="305"/>
      <c r="AI285" s="69"/>
      <c r="AJ285" s="76"/>
      <c r="AK285" s="76"/>
      <c r="AL285" s="76"/>
      <c r="AM285" s="76"/>
      <c r="AN285" s="77"/>
      <c r="AO285" s="77"/>
      <c r="AP285" s="77"/>
      <c r="BG285" s="366"/>
    </row>
    <row r="286" spans="1:59" s="70" customFormat="1" ht="13.5" customHeight="1">
      <c r="A286" s="79"/>
      <c r="B286" s="367"/>
      <c r="C286" s="312" t="s">
        <v>472</v>
      </c>
      <c r="D286" s="312" t="s">
        <v>473</v>
      </c>
      <c r="E286" s="312" t="s">
        <v>473</v>
      </c>
      <c r="F286" s="314" t="s">
        <v>474</v>
      </c>
      <c r="G286" s="314" t="s">
        <v>474</v>
      </c>
      <c r="H286" s="314" t="s">
        <v>475</v>
      </c>
      <c r="I286" s="314" t="s">
        <v>474</v>
      </c>
      <c r="J286" s="314" t="s">
        <v>476</v>
      </c>
      <c r="K286" s="314" t="s">
        <v>477</v>
      </c>
      <c r="L286" s="313" t="s">
        <v>478</v>
      </c>
      <c r="M286" s="314" t="s">
        <v>478</v>
      </c>
      <c r="N286" s="314" t="s">
        <v>479</v>
      </c>
      <c r="O286" s="314" t="s">
        <v>474</v>
      </c>
      <c r="P286" s="314" t="s">
        <v>480</v>
      </c>
      <c r="Q286" s="314" t="s">
        <v>481</v>
      </c>
      <c r="R286" s="314" t="s">
        <v>480</v>
      </c>
      <c r="S286" s="314" t="s">
        <v>482</v>
      </c>
      <c r="T286" s="313" t="s">
        <v>483</v>
      </c>
      <c r="U286" s="314" t="s">
        <v>483</v>
      </c>
      <c r="V286" s="314" t="s">
        <v>484</v>
      </c>
      <c r="W286" s="314" t="s">
        <v>474</v>
      </c>
      <c r="X286" s="314" t="s">
        <v>485</v>
      </c>
      <c r="Y286" s="314" t="s">
        <v>487</v>
      </c>
      <c r="Z286" s="314" t="s">
        <v>488</v>
      </c>
      <c r="AA286" s="314" t="s">
        <v>488</v>
      </c>
      <c r="AB286" s="313" t="s">
        <v>486</v>
      </c>
      <c r="AC286" s="314" t="s">
        <v>488</v>
      </c>
      <c r="AD286" s="314" t="s">
        <v>488</v>
      </c>
      <c r="AH286" s="303"/>
      <c r="AI286" s="69"/>
      <c r="AJ286" s="69"/>
      <c r="AK286" s="69"/>
      <c r="AL286" s="69"/>
      <c r="AM286" s="69"/>
      <c r="BG286" s="368"/>
    </row>
    <row r="287" spans="1:59" s="27" customFormat="1" ht="13.5" customHeight="1">
      <c r="A287" s="82"/>
      <c r="B287" s="315" t="s">
        <v>410</v>
      </c>
      <c r="C287" s="316" t="s">
        <v>437</v>
      </c>
      <c r="D287" s="313" t="s">
        <v>438</v>
      </c>
      <c r="E287" s="337" t="s">
        <v>630</v>
      </c>
      <c r="F287" s="314" t="s">
        <v>183</v>
      </c>
      <c r="G287" s="314" t="s">
        <v>439</v>
      </c>
      <c r="H287" s="314" t="s">
        <v>184</v>
      </c>
      <c r="I287" s="314" t="s">
        <v>439</v>
      </c>
      <c r="J287" s="314" t="s">
        <v>440</v>
      </c>
      <c r="K287" s="314" t="s">
        <v>411</v>
      </c>
      <c r="L287" s="313" t="s">
        <v>156</v>
      </c>
      <c r="M287" s="314" t="s">
        <v>441</v>
      </c>
      <c r="N287" s="314"/>
      <c r="O287" s="314" t="s">
        <v>183</v>
      </c>
      <c r="P287" s="314" t="s">
        <v>156</v>
      </c>
      <c r="Q287" s="314" t="s">
        <v>442</v>
      </c>
      <c r="R287" s="314" t="s">
        <v>443</v>
      </c>
      <c r="S287" s="314"/>
      <c r="T287" s="313" t="s">
        <v>156</v>
      </c>
      <c r="U287" s="314" t="s">
        <v>156</v>
      </c>
      <c r="V287" s="314" t="s">
        <v>156</v>
      </c>
      <c r="W287" s="314"/>
      <c r="X287" s="314" t="s">
        <v>411</v>
      </c>
      <c r="Y287" s="314" t="s">
        <v>444</v>
      </c>
      <c r="Z287" s="314" t="s">
        <v>445</v>
      </c>
      <c r="AA287" s="314" t="s">
        <v>445</v>
      </c>
      <c r="AB287" s="313" t="s">
        <v>446</v>
      </c>
      <c r="AC287" s="314" t="s">
        <v>447</v>
      </c>
      <c r="AD287" s="314" t="s">
        <v>447</v>
      </c>
      <c r="AH287" s="303"/>
      <c r="AI287" s="69"/>
      <c r="AJ287" s="69"/>
      <c r="AK287" s="85"/>
      <c r="AL287" s="69"/>
      <c r="AM287" s="69"/>
      <c r="AN287" s="70"/>
      <c r="AO287" s="70"/>
      <c r="AP287" s="70"/>
      <c r="BG287" s="122"/>
    </row>
    <row r="288" spans="1:59" s="27" customFormat="1" ht="13.5" customHeight="1">
      <c r="A288" s="86"/>
      <c r="B288" s="317" t="s">
        <v>412</v>
      </c>
      <c r="C288" s="316" t="s">
        <v>437</v>
      </c>
      <c r="D288" s="313" t="s">
        <v>438</v>
      </c>
      <c r="E288" s="314" t="s">
        <v>182</v>
      </c>
      <c r="F288" s="314" t="s">
        <v>183</v>
      </c>
      <c r="G288" s="327" t="s">
        <v>439</v>
      </c>
      <c r="H288" s="314" t="s">
        <v>184</v>
      </c>
      <c r="I288" s="327" t="s">
        <v>439</v>
      </c>
      <c r="J288" s="314" t="s">
        <v>184</v>
      </c>
      <c r="K288" s="314" t="s">
        <v>411</v>
      </c>
      <c r="L288" s="313" t="s">
        <v>448</v>
      </c>
      <c r="M288" s="314" t="s">
        <v>441</v>
      </c>
      <c r="N288" s="314"/>
      <c r="O288" s="314" t="s">
        <v>411</v>
      </c>
      <c r="P288" s="314" t="s">
        <v>156</v>
      </c>
      <c r="Q288" s="314" t="s">
        <v>184</v>
      </c>
      <c r="R288" s="314" t="s">
        <v>449</v>
      </c>
      <c r="S288" s="314"/>
      <c r="T288" s="313" t="s">
        <v>156</v>
      </c>
      <c r="U288" s="314" t="s">
        <v>156</v>
      </c>
      <c r="V288" s="314" t="s">
        <v>156</v>
      </c>
      <c r="W288" s="314"/>
      <c r="X288" s="314" t="s">
        <v>411</v>
      </c>
      <c r="Y288" s="314" t="s">
        <v>450</v>
      </c>
      <c r="Z288" s="314" t="s">
        <v>451</v>
      </c>
      <c r="AA288" s="314">
        <v>470195</v>
      </c>
      <c r="AB288" s="313" t="s">
        <v>450</v>
      </c>
      <c r="AC288" s="314">
        <v>470195</v>
      </c>
      <c r="AD288" s="314" t="s">
        <v>451</v>
      </c>
      <c r="AH288" s="303"/>
      <c r="AI288" s="69"/>
      <c r="AJ288" s="63"/>
      <c r="AK288" s="85"/>
      <c r="AL288" s="69"/>
      <c r="AM288" s="69"/>
      <c r="AN288" s="70"/>
      <c r="AO288" s="70"/>
      <c r="AP288" s="70"/>
      <c r="BG288" s="122"/>
    </row>
    <row r="289" spans="1:59" s="27" customFormat="1" ht="13.5" customHeight="1">
      <c r="A289" s="87"/>
      <c r="B289" s="315" t="s">
        <v>410</v>
      </c>
      <c r="C289" s="316" t="s">
        <v>437</v>
      </c>
      <c r="D289" s="337" t="s">
        <v>182</v>
      </c>
      <c r="E289" s="316" t="s">
        <v>453</v>
      </c>
      <c r="F289" s="316" t="s">
        <v>454</v>
      </c>
      <c r="G289" s="316" t="s">
        <v>611</v>
      </c>
      <c r="H289" s="316" t="s">
        <v>184</v>
      </c>
      <c r="I289" s="419" t="s">
        <v>600</v>
      </c>
      <c r="J289" s="316" t="s">
        <v>440</v>
      </c>
      <c r="K289" s="316" t="s">
        <v>411</v>
      </c>
      <c r="L289" s="316" t="s">
        <v>156</v>
      </c>
      <c r="M289" s="316" t="s">
        <v>441</v>
      </c>
      <c r="N289" s="316" t="s">
        <v>156</v>
      </c>
      <c r="O289" s="316" t="s">
        <v>183</v>
      </c>
      <c r="P289" s="316" t="s">
        <v>156</v>
      </c>
      <c r="Q289" s="316" t="s">
        <v>442</v>
      </c>
      <c r="R289" s="316" t="s">
        <v>443</v>
      </c>
      <c r="S289" s="316" t="s">
        <v>156</v>
      </c>
      <c r="T289" s="316" t="s">
        <v>156</v>
      </c>
      <c r="U289" s="316" t="s">
        <v>156</v>
      </c>
      <c r="V289" s="316" t="s">
        <v>156</v>
      </c>
      <c r="W289" s="316" t="s">
        <v>156</v>
      </c>
      <c r="X289" s="316" t="s">
        <v>411</v>
      </c>
      <c r="Y289" s="316" t="s">
        <v>444</v>
      </c>
      <c r="Z289" s="316" t="s">
        <v>445</v>
      </c>
      <c r="AA289" s="316" t="s">
        <v>445</v>
      </c>
      <c r="AB289" s="316" t="s">
        <v>446</v>
      </c>
      <c r="AC289" s="316" t="s">
        <v>455</v>
      </c>
      <c r="AD289" s="316" t="s">
        <v>455</v>
      </c>
      <c r="AH289" s="303"/>
      <c r="AI289" s="69"/>
      <c r="AJ289" s="63"/>
      <c r="AK289" s="85"/>
      <c r="AL289" s="69"/>
      <c r="AM289" s="69"/>
      <c r="AN289" s="70"/>
      <c r="AO289" s="70"/>
      <c r="AP289" s="70"/>
      <c r="BG289" s="122"/>
    </row>
    <row r="290" spans="1:59" s="27" customFormat="1" ht="13.5" customHeight="1">
      <c r="A290" s="87"/>
      <c r="B290" s="315" t="s">
        <v>410</v>
      </c>
      <c r="C290" s="316" t="s">
        <v>437</v>
      </c>
      <c r="D290" s="337" t="s">
        <v>629</v>
      </c>
      <c r="E290" s="316" t="s">
        <v>453</v>
      </c>
      <c r="F290" s="316" t="s">
        <v>454</v>
      </c>
      <c r="G290" s="316" t="s">
        <v>183</v>
      </c>
      <c r="H290" s="316" t="s">
        <v>184</v>
      </c>
      <c r="I290" s="419" t="s">
        <v>600</v>
      </c>
      <c r="J290" s="316" t="s">
        <v>440</v>
      </c>
      <c r="K290" s="316" t="s">
        <v>411</v>
      </c>
      <c r="L290" s="316" t="s">
        <v>156</v>
      </c>
      <c r="M290" s="316" t="s">
        <v>441</v>
      </c>
      <c r="N290" s="316" t="s">
        <v>156</v>
      </c>
      <c r="O290" s="316" t="s">
        <v>183</v>
      </c>
      <c r="P290" s="316" t="s">
        <v>156</v>
      </c>
      <c r="Q290" s="316" t="s">
        <v>442</v>
      </c>
      <c r="R290" s="316" t="s">
        <v>443</v>
      </c>
      <c r="S290" s="316" t="s">
        <v>156</v>
      </c>
      <c r="T290" s="316" t="s">
        <v>156</v>
      </c>
      <c r="U290" s="316" t="s">
        <v>156</v>
      </c>
      <c r="V290" s="316" t="s">
        <v>156</v>
      </c>
      <c r="W290" s="316" t="s">
        <v>156</v>
      </c>
      <c r="X290" s="316" t="s">
        <v>411</v>
      </c>
      <c r="Y290" s="316" t="s">
        <v>444</v>
      </c>
      <c r="Z290" s="316" t="s">
        <v>445</v>
      </c>
      <c r="AA290" s="316" t="s">
        <v>445</v>
      </c>
      <c r="AB290" s="316" t="s">
        <v>446</v>
      </c>
      <c r="AC290" s="316" t="s">
        <v>455</v>
      </c>
      <c r="AD290" s="316" t="s">
        <v>455</v>
      </c>
      <c r="AH290" s="303"/>
      <c r="AI290" s="69"/>
      <c r="AJ290" s="63"/>
      <c r="AK290" s="85"/>
      <c r="AL290" s="69"/>
      <c r="AM290" s="69"/>
      <c r="AN290" s="70"/>
      <c r="AO290" s="70"/>
      <c r="AP290" s="70"/>
      <c r="BG290" s="122"/>
    </row>
    <row r="291" spans="1:59" ht="14">
      <c r="B291" s="358"/>
      <c r="C291" s="359"/>
      <c r="D291" s="359"/>
      <c r="E291" s="359"/>
      <c r="F291" s="359"/>
      <c r="G291" s="359"/>
      <c r="H291" s="359"/>
      <c r="I291" s="359"/>
      <c r="J291" s="359"/>
      <c r="M291" s="359"/>
      <c r="N291" s="359"/>
      <c r="O291" s="359"/>
      <c r="BG291" s="353"/>
    </row>
    <row r="292" spans="1:59" ht="15">
      <c r="B292" s="358"/>
      <c r="C292" s="449" t="s">
        <v>489</v>
      </c>
      <c r="D292" s="450"/>
      <c r="E292" s="450"/>
      <c r="F292" s="450"/>
      <c r="G292" s="450"/>
      <c r="H292" s="450"/>
      <c r="I292" s="450"/>
      <c r="J292" s="450"/>
      <c r="K292" s="450"/>
      <c r="L292" s="450"/>
      <c r="M292" s="450"/>
      <c r="N292" s="450"/>
      <c r="O292" s="450"/>
      <c r="P292" s="450"/>
      <c r="Q292" s="450"/>
      <c r="R292" s="450"/>
      <c r="S292" s="450"/>
      <c r="T292" s="450"/>
      <c r="U292" s="92"/>
      <c r="V292" s="92"/>
      <c r="W292" s="92"/>
      <c r="X292" s="92"/>
      <c r="Y292" s="92"/>
      <c r="Z292" s="92"/>
      <c r="AA292" s="93"/>
      <c r="AB292" s="93"/>
      <c r="AC292" s="93"/>
      <c r="AD292" s="93"/>
      <c r="AE292" s="93"/>
      <c r="AF292" s="93"/>
      <c r="AG292" s="93"/>
      <c r="AH292" s="93"/>
      <c r="AI292" s="93"/>
      <c r="AJ292" s="93"/>
      <c r="AK292" s="93"/>
      <c r="AL292" s="93"/>
      <c r="AM292" s="93"/>
      <c r="AN292" s="93"/>
      <c r="AO292" s="93"/>
      <c r="AP292" s="94"/>
      <c r="AQ292" s="94"/>
      <c r="AR292" s="94"/>
      <c r="AS292" s="94"/>
      <c r="AT292" s="94"/>
      <c r="AU292" s="94"/>
      <c r="AV292" s="94"/>
      <c r="AW292" s="94"/>
      <c r="AX292" s="94"/>
      <c r="AY292" s="94"/>
      <c r="AZ292" s="94"/>
      <c r="BA292" s="94"/>
      <c r="BB292" s="94"/>
      <c r="BC292" s="94"/>
      <c r="BD292" s="94"/>
      <c r="BE292" s="94"/>
      <c r="BF292" s="94"/>
      <c r="BG292" s="353"/>
    </row>
    <row r="293" spans="1:59" ht="15">
      <c r="B293" s="358"/>
      <c r="C293" s="322"/>
      <c r="D293" s="322"/>
      <c r="E293" s="322"/>
      <c r="F293" s="319" t="s">
        <v>169</v>
      </c>
      <c r="G293" s="319" t="s">
        <v>169</v>
      </c>
      <c r="H293" s="324" t="s">
        <v>169</v>
      </c>
      <c r="I293" s="319" t="s">
        <v>169</v>
      </c>
      <c r="J293" s="319" t="s">
        <v>169</v>
      </c>
      <c r="K293" s="324"/>
      <c r="L293" s="324"/>
      <c r="M293" s="324"/>
      <c r="N293" s="324"/>
      <c r="O293" s="324"/>
      <c r="P293" s="324"/>
      <c r="Q293" s="324"/>
      <c r="R293" s="324"/>
      <c r="S293" s="324"/>
      <c r="T293" s="324"/>
      <c r="U293" s="324"/>
      <c r="V293" s="324"/>
      <c r="W293" s="324"/>
      <c r="X293" s="324"/>
      <c r="Y293" s="324"/>
      <c r="Z293" s="324"/>
      <c r="AA293" s="325"/>
      <c r="AB293" s="325"/>
      <c r="AC293" s="325"/>
      <c r="AD293" s="325"/>
      <c r="AE293" s="325"/>
      <c r="AF293" s="325"/>
      <c r="AG293" s="325"/>
      <c r="AH293" s="325"/>
      <c r="AI293" s="325"/>
      <c r="AJ293" s="325"/>
      <c r="AK293" s="325"/>
      <c r="AL293" s="325"/>
      <c r="AM293" s="325"/>
      <c r="AN293" s="325"/>
      <c r="AO293" s="325"/>
      <c r="AP293" s="325"/>
      <c r="AQ293" s="325"/>
      <c r="AR293" s="325"/>
      <c r="AS293" s="325"/>
      <c r="AT293" s="325"/>
      <c r="AU293" s="325"/>
      <c r="AV293" s="325"/>
      <c r="AW293" s="325"/>
      <c r="AX293" s="325"/>
      <c r="AY293" s="325"/>
      <c r="AZ293" s="325"/>
      <c r="BA293" s="325"/>
      <c r="BB293" s="325"/>
      <c r="BC293" s="325"/>
      <c r="BD293" s="325"/>
      <c r="BE293" s="325"/>
      <c r="BF293" s="325"/>
      <c r="BG293" s="353"/>
    </row>
    <row r="294" spans="1:59" ht="25">
      <c r="B294" s="358"/>
      <c r="C294" s="312" t="s">
        <v>533</v>
      </c>
      <c r="D294" s="312" t="s">
        <v>588</v>
      </c>
      <c r="E294" s="312" t="s">
        <v>589</v>
      </c>
      <c r="F294" s="314" t="s">
        <v>96</v>
      </c>
      <c r="G294" s="314" t="s">
        <v>99</v>
      </c>
      <c r="H294" s="314" t="s">
        <v>130</v>
      </c>
      <c r="I294" s="314" t="s">
        <v>559</v>
      </c>
      <c r="J294" s="314" t="s">
        <v>127</v>
      </c>
      <c r="K294" s="314" t="s">
        <v>67</v>
      </c>
      <c r="L294" s="314" t="s">
        <v>456</v>
      </c>
      <c r="M294" s="314" t="s">
        <v>534</v>
      </c>
      <c r="N294" s="314" t="s">
        <v>535</v>
      </c>
      <c r="O294" s="314" t="s">
        <v>536</v>
      </c>
      <c r="P294" s="314" t="s">
        <v>537</v>
      </c>
      <c r="Q294" s="314" t="s">
        <v>538</v>
      </c>
      <c r="R294" s="314" t="s">
        <v>539</v>
      </c>
      <c r="S294" s="314" t="s">
        <v>540</v>
      </c>
      <c r="T294" s="314" t="s">
        <v>541</v>
      </c>
      <c r="U294" s="314" t="s">
        <v>542</v>
      </c>
      <c r="V294" s="314" t="s">
        <v>543</v>
      </c>
      <c r="W294" s="314" t="s">
        <v>544</v>
      </c>
      <c r="X294" s="314" t="s">
        <v>545</v>
      </c>
      <c r="Y294" s="314" t="s">
        <v>546</v>
      </c>
      <c r="Z294" s="314" t="s">
        <v>547</v>
      </c>
      <c r="AA294" s="314" t="s">
        <v>548</v>
      </c>
      <c r="AB294" s="314" t="s">
        <v>549</v>
      </c>
      <c r="AC294" s="314" t="s">
        <v>550</v>
      </c>
      <c r="AD294" s="314" t="s">
        <v>551</v>
      </c>
      <c r="AE294" s="314" t="s">
        <v>552</v>
      </c>
      <c r="AF294" s="314" t="s">
        <v>553</v>
      </c>
      <c r="AG294" s="314" t="s">
        <v>554</v>
      </c>
      <c r="AH294" s="314" t="s">
        <v>555</v>
      </c>
      <c r="AI294" s="314" t="s">
        <v>556</v>
      </c>
      <c r="AJ294" s="314" t="s">
        <v>558</v>
      </c>
      <c r="AK294" s="314" t="s">
        <v>557</v>
      </c>
      <c r="AL294" s="314" t="s">
        <v>566</v>
      </c>
      <c r="AM294" s="314" t="s">
        <v>560</v>
      </c>
      <c r="AN294" s="314" t="s">
        <v>561</v>
      </c>
      <c r="AO294" s="314" t="s">
        <v>562</v>
      </c>
      <c r="AP294" s="314" t="s">
        <v>563</v>
      </c>
      <c r="AQ294" s="314" t="s">
        <v>567</v>
      </c>
      <c r="AR294" s="314" t="s">
        <v>564</v>
      </c>
      <c r="AS294" s="314" t="s">
        <v>565</v>
      </c>
      <c r="AT294" s="314" t="s">
        <v>568</v>
      </c>
      <c r="AU294" s="314" t="s">
        <v>569</v>
      </c>
      <c r="AV294" s="314" t="s">
        <v>570</v>
      </c>
      <c r="AW294" s="314" t="s">
        <v>571</v>
      </c>
      <c r="AX294" s="314" t="s">
        <v>572</v>
      </c>
      <c r="AY294" s="314" t="s">
        <v>573</v>
      </c>
      <c r="AZ294" s="314" t="s">
        <v>397</v>
      </c>
      <c r="BA294" s="314" t="s">
        <v>398</v>
      </c>
      <c r="BB294" s="314" t="s">
        <v>399</v>
      </c>
      <c r="BC294" s="314" t="s">
        <v>400</v>
      </c>
      <c r="BD294" s="314" t="s">
        <v>151</v>
      </c>
      <c r="BE294" s="314" t="s">
        <v>152</v>
      </c>
      <c r="BF294" s="314" t="s">
        <v>401</v>
      </c>
      <c r="BG294" s="353"/>
    </row>
    <row r="295" spans="1:59">
      <c r="B295" s="358"/>
      <c r="C295" s="312" t="s">
        <v>371</v>
      </c>
      <c r="D295" s="312" t="s">
        <v>381</v>
      </c>
      <c r="E295" s="312" t="s">
        <v>390</v>
      </c>
      <c r="F295" s="313" t="s">
        <v>490</v>
      </c>
      <c r="G295" s="313" t="s">
        <v>491</v>
      </c>
      <c r="H295" s="313" t="s">
        <v>492</v>
      </c>
      <c r="I295" s="313" t="s">
        <v>519</v>
      </c>
      <c r="J295" s="313" t="s">
        <v>525</v>
      </c>
      <c r="K295" s="313" t="s">
        <v>419</v>
      </c>
      <c r="L295" s="313" t="s">
        <v>420</v>
      </c>
      <c r="M295" s="313" t="s">
        <v>493</v>
      </c>
      <c r="N295" s="313" t="s">
        <v>494</v>
      </c>
      <c r="O295" s="313" t="s">
        <v>495</v>
      </c>
      <c r="P295" s="313" t="s">
        <v>496</v>
      </c>
      <c r="Q295" s="313" t="s">
        <v>497</v>
      </c>
      <c r="R295" s="313" t="s">
        <v>498</v>
      </c>
      <c r="S295" s="313" t="s">
        <v>499</v>
      </c>
      <c r="T295" s="313" t="s">
        <v>500</v>
      </c>
      <c r="U295" s="313" t="s">
        <v>501</v>
      </c>
      <c r="V295" s="313" t="s">
        <v>502</v>
      </c>
      <c r="W295" s="313" t="s">
        <v>503</v>
      </c>
      <c r="X295" s="313" t="s">
        <v>504</v>
      </c>
      <c r="Y295" s="313" t="s">
        <v>505</v>
      </c>
      <c r="Z295" s="313" t="s">
        <v>506</v>
      </c>
      <c r="AA295" s="313" t="s">
        <v>507</v>
      </c>
      <c r="AB295" s="313" t="s">
        <v>508</v>
      </c>
      <c r="AC295" s="313" t="s">
        <v>509</v>
      </c>
      <c r="AD295" s="313" t="s">
        <v>510</v>
      </c>
      <c r="AE295" s="313" t="s">
        <v>511</v>
      </c>
      <c r="AF295" s="313" t="s">
        <v>512</v>
      </c>
      <c r="AG295" s="313" t="s">
        <v>513</v>
      </c>
      <c r="AH295" s="313" t="s">
        <v>514</v>
      </c>
      <c r="AI295" s="313" t="s">
        <v>515</v>
      </c>
      <c r="AJ295" s="313" t="s">
        <v>516</v>
      </c>
      <c r="AK295" s="313" t="s">
        <v>517</v>
      </c>
      <c r="AL295" s="313" t="s">
        <v>518</v>
      </c>
      <c r="AM295" s="313" t="s">
        <v>520</v>
      </c>
      <c r="AN295" s="313" t="s">
        <v>521</v>
      </c>
      <c r="AO295" s="313" t="s">
        <v>522</v>
      </c>
      <c r="AP295" s="313" t="s">
        <v>402</v>
      </c>
      <c r="AQ295" s="313" t="s">
        <v>523</v>
      </c>
      <c r="AR295" s="313" t="s">
        <v>524</v>
      </c>
      <c r="AS295" s="313" t="s">
        <v>526</v>
      </c>
      <c r="AT295" s="313" t="s">
        <v>527</v>
      </c>
      <c r="AU295" s="313" t="s">
        <v>528</v>
      </c>
      <c r="AV295" s="313" t="s">
        <v>529</v>
      </c>
      <c r="AW295" s="313" t="s">
        <v>530</v>
      </c>
      <c r="AX295" s="313" t="s">
        <v>531</v>
      </c>
      <c r="AY295" s="313" t="s">
        <v>532</v>
      </c>
      <c r="AZ295" s="313" t="s">
        <v>403</v>
      </c>
      <c r="BA295" s="313" t="s">
        <v>404</v>
      </c>
      <c r="BB295" s="313" t="s">
        <v>405</v>
      </c>
      <c r="BC295" s="313" t="s">
        <v>406</v>
      </c>
      <c r="BD295" s="313" t="s">
        <v>407</v>
      </c>
      <c r="BE295" s="313" t="s">
        <v>408</v>
      </c>
      <c r="BF295" s="313" t="s">
        <v>409</v>
      </c>
      <c r="BG295" s="353"/>
    </row>
    <row r="296" spans="1:59">
      <c r="B296" s="358"/>
      <c r="C296" s="312" t="s">
        <v>472</v>
      </c>
      <c r="D296" s="312" t="s">
        <v>574</v>
      </c>
      <c r="E296" s="312" t="s">
        <v>473</v>
      </c>
      <c r="F296" s="326" t="s">
        <v>474</v>
      </c>
      <c r="G296" s="326" t="s">
        <v>474</v>
      </c>
      <c r="H296" s="326" t="s">
        <v>474</v>
      </c>
      <c r="I296" s="326" t="s">
        <v>474</v>
      </c>
      <c r="J296" s="326" t="s">
        <v>476</v>
      </c>
      <c r="K296" s="326" t="s">
        <v>474</v>
      </c>
      <c r="L296" s="326" t="s">
        <v>474</v>
      </c>
      <c r="M296" s="326" t="s">
        <v>575</v>
      </c>
      <c r="N296" s="326" t="s">
        <v>575</v>
      </c>
      <c r="O296" s="326" t="s">
        <v>473</v>
      </c>
      <c r="P296" s="326" t="s">
        <v>576</v>
      </c>
      <c r="Q296" s="326" t="s">
        <v>474</v>
      </c>
      <c r="R296" s="326" t="s">
        <v>481</v>
      </c>
      <c r="S296" s="326" t="s">
        <v>476</v>
      </c>
      <c r="T296" s="326" t="s">
        <v>481</v>
      </c>
      <c r="U296" s="326" t="s">
        <v>476</v>
      </c>
      <c r="V296" s="326" t="s">
        <v>476</v>
      </c>
      <c r="W296" s="326" t="s">
        <v>474</v>
      </c>
      <c r="X296" s="326" t="s">
        <v>577</v>
      </c>
      <c r="Y296" s="326" t="s">
        <v>577</v>
      </c>
      <c r="Z296" s="326" t="s">
        <v>478</v>
      </c>
      <c r="AA296" s="326" t="s">
        <v>576</v>
      </c>
      <c r="AB296" s="326" t="s">
        <v>576</v>
      </c>
      <c r="AC296" s="326" t="s">
        <v>476</v>
      </c>
      <c r="AD296" s="326" t="s">
        <v>480</v>
      </c>
      <c r="AE296" s="326" t="s">
        <v>481</v>
      </c>
      <c r="AF296" s="326" t="s">
        <v>481</v>
      </c>
      <c r="AG296" s="326" t="s">
        <v>578</v>
      </c>
      <c r="AH296" s="326" t="s">
        <v>578</v>
      </c>
      <c r="AI296" s="326" t="s">
        <v>481</v>
      </c>
      <c r="AJ296" s="326" t="s">
        <v>481</v>
      </c>
      <c r="AK296" s="326" t="s">
        <v>578</v>
      </c>
      <c r="AL296" s="326" t="s">
        <v>578</v>
      </c>
      <c r="AM296" s="326" t="s">
        <v>474</v>
      </c>
      <c r="AN296" s="326" t="s">
        <v>474</v>
      </c>
      <c r="AO296" s="326" t="s">
        <v>474</v>
      </c>
      <c r="AP296" s="326" t="s">
        <v>478</v>
      </c>
      <c r="AQ296" s="326" t="s">
        <v>473</v>
      </c>
      <c r="AR296" s="326" t="s">
        <v>474</v>
      </c>
      <c r="AS296" s="326" t="s">
        <v>476</v>
      </c>
      <c r="AT296" s="326" t="s">
        <v>474</v>
      </c>
      <c r="AU296" s="326" t="s">
        <v>579</v>
      </c>
      <c r="AV296" s="326" t="s">
        <v>481</v>
      </c>
      <c r="AW296" s="326" t="s">
        <v>478</v>
      </c>
      <c r="AX296" s="326" t="s">
        <v>474</v>
      </c>
      <c r="AY296" s="326" t="s">
        <v>474</v>
      </c>
      <c r="AZ296" s="326" t="s">
        <v>485</v>
      </c>
      <c r="BA296" s="326" t="s">
        <v>486</v>
      </c>
      <c r="BB296" s="326" t="s">
        <v>488</v>
      </c>
      <c r="BC296" s="326" t="s">
        <v>488</v>
      </c>
      <c r="BD296" s="326" t="s">
        <v>486</v>
      </c>
      <c r="BE296" s="326" t="s">
        <v>488</v>
      </c>
      <c r="BF296" s="326" t="s">
        <v>488</v>
      </c>
      <c r="BG296" s="353"/>
    </row>
    <row r="297" spans="1:59" ht="15">
      <c r="B297" s="315" t="s">
        <v>410</v>
      </c>
      <c r="C297" s="327" t="s">
        <v>437</v>
      </c>
      <c r="D297" s="338" t="s">
        <v>630</v>
      </c>
      <c r="E297" s="337" t="s">
        <v>630</v>
      </c>
      <c r="F297" s="328" t="s">
        <v>454</v>
      </c>
      <c r="G297" s="327" t="s">
        <v>411</v>
      </c>
      <c r="H297" s="327" t="s">
        <v>411</v>
      </c>
      <c r="I297" s="330">
        <v>1</v>
      </c>
      <c r="J297" s="331">
        <v>0</v>
      </c>
      <c r="K297" s="327" t="s">
        <v>439</v>
      </c>
      <c r="L297" s="327" t="s">
        <v>439</v>
      </c>
      <c r="M297" s="327" t="s">
        <v>156</v>
      </c>
      <c r="N297" s="327" t="s">
        <v>156</v>
      </c>
      <c r="O297" s="327" t="s">
        <v>156</v>
      </c>
      <c r="P297" s="327" t="s">
        <v>156</v>
      </c>
      <c r="Q297" s="329" t="s">
        <v>580</v>
      </c>
      <c r="R297" s="327" t="s">
        <v>411</v>
      </c>
      <c r="S297" s="327" t="s">
        <v>411</v>
      </c>
      <c r="T297" s="327" t="s">
        <v>581</v>
      </c>
      <c r="U297" s="327" t="s">
        <v>582</v>
      </c>
      <c r="V297" s="327" t="s">
        <v>183</v>
      </c>
      <c r="W297" s="327" t="s">
        <v>183</v>
      </c>
      <c r="X297" s="327" t="s">
        <v>411</v>
      </c>
      <c r="Y297" s="327" t="s">
        <v>411</v>
      </c>
      <c r="Z297" s="327"/>
      <c r="AA297" s="330"/>
      <c r="AB297" s="330" t="s">
        <v>156</v>
      </c>
      <c r="AC297" s="330">
        <v>1</v>
      </c>
      <c r="AD297" s="330">
        <v>99999999</v>
      </c>
      <c r="AE297" s="327" t="s">
        <v>411</v>
      </c>
      <c r="AF297" s="327" t="s">
        <v>411</v>
      </c>
      <c r="AG297" s="327" t="s">
        <v>411</v>
      </c>
      <c r="AH297" s="327" t="s">
        <v>411</v>
      </c>
      <c r="AI297" s="330">
        <v>0</v>
      </c>
      <c r="AJ297" s="330">
        <v>0</v>
      </c>
      <c r="AK297" s="330">
        <v>0</v>
      </c>
      <c r="AL297" s="330">
        <v>0</v>
      </c>
      <c r="AM297" s="327" t="s">
        <v>183</v>
      </c>
      <c r="AN297" s="330">
        <v>0</v>
      </c>
      <c r="AO297" s="327" t="s">
        <v>411</v>
      </c>
      <c r="AP297" s="330">
        <v>1</v>
      </c>
      <c r="AQ297" s="331" t="s">
        <v>156</v>
      </c>
      <c r="AR297" s="331" t="s">
        <v>583</v>
      </c>
      <c r="AS297" s="331">
        <v>0</v>
      </c>
      <c r="AT297" s="331">
        <v>1</v>
      </c>
      <c r="AU297" s="331">
        <v>0</v>
      </c>
      <c r="AV297" s="331">
        <v>0</v>
      </c>
      <c r="AW297" s="331">
        <v>0</v>
      </c>
      <c r="AX297" s="331">
        <v>0</v>
      </c>
      <c r="AY297" s="331">
        <v>1</v>
      </c>
      <c r="AZ297" s="331">
        <v>0</v>
      </c>
      <c r="BA297" s="332">
        <v>29705</v>
      </c>
      <c r="BB297" s="331" t="s">
        <v>445</v>
      </c>
      <c r="BC297" s="331" t="s">
        <v>445</v>
      </c>
      <c r="BD297" s="332">
        <v>36413</v>
      </c>
      <c r="BE297" s="331" t="s">
        <v>445</v>
      </c>
      <c r="BF297" s="331" t="s">
        <v>445</v>
      </c>
      <c r="BG297" s="353"/>
    </row>
    <row r="298" spans="1:59" ht="15">
      <c r="B298" s="317" t="s">
        <v>412</v>
      </c>
      <c r="C298" s="327" t="s">
        <v>437</v>
      </c>
      <c r="D298" s="338" t="s">
        <v>630</v>
      </c>
      <c r="E298" s="338" t="s">
        <v>182</v>
      </c>
      <c r="F298" s="328" t="s">
        <v>185</v>
      </c>
      <c r="G298" s="327" t="s">
        <v>411</v>
      </c>
      <c r="H298" s="327" t="s">
        <v>411</v>
      </c>
      <c r="I298" s="330">
        <v>0</v>
      </c>
      <c r="J298" s="331">
        <v>30</v>
      </c>
      <c r="K298" s="327" t="s">
        <v>439</v>
      </c>
      <c r="L298" s="327" t="s">
        <v>439</v>
      </c>
      <c r="M298" s="327" t="s">
        <v>156</v>
      </c>
      <c r="N298" s="327" t="s">
        <v>156</v>
      </c>
      <c r="O298" s="327" t="s">
        <v>584</v>
      </c>
      <c r="P298" s="327" t="s">
        <v>156</v>
      </c>
      <c r="Q298" s="329" t="s">
        <v>585</v>
      </c>
      <c r="R298" s="327" t="s">
        <v>183</v>
      </c>
      <c r="S298" s="327" t="s">
        <v>411</v>
      </c>
      <c r="T298" s="327" t="s">
        <v>581</v>
      </c>
      <c r="U298" s="327" t="s">
        <v>582</v>
      </c>
      <c r="V298" s="327" t="s">
        <v>586</v>
      </c>
      <c r="W298" s="327" t="s">
        <v>183</v>
      </c>
      <c r="X298" s="327" t="s">
        <v>411</v>
      </c>
      <c r="Y298" s="327" t="s">
        <v>411</v>
      </c>
      <c r="Z298" s="327"/>
      <c r="AA298" s="330"/>
      <c r="AB298" s="330" t="s">
        <v>587</v>
      </c>
      <c r="AC298" s="333">
        <v>5000</v>
      </c>
      <c r="AD298" s="330">
        <v>99999999</v>
      </c>
      <c r="AE298" s="327" t="s">
        <v>411</v>
      </c>
      <c r="AF298" s="327" t="s">
        <v>439</v>
      </c>
      <c r="AG298" s="327" t="s">
        <v>411</v>
      </c>
      <c r="AH298" s="327" t="s">
        <v>411</v>
      </c>
      <c r="AI298" s="330">
        <v>0</v>
      </c>
      <c r="AJ298" s="330">
        <v>0</v>
      </c>
      <c r="AK298" s="330">
        <v>0</v>
      </c>
      <c r="AL298" s="330">
        <v>0</v>
      </c>
      <c r="AM298" s="327" t="s">
        <v>183</v>
      </c>
      <c r="AN298" s="330">
        <v>0</v>
      </c>
      <c r="AO298" s="327" t="s">
        <v>411</v>
      </c>
      <c r="AP298" s="330">
        <v>1</v>
      </c>
      <c r="AQ298" s="331">
        <v>1111</v>
      </c>
      <c r="AR298" s="331" t="s">
        <v>583</v>
      </c>
      <c r="AS298" s="331">
        <v>10</v>
      </c>
      <c r="AT298" s="331">
        <v>1</v>
      </c>
      <c r="AU298" s="331">
        <v>0</v>
      </c>
      <c r="AV298" s="331">
        <v>0</v>
      </c>
      <c r="AW298" s="331">
        <v>0</v>
      </c>
      <c r="AX298" s="331">
        <v>0</v>
      </c>
      <c r="AY298" s="331">
        <v>1</v>
      </c>
      <c r="AZ298" s="331">
        <v>0</v>
      </c>
      <c r="BA298" s="332">
        <v>40640.750486111108</v>
      </c>
      <c r="BB298" s="331">
        <v>470195</v>
      </c>
      <c r="BC298" s="331">
        <v>470195</v>
      </c>
      <c r="BD298" s="332">
        <v>45392.67769675926</v>
      </c>
      <c r="BE298" s="331">
        <v>363363</v>
      </c>
      <c r="BF298" s="331">
        <v>363363</v>
      </c>
      <c r="BG298" s="353"/>
    </row>
    <row r="299" spans="1:59" ht="15">
      <c r="B299" s="315" t="s">
        <v>410</v>
      </c>
      <c r="C299" s="327" t="s">
        <v>437</v>
      </c>
      <c r="D299" s="337" t="s">
        <v>629</v>
      </c>
      <c r="E299" s="338" t="s">
        <v>182</v>
      </c>
      <c r="F299" s="334" t="s">
        <v>454</v>
      </c>
      <c r="G299" s="327" t="s">
        <v>411</v>
      </c>
      <c r="H299" s="327" t="s">
        <v>411</v>
      </c>
      <c r="I299" s="330">
        <v>1</v>
      </c>
      <c r="J299" s="331">
        <v>0</v>
      </c>
      <c r="K299" s="327" t="s">
        <v>183</v>
      </c>
      <c r="L299" s="420" t="s">
        <v>600</v>
      </c>
      <c r="M299" s="327" t="s">
        <v>156</v>
      </c>
      <c r="N299" s="327" t="s">
        <v>156</v>
      </c>
      <c r="O299" s="327" t="s">
        <v>156</v>
      </c>
      <c r="P299" s="327" t="s">
        <v>156</v>
      </c>
      <c r="Q299" s="329" t="s">
        <v>580</v>
      </c>
      <c r="R299" s="327" t="s">
        <v>411</v>
      </c>
      <c r="S299" s="327" t="s">
        <v>411</v>
      </c>
      <c r="T299" s="327" t="s">
        <v>581</v>
      </c>
      <c r="U299" s="327" t="s">
        <v>582</v>
      </c>
      <c r="V299" s="327" t="s">
        <v>183</v>
      </c>
      <c r="W299" s="327" t="s">
        <v>183</v>
      </c>
      <c r="X299" s="327" t="s">
        <v>411</v>
      </c>
      <c r="Y299" s="327" t="s">
        <v>411</v>
      </c>
      <c r="Z299" s="327" t="s">
        <v>156</v>
      </c>
      <c r="AA299" s="330" t="s">
        <v>156</v>
      </c>
      <c r="AB299" s="330" t="s">
        <v>156</v>
      </c>
      <c r="AC299" s="330">
        <v>1</v>
      </c>
      <c r="AD299" s="330">
        <v>99999999</v>
      </c>
      <c r="AE299" s="327" t="s">
        <v>411</v>
      </c>
      <c r="AF299" s="327" t="s">
        <v>411</v>
      </c>
      <c r="AG299" s="327" t="s">
        <v>411</v>
      </c>
      <c r="AH299" s="327" t="s">
        <v>411</v>
      </c>
      <c r="AI299" s="330">
        <v>0</v>
      </c>
      <c r="AJ299" s="330">
        <v>0</v>
      </c>
      <c r="AK299" s="330">
        <v>0</v>
      </c>
      <c r="AL299" s="330">
        <v>0</v>
      </c>
      <c r="AM299" s="327" t="s">
        <v>183</v>
      </c>
      <c r="AN299" s="330">
        <v>0</v>
      </c>
      <c r="AO299" s="327" t="s">
        <v>411</v>
      </c>
      <c r="AP299" s="330">
        <v>1</v>
      </c>
      <c r="AQ299" s="331" t="s">
        <v>156</v>
      </c>
      <c r="AR299" s="331" t="s">
        <v>583</v>
      </c>
      <c r="AS299" s="331">
        <v>0</v>
      </c>
      <c r="AT299" s="331">
        <v>1</v>
      </c>
      <c r="AU299" s="331">
        <v>0</v>
      </c>
      <c r="AV299" s="331">
        <v>0</v>
      </c>
      <c r="AW299" s="331">
        <v>0</v>
      </c>
      <c r="AX299" s="331">
        <v>0</v>
      </c>
      <c r="AY299" s="331">
        <v>1</v>
      </c>
      <c r="AZ299" s="331">
        <v>0</v>
      </c>
      <c r="BA299" s="332">
        <v>29705</v>
      </c>
      <c r="BB299" s="331" t="s">
        <v>445</v>
      </c>
      <c r="BC299" s="331" t="s">
        <v>445</v>
      </c>
      <c r="BD299" s="332">
        <v>36413</v>
      </c>
      <c r="BE299" s="331" t="s">
        <v>445</v>
      </c>
      <c r="BF299" s="331" t="s">
        <v>445</v>
      </c>
      <c r="BG299" s="353"/>
    </row>
    <row r="300" spans="1:59" ht="14">
      <c r="B300" s="315" t="s">
        <v>410</v>
      </c>
      <c r="C300" s="327" t="s">
        <v>437</v>
      </c>
      <c r="D300" s="337" t="s">
        <v>182</v>
      </c>
      <c r="E300" s="327" t="s">
        <v>453</v>
      </c>
      <c r="F300" s="327" t="s">
        <v>185</v>
      </c>
      <c r="G300" s="327" t="s">
        <v>411</v>
      </c>
      <c r="H300" s="327" t="s">
        <v>411</v>
      </c>
      <c r="I300" s="327">
        <v>0</v>
      </c>
      <c r="J300" s="327">
        <v>30</v>
      </c>
      <c r="K300" s="327" t="s">
        <v>611</v>
      </c>
      <c r="L300" s="420" t="s">
        <v>600</v>
      </c>
      <c r="M300" s="327" t="s">
        <v>156</v>
      </c>
      <c r="N300" s="327" t="s">
        <v>156</v>
      </c>
      <c r="O300" s="327" t="s">
        <v>584</v>
      </c>
      <c r="P300" s="327" t="s">
        <v>156</v>
      </c>
      <c r="Q300" s="327" t="s">
        <v>585</v>
      </c>
      <c r="R300" s="327" t="s">
        <v>183</v>
      </c>
      <c r="S300" s="327" t="s">
        <v>411</v>
      </c>
      <c r="T300" s="327" t="s">
        <v>581</v>
      </c>
      <c r="U300" s="327" t="s">
        <v>582</v>
      </c>
      <c r="V300" s="327" t="s">
        <v>586</v>
      </c>
      <c r="W300" s="327" t="s">
        <v>183</v>
      </c>
      <c r="X300" s="327" t="s">
        <v>411</v>
      </c>
      <c r="Y300" s="327" t="s">
        <v>411</v>
      </c>
      <c r="Z300" s="327"/>
      <c r="AA300" s="327"/>
      <c r="AB300" s="327" t="s">
        <v>587</v>
      </c>
      <c r="AC300" s="327">
        <v>5000</v>
      </c>
      <c r="AD300" s="327">
        <v>99999999</v>
      </c>
      <c r="AE300" s="327" t="s">
        <v>411</v>
      </c>
      <c r="AF300" s="327" t="s">
        <v>439</v>
      </c>
      <c r="AG300" s="327" t="s">
        <v>411</v>
      </c>
      <c r="AH300" s="327" t="s">
        <v>411</v>
      </c>
      <c r="AI300" s="327">
        <v>0</v>
      </c>
      <c r="AJ300" s="327">
        <v>0</v>
      </c>
      <c r="AK300" s="327">
        <v>0</v>
      </c>
      <c r="AL300" s="327">
        <v>0</v>
      </c>
      <c r="AM300" s="327" t="s">
        <v>183</v>
      </c>
      <c r="AN300" s="327">
        <v>0</v>
      </c>
      <c r="AO300" s="327" t="s">
        <v>411</v>
      </c>
      <c r="AP300" s="327">
        <v>1</v>
      </c>
      <c r="AQ300" s="327">
        <v>1111</v>
      </c>
      <c r="AR300" s="327" t="s">
        <v>583</v>
      </c>
      <c r="AS300" s="327">
        <v>10</v>
      </c>
      <c r="AT300" s="327">
        <v>1</v>
      </c>
      <c r="AU300" s="327">
        <v>0</v>
      </c>
      <c r="AV300" s="327">
        <v>0</v>
      </c>
      <c r="AW300" s="327">
        <v>0</v>
      </c>
      <c r="AX300" s="327">
        <v>0</v>
      </c>
      <c r="AY300" s="327">
        <v>1</v>
      </c>
      <c r="AZ300" s="327">
        <v>0</v>
      </c>
      <c r="BA300" s="327">
        <v>40640.750486111108</v>
      </c>
      <c r="BB300" s="327">
        <v>470195</v>
      </c>
      <c r="BC300" s="327">
        <v>470195</v>
      </c>
      <c r="BD300" s="327">
        <v>45392.67769675926</v>
      </c>
      <c r="BE300" s="327">
        <v>363363</v>
      </c>
      <c r="BF300" s="327">
        <v>363363</v>
      </c>
      <c r="BG300" s="353"/>
    </row>
    <row r="301" spans="1:59" ht="14">
      <c r="B301" s="358"/>
      <c r="C301" s="359"/>
      <c r="D301" s="359"/>
      <c r="E301" s="359"/>
      <c r="F301" s="359"/>
      <c r="G301" s="359"/>
      <c r="H301" s="359"/>
      <c r="I301" s="359"/>
      <c r="J301" s="359"/>
      <c r="M301" s="359"/>
      <c r="N301" s="359"/>
      <c r="O301" s="359"/>
      <c r="BG301" s="353"/>
    </row>
    <row r="302" spans="1:59" ht="14">
      <c r="B302" s="358"/>
      <c r="C302" s="359" t="s">
        <v>153</v>
      </c>
      <c r="D302" s="359"/>
      <c r="E302" s="359"/>
      <c r="F302" s="359"/>
      <c r="G302" s="359"/>
      <c r="H302" s="359"/>
      <c r="I302" s="359"/>
      <c r="J302" s="359"/>
      <c r="M302" s="359"/>
      <c r="N302" s="359"/>
      <c r="O302" s="359"/>
      <c r="BG302" s="353"/>
    </row>
    <row r="303" spans="1:59" ht="14">
      <c r="B303" s="358"/>
      <c r="C303" s="359" t="s">
        <v>590</v>
      </c>
      <c r="D303" s="359" t="s">
        <v>591</v>
      </c>
      <c r="E303" s="359" t="s">
        <v>159</v>
      </c>
      <c r="F303" s="359" t="s">
        <v>592</v>
      </c>
      <c r="G303" s="359" t="s">
        <v>593</v>
      </c>
      <c r="H303" s="359" t="s">
        <v>594</v>
      </c>
      <c r="I303" s="359" t="s">
        <v>595</v>
      </c>
      <c r="J303" s="359" t="s">
        <v>596</v>
      </c>
      <c r="K303" s="359" t="s">
        <v>597</v>
      </c>
      <c r="L303" s="359" t="s">
        <v>598</v>
      </c>
      <c r="M303" s="359" t="s">
        <v>599</v>
      </c>
      <c r="BG303" s="353"/>
    </row>
    <row r="304" spans="1:59" ht="14">
      <c r="B304" s="358"/>
      <c r="C304" s="359">
        <v>0</v>
      </c>
      <c r="D304" s="359">
        <v>0</v>
      </c>
      <c r="E304" s="359">
        <v>0</v>
      </c>
      <c r="F304" s="359" t="s">
        <v>600</v>
      </c>
      <c r="G304" s="359" t="s">
        <v>600</v>
      </c>
      <c r="H304" s="359">
        <v>1</v>
      </c>
      <c r="I304" s="359">
        <v>4</v>
      </c>
      <c r="J304" s="359">
        <v>5</v>
      </c>
      <c r="K304" s="359">
        <v>0</v>
      </c>
      <c r="L304" s="359">
        <v>30</v>
      </c>
      <c r="M304" s="359">
        <v>0</v>
      </c>
      <c r="BG304" s="353"/>
    </row>
    <row r="305" spans="1:59" ht="14.5" thickBot="1">
      <c r="B305" s="358"/>
      <c r="C305" s="359"/>
      <c r="D305" s="359"/>
      <c r="E305" s="359"/>
      <c r="F305" s="359"/>
      <c r="G305" s="359"/>
      <c r="H305" s="359"/>
      <c r="I305" s="359"/>
      <c r="J305" s="359"/>
      <c r="M305" s="359"/>
      <c r="N305" s="359"/>
      <c r="O305" s="359"/>
      <c r="BG305" s="353"/>
    </row>
    <row r="306" spans="1:59" ht="14" thickBot="1">
      <c r="B306" s="299" t="s">
        <v>690</v>
      </c>
      <c r="C306" s="300" t="s">
        <v>689</v>
      </c>
      <c r="D306" s="300"/>
      <c r="E306" s="300"/>
      <c r="F306" s="300"/>
      <c r="G306" s="300"/>
      <c r="H306" s="300"/>
      <c r="I306" s="300"/>
      <c r="J306" s="300"/>
      <c r="K306" s="300"/>
      <c r="L306" s="300"/>
      <c r="M306" s="300"/>
      <c r="N306" s="300"/>
      <c r="O306" s="300"/>
      <c r="P306" s="300"/>
      <c r="Q306" s="300"/>
      <c r="R306" s="300"/>
      <c r="S306" s="300"/>
      <c r="T306" s="300"/>
      <c r="U306" s="300"/>
      <c r="V306" s="300"/>
      <c r="W306" s="300"/>
      <c r="X306" s="300"/>
      <c r="Y306" s="300"/>
      <c r="Z306" s="300"/>
      <c r="AA306" s="300"/>
      <c r="AB306" s="300"/>
      <c r="AC306" s="300"/>
      <c r="AD306" s="300"/>
      <c r="AE306" s="300"/>
      <c r="AF306" s="300"/>
      <c r="AG306" s="300"/>
      <c r="AH306" s="300"/>
      <c r="AI306" s="300"/>
      <c r="AJ306" s="300"/>
      <c r="AK306" s="300"/>
      <c r="AL306" s="300"/>
      <c r="AM306" s="300"/>
      <c r="AN306" s="300"/>
      <c r="AO306" s="300"/>
      <c r="AP306" s="300"/>
      <c r="AQ306" s="300"/>
      <c r="AR306" s="300"/>
      <c r="AS306" s="300"/>
      <c r="AT306" s="300"/>
      <c r="AU306" s="300"/>
      <c r="AV306" s="300"/>
      <c r="AW306" s="300"/>
      <c r="AX306" s="300"/>
      <c r="AY306" s="300"/>
      <c r="AZ306" s="300"/>
      <c r="BA306" s="300"/>
      <c r="BB306" s="300"/>
      <c r="BC306" s="300"/>
      <c r="BD306" s="300"/>
      <c r="BE306" s="300"/>
      <c r="BF306" s="300"/>
      <c r="BG306" s="353"/>
    </row>
    <row r="307" spans="1:59" ht="14" thickBot="1">
      <c r="B307" s="335" t="s">
        <v>601</v>
      </c>
      <c r="C307" s="300" t="s">
        <v>395</v>
      </c>
      <c r="D307" s="300"/>
      <c r="E307" s="300"/>
      <c r="F307" s="300"/>
      <c r="G307" s="300"/>
      <c r="H307" s="300"/>
      <c r="I307" s="300"/>
      <c r="J307" s="300"/>
      <c r="K307" s="300"/>
      <c r="L307" s="300"/>
      <c r="M307" s="300"/>
      <c r="N307" s="300"/>
      <c r="O307" s="300"/>
      <c r="P307" s="300"/>
      <c r="Q307" s="300"/>
      <c r="R307" s="300"/>
      <c r="S307" s="300"/>
      <c r="T307" s="300"/>
      <c r="U307" s="300"/>
      <c r="V307" s="300"/>
      <c r="W307" s="300"/>
      <c r="X307" s="300"/>
      <c r="Y307" s="300"/>
      <c r="Z307" s="300"/>
      <c r="AA307" s="300"/>
      <c r="AB307" s="300"/>
      <c r="AC307" s="300"/>
      <c r="AD307" s="300"/>
      <c r="AE307" s="300"/>
      <c r="AF307" s="300"/>
      <c r="AG307" s="300"/>
      <c r="AH307" s="300"/>
      <c r="AI307" s="300"/>
      <c r="AJ307" s="300"/>
      <c r="AK307" s="300"/>
      <c r="AL307" s="300"/>
      <c r="AM307" s="300"/>
      <c r="AN307" s="300"/>
      <c r="AO307" s="300"/>
      <c r="AP307" s="300"/>
      <c r="AQ307" s="300"/>
      <c r="AR307" s="300"/>
      <c r="AS307" s="300"/>
      <c r="AT307" s="300"/>
      <c r="AU307" s="300"/>
      <c r="AV307" s="300"/>
      <c r="AW307" s="300"/>
      <c r="AX307" s="300"/>
      <c r="AY307" s="300"/>
      <c r="AZ307" s="300"/>
      <c r="BA307" s="300"/>
      <c r="BB307" s="300"/>
      <c r="BC307" s="300"/>
      <c r="BD307" s="300"/>
      <c r="BE307" s="300"/>
      <c r="BF307" s="300"/>
      <c r="BG307" s="353"/>
    </row>
    <row r="308" spans="1:59" ht="14">
      <c r="B308" s="358"/>
      <c r="C308" s="359"/>
      <c r="D308" s="359"/>
      <c r="E308" s="359"/>
      <c r="F308" s="359"/>
      <c r="G308" s="359"/>
      <c r="H308" s="359"/>
      <c r="I308" s="359"/>
      <c r="J308" s="359"/>
      <c r="M308" s="359"/>
      <c r="N308" s="359"/>
      <c r="O308" s="359"/>
      <c r="BG308" s="353"/>
    </row>
    <row r="309" spans="1:59" ht="14">
      <c r="B309" s="358"/>
      <c r="C309" s="356" t="s">
        <v>396</v>
      </c>
      <c r="D309" s="359"/>
      <c r="E309" s="359"/>
      <c r="F309" s="359"/>
      <c r="G309" s="359"/>
      <c r="H309" s="359"/>
      <c r="I309" s="359"/>
      <c r="J309" s="359"/>
      <c r="M309" s="359"/>
      <c r="N309" s="359"/>
      <c r="O309" s="359"/>
      <c r="BG309" s="353"/>
    </row>
    <row r="310" spans="1:59" ht="14">
      <c r="B310" s="358"/>
      <c r="C310" s="356" t="s">
        <v>691</v>
      </c>
      <c r="D310" s="359"/>
      <c r="E310" s="359"/>
      <c r="F310" s="359"/>
      <c r="G310" s="359"/>
      <c r="H310" s="359"/>
      <c r="I310" s="359"/>
      <c r="J310" s="359"/>
      <c r="M310" s="359"/>
      <c r="N310" s="359"/>
      <c r="O310" s="359"/>
      <c r="BG310" s="353"/>
    </row>
    <row r="311" spans="1:59" ht="14">
      <c r="B311" s="358"/>
      <c r="C311" s="359"/>
      <c r="D311" s="359"/>
      <c r="E311" s="359"/>
      <c r="F311" s="359"/>
      <c r="G311" s="359"/>
      <c r="H311" s="359"/>
      <c r="I311" s="359"/>
      <c r="J311" s="359"/>
      <c r="M311" s="359"/>
      <c r="N311" s="359"/>
      <c r="O311" s="359"/>
      <c r="BG311" s="353"/>
    </row>
    <row r="312" spans="1:59" s="27" customFormat="1" ht="19.5" customHeight="1">
      <c r="B312" s="362"/>
      <c r="C312" s="320" t="s">
        <v>436</v>
      </c>
      <c r="D312" s="321"/>
      <c r="E312" s="321"/>
      <c r="F312" s="291"/>
      <c r="G312" s="291"/>
      <c r="H312" s="291"/>
      <c r="I312" s="291"/>
      <c r="J312" s="291"/>
      <c r="K312" s="291"/>
      <c r="L312" s="291"/>
      <c r="M312" s="291"/>
      <c r="N312" s="291"/>
      <c r="O312" s="291"/>
      <c r="P312" s="291"/>
      <c r="Q312" s="291"/>
      <c r="R312" s="291"/>
      <c r="S312" s="291"/>
      <c r="T312" s="291"/>
      <c r="U312" s="291"/>
      <c r="V312" s="291"/>
      <c r="W312" s="291"/>
      <c r="X312" s="292"/>
      <c r="Y312" s="68"/>
      <c r="Z312" s="68"/>
      <c r="AA312" s="68"/>
      <c r="AB312" s="68"/>
      <c r="AC312" s="68"/>
      <c r="AD312" s="306"/>
      <c r="AH312" s="303"/>
      <c r="AJ312" s="69"/>
      <c r="AK312" s="69"/>
      <c r="AL312" s="69"/>
      <c r="AM312" s="69"/>
      <c r="AN312" s="70"/>
      <c r="AO312" s="70"/>
      <c r="AP312" s="70"/>
      <c r="BG312" s="122"/>
    </row>
    <row r="313" spans="1:59" s="72" customFormat="1" ht="16.5" customHeight="1">
      <c r="A313" s="293"/>
      <c r="B313" s="363"/>
      <c r="C313" s="322"/>
      <c r="D313" s="322"/>
      <c r="E313" s="322"/>
      <c r="F313" s="319" t="s">
        <v>169</v>
      </c>
      <c r="G313" s="319" t="s">
        <v>169</v>
      </c>
      <c r="H313" s="319" t="s">
        <v>169</v>
      </c>
      <c r="I313" s="319"/>
      <c r="J313" s="319"/>
      <c r="K313" s="319"/>
      <c r="L313" s="319"/>
      <c r="M313" s="319"/>
      <c r="N313" s="319"/>
      <c r="O313" s="319"/>
      <c r="P313" s="319"/>
      <c r="Q313" s="319"/>
      <c r="R313" s="319"/>
      <c r="S313" s="319"/>
      <c r="T313" s="319"/>
      <c r="U313" s="319"/>
      <c r="V313" s="319"/>
      <c r="W313" s="319"/>
      <c r="X313" s="319"/>
      <c r="Y313" s="319"/>
      <c r="Z313" s="319"/>
      <c r="AA313" s="319"/>
      <c r="AB313" s="319"/>
      <c r="AC313" s="319"/>
      <c r="AD313" s="319"/>
      <c r="AH313" s="304"/>
      <c r="AI313" s="71"/>
      <c r="AJ313" s="71"/>
      <c r="AK313" s="71"/>
      <c r="AL313" s="71"/>
      <c r="AM313" s="71"/>
      <c r="BG313" s="364"/>
    </row>
    <row r="314" spans="1:59" s="78" customFormat="1" ht="92" customHeight="1">
      <c r="A314" s="73"/>
      <c r="B314" s="365"/>
      <c r="C314" s="312" t="s">
        <v>172</v>
      </c>
      <c r="D314" s="312" t="s">
        <v>173</v>
      </c>
      <c r="E314" s="312" t="s">
        <v>174</v>
      </c>
      <c r="F314" s="314" t="s">
        <v>91</v>
      </c>
      <c r="G314" s="314" t="s">
        <v>67</v>
      </c>
      <c r="H314" s="314" t="s">
        <v>69</v>
      </c>
      <c r="I314" s="314" t="s">
        <v>457</v>
      </c>
      <c r="J314" s="314" t="s">
        <v>458</v>
      </c>
      <c r="K314" s="314" t="s">
        <v>459</v>
      </c>
      <c r="L314" s="314" t="s">
        <v>460</v>
      </c>
      <c r="M314" s="314" t="s">
        <v>461</v>
      </c>
      <c r="N314" s="314" t="s">
        <v>462</v>
      </c>
      <c r="O314" s="314" t="s">
        <v>463</v>
      </c>
      <c r="P314" s="314" t="s">
        <v>464</v>
      </c>
      <c r="Q314" s="314" t="s">
        <v>465</v>
      </c>
      <c r="R314" s="314" t="s">
        <v>466</v>
      </c>
      <c r="S314" s="314" t="s">
        <v>467</v>
      </c>
      <c r="T314" s="314" t="s">
        <v>468</v>
      </c>
      <c r="U314" s="314" t="s">
        <v>469</v>
      </c>
      <c r="V314" s="314" t="s">
        <v>470</v>
      </c>
      <c r="W314" s="314" t="s">
        <v>471</v>
      </c>
      <c r="X314" s="314" t="s">
        <v>397</v>
      </c>
      <c r="Y314" s="314" t="s">
        <v>398</v>
      </c>
      <c r="Z314" s="314" t="s">
        <v>399</v>
      </c>
      <c r="AA314" s="314" t="s">
        <v>400</v>
      </c>
      <c r="AB314" s="314" t="s">
        <v>151</v>
      </c>
      <c r="AC314" s="314" t="s">
        <v>152</v>
      </c>
      <c r="AD314" s="314" t="s">
        <v>401</v>
      </c>
      <c r="AH314" s="305"/>
      <c r="AI314" s="69"/>
      <c r="AJ314" s="76"/>
      <c r="AK314" s="76"/>
      <c r="AL314" s="76"/>
      <c r="AM314" s="76"/>
      <c r="AN314" s="77"/>
      <c r="AO314" s="77"/>
      <c r="AP314" s="77"/>
      <c r="BG314" s="366"/>
    </row>
    <row r="315" spans="1:59" s="78" customFormat="1" ht="15">
      <c r="A315" s="73"/>
      <c r="B315" s="365"/>
      <c r="C315" s="312" t="s">
        <v>371</v>
      </c>
      <c r="D315" s="312" t="s">
        <v>381</v>
      </c>
      <c r="E315" s="312" t="s">
        <v>390</v>
      </c>
      <c r="F315" s="313" t="s">
        <v>418</v>
      </c>
      <c r="G315" s="313" t="s">
        <v>419</v>
      </c>
      <c r="H315" s="313" t="s">
        <v>421</v>
      </c>
      <c r="I315" s="313" t="s">
        <v>420</v>
      </c>
      <c r="J315" s="313" t="s">
        <v>422</v>
      </c>
      <c r="K315" s="313" t="s">
        <v>423</v>
      </c>
      <c r="L315" s="313" t="s">
        <v>424</v>
      </c>
      <c r="M315" s="313" t="s">
        <v>425</v>
      </c>
      <c r="N315" s="313" t="s">
        <v>426</v>
      </c>
      <c r="O315" s="313" t="s">
        <v>427</v>
      </c>
      <c r="P315" s="313" t="s">
        <v>428</v>
      </c>
      <c r="Q315" s="313" t="s">
        <v>429</v>
      </c>
      <c r="R315" s="313" t="s">
        <v>430</v>
      </c>
      <c r="S315" s="313" t="s">
        <v>431</v>
      </c>
      <c r="T315" s="313" t="s">
        <v>432</v>
      </c>
      <c r="U315" s="313" t="s">
        <v>433</v>
      </c>
      <c r="V315" s="313" t="s">
        <v>434</v>
      </c>
      <c r="W315" s="313" t="s">
        <v>435</v>
      </c>
      <c r="X315" s="313" t="s">
        <v>403</v>
      </c>
      <c r="Y315" s="313" t="s">
        <v>404</v>
      </c>
      <c r="Z315" s="313" t="s">
        <v>405</v>
      </c>
      <c r="AA315" s="313" t="s">
        <v>406</v>
      </c>
      <c r="AB315" s="313" t="s">
        <v>407</v>
      </c>
      <c r="AC315" s="313" t="s">
        <v>408</v>
      </c>
      <c r="AD315" s="313" t="s">
        <v>409</v>
      </c>
      <c r="AH315" s="305"/>
      <c r="AI315" s="69"/>
      <c r="AJ315" s="76"/>
      <c r="AK315" s="76"/>
      <c r="AL315" s="76"/>
      <c r="AM315" s="76"/>
      <c r="AN315" s="77"/>
      <c r="AO315" s="77"/>
      <c r="AP315" s="77"/>
      <c r="BG315" s="366"/>
    </row>
    <row r="316" spans="1:59" s="70" customFormat="1" ht="13.5" customHeight="1">
      <c r="A316" s="79"/>
      <c r="B316" s="367"/>
      <c r="C316" s="312" t="s">
        <v>472</v>
      </c>
      <c r="D316" s="312" t="s">
        <v>473</v>
      </c>
      <c r="E316" s="312" t="s">
        <v>473</v>
      </c>
      <c r="F316" s="314" t="s">
        <v>474</v>
      </c>
      <c r="G316" s="314" t="s">
        <v>474</v>
      </c>
      <c r="H316" s="314" t="s">
        <v>475</v>
      </c>
      <c r="I316" s="314" t="s">
        <v>474</v>
      </c>
      <c r="J316" s="314" t="s">
        <v>476</v>
      </c>
      <c r="K316" s="314" t="s">
        <v>477</v>
      </c>
      <c r="L316" s="313" t="s">
        <v>478</v>
      </c>
      <c r="M316" s="314" t="s">
        <v>478</v>
      </c>
      <c r="N316" s="314" t="s">
        <v>479</v>
      </c>
      <c r="O316" s="314" t="s">
        <v>474</v>
      </c>
      <c r="P316" s="314" t="s">
        <v>480</v>
      </c>
      <c r="Q316" s="314" t="s">
        <v>481</v>
      </c>
      <c r="R316" s="314" t="s">
        <v>480</v>
      </c>
      <c r="S316" s="314" t="s">
        <v>482</v>
      </c>
      <c r="T316" s="313" t="s">
        <v>483</v>
      </c>
      <c r="U316" s="314" t="s">
        <v>483</v>
      </c>
      <c r="V316" s="314" t="s">
        <v>484</v>
      </c>
      <c r="W316" s="314" t="s">
        <v>474</v>
      </c>
      <c r="X316" s="314" t="s">
        <v>485</v>
      </c>
      <c r="Y316" s="314" t="s">
        <v>487</v>
      </c>
      <c r="Z316" s="314" t="s">
        <v>488</v>
      </c>
      <c r="AA316" s="314" t="s">
        <v>488</v>
      </c>
      <c r="AB316" s="313" t="s">
        <v>486</v>
      </c>
      <c r="AC316" s="314" t="s">
        <v>488</v>
      </c>
      <c r="AD316" s="314" t="s">
        <v>488</v>
      </c>
      <c r="AH316" s="303"/>
      <c r="AI316" s="69"/>
      <c r="AJ316" s="69"/>
      <c r="AK316" s="69"/>
      <c r="AL316" s="69"/>
      <c r="AM316" s="69"/>
      <c r="BG316" s="368"/>
    </row>
    <row r="317" spans="1:59" s="27" customFormat="1" ht="13.5" customHeight="1">
      <c r="A317" s="82"/>
      <c r="B317" s="315" t="s">
        <v>410</v>
      </c>
      <c r="C317" s="316" t="s">
        <v>437</v>
      </c>
      <c r="D317" s="313" t="s">
        <v>438</v>
      </c>
      <c r="E317" s="337" t="s">
        <v>630</v>
      </c>
      <c r="F317" s="314" t="s">
        <v>183</v>
      </c>
      <c r="G317" s="314" t="s">
        <v>439</v>
      </c>
      <c r="H317" s="314" t="s">
        <v>184</v>
      </c>
      <c r="I317" s="314" t="s">
        <v>439</v>
      </c>
      <c r="J317" s="314" t="s">
        <v>440</v>
      </c>
      <c r="K317" s="314" t="s">
        <v>411</v>
      </c>
      <c r="L317" s="313" t="s">
        <v>156</v>
      </c>
      <c r="M317" s="314" t="s">
        <v>441</v>
      </c>
      <c r="N317" s="314"/>
      <c r="O317" s="314" t="s">
        <v>183</v>
      </c>
      <c r="P317" s="314" t="s">
        <v>156</v>
      </c>
      <c r="Q317" s="314" t="s">
        <v>442</v>
      </c>
      <c r="R317" s="314" t="s">
        <v>443</v>
      </c>
      <c r="S317" s="314"/>
      <c r="T317" s="313" t="s">
        <v>156</v>
      </c>
      <c r="U317" s="314" t="s">
        <v>156</v>
      </c>
      <c r="V317" s="314" t="s">
        <v>156</v>
      </c>
      <c r="W317" s="314"/>
      <c r="X317" s="314" t="s">
        <v>411</v>
      </c>
      <c r="Y317" s="314" t="s">
        <v>444</v>
      </c>
      <c r="Z317" s="314" t="s">
        <v>445</v>
      </c>
      <c r="AA317" s="314" t="s">
        <v>445</v>
      </c>
      <c r="AB317" s="313" t="s">
        <v>446</v>
      </c>
      <c r="AC317" s="314" t="s">
        <v>447</v>
      </c>
      <c r="AD317" s="314" t="s">
        <v>447</v>
      </c>
      <c r="AH317" s="303"/>
      <c r="AI317" s="69"/>
      <c r="AJ317" s="69"/>
      <c r="AK317" s="85"/>
      <c r="AL317" s="69"/>
      <c r="AM317" s="69"/>
      <c r="AN317" s="70"/>
      <c r="AO317" s="70"/>
      <c r="AP317" s="70"/>
      <c r="BG317" s="122"/>
    </row>
    <row r="318" spans="1:59" s="27" customFormat="1" ht="13.5" customHeight="1">
      <c r="A318" s="86"/>
      <c r="B318" s="317" t="s">
        <v>412</v>
      </c>
      <c r="C318" s="316" t="s">
        <v>437</v>
      </c>
      <c r="D318" s="313" t="s">
        <v>438</v>
      </c>
      <c r="E318" s="314" t="s">
        <v>182</v>
      </c>
      <c r="F318" s="314" t="s">
        <v>183</v>
      </c>
      <c r="G318" s="327" t="s">
        <v>439</v>
      </c>
      <c r="H318" s="314" t="s">
        <v>184</v>
      </c>
      <c r="I318" s="327" t="s">
        <v>439</v>
      </c>
      <c r="J318" s="314" t="s">
        <v>184</v>
      </c>
      <c r="K318" s="314" t="s">
        <v>411</v>
      </c>
      <c r="L318" s="313" t="s">
        <v>448</v>
      </c>
      <c r="M318" s="314" t="s">
        <v>441</v>
      </c>
      <c r="N318" s="314"/>
      <c r="O318" s="314" t="s">
        <v>411</v>
      </c>
      <c r="P318" s="314" t="s">
        <v>156</v>
      </c>
      <c r="Q318" s="314" t="s">
        <v>184</v>
      </c>
      <c r="R318" s="314" t="s">
        <v>449</v>
      </c>
      <c r="S318" s="314"/>
      <c r="T318" s="313" t="s">
        <v>156</v>
      </c>
      <c r="U318" s="314" t="s">
        <v>156</v>
      </c>
      <c r="V318" s="314" t="s">
        <v>156</v>
      </c>
      <c r="W318" s="314"/>
      <c r="X318" s="314" t="s">
        <v>411</v>
      </c>
      <c r="Y318" s="314" t="s">
        <v>450</v>
      </c>
      <c r="Z318" s="314" t="s">
        <v>451</v>
      </c>
      <c r="AA318" s="314">
        <v>470195</v>
      </c>
      <c r="AB318" s="313" t="s">
        <v>450</v>
      </c>
      <c r="AC318" s="314">
        <v>470195</v>
      </c>
      <c r="AD318" s="314" t="s">
        <v>451</v>
      </c>
      <c r="AH318" s="303"/>
      <c r="AI318" s="69"/>
      <c r="AJ318" s="63"/>
      <c r="AK318" s="85"/>
      <c r="AL318" s="69"/>
      <c r="AM318" s="69"/>
      <c r="AN318" s="70"/>
      <c r="AO318" s="70"/>
      <c r="AP318" s="70"/>
      <c r="BG318" s="122"/>
    </row>
    <row r="319" spans="1:59" s="27" customFormat="1" ht="13.5" customHeight="1">
      <c r="A319" s="87"/>
      <c r="B319" s="315" t="s">
        <v>410</v>
      </c>
      <c r="C319" s="316" t="s">
        <v>437</v>
      </c>
      <c r="D319" s="337" t="s">
        <v>182</v>
      </c>
      <c r="E319" s="316" t="s">
        <v>453</v>
      </c>
      <c r="F319" s="316" t="s">
        <v>454</v>
      </c>
      <c r="G319" s="316" t="s">
        <v>611</v>
      </c>
      <c r="H319" s="316" t="s">
        <v>184</v>
      </c>
      <c r="I319" s="419" t="s">
        <v>600</v>
      </c>
      <c r="J319" s="316" t="s">
        <v>440</v>
      </c>
      <c r="K319" s="316" t="s">
        <v>411</v>
      </c>
      <c r="L319" s="316" t="s">
        <v>156</v>
      </c>
      <c r="M319" s="316" t="s">
        <v>441</v>
      </c>
      <c r="N319" s="316" t="s">
        <v>156</v>
      </c>
      <c r="O319" s="316" t="s">
        <v>183</v>
      </c>
      <c r="P319" s="316" t="s">
        <v>156</v>
      </c>
      <c r="Q319" s="316" t="s">
        <v>442</v>
      </c>
      <c r="R319" s="316" t="s">
        <v>443</v>
      </c>
      <c r="S319" s="316" t="s">
        <v>156</v>
      </c>
      <c r="T319" s="316" t="s">
        <v>156</v>
      </c>
      <c r="U319" s="316" t="s">
        <v>156</v>
      </c>
      <c r="V319" s="316" t="s">
        <v>156</v>
      </c>
      <c r="W319" s="316" t="s">
        <v>156</v>
      </c>
      <c r="X319" s="316" t="s">
        <v>411</v>
      </c>
      <c r="Y319" s="316" t="s">
        <v>444</v>
      </c>
      <c r="Z319" s="316" t="s">
        <v>445</v>
      </c>
      <c r="AA319" s="316" t="s">
        <v>445</v>
      </c>
      <c r="AB319" s="316" t="s">
        <v>446</v>
      </c>
      <c r="AC319" s="316" t="s">
        <v>455</v>
      </c>
      <c r="AD319" s="316" t="s">
        <v>455</v>
      </c>
      <c r="AH319" s="303"/>
      <c r="AI319" s="69"/>
      <c r="AJ319" s="63"/>
      <c r="AK319" s="85"/>
      <c r="AL319" s="69"/>
      <c r="AM319" s="69"/>
      <c r="AN319" s="70"/>
      <c r="AO319" s="70"/>
      <c r="AP319" s="70"/>
      <c r="BG319" s="122"/>
    </row>
    <row r="320" spans="1:59" s="27" customFormat="1" ht="13.5" customHeight="1">
      <c r="A320" s="87"/>
      <c r="B320" s="315" t="s">
        <v>410</v>
      </c>
      <c r="C320" s="316" t="s">
        <v>437</v>
      </c>
      <c r="D320" s="337" t="s">
        <v>629</v>
      </c>
      <c r="E320" s="316" t="s">
        <v>453</v>
      </c>
      <c r="F320" s="316" t="s">
        <v>454</v>
      </c>
      <c r="G320" s="316" t="s">
        <v>183</v>
      </c>
      <c r="H320" s="316" t="s">
        <v>184</v>
      </c>
      <c r="I320" s="419" t="s">
        <v>600</v>
      </c>
      <c r="J320" s="316" t="s">
        <v>440</v>
      </c>
      <c r="K320" s="316" t="s">
        <v>411</v>
      </c>
      <c r="L320" s="316" t="s">
        <v>156</v>
      </c>
      <c r="M320" s="316" t="s">
        <v>441</v>
      </c>
      <c r="N320" s="316" t="s">
        <v>156</v>
      </c>
      <c r="O320" s="316" t="s">
        <v>183</v>
      </c>
      <c r="P320" s="316" t="s">
        <v>156</v>
      </c>
      <c r="Q320" s="316" t="s">
        <v>442</v>
      </c>
      <c r="R320" s="316" t="s">
        <v>443</v>
      </c>
      <c r="S320" s="316" t="s">
        <v>156</v>
      </c>
      <c r="T320" s="316" t="s">
        <v>156</v>
      </c>
      <c r="U320" s="316" t="s">
        <v>156</v>
      </c>
      <c r="V320" s="316" t="s">
        <v>156</v>
      </c>
      <c r="W320" s="316" t="s">
        <v>156</v>
      </c>
      <c r="X320" s="316" t="s">
        <v>411</v>
      </c>
      <c r="Y320" s="316" t="s">
        <v>444</v>
      </c>
      <c r="Z320" s="316" t="s">
        <v>445</v>
      </c>
      <c r="AA320" s="316" t="s">
        <v>445</v>
      </c>
      <c r="AB320" s="316" t="s">
        <v>446</v>
      </c>
      <c r="AC320" s="316" t="s">
        <v>455</v>
      </c>
      <c r="AD320" s="316" t="s">
        <v>455</v>
      </c>
      <c r="AH320" s="303"/>
      <c r="AI320" s="69"/>
      <c r="AJ320" s="63"/>
      <c r="AK320" s="85"/>
      <c r="AL320" s="69"/>
      <c r="AM320" s="69"/>
      <c r="AN320" s="70"/>
      <c r="AO320" s="70"/>
      <c r="AP320" s="70"/>
      <c r="BG320" s="122"/>
    </row>
    <row r="321" spans="2:59" ht="14">
      <c r="B321" s="358"/>
      <c r="C321" s="359"/>
      <c r="D321" s="359"/>
      <c r="E321" s="359"/>
      <c r="F321" s="359"/>
      <c r="G321" s="359"/>
      <c r="H321" s="359"/>
      <c r="I321" s="359"/>
      <c r="J321" s="359"/>
      <c r="M321" s="359"/>
      <c r="N321" s="359"/>
      <c r="O321" s="359"/>
      <c r="BG321" s="353"/>
    </row>
    <row r="322" spans="2:59" ht="15">
      <c r="B322" s="358"/>
      <c r="C322" s="449" t="s">
        <v>489</v>
      </c>
      <c r="D322" s="450"/>
      <c r="E322" s="450"/>
      <c r="F322" s="450"/>
      <c r="G322" s="450"/>
      <c r="H322" s="450"/>
      <c r="I322" s="450"/>
      <c r="J322" s="450"/>
      <c r="K322" s="450"/>
      <c r="L322" s="450"/>
      <c r="M322" s="450"/>
      <c r="N322" s="450"/>
      <c r="O322" s="450"/>
      <c r="P322" s="450"/>
      <c r="Q322" s="450"/>
      <c r="R322" s="450"/>
      <c r="S322" s="450"/>
      <c r="T322" s="450"/>
      <c r="U322" s="92"/>
      <c r="V322" s="92"/>
      <c r="W322" s="92"/>
      <c r="X322" s="92"/>
      <c r="Y322" s="92"/>
      <c r="Z322" s="92"/>
      <c r="AA322" s="93"/>
      <c r="AB322" s="93"/>
      <c r="AC322" s="93"/>
      <c r="AD322" s="93"/>
      <c r="AE322" s="93"/>
      <c r="AF322" s="93"/>
      <c r="AG322" s="93"/>
      <c r="AH322" s="93"/>
      <c r="AI322" s="93"/>
      <c r="AJ322" s="93"/>
      <c r="AK322" s="93"/>
      <c r="AL322" s="93"/>
      <c r="AM322" s="93"/>
      <c r="AN322" s="93"/>
      <c r="AO322" s="93"/>
      <c r="AP322" s="94"/>
      <c r="AQ322" s="94"/>
      <c r="AR322" s="94"/>
      <c r="AS322" s="94"/>
      <c r="AT322" s="94"/>
      <c r="AU322" s="94"/>
      <c r="AV322" s="94"/>
      <c r="AW322" s="94"/>
      <c r="AX322" s="94"/>
      <c r="AY322" s="94"/>
      <c r="AZ322" s="94"/>
      <c r="BA322" s="94"/>
      <c r="BB322" s="94"/>
      <c r="BC322" s="94"/>
      <c r="BD322" s="94"/>
      <c r="BE322" s="94"/>
      <c r="BF322" s="94"/>
      <c r="BG322" s="353"/>
    </row>
    <row r="323" spans="2:59" ht="15">
      <c r="B323" s="358"/>
      <c r="C323" s="322"/>
      <c r="D323" s="322"/>
      <c r="E323" s="322"/>
      <c r="F323" s="319" t="s">
        <v>169</v>
      </c>
      <c r="G323" s="319" t="s">
        <v>169</v>
      </c>
      <c r="H323" s="324" t="s">
        <v>169</v>
      </c>
      <c r="I323" s="319" t="s">
        <v>169</v>
      </c>
      <c r="J323" s="319" t="s">
        <v>169</v>
      </c>
      <c r="K323" s="324"/>
      <c r="L323" s="324"/>
      <c r="M323" s="324"/>
      <c r="N323" s="324"/>
      <c r="O323" s="324"/>
      <c r="P323" s="324"/>
      <c r="Q323" s="324"/>
      <c r="R323" s="324"/>
      <c r="S323" s="324"/>
      <c r="T323" s="324"/>
      <c r="U323" s="324"/>
      <c r="V323" s="324"/>
      <c r="W323" s="324"/>
      <c r="X323" s="324"/>
      <c r="Y323" s="324"/>
      <c r="Z323" s="324"/>
      <c r="AA323" s="325"/>
      <c r="AB323" s="325"/>
      <c r="AC323" s="325"/>
      <c r="AD323" s="325"/>
      <c r="AE323" s="325"/>
      <c r="AF323" s="325"/>
      <c r="AG323" s="325"/>
      <c r="AH323" s="325"/>
      <c r="AI323" s="325"/>
      <c r="AJ323" s="325"/>
      <c r="AK323" s="325"/>
      <c r="AL323" s="325"/>
      <c r="AM323" s="325"/>
      <c r="AN323" s="325"/>
      <c r="AO323" s="325"/>
      <c r="AP323" s="325"/>
      <c r="AQ323" s="325"/>
      <c r="AR323" s="325"/>
      <c r="AS323" s="325"/>
      <c r="AT323" s="325"/>
      <c r="AU323" s="325"/>
      <c r="AV323" s="325"/>
      <c r="AW323" s="325"/>
      <c r="AX323" s="325"/>
      <c r="AY323" s="325"/>
      <c r="AZ323" s="325"/>
      <c r="BA323" s="325"/>
      <c r="BB323" s="325"/>
      <c r="BC323" s="325"/>
      <c r="BD323" s="325"/>
      <c r="BE323" s="325"/>
      <c r="BF323" s="325"/>
      <c r="BG323" s="353"/>
    </row>
    <row r="324" spans="2:59" ht="25">
      <c r="B324" s="358"/>
      <c r="C324" s="312" t="s">
        <v>533</v>
      </c>
      <c r="D324" s="312" t="s">
        <v>588</v>
      </c>
      <c r="E324" s="312" t="s">
        <v>589</v>
      </c>
      <c r="F324" s="314" t="s">
        <v>96</v>
      </c>
      <c r="G324" s="314" t="s">
        <v>99</v>
      </c>
      <c r="H324" s="314" t="s">
        <v>130</v>
      </c>
      <c r="I324" s="314" t="s">
        <v>559</v>
      </c>
      <c r="J324" s="314" t="s">
        <v>127</v>
      </c>
      <c r="K324" s="314" t="s">
        <v>67</v>
      </c>
      <c r="L324" s="314" t="s">
        <v>456</v>
      </c>
      <c r="M324" s="314" t="s">
        <v>534</v>
      </c>
      <c r="N324" s="314" t="s">
        <v>535</v>
      </c>
      <c r="O324" s="314" t="s">
        <v>536</v>
      </c>
      <c r="P324" s="314" t="s">
        <v>537</v>
      </c>
      <c r="Q324" s="314" t="s">
        <v>538</v>
      </c>
      <c r="R324" s="314" t="s">
        <v>539</v>
      </c>
      <c r="S324" s="314" t="s">
        <v>540</v>
      </c>
      <c r="T324" s="314" t="s">
        <v>541</v>
      </c>
      <c r="U324" s="314" t="s">
        <v>542</v>
      </c>
      <c r="V324" s="314" t="s">
        <v>543</v>
      </c>
      <c r="W324" s="314" t="s">
        <v>544</v>
      </c>
      <c r="X324" s="314" t="s">
        <v>545</v>
      </c>
      <c r="Y324" s="314" t="s">
        <v>546</v>
      </c>
      <c r="Z324" s="314" t="s">
        <v>547</v>
      </c>
      <c r="AA324" s="314" t="s">
        <v>548</v>
      </c>
      <c r="AB324" s="314" t="s">
        <v>549</v>
      </c>
      <c r="AC324" s="314" t="s">
        <v>550</v>
      </c>
      <c r="AD324" s="314" t="s">
        <v>551</v>
      </c>
      <c r="AE324" s="314" t="s">
        <v>552</v>
      </c>
      <c r="AF324" s="314" t="s">
        <v>553</v>
      </c>
      <c r="AG324" s="314" t="s">
        <v>554</v>
      </c>
      <c r="AH324" s="314" t="s">
        <v>555</v>
      </c>
      <c r="AI324" s="314" t="s">
        <v>556</v>
      </c>
      <c r="AJ324" s="314" t="s">
        <v>558</v>
      </c>
      <c r="AK324" s="314" t="s">
        <v>557</v>
      </c>
      <c r="AL324" s="314" t="s">
        <v>566</v>
      </c>
      <c r="AM324" s="314" t="s">
        <v>560</v>
      </c>
      <c r="AN324" s="314" t="s">
        <v>561</v>
      </c>
      <c r="AO324" s="314" t="s">
        <v>562</v>
      </c>
      <c r="AP324" s="314" t="s">
        <v>563</v>
      </c>
      <c r="AQ324" s="314" t="s">
        <v>567</v>
      </c>
      <c r="AR324" s="314" t="s">
        <v>564</v>
      </c>
      <c r="AS324" s="314" t="s">
        <v>565</v>
      </c>
      <c r="AT324" s="314" t="s">
        <v>568</v>
      </c>
      <c r="AU324" s="314" t="s">
        <v>569</v>
      </c>
      <c r="AV324" s="314" t="s">
        <v>570</v>
      </c>
      <c r="AW324" s="314" t="s">
        <v>571</v>
      </c>
      <c r="AX324" s="314" t="s">
        <v>572</v>
      </c>
      <c r="AY324" s="314" t="s">
        <v>573</v>
      </c>
      <c r="AZ324" s="314" t="s">
        <v>397</v>
      </c>
      <c r="BA324" s="314" t="s">
        <v>398</v>
      </c>
      <c r="BB324" s="314" t="s">
        <v>399</v>
      </c>
      <c r="BC324" s="314" t="s">
        <v>400</v>
      </c>
      <c r="BD324" s="314" t="s">
        <v>151</v>
      </c>
      <c r="BE324" s="314" t="s">
        <v>152</v>
      </c>
      <c r="BF324" s="314" t="s">
        <v>401</v>
      </c>
      <c r="BG324" s="353"/>
    </row>
    <row r="325" spans="2:59">
      <c r="B325" s="358"/>
      <c r="C325" s="312" t="s">
        <v>371</v>
      </c>
      <c r="D325" s="312" t="s">
        <v>381</v>
      </c>
      <c r="E325" s="312" t="s">
        <v>390</v>
      </c>
      <c r="F325" s="313" t="s">
        <v>490</v>
      </c>
      <c r="G325" s="313" t="s">
        <v>491</v>
      </c>
      <c r="H325" s="313" t="s">
        <v>492</v>
      </c>
      <c r="I325" s="313" t="s">
        <v>519</v>
      </c>
      <c r="J325" s="313" t="s">
        <v>525</v>
      </c>
      <c r="K325" s="313" t="s">
        <v>419</v>
      </c>
      <c r="L325" s="313" t="s">
        <v>420</v>
      </c>
      <c r="M325" s="313" t="s">
        <v>493</v>
      </c>
      <c r="N325" s="313" t="s">
        <v>494</v>
      </c>
      <c r="O325" s="313" t="s">
        <v>495</v>
      </c>
      <c r="P325" s="313" t="s">
        <v>496</v>
      </c>
      <c r="Q325" s="313" t="s">
        <v>497</v>
      </c>
      <c r="R325" s="313" t="s">
        <v>498</v>
      </c>
      <c r="S325" s="313" t="s">
        <v>499</v>
      </c>
      <c r="T325" s="313" t="s">
        <v>500</v>
      </c>
      <c r="U325" s="313" t="s">
        <v>501</v>
      </c>
      <c r="V325" s="313" t="s">
        <v>502</v>
      </c>
      <c r="W325" s="313" t="s">
        <v>503</v>
      </c>
      <c r="X325" s="313" t="s">
        <v>504</v>
      </c>
      <c r="Y325" s="313" t="s">
        <v>505</v>
      </c>
      <c r="Z325" s="313" t="s">
        <v>506</v>
      </c>
      <c r="AA325" s="313" t="s">
        <v>507</v>
      </c>
      <c r="AB325" s="313" t="s">
        <v>508</v>
      </c>
      <c r="AC325" s="313" t="s">
        <v>509</v>
      </c>
      <c r="AD325" s="313" t="s">
        <v>510</v>
      </c>
      <c r="AE325" s="313" t="s">
        <v>511</v>
      </c>
      <c r="AF325" s="313" t="s">
        <v>512</v>
      </c>
      <c r="AG325" s="313" t="s">
        <v>513</v>
      </c>
      <c r="AH325" s="313" t="s">
        <v>514</v>
      </c>
      <c r="AI325" s="313" t="s">
        <v>515</v>
      </c>
      <c r="AJ325" s="313" t="s">
        <v>516</v>
      </c>
      <c r="AK325" s="313" t="s">
        <v>517</v>
      </c>
      <c r="AL325" s="313" t="s">
        <v>518</v>
      </c>
      <c r="AM325" s="313" t="s">
        <v>520</v>
      </c>
      <c r="AN325" s="313" t="s">
        <v>521</v>
      </c>
      <c r="AO325" s="313" t="s">
        <v>522</v>
      </c>
      <c r="AP325" s="313" t="s">
        <v>402</v>
      </c>
      <c r="AQ325" s="313" t="s">
        <v>523</v>
      </c>
      <c r="AR325" s="313" t="s">
        <v>524</v>
      </c>
      <c r="AS325" s="313" t="s">
        <v>526</v>
      </c>
      <c r="AT325" s="313" t="s">
        <v>527</v>
      </c>
      <c r="AU325" s="313" t="s">
        <v>528</v>
      </c>
      <c r="AV325" s="313" t="s">
        <v>529</v>
      </c>
      <c r="AW325" s="313" t="s">
        <v>530</v>
      </c>
      <c r="AX325" s="313" t="s">
        <v>531</v>
      </c>
      <c r="AY325" s="313" t="s">
        <v>532</v>
      </c>
      <c r="AZ325" s="313" t="s">
        <v>403</v>
      </c>
      <c r="BA325" s="313" t="s">
        <v>404</v>
      </c>
      <c r="BB325" s="313" t="s">
        <v>405</v>
      </c>
      <c r="BC325" s="313" t="s">
        <v>406</v>
      </c>
      <c r="BD325" s="313" t="s">
        <v>407</v>
      </c>
      <c r="BE325" s="313" t="s">
        <v>408</v>
      </c>
      <c r="BF325" s="313" t="s">
        <v>409</v>
      </c>
      <c r="BG325" s="353"/>
    </row>
    <row r="326" spans="2:59">
      <c r="B326" s="358"/>
      <c r="C326" s="312" t="s">
        <v>472</v>
      </c>
      <c r="D326" s="312" t="s">
        <v>574</v>
      </c>
      <c r="E326" s="312" t="s">
        <v>473</v>
      </c>
      <c r="F326" s="326" t="s">
        <v>474</v>
      </c>
      <c r="G326" s="326" t="s">
        <v>474</v>
      </c>
      <c r="H326" s="326" t="s">
        <v>474</v>
      </c>
      <c r="I326" s="326" t="s">
        <v>474</v>
      </c>
      <c r="J326" s="326" t="s">
        <v>476</v>
      </c>
      <c r="K326" s="326" t="s">
        <v>474</v>
      </c>
      <c r="L326" s="326" t="s">
        <v>474</v>
      </c>
      <c r="M326" s="326" t="s">
        <v>575</v>
      </c>
      <c r="N326" s="326" t="s">
        <v>575</v>
      </c>
      <c r="O326" s="326" t="s">
        <v>473</v>
      </c>
      <c r="P326" s="326" t="s">
        <v>576</v>
      </c>
      <c r="Q326" s="326" t="s">
        <v>474</v>
      </c>
      <c r="R326" s="326" t="s">
        <v>481</v>
      </c>
      <c r="S326" s="326" t="s">
        <v>476</v>
      </c>
      <c r="T326" s="326" t="s">
        <v>481</v>
      </c>
      <c r="U326" s="326" t="s">
        <v>476</v>
      </c>
      <c r="V326" s="326" t="s">
        <v>476</v>
      </c>
      <c r="W326" s="326" t="s">
        <v>474</v>
      </c>
      <c r="X326" s="326" t="s">
        <v>577</v>
      </c>
      <c r="Y326" s="326" t="s">
        <v>577</v>
      </c>
      <c r="Z326" s="326" t="s">
        <v>478</v>
      </c>
      <c r="AA326" s="326" t="s">
        <v>576</v>
      </c>
      <c r="AB326" s="326" t="s">
        <v>576</v>
      </c>
      <c r="AC326" s="326" t="s">
        <v>476</v>
      </c>
      <c r="AD326" s="326" t="s">
        <v>480</v>
      </c>
      <c r="AE326" s="326" t="s">
        <v>481</v>
      </c>
      <c r="AF326" s="326" t="s">
        <v>481</v>
      </c>
      <c r="AG326" s="326" t="s">
        <v>578</v>
      </c>
      <c r="AH326" s="326" t="s">
        <v>578</v>
      </c>
      <c r="AI326" s="326" t="s">
        <v>481</v>
      </c>
      <c r="AJ326" s="326" t="s">
        <v>481</v>
      </c>
      <c r="AK326" s="326" t="s">
        <v>578</v>
      </c>
      <c r="AL326" s="326" t="s">
        <v>578</v>
      </c>
      <c r="AM326" s="326" t="s">
        <v>474</v>
      </c>
      <c r="AN326" s="326" t="s">
        <v>474</v>
      </c>
      <c r="AO326" s="326" t="s">
        <v>474</v>
      </c>
      <c r="AP326" s="326" t="s">
        <v>478</v>
      </c>
      <c r="AQ326" s="326" t="s">
        <v>473</v>
      </c>
      <c r="AR326" s="326" t="s">
        <v>474</v>
      </c>
      <c r="AS326" s="326" t="s">
        <v>476</v>
      </c>
      <c r="AT326" s="326" t="s">
        <v>474</v>
      </c>
      <c r="AU326" s="326" t="s">
        <v>579</v>
      </c>
      <c r="AV326" s="326" t="s">
        <v>481</v>
      </c>
      <c r="AW326" s="326" t="s">
        <v>478</v>
      </c>
      <c r="AX326" s="326" t="s">
        <v>474</v>
      </c>
      <c r="AY326" s="326" t="s">
        <v>474</v>
      </c>
      <c r="AZ326" s="326" t="s">
        <v>485</v>
      </c>
      <c r="BA326" s="326" t="s">
        <v>486</v>
      </c>
      <c r="BB326" s="326" t="s">
        <v>488</v>
      </c>
      <c r="BC326" s="326" t="s">
        <v>488</v>
      </c>
      <c r="BD326" s="326" t="s">
        <v>486</v>
      </c>
      <c r="BE326" s="326" t="s">
        <v>488</v>
      </c>
      <c r="BF326" s="326" t="s">
        <v>488</v>
      </c>
      <c r="BG326" s="353"/>
    </row>
    <row r="327" spans="2:59" ht="15">
      <c r="B327" s="315" t="s">
        <v>410</v>
      </c>
      <c r="C327" s="327" t="s">
        <v>437</v>
      </c>
      <c r="D327" s="338" t="s">
        <v>630</v>
      </c>
      <c r="E327" s="337" t="s">
        <v>630</v>
      </c>
      <c r="F327" s="328" t="s">
        <v>454</v>
      </c>
      <c r="G327" s="327" t="s">
        <v>411</v>
      </c>
      <c r="H327" s="327" t="s">
        <v>411</v>
      </c>
      <c r="I327" s="330">
        <v>1</v>
      </c>
      <c r="J327" s="331">
        <v>0</v>
      </c>
      <c r="K327" s="327" t="s">
        <v>439</v>
      </c>
      <c r="L327" s="327" t="s">
        <v>439</v>
      </c>
      <c r="M327" s="327" t="s">
        <v>156</v>
      </c>
      <c r="N327" s="327" t="s">
        <v>156</v>
      </c>
      <c r="O327" s="327" t="s">
        <v>156</v>
      </c>
      <c r="P327" s="327" t="s">
        <v>156</v>
      </c>
      <c r="Q327" s="329" t="s">
        <v>580</v>
      </c>
      <c r="R327" s="327" t="s">
        <v>411</v>
      </c>
      <c r="S327" s="327" t="s">
        <v>411</v>
      </c>
      <c r="T327" s="327" t="s">
        <v>581</v>
      </c>
      <c r="U327" s="327" t="s">
        <v>582</v>
      </c>
      <c r="V327" s="327" t="s">
        <v>183</v>
      </c>
      <c r="W327" s="327" t="s">
        <v>183</v>
      </c>
      <c r="X327" s="327" t="s">
        <v>411</v>
      </c>
      <c r="Y327" s="327" t="s">
        <v>411</v>
      </c>
      <c r="Z327" s="327"/>
      <c r="AA327" s="330"/>
      <c r="AB327" s="330" t="s">
        <v>156</v>
      </c>
      <c r="AC327" s="330">
        <v>1</v>
      </c>
      <c r="AD327" s="330">
        <v>99999999</v>
      </c>
      <c r="AE327" s="327" t="s">
        <v>411</v>
      </c>
      <c r="AF327" s="327" t="s">
        <v>411</v>
      </c>
      <c r="AG327" s="327" t="s">
        <v>411</v>
      </c>
      <c r="AH327" s="327" t="s">
        <v>411</v>
      </c>
      <c r="AI327" s="330">
        <v>0</v>
      </c>
      <c r="AJ327" s="330">
        <v>0</v>
      </c>
      <c r="AK327" s="330">
        <v>0</v>
      </c>
      <c r="AL327" s="330">
        <v>0</v>
      </c>
      <c r="AM327" s="327" t="s">
        <v>183</v>
      </c>
      <c r="AN327" s="330">
        <v>0</v>
      </c>
      <c r="AO327" s="327" t="s">
        <v>411</v>
      </c>
      <c r="AP327" s="330">
        <v>1</v>
      </c>
      <c r="AQ327" s="331" t="s">
        <v>156</v>
      </c>
      <c r="AR327" s="331" t="s">
        <v>583</v>
      </c>
      <c r="AS327" s="331">
        <v>0</v>
      </c>
      <c r="AT327" s="331">
        <v>1</v>
      </c>
      <c r="AU327" s="331">
        <v>0</v>
      </c>
      <c r="AV327" s="331">
        <v>0</v>
      </c>
      <c r="AW327" s="331">
        <v>0</v>
      </c>
      <c r="AX327" s="331">
        <v>0</v>
      </c>
      <c r="AY327" s="331">
        <v>1</v>
      </c>
      <c r="AZ327" s="331">
        <v>0</v>
      </c>
      <c r="BA327" s="332">
        <v>29705</v>
      </c>
      <c r="BB327" s="331" t="s">
        <v>445</v>
      </c>
      <c r="BC327" s="331" t="s">
        <v>445</v>
      </c>
      <c r="BD327" s="332">
        <v>36413</v>
      </c>
      <c r="BE327" s="331" t="s">
        <v>445</v>
      </c>
      <c r="BF327" s="331" t="s">
        <v>445</v>
      </c>
      <c r="BG327" s="353"/>
    </row>
    <row r="328" spans="2:59" ht="15">
      <c r="B328" s="317" t="s">
        <v>412</v>
      </c>
      <c r="C328" s="327" t="s">
        <v>437</v>
      </c>
      <c r="D328" s="338" t="s">
        <v>630</v>
      </c>
      <c r="E328" s="338" t="s">
        <v>182</v>
      </c>
      <c r="F328" s="328" t="s">
        <v>185</v>
      </c>
      <c r="G328" s="327" t="s">
        <v>411</v>
      </c>
      <c r="H328" s="327" t="s">
        <v>411</v>
      </c>
      <c r="I328" s="330">
        <v>0</v>
      </c>
      <c r="J328" s="331">
        <v>30</v>
      </c>
      <c r="K328" s="327" t="s">
        <v>439</v>
      </c>
      <c r="L328" s="327" t="s">
        <v>439</v>
      </c>
      <c r="M328" s="327" t="s">
        <v>156</v>
      </c>
      <c r="N328" s="327" t="s">
        <v>156</v>
      </c>
      <c r="O328" s="327" t="s">
        <v>584</v>
      </c>
      <c r="P328" s="327" t="s">
        <v>156</v>
      </c>
      <c r="Q328" s="329" t="s">
        <v>585</v>
      </c>
      <c r="R328" s="327" t="s">
        <v>183</v>
      </c>
      <c r="S328" s="327" t="s">
        <v>411</v>
      </c>
      <c r="T328" s="327" t="s">
        <v>581</v>
      </c>
      <c r="U328" s="327" t="s">
        <v>582</v>
      </c>
      <c r="V328" s="327" t="s">
        <v>586</v>
      </c>
      <c r="W328" s="327" t="s">
        <v>183</v>
      </c>
      <c r="X328" s="327" t="s">
        <v>411</v>
      </c>
      <c r="Y328" s="327" t="s">
        <v>411</v>
      </c>
      <c r="Z328" s="327"/>
      <c r="AA328" s="330"/>
      <c r="AB328" s="330" t="s">
        <v>587</v>
      </c>
      <c r="AC328" s="333">
        <v>5000</v>
      </c>
      <c r="AD328" s="330">
        <v>99999999</v>
      </c>
      <c r="AE328" s="327" t="s">
        <v>411</v>
      </c>
      <c r="AF328" s="327" t="s">
        <v>439</v>
      </c>
      <c r="AG328" s="327" t="s">
        <v>411</v>
      </c>
      <c r="AH328" s="327" t="s">
        <v>411</v>
      </c>
      <c r="AI328" s="330">
        <v>0</v>
      </c>
      <c r="AJ328" s="330">
        <v>0</v>
      </c>
      <c r="AK328" s="330">
        <v>0</v>
      </c>
      <c r="AL328" s="330">
        <v>0</v>
      </c>
      <c r="AM328" s="327" t="s">
        <v>183</v>
      </c>
      <c r="AN328" s="330">
        <v>0</v>
      </c>
      <c r="AO328" s="327" t="s">
        <v>411</v>
      </c>
      <c r="AP328" s="330">
        <v>1</v>
      </c>
      <c r="AQ328" s="331">
        <v>1111</v>
      </c>
      <c r="AR328" s="331" t="s">
        <v>583</v>
      </c>
      <c r="AS328" s="331">
        <v>10</v>
      </c>
      <c r="AT328" s="331">
        <v>1</v>
      </c>
      <c r="AU328" s="331">
        <v>0</v>
      </c>
      <c r="AV328" s="331">
        <v>0</v>
      </c>
      <c r="AW328" s="331">
        <v>0</v>
      </c>
      <c r="AX328" s="331">
        <v>0</v>
      </c>
      <c r="AY328" s="331">
        <v>1</v>
      </c>
      <c r="AZ328" s="331">
        <v>0</v>
      </c>
      <c r="BA328" s="332">
        <v>40640.750486111108</v>
      </c>
      <c r="BB328" s="331">
        <v>470195</v>
      </c>
      <c r="BC328" s="331">
        <v>470195</v>
      </c>
      <c r="BD328" s="332">
        <v>45392.67769675926</v>
      </c>
      <c r="BE328" s="331">
        <v>363363</v>
      </c>
      <c r="BF328" s="331">
        <v>363363</v>
      </c>
      <c r="BG328" s="353"/>
    </row>
    <row r="329" spans="2:59" ht="15">
      <c r="B329" s="315" t="s">
        <v>410</v>
      </c>
      <c r="C329" s="327" t="s">
        <v>437</v>
      </c>
      <c r="D329" s="337" t="s">
        <v>629</v>
      </c>
      <c r="E329" s="338" t="s">
        <v>182</v>
      </c>
      <c r="F329" s="334" t="s">
        <v>454</v>
      </c>
      <c r="G329" s="327" t="s">
        <v>411</v>
      </c>
      <c r="H329" s="327" t="s">
        <v>411</v>
      </c>
      <c r="I329" s="330">
        <v>1</v>
      </c>
      <c r="J329" s="331">
        <v>0</v>
      </c>
      <c r="K329" s="327" t="s">
        <v>183</v>
      </c>
      <c r="L329" s="420" t="s">
        <v>600</v>
      </c>
      <c r="M329" s="327" t="s">
        <v>156</v>
      </c>
      <c r="N329" s="327" t="s">
        <v>156</v>
      </c>
      <c r="O329" s="327" t="s">
        <v>156</v>
      </c>
      <c r="P329" s="327" t="s">
        <v>156</v>
      </c>
      <c r="Q329" s="329" t="s">
        <v>580</v>
      </c>
      <c r="R329" s="327" t="s">
        <v>411</v>
      </c>
      <c r="S329" s="327" t="s">
        <v>411</v>
      </c>
      <c r="T329" s="327" t="s">
        <v>581</v>
      </c>
      <c r="U329" s="327" t="s">
        <v>582</v>
      </c>
      <c r="V329" s="327" t="s">
        <v>183</v>
      </c>
      <c r="W329" s="327" t="s">
        <v>183</v>
      </c>
      <c r="X329" s="327" t="s">
        <v>411</v>
      </c>
      <c r="Y329" s="327" t="s">
        <v>411</v>
      </c>
      <c r="Z329" s="327" t="s">
        <v>156</v>
      </c>
      <c r="AA329" s="330" t="s">
        <v>156</v>
      </c>
      <c r="AB329" s="330" t="s">
        <v>156</v>
      </c>
      <c r="AC329" s="330">
        <v>1</v>
      </c>
      <c r="AD329" s="330">
        <v>99999999</v>
      </c>
      <c r="AE329" s="327" t="s">
        <v>411</v>
      </c>
      <c r="AF329" s="327" t="s">
        <v>411</v>
      </c>
      <c r="AG329" s="327" t="s">
        <v>411</v>
      </c>
      <c r="AH329" s="327" t="s">
        <v>411</v>
      </c>
      <c r="AI329" s="330">
        <v>0</v>
      </c>
      <c r="AJ329" s="330">
        <v>0</v>
      </c>
      <c r="AK329" s="330">
        <v>0</v>
      </c>
      <c r="AL329" s="330">
        <v>0</v>
      </c>
      <c r="AM329" s="327" t="s">
        <v>183</v>
      </c>
      <c r="AN329" s="330">
        <v>0</v>
      </c>
      <c r="AO329" s="327" t="s">
        <v>411</v>
      </c>
      <c r="AP329" s="330">
        <v>1</v>
      </c>
      <c r="AQ329" s="331" t="s">
        <v>156</v>
      </c>
      <c r="AR329" s="331" t="s">
        <v>583</v>
      </c>
      <c r="AS329" s="331">
        <v>0</v>
      </c>
      <c r="AT329" s="331">
        <v>1</v>
      </c>
      <c r="AU329" s="331">
        <v>0</v>
      </c>
      <c r="AV329" s="331">
        <v>0</v>
      </c>
      <c r="AW329" s="331">
        <v>0</v>
      </c>
      <c r="AX329" s="331">
        <v>0</v>
      </c>
      <c r="AY329" s="331">
        <v>1</v>
      </c>
      <c r="AZ329" s="331">
        <v>0</v>
      </c>
      <c r="BA329" s="332">
        <v>29705</v>
      </c>
      <c r="BB329" s="331" t="s">
        <v>445</v>
      </c>
      <c r="BC329" s="331" t="s">
        <v>445</v>
      </c>
      <c r="BD329" s="332">
        <v>36413</v>
      </c>
      <c r="BE329" s="331" t="s">
        <v>445</v>
      </c>
      <c r="BF329" s="331" t="s">
        <v>445</v>
      </c>
      <c r="BG329" s="353"/>
    </row>
    <row r="330" spans="2:59" ht="14">
      <c r="B330" s="315" t="s">
        <v>410</v>
      </c>
      <c r="C330" s="327" t="s">
        <v>437</v>
      </c>
      <c r="D330" s="337" t="s">
        <v>182</v>
      </c>
      <c r="E330" s="327" t="s">
        <v>453</v>
      </c>
      <c r="F330" s="327" t="s">
        <v>185</v>
      </c>
      <c r="G330" s="327" t="s">
        <v>411</v>
      </c>
      <c r="H330" s="327" t="s">
        <v>411</v>
      </c>
      <c r="I330" s="327">
        <v>0</v>
      </c>
      <c r="J330" s="327">
        <v>30</v>
      </c>
      <c r="K330" s="327" t="s">
        <v>611</v>
      </c>
      <c r="L330" s="420" t="s">
        <v>600</v>
      </c>
      <c r="M330" s="327" t="s">
        <v>156</v>
      </c>
      <c r="N330" s="327" t="s">
        <v>156</v>
      </c>
      <c r="O330" s="327" t="s">
        <v>584</v>
      </c>
      <c r="P330" s="327" t="s">
        <v>156</v>
      </c>
      <c r="Q330" s="327" t="s">
        <v>585</v>
      </c>
      <c r="R330" s="327" t="s">
        <v>183</v>
      </c>
      <c r="S330" s="327" t="s">
        <v>411</v>
      </c>
      <c r="T330" s="327" t="s">
        <v>581</v>
      </c>
      <c r="U330" s="327" t="s">
        <v>582</v>
      </c>
      <c r="V330" s="327" t="s">
        <v>586</v>
      </c>
      <c r="W330" s="327" t="s">
        <v>183</v>
      </c>
      <c r="X330" s="327" t="s">
        <v>411</v>
      </c>
      <c r="Y330" s="327" t="s">
        <v>411</v>
      </c>
      <c r="Z330" s="327"/>
      <c r="AA330" s="327"/>
      <c r="AB330" s="327" t="s">
        <v>587</v>
      </c>
      <c r="AC330" s="327">
        <v>5000</v>
      </c>
      <c r="AD330" s="327">
        <v>99999999</v>
      </c>
      <c r="AE330" s="327" t="s">
        <v>411</v>
      </c>
      <c r="AF330" s="327" t="s">
        <v>439</v>
      </c>
      <c r="AG330" s="327" t="s">
        <v>411</v>
      </c>
      <c r="AH330" s="327" t="s">
        <v>411</v>
      </c>
      <c r="AI330" s="327">
        <v>0</v>
      </c>
      <c r="AJ330" s="327">
        <v>0</v>
      </c>
      <c r="AK330" s="327">
        <v>0</v>
      </c>
      <c r="AL330" s="327">
        <v>0</v>
      </c>
      <c r="AM330" s="327" t="s">
        <v>183</v>
      </c>
      <c r="AN330" s="327">
        <v>0</v>
      </c>
      <c r="AO330" s="327" t="s">
        <v>411</v>
      </c>
      <c r="AP330" s="327">
        <v>1</v>
      </c>
      <c r="AQ330" s="327">
        <v>1111</v>
      </c>
      <c r="AR330" s="327" t="s">
        <v>583</v>
      </c>
      <c r="AS330" s="327">
        <v>10</v>
      </c>
      <c r="AT330" s="327">
        <v>1</v>
      </c>
      <c r="AU330" s="327">
        <v>0</v>
      </c>
      <c r="AV330" s="327">
        <v>0</v>
      </c>
      <c r="AW330" s="327">
        <v>0</v>
      </c>
      <c r="AX330" s="327">
        <v>0</v>
      </c>
      <c r="AY330" s="327">
        <v>1</v>
      </c>
      <c r="AZ330" s="327">
        <v>0</v>
      </c>
      <c r="BA330" s="327">
        <v>40640.750486111108</v>
      </c>
      <c r="BB330" s="327">
        <v>470195</v>
      </c>
      <c r="BC330" s="327">
        <v>470195</v>
      </c>
      <c r="BD330" s="327">
        <v>45392.67769675926</v>
      </c>
      <c r="BE330" s="327">
        <v>363363</v>
      </c>
      <c r="BF330" s="327">
        <v>363363</v>
      </c>
      <c r="BG330" s="353"/>
    </row>
    <row r="331" spans="2:59" ht="14">
      <c r="B331" s="358"/>
      <c r="C331" s="359"/>
      <c r="D331" s="359"/>
      <c r="E331" s="359"/>
      <c r="F331" s="359"/>
      <c r="G331" s="359"/>
      <c r="H331" s="359"/>
      <c r="I331" s="359"/>
      <c r="J331" s="359"/>
      <c r="M331" s="359"/>
      <c r="N331" s="359"/>
      <c r="O331" s="359"/>
      <c r="BG331" s="353"/>
    </row>
    <row r="332" spans="2:59" ht="14">
      <c r="B332" s="358"/>
      <c r="C332" s="359" t="s">
        <v>153</v>
      </c>
      <c r="D332" s="359"/>
      <c r="E332" s="359"/>
      <c r="F332" s="359"/>
      <c r="G332" s="359"/>
      <c r="H332" s="359"/>
      <c r="I332" s="359"/>
      <c r="J332" s="359"/>
      <c r="M332" s="359"/>
      <c r="N332" s="359"/>
      <c r="O332" s="359"/>
      <c r="BG332" s="353"/>
    </row>
    <row r="333" spans="2:59" ht="14">
      <c r="B333" s="358"/>
      <c r="C333" s="359" t="s">
        <v>154</v>
      </c>
      <c r="D333" s="359" t="s">
        <v>155</v>
      </c>
      <c r="E333" s="359" t="s">
        <v>157</v>
      </c>
      <c r="F333" s="359" t="s">
        <v>158</v>
      </c>
      <c r="G333" s="359" t="s">
        <v>356</v>
      </c>
      <c r="H333" s="359" t="s">
        <v>357</v>
      </c>
      <c r="I333" s="359" t="s">
        <v>358</v>
      </c>
      <c r="J333" s="359" t="s">
        <v>359</v>
      </c>
      <c r="K333" s="359" t="s">
        <v>360</v>
      </c>
      <c r="L333" s="359" t="s">
        <v>361</v>
      </c>
      <c r="M333" s="359" t="s">
        <v>362</v>
      </c>
      <c r="BG333" s="353"/>
    </row>
    <row r="334" spans="2:59" ht="14">
      <c r="B334" s="358"/>
      <c r="C334" s="359">
        <v>0</v>
      </c>
      <c r="D334" s="359">
        <v>0</v>
      </c>
      <c r="E334" s="359">
        <v>0</v>
      </c>
      <c r="F334" s="359" t="s">
        <v>156</v>
      </c>
      <c r="G334" s="359" t="s">
        <v>156</v>
      </c>
      <c r="H334" s="359">
        <v>1</v>
      </c>
      <c r="I334" s="359">
        <v>4</v>
      </c>
      <c r="J334" s="359">
        <v>5</v>
      </c>
      <c r="K334" s="359">
        <v>0</v>
      </c>
      <c r="L334" s="359">
        <v>30</v>
      </c>
      <c r="M334" s="359">
        <v>0</v>
      </c>
      <c r="BG334" s="353"/>
    </row>
    <row r="335" spans="2:59" ht="14.5" thickBot="1">
      <c r="B335" s="358"/>
      <c r="C335" s="359"/>
      <c r="D335" s="359"/>
      <c r="E335" s="359"/>
      <c r="F335" s="359"/>
      <c r="G335" s="359"/>
      <c r="H335" s="359"/>
      <c r="I335" s="359"/>
      <c r="J335" s="359"/>
      <c r="M335" s="359"/>
      <c r="N335" s="359"/>
      <c r="O335" s="359"/>
      <c r="BG335" s="353"/>
    </row>
    <row r="336" spans="2:59" ht="14" thickBot="1">
      <c r="B336" s="299" t="s">
        <v>693</v>
      </c>
      <c r="C336" s="300" t="s">
        <v>692</v>
      </c>
      <c r="D336" s="300"/>
      <c r="E336" s="300"/>
      <c r="F336" s="300"/>
      <c r="G336" s="300"/>
      <c r="H336" s="300"/>
      <c r="I336" s="300"/>
      <c r="J336" s="300"/>
      <c r="K336" s="300"/>
      <c r="L336" s="300"/>
      <c r="M336" s="300"/>
      <c r="N336" s="300"/>
      <c r="O336" s="300"/>
      <c r="P336" s="300"/>
      <c r="Q336" s="300"/>
      <c r="R336" s="300"/>
      <c r="S336" s="300"/>
      <c r="T336" s="300"/>
      <c r="U336" s="300"/>
      <c r="V336" s="300"/>
      <c r="W336" s="300"/>
      <c r="X336" s="300"/>
      <c r="Y336" s="300"/>
      <c r="Z336" s="300"/>
      <c r="AA336" s="300"/>
      <c r="AB336" s="300"/>
      <c r="AC336" s="300"/>
      <c r="AD336" s="300"/>
      <c r="AE336" s="300"/>
      <c r="AF336" s="300"/>
      <c r="AG336" s="300"/>
      <c r="AH336" s="300"/>
      <c r="AI336" s="300"/>
      <c r="AJ336" s="300"/>
      <c r="AK336" s="300"/>
      <c r="AL336" s="300"/>
      <c r="AM336" s="300"/>
      <c r="AN336" s="300"/>
      <c r="AO336" s="300"/>
      <c r="AP336" s="300"/>
      <c r="AQ336" s="300"/>
      <c r="AR336" s="300"/>
      <c r="AS336" s="300"/>
      <c r="AT336" s="300"/>
      <c r="AU336" s="300"/>
      <c r="AV336" s="300"/>
      <c r="AW336" s="300"/>
      <c r="AX336" s="300"/>
      <c r="AY336" s="300"/>
      <c r="AZ336" s="300"/>
      <c r="BA336" s="300"/>
      <c r="BB336" s="300"/>
      <c r="BC336" s="300"/>
      <c r="BD336" s="300"/>
      <c r="BE336" s="300"/>
      <c r="BF336" s="300"/>
      <c r="BG336" s="353"/>
    </row>
    <row r="337" spans="1:59" ht="14" thickBot="1">
      <c r="B337" s="335" t="s">
        <v>601</v>
      </c>
      <c r="C337" s="300" t="s">
        <v>395</v>
      </c>
      <c r="D337" s="300"/>
      <c r="E337" s="300"/>
      <c r="F337" s="300"/>
      <c r="G337" s="300"/>
      <c r="H337" s="300"/>
      <c r="I337" s="300"/>
      <c r="J337" s="300"/>
      <c r="K337" s="300"/>
      <c r="L337" s="300"/>
      <c r="M337" s="300"/>
      <c r="N337" s="300"/>
      <c r="O337" s="300"/>
      <c r="P337" s="300"/>
      <c r="Q337" s="300"/>
      <c r="R337" s="300"/>
      <c r="S337" s="300"/>
      <c r="T337" s="300"/>
      <c r="U337" s="300"/>
      <c r="V337" s="300"/>
      <c r="W337" s="300"/>
      <c r="X337" s="300"/>
      <c r="Y337" s="300"/>
      <c r="Z337" s="300"/>
      <c r="AA337" s="300"/>
      <c r="AB337" s="300"/>
      <c r="AC337" s="300"/>
      <c r="AD337" s="300"/>
      <c r="AE337" s="300"/>
      <c r="AF337" s="300"/>
      <c r="AG337" s="300"/>
      <c r="AH337" s="300"/>
      <c r="AI337" s="300"/>
      <c r="AJ337" s="300"/>
      <c r="AK337" s="300"/>
      <c r="AL337" s="300"/>
      <c r="AM337" s="300"/>
      <c r="AN337" s="300"/>
      <c r="AO337" s="300"/>
      <c r="AP337" s="300"/>
      <c r="AQ337" s="300"/>
      <c r="AR337" s="300"/>
      <c r="AS337" s="300"/>
      <c r="AT337" s="300"/>
      <c r="AU337" s="300"/>
      <c r="AV337" s="300"/>
      <c r="AW337" s="300"/>
      <c r="AX337" s="300"/>
      <c r="AY337" s="300"/>
      <c r="AZ337" s="300"/>
      <c r="BA337" s="300"/>
      <c r="BB337" s="300"/>
      <c r="BC337" s="300"/>
      <c r="BD337" s="300"/>
      <c r="BE337" s="300"/>
      <c r="BF337" s="300"/>
      <c r="BG337" s="353"/>
    </row>
    <row r="338" spans="1:59" ht="14">
      <c r="B338" s="358"/>
      <c r="C338" s="359"/>
      <c r="D338" s="359"/>
      <c r="E338" s="359"/>
      <c r="F338" s="359"/>
      <c r="G338" s="359"/>
      <c r="H338" s="359"/>
      <c r="I338" s="359"/>
      <c r="J338" s="359"/>
      <c r="M338" s="359"/>
      <c r="N338" s="359"/>
      <c r="O338" s="359"/>
      <c r="BG338" s="353"/>
    </row>
    <row r="339" spans="1:59" ht="14">
      <c r="B339" s="358"/>
      <c r="C339" s="356" t="s">
        <v>396</v>
      </c>
      <c r="D339" s="359"/>
      <c r="E339" s="359"/>
      <c r="F339" s="359"/>
      <c r="G339" s="359"/>
      <c r="H339" s="359"/>
      <c r="I339" s="359"/>
      <c r="J339" s="359"/>
      <c r="M339" s="359"/>
      <c r="N339" s="359"/>
      <c r="O339" s="359"/>
      <c r="BG339" s="353"/>
    </row>
    <row r="340" spans="1:59" ht="14">
      <c r="B340" s="358"/>
      <c r="C340" s="356" t="s">
        <v>694</v>
      </c>
      <c r="D340" s="359"/>
      <c r="E340" s="359"/>
      <c r="F340" s="359"/>
      <c r="G340" s="359"/>
      <c r="H340" s="359"/>
      <c r="I340" s="359"/>
      <c r="J340" s="359"/>
      <c r="M340" s="359"/>
      <c r="N340" s="359"/>
      <c r="O340" s="359"/>
      <c r="BG340" s="353"/>
    </row>
    <row r="341" spans="1:59" ht="21.5" customHeight="1">
      <c r="B341" s="358"/>
      <c r="C341" s="359"/>
      <c r="D341" s="359"/>
      <c r="E341" s="359"/>
      <c r="F341" s="359"/>
      <c r="G341" s="359"/>
      <c r="H341" s="359"/>
      <c r="I341" s="359"/>
      <c r="J341" s="359"/>
      <c r="M341" s="359"/>
      <c r="N341" s="359"/>
      <c r="O341" s="359"/>
      <c r="BG341" s="353"/>
    </row>
    <row r="342" spans="1:59" s="27" customFormat="1" ht="19.5" customHeight="1">
      <c r="B342" s="362"/>
      <c r="C342" s="320" t="s">
        <v>436</v>
      </c>
      <c r="D342" s="321"/>
      <c r="E342" s="321"/>
      <c r="F342" s="291"/>
      <c r="G342" s="291"/>
      <c r="H342" s="291"/>
      <c r="I342" s="291"/>
      <c r="J342" s="291"/>
      <c r="K342" s="291"/>
      <c r="L342" s="291"/>
      <c r="M342" s="291"/>
      <c r="N342" s="291"/>
      <c r="O342" s="291"/>
      <c r="P342" s="291"/>
      <c r="Q342" s="291"/>
      <c r="R342" s="291"/>
      <c r="S342" s="291"/>
      <c r="T342" s="291"/>
      <c r="U342" s="291"/>
      <c r="V342" s="291"/>
      <c r="W342" s="291"/>
      <c r="X342" s="292"/>
      <c r="Y342" s="68"/>
      <c r="Z342" s="68"/>
      <c r="AA342" s="68"/>
      <c r="AB342" s="68"/>
      <c r="AC342" s="68"/>
      <c r="AD342" s="306"/>
      <c r="AH342" s="303"/>
      <c r="AJ342" s="69"/>
      <c r="AK342" s="69"/>
      <c r="AL342" s="69"/>
      <c r="AM342" s="69"/>
      <c r="AN342" s="70"/>
      <c r="AO342" s="70"/>
      <c r="AP342" s="70"/>
      <c r="BG342" s="122"/>
    </row>
    <row r="343" spans="1:59" s="72" customFormat="1" ht="16.5" customHeight="1">
      <c r="A343" s="293"/>
      <c r="B343" s="363"/>
      <c r="C343" s="322"/>
      <c r="D343" s="322"/>
      <c r="E343" s="322"/>
      <c r="F343" s="319" t="s">
        <v>169</v>
      </c>
      <c r="G343" s="319" t="s">
        <v>169</v>
      </c>
      <c r="H343" s="319" t="s">
        <v>169</v>
      </c>
      <c r="I343" s="319"/>
      <c r="J343" s="319"/>
      <c r="K343" s="319"/>
      <c r="L343" s="319"/>
      <c r="M343" s="319"/>
      <c r="N343" s="319"/>
      <c r="O343" s="319"/>
      <c r="P343" s="319"/>
      <c r="Q343" s="319"/>
      <c r="R343" s="319"/>
      <c r="S343" s="319"/>
      <c r="T343" s="319"/>
      <c r="U343" s="319"/>
      <c r="V343" s="319"/>
      <c r="W343" s="319"/>
      <c r="X343" s="319"/>
      <c r="Y343" s="319"/>
      <c r="Z343" s="319"/>
      <c r="AA343" s="319"/>
      <c r="AB343" s="319"/>
      <c r="AC343" s="319"/>
      <c r="AD343" s="319"/>
      <c r="AH343" s="304"/>
      <c r="AI343" s="71"/>
      <c r="AJ343" s="71"/>
      <c r="AK343" s="71"/>
      <c r="AL343" s="71"/>
      <c r="AM343" s="71"/>
      <c r="BG343" s="364"/>
    </row>
    <row r="344" spans="1:59" s="78" customFormat="1" ht="92" customHeight="1">
      <c r="A344" s="73"/>
      <c r="B344" s="365"/>
      <c r="C344" s="312" t="s">
        <v>172</v>
      </c>
      <c r="D344" s="312" t="s">
        <v>173</v>
      </c>
      <c r="E344" s="312" t="s">
        <v>174</v>
      </c>
      <c r="F344" s="314" t="s">
        <v>91</v>
      </c>
      <c r="G344" s="314" t="s">
        <v>67</v>
      </c>
      <c r="H344" s="314" t="s">
        <v>69</v>
      </c>
      <c r="I344" s="314" t="s">
        <v>457</v>
      </c>
      <c r="J344" s="314" t="s">
        <v>458</v>
      </c>
      <c r="K344" s="314" t="s">
        <v>459</v>
      </c>
      <c r="L344" s="314" t="s">
        <v>460</v>
      </c>
      <c r="M344" s="314" t="s">
        <v>461</v>
      </c>
      <c r="N344" s="314" t="s">
        <v>462</v>
      </c>
      <c r="O344" s="314" t="s">
        <v>463</v>
      </c>
      <c r="P344" s="314" t="s">
        <v>464</v>
      </c>
      <c r="Q344" s="314" t="s">
        <v>465</v>
      </c>
      <c r="R344" s="314" t="s">
        <v>466</v>
      </c>
      <c r="S344" s="314" t="s">
        <v>467</v>
      </c>
      <c r="T344" s="314" t="s">
        <v>468</v>
      </c>
      <c r="U344" s="314" t="s">
        <v>469</v>
      </c>
      <c r="V344" s="314" t="s">
        <v>470</v>
      </c>
      <c r="W344" s="314" t="s">
        <v>471</v>
      </c>
      <c r="X344" s="314" t="s">
        <v>397</v>
      </c>
      <c r="Y344" s="314" t="s">
        <v>398</v>
      </c>
      <c r="Z344" s="314" t="s">
        <v>399</v>
      </c>
      <c r="AA344" s="314" t="s">
        <v>400</v>
      </c>
      <c r="AB344" s="314" t="s">
        <v>151</v>
      </c>
      <c r="AC344" s="314" t="s">
        <v>152</v>
      </c>
      <c r="AD344" s="314" t="s">
        <v>401</v>
      </c>
      <c r="AH344" s="305"/>
      <c r="AI344" s="69"/>
      <c r="AJ344" s="76"/>
      <c r="AK344" s="76"/>
      <c r="AL344" s="76"/>
      <c r="AM344" s="76"/>
      <c r="AN344" s="77"/>
      <c r="AO344" s="77"/>
      <c r="AP344" s="77"/>
      <c r="BG344" s="366"/>
    </row>
    <row r="345" spans="1:59" s="78" customFormat="1" ht="15">
      <c r="A345" s="73"/>
      <c r="B345" s="365"/>
      <c r="C345" s="312" t="s">
        <v>371</v>
      </c>
      <c r="D345" s="312" t="s">
        <v>381</v>
      </c>
      <c r="E345" s="312" t="s">
        <v>390</v>
      </c>
      <c r="F345" s="313" t="s">
        <v>418</v>
      </c>
      <c r="G345" s="313" t="s">
        <v>419</v>
      </c>
      <c r="H345" s="313" t="s">
        <v>421</v>
      </c>
      <c r="I345" s="313" t="s">
        <v>420</v>
      </c>
      <c r="J345" s="313" t="s">
        <v>422</v>
      </c>
      <c r="K345" s="313" t="s">
        <v>423</v>
      </c>
      <c r="L345" s="313" t="s">
        <v>424</v>
      </c>
      <c r="M345" s="313" t="s">
        <v>425</v>
      </c>
      <c r="N345" s="313" t="s">
        <v>426</v>
      </c>
      <c r="O345" s="313" t="s">
        <v>427</v>
      </c>
      <c r="P345" s="313" t="s">
        <v>428</v>
      </c>
      <c r="Q345" s="313" t="s">
        <v>429</v>
      </c>
      <c r="R345" s="313" t="s">
        <v>430</v>
      </c>
      <c r="S345" s="313" t="s">
        <v>431</v>
      </c>
      <c r="T345" s="313" t="s">
        <v>432</v>
      </c>
      <c r="U345" s="313" t="s">
        <v>433</v>
      </c>
      <c r="V345" s="313" t="s">
        <v>434</v>
      </c>
      <c r="W345" s="313" t="s">
        <v>435</v>
      </c>
      <c r="X345" s="313" t="s">
        <v>403</v>
      </c>
      <c r="Y345" s="313" t="s">
        <v>404</v>
      </c>
      <c r="Z345" s="313" t="s">
        <v>405</v>
      </c>
      <c r="AA345" s="313" t="s">
        <v>406</v>
      </c>
      <c r="AB345" s="313" t="s">
        <v>407</v>
      </c>
      <c r="AC345" s="313" t="s">
        <v>408</v>
      </c>
      <c r="AD345" s="313" t="s">
        <v>409</v>
      </c>
      <c r="AH345" s="305"/>
      <c r="AI345" s="69"/>
      <c r="AJ345" s="76"/>
      <c r="AK345" s="76"/>
      <c r="AL345" s="76"/>
      <c r="AM345" s="76"/>
      <c r="AN345" s="77"/>
      <c r="AO345" s="77"/>
      <c r="AP345" s="77"/>
      <c r="BG345" s="366"/>
    </row>
    <row r="346" spans="1:59" s="70" customFormat="1" ht="13.5" customHeight="1">
      <c r="A346" s="79"/>
      <c r="B346" s="367"/>
      <c r="C346" s="312" t="s">
        <v>472</v>
      </c>
      <c r="D346" s="312" t="s">
        <v>473</v>
      </c>
      <c r="E346" s="312" t="s">
        <v>473</v>
      </c>
      <c r="F346" s="314" t="s">
        <v>474</v>
      </c>
      <c r="G346" s="314" t="s">
        <v>474</v>
      </c>
      <c r="H346" s="314" t="s">
        <v>475</v>
      </c>
      <c r="I346" s="314" t="s">
        <v>474</v>
      </c>
      <c r="J346" s="314" t="s">
        <v>476</v>
      </c>
      <c r="K346" s="314" t="s">
        <v>477</v>
      </c>
      <c r="L346" s="313" t="s">
        <v>478</v>
      </c>
      <c r="M346" s="314" t="s">
        <v>478</v>
      </c>
      <c r="N346" s="314" t="s">
        <v>479</v>
      </c>
      <c r="O346" s="314" t="s">
        <v>474</v>
      </c>
      <c r="P346" s="314" t="s">
        <v>480</v>
      </c>
      <c r="Q346" s="314" t="s">
        <v>481</v>
      </c>
      <c r="R346" s="314" t="s">
        <v>480</v>
      </c>
      <c r="S346" s="314" t="s">
        <v>482</v>
      </c>
      <c r="T346" s="313" t="s">
        <v>483</v>
      </c>
      <c r="U346" s="314" t="s">
        <v>483</v>
      </c>
      <c r="V346" s="314" t="s">
        <v>484</v>
      </c>
      <c r="W346" s="314" t="s">
        <v>474</v>
      </c>
      <c r="X346" s="314" t="s">
        <v>485</v>
      </c>
      <c r="Y346" s="314" t="s">
        <v>487</v>
      </c>
      <c r="Z346" s="314" t="s">
        <v>488</v>
      </c>
      <c r="AA346" s="314" t="s">
        <v>488</v>
      </c>
      <c r="AB346" s="313" t="s">
        <v>486</v>
      </c>
      <c r="AC346" s="314" t="s">
        <v>488</v>
      </c>
      <c r="AD346" s="314" t="s">
        <v>488</v>
      </c>
      <c r="AH346" s="303"/>
      <c r="AI346" s="69"/>
      <c r="AJ346" s="69"/>
      <c r="AK346" s="69"/>
      <c r="AL346" s="69"/>
      <c r="AM346" s="69"/>
      <c r="BG346" s="368"/>
    </row>
    <row r="347" spans="1:59" s="27" customFormat="1" ht="13.5" customHeight="1">
      <c r="A347" s="82"/>
      <c r="B347" s="315" t="s">
        <v>410</v>
      </c>
      <c r="C347" s="316" t="s">
        <v>437</v>
      </c>
      <c r="D347" s="313" t="s">
        <v>438</v>
      </c>
      <c r="E347" s="337" t="s">
        <v>630</v>
      </c>
      <c r="F347" s="314" t="s">
        <v>183</v>
      </c>
      <c r="G347" s="314" t="s">
        <v>439</v>
      </c>
      <c r="H347" s="314" t="s">
        <v>184</v>
      </c>
      <c r="I347" s="314" t="s">
        <v>439</v>
      </c>
      <c r="J347" s="314" t="s">
        <v>440</v>
      </c>
      <c r="K347" s="314" t="s">
        <v>411</v>
      </c>
      <c r="L347" s="313" t="s">
        <v>156</v>
      </c>
      <c r="M347" s="314" t="s">
        <v>441</v>
      </c>
      <c r="N347" s="314"/>
      <c r="O347" s="314" t="s">
        <v>183</v>
      </c>
      <c r="P347" s="314" t="s">
        <v>156</v>
      </c>
      <c r="Q347" s="314" t="s">
        <v>442</v>
      </c>
      <c r="R347" s="314" t="s">
        <v>443</v>
      </c>
      <c r="S347" s="314"/>
      <c r="T347" s="313" t="s">
        <v>156</v>
      </c>
      <c r="U347" s="314" t="s">
        <v>156</v>
      </c>
      <c r="V347" s="314" t="s">
        <v>156</v>
      </c>
      <c r="W347" s="314"/>
      <c r="X347" s="314" t="s">
        <v>411</v>
      </c>
      <c r="Y347" s="314" t="s">
        <v>444</v>
      </c>
      <c r="Z347" s="314" t="s">
        <v>445</v>
      </c>
      <c r="AA347" s="314" t="s">
        <v>445</v>
      </c>
      <c r="AB347" s="313" t="s">
        <v>446</v>
      </c>
      <c r="AC347" s="314" t="s">
        <v>447</v>
      </c>
      <c r="AD347" s="314" t="s">
        <v>447</v>
      </c>
      <c r="AH347" s="303"/>
      <c r="AI347" s="69"/>
      <c r="AJ347" s="69"/>
      <c r="AK347" s="85"/>
      <c r="AL347" s="69"/>
      <c r="AM347" s="69"/>
      <c r="AN347" s="70"/>
      <c r="AO347" s="70"/>
      <c r="AP347" s="70"/>
      <c r="BG347" s="122"/>
    </row>
    <row r="348" spans="1:59" s="27" customFormat="1" ht="13.5" customHeight="1">
      <c r="A348" s="86"/>
      <c r="B348" s="317" t="s">
        <v>412</v>
      </c>
      <c r="C348" s="316" t="s">
        <v>437</v>
      </c>
      <c r="D348" s="313" t="s">
        <v>438</v>
      </c>
      <c r="E348" s="314" t="s">
        <v>182</v>
      </c>
      <c r="F348" s="314" t="s">
        <v>183</v>
      </c>
      <c r="G348" s="327" t="s">
        <v>439</v>
      </c>
      <c r="H348" s="314" t="s">
        <v>184</v>
      </c>
      <c r="I348" s="327" t="s">
        <v>439</v>
      </c>
      <c r="J348" s="314" t="s">
        <v>184</v>
      </c>
      <c r="K348" s="314" t="s">
        <v>411</v>
      </c>
      <c r="L348" s="313" t="s">
        <v>448</v>
      </c>
      <c r="M348" s="314" t="s">
        <v>441</v>
      </c>
      <c r="N348" s="314"/>
      <c r="O348" s="314" t="s">
        <v>411</v>
      </c>
      <c r="P348" s="314" t="s">
        <v>156</v>
      </c>
      <c r="Q348" s="314" t="s">
        <v>184</v>
      </c>
      <c r="R348" s="314" t="s">
        <v>449</v>
      </c>
      <c r="S348" s="314"/>
      <c r="T348" s="313" t="s">
        <v>156</v>
      </c>
      <c r="U348" s="314" t="s">
        <v>156</v>
      </c>
      <c r="V348" s="314" t="s">
        <v>156</v>
      </c>
      <c r="W348" s="314"/>
      <c r="X348" s="314" t="s">
        <v>411</v>
      </c>
      <c r="Y348" s="314" t="s">
        <v>450</v>
      </c>
      <c r="Z348" s="314" t="s">
        <v>451</v>
      </c>
      <c r="AA348" s="314">
        <v>470195</v>
      </c>
      <c r="AB348" s="313" t="s">
        <v>450</v>
      </c>
      <c r="AC348" s="314">
        <v>470195</v>
      </c>
      <c r="AD348" s="314" t="s">
        <v>451</v>
      </c>
      <c r="AH348" s="303"/>
      <c r="AI348" s="69"/>
      <c r="AJ348" s="63"/>
      <c r="AK348" s="85"/>
      <c r="AL348" s="69"/>
      <c r="AM348" s="69"/>
      <c r="AN348" s="70"/>
      <c r="AO348" s="70"/>
      <c r="AP348" s="70"/>
      <c r="BG348" s="122"/>
    </row>
    <row r="349" spans="1:59" s="27" customFormat="1" ht="13.5" customHeight="1">
      <c r="A349" s="87"/>
      <c r="B349" s="315" t="s">
        <v>410</v>
      </c>
      <c r="C349" s="316" t="s">
        <v>437</v>
      </c>
      <c r="D349" s="337" t="s">
        <v>182</v>
      </c>
      <c r="E349" s="316" t="s">
        <v>453</v>
      </c>
      <c r="F349" s="316" t="s">
        <v>454</v>
      </c>
      <c r="G349" s="316" t="s">
        <v>611</v>
      </c>
      <c r="H349" s="316" t="s">
        <v>184</v>
      </c>
      <c r="I349" s="327"/>
      <c r="J349" s="316" t="s">
        <v>440</v>
      </c>
      <c r="K349" s="316" t="s">
        <v>411</v>
      </c>
      <c r="L349" s="316" t="s">
        <v>156</v>
      </c>
      <c r="M349" s="316" t="s">
        <v>441</v>
      </c>
      <c r="N349" s="316" t="s">
        <v>156</v>
      </c>
      <c r="O349" s="316" t="s">
        <v>183</v>
      </c>
      <c r="P349" s="316" t="s">
        <v>156</v>
      </c>
      <c r="Q349" s="316" t="s">
        <v>442</v>
      </c>
      <c r="R349" s="316" t="s">
        <v>443</v>
      </c>
      <c r="S349" s="316" t="s">
        <v>156</v>
      </c>
      <c r="T349" s="316" t="s">
        <v>156</v>
      </c>
      <c r="U349" s="316" t="s">
        <v>156</v>
      </c>
      <c r="V349" s="316" t="s">
        <v>156</v>
      </c>
      <c r="W349" s="316" t="s">
        <v>156</v>
      </c>
      <c r="X349" s="316" t="s">
        <v>411</v>
      </c>
      <c r="Y349" s="316" t="s">
        <v>444</v>
      </c>
      <c r="Z349" s="316" t="s">
        <v>445</v>
      </c>
      <c r="AA349" s="316" t="s">
        <v>445</v>
      </c>
      <c r="AB349" s="316" t="s">
        <v>446</v>
      </c>
      <c r="AC349" s="316" t="s">
        <v>455</v>
      </c>
      <c r="AD349" s="316" t="s">
        <v>455</v>
      </c>
      <c r="AH349" s="303"/>
      <c r="AI349" s="69"/>
      <c r="AJ349" s="63"/>
      <c r="AK349" s="85"/>
      <c r="AL349" s="69"/>
      <c r="AM349" s="69"/>
      <c r="AN349" s="70"/>
      <c r="AO349" s="70"/>
      <c r="AP349" s="70"/>
      <c r="BG349" s="122"/>
    </row>
    <row r="350" spans="1:59" s="27" customFormat="1" ht="13.5" customHeight="1">
      <c r="A350" s="87"/>
      <c r="B350" s="315" t="s">
        <v>410</v>
      </c>
      <c r="C350" s="316" t="s">
        <v>437</v>
      </c>
      <c r="D350" s="337" t="s">
        <v>629</v>
      </c>
      <c r="E350" s="316" t="s">
        <v>453</v>
      </c>
      <c r="F350" s="316" t="s">
        <v>454</v>
      </c>
      <c r="G350" s="316" t="s">
        <v>183</v>
      </c>
      <c r="H350" s="316" t="s">
        <v>184</v>
      </c>
      <c r="I350" s="327"/>
      <c r="J350" s="316" t="s">
        <v>440</v>
      </c>
      <c r="K350" s="316" t="s">
        <v>411</v>
      </c>
      <c r="L350" s="316" t="s">
        <v>156</v>
      </c>
      <c r="M350" s="316" t="s">
        <v>441</v>
      </c>
      <c r="N350" s="316" t="s">
        <v>156</v>
      </c>
      <c r="O350" s="316" t="s">
        <v>183</v>
      </c>
      <c r="P350" s="316" t="s">
        <v>156</v>
      </c>
      <c r="Q350" s="316" t="s">
        <v>442</v>
      </c>
      <c r="R350" s="316" t="s">
        <v>443</v>
      </c>
      <c r="S350" s="316" t="s">
        <v>156</v>
      </c>
      <c r="T350" s="316" t="s">
        <v>156</v>
      </c>
      <c r="U350" s="316" t="s">
        <v>156</v>
      </c>
      <c r="V350" s="316" t="s">
        <v>156</v>
      </c>
      <c r="W350" s="316" t="s">
        <v>156</v>
      </c>
      <c r="X350" s="316" t="s">
        <v>411</v>
      </c>
      <c r="Y350" s="316" t="s">
        <v>444</v>
      </c>
      <c r="Z350" s="316" t="s">
        <v>445</v>
      </c>
      <c r="AA350" s="316" t="s">
        <v>445</v>
      </c>
      <c r="AB350" s="316" t="s">
        <v>446</v>
      </c>
      <c r="AC350" s="316" t="s">
        <v>455</v>
      </c>
      <c r="AD350" s="316" t="s">
        <v>455</v>
      </c>
      <c r="AH350" s="303"/>
      <c r="AI350" s="69"/>
      <c r="AJ350" s="63"/>
      <c r="AK350" s="85"/>
      <c r="AL350" s="69"/>
      <c r="AM350" s="69"/>
      <c r="AN350" s="70"/>
      <c r="AO350" s="70"/>
      <c r="AP350" s="70"/>
      <c r="BG350" s="122"/>
    </row>
    <row r="351" spans="1:59" ht="14">
      <c r="B351" s="358"/>
      <c r="C351" s="359"/>
      <c r="D351" s="359"/>
      <c r="E351" s="359"/>
      <c r="F351" s="359"/>
      <c r="G351" s="359"/>
      <c r="H351" s="359"/>
      <c r="I351" s="359"/>
      <c r="J351" s="359"/>
      <c r="M351" s="359"/>
      <c r="N351" s="359"/>
      <c r="O351" s="359"/>
      <c r="BG351" s="353"/>
    </row>
    <row r="352" spans="1:59" ht="15">
      <c r="B352" s="358"/>
      <c r="C352" s="449" t="s">
        <v>489</v>
      </c>
      <c r="D352" s="450"/>
      <c r="E352" s="450"/>
      <c r="F352" s="450"/>
      <c r="G352" s="450"/>
      <c r="H352" s="450"/>
      <c r="I352" s="450"/>
      <c r="J352" s="450"/>
      <c r="K352" s="450"/>
      <c r="L352" s="450"/>
      <c r="M352" s="450"/>
      <c r="N352" s="450"/>
      <c r="O352" s="450"/>
      <c r="P352" s="450"/>
      <c r="Q352" s="450"/>
      <c r="R352" s="450"/>
      <c r="S352" s="450"/>
      <c r="T352" s="450"/>
      <c r="U352" s="92"/>
      <c r="V352" s="92"/>
      <c r="W352" s="92"/>
      <c r="X352" s="92"/>
      <c r="Y352" s="92"/>
      <c r="Z352" s="92"/>
      <c r="AA352" s="93"/>
      <c r="AB352" s="93"/>
      <c r="AC352" s="93"/>
      <c r="AD352" s="93"/>
      <c r="AE352" s="93"/>
      <c r="AF352" s="93"/>
      <c r="AG352" s="93"/>
      <c r="AH352" s="93"/>
      <c r="AI352" s="93"/>
      <c r="AJ352" s="93"/>
      <c r="AK352" s="93"/>
      <c r="AL352" s="93"/>
      <c r="AM352" s="93"/>
      <c r="AN352" s="93"/>
      <c r="AO352" s="93"/>
      <c r="AP352" s="94"/>
      <c r="AQ352" s="94"/>
      <c r="AR352" s="94"/>
      <c r="AS352" s="94"/>
      <c r="AT352" s="94"/>
      <c r="AU352" s="94"/>
      <c r="AV352" s="94"/>
      <c r="AW352" s="94"/>
      <c r="AX352" s="94"/>
      <c r="AY352" s="94"/>
      <c r="AZ352" s="94"/>
      <c r="BA352" s="94"/>
      <c r="BB352" s="94"/>
      <c r="BC352" s="94"/>
      <c r="BD352" s="94"/>
      <c r="BE352" s="94"/>
      <c r="BF352" s="94"/>
      <c r="BG352" s="353"/>
    </row>
    <row r="353" spans="2:59" ht="15">
      <c r="B353" s="358"/>
      <c r="C353" s="322"/>
      <c r="D353" s="322"/>
      <c r="E353" s="322"/>
      <c r="F353" s="319" t="s">
        <v>169</v>
      </c>
      <c r="G353" s="319" t="s">
        <v>169</v>
      </c>
      <c r="H353" s="324" t="s">
        <v>169</v>
      </c>
      <c r="I353" s="319" t="s">
        <v>169</v>
      </c>
      <c r="J353" s="319" t="s">
        <v>169</v>
      </c>
      <c r="K353" s="324"/>
      <c r="L353" s="324"/>
      <c r="M353" s="324"/>
      <c r="N353" s="324"/>
      <c r="O353" s="324"/>
      <c r="P353" s="324"/>
      <c r="Q353" s="324"/>
      <c r="R353" s="324"/>
      <c r="S353" s="324"/>
      <c r="T353" s="324"/>
      <c r="U353" s="324"/>
      <c r="V353" s="324"/>
      <c r="W353" s="324"/>
      <c r="X353" s="324"/>
      <c r="Y353" s="324"/>
      <c r="Z353" s="324"/>
      <c r="AA353" s="325"/>
      <c r="AB353" s="325"/>
      <c r="AC353" s="325"/>
      <c r="AD353" s="325"/>
      <c r="AE353" s="325"/>
      <c r="AF353" s="325"/>
      <c r="AG353" s="325"/>
      <c r="AH353" s="325"/>
      <c r="AI353" s="325"/>
      <c r="AJ353" s="325"/>
      <c r="AK353" s="325"/>
      <c r="AL353" s="325"/>
      <c r="AM353" s="325"/>
      <c r="AN353" s="325"/>
      <c r="AO353" s="325"/>
      <c r="AP353" s="325"/>
      <c r="AQ353" s="325"/>
      <c r="AR353" s="325"/>
      <c r="AS353" s="325"/>
      <c r="AT353" s="325"/>
      <c r="AU353" s="325"/>
      <c r="AV353" s="325"/>
      <c r="AW353" s="325"/>
      <c r="AX353" s="325"/>
      <c r="AY353" s="325"/>
      <c r="AZ353" s="325"/>
      <c r="BA353" s="325"/>
      <c r="BB353" s="325"/>
      <c r="BC353" s="325"/>
      <c r="BD353" s="325"/>
      <c r="BE353" s="325"/>
      <c r="BF353" s="325"/>
      <c r="BG353" s="353"/>
    </row>
    <row r="354" spans="2:59" ht="25">
      <c r="B354" s="358"/>
      <c r="C354" s="312" t="s">
        <v>533</v>
      </c>
      <c r="D354" s="312" t="s">
        <v>588</v>
      </c>
      <c r="E354" s="312" t="s">
        <v>589</v>
      </c>
      <c r="F354" s="314" t="s">
        <v>96</v>
      </c>
      <c r="G354" s="314" t="s">
        <v>99</v>
      </c>
      <c r="H354" s="314" t="s">
        <v>130</v>
      </c>
      <c r="I354" s="314" t="s">
        <v>559</v>
      </c>
      <c r="J354" s="314" t="s">
        <v>127</v>
      </c>
      <c r="K354" s="314" t="s">
        <v>67</v>
      </c>
      <c r="L354" s="314" t="s">
        <v>456</v>
      </c>
      <c r="M354" s="314" t="s">
        <v>534</v>
      </c>
      <c r="N354" s="314" t="s">
        <v>535</v>
      </c>
      <c r="O354" s="314" t="s">
        <v>536</v>
      </c>
      <c r="P354" s="314" t="s">
        <v>537</v>
      </c>
      <c r="Q354" s="314" t="s">
        <v>538</v>
      </c>
      <c r="R354" s="314" t="s">
        <v>539</v>
      </c>
      <c r="S354" s="314" t="s">
        <v>540</v>
      </c>
      <c r="T354" s="314" t="s">
        <v>541</v>
      </c>
      <c r="U354" s="314" t="s">
        <v>542</v>
      </c>
      <c r="V354" s="314" t="s">
        <v>543</v>
      </c>
      <c r="W354" s="314" t="s">
        <v>544</v>
      </c>
      <c r="X354" s="314" t="s">
        <v>545</v>
      </c>
      <c r="Y354" s="314" t="s">
        <v>546</v>
      </c>
      <c r="Z354" s="314" t="s">
        <v>547</v>
      </c>
      <c r="AA354" s="314" t="s">
        <v>548</v>
      </c>
      <c r="AB354" s="314" t="s">
        <v>549</v>
      </c>
      <c r="AC354" s="314" t="s">
        <v>550</v>
      </c>
      <c r="AD354" s="314" t="s">
        <v>551</v>
      </c>
      <c r="AE354" s="314" t="s">
        <v>552</v>
      </c>
      <c r="AF354" s="314" t="s">
        <v>553</v>
      </c>
      <c r="AG354" s="314" t="s">
        <v>554</v>
      </c>
      <c r="AH354" s="314" t="s">
        <v>555</v>
      </c>
      <c r="AI354" s="314" t="s">
        <v>556</v>
      </c>
      <c r="AJ354" s="314" t="s">
        <v>558</v>
      </c>
      <c r="AK354" s="314" t="s">
        <v>557</v>
      </c>
      <c r="AL354" s="314" t="s">
        <v>566</v>
      </c>
      <c r="AM354" s="314" t="s">
        <v>560</v>
      </c>
      <c r="AN354" s="314" t="s">
        <v>561</v>
      </c>
      <c r="AO354" s="314" t="s">
        <v>562</v>
      </c>
      <c r="AP354" s="314" t="s">
        <v>563</v>
      </c>
      <c r="AQ354" s="314" t="s">
        <v>567</v>
      </c>
      <c r="AR354" s="314" t="s">
        <v>564</v>
      </c>
      <c r="AS354" s="314" t="s">
        <v>565</v>
      </c>
      <c r="AT354" s="314" t="s">
        <v>568</v>
      </c>
      <c r="AU354" s="314" t="s">
        <v>569</v>
      </c>
      <c r="AV354" s="314" t="s">
        <v>570</v>
      </c>
      <c r="AW354" s="314" t="s">
        <v>571</v>
      </c>
      <c r="AX354" s="314" t="s">
        <v>572</v>
      </c>
      <c r="AY354" s="314" t="s">
        <v>573</v>
      </c>
      <c r="AZ354" s="314" t="s">
        <v>397</v>
      </c>
      <c r="BA354" s="314" t="s">
        <v>398</v>
      </c>
      <c r="BB354" s="314" t="s">
        <v>399</v>
      </c>
      <c r="BC354" s="314" t="s">
        <v>400</v>
      </c>
      <c r="BD354" s="314" t="s">
        <v>151</v>
      </c>
      <c r="BE354" s="314" t="s">
        <v>152</v>
      </c>
      <c r="BF354" s="314" t="s">
        <v>401</v>
      </c>
      <c r="BG354" s="353"/>
    </row>
    <row r="355" spans="2:59">
      <c r="B355" s="358"/>
      <c r="C355" s="312" t="s">
        <v>371</v>
      </c>
      <c r="D355" s="312" t="s">
        <v>381</v>
      </c>
      <c r="E355" s="312" t="s">
        <v>390</v>
      </c>
      <c r="F355" s="313" t="s">
        <v>490</v>
      </c>
      <c r="G355" s="313" t="s">
        <v>491</v>
      </c>
      <c r="H355" s="313" t="s">
        <v>492</v>
      </c>
      <c r="I355" s="313" t="s">
        <v>519</v>
      </c>
      <c r="J355" s="313" t="s">
        <v>525</v>
      </c>
      <c r="K355" s="313" t="s">
        <v>419</v>
      </c>
      <c r="L355" s="313" t="s">
        <v>420</v>
      </c>
      <c r="M355" s="313" t="s">
        <v>493</v>
      </c>
      <c r="N355" s="313" t="s">
        <v>494</v>
      </c>
      <c r="O355" s="313" t="s">
        <v>495</v>
      </c>
      <c r="P355" s="313" t="s">
        <v>496</v>
      </c>
      <c r="Q355" s="313" t="s">
        <v>497</v>
      </c>
      <c r="R355" s="313" t="s">
        <v>498</v>
      </c>
      <c r="S355" s="313" t="s">
        <v>499</v>
      </c>
      <c r="T355" s="313" t="s">
        <v>500</v>
      </c>
      <c r="U355" s="313" t="s">
        <v>501</v>
      </c>
      <c r="V355" s="313" t="s">
        <v>502</v>
      </c>
      <c r="W355" s="313" t="s">
        <v>503</v>
      </c>
      <c r="X355" s="313" t="s">
        <v>504</v>
      </c>
      <c r="Y355" s="313" t="s">
        <v>505</v>
      </c>
      <c r="Z355" s="313" t="s">
        <v>506</v>
      </c>
      <c r="AA355" s="313" t="s">
        <v>507</v>
      </c>
      <c r="AB355" s="313" t="s">
        <v>508</v>
      </c>
      <c r="AC355" s="313" t="s">
        <v>509</v>
      </c>
      <c r="AD355" s="313" t="s">
        <v>510</v>
      </c>
      <c r="AE355" s="313" t="s">
        <v>511</v>
      </c>
      <c r="AF355" s="313" t="s">
        <v>512</v>
      </c>
      <c r="AG355" s="313" t="s">
        <v>513</v>
      </c>
      <c r="AH355" s="313" t="s">
        <v>514</v>
      </c>
      <c r="AI355" s="313" t="s">
        <v>515</v>
      </c>
      <c r="AJ355" s="313" t="s">
        <v>516</v>
      </c>
      <c r="AK355" s="313" t="s">
        <v>517</v>
      </c>
      <c r="AL355" s="313" t="s">
        <v>518</v>
      </c>
      <c r="AM355" s="313" t="s">
        <v>520</v>
      </c>
      <c r="AN355" s="313" t="s">
        <v>521</v>
      </c>
      <c r="AO355" s="313" t="s">
        <v>522</v>
      </c>
      <c r="AP355" s="313" t="s">
        <v>402</v>
      </c>
      <c r="AQ355" s="313" t="s">
        <v>523</v>
      </c>
      <c r="AR355" s="313" t="s">
        <v>524</v>
      </c>
      <c r="AS355" s="313" t="s">
        <v>526</v>
      </c>
      <c r="AT355" s="313" t="s">
        <v>527</v>
      </c>
      <c r="AU355" s="313" t="s">
        <v>528</v>
      </c>
      <c r="AV355" s="313" t="s">
        <v>529</v>
      </c>
      <c r="AW355" s="313" t="s">
        <v>530</v>
      </c>
      <c r="AX355" s="313" t="s">
        <v>531</v>
      </c>
      <c r="AY355" s="313" t="s">
        <v>532</v>
      </c>
      <c r="AZ355" s="313" t="s">
        <v>403</v>
      </c>
      <c r="BA355" s="313" t="s">
        <v>404</v>
      </c>
      <c r="BB355" s="313" t="s">
        <v>405</v>
      </c>
      <c r="BC355" s="313" t="s">
        <v>406</v>
      </c>
      <c r="BD355" s="313" t="s">
        <v>407</v>
      </c>
      <c r="BE355" s="313" t="s">
        <v>408</v>
      </c>
      <c r="BF355" s="313" t="s">
        <v>409</v>
      </c>
      <c r="BG355" s="353"/>
    </row>
    <row r="356" spans="2:59">
      <c r="B356" s="358"/>
      <c r="C356" s="312" t="s">
        <v>472</v>
      </c>
      <c r="D356" s="312" t="s">
        <v>574</v>
      </c>
      <c r="E356" s="312" t="s">
        <v>473</v>
      </c>
      <c r="F356" s="326" t="s">
        <v>474</v>
      </c>
      <c r="G356" s="326" t="s">
        <v>474</v>
      </c>
      <c r="H356" s="326" t="s">
        <v>474</v>
      </c>
      <c r="I356" s="326" t="s">
        <v>474</v>
      </c>
      <c r="J356" s="326" t="s">
        <v>476</v>
      </c>
      <c r="K356" s="326" t="s">
        <v>474</v>
      </c>
      <c r="L356" s="326" t="s">
        <v>474</v>
      </c>
      <c r="M356" s="326" t="s">
        <v>575</v>
      </c>
      <c r="N356" s="326" t="s">
        <v>575</v>
      </c>
      <c r="O356" s="326" t="s">
        <v>473</v>
      </c>
      <c r="P356" s="326" t="s">
        <v>576</v>
      </c>
      <c r="Q356" s="326" t="s">
        <v>474</v>
      </c>
      <c r="R356" s="326" t="s">
        <v>481</v>
      </c>
      <c r="S356" s="326" t="s">
        <v>476</v>
      </c>
      <c r="T356" s="326" t="s">
        <v>481</v>
      </c>
      <c r="U356" s="326" t="s">
        <v>476</v>
      </c>
      <c r="V356" s="326" t="s">
        <v>476</v>
      </c>
      <c r="W356" s="326" t="s">
        <v>474</v>
      </c>
      <c r="X356" s="326" t="s">
        <v>577</v>
      </c>
      <c r="Y356" s="326" t="s">
        <v>577</v>
      </c>
      <c r="Z356" s="326" t="s">
        <v>478</v>
      </c>
      <c r="AA356" s="326" t="s">
        <v>576</v>
      </c>
      <c r="AB356" s="326" t="s">
        <v>576</v>
      </c>
      <c r="AC356" s="326" t="s">
        <v>476</v>
      </c>
      <c r="AD356" s="326" t="s">
        <v>480</v>
      </c>
      <c r="AE356" s="326" t="s">
        <v>481</v>
      </c>
      <c r="AF356" s="326" t="s">
        <v>481</v>
      </c>
      <c r="AG356" s="326" t="s">
        <v>578</v>
      </c>
      <c r="AH356" s="326" t="s">
        <v>578</v>
      </c>
      <c r="AI356" s="326" t="s">
        <v>481</v>
      </c>
      <c r="AJ356" s="326" t="s">
        <v>481</v>
      </c>
      <c r="AK356" s="326" t="s">
        <v>578</v>
      </c>
      <c r="AL356" s="326" t="s">
        <v>578</v>
      </c>
      <c r="AM356" s="326" t="s">
        <v>474</v>
      </c>
      <c r="AN356" s="326" t="s">
        <v>474</v>
      </c>
      <c r="AO356" s="326" t="s">
        <v>474</v>
      </c>
      <c r="AP356" s="326" t="s">
        <v>478</v>
      </c>
      <c r="AQ356" s="326" t="s">
        <v>473</v>
      </c>
      <c r="AR356" s="326" t="s">
        <v>474</v>
      </c>
      <c r="AS356" s="326" t="s">
        <v>476</v>
      </c>
      <c r="AT356" s="326" t="s">
        <v>474</v>
      </c>
      <c r="AU356" s="326" t="s">
        <v>579</v>
      </c>
      <c r="AV356" s="326" t="s">
        <v>481</v>
      </c>
      <c r="AW356" s="326" t="s">
        <v>478</v>
      </c>
      <c r="AX356" s="326" t="s">
        <v>474</v>
      </c>
      <c r="AY356" s="326" t="s">
        <v>474</v>
      </c>
      <c r="AZ356" s="326" t="s">
        <v>485</v>
      </c>
      <c r="BA356" s="326" t="s">
        <v>486</v>
      </c>
      <c r="BB356" s="326" t="s">
        <v>488</v>
      </c>
      <c r="BC356" s="326" t="s">
        <v>488</v>
      </c>
      <c r="BD356" s="326" t="s">
        <v>486</v>
      </c>
      <c r="BE356" s="326" t="s">
        <v>488</v>
      </c>
      <c r="BF356" s="326" t="s">
        <v>488</v>
      </c>
      <c r="BG356" s="353"/>
    </row>
    <row r="357" spans="2:59" ht="15">
      <c r="B357" s="315" t="s">
        <v>410</v>
      </c>
      <c r="C357" s="327" t="s">
        <v>437</v>
      </c>
      <c r="D357" s="338" t="s">
        <v>630</v>
      </c>
      <c r="E357" s="337" t="s">
        <v>630</v>
      </c>
      <c r="F357" s="328" t="s">
        <v>454</v>
      </c>
      <c r="G357" s="327" t="s">
        <v>411</v>
      </c>
      <c r="H357" s="327" t="s">
        <v>411</v>
      </c>
      <c r="I357" s="330">
        <v>1</v>
      </c>
      <c r="J357" s="331">
        <v>0</v>
      </c>
      <c r="K357" s="327" t="s">
        <v>439</v>
      </c>
      <c r="L357" s="327" t="s">
        <v>439</v>
      </c>
      <c r="M357" s="327" t="s">
        <v>156</v>
      </c>
      <c r="N357" s="327" t="s">
        <v>156</v>
      </c>
      <c r="O357" s="327" t="s">
        <v>156</v>
      </c>
      <c r="P357" s="327" t="s">
        <v>156</v>
      </c>
      <c r="Q357" s="329" t="s">
        <v>580</v>
      </c>
      <c r="R357" s="327" t="s">
        <v>411</v>
      </c>
      <c r="S357" s="327" t="s">
        <v>411</v>
      </c>
      <c r="T357" s="327" t="s">
        <v>581</v>
      </c>
      <c r="U357" s="327" t="s">
        <v>582</v>
      </c>
      <c r="V357" s="327" t="s">
        <v>183</v>
      </c>
      <c r="W357" s="327" t="s">
        <v>183</v>
      </c>
      <c r="X357" s="327" t="s">
        <v>411</v>
      </c>
      <c r="Y357" s="327" t="s">
        <v>411</v>
      </c>
      <c r="Z357" s="327"/>
      <c r="AA357" s="330"/>
      <c r="AB357" s="330" t="s">
        <v>156</v>
      </c>
      <c r="AC357" s="330">
        <v>1</v>
      </c>
      <c r="AD357" s="330">
        <v>99999999</v>
      </c>
      <c r="AE357" s="327" t="s">
        <v>411</v>
      </c>
      <c r="AF357" s="327" t="s">
        <v>411</v>
      </c>
      <c r="AG357" s="327" t="s">
        <v>411</v>
      </c>
      <c r="AH357" s="327" t="s">
        <v>411</v>
      </c>
      <c r="AI357" s="330">
        <v>0</v>
      </c>
      <c r="AJ357" s="330">
        <v>0</v>
      </c>
      <c r="AK357" s="330">
        <v>0</v>
      </c>
      <c r="AL357" s="330">
        <v>0</v>
      </c>
      <c r="AM357" s="327" t="s">
        <v>183</v>
      </c>
      <c r="AN357" s="330">
        <v>0</v>
      </c>
      <c r="AO357" s="327" t="s">
        <v>411</v>
      </c>
      <c r="AP357" s="330">
        <v>1</v>
      </c>
      <c r="AQ357" s="331" t="s">
        <v>156</v>
      </c>
      <c r="AR357" s="331" t="s">
        <v>583</v>
      </c>
      <c r="AS357" s="331">
        <v>0</v>
      </c>
      <c r="AT357" s="331">
        <v>1</v>
      </c>
      <c r="AU357" s="331">
        <v>0</v>
      </c>
      <c r="AV357" s="331">
        <v>0</v>
      </c>
      <c r="AW357" s="331">
        <v>0</v>
      </c>
      <c r="AX357" s="331">
        <v>0</v>
      </c>
      <c r="AY357" s="331">
        <v>1</v>
      </c>
      <c r="AZ357" s="331">
        <v>0</v>
      </c>
      <c r="BA357" s="332">
        <v>29705</v>
      </c>
      <c r="BB357" s="331" t="s">
        <v>445</v>
      </c>
      <c r="BC357" s="331" t="s">
        <v>445</v>
      </c>
      <c r="BD357" s="332">
        <v>36413</v>
      </c>
      <c r="BE357" s="331" t="s">
        <v>445</v>
      </c>
      <c r="BF357" s="331" t="s">
        <v>445</v>
      </c>
      <c r="BG357" s="353"/>
    </row>
    <row r="358" spans="2:59" ht="15">
      <c r="B358" s="317" t="s">
        <v>412</v>
      </c>
      <c r="C358" s="327" t="s">
        <v>437</v>
      </c>
      <c r="D358" s="338" t="s">
        <v>630</v>
      </c>
      <c r="E358" s="338" t="s">
        <v>182</v>
      </c>
      <c r="F358" s="328" t="s">
        <v>185</v>
      </c>
      <c r="G358" s="327" t="s">
        <v>411</v>
      </c>
      <c r="H358" s="327" t="s">
        <v>411</v>
      </c>
      <c r="I358" s="330">
        <v>0</v>
      </c>
      <c r="J358" s="331">
        <v>30</v>
      </c>
      <c r="K358" s="327" t="s">
        <v>439</v>
      </c>
      <c r="L358" s="327" t="s">
        <v>439</v>
      </c>
      <c r="M358" s="327" t="s">
        <v>156</v>
      </c>
      <c r="N358" s="327" t="s">
        <v>156</v>
      </c>
      <c r="O358" s="327" t="s">
        <v>584</v>
      </c>
      <c r="P358" s="327" t="s">
        <v>156</v>
      </c>
      <c r="Q358" s="329" t="s">
        <v>585</v>
      </c>
      <c r="R358" s="327" t="s">
        <v>183</v>
      </c>
      <c r="S358" s="327" t="s">
        <v>411</v>
      </c>
      <c r="T358" s="327" t="s">
        <v>581</v>
      </c>
      <c r="U358" s="327" t="s">
        <v>582</v>
      </c>
      <c r="V358" s="327" t="s">
        <v>586</v>
      </c>
      <c r="W358" s="327" t="s">
        <v>183</v>
      </c>
      <c r="X358" s="327" t="s">
        <v>411</v>
      </c>
      <c r="Y358" s="327" t="s">
        <v>411</v>
      </c>
      <c r="Z358" s="327"/>
      <c r="AA358" s="330"/>
      <c r="AB358" s="330" t="s">
        <v>587</v>
      </c>
      <c r="AC358" s="333">
        <v>5000</v>
      </c>
      <c r="AD358" s="330">
        <v>99999999</v>
      </c>
      <c r="AE358" s="327" t="s">
        <v>411</v>
      </c>
      <c r="AF358" s="327" t="s">
        <v>439</v>
      </c>
      <c r="AG358" s="327" t="s">
        <v>411</v>
      </c>
      <c r="AH358" s="327" t="s">
        <v>411</v>
      </c>
      <c r="AI358" s="330">
        <v>0</v>
      </c>
      <c r="AJ358" s="330">
        <v>0</v>
      </c>
      <c r="AK358" s="330">
        <v>0</v>
      </c>
      <c r="AL358" s="330">
        <v>0</v>
      </c>
      <c r="AM358" s="327" t="s">
        <v>183</v>
      </c>
      <c r="AN358" s="330">
        <v>0</v>
      </c>
      <c r="AO358" s="327" t="s">
        <v>411</v>
      </c>
      <c r="AP358" s="330">
        <v>1</v>
      </c>
      <c r="AQ358" s="331">
        <v>1111</v>
      </c>
      <c r="AR358" s="331" t="s">
        <v>583</v>
      </c>
      <c r="AS358" s="331">
        <v>10</v>
      </c>
      <c r="AT358" s="331">
        <v>1</v>
      </c>
      <c r="AU358" s="331">
        <v>0</v>
      </c>
      <c r="AV358" s="331">
        <v>0</v>
      </c>
      <c r="AW358" s="331">
        <v>0</v>
      </c>
      <c r="AX358" s="331">
        <v>0</v>
      </c>
      <c r="AY358" s="331">
        <v>1</v>
      </c>
      <c r="AZ358" s="331">
        <v>0</v>
      </c>
      <c r="BA358" s="332">
        <v>40640.750486111108</v>
      </c>
      <c r="BB358" s="331">
        <v>470195</v>
      </c>
      <c r="BC358" s="331">
        <v>470195</v>
      </c>
      <c r="BD358" s="332">
        <v>45392.67769675926</v>
      </c>
      <c r="BE358" s="331">
        <v>363363</v>
      </c>
      <c r="BF358" s="331">
        <v>363363</v>
      </c>
      <c r="BG358" s="353"/>
    </row>
    <row r="359" spans="2:59" ht="15">
      <c r="B359" s="315" t="s">
        <v>410</v>
      </c>
      <c r="C359" s="327" t="s">
        <v>437</v>
      </c>
      <c r="D359" s="337" t="s">
        <v>629</v>
      </c>
      <c r="E359" s="338" t="s">
        <v>182</v>
      </c>
      <c r="F359" s="334" t="s">
        <v>454</v>
      </c>
      <c r="G359" s="327" t="s">
        <v>411</v>
      </c>
      <c r="H359" s="327" t="s">
        <v>411</v>
      </c>
      <c r="I359" s="330">
        <v>1</v>
      </c>
      <c r="J359" s="331">
        <v>0</v>
      </c>
      <c r="K359" s="327" t="s">
        <v>183</v>
      </c>
      <c r="L359" s="327"/>
      <c r="M359" s="327" t="s">
        <v>156</v>
      </c>
      <c r="N359" s="327" t="s">
        <v>156</v>
      </c>
      <c r="O359" s="327" t="s">
        <v>156</v>
      </c>
      <c r="P359" s="327" t="s">
        <v>156</v>
      </c>
      <c r="Q359" s="329" t="s">
        <v>580</v>
      </c>
      <c r="R359" s="327" t="s">
        <v>411</v>
      </c>
      <c r="S359" s="327" t="s">
        <v>411</v>
      </c>
      <c r="T359" s="327" t="s">
        <v>581</v>
      </c>
      <c r="U359" s="327" t="s">
        <v>582</v>
      </c>
      <c r="V359" s="327" t="s">
        <v>183</v>
      </c>
      <c r="W359" s="327" t="s">
        <v>183</v>
      </c>
      <c r="X359" s="327" t="s">
        <v>411</v>
      </c>
      <c r="Y359" s="327" t="s">
        <v>411</v>
      </c>
      <c r="Z359" s="327" t="s">
        <v>156</v>
      </c>
      <c r="AA359" s="330" t="s">
        <v>156</v>
      </c>
      <c r="AB359" s="330" t="s">
        <v>156</v>
      </c>
      <c r="AC359" s="330">
        <v>1</v>
      </c>
      <c r="AD359" s="330">
        <v>99999999</v>
      </c>
      <c r="AE359" s="327" t="s">
        <v>411</v>
      </c>
      <c r="AF359" s="327" t="s">
        <v>411</v>
      </c>
      <c r="AG359" s="327" t="s">
        <v>411</v>
      </c>
      <c r="AH359" s="327" t="s">
        <v>411</v>
      </c>
      <c r="AI359" s="330">
        <v>0</v>
      </c>
      <c r="AJ359" s="330">
        <v>0</v>
      </c>
      <c r="AK359" s="330">
        <v>0</v>
      </c>
      <c r="AL359" s="330">
        <v>0</v>
      </c>
      <c r="AM359" s="327" t="s">
        <v>183</v>
      </c>
      <c r="AN359" s="330">
        <v>0</v>
      </c>
      <c r="AO359" s="327" t="s">
        <v>411</v>
      </c>
      <c r="AP359" s="330">
        <v>1</v>
      </c>
      <c r="AQ359" s="331" t="s">
        <v>156</v>
      </c>
      <c r="AR359" s="331" t="s">
        <v>583</v>
      </c>
      <c r="AS359" s="331">
        <v>0</v>
      </c>
      <c r="AT359" s="331">
        <v>1</v>
      </c>
      <c r="AU359" s="331">
        <v>0</v>
      </c>
      <c r="AV359" s="331">
        <v>0</v>
      </c>
      <c r="AW359" s="331">
        <v>0</v>
      </c>
      <c r="AX359" s="331">
        <v>0</v>
      </c>
      <c r="AY359" s="331">
        <v>1</v>
      </c>
      <c r="AZ359" s="331">
        <v>0</v>
      </c>
      <c r="BA359" s="332">
        <v>29705</v>
      </c>
      <c r="BB359" s="331" t="s">
        <v>445</v>
      </c>
      <c r="BC359" s="331" t="s">
        <v>445</v>
      </c>
      <c r="BD359" s="332">
        <v>36413</v>
      </c>
      <c r="BE359" s="331" t="s">
        <v>445</v>
      </c>
      <c r="BF359" s="331" t="s">
        <v>445</v>
      </c>
      <c r="BG359" s="353"/>
    </row>
    <row r="360" spans="2:59" ht="14">
      <c r="B360" s="315" t="s">
        <v>410</v>
      </c>
      <c r="C360" s="327" t="s">
        <v>437</v>
      </c>
      <c r="D360" s="337" t="s">
        <v>182</v>
      </c>
      <c r="E360" s="327" t="s">
        <v>453</v>
      </c>
      <c r="F360" s="327" t="s">
        <v>185</v>
      </c>
      <c r="G360" s="327" t="s">
        <v>411</v>
      </c>
      <c r="H360" s="327" t="s">
        <v>411</v>
      </c>
      <c r="I360" s="327">
        <v>0</v>
      </c>
      <c r="J360" s="327">
        <v>30</v>
      </c>
      <c r="K360" s="327" t="s">
        <v>611</v>
      </c>
      <c r="L360" s="327"/>
      <c r="M360" s="327" t="s">
        <v>156</v>
      </c>
      <c r="N360" s="327" t="s">
        <v>156</v>
      </c>
      <c r="O360" s="327" t="s">
        <v>584</v>
      </c>
      <c r="P360" s="327" t="s">
        <v>156</v>
      </c>
      <c r="Q360" s="327" t="s">
        <v>585</v>
      </c>
      <c r="R360" s="327" t="s">
        <v>183</v>
      </c>
      <c r="S360" s="327" t="s">
        <v>411</v>
      </c>
      <c r="T360" s="327" t="s">
        <v>581</v>
      </c>
      <c r="U360" s="327" t="s">
        <v>582</v>
      </c>
      <c r="V360" s="327" t="s">
        <v>586</v>
      </c>
      <c r="W360" s="327" t="s">
        <v>183</v>
      </c>
      <c r="X360" s="327" t="s">
        <v>411</v>
      </c>
      <c r="Y360" s="327" t="s">
        <v>411</v>
      </c>
      <c r="Z360" s="327"/>
      <c r="AA360" s="327"/>
      <c r="AB360" s="327" t="s">
        <v>587</v>
      </c>
      <c r="AC360" s="327">
        <v>5000</v>
      </c>
      <c r="AD360" s="327">
        <v>99999999</v>
      </c>
      <c r="AE360" s="327" t="s">
        <v>411</v>
      </c>
      <c r="AF360" s="327" t="s">
        <v>439</v>
      </c>
      <c r="AG360" s="327" t="s">
        <v>411</v>
      </c>
      <c r="AH360" s="327" t="s">
        <v>411</v>
      </c>
      <c r="AI360" s="327">
        <v>0</v>
      </c>
      <c r="AJ360" s="327">
        <v>0</v>
      </c>
      <c r="AK360" s="327">
        <v>0</v>
      </c>
      <c r="AL360" s="327">
        <v>0</v>
      </c>
      <c r="AM360" s="327" t="s">
        <v>183</v>
      </c>
      <c r="AN360" s="327">
        <v>0</v>
      </c>
      <c r="AO360" s="327" t="s">
        <v>411</v>
      </c>
      <c r="AP360" s="327">
        <v>1</v>
      </c>
      <c r="AQ360" s="327">
        <v>1111</v>
      </c>
      <c r="AR360" s="327" t="s">
        <v>583</v>
      </c>
      <c r="AS360" s="327">
        <v>10</v>
      </c>
      <c r="AT360" s="327">
        <v>1</v>
      </c>
      <c r="AU360" s="327">
        <v>0</v>
      </c>
      <c r="AV360" s="327">
        <v>0</v>
      </c>
      <c r="AW360" s="327">
        <v>0</v>
      </c>
      <c r="AX360" s="327">
        <v>0</v>
      </c>
      <c r="AY360" s="327">
        <v>1</v>
      </c>
      <c r="AZ360" s="327">
        <v>0</v>
      </c>
      <c r="BA360" s="327">
        <v>40640.750486111108</v>
      </c>
      <c r="BB360" s="327">
        <v>470195</v>
      </c>
      <c r="BC360" s="327">
        <v>470195</v>
      </c>
      <c r="BD360" s="327">
        <v>45392.67769675926</v>
      </c>
      <c r="BE360" s="327">
        <v>363363</v>
      </c>
      <c r="BF360" s="327">
        <v>363363</v>
      </c>
      <c r="BG360" s="353"/>
    </row>
    <row r="361" spans="2:59" ht="14">
      <c r="B361" s="358"/>
      <c r="C361" s="359"/>
      <c r="D361" s="359"/>
      <c r="E361" s="359"/>
      <c r="F361" s="359"/>
      <c r="G361" s="359"/>
      <c r="H361" s="359"/>
      <c r="I361" s="359"/>
      <c r="J361" s="359"/>
      <c r="M361" s="359"/>
      <c r="N361" s="359"/>
      <c r="O361" s="359"/>
      <c r="BG361" s="353"/>
    </row>
    <row r="362" spans="2:59" ht="14">
      <c r="B362" s="358"/>
      <c r="C362" s="359" t="s">
        <v>153</v>
      </c>
      <c r="D362" s="359"/>
      <c r="E362" s="359"/>
      <c r="F362" s="359"/>
      <c r="G362" s="359"/>
      <c r="H362" s="359"/>
      <c r="I362" s="359"/>
      <c r="J362" s="359"/>
      <c r="M362" s="359"/>
      <c r="N362" s="359"/>
      <c r="O362" s="359"/>
      <c r="BG362" s="353"/>
    </row>
    <row r="363" spans="2:59" ht="14">
      <c r="B363" s="358"/>
      <c r="C363" s="359" t="s">
        <v>154</v>
      </c>
      <c r="D363" s="359" t="s">
        <v>155</v>
      </c>
      <c r="E363" s="359" t="s">
        <v>157</v>
      </c>
      <c r="F363" s="359" t="s">
        <v>158</v>
      </c>
      <c r="G363" s="359" t="s">
        <v>356</v>
      </c>
      <c r="H363" s="359" t="s">
        <v>357</v>
      </c>
      <c r="I363" s="359" t="s">
        <v>358</v>
      </c>
      <c r="J363" s="359" t="s">
        <v>359</v>
      </c>
      <c r="K363" s="359" t="s">
        <v>360</v>
      </c>
      <c r="L363" s="359" t="s">
        <v>361</v>
      </c>
      <c r="M363" s="359" t="s">
        <v>362</v>
      </c>
      <c r="BG363" s="353"/>
    </row>
    <row r="364" spans="2:59" ht="14">
      <c r="B364" s="358"/>
      <c r="C364" s="359">
        <v>0</v>
      </c>
      <c r="D364" s="359">
        <v>0</v>
      </c>
      <c r="E364" s="359">
        <v>0</v>
      </c>
      <c r="F364" s="359" t="s">
        <v>156</v>
      </c>
      <c r="G364" s="359" t="s">
        <v>156</v>
      </c>
      <c r="H364" s="359">
        <v>1</v>
      </c>
      <c r="I364" s="359">
        <v>4</v>
      </c>
      <c r="J364" s="359">
        <v>5</v>
      </c>
      <c r="K364" s="359">
        <v>0</v>
      </c>
      <c r="L364" s="359">
        <v>30</v>
      </c>
      <c r="M364" s="359">
        <v>0</v>
      </c>
      <c r="BG364" s="353"/>
    </row>
    <row r="365" spans="2:59" ht="14.5" thickBot="1">
      <c r="B365" s="358"/>
      <c r="C365" s="359"/>
      <c r="D365" s="359"/>
      <c r="E365" s="359"/>
      <c r="F365" s="359"/>
      <c r="G365" s="359"/>
      <c r="H365" s="359"/>
      <c r="I365" s="359"/>
      <c r="J365" s="359"/>
      <c r="M365" s="359"/>
      <c r="N365" s="359"/>
      <c r="O365" s="359"/>
      <c r="BG365" s="353"/>
    </row>
    <row r="366" spans="2:59" ht="14" thickBot="1">
      <c r="B366" s="299" t="s">
        <v>696</v>
      </c>
      <c r="C366" s="300" t="s">
        <v>695</v>
      </c>
      <c r="D366" s="300"/>
      <c r="E366" s="300"/>
      <c r="F366" s="300"/>
      <c r="G366" s="300"/>
      <c r="H366" s="300"/>
      <c r="I366" s="300"/>
      <c r="J366" s="300"/>
      <c r="K366" s="300"/>
      <c r="L366" s="300"/>
      <c r="M366" s="300"/>
      <c r="N366" s="300"/>
      <c r="O366" s="300"/>
      <c r="P366" s="300"/>
      <c r="Q366" s="300"/>
      <c r="R366" s="300"/>
      <c r="S366" s="300"/>
      <c r="T366" s="300"/>
      <c r="U366" s="300"/>
      <c r="V366" s="300"/>
      <c r="W366" s="300"/>
      <c r="X366" s="300"/>
      <c r="Y366" s="300"/>
      <c r="Z366" s="300"/>
      <c r="AA366" s="300"/>
      <c r="AB366" s="300"/>
      <c r="AC366" s="300"/>
      <c r="AD366" s="300"/>
      <c r="AE366" s="300"/>
      <c r="AF366" s="300"/>
      <c r="AG366" s="300"/>
      <c r="AH366" s="300"/>
      <c r="AI366" s="300"/>
      <c r="AJ366" s="300"/>
      <c r="AK366" s="300"/>
      <c r="AL366" s="300"/>
      <c r="AM366" s="300"/>
      <c r="AN366" s="300"/>
      <c r="AO366" s="300"/>
      <c r="AP366" s="300"/>
      <c r="AQ366" s="300"/>
      <c r="AR366" s="300"/>
      <c r="AS366" s="300"/>
      <c r="AT366" s="300"/>
      <c r="AU366" s="300"/>
      <c r="AV366" s="300"/>
      <c r="AW366" s="300"/>
      <c r="AX366" s="300"/>
      <c r="AY366" s="300"/>
      <c r="AZ366" s="300"/>
      <c r="BA366" s="300"/>
      <c r="BB366" s="300"/>
      <c r="BC366" s="300"/>
      <c r="BD366" s="300"/>
      <c r="BE366" s="300"/>
      <c r="BF366" s="300"/>
      <c r="BG366" s="353"/>
    </row>
    <row r="367" spans="2:59" ht="14" thickBot="1">
      <c r="B367" s="335" t="s">
        <v>601</v>
      </c>
      <c r="C367" s="300" t="s">
        <v>395</v>
      </c>
      <c r="D367" s="300"/>
      <c r="E367" s="300"/>
      <c r="F367" s="300"/>
      <c r="G367" s="300"/>
      <c r="H367" s="300"/>
      <c r="I367" s="300"/>
      <c r="J367" s="300"/>
      <c r="K367" s="300"/>
      <c r="L367" s="300"/>
      <c r="M367" s="300"/>
      <c r="N367" s="300"/>
      <c r="O367" s="300"/>
      <c r="P367" s="300"/>
      <c r="Q367" s="300"/>
      <c r="R367" s="300"/>
      <c r="S367" s="300"/>
      <c r="T367" s="300"/>
      <c r="U367" s="300"/>
      <c r="V367" s="300"/>
      <c r="W367" s="300"/>
      <c r="X367" s="300"/>
      <c r="Y367" s="300"/>
      <c r="Z367" s="300"/>
      <c r="AA367" s="300"/>
      <c r="AB367" s="300"/>
      <c r="AC367" s="300"/>
      <c r="AD367" s="300"/>
      <c r="AE367" s="300"/>
      <c r="AF367" s="300"/>
      <c r="AG367" s="300"/>
      <c r="AH367" s="300"/>
      <c r="AI367" s="300"/>
      <c r="AJ367" s="300"/>
      <c r="AK367" s="300"/>
      <c r="AL367" s="300"/>
      <c r="AM367" s="300"/>
      <c r="AN367" s="300"/>
      <c r="AO367" s="300"/>
      <c r="AP367" s="300"/>
      <c r="AQ367" s="300"/>
      <c r="AR367" s="300"/>
      <c r="AS367" s="300"/>
      <c r="AT367" s="300"/>
      <c r="AU367" s="300"/>
      <c r="AV367" s="300"/>
      <c r="AW367" s="300"/>
      <c r="AX367" s="300"/>
      <c r="AY367" s="300"/>
      <c r="AZ367" s="300"/>
      <c r="BA367" s="300"/>
      <c r="BB367" s="300"/>
      <c r="BC367" s="300"/>
      <c r="BD367" s="300"/>
      <c r="BE367" s="300"/>
      <c r="BF367" s="300"/>
      <c r="BG367" s="353"/>
    </row>
    <row r="368" spans="2:59" ht="14">
      <c r="B368" s="358"/>
      <c r="C368" s="359"/>
      <c r="D368" s="359"/>
      <c r="E368" s="359"/>
      <c r="F368" s="359"/>
      <c r="G368" s="359"/>
      <c r="H368" s="359"/>
      <c r="I368" s="359"/>
      <c r="J368" s="359"/>
      <c r="M368" s="359"/>
      <c r="N368" s="359"/>
      <c r="O368" s="359"/>
      <c r="BG368" s="353"/>
    </row>
    <row r="369" spans="1:59" ht="14">
      <c r="B369" s="358"/>
      <c r="C369" s="356" t="s">
        <v>396</v>
      </c>
      <c r="D369" s="359"/>
      <c r="E369" s="359"/>
      <c r="F369" s="359"/>
      <c r="G369" s="359"/>
      <c r="H369" s="359"/>
      <c r="I369" s="359"/>
      <c r="J369" s="359"/>
      <c r="M369" s="359"/>
      <c r="N369" s="359"/>
      <c r="O369" s="359"/>
      <c r="BG369" s="353"/>
    </row>
    <row r="370" spans="1:59" ht="14">
      <c r="B370" s="358"/>
      <c r="C370" s="359" t="s">
        <v>724</v>
      </c>
      <c r="D370" s="359"/>
      <c r="E370" s="359"/>
      <c r="F370" s="359"/>
      <c r="G370" s="359"/>
      <c r="H370" s="359"/>
      <c r="I370" s="359"/>
      <c r="J370" s="359"/>
      <c r="M370" s="359"/>
      <c r="N370" s="359"/>
      <c r="O370" s="359"/>
      <c r="BG370" s="353"/>
    </row>
    <row r="371" spans="1:59" ht="14">
      <c r="B371" s="358"/>
      <c r="C371" s="359"/>
      <c r="D371" s="359"/>
      <c r="E371" s="359"/>
      <c r="F371" s="359"/>
      <c r="G371" s="359"/>
      <c r="H371" s="359"/>
      <c r="I371" s="359"/>
      <c r="J371" s="359"/>
      <c r="M371" s="359"/>
      <c r="N371" s="359"/>
      <c r="O371" s="359"/>
      <c r="BG371" s="353"/>
    </row>
    <row r="372" spans="1:59" s="27" customFormat="1" ht="19.5" customHeight="1">
      <c r="B372" s="362"/>
      <c r="C372" s="320" t="s">
        <v>436</v>
      </c>
      <c r="D372" s="321"/>
      <c r="E372" s="321"/>
      <c r="F372" s="291"/>
      <c r="G372" s="291"/>
      <c r="H372" s="291"/>
      <c r="I372" s="291"/>
      <c r="J372" s="291"/>
      <c r="K372" s="291"/>
      <c r="L372" s="291"/>
      <c r="M372" s="291"/>
      <c r="N372" s="291"/>
      <c r="O372" s="291"/>
      <c r="P372" s="291"/>
      <c r="Q372" s="291"/>
      <c r="R372" s="291"/>
      <c r="S372" s="291"/>
      <c r="T372" s="291"/>
      <c r="U372" s="291"/>
      <c r="V372" s="291"/>
      <c r="W372" s="291"/>
      <c r="X372" s="292"/>
      <c r="Y372" s="68"/>
      <c r="Z372" s="68"/>
      <c r="AA372" s="68"/>
      <c r="AB372" s="68"/>
      <c r="AC372" s="68"/>
      <c r="AD372" s="306"/>
      <c r="AH372" s="303"/>
      <c r="AJ372" s="69"/>
      <c r="AK372" s="69"/>
      <c r="AL372" s="69"/>
      <c r="AM372" s="69"/>
      <c r="AN372" s="70"/>
      <c r="AO372" s="70"/>
      <c r="AP372" s="70"/>
      <c r="BG372" s="122"/>
    </row>
    <row r="373" spans="1:59" s="72" customFormat="1" ht="16.5" customHeight="1">
      <c r="A373" s="293"/>
      <c r="B373" s="363"/>
      <c r="C373" s="322"/>
      <c r="D373" s="322"/>
      <c r="E373" s="322"/>
      <c r="F373" s="319" t="s">
        <v>169</v>
      </c>
      <c r="G373" s="319" t="s">
        <v>169</v>
      </c>
      <c r="H373" s="319" t="s">
        <v>169</v>
      </c>
      <c r="I373" s="319"/>
      <c r="J373" s="319"/>
      <c r="K373" s="319"/>
      <c r="L373" s="319"/>
      <c r="M373" s="319"/>
      <c r="N373" s="319"/>
      <c r="O373" s="319"/>
      <c r="P373" s="319"/>
      <c r="Q373" s="319"/>
      <c r="R373" s="319"/>
      <c r="S373" s="319"/>
      <c r="T373" s="319"/>
      <c r="U373" s="319"/>
      <c r="V373" s="319"/>
      <c r="W373" s="319"/>
      <c r="X373" s="319"/>
      <c r="Y373" s="319"/>
      <c r="Z373" s="319"/>
      <c r="AA373" s="319"/>
      <c r="AB373" s="319"/>
      <c r="AC373" s="319"/>
      <c r="AD373" s="319"/>
      <c r="AH373" s="304"/>
      <c r="AI373" s="71"/>
      <c r="AJ373" s="71"/>
      <c r="AK373" s="71"/>
      <c r="AL373" s="71"/>
      <c r="AM373" s="71"/>
      <c r="BG373" s="364"/>
    </row>
    <row r="374" spans="1:59" s="78" customFormat="1" ht="92" customHeight="1">
      <c r="A374" s="73"/>
      <c r="B374" s="365"/>
      <c r="C374" s="312" t="s">
        <v>172</v>
      </c>
      <c r="D374" s="312" t="s">
        <v>173</v>
      </c>
      <c r="E374" s="312" t="s">
        <v>174</v>
      </c>
      <c r="F374" s="314" t="s">
        <v>91</v>
      </c>
      <c r="G374" s="314" t="s">
        <v>67</v>
      </c>
      <c r="H374" s="314" t="s">
        <v>69</v>
      </c>
      <c r="I374" s="314" t="s">
        <v>457</v>
      </c>
      <c r="J374" s="314" t="s">
        <v>458</v>
      </c>
      <c r="K374" s="314" t="s">
        <v>459</v>
      </c>
      <c r="L374" s="314" t="s">
        <v>460</v>
      </c>
      <c r="M374" s="314" t="s">
        <v>461</v>
      </c>
      <c r="N374" s="314" t="s">
        <v>462</v>
      </c>
      <c r="O374" s="314" t="s">
        <v>463</v>
      </c>
      <c r="P374" s="314" t="s">
        <v>464</v>
      </c>
      <c r="Q374" s="314" t="s">
        <v>465</v>
      </c>
      <c r="R374" s="314" t="s">
        <v>466</v>
      </c>
      <c r="S374" s="314" t="s">
        <v>467</v>
      </c>
      <c r="T374" s="314" t="s">
        <v>468</v>
      </c>
      <c r="U374" s="314" t="s">
        <v>469</v>
      </c>
      <c r="V374" s="314" t="s">
        <v>470</v>
      </c>
      <c r="W374" s="314" t="s">
        <v>471</v>
      </c>
      <c r="X374" s="314" t="s">
        <v>397</v>
      </c>
      <c r="Y374" s="314" t="s">
        <v>398</v>
      </c>
      <c r="Z374" s="314" t="s">
        <v>399</v>
      </c>
      <c r="AA374" s="314" t="s">
        <v>400</v>
      </c>
      <c r="AB374" s="314" t="s">
        <v>151</v>
      </c>
      <c r="AC374" s="314" t="s">
        <v>152</v>
      </c>
      <c r="AD374" s="314" t="s">
        <v>401</v>
      </c>
      <c r="AH374" s="305"/>
      <c r="AI374" s="69"/>
      <c r="AJ374" s="76"/>
      <c r="AK374" s="76"/>
      <c r="AL374" s="76"/>
      <c r="AM374" s="76"/>
      <c r="AN374" s="77"/>
      <c r="AO374" s="77"/>
      <c r="AP374" s="77"/>
      <c r="BG374" s="366"/>
    </row>
    <row r="375" spans="1:59" s="78" customFormat="1" ht="15">
      <c r="A375" s="73"/>
      <c r="B375" s="365"/>
      <c r="C375" s="312" t="s">
        <v>371</v>
      </c>
      <c r="D375" s="312" t="s">
        <v>381</v>
      </c>
      <c r="E375" s="312" t="s">
        <v>390</v>
      </c>
      <c r="F375" s="313" t="s">
        <v>418</v>
      </c>
      <c r="G375" s="313" t="s">
        <v>419</v>
      </c>
      <c r="H375" s="313" t="s">
        <v>421</v>
      </c>
      <c r="I375" s="313" t="s">
        <v>420</v>
      </c>
      <c r="J375" s="313" t="s">
        <v>422</v>
      </c>
      <c r="K375" s="313" t="s">
        <v>423</v>
      </c>
      <c r="L375" s="313" t="s">
        <v>424</v>
      </c>
      <c r="M375" s="313" t="s">
        <v>425</v>
      </c>
      <c r="N375" s="313" t="s">
        <v>426</v>
      </c>
      <c r="O375" s="313" t="s">
        <v>427</v>
      </c>
      <c r="P375" s="313" t="s">
        <v>428</v>
      </c>
      <c r="Q375" s="313" t="s">
        <v>429</v>
      </c>
      <c r="R375" s="313" t="s">
        <v>430</v>
      </c>
      <c r="S375" s="313" t="s">
        <v>431</v>
      </c>
      <c r="T375" s="313" t="s">
        <v>432</v>
      </c>
      <c r="U375" s="313" t="s">
        <v>433</v>
      </c>
      <c r="V375" s="313" t="s">
        <v>434</v>
      </c>
      <c r="W375" s="313" t="s">
        <v>435</v>
      </c>
      <c r="X375" s="313" t="s">
        <v>403</v>
      </c>
      <c r="Y375" s="313" t="s">
        <v>404</v>
      </c>
      <c r="Z375" s="313" t="s">
        <v>405</v>
      </c>
      <c r="AA375" s="313" t="s">
        <v>406</v>
      </c>
      <c r="AB375" s="313" t="s">
        <v>407</v>
      </c>
      <c r="AC375" s="313" t="s">
        <v>408</v>
      </c>
      <c r="AD375" s="313" t="s">
        <v>409</v>
      </c>
      <c r="AH375" s="305"/>
      <c r="AI375" s="69"/>
      <c r="AJ375" s="76"/>
      <c r="AK375" s="76"/>
      <c r="AL375" s="76"/>
      <c r="AM375" s="76"/>
      <c r="AN375" s="77"/>
      <c r="AO375" s="77"/>
      <c r="AP375" s="77"/>
      <c r="BG375" s="366"/>
    </row>
    <row r="376" spans="1:59" s="70" customFormat="1" ht="13.5" customHeight="1">
      <c r="A376" s="79"/>
      <c r="B376" s="367"/>
      <c r="C376" s="312" t="s">
        <v>472</v>
      </c>
      <c r="D376" s="312" t="s">
        <v>473</v>
      </c>
      <c r="E376" s="312" t="s">
        <v>473</v>
      </c>
      <c r="F376" s="314" t="s">
        <v>474</v>
      </c>
      <c r="G376" s="314" t="s">
        <v>474</v>
      </c>
      <c r="H376" s="314" t="s">
        <v>475</v>
      </c>
      <c r="I376" s="314" t="s">
        <v>474</v>
      </c>
      <c r="J376" s="314" t="s">
        <v>476</v>
      </c>
      <c r="K376" s="314" t="s">
        <v>477</v>
      </c>
      <c r="L376" s="313" t="s">
        <v>478</v>
      </c>
      <c r="M376" s="314" t="s">
        <v>478</v>
      </c>
      <c r="N376" s="314" t="s">
        <v>479</v>
      </c>
      <c r="O376" s="314" t="s">
        <v>474</v>
      </c>
      <c r="P376" s="314" t="s">
        <v>480</v>
      </c>
      <c r="Q376" s="314" t="s">
        <v>481</v>
      </c>
      <c r="R376" s="314" t="s">
        <v>480</v>
      </c>
      <c r="S376" s="314" t="s">
        <v>482</v>
      </c>
      <c r="T376" s="313" t="s">
        <v>483</v>
      </c>
      <c r="U376" s="314" t="s">
        <v>483</v>
      </c>
      <c r="V376" s="314" t="s">
        <v>484</v>
      </c>
      <c r="W376" s="314" t="s">
        <v>474</v>
      </c>
      <c r="X376" s="314" t="s">
        <v>485</v>
      </c>
      <c r="Y376" s="314" t="s">
        <v>487</v>
      </c>
      <c r="Z376" s="314" t="s">
        <v>488</v>
      </c>
      <c r="AA376" s="314" t="s">
        <v>488</v>
      </c>
      <c r="AB376" s="313" t="s">
        <v>486</v>
      </c>
      <c r="AC376" s="314" t="s">
        <v>488</v>
      </c>
      <c r="AD376" s="314" t="s">
        <v>488</v>
      </c>
      <c r="AH376" s="303"/>
      <c r="AI376" s="69"/>
      <c r="AJ376" s="69"/>
      <c r="AK376" s="69"/>
      <c r="AL376" s="69"/>
      <c r="AM376" s="69"/>
      <c r="BG376" s="368"/>
    </row>
    <row r="377" spans="1:59" s="27" customFormat="1" ht="13.5" customHeight="1">
      <c r="A377" s="82"/>
      <c r="B377" s="315" t="s">
        <v>410</v>
      </c>
      <c r="C377" s="337" t="s">
        <v>684</v>
      </c>
      <c r="D377" s="313" t="s">
        <v>438</v>
      </c>
      <c r="E377" s="338" t="s">
        <v>630</v>
      </c>
      <c r="F377" s="314" t="s">
        <v>183</v>
      </c>
      <c r="G377" s="314" t="s">
        <v>439</v>
      </c>
      <c r="H377" s="314" t="s">
        <v>184</v>
      </c>
      <c r="I377" s="314" t="s">
        <v>439</v>
      </c>
      <c r="J377" s="314" t="s">
        <v>440</v>
      </c>
      <c r="K377" s="314" t="s">
        <v>411</v>
      </c>
      <c r="L377" s="313" t="s">
        <v>156</v>
      </c>
      <c r="M377" s="314" t="s">
        <v>441</v>
      </c>
      <c r="N377" s="314"/>
      <c r="O377" s="314" t="s">
        <v>183</v>
      </c>
      <c r="P377" s="314" t="s">
        <v>156</v>
      </c>
      <c r="Q377" s="314" t="s">
        <v>442</v>
      </c>
      <c r="R377" s="314" t="s">
        <v>443</v>
      </c>
      <c r="S377" s="314"/>
      <c r="T377" s="313" t="s">
        <v>156</v>
      </c>
      <c r="U377" s="314" t="s">
        <v>156</v>
      </c>
      <c r="V377" s="314" t="s">
        <v>156</v>
      </c>
      <c r="W377" s="314"/>
      <c r="X377" s="314" t="s">
        <v>411</v>
      </c>
      <c r="Y377" s="314" t="s">
        <v>444</v>
      </c>
      <c r="Z377" s="314" t="s">
        <v>445</v>
      </c>
      <c r="AA377" s="314" t="s">
        <v>445</v>
      </c>
      <c r="AB377" s="313" t="s">
        <v>446</v>
      </c>
      <c r="AC377" s="314" t="s">
        <v>447</v>
      </c>
      <c r="AD377" s="314" t="s">
        <v>447</v>
      </c>
      <c r="AH377" s="303"/>
      <c r="AI377" s="69"/>
      <c r="AJ377" s="69"/>
      <c r="AK377" s="85"/>
      <c r="AL377" s="69"/>
      <c r="AM377" s="69"/>
      <c r="AN377" s="70"/>
      <c r="AO377" s="70"/>
      <c r="AP377" s="70"/>
      <c r="BG377" s="122"/>
    </row>
    <row r="378" spans="1:59" s="27" customFormat="1" ht="13.5" customHeight="1">
      <c r="A378" s="86"/>
      <c r="B378" s="317" t="s">
        <v>412</v>
      </c>
      <c r="C378" s="316" t="s">
        <v>685</v>
      </c>
      <c r="D378" s="313" t="s">
        <v>438</v>
      </c>
      <c r="E378" s="314" t="s">
        <v>630</v>
      </c>
      <c r="F378" s="314" t="s">
        <v>183</v>
      </c>
      <c r="G378" s="314" t="s">
        <v>183</v>
      </c>
      <c r="H378" s="314" t="s">
        <v>184</v>
      </c>
      <c r="I378" s="327"/>
      <c r="J378" s="314" t="s">
        <v>184</v>
      </c>
      <c r="K378" s="314" t="s">
        <v>411</v>
      </c>
      <c r="L378" s="313" t="s">
        <v>448</v>
      </c>
      <c r="M378" s="314" t="s">
        <v>441</v>
      </c>
      <c r="N378" s="314"/>
      <c r="O378" s="314" t="s">
        <v>411</v>
      </c>
      <c r="P378" s="314" t="s">
        <v>156</v>
      </c>
      <c r="Q378" s="314" t="s">
        <v>184</v>
      </c>
      <c r="R378" s="314" t="s">
        <v>449</v>
      </c>
      <c r="S378" s="314"/>
      <c r="T378" s="313" t="s">
        <v>156</v>
      </c>
      <c r="U378" s="314" t="s">
        <v>156</v>
      </c>
      <c r="V378" s="314" t="s">
        <v>156</v>
      </c>
      <c r="W378" s="314"/>
      <c r="X378" s="314" t="s">
        <v>411</v>
      </c>
      <c r="Y378" s="314" t="s">
        <v>450</v>
      </c>
      <c r="Z378" s="314" t="s">
        <v>451</v>
      </c>
      <c r="AA378" s="314">
        <v>470195</v>
      </c>
      <c r="AB378" s="313" t="s">
        <v>450</v>
      </c>
      <c r="AC378" s="314">
        <v>470195</v>
      </c>
      <c r="AD378" s="314" t="s">
        <v>451</v>
      </c>
      <c r="AH378" s="303"/>
      <c r="AI378" s="69"/>
      <c r="AJ378" s="63"/>
      <c r="AK378" s="85"/>
      <c r="AL378" s="69"/>
      <c r="AM378" s="69"/>
      <c r="AN378" s="70"/>
      <c r="AO378" s="70"/>
      <c r="AP378" s="70"/>
      <c r="BG378" s="122"/>
    </row>
    <row r="379" spans="1:59" s="27" customFormat="1" ht="13.5" customHeight="1">
      <c r="A379" s="87"/>
      <c r="B379" s="315" t="s">
        <v>410</v>
      </c>
      <c r="C379" s="337" t="s">
        <v>645</v>
      </c>
      <c r="D379" s="316" t="s">
        <v>438</v>
      </c>
      <c r="E379" s="316" t="s">
        <v>438</v>
      </c>
      <c r="F379" s="316" t="s">
        <v>183</v>
      </c>
      <c r="G379" s="316" t="s">
        <v>439</v>
      </c>
      <c r="H379" s="316" t="s">
        <v>184</v>
      </c>
      <c r="I379" s="316" t="s">
        <v>439</v>
      </c>
      <c r="J379" s="316" t="s">
        <v>646</v>
      </c>
      <c r="K379" s="316" t="s">
        <v>411</v>
      </c>
      <c r="L379" s="316" t="s">
        <v>156</v>
      </c>
      <c r="M379" s="316" t="s">
        <v>441</v>
      </c>
      <c r="N379" s="316"/>
      <c r="O379" s="316" t="s">
        <v>183</v>
      </c>
      <c r="P379" s="316" t="s">
        <v>156</v>
      </c>
      <c r="Q379" s="316" t="s">
        <v>442</v>
      </c>
      <c r="R379" s="316" t="s">
        <v>647</v>
      </c>
      <c r="S379" s="316"/>
      <c r="T379" s="316" t="s">
        <v>648</v>
      </c>
      <c r="U379" s="316" t="s">
        <v>649</v>
      </c>
      <c r="V379" s="316" t="s">
        <v>650</v>
      </c>
      <c r="W379" s="316"/>
      <c r="X379" s="316" t="s">
        <v>411</v>
      </c>
      <c r="Y379" s="316" t="s">
        <v>444</v>
      </c>
      <c r="Z379" s="316" t="s">
        <v>445</v>
      </c>
      <c r="AA379" s="316" t="s">
        <v>445</v>
      </c>
      <c r="AB379" s="316" t="s">
        <v>651</v>
      </c>
      <c r="AC379" s="316">
        <v>375901</v>
      </c>
      <c r="AD379" s="316" t="s">
        <v>652</v>
      </c>
      <c r="AH379" s="303"/>
      <c r="AI379" s="69"/>
      <c r="AJ379" s="63"/>
      <c r="AK379" s="85"/>
      <c r="AL379" s="69"/>
      <c r="AM379" s="69"/>
      <c r="AN379" s="70"/>
      <c r="AO379" s="70"/>
      <c r="AP379" s="70"/>
      <c r="BG379" s="122"/>
    </row>
    <row r="380" spans="1:59" s="27" customFormat="1" ht="13.5" customHeight="1">
      <c r="A380" s="87"/>
      <c r="B380" s="315" t="s">
        <v>410</v>
      </c>
      <c r="C380" s="337" t="s">
        <v>659</v>
      </c>
      <c r="D380" s="327" t="s">
        <v>438</v>
      </c>
      <c r="E380" s="327" t="s">
        <v>438</v>
      </c>
      <c r="F380" s="327" t="s">
        <v>183</v>
      </c>
      <c r="G380" s="327" t="s">
        <v>439</v>
      </c>
      <c r="H380" s="327" t="s">
        <v>184</v>
      </c>
      <c r="I380" s="327" t="s">
        <v>439</v>
      </c>
      <c r="J380" s="327" t="s">
        <v>653</v>
      </c>
      <c r="K380" s="327" t="s">
        <v>411</v>
      </c>
      <c r="L380" s="327" t="s">
        <v>654</v>
      </c>
      <c r="M380" s="327" t="s">
        <v>441</v>
      </c>
      <c r="N380" s="327"/>
      <c r="O380" s="327" t="s">
        <v>439</v>
      </c>
      <c r="P380" s="327" t="s">
        <v>156</v>
      </c>
      <c r="Q380" s="327" t="s">
        <v>655</v>
      </c>
      <c r="R380" s="327" t="s">
        <v>443</v>
      </c>
      <c r="S380" s="327"/>
      <c r="T380" s="327" t="s">
        <v>156</v>
      </c>
      <c r="U380" s="327" t="s">
        <v>156</v>
      </c>
      <c r="V380" s="327" t="s">
        <v>156</v>
      </c>
      <c r="W380" s="327"/>
      <c r="X380" s="327" t="s">
        <v>411</v>
      </c>
      <c r="Y380" s="327" t="s">
        <v>656</v>
      </c>
      <c r="Z380" s="327" t="s">
        <v>445</v>
      </c>
      <c r="AA380" s="327" t="s">
        <v>445</v>
      </c>
      <c r="AB380" s="327" t="s">
        <v>657</v>
      </c>
      <c r="AC380" s="327" t="s">
        <v>658</v>
      </c>
      <c r="AD380" s="327" t="s">
        <v>658</v>
      </c>
      <c r="AH380" s="303"/>
      <c r="AI380" s="69"/>
      <c r="AJ380" s="63"/>
      <c r="AK380" s="85"/>
      <c r="AL380" s="69"/>
      <c r="AM380" s="69"/>
      <c r="AN380" s="70"/>
      <c r="AO380" s="70"/>
      <c r="AP380" s="70"/>
      <c r="BG380" s="122"/>
    </row>
    <row r="381" spans="1:59" ht="14">
      <c r="B381" s="358"/>
      <c r="C381" s="359"/>
      <c r="D381" s="359"/>
      <c r="E381" s="359"/>
      <c r="F381" s="359"/>
      <c r="G381" s="359"/>
      <c r="H381" s="359"/>
      <c r="I381" s="359"/>
      <c r="J381" s="359"/>
      <c r="M381" s="359"/>
      <c r="N381" s="359"/>
      <c r="O381" s="359"/>
      <c r="BG381" s="353"/>
    </row>
    <row r="382" spans="1:59" ht="15">
      <c r="B382" s="358"/>
      <c r="C382" s="449" t="s">
        <v>489</v>
      </c>
      <c r="D382" s="450"/>
      <c r="E382" s="450"/>
      <c r="F382" s="450"/>
      <c r="G382" s="450"/>
      <c r="H382" s="450"/>
      <c r="I382" s="450"/>
      <c r="J382" s="450"/>
      <c r="K382" s="450"/>
      <c r="L382" s="450"/>
      <c r="M382" s="450"/>
      <c r="N382" s="450"/>
      <c r="O382" s="450"/>
      <c r="P382" s="450"/>
      <c r="Q382" s="450"/>
      <c r="R382" s="450"/>
      <c r="S382" s="450"/>
      <c r="T382" s="450"/>
      <c r="U382" s="92"/>
      <c r="V382" s="92"/>
      <c r="W382" s="92"/>
      <c r="X382" s="92"/>
      <c r="Y382" s="92"/>
      <c r="Z382" s="92"/>
      <c r="AA382" s="93"/>
      <c r="AB382" s="93"/>
      <c r="AC382" s="93"/>
      <c r="AD382" s="93"/>
      <c r="AE382" s="93"/>
      <c r="AF382" s="93"/>
      <c r="AG382" s="93"/>
      <c r="AH382" s="93"/>
      <c r="AI382" s="93"/>
      <c r="AJ382" s="93"/>
      <c r="AK382" s="93"/>
      <c r="AL382" s="93"/>
      <c r="AM382" s="93"/>
      <c r="AN382" s="93"/>
      <c r="AO382" s="93"/>
      <c r="AP382" s="94"/>
      <c r="AQ382" s="94"/>
      <c r="AR382" s="94"/>
      <c r="AS382" s="94"/>
      <c r="AT382" s="94"/>
      <c r="AU382" s="94"/>
      <c r="AV382" s="94"/>
      <c r="AW382" s="94"/>
      <c r="AX382" s="94"/>
      <c r="AY382" s="94"/>
      <c r="AZ382" s="94"/>
      <c r="BA382" s="94"/>
      <c r="BB382" s="94"/>
      <c r="BC382" s="94"/>
      <c r="BD382" s="94"/>
      <c r="BE382" s="94"/>
      <c r="BF382" s="94"/>
      <c r="BG382" s="353"/>
    </row>
    <row r="383" spans="1:59" ht="15">
      <c r="B383" s="358"/>
      <c r="C383" s="322"/>
      <c r="D383" s="322"/>
      <c r="E383" s="322"/>
      <c r="F383" s="319" t="s">
        <v>169</v>
      </c>
      <c r="G383" s="319" t="s">
        <v>169</v>
      </c>
      <c r="H383" s="324" t="s">
        <v>169</v>
      </c>
      <c r="I383" s="319" t="s">
        <v>169</v>
      </c>
      <c r="J383" s="319" t="s">
        <v>169</v>
      </c>
      <c r="K383" s="324"/>
      <c r="L383" s="324"/>
      <c r="M383" s="324"/>
      <c r="N383" s="324"/>
      <c r="O383" s="324"/>
      <c r="P383" s="324"/>
      <c r="Q383" s="324"/>
      <c r="R383" s="324"/>
      <c r="S383" s="324"/>
      <c r="T383" s="324"/>
      <c r="U383" s="324"/>
      <c r="V383" s="324"/>
      <c r="W383" s="324"/>
      <c r="X383" s="324"/>
      <c r="Y383" s="324"/>
      <c r="Z383" s="324"/>
      <c r="AA383" s="325"/>
      <c r="AB383" s="325"/>
      <c r="AC383" s="325"/>
      <c r="AD383" s="325"/>
      <c r="AE383" s="325"/>
      <c r="AF383" s="325"/>
      <c r="AG383" s="325"/>
      <c r="AH383" s="325"/>
      <c r="AI383" s="325"/>
      <c r="AJ383" s="325"/>
      <c r="AK383" s="325"/>
      <c r="AL383" s="325"/>
      <c r="AM383" s="325"/>
      <c r="AN383" s="325"/>
      <c r="AO383" s="325"/>
      <c r="AP383" s="325"/>
      <c r="AQ383" s="325"/>
      <c r="AR383" s="325"/>
      <c r="AS383" s="325"/>
      <c r="AT383" s="325"/>
      <c r="AU383" s="325"/>
      <c r="AV383" s="325"/>
      <c r="AW383" s="325"/>
      <c r="AX383" s="325"/>
      <c r="AY383" s="325"/>
      <c r="AZ383" s="325"/>
      <c r="BA383" s="325"/>
      <c r="BB383" s="325"/>
      <c r="BC383" s="325"/>
      <c r="BD383" s="325"/>
      <c r="BE383" s="325"/>
      <c r="BF383" s="325"/>
      <c r="BG383" s="353"/>
    </row>
    <row r="384" spans="1:59" ht="25">
      <c r="B384" s="358"/>
      <c r="C384" s="312" t="s">
        <v>533</v>
      </c>
      <c r="D384" s="312" t="s">
        <v>588</v>
      </c>
      <c r="E384" s="312" t="s">
        <v>589</v>
      </c>
      <c r="F384" s="314" t="s">
        <v>96</v>
      </c>
      <c r="G384" s="314" t="s">
        <v>99</v>
      </c>
      <c r="H384" s="314" t="s">
        <v>130</v>
      </c>
      <c r="I384" s="314" t="s">
        <v>559</v>
      </c>
      <c r="J384" s="314" t="s">
        <v>127</v>
      </c>
      <c r="K384" s="314" t="s">
        <v>67</v>
      </c>
      <c r="L384" s="314" t="s">
        <v>456</v>
      </c>
      <c r="M384" s="314" t="s">
        <v>534</v>
      </c>
      <c r="N384" s="314" t="s">
        <v>535</v>
      </c>
      <c r="O384" s="314" t="s">
        <v>536</v>
      </c>
      <c r="P384" s="314" t="s">
        <v>537</v>
      </c>
      <c r="Q384" s="314" t="s">
        <v>538</v>
      </c>
      <c r="R384" s="314" t="s">
        <v>539</v>
      </c>
      <c r="S384" s="314" t="s">
        <v>540</v>
      </c>
      <c r="T384" s="314" t="s">
        <v>541</v>
      </c>
      <c r="U384" s="314" t="s">
        <v>542</v>
      </c>
      <c r="V384" s="314" t="s">
        <v>543</v>
      </c>
      <c r="W384" s="314" t="s">
        <v>544</v>
      </c>
      <c r="X384" s="314" t="s">
        <v>545</v>
      </c>
      <c r="Y384" s="314" t="s">
        <v>546</v>
      </c>
      <c r="Z384" s="314" t="s">
        <v>547</v>
      </c>
      <c r="AA384" s="314" t="s">
        <v>548</v>
      </c>
      <c r="AB384" s="314" t="s">
        <v>549</v>
      </c>
      <c r="AC384" s="314" t="s">
        <v>550</v>
      </c>
      <c r="AD384" s="314" t="s">
        <v>551</v>
      </c>
      <c r="AE384" s="314" t="s">
        <v>552</v>
      </c>
      <c r="AF384" s="314" t="s">
        <v>553</v>
      </c>
      <c r="AG384" s="314" t="s">
        <v>554</v>
      </c>
      <c r="AH384" s="314" t="s">
        <v>555</v>
      </c>
      <c r="AI384" s="314" t="s">
        <v>556</v>
      </c>
      <c r="AJ384" s="314" t="s">
        <v>558</v>
      </c>
      <c r="AK384" s="314" t="s">
        <v>557</v>
      </c>
      <c r="AL384" s="314" t="s">
        <v>566</v>
      </c>
      <c r="AM384" s="314" t="s">
        <v>560</v>
      </c>
      <c r="AN384" s="314" t="s">
        <v>561</v>
      </c>
      <c r="AO384" s="314" t="s">
        <v>562</v>
      </c>
      <c r="AP384" s="314" t="s">
        <v>563</v>
      </c>
      <c r="AQ384" s="314" t="s">
        <v>567</v>
      </c>
      <c r="AR384" s="314" t="s">
        <v>564</v>
      </c>
      <c r="AS384" s="314" t="s">
        <v>565</v>
      </c>
      <c r="AT384" s="314" t="s">
        <v>568</v>
      </c>
      <c r="AU384" s="314" t="s">
        <v>569</v>
      </c>
      <c r="AV384" s="314" t="s">
        <v>570</v>
      </c>
      <c r="AW384" s="314" t="s">
        <v>571</v>
      </c>
      <c r="AX384" s="314" t="s">
        <v>572</v>
      </c>
      <c r="AY384" s="314" t="s">
        <v>573</v>
      </c>
      <c r="AZ384" s="314" t="s">
        <v>397</v>
      </c>
      <c r="BA384" s="314" t="s">
        <v>398</v>
      </c>
      <c r="BB384" s="314" t="s">
        <v>399</v>
      </c>
      <c r="BC384" s="314" t="s">
        <v>400</v>
      </c>
      <c r="BD384" s="314" t="s">
        <v>151</v>
      </c>
      <c r="BE384" s="314" t="s">
        <v>152</v>
      </c>
      <c r="BF384" s="314" t="s">
        <v>401</v>
      </c>
      <c r="BG384" s="353"/>
    </row>
    <row r="385" spans="2:59">
      <c r="B385" s="358"/>
      <c r="C385" s="312" t="s">
        <v>371</v>
      </c>
      <c r="D385" s="312" t="s">
        <v>381</v>
      </c>
      <c r="E385" s="312" t="s">
        <v>390</v>
      </c>
      <c r="F385" s="313" t="s">
        <v>490</v>
      </c>
      <c r="G385" s="313" t="s">
        <v>491</v>
      </c>
      <c r="H385" s="313" t="s">
        <v>492</v>
      </c>
      <c r="I385" s="313" t="s">
        <v>519</v>
      </c>
      <c r="J385" s="313" t="s">
        <v>525</v>
      </c>
      <c r="K385" s="313" t="s">
        <v>419</v>
      </c>
      <c r="L385" s="313" t="s">
        <v>420</v>
      </c>
      <c r="M385" s="313" t="s">
        <v>493</v>
      </c>
      <c r="N385" s="313" t="s">
        <v>494</v>
      </c>
      <c r="O385" s="313" t="s">
        <v>495</v>
      </c>
      <c r="P385" s="313" t="s">
        <v>496</v>
      </c>
      <c r="Q385" s="313" t="s">
        <v>497</v>
      </c>
      <c r="R385" s="313" t="s">
        <v>498</v>
      </c>
      <c r="S385" s="313" t="s">
        <v>499</v>
      </c>
      <c r="T385" s="313" t="s">
        <v>500</v>
      </c>
      <c r="U385" s="313" t="s">
        <v>501</v>
      </c>
      <c r="V385" s="313" t="s">
        <v>502</v>
      </c>
      <c r="W385" s="313" t="s">
        <v>503</v>
      </c>
      <c r="X385" s="313" t="s">
        <v>504</v>
      </c>
      <c r="Y385" s="313" t="s">
        <v>505</v>
      </c>
      <c r="Z385" s="313" t="s">
        <v>506</v>
      </c>
      <c r="AA385" s="313" t="s">
        <v>507</v>
      </c>
      <c r="AB385" s="313" t="s">
        <v>508</v>
      </c>
      <c r="AC385" s="313" t="s">
        <v>509</v>
      </c>
      <c r="AD385" s="313" t="s">
        <v>510</v>
      </c>
      <c r="AE385" s="313" t="s">
        <v>511</v>
      </c>
      <c r="AF385" s="313" t="s">
        <v>512</v>
      </c>
      <c r="AG385" s="313" t="s">
        <v>513</v>
      </c>
      <c r="AH385" s="313" t="s">
        <v>514</v>
      </c>
      <c r="AI385" s="313" t="s">
        <v>515</v>
      </c>
      <c r="AJ385" s="313" t="s">
        <v>516</v>
      </c>
      <c r="AK385" s="313" t="s">
        <v>517</v>
      </c>
      <c r="AL385" s="313" t="s">
        <v>518</v>
      </c>
      <c r="AM385" s="313" t="s">
        <v>520</v>
      </c>
      <c r="AN385" s="313" t="s">
        <v>521</v>
      </c>
      <c r="AO385" s="313" t="s">
        <v>522</v>
      </c>
      <c r="AP385" s="313" t="s">
        <v>402</v>
      </c>
      <c r="AQ385" s="313" t="s">
        <v>523</v>
      </c>
      <c r="AR385" s="313" t="s">
        <v>524</v>
      </c>
      <c r="AS385" s="313" t="s">
        <v>526</v>
      </c>
      <c r="AT385" s="313" t="s">
        <v>527</v>
      </c>
      <c r="AU385" s="313" t="s">
        <v>528</v>
      </c>
      <c r="AV385" s="313" t="s">
        <v>529</v>
      </c>
      <c r="AW385" s="313" t="s">
        <v>530</v>
      </c>
      <c r="AX385" s="313" t="s">
        <v>531</v>
      </c>
      <c r="AY385" s="313" t="s">
        <v>532</v>
      </c>
      <c r="AZ385" s="313" t="s">
        <v>403</v>
      </c>
      <c r="BA385" s="313" t="s">
        <v>404</v>
      </c>
      <c r="BB385" s="313" t="s">
        <v>405</v>
      </c>
      <c r="BC385" s="313" t="s">
        <v>406</v>
      </c>
      <c r="BD385" s="313" t="s">
        <v>407</v>
      </c>
      <c r="BE385" s="313" t="s">
        <v>408</v>
      </c>
      <c r="BF385" s="313" t="s">
        <v>409</v>
      </c>
      <c r="BG385" s="353"/>
    </row>
    <row r="386" spans="2:59">
      <c r="B386" s="358"/>
      <c r="C386" s="312" t="s">
        <v>472</v>
      </c>
      <c r="D386" s="312" t="s">
        <v>574</v>
      </c>
      <c r="E386" s="312" t="s">
        <v>473</v>
      </c>
      <c r="F386" s="326" t="s">
        <v>474</v>
      </c>
      <c r="G386" s="326" t="s">
        <v>474</v>
      </c>
      <c r="H386" s="326" t="s">
        <v>474</v>
      </c>
      <c r="I386" s="326" t="s">
        <v>474</v>
      </c>
      <c r="J386" s="326" t="s">
        <v>476</v>
      </c>
      <c r="K386" s="326" t="s">
        <v>474</v>
      </c>
      <c r="L386" s="326" t="s">
        <v>474</v>
      </c>
      <c r="M386" s="326" t="s">
        <v>575</v>
      </c>
      <c r="N386" s="326" t="s">
        <v>575</v>
      </c>
      <c r="O386" s="326" t="s">
        <v>473</v>
      </c>
      <c r="P386" s="326" t="s">
        <v>576</v>
      </c>
      <c r="Q386" s="326" t="s">
        <v>474</v>
      </c>
      <c r="R386" s="326" t="s">
        <v>481</v>
      </c>
      <c r="S386" s="326" t="s">
        <v>476</v>
      </c>
      <c r="T386" s="326" t="s">
        <v>481</v>
      </c>
      <c r="U386" s="326" t="s">
        <v>476</v>
      </c>
      <c r="V386" s="326" t="s">
        <v>476</v>
      </c>
      <c r="W386" s="326" t="s">
        <v>474</v>
      </c>
      <c r="X386" s="326" t="s">
        <v>577</v>
      </c>
      <c r="Y386" s="326" t="s">
        <v>577</v>
      </c>
      <c r="Z386" s="326" t="s">
        <v>478</v>
      </c>
      <c r="AA386" s="326" t="s">
        <v>576</v>
      </c>
      <c r="AB386" s="326" t="s">
        <v>576</v>
      </c>
      <c r="AC386" s="326" t="s">
        <v>476</v>
      </c>
      <c r="AD386" s="326" t="s">
        <v>480</v>
      </c>
      <c r="AE386" s="326" t="s">
        <v>481</v>
      </c>
      <c r="AF386" s="326" t="s">
        <v>481</v>
      </c>
      <c r="AG386" s="326" t="s">
        <v>578</v>
      </c>
      <c r="AH386" s="326" t="s">
        <v>578</v>
      </c>
      <c r="AI386" s="326" t="s">
        <v>481</v>
      </c>
      <c r="AJ386" s="326" t="s">
        <v>481</v>
      </c>
      <c r="AK386" s="326" t="s">
        <v>578</v>
      </c>
      <c r="AL386" s="326" t="s">
        <v>578</v>
      </c>
      <c r="AM386" s="326" t="s">
        <v>474</v>
      </c>
      <c r="AN386" s="326" t="s">
        <v>474</v>
      </c>
      <c r="AO386" s="326" t="s">
        <v>474</v>
      </c>
      <c r="AP386" s="326" t="s">
        <v>478</v>
      </c>
      <c r="AQ386" s="326" t="s">
        <v>473</v>
      </c>
      <c r="AR386" s="326" t="s">
        <v>474</v>
      </c>
      <c r="AS386" s="326" t="s">
        <v>476</v>
      </c>
      <c r="AT386" s="326" t="s">
        <v>474</v>
      </c>
      <c r="AU386" s="326" t="s">
        <v>579</v>
      </c>
      <c r="AV386" s="326" t="s">
        <v>481</v>
      </c>
      <c r="AW386" s="326" t="s">
        <v>478</v>
      </c>
      <c r="AX386" s="326" t="s">
        <v>474</v>
      </c>
      <c r="AY386" s="326" t="s">
        <v>474</v>
      </c>
      <c r="AZ386" s="326" t="s">
        <v>485</v>
      </c>
      <c r="BA386" s="326" t="s">
        <v>486</v>
      </c>
      <c r="BB386" s="326" t="s">
        <v>488</v>
      </c>
      <c r="BC386" s="326" t="s">
        <v>488</v>
      </c>
      <c r="BD386" s="326" t="s">
        <v>486</v>
      </c>
      <c r="BE386" s="326" t="s">
        <v>488</v>
      </c>
      <c r="BF386" s="326" t="s">
        <v>488</v>
      </c>
      <c r="BG386" s="353"/>
    </row>
    <row r="387" spans="2:59" ht="15">
      <c r="B387" s="315" t="s">
        <v>410</v>
      </c>
      <c r="C387" s="337" t="s">
        <v>684</v>
      </c>
      <c r="D387" s="338" t="s">
        <v>630</v>
      </c>
      <c r="E387" s="338" t="s">
        <v>630</v>
      </c>
      <c r="F387" s="328" t="s">
        <v>454</v>
      </c>
      <c r="G387" s="327" t="s">
        <v>411</v>
      </c>
      <c r="H387" s="327" t="s">
        <v>411</v>
      </c>
      <c r="I387" s="330">
        <v>1</v>
      </c>
      <c r="J387" s="331">
        <v>0</v>
      </c>
      <c r="K387" s="327" t="s">
        <v>439</v>
      </c>
      <c r="L387" s="327" t="s">
        <v>439</v>
      </c>
      <c r="M387" s="327" t="s">
        <v>156</v>
      </c>
      <c r="N387" s="327" t="s">
        <v>156</v>
      </c>
      <c r="O387" s="327" t="s">
        <v>156</v>
      </c>
      <c r="P387" s="327" t="s">
        <v>156</v>
      </c>
      <c r="Q387" s="329" t="s">
        <v>580</v>
      </c>
      <c r="R387" s="327" t="s">
        <v>411</v>
      </c>
      <c r="S387" s="327" t="s">
        <v>411</v>
      </c>
      <c r="T387" s="327" t="s">
        <v>581</v>
      </c>
      <c r="U387" s="327" t="s">
        <v>582</v>
      </c>
      <c r="V387" s="327" t="s">
        <v>183</v>
      </c>
      <c r="W387" s="327" t="s">
        <v>183</v>
      </c>
      <c r="X387" s="327" t="s">
        <v>411</v>
      </c>
      <c r="Y387" s="327" t="s">
        <v>411</v>
      </c>
      <c r="Z387" s="327"/>
      <c r="AA387" s="330"/>
      <c r="AB387" s="330" t="s">
        <v>156</v>
      </c>
      <c r="AC387" s="330">
        <v>1</v>
      </c>
      <c r="AD387" s="330">
        <v>99999999</v>
      </c>
      <c r="AE387" s="327" t="s">
        <v>411</v>
      </c>
      <c r="AF387" s="327" t="s">
        <v>411</v>
      </c>
      <c r="AG387" s="327" t="s">
        <v>411</v>
      </c>
      <c r="AH387" s="327" t="s">
        <v>411</v>
      </c>
      <c r="AI387" s="330">
        <v>0</v>
      </c>
      <c r="AJ387" s="330">
        <v>0</v>
      </c>
      <c r="AK387" s="330">
        <v>0</v>
      </c>
      <c r="AL387" s="330">
        <v>0</v>
      </c>
      <c r="AM387" s="327" t="s">
        <v>183</v>
      </c>
      <c r="AN387" s="330">
        <v>0</v>
      </c>
      <c r="AO387" s="327" t="s">
        <v>411</v>
      </c>
      <c r="AP387" s="330">
        <v>1</v>
      </c>
      <c r="AQ387" s="331" t="s">
        <v>156</v>
      </c>
      <c r="AR387" s="331" t="s">
        <v>583</v>
      </c>
      <c r="AS387" s="331">
        <v>0</v>
      </c>
      <c r="AT387" s="331">
        <v>1</v>
      </c>
      <c r="AU387" s="331">
        <v>0</v>
      </c>
      <c r="AV387" s="331">
        <v>0</v>
      </c>
      <c r="AW387" s="331">
        <v>0</v>
      </c>
      <c r="AX387" s="331">
        <v>0</v>
      </c>
      <c r="AY387" s="331">
        <v>1</v>
      </c>
      <c r="AZ387" s="331">
        <v>0</v>
      </c>
      <c r="BA387" s="332">
        <v>29705</v>
      </c>
      <c r="BB387" s="331" t="s">
        <v>445</v>
      </c>
      <c r="BC387" s="331" t="s">
        <v>445</v>
      </c>
      <c r="BD387" s="332">
        <v>36413</v>
      </c>
      <c r="BE387" s="331" t="s">
        <v>445</v>
      </c>
      <c r="BF387" s="331" t="s">
        <v>445</v>
      </c>
      <c r="BG387" s="353"/>
    </row>
    <row r="388" spans="2:59" ht="15">
      <c r="B388" s="317" t="s">
        <v>412</v>
      </c>
      <c r="C388" s="327" t="s">
        <v>685</v>
      </c>
      <c r="D388" s="338" t="s">
        <v>630</v>
      </c>
      <c r="E388" s="338" t="s">
        <v>630</v>
      </c>
      <c r="F388" s="328" t="s">
        <v>185</v>
      </c>
      <c r="G388" s="327" t="s">
        <v>411</v>
      </c>
      <c r="H388" s="327" t="s">
        <v>411</v>
      </c>
      <c r="I388" s="330">
        <v>0</v>
      </c>
      <c r="J388" s="331">
        <v>30</v>
      </c>
      <c r="K388" s="314" t="s">
        <v>183</v>
      </c>
      <c r="L388" s="420" t="s">
        <v>600</v>
      </c>
      <c r="M388" s="327" t="s">
        <v>156</v>
      </c>
      <c r="N388" s="327" t="s">
        <v>156</v>
      </c>
      <c r="O388" s="327" t="s">
        <v>584</v>
      </c>
      <c r="P388" s="327" t="s">
        <v>156</v>
      </c>
      <c r="Q388" s="329" t="s">
        <v>585</v>
      </c>
      <c r="R388" s="327" t="s">
        <v>183</v>
      </c>
      <c r="S388" s="327" t="s">
        <v>411</v>
      </c>
      <c r="T388" s="327" t="s">
        <v>581</v>
      </c>
      <c r="U388" s="327" t="s">
        <v>582</v>
      </c>
      <c r="V388" s="327" t="s">
        <v>586</v>
      </c>
      <c r="W388" s="327" t="s">
        <v>183</v>
      </c>
      <c r="X388" s="327" t="s">
        <v>411</v>
      </c>
      <c r="Y388" s="327" t="s">
        <v>411</v>
      </c>
      <c r="Z388" s="327"/>
      <c r="AA388" s="330"/>
      <c r="AB388" s="330" t="s">
        <v>587</v>
      </c>
      <c r="AC388" s="333">
        <v>5000</v>
      </c>
      <c r="AD388" s="330">
        <v>99999999</v>
      </c>
      <c r="AE388" s="327" t="s">
        <v>411</v>
      </c>
      <c r="AF388" s="327" t="s">
        <v>439</v>
      </c>
      <c r="AG388" s="327" t="s">
        <v>411</v>
      </c>
      <c r="AH388" s="327" t="s">
        <v>411</v>
      </c>
      <c r="AI388" s="330">
        <v>0</v>
      </c>
      <c r="AJ388" s="330">
        <v>0</v>
      </c>
      <c r="AK388" s="330">
        <v>0</v>
      </c>
      <c r="AL388" s="330">
        <v>0</v>
      </c>
      <c r="AM388" s="327" t="s">
        <v>183</v>
      </c>
      <c r="AN388" s="330">
        <v>0</v>
      </c>
      <c r="AO388" s="327" t="s">
        <v>411</v>
      </c>
      <c r="AP388" s="330">
        <v>1</v>
      </c>
      <c r="AQ388" s="331">
        <v>1111</v>
      </c>
      <c r="AR388" s="331" t="s">
        <v>583</v>
      </c>
      <c r="AS388" s="331">
        <v>10</v>
      </c>
      <c r="AT388" s="331">
        <v>1</v>
      </c>
      <c r="AU388" s="331">
        <v>0</v>
      </c>
      <c r="AV388" s="331">
        <v>0</v>
      </c>
      <c r="AW388" s="331">
        <v>0</v>
      </c>
      <c r="AX388" s="331">
        <v>0</v>
      </c>
      <c r="AY388" s="331">
        <v>1</v>
      </c>
      <c r="AZ388" s="331">
        <v>0</v>
      </c>
      <c r="BA388" s="332">
        <v>40640.750486111108</v>
      </c>
      <c r="BB388" s="331">
        <v>470195</v>
      </c>
      <c r="BC388" s="331">
        <v>470195</v>
      </c>
      <c r="BD388" s="332">
        <v>45392.67769675926</v>
      </c>
      <c r="BE388" s="331">
        <v>363363</v>
      </c>
      <c r="BF388" s="331">
        <v>363363</v>
      </c>
      <c r="BG388" s="353"/>
    </row>
    <row r="389" spans="2:59" ht="14">
      <c r="B389" s="315" t="s">
        <v>410</v>
      </c>
      <c r="C389" s="337" t="s">
        <v>645</v>
      </c>
      <c r="D389" s="327" t="s">
        <v>630</v>
      </c>
      <c r="E389" s="327" t="s">
        <v>438</v>
      </c>
      <c r="F389" s="327" t="s">
        <v>454</v>
      </c>
      <c r="G389" s="327" t="s">
        <v>411</v>
      </c>
      <c r="H389" s="327" t="s">
        <v>411</v>
      </c>
      <c r="I389" s="327">
        <v>1</v>
      </c>
      <c r="J389" s="327">
        <v>0</v>
      </c>
      <c r="K389" s="327" t="s">
        <v>439</v>
      </c>
      <c r="L389" s="327" t="s">
        <v>439</v>
      </c>
      <c r="M389" s="327" t="s">
        <v>156</v>
      </c>
      <c r="N389" s="327" t="s">
        <v>156</v>
      </c>
      <c r="O389" s="327" t="s">
        <v>156</v>
      </c>
      <c r="P389" s="327" t="s">
        <v>156</v>
      </c>
      <c r="Q389" s="327" t="s">
        <v>580</v>
      </c>
      <c r="R389" s="327" t="s">
        <v>411</v>
      </c>
      <c r="S389" s="327" t="s">
        <v>411</v>
      </c>
      <c r="T389" s="327" t="s">
        <v>581</v>
      </c>
      <c r="U389" s="327" t="s">
        <v>582</v>
      </c>
      <c r="V389" s="327" t="s">
        <v>183</v>
      </c>
      <c r="W389" s="327" t="s">
        <v>183</v>
      </c>
      <c r="X389" s="327" t="s">
        <v>411</v>
      </c>
      <c r="Y389" s="327" t="s">
        <v>411</v>
      </c>
      <c r="Z389" s="327"/>
      <c r="AA389" s="327"/>
      <c r="AB389" s="327" t="s">
        <v>156</v>
      </c>
      <c r="AC389" s="327">
        <v>1</v>
      </c>
      <c r="AD389" s="327">
        <v>99999999</v>
      </c>
      <c r="AE389" s="327">
        <v>0</v>
      </c>
      <c r="AF389" s="327">
        <v>0</v>
      </c>
      <c r="AG389" s="327">
        <v>0</v>
      </c>
      <c r="AH389" s="327">
        <v>0</v>
      </c>
      <c r="AI389" s="327">
        <v>0</v>
      </c>
      <c r="AJ389" s="327">
        <v>0</v>
      </c>
      <c r="AK389" s="327">
        <v>0</v>
      </c>
      <c r="AL389" s="327">
        <v>0</v>
      </c>
      <c r="AM389" s="327">
        <v>1</v>
      </c>
      <c r="AN389" s="327">
        <v>0</v>
      </c>
      <c r="AO389" s="327">
        <v>0</v>
      </c>
      <c r="AP389" s="327">
        <v>1</v>
      </c>
      <c r="AQ389" s="327" t="s">
        <v>156</v>
      </c>
      <c r="AR389" s="327" t="s">
        <v>583</v>
      </c>
      <c r="AS389" s="327">
        <v>0</v>
      </c>
      <c r="AT389" s="327">
        <v>1</v>
      </c>
      <c r="AU389" s="327">
        <v>0</v>
      </c>
      <c r="AV389" s="327">
        <v>0</v>
      </c>
      <c r="AW389" s="327">
        <v>0</v>
      </c>
      <c r="AX389" s="327">
        <v>0</v>
      </c>
      <c r="AY389" s="327">
        <v>1</v>
      </c>
      <c r="AZ389" s="327">
        <v>0</v>
      </c>
      <c r="BA389" s="327">
        <v>29705</v>
      </c>
      <c r="BB389" s="327" t="s">
        <v>445</v>
      </c>
      <c r="BC389" s="327" t="s">
        <v>445</v>
      </c>
      <c r="BD389" s="327">
        <v>39993.705960648149</v>
      </c>
      <c r="BE389" s="327">
        <v>375901</v>
      </c>
      <c r="BF389" s="327">
        <v>375901</v>
      </c>
      <c r="BG389" s="353"/>
    </row>
    <row r="390" spans="2:59" ht="14">
      <c r="B390" s="315" t="s">
        <v>410</v>
      </c>
      <c r="C390" s="337" t="s">
        <v>659</v>
      </c>
      <c r="D390" s="327" t="s">
        <v>438</v>
      </c>
      <c r="E390" s="327" t="s">
        <v>438</v>
      </c>
      <c r="F390" s="327" t="s">
        <v>454</v>
      </c>
      <c r="G390" s="327" t="s">
        <v>411</v>
      </c>
      <c r="H390" s="327" t="s">
        <v>411</v>
      </c>
      <c r="I390" s="327">
        <v>1</v>
      </c>
      <c r="J390" s="327">
        <v>0</v>
      </c>
      <c r="K390" s="327" t="s">
        <v>439</v>
      </c>
      <c r="L390" s="327" t="s">
        <v>439</v>
      </c>
      <c r="M390" s="327" t="s">
        <v>156</v>
      </c>
      <c r="N390" s="327" t="s">
        <v>156</v>
      </c>
      <c r="O390" s="327" t="s">
        <v>156</v>
      </c>
      <c r="P390" s="327" t="s">
        <v>156</v>
      </c>
      <c r="Q390" s="327" t="s">
        <v>580</v>
      </c>
      <c r="R390" s="327" t="s">
        <v>411</v>
      </c>
      <c r="S390" s="327" t="s">
        <v>411</v>
      </c>
      <c r="T390" s="327" t="s">
        <v>581</v>
      </c>
      <c r="U390" s="327" t="s">
        <v>582</v>
      </c>
      <c r="V390" s="327" t="s">
        <v>183</v>
      </c>
      <c r="W390" s="327" t="s">
        <v>183</v>
      </c>
      <c r="X390" s="327" t="s">
        <v>411</v>
      </c>
      <c r="Y390" s="327" t="s">
        <v>411</v>
      </c>
      <c r="Z390" s="327"/>
      <c r="AA390" s="327"/>
      <c r="AB390" s="327" t="s">
        <v>156</v>
      </c>
      <c r="AC390" s="327">
        <v>1</v>
      </c>
      <c r="AD390" s="327">
        <v>99999999</v>
      </c>
      <c r="AE390" s="327">
        <v>0</v>
      </c>
      <c r="AF390" s="327">
        <v>0</v>
      </c>
      <c r="AG390" s="327">
        <v>0</v>
      </c>
      <c r="AH390" s="327">
        <v>0</v>
      </c>
      <c r="AI390" s="327">
        <v>0</v>
      </c>
      <c r="AJ390" s="327">
        <v>0</v>
      </c>
      <c r="AK390" s="327">
        <v>0</v>
      </c>
      <c r="AL390" s="327">
        <v>0</v>
      </c>
      <c r="AM390" s="327">
        <v>1</v>
      </c>
      <c r="AN390" s="327">
        <v>0</v>
      </c>
      <c r="AO390" s="327">
        <v>0</v>
      </c>
      <c r="AP390" s="327">
        <v>1</v>
      </c>
      <c r="AQ390" s="327" t="s">
        <v>156</v>
      </c>
      <c r="AR390" s="327" t="s">
        <v>583</v>
      </c>
      <c r="AS390" s="327">
        <v>0</v>
      </c>
      <c r="AT390" s="327">
        <v>1</v>
      </c>
      <c r="AU390" s="327">
        <v>0</v>
      </c>
      <c r="AV390" s="327">
        <v>0</v>
      </c>
      <c r="AW390" s="327">
        <v>0</v>
      </c>
      <c r="AX390" s="327">
        <v>0</v>
      </c>
      <c r="AY390" s="327">
        <v>1</v>
      </c>
      <c r="AZ390" s="327">
        <v>0</v>
      </c>
      <c r="BA390" s="327">
        <v>31819</v>
      </c>
      <c r="BB390" s="327" t="s">
        <v>445</v>
      </c>
      <c r="BC390" s="327" t="s">
        <v>445</v>
      </c>
      <c r="BD390" s="327">
        <v>45636.056898148148</v>
      </c>
      <c r="BE390" s="327" t="s">
        <v>643</v>
      </c>
      <c r="BF390" s="327" t="s">
        <v>643</v>
      </c>
      <c r="BG390" s="353"/>
    </row>
    <row r="391" spans="2:59" ht="14">
      <c r="B391" s="358"/>
      <c r="C391" s="359"/>
      <c r="D391" s="359"/>
      <c r="E391" s="359"/>
      <c r="F391" s="359"/>
      <c r="G391" s="359"/>
      <c r="H391" s="359"/>
      <c r="I391" s="359"/>
      <c r="J391" s="359"/>
      <c r="M391" s="359"/>
      <c r="N391" s="359"/>
      <c r="O391" s="359"/>
      <c r="BG391" s="353"/>
    </row>
    <row r="392" spans="2:59" ht="14">
      <c r="B392" s="358"/>
      <c r="C392" s="359" t="s">
        <v>153</v>
      </c>
      <c r="D392" s="359"/>
      <c r="E392" s="359"/>
      <c r="F392" s="359"/>
      <c r="G392" s="359"/>
      <c r="H392" s="359"/>
      <c r="I392" s="359"/>
      <c r="J392" s="359"/>
      <c r="M392" s="359"/>
      <c r="N392" s="359"/>
      <c r="O392" s="359"/>
      <c r="BG392" s="353"/>
    </row>
    <row r="393" spans="2:59" ht="14">
      <c r="B393" s="358"/>
      <c r="C393" s="359" t="s">
        <v>154</v>
      </c>
      <c r="D393" s="359" t="s">
        <v>155</v>
      </c>
      <c r="E393" s="359" t="s">
        <v>157</v>
      </c>
      <c r="F393" s="359" t="s">
        <v>158</v>
      </c>
      <c r="G393" s="359" t="s">
        <v>356</v>
      </c>
      <c r="H393" s="359" t="s">
        <v>357</v>
      </c>
      <c r="I393" s="359" t="s">
        <v>358</v>
      </c>
      <c r="J393" s="359" t="s">
        <v>359</v>
      </c>
      <c r="K393" s="359" t="s">
        <v>360</v>
      </c>
      <c r="L393" s="359" t="s">
        <v>361</v>
      </c>
      <c r="M393" s="359" t="s">
        <v>362</v>
      </c>
      <c r="BG393" s="353"/>
    </row>
    <row r="394" spans="2:59" ht="14">
      <c r="B394" s="358"/>
      <c r="C394" s="359">
        <v>0</v>
      </c>
      <c r="D394" s="359">
        <v>0</v>
      </c>
      <c r="E394" s="359">
        <v>0</v>
      </c>
      <c r="F394" s="359" t="s">
        <v>156</v>
      </c>
      <c r="G394" s="359" t="s">
        <v>156</v>
      </c>
      <c r="H394" s="359">
        <v>1</v>
      </c>
      <c r="I394" s="359">
        <v>4</v>
      </c>
      <c r="J394" s="359">
        <v>2</v>
      </c>
      <c r="K394" s="359">
        <v>0</v>
      </c>
      <c r="L394" s="359">
        <v>30</v>
      </c>
      <c r="M394" s="359">
        <v>0</v>
      </c>
      <c r="BG394" s="353"/>
    </row>
    <row r="395" spans="2:59" ht="14.5" thickBot="1">
      <c r="B395" s="358"/>
      <c r="C395" s="359"/>
      <c r="D395" s="359"/>
      <c r="E395" s="359"/>
      <c r="F395" s="359"/>
      <c r="G395" s="359"/>
      <c r="H395" s="359"/>
      <c r="I395" s="359"/>
      <c r="J395" s="359"/>
      <c r="M395" s="359"/>
      <c r="N395" s="359"/>
      <c r="O395" s="359"/>
      <c r="BG395" s="353"/>
    </row>
    <row r="396" spans="2:59" ht="14" thickBot="1">
      <c r="B396" s="299" t="s">
        <v>697</v>
      </c>
      <c r="C396" s="300" t="s">
        <v>698</v>
      </c>
      <c r="D396" s="300"/>
      <c r="E396" s="300"/>
      <c r="F396" s="300"/>
      <c r="G396" s="300"/>
      <c r="H396" s="300"/>
      <c r="I396" s="300"/>
      <c r="J396" s="300"/>
      <c r="K396" s="300"/>
      <c r="L396" s="300"/>
      <c r="M396" s="300"/>
      <c r="N396" s="300"/>
      <c r="O396" s="300"/>
      <c r="P396" s="300"/>
      <c r="Q396" s="300"/>
      <c r="R396" s="300"/>
      <c r="S396" s="300"/>
      <c r="T396" s="300"/>
      <c r="U396" s="300"/>
      <c r="V396" s="300"/>
      <c r="W396" s="300"/>
      <c r="X396" s="300"/>
      <c r="Y396" s="300"/>
      <c r="Z396" s="300"/>
      <c r="AA396" s="300"/>
      <c r="AB396" s="300"/>
      <c r="AC396" s="300"/>
      <c r="AD396" s="300"/>
      <c r="AE396" s="300"/>
      <c r="AF396" s="300"/>
      <c r="AG396" s="300"/>
      <c r="AH396" s="300"/>
      <c r="AI396" s="300"/>
      <c r="AJ396" s="300"/>
      <c r="AK396" s="300"/>
      <c r="AL396" s="300"/>
      <c r="AM396" s="300"/>
      <c r="AN396" s="300"/>
      <c r="AO396" s="300"/>
      <c r="AP396" s="300"/>
      <c r="AQ396" s="300"/>
      <c r="AR396" s="300"/>
      <c r="AS396" s="300"/>
      <c r="AT396" s="300"/>
      <c r="AU396" s="300"/>
      <c r="AV396" s="300"/>
      <c r="AW396" s="300"/>
      <c r="AX396" s="300"/>
      <c r="AY396" s="300"/>
      <c r="AZ396" s="300"/>
      <c r="BA396" s="300"/>
      <c r="BB396" s="300"/>
      <c r="BC396" s="300"/>
      <c r="BD396" s="300"/>
      <c r="BE396" s="300"/>
      <c r="BF396" s="300"/>
      <c r="BG396" s="353"/>
    </row>
    <row r="397" spans="2:59" ht="14" thickBot="1">
      <c r="B397" s="335" t="s">
        <v>601</v>
      </c>
      <c r="C397" s="300" t="s">
        <v>395</v>
      </c>
      <c r="D397" s="300"/>
      <c r="E397" s="300"/>
      <c r="F397" s="300"/>
      <c r="G397" s="300"/>
      <c r="H397" s="300"/>
      <c r="I397" s="300"/>
      <c r="J397" s="300"/>
      <c r="K397" s="300"/>
      <c r="L397" s="300"/>
      <c r="M397" s="300"/>
      <c r="N397" s="300"/>
      <c r="O397" s="300"/>
      <c r="P397" s="300"/>
      <c r="Q397" s="300"/>
      <c r="R397" s="300"/>
      <c r="S397" s="300"/>
      <c r="T397" s="300"/>
      <c r="U397" s="300"/>
      <c r="V397" s="300"/>
      <c r="W397" s="300"/>
      <c r="X397" s="300"/>
      <c r="Y397" s="300"/>
      <c r="Z397" s="300"/>
      <c r="AA397" s="300"/>
      <c r="AB397" s="300"/>
      <c r="AC397" s="300"/>
      <c r="AD397" s="300"/>
      <c r="AE397" s="300"/>
      <c r="AF397" s="300"/>
      <c r="AG397" s="300"/>
      <c r="AH397" s="300"/>
      <c r="AI397" s="300"/>
      <c r="AJ397" s="300"/>
      <c r="AK397" s="300"/>
      <c r="AL397" s="300"/>
      <c r="AM397" s="300"/>
      <c r="AN397" s="300"/>
      <c r="AO397" s="300"/>
      <c r="AP397" s="300"/>
      <c r="AQ397" s="300"/>
      <c r="AR397" s="300"/>
      <c r="AS397" s="300"/>
      <c r="AT397" s="300"/>
      <c r="AU397" s="300"/>
      <c r="AV397" s="300"/>
      <c r="AW397" s="300"/>
      <c r="AX397" s="300"/>
      <c r="AY397" s="300"/>
      <c r="AZ397" s="300"/>
      <c r="BA397" s="300"/>
      <c r="BB397" s="300"/>
      <c r="BC397" s="300"/>
      <c r="BD397" s="300"/>
      <c r="BE397" s="300"/>
      <c r="BF397" s="300"/>
      <c r="BG397" s="353"/>
    </row>
    <row r="398" spans="2:59" ht="14">
      <c r="B398" s="358"/>
      <c r="C398" s="359"/>
      <c r="D398" s="359"/>
      <c r="E398" s="359"/>
      <c r="F398" s="359"/>
      <c r="G398" s="359"/>
      <c r="H398" s="359"/>
      <c r="I398" s="359"/>
      <c r="J398" s="359"/>
      <c r="M398" s="359"/>
      <c r="N398" s="359"/>
      <c r="O398" s="359"/>
      <c r="BG398" s="353"/>
    </row>
    <row r="399" spans="2:59" ht="14">
      <c r="B399" s="358"/>
      <c r="C399" s="356" t="s">
        <v>396</v>
      </c>
      <c r="D399" s="359"/>
      <c r="E399" s="359"/>
      <c r="F399" s="359"/>
      <c r="G399" s="359"/>
      <c r="H399" s="359"/>
      <c r="I399" s="359"/>
      <c r="J399" s="359"/>
      <c r="M399" s="359"/>
      <c r="N399" s="359"/>
      <c r="O399" s="359"/>
      <c r="BG399" s="353"/>
    </row>
    <row r="400" spans="2:59" ht="14">
      <c r="B400" s="358"/>
      <c r="C400" s="356" t="s">
        <v>699</v>
      </c>
      <c r="D400" s="359"/>
      <c r="E400" s="359"/>
      <c r="F400" s="359"/>
      <c r="G400" s="359"/>
      <c r="H400" s="359"/>
      <c r="I400" s="359"/>
      <c r="J400" s="359"/>
      <c r="M400" s="359"/>
      <c r="N400" s="359"/>
      <c r="O400" s="359"/>
      <c r="BG400" s="353"/>
    </row>
    <row r="401" spans="1:59" ht="14">
      <c r="B401" s="358"/>
      <c r="C401" s="359"/>
      <c r="D401" s="359"/>
      <c r="E401" s="359"/>
      <c r="F401" s="359"/>
      <c r="G401" s="359"/>
      <c r="H401" s="359"/>
      <c r="I401" s="359"/>
      <c r="J401" s="359"/>
      <c r="M401" s="359"/>
      <c r="N401" s="359"/>
      <c r="O401" s="359"/>
      <c r="BG401" s="353"/>
    </row>
    <row r="402" spans="1:59" s="27" customFormat="1" ht="19.5" customHeight="1">
      <c r="B402" s="362"/>
      <c r="C402" s="320" t="s">
        <v>436</v>
      </c>
      <c r="D402" s="321"/>
      <c r="E402" s="321"/>
      <c r="F402" s="291"/>
      <c r="G402" s="291"/>
      <c r="H402" s="291"/>
      <c r="I402" s="291"/>
      <c r="J402" s="291"/>
      <c r="K402" s="291"/>
      <c r="L402" s="291"/>
      <c r="M402" s="291"/>
      <c r="N402" s="291"/>
      <c r="O402" s="291"/>
      <c r="P402" s="291"/>
      <c r="Q402" s="291"/>
      <c r="R402" s="291"/>
      <c r="S402" s="291"/>
      <c r="T402" s="291"/>
      <c r="U402" s="291"/>
      <c r="V402" s="291"/>
      <c r="W402" s="291"/>
      <c r="X402" s="292"/>
      <c r="Y402" s="68"/>
      <c r="Z402" s="68"/>
      <c r="AA402" s="68"/>
      <c r="AB402" s="68"/>
      <c r="AC402" s="68"/>
      <c r="AD402" s="306"/>
      <c r="AH402" s="303"/>
      <c r="AJ402" s="69"/>
      <c r="AK402" s="69"/>
      <c r="AL402" s="69"/>
      <c r="AM402" s="69"/>
      <c r="AN402" s="70"/>
      <c r="AO402" s="70"/>
      <c r="AP402" s="70"/>
      <c r="BG402" s="122"/>
    </row>
    <row r="403" spans="1:59" s="72" customFormat="1" ht="16.5" customHeight="1">
      <c r="A403" s="293"/>
      <c r="B403" s="363"/>
      <c r="C403" s="322"/>
      <c r="D403" s="322"/>
      <c r="E403" s="322"/>
      <c r="F403" s="319" t="s">
        <v>169</v>
      </c>
      <c r="G403" s="319" t="s">
        <v>169</v>
      </c>
      <c r="H403" s="319" t="s">
        <v>169</v>
      </c>
      <c r="I403" s="319"/>
      <c r="J403" s="319"/>
      <c r="K403" s="319"/>
      <c r="L403" s="319"/>
      <c r="M403" s="319"/>
      <c r="N403" s="319"/>
      <c r="O403" s="319"/>
      <c r="P403" s="319"/>
      <c r="Q403" s="319"/>
      <c r="R403" s="319"/>
      <c r="S403" s="319"/>
      <c r="T403" s="319"/>
      <c r="U403" s="319"/>
      <c r="V403" s="319"/>
      <c r="W403" s="319"/>
      <c r="X403" s="319"/>
      <c r="Y403" s="319"/>
      <c r="Z403" s="319"/>
      <c r="AA403" s="319"/>
      <c r="AB403" s="319"/>
      <c r="AC403" s="319"/>
      <c r="AD403" s="319"/>
      <c r="AH403" s="304"/>
      <c r="AI403" s="71"/>
      <c r="AJ403" s="71"/>
      <c r="AK403" s="71"/>
      <c r="AL403" s="71"/>
      <c r="AM403" s="71"/>
      <c r="BG403" s="364"/>
    </row>
    <row r="404" spans="1:59" s="78" customFormat="1" ht="92" customHeight="1">
      <c r="A404" s="73"/>
      <c r="B404" s="365"/>
      <c r="C404" s="312" t="s">
        <v>172</v>
      </c>
      <c r="D404" s="312" t="s">
        <v>173</v>
      </c>
      <c r="E404" s="312" t="s">
        <v>174</v>
      </c>
      <c r="F404" s="314" t="s">
        <v>91</v>
      </c>
      <c r="G404" s="314" t="s">
        <v>67</v>
      </c>
      <c r="H404" s="314" t="s">
        <v>69</v>
      </c>
      <c r="I404" s="314" t="s">
        <v>457</v>
      </c>
      <c r="J404" s="314" t="s">
        <v>458</v>
      </c>
      <c r="K404" s="314" t="s">
        <v>459</v>
      </c>
      <c r="L404" s="314" t="s">
        <v>460</v>
      </c>
      <c r="M404" s="314" t="s">
        <v>461</v>
      </c>
      <c r="N404" s="314" t="s">
        <v>462</v>
      </c>
      <c r="O404" s="314" t="s">
        <v>463</v>
      </c>
      <c r="P404" s="314" t="s">
        <v>464</v>
      </c>
      <c r="Q404" s="314" t="s">
        <v>465</v>
      </c>
      <c r="R404" s="314" t="s">
        <v>466</v>
      </c>
      <c r="S404" s="314" t="s">
        <v>467</v>
      </c>
      <c r="T404" s="314" t="s">
        <v>468</v>
      </c>
      <c r="U404" s="314" t="s">
        <v>469</v>
      </c>
      <c r="V404" s="314" t="s">
        <v>470</v>
      </c>
      <c r="W404" s="314" t="s">
        <v>471</v>
      </c>
      <c r="X404" s="314" t="s">
        <v>397</v>
      </c>
      <c r="Y404" s="314" t="s">
        <v>398</v>
      </c>
      <c r="Z404" s="314" t="s">
        <v>399</v>
      </c>
      <c r="AA404" s="314" t="s">
        <v>400</v>
      </c>
      <c r="AB404" s="314" t="s">
        <v>151</v>
      </c>
      <c r="AC404" s="314" t="s">
        <v>152</v>
      </c>
      <c r="AD404" s="314" t="s">
        <v>401</v>
      </c>
      <c r="AH404" s="305"/>
      <c r="AI404" s="69"/>
      <c r="AJ404" s="76"/>
      <c r="AK404" s="76"/>
      <c r="AL404" s="76"/>
      <c r="AM404" s="76"/>
      <c r="AN404" s="77"/>
      <c r="AO404" s="77"/>
      <c r="AP404" s="77"/>
      <c r="BG404" s="366"/>
    </row>
    <row r="405" spans="1:59" s="78" customFormat="1" ht="15">
      <c r="A405" s="73"/>
      <c r="B405" s="365"/>
      <c r="C405" s="312" t="s">
        <v>371</v>
      </c>
      <c r="D405" s="312" t="s">
        <v>381</v>
      </c>
      <c r="E405" s="312" t="s">
        <v>390</v>
      </c>
      <c r="F405" s="313" t="s">
        <v>418</v>
      </c>
      <c r="G405" s="313" t="s">
        <v>419</v>
      </c>
      <c r="H405" s="313" t="s">
        <v>421</v>
      </c>
      <c r="I405" s="313" t="s">
        <v>420</v>
      </c>
      <c r="J405" s="313" t="s">
        <v>422</v>
      </c>
      <c r="K405" s="313" t="s">
        <v>423</v>
      </c>
      <c r="L405" s="313" t="s">
        <v>424</v>
      </c>
      <c r="M405" s="313" t="s">
        <v>425</v>
      </c>
      <c r="N405" s="313" t="s">
        <v>426</v>
      </c>
      <c r="O405" s="313" t="s">
        <v>427</v>
      </c>
      <c r="P405" s="313" t="s">
        <v>428</v>
      </c>
      <c r="Q405" s="313" t="s">
        <v>429</v>
      </c>
      <c r="R405" s="313" t="s">
        <v>430</v>
      </c>
      <c r="S405" s="313" t="s">
        <v>431</v>
      </c>
      <c r="T405" s="313" t="s">
        <v>432</v>
      </c>
      <c r="U405" s="313" t="s">
        <v>433</v>
      </c>
      <c r="V405" s="313" t="s">
        <v>434</v>
      </c>
      <c r="W405" s="313" t="s">
        <v>435</v>
      </c>
      <c r="X405" s="313" t="s">
        <v>403</v>
      </c>
      <c r="Y405" s="313" t="s">
        <v>404</v>
      </c>
      <c r="Z405" s="313" t="s">
        <v>405</v>
      </c>
      <c r="AA405" s="313" t="s">
        <v>406</v>
      </c>
      <c r="AB405" s="313" t="s">
        <v>407</v>
      </c>
      <c r="AC405" s="313" t="s">
        <v>408</v>
      </c>
      <c r="AD405" s="313" t="s">
        <v>409</v>
      </c>
      <c r="AH405" s="305"/>
      <c r="AI405" s="69"/>
      <c r="AJ405" s="76"/>
      <c r="AK405" s="76"/>
      <c r="AL405" s="76"/>
      <c r="AM405" s="76"/>
      <c r="AN405" s="77"/>
      <c r="AO405" s="77"/>
      <c r="AP405" s="77"/>
      <c r="BG405" s="366"/>
    </row>
    <row r="406" spans="1:59" s="70" customFormat="1" ht="13.5" customHeight="1">
      <c r="A406" s="79"/>
      <c r="B406" s="367"/>
      <c r="C406" s="312" t="s">
        <v>472</v>
      </c>
      <c r="D406" s="312" t="s">
        <v>473</v>
      </c>
      <c r="E406" s="312" t="s">
        <v>473</v>
      </c>
      <c r="F406" s="314" t="s">
        <v>474</v>
      </c>
      <c r="G406" s="314" t="s">
        <v>474</v>
      </c>
      <c r="H406" s="314" t="s">
        <v>475</v>
      </c>
      <c r="I406" s="314" t="s">
        <v>474</v>
      </c>
      <c r="J406" s="314" t="s">
        <v>476</v>
      </c>
      <c r="K406" s="314" t="s">
        <v>477</v>
      </c>
      <c r="L406" s="313" t="s">
        <v>478</v>
      </c>
      <c r="M406" s="314" t="s">
        <v>478</v>
      </c>
      <c r="N406" s="314" t="s">
        <v>479</v>
      </c>
      <c r="O406" s="314" t="s">
        <v>474</v>
      </c>
      <c r="P406" s="314" t="s">
        <v>480</v>
      </c>
      <c r="Q406" s="314" t="s">
        <v>481</v>
      </c>
      <c r="R406" s="314" t="s">
        <v>480</v>
      </c>
      <c r="S406" s="314" t="s">
        <v>482</v>
      </c>
      <c r="T406" s="313" t="s">
        <v>483</v>
      </c>
      <c r="U406" s="314" t="s">
        <v>483</v>
      </c>
      <c r="V406" s="314" t="s">
        <v>484</v>
      </c>
      <c r="W406" s="314" t="s">
        <v>474</v>
      </c>
      <c r="X406" s="314" t="s">
        <v>485</v>
      </c>
      <c r="Y406" s="314" t="s">
        <v>487</v>
      </c>
      <c r="Z406" s="314" t="s">
        <v>488</v>
      </c>
      <c r="AA406" s="314" t="s">
        <v>488</v>
      </c>
      <c r="AB406" s="313" t="s">
        <v>486</v>
      </c>
      <c r="AC406" s="314" t="s">
        <v>488</v>
      </c>
      <c r="AD406" s="314" t="s">
        <v>488</v>
      </c>
      <c r="AH406" s="303"/>
      <c r="AI406" s="69"/>
      <c r="AJ406" s="69"/>
      <c r="AK406" s="69"/>
      <c r="AL406" s="69"/>
      <c r="AM406" s="69"/>
      <c r="BG406" s="368"/>
    </row>
    <row r="407" spans="1:59" s="27" customFormat="1" ht="13.5" customHeight="1">
      <c r="A407" s="82"/>
      <c r="B407" s="315" t="s">
        <v>410</v>
      </c>
      <c r="C407" s="337" t="s">
        <v>684</v>
      </c>
      <c r="D407" s="313" t="s">
        <v>438</v>
      </c>
      <c r="E407" s="338" t="s">
        <v>630</v>
      </c>
      <c r="F407" s="314" t="s">
        <v>183</v>
      </c>
      <c r="G407" s="314" t="s">
        <v>439</v>
      </c>
      <c r="H407" s="314" t="s">
        <v>184</v>
      </c>
      <c r="I407" s="314" t="s">
        <v>439</v>
      </c>
      <c r="J407" s="314" t="s">
        <v>440</v>
      </c>
      <c r="K407" s="314" t="s">
        <v>411</v>
      </c>
      <c r="L407" s="313" t="s">
        <v>156</v>
      </c>
      <c r="M407" s="314" t="s">
        <v>441</v>
      </c>
      <c r="N407" s="314"/>
      <c r="O407" s="314" t="s">
        <v>183</v>
      </c>
      <c r="P407" s="314" t="s">
        <v>156</v>
      </c>
      <c r="Q407" s="314" t="s">
        <v>442</v>
      </c>
      <c r="R407" s="314" t="s">
        <v>443</v>
      </c>
      <c r="S407" s="314"/>
      <c r="T407" s="313" t="s">
        <v>156</v>
      </c>
      <c r="U407" s="314" t="s">
        <v>156</v>
      </c>
      <c r="V407" s="314" t="s">
        <v>156</v>
      </c>
      <c r="W407" s="314"/>
      <c r="X407" s="314" t="s">
        <v>411</v>
      </c>
      <c r="Y407" s="314" t="s">
        <v>444</v>
      </c>
      <c r="Z407" s="314" t="s">
        <v>445</v>
      </c>
      <c r="AA407" s="314" t="s">
        <v>445</v>
      </c>
      <c r="AB407" s="313" t="s">
        <v>446</v>
      </c>
      <c r="AC407" s="314" t="s">
        <v>447</v>
      </c>
      <c r="AD407" s="314" t="s">
        <v>447</v>
      </c>
      <c r="AH407" s="303"/>
      <c r="AI407" s="69"/>
      <c r="AJ407" s="69"/>
      <c r="AK407" s="85"/>
      <c r="AL407" s="69"/>
      <c r="AM407" s="69"/>
      <c r="AN407" s="70"/>
      <c r="AO407" s="70"/>
      <c r="AP407" s="70"/>
      <c r="BG407" s="122"/>
    </row>
    <row r="408" spans="1:59" s="27" customFormat="1" ht="13.5" customHeight="1">
      <c r="A408" s="86"/>
      <c r="B408" s="317" t="s">
        <v>412</v>
      </c>
      <c r="C408" s="316" t="s">
        <v>685</v>
      </c>
      <c r="D408" s="313" t="s">
        <v>438</v>
      </c>
      <c r="E408" s="314" t="s">
        <v>630</v>
      </c>
      <c r="F408" s="314" t="s">
        <v>183</v>
      </c>
      <c r="G408" s="314" t="s">
        <v>183</v>
      </c>
      <c r="H408" s="314" t="s">
        <v>184</v>
      </c>
      <c r="I408" s="327"/>
      <c r="J408" s="314" t="s">
        <v>184</v>
      </c>
      <c r="K408" s="314" t="s">
        <v>411</v>
      </c>
      <c r="L408" s="313" t="s">
        <v>448</v>
      </c>
      <c r="M408" s="314" t="s">
        <v>441</v>
      </c>
      <c r="N408" s="314"/>
      <c r="O408" s="314" t="s">
        <v>411</v>
      </c>
      <c r="P408" s="314" t="s">
        <v>156</v>
      </c>
      <c r="Q408" s="314" t="s">
        <v>184</v>
      </c>
      <c r="R408" s="314" t="s">
        <v>449</v>
      </c>
      <c r="S408" s="314"/>
      <c r="T408" s="313" t="s">
        <v>156</v>
      </c>
      <c r="U408" s="314" t="s">
        <v>156</v>
      </c>
      <c r="V408" s="314" t="s">
        <v>156</v>
      </c>
      <c r="W408" s="314"/>
      <c r="X408" s="314" t="s">
        <v>411</v>
      </c>
      <c r="Y408" s="314" t="s">
        <v>450</v>
      </c>
      <c r="Z408" s="314" t="s">
        <v>451</v>
      </c>
      <c r="AA408" s="314">
        <v>470195</v>
      </c>
      <c r="AB408" s="313" t="s">
        <v>450</v>
      </c>
      <c r="AC408" s="314">
        <v>470195</v>
      </c>
      <c r="AD408" s="314" t="s">
        <v>451</v>
      </c>
      <c r="AH408" s="303"/>
      <c r="AI408" s="69"/>
      <c r="AJ408" s="63"/>
      <c r="AK408" s="85"/>
      <c r="AL408" s="69"/>
      <c r="AM408" s="69"/>
      <c r="AN408" s="70"/>
      <c r="AO408" s="70"/>
      <c r="AP408" s="70"/>
      <c r="BG408" s="122"/>
    </row>
    <row r="409" spans="1:59" s="27" customFormat="1" ht="13.5" customHeight="1">
      <c r="A409" s="87"/>
      <c r="B409" s="315" t="s">
        <v>410</v>
      </c>
      <c r="C409" s="337" t="s">
        <v>645</v>
      </c>
      <c r="D409" s="316" t="s">
        <v>438</v>
      </c>
      <c r="E409" s="316" t="s">
        <v>438</v>
      </c>
      <c r="F409" s="316" t="s">
        <v>183</v>
      </c>
      <c r="G409" s="316" t="s">
        <v>439</v>
      </c>
      <c r="H409" s="316" t="s">
        <v>184</v>
      </c>
      <c r="I409" s="316" t="s">
        <v>439</v>
      </c>
      <c r="J409" s="316" t="s">
        <v>646</v>
      </c>
      <c r="K409" s="316" t="s">
        <v>411</v>
      </c>
      <c r="L409" s="316" t="s">
        <v>156</v>
      </c>
      <c r="M409" s="316" t="s">
        <v>441</v>
      </c>
      <c r="N409" s="316"/>
      <c r="O409" s="316" t="s">
        <v>183</v>
      </c>
      <c r="P409" s="316" t="s">
        <v>156</v>
      </c>
      <c r="Q409" s="316" t="s">
        <v>442</v>
      </c>
      <c r="R409" s="316" t="s">
        <v>647</v>
      </c>
      <c r="S409" s="316"/>
      <c r="T409" s="316" t="s">
        <v>648</v>
      </c>
      <c r="U409" s="316" t="s">
        <v>649</v>
      </c>
      <c r="V409" s="316" t="s">
        <v>650</v>
      </c>
      <c r="W409" s="316"/>
      <c r="X409" s="316" t="s">
        <v>411</v>
      </c>
      <c r="Y409" s="316" t="s">
        <v>444</v>
      </c>
      <c r="Z409" s="316" t="s">
        <v>445</v>
      </c>
      <c r="AA409" s="316" t="s">
        <v>445</v>
      </c>
      <c r="AB409" s="316" t="s">
        <v>651</v>
      </c>
      <c r="AC409" s="316">
        <v>375901</v>
      </c>
      <c r="AD409" s="316" t="s">
        <v>652</v>
      </c>
      <c r="AH409" s="303"/>
      <c r="AI409" s="69"/>
      <c r="AJ409" s="63"/>
      <c r="AK409" s="85"/>
      <c r="AL409" s="69"/>
      <c r="AM409" s="69"/>
      <c r="AN409" s="70"/>
      <c r="AO409" s="70"/>
      <c r="AP409" s="70"/>
      <c r="BG409" s="122"/>
    </row>
    <row r="410" spans="1:59" s="27" customFormat="1" ht="13.5" customHeight="1">
      <c r="A410" s="87"/>
      <c r="B410" s="315" t="s">
        <v>410</v>
      </c>
      <c r="C410" s="337" t="s">
        <v>659</v>
      </c>
      <c r="D410" s="327" t="s">
        <v>438</v>
      </c>
      <c r="E410" s="327" t="s">
        <v>438</v>
      </c>
      <c r="F410" s="327" t="s">
        <v>183</v>
      </c>
      <c r="G410" s="327" t="s">
        <v>439</v>
      </c>
      <c r="H410" s="327" t="s">
        <v>184</v>
      </c>
      <c r="I410" s="327" t="s">
        <v>439</v>
      </c>
      <c r="J410" s="327" t="s">
        <v>653</v>
      </c>
      <c r="K410" s="327" t="s">
        <v>411</v>
      </c>
      <c r="L410" s="327" t="s">
        <v>654</v>
      </c>
      <c r="M410" s="327" t="s">
        <v>441</v>
      </c>
      <c r="N410" s="327"/>
      <c r="O410" s="327" t="s">
        <v>439</v>
      </c>
      <c r="P410" s="327" t="s">
        <v>156</v>
      </c>
      <c r="Q410" s="327" t="s">
        <v>655</v>
      </c>
      <c r="R410" s="327" t="s">
        <v>443</v>
      </c>
      <c r="S410" s="327"/>
      <c r="T410" s="327" t="s">
        <v>156</v>
      </c>
      <c r="U410" s="327" t="s">
        <v>156</v>
      </c>
      <c r="V410" s="327" t="s">
        <v>156</v>
      </c>
      <c r="W410" s="327"/>
      <c r="X410" s="327" t="s">
        <v>411</v>
      </c>
      <c r="Y410" s="327" t="s">
        <v>656</v>
      </c>
      <c r="Z410" s="327" t="s">
        <v>445</v>
      </c>
      <c r="AA410" s="327" t="s">
        <v>445</v>
      </c>
      <c r="AB410" s="327" t="s">
        <v>657</v>
      </c>
      <c r="AC410" s="327" t="s">
        <v>658</v>
      </c>
      <c r="AD410" s="327" t="s">
        <v>658</v>
      </c>
      <c r="AH410" s="303"/>
      <c r="AI410" s="69"/>
      <c r="AJ410" s="63"/>
      <c r="AK410" s="85"/>
      <c r="AL410" s="69"/>
      <c r="AM410" s="69"/>
      <c r="AN410" s="70"/>
      <c r="AO410" s="70"/>
      <c r="AP410" s="70"/>
      <c r="BG410" s="122"/>
    </row>
    <row r="411" spans="1:59" ht="14">
      <c r="B411" s="358"/>
      <c r="C411" s="359"/>
      <c r="D411" s="359"/>
      <c r="E411" s="359"/>
      <c r="F411" s="359"/>
      <c r="G411" s="359"/>
      <c r="H411" s="359"/>
      <c r="I411" s="359"/>
      <c r="J411" s="359"/>
      <c r="M411" s="359"/>
      <c r="N411" s="359"/>
      <c r="O411" s="359"/>
      <c r="BG411" s="353"/>
    </row>
    <row r="412" spans="1:59" ht="15">
      <c r="B412" s="358"/>
      <c r="C412" s="449" t="s">
        <v>489</v>
      </c>
      <c r="D412" s="450"/>
      <c r="E412" s="450"/>
      <c r="F412" s="450"/>
      <c r="G412" s="450"/>
      <c r="H412" s="450"/>
      <c r="I412" s="450"/>
      <c r="J412" s="450"/>
      <c r="K412" s="450"/>
      <c r="L412" s="450"/>
      <c r="M412" s="450"/>
      <c r="N412" s="450"/>
      <c r="O412" s="450"/>
      <c r="P412" s="450"/>
      <c r="Q412" s="450"/>
      <c r="R412" s="450"/>
      <c r="S412" s="450"/>
      <c r="T412" s="450"/>
      <c r="U412" s="92"/>
      <c r="V412" s="92"/>
      <c r="W412" s="92"/>
      <c r="X412" s="92"/>
      <c r="Y412" s="92"/>
      <c r="Z412" s="92"/>
      <c r="AA412" s="93"/>
      <c r="AB412" s="93"/>
      <c r="AC412" s="93"/>
      <c r="AD412" s="93"/>
      <c r="AE412" s="93"/>
      <c r="AF412" s="93"/>
      <c r="AG412" s="93"/>
      <c r="AH412" s="93"/>
      <c r="AI412" s="93"/>
      <c r="AJ412" s="93"/>
      <c r="AK412" s="93"/>
      <c r="AL412" s="93"/>
      <c r="AM412" s="93"/>
      <c r="AN412" s="93"/>
      <c r="AO412" s="93"/>
      <c r="AP412" s="94"/>
      <c r="AQ412" s="94"/>
      <c r="AR412" s="94"/>
      <c r="AS412" s="94"/>
      <c r="AT412" s="94"/>
      <c r="AU412" s="94"/>
      <c r="AV412" s="94"/>
      <c r="AW412" s="94"/>
      <c r="AX412" s="94"/>
      <c r="AY412" s="94"/>
      <c r="AZ412" s="94"/>
      <c r="BA412" s="94"/>
      <c r="BB412" s="94"/>
      <c r="BC412" s="94"/>
      <c r="BD412" s="94"/>
      <c r="BE412" s="94"/>
      <c r="BF412" s="94"/>
      <c r="BG412" s="353"/>
    </row>
    <row r="413" spans="1:59" ht="15">
      <c r="B413" s="358"/>
      <c r="C413" s="322"/>
      <c r="D413" s="322"/>
      <c r="E413" s="322"/>
      <c r="F413" s="319" t="s">
        <v>169</v>
      </c>
      <c r="G413" s="319" t="s">
        <v>169</v>
      </c>
      <c r="H413" s="324" t="s">
        <v>169</v>
      </c>
      <c r="I413" s="319" t="s">
        <v>169</v>
      </c>
      <c r="J413" s="319" t="s">
        <v>169</v>
      </c>
      <c r="K413" s="324"/>
      <c r="L413" s="324"/>
      <c r="M413" s="324"/>
      <c r="N413" s="324"/>
      <c r="O413" s="324"/>
      <c r="P413" s="324"/>
      <c r="Q413" s="324"/>
      <c r="R413" s="324"/>
      <c r="S413" s="324"/>
      <c r="T413" s="324"/>
      <c r="U413" s="324"/>
      <c r="V413" s="324"/>
      <c r="W413" s="324"/>
      <c r="X413" s="324"/>
      <c r="Y413" s="324"/>
      <c r="Z413" s="324"/>
      <c r="AA413" s="325"/>
      <c r="AB413" s="325"/>
      <c r="AC413" s="325"/>
      <c r="AD413" s="325"/>
      <c r="AE413" s="325"/>
      <c r="AF413" s="325"/>
      <c r="AG413" s="325"/>
      <c r="AH413" s="325"/>
      <c r="AI413" s="325"/>
      <c r="AJ413" s="325"/>
      <c r="AK413" s="325"/>
      <c r="AL413" s="325"/>
      <c r="AM413" s="325"/>
      <c r="AN413" s="325"/>
      <c r="AO413" s="325"/>
      <c r="AP413" s="325"/>
      <c r="AQ413" s="325"/>
      <c r="AR413" s="325"/>
      <c r="AS413" s="325"/>
      <c r="AT413" s="325"/>
      <c r="AU413" s="325"/>
      <c r="AV413" s="325"/>
      <c r="AW413" s="325"/>
      <c r="AX413" s="325"/>
      <c r="AY413" s="325"/>
      <c r="AZ413" s="325"/>
      <c r="BA413" s="325"/>
      <c r="BB413" s="325"/>
      <c r="BC413" s="325"/>
      <c r="BD413" s="325"/>
      <c r="BE413" s="325"/>
      <c r="BF413" s="325"/>
      <c r="BG413" s="353"/>
    </row>
    <row r="414" spans="1:59" ht="25">
      <c r="B414" s="358"/>
      <c r="C414" s="312" t="s">
        <v>533</v>
      </c>
      <c r="D414" s="312" t="s">
        <v>588</v>
      </c>
      <c r="E414" s="312" t="s">
        <v>589</v>
      </c>
      <c r="F414" s="314" t="s">
        <v>96</v>
      </c>
      <c r="G414" s="314" t="s">
        <v>99</v>
      </c>
      <c r="H414" s="314" t="s">
        <v>130</v>
      </c>
      <c r="I414" s="314" t="s">
        <v>559</v>
      </c>
      <c r="J414" s="314" t="s">
        <v>127</v>
      </c>
      <c r="K414" s="314" t="s">
        <v>67</v>
      </c>
      <c r="L414" s="314" t="s">
        <v>456</v>
      </c>
      <c r="M414" s="314" t="s">
        <v>534</v>
      </c>
      <c r="N414" s="314" t="s">
        <v>535</v>
      </c>
      <c r="O414" s="314" t="s">
        <v>536</v>
      </c>
      <c r="P414" s="314" t="s">
        <v>537</v>
      </c>
      <c r="Q414" s="314" t="s">
        <v>538</v>
      </c>
      <c r="R414" s="314" t="s">
        <v>539</v>
      </c>
      <c r="S414" s="314" t="s">
        <v>540</v>
      </c>
      <c r="T414" s="314" t="s">
        <v>541</v>
      </c>
      <c r="U414" s="314" t="s">
        <v>542</v>
      </c>
      <c r="V414" s="314" t="s">
        <v>543</v>
      </c>
      <c r="W414" s="314" t="s">
        <v>544</v>
      </c>
      <c r="X414" s="314" t="s">
        <v>545</v>
      </c>
      <c r="Y414" s="314" t="s">
        <v>546</v>
      </c>
      <c r="Z414" s="314" t="s">
        <v>547</v>
      </c>
      <c r="AA414" s="314" t="s">
        <v>548</v>
      </c>
      <c r="AB414" s="314" t="s">
        <v>549</v>
      </c>
      <c r="AC414" s="314" t="s">
        <v>550</v>
      </c>
      <c r="AD414" s="314" t="s">
        <v>551</v>
      </c>
      <c r="AE414" s="314" t="s">
        <v>552</v>
      </c>
      <c r="AF414" s="314" t="s">
        <v>553</v>
      </c>
      <c r="AG414" s="314" t="s">
        <v>554</v>
      </c>
      <c r="AH414" s="314" t="s">
        <v>555</v>
      </c>
      <c r="AI414" s="314" t="s">
        <v>556</v>
      </c>
      <c r="AJ414" s="314" t="s">
        <v>558</v>
      </c>
      <c r="AK414" s="314" t="s">
        <v>557</v>
      </c>
      <c r="AL414" s="314" t="s">
        <v>566</v>
      </c>
      <c r="AM414" s="314" t="s">
        <v>560</v>
      </c>
      <c r="AN414" s="314" t="s">
        <v>561</v>
      </c>
      <c r="AO414" s="314" t="s">
        <v>562</v>
      </c>
      <c r="AP414" s="314" t="s">
        <v>563</v>
      </c>
      <c r="AQ414" s="314" t="s">
        <v>567</v>
      </c>
      <c r="AR414" s="314" t="s">
        <v>564</v>
      </c>
      <c r="AS414" s="314" t="s">
        <v>565</v>
      </c>
      <c r="AT414" s="314" t="s">
        <v>568</v>
      </c>
      <c r="AU414" s="314" t="s">
        <v>569</v>
      </c>
      <c r="AV414" s="314" t="s">
        <v>570</v>
      </c>
      <c r="AW414" s="314" t="s">
        <v>571</v>
      </c>
      <c r="AX414" s="314" t="s">
        <v>572</v>
      </c>
      <c r="AY414" s="314" t="s">
        <v>573</v>
      </c>
      <c r="AZ414" s="314" t="s">
        <v>397</v>
      </c>
      <c r="BA414" s="314" t="s">
        <v>398</v>
      </c>
      <c r="BB414" s="314" t="s">
        <v>399</v>
      </c>
      <c r="BC414" s="314" t="s">
        <v>400</v>
      </c>
      <c r="BD414" s="314" t="s">
        <v>151</v>
      </c>
      <c r="BE414" s="314" t="s">
        <v>152</v>
      </c>
      <c r="BF414" s="314" t="s">
        <v>401</v>
      </c>
      <c r="BG414" s="353"/>
    </row>
    <row r="415" spans="1:59">
      <c r="B415" s="358"/>
      <c r="C415" s="312" t="s">
        <v>371</v>
      </c>
      <c r="D415" s="312" t="s">
        <v>381</v>
      </c>
      <c r="E415" s="312" t="s">
        <v>390</v>
      </c>
      <c r="F415" s="313" t="s">
        <v>490</v>
      </c>
      <c r="G415" s="313" t="s">
        <v>491</v>
      </c>
      <c r="H415" s="313" t="s">
        <v>492</v>
      </c>
      <c r="I415" s="313" t="s">
        <v>519</v>
      </c>
      <c r="J415" s="313" t="s">
        <v>525</v>
      </c>
      <c r="K415" s="313" t="s">
        <v>419</v>
      </c>
      <c r="L415" s="313" t="s">
        <v>420</v>
      </c>
      <c r="M415" s="313" t="s">
        <v>493</v>
      </c>
      <c r="N415" s="313" t="s">
        <v>494</v>
      </c>
      <c r="O415" s="313" t="s">
        <v>495</v>
      </c>
      <c r="P415" s="313" t="s">
        <v>496</v>
      </c>
      <c r="Q415" s="313" t="s">
        <v>497</v>
      </c>
      <c r="R415" s="313" t="s">
        <v>498</v>
      </c>
      <c r="S415" s="313" t="s">
        <v>499</v>
      </c>
      <c r="T415" s="313" t="s">
        <v>500</v>
      </c>
      <c r="U415" s="313" t="s">
        <v>501</v>
      </c>
      <c r="V415" s="313" t="s">
        <v>502</v>
      </c>
      <c r="W415" s="313" t="s">
        <v>503</v>
      </c>
      <c r="X415" s="313" t="s">
        <v>504</v>
      </c>
      <c r="Y415" s="313" t="s">
        <v>505</v>
      </c>
      <c r="Z415" s="313" t="s">
        <v>506</v>
      </c>
      <c r="AA415" s="313" t="s">
        <v>507</v>
      </c>
      <c r="AB415" s="313" t="s">
        <v>508</v>
      </c>
      <c r="AC415" s="313" t="s">
        <v>509</v>
      </c>
      <c r="AD415" s="313" t="s">
        <v>510</v>
      </c>
      <c r="AE415" s="313" t="s">
        <v>511</v>
      </c>
      <c r="AF415" s="313" t="s">
        <v>512</v>
      </c>
      <c r="AG415" s="313" t="s">
        <v>513</v>
      </c>
      <c r="AH415" s="313" t="s">
        <v>514</v>
      </c>
      <c r="AI415" s="313" t="s">
        <v>515</v>
      </c>
      <c r="AJ415" s="313" t="s">
        <v>516</v>
      </c>
      <c r="AK415" s="313" t="s">
        <v>517</v>
      </c>
      <c r="AL415" s="313" t="s">
        <v>518</v>
      </c>
      <c r="AM415" s="313" t="s">
        <v>520</v>
      </c>
      <c r="AN415" s="313" t="s">
        <v>521</v>
      </c>
      <c r="AO415" s="313" t="s">
        <v>522</v>
      </c>
      <c r="AP415" s="313" t="s">
        <v>402</v>
      </c>
      <c r="AQ415" s="313" t="s">
        <v>523</v>
      </c>
      <c r="AR415" s="313" t="s">
        <v>524</v>
      </c>
      <c r="AS415" s="313" t="s">
        <v>526</v>
      </c>
      <c r="AT415" s="313" t="s">
        <v>527</v>
      </c>
      <c r="AU415" s="313" t="s">
        <v>528</v>
      </c>
      <c r="AV415" s="313" t="s">
        <v>529</v>
      </c>
      <c r="AW415" s="313" t="s">
        <v>530</v>
      </c>
      <c r="AX415" s="313" t="s">
        <v>531</v>
      </c>
      <c r="AY415" s="313" t="s">
        <v>532</v>
      </c>
      <c r="AZ415" s="313" t="s">
        <v>403</v>
      </c>
      <c r="BA415" s="313" t="s">
        <v>404</v>
      </c>
      <c r="BB415" s="313" t="s">
        <v>405</v>
      </c>
      <c r="BC415" s="313" t="s">
        <v>406</v>
      </c>
      <c r="BD415" s="313" t="s">
        <v>407</v>
      </c>
      <c r="BE415" s="313" t="s">
        <v>408</v>
      </c>
      <c r="BF415" s="313" t="s">
        <v>409</v>
      </c>
      <c r="BG415" s="353"/>
    </row>
    <row r="416" spans="1:59">
      <c r="B416" s="358"/>
      <c r="C416" s="312" t="s">
        <v>472</v>
      </c>
      <c r="D416" s="312" t="s">
        <v>574</v>
      </c>
      <c r="E416" s="312" t="s">
        <v>473</v>
      </c>
      <c r="F416" s="326" t="s">
        <v>474</v>
      </c>
      <c r="G416" s="326" t="s">
        <v>474</v>
      </c>
      <c r="H416" s="326" t="s">
        <v>474</v>
      </c>
      <c r="I416" s="326" t="s">
        <v>474</v>
      </c>
      <c r="J416" s="326" t="s">
        <v>476</v>
      </c>
      <c r="K416" s="326" t="s">
        <v>474</v>
      </c>
      <c r="L416" s="326" t="s">
        <v>474</v>
      </c>
      <c r="M416" s="326" t="s">
        <v>575</v>
      </c>
      <c r="N416" s="326" t="s">
        <v>575</v>
      </c>
      <c r="O416" s="326" t="s">
        <v>473</v>
      </c>
      <c r="P416" s="326" t="s">
        <v>576</v>
      </c>
      <c r="Q416" s="326" t="s">
        <v>474</v>
      </c>
      <c r="R416" s="326" t="s">
        <v>481</v>
      </c>
      <c r="S416" s="326" t="s">
        <v>476</v>
      </c>
      <c r="T416" s="326" t="s">
        <v>481</v>
      </c>
      <c r="U416" s="326" t="s">
        <v>476</v>
      </c>
      <c r="V416" s="326" t="s">
        <v>476</v>
      </c>
      <c r="W416" s="326" t="s">
        <v>474</v>
      </c>
      <c r="X416" s="326" t="s">
        <v>577</v>
      </c>
      <c r="Y416" s="326" t="s">
        <v>577</v>
      </c>
      <c r="Z416" s="326" t="s">
        <v>478</v>
      </c>
      <c r="AA416" s="326" t="s">
        <v>576</v>
      </c>
      <c r="AB416" s="326" t="s">
        <v>576</v>
      </c>
      <c r="AC416" s="326" t="s">
        <v>476</v>
      </c>
      <c r="AD416" s="326" t="s">
        <v>480</v>
      </c>
      <c r="AE416" s="326" t="s">
        <v>481</v>
      </c>
      <c r="AF416" s="326" t="s">
        <v>481</v>
      </c>
      <c r="AG416" s="326" t="s">
        <v>578</v>
      </c>
      <c r="AH416" s="326" t="s">
        <v>578</v>
      </c>
      <c r="AI416" s="326" t="s">
        <v>481</v>
      </c>
      <c r="AJ416" s="326" t="s">
        <v>481</v>
      </c>
      <c r="AK416" s="326" t="s">
        <v>578</v>
      </c>
      <c r="AL416" s="326" t="s">
        <v>578</v>
      </c>
      <c r="AM416" s="326" t="s">
        <v>474</v>
      </c>
      <c r="AN416" s="326" t="s">
        <v>474</v>
      </c>
      <c r="AO416" s="326" t="s">
        <v>474</v>
      </c>
      <c r="AP416" s="326" t="s">
        <v>478</v>
      </c>
      <c r="AQ416" s="326" t="s">
        <v>473</v>
      </c>
      <c r="AR416" s="326" t="s">
        <v>474</v>
      </c>
      <c r="AS416" s="326" t="s">
        <v>476</v>
      </c>
      <c r="AT416" s="326" t="s">
        <v>474</v>
      </c>
      <c r="AU416" s="326" t="s">
        <v>579</v>
      </c>
      <c r="AV416" s="326" t="s">
        <v>481</v>
      </c>
      <c r="AW416" s="326" t="s">
        <v>478</v>
      </c>
      <c r="AX416" s="326" t="s">
        <v>474</v>
      </c>
      <c r="AY416" s="326" t="s">
        <v>474</v>
      </c>
      <c r="AZ416" s="326" t="s">
        <v>485</v>
      </c>
      <c r="BA416" s="326" t="s">
        <v>486</v>
      </c>
      <c r="BB416" s="326" t="s">
        <v>488</v>
      </c>
      <c r="BC416" s="326" t="s">
        <v>488</v>
      </c>
      <c r="BD416" s="326" t="s">
        <v>486</v>
      </c>
      <c r="BE416" s="326" t="s">
        <v>488</v>
      </c>
      <c r="BF416" s="326" t="s">
        <v>488</v>
      </c>
      <c r="BG416" s="353"/>
    </row>
    <row r="417" spans="2:59" ht="15">
      <c r="B417" s="315" t="s">
        <v>410</v>
      </c>
      <c r="C417" s="337" t="s">
        <v>684</v>
      </c>
      <c r="D417" s="338" t="s">
        <v>630</v>
      </c>
      <c r="E417" s="338" t="s">
        <v>630</v>
      </c>
      <c r="F417" s="328" t="s">
        <v>454</v>
      </c>
      <c r="G417" s="327" t="s">
        <v>411</v>
      </c>
      <c r="H417" s="327" t="s">
        <v>411</v>
      </c>
      <c r="I417" s="330">
        <v>1</v>
      </c>
      <c r="J417" s="331">
        <v>0</v>
      </c>
      <c r="K417" s="327" t="s">
        <v>439</v>
      </c>
      <c r="L417" s="327" t="s">
        <v>439</v>
      </c>
      <c r="M417" s="327" t="s">
        <v>156</v>
      </c>
      <c r="N417" s="327" t="s">
        <v>156</v>
      </c>
      <c r="O417" s="327" t="s">
        <v>156</v>
      </c>
      <c r="P417" s="327" t="s">
        <v>156</v>
      </c>
      <c r="Q417" s="329" t="s">
        <v>580</v>
      </c>
      <c r="R417" s="327" t="s">
        <v>411</v>
      </c>
      <c r="S417" s="327" t="s">
        <v>411</v>
      </c>
      <c r="T417" s="327" t="s">
        <v>581</v>
      </c>
      <c r="U417" s="327" t="s">
        <v>582</v>
      </c>
      <c r="V417" s="327" t="s">
        <v>183</v>
      </c>
      <c r="W417" s="327" t="s">
        <v>183</v>
      </c>
      <c r="X417" s="327" t="s">
        <v>411</v>
      </c>
      <c r="Y417" s="327" t="s">
        <v>411</v>
      </c>
      <c r="Z417" s="327"/>
      <c r="AA417" s="330"/>
      <c r="AB417" s="330" t="s">
        <v>156</v>
      </c>
      <c r="AC417" s="330">
        <v>1</v>
      </c>
      <c r="AD417" s="330">
        <v>99999999</v>
      </c>
      <c r="AE417" s="327" t="s">
        <v>411</v>
      </c>
      <c r="AF417" s="327" t="s">
        <v>411</v>
      </c>
      <c r="AG417" s="327" t="s">
        <v>411</v>
      </c>
      <c r="AH417" s="327" t="s">
        <v>411</v>
      </c>
      <c r="AI417" s="330">
        <v>0</v>
      </c>
      <c r="AJ417" s="330">
        <v>0</v>
      </c>
      <c r="AK417" s="330">
        <v>0</v>
      </c>
      <c r="AL417" s="330">
        <v>0</v>
      </c>
      <c r="AM417" s="327" t="s">
        <v>183</v>
      </c>
      <c r="AN417" s="330">
        <v>0</v>
      </c>
      <c r="AO417" s="327" t="s">
        <v>411</v>
      </c>
      <c r="AP417" s="330">
        <v>1</v>
      </c>
      <c r="AQ417" s="331" t="s">
        <v>156</v>
      </c>
      <c r="AR417" s="331" t="s">
        <v>583</v>
      </c>
      <c r="AS417" s="331">
        <v>0</v>
      </c>
      <c r="AT417" s="331">
        <v>1</v>
      </c>
      <c r="AU417" s="331">
        <v>0</v>
      </c>
      <c r="AV417" s="331">
        <v>0</v>
      </c>
      <c r="AW417" s="331">
        <v>0</v>
      </c>
      <c r="AX417" s="331">
        <v>0</v>
      </c>
      <c r="AY417" s="331">
        <v>1</v>
      </c>
      <c r="AZ417" s="331">
        <v>0</v>
      </c>
      <c r="BA417" s="332">
        <v>29705</v>
      </c>
      <c r="BB417" s="331" t="s">
        <v>445</v>
      </c>
      <c r="BC417" s="331" t="s">
        <v>445</v>
      </c>
      <c r="BD417" s="332">
        <v>36413</v>
      </c>
      <c r="BE417" s="331" t="s">
        <v>445</v>
      </c>
      <c r="BF417" s="331" t="s">
        <v>445</v>
      </c>
      <c r="BG417" s="353"/>
    </row>
    <row r="418" spans="2:59" ht="15">
      <c r="B418" s="317" t="s">
        <v>412</v>
      </c>
      <c r="C418" s="327" t="s">
        <v>685</v>
      </c>
      <c r="D418" s="338" t="s">
        <v>630</v>
      </c>
      <c r="E418" s="338" t="s">
        <v>630</v>
      </c>
      <c r="F418" s="328" t="s">
        <v>185</v>
      </c>
      <c r="G418" s="327" t="s">
        <v>411</v>
      </c>
      <c r="H418" s="327" t="s">
        <v>411</v>
      </c>
      <c r="I418" s="330">
        <v>0</v>
      </c>
      <c r="J418" s="331">
        <v>30</v>
      </c>
      <c r="K418" s="314" t="s">
        <v>183</v>
      </c>
      <c r="L418" s="327"/>
      <c r="M418" s="327" t="s">
        <v>156</v>
      </c>
      <c r="N418" s="327" t="s">
        <v>156</v>
      </c>
      <c r="O418" s="327" t="s">
        <v>584</v>
      </c>
      <c r="P418" s="327" t="s">
        <v>156</v>
      </c>
      <c r="Q418" s="329" t="s">
        <v>585</v>
      </c>
      <c r="R418" s="327" t="s">
        <v>183</v>
      </c>
      <c r="S418" s="327" t="s">
        <v>411</v>
      </c>
      <c r="T418" s="327" t="s">
        <v>581</v>
      </c>
      <c r="U418" s="327" t="s">
        <v>582</v>
      </c>
      <c r="V418" s="327" t="s">
        <v>586</v>
      </c>
      <c r="W418" s="327" t="s">
        <v>183</v>
      </c>
      <c r="X418" s="327" t="s">
        <v>411</v>
      </c>
      <c r="Y418" s="327" t="s">
        <v>411</v>
      </c>
      <c r="Z418" s="327"/>
      <c r="AA418" s="330"/>
      <c r="AB418" s="330" t="s">
        <v>587</v>
      </c>
      <c r="AC418" s="333">
        <v>5000</v>
      </c>
      <c r="AD418" s="330">
        <v>99999999</v>
      </c>
      <c r="AE418" s="327" t="s">
        <v>411</v>
      </c>
      <c r="AF418" s="327" t="s">
        <v>439</v>
      </c>
      <c r="AG418" s="327" t="s">
        <v>411</v>
      </c>
      <c r="AH418" s="327" t="s">
        <v>411</v>
      </c>
      <c r="AI418" s="330">
        <v>0</v>
      </c>
      <c r="AJ418" s="330">
        <v>0</v>
      </c>
      <c r="AK418" s="330">
        <v>0</v>
      </c>
      <c r="AL418" s="330">
        <v>0</v>
      </c>
      <c r="AM418" s="327" t="s">
        <v>183</v>
      </c>
      <c r="AN418" s="330">
        <v>0</v>
      </c>
      <c r="AO418" s="327" t="s">
        <v>411</v>
      </c>
      <c r="AP418" s="330">
        <v>1</v>
      </c>
      <c r="AQ418" s="331">
        <v>1111</v>
      </c>
      <c r="AR418" s="331" t="s">
        <v>583</v>
      </c>
      <c r="AS418" s="331">
        <v>10</v>
      </c>
      <c r="AT418" s="331">
        <v>1</v>
      </c>
      <c r="AU418" s="331">
        <v>0</v>
      </c>
      <c r="AV418" s="331">
        <v>0</v>
      </c>
      <c r="AW418" s="331">
        <v>0</v>
      </c>
      <c r="AX418" s="331">
        <v>0</v>
      </c>
      <c r="AY418" s="331">
        <v>1</v>
      </c>
      <c r="AZ418" s="331">
        <v>0</v>
      </c>
      <c r="BA418" s="332">
        <v>40640.750486111108</v>
      </c>
      <c r="BB418" s="331">
        <v>470195</v>
      </c>
      <c r="BC418" s="331">
        <v>470195</v>
      </c>
      <c r="BD418" s="332">
        <v>45392.67769675926</v>
      </c>
      <c r="BE418" s="331">
        <v>363363</v>
      </c>
      <c r="BF418" s="331">
        <v>363363</v>
      </c>
      <c r="BG418" s="353"/>
    </row>
    <row r="419" spans="2:59" ht="14">
      <c r="B419" s="315" t="s">
        <v>410</v>
      </c>
      <c r="C419" s="337" t="s">
        <v>645</v>
      </c>
      <c r="D419" s="327" t="s">
        <v>630</v>
      </c>
      <c r="E419" s="327" t="s">
        <v>438</v>
      </c>
      <c r="F419" s="327" t="s">
        <v>454</v>
      </c>
      <c r="G419" s="327" t="s">
        <v>411</v>
      </c>
      <c r="H419" s="327" t="s">
        <v>411</v>
      </c>
      <c r="I419" s="327">
        <v>1</v>
      </c>
      <c r="J419" s="327">
        <v>0</v>
      </c>
      <c r="K419" s="327" t="s">
        <v>439</v>
      </c>
      <c r="L419" s="327" t="s">
        <v>439</v>
      </c>
      <c r="M419" s="327" t="s">
        <v>156</v>
      </c>
      <c r="N419" s="327" t="s">
        <v>156</v>
      </c>
      <c r="O419" s="327" t="s">
        <v>156</v>
      </c>
      <c r="P419" s="327" t="s">
        <v>156</v>
      </c>
      <c r="Q419" s="327" t="s">
        <v>580</v>
      </c>
      <c r="R419" s="327" t="s">
        <v>411</v>
      </c>
      <c r="S419" s="327" t="s">
        <v>411</v>
      </c>
      <c r="T419" s="327" t="s">
        <v>581</v>
      </c>
      <c r="U419" s="327" t="s">
        <v>582</v>
      </c>
      <c r="V419" s="327" t="s">
        <v>183</v>
      </c>
      <c r="W419" s="327" t="s">
        <v>183</v>
      </c>
      <c r="X419" s="327" t="s">
        <v>411</v>
      </c>
      <c r="Y419" s="327" t="s">
        <v>411</v>
      </c>
      <c r="Z419" s="327"/>
      <c r="AA419" s="327"/>
      <c r="AB419" s="327" t="s">
        <v>156</v>
      </c>
      <c r="AC419" s="327">
        <v>1</v>
      </c>
      <c r="AD419" s="327">
        <v>99999999</v>
      </c>
      <c r="AE419" s="327">
        <v>0</v>
      </c>
      <c r="AF419" s="327">
        <v>0</v>
      </c>
      <c r="AG419" s="327">
        <v>0</v>
      </c>
      <c r="AH419" s="327">
        <v>0</v>
      </c>
      <c r="AI419" s="327">
        <v>0</v>
      </c>
      <c r="AJ419" s="327">
        <v>0</v>
      </c>
      <c r="AK419" s="327">
        <v>0</v>
      </c>
      <c r="AL419" s="327">
        <v>0</v>
      </c>
      <c r="AM419" s="327">
        <v>1</v>
      </c>
      <c r="AN419" s="327">
        <v>0</v>
      </c>
      <c r="AO419" s="327">
        <v>0</v>
      </c>
      <c r="AP419" s="327">
        <v>1</v>
      </c>
      <c r="AQ419" s="327" t="s">
        <v>156</v>
      </c>
      <c r="AR419" s="327" t="s">
        <v>583</v>
      </c>
      <c r="AS419" s="327">
        <v>0</v>
      </c>
      <c r="AT419" s="327">
        <v>1</v>
      </c>
      <c r="AU419" s="327">
        <v>0</v>
      </c>
      <c r="AV419" s="327">
        <v>0</v>
      </c>
      <c r="AW419" s="327">
        <v>0</v>
      </c>
      <c r="AX419" s="327">
        <v>0</v>
      </c>
      <c r="AY419" s="327">
        <v>1</v>
      </c>
      <c r="AZ419" s="327">
        <v>0</v>
      </c>
      <c r="BA419" s="327">
        <v>29705</v>
      </c>
      <c r="BB419" s="327" t="s">
        <v>445</v>
      </c>
      <c r="BC419" s="327" t="s">
        <v>445</v>
      </c>
      <c r="BD419" s="327">
        <v>39993.705960648149</v>
      </c>
      <c r="BE419" s="327">
        <v>375901</v>
      </c>
      <c r="BF419" s="327">
        <v>375901</v>
      </c>
      <c r="BG419" s="353"/>
    </row>
    <row r="420" spans="2:59" ht="14">
      <c r="B420" s="315" t="s">
        <v>410</v>
      </c>
      <c r="C420" s="337" t="s">
        <v>659</v>
      </c>
      <c r="D420" s="327" t="s">
        <v>438</v>
      </c>
      <c r="E420" s="327" t="s">
        <v>438</v>
      </c>
      <c r="F420" s="327" t="s">
        <v>454</v>
      </c>
      <c r="G420" s="327" t="s">
        <v>411</v>
      </c>
      <c r="H420" s="327" t="s">
        <v>411</v>
      </c>
      <c r="I420" s="327">
        <v>1</v>
      </c>
      <c r="J420" s="327">
        <v>0</v>
      </c>
      <c r="K420" s="327" t="s">
        <v>439</v>
      </c>
      <c r="L420" s="327" t="s">
        <v>439</v>
      </c>
      <c r="M420" s="327" t="s">
        <v>156</v>
      </c>
      <c r="N420" s="327" t="s">
        <v>156</v>
      </c>
      <c r="O420" s="327" t="s">
        <v>156</v>
      </c>
      <c r="P420" s="327" t="s">
        <v>156</v>
      </c>
      <c r="Q420" s="327" t="s">
        <v>580</v>
      </c>
      <c r="R420" s="327" t="s">
        <v>411</v>
      </c>
      <c r="S420" s="327" t="s">
        <v>411</v>
      </c>
      <c r="T420" s="327" t="s">
        <v>581</v>
      </c>
      <c r="U420" s="327" t="s">
        <v>582</v>
      </c>
      <c r="V420" s="327" t="s">
        <v>183</v>
      </c>
      <c r="W420" s="327" t="s">
        <v>183</v>
      </c>
      <c r="X420" s="327" t="s">
        <v>411</v>
      </c>
      <c r="Y420" s="327" t="s">
        <v>411</v>
      </c>
      <c r="Z420" s="327"/>
      <c r="AA420" s="327"/>
      <c r="AB420" s="327" t="s">
        <v>156</v>
      </c>
      <c r="AC420" s="327">
        <v>1</v>
      </c>
      <c r="AD420" s="327">
        <v>99999999</v>
      </c>
      <c r="AE420" s="327">
        <v>0</v>
      </c>
      <c r="AF420" s="327">
        <v>0</v>
      </c>
      <c r="AG420" s="327">
        <v>0</v>
      </c>
      <c r="AH420" s="327">
        <v>0</v>
      </c>
      <c r="AI420" s="327">
        <v>0</v>
      </c>
      <c r="AJ420" s="327">
        <v>0</v>
      </c>
      <c r="AK420" s="327">
        <v>0</v>
      </c>
      <c r="AL420" s="327">
        <v>0</v>
      </c>
      <c r="AM420" s="327">
        <v>1</v>
      </c>
      <c r="AN420" s="327">
        <v>0</v>
      </c>
      <c r="AO420" s="327">
        <v>0</v>
      </c>
      <c r="AP420" s="327">
        <v>1</v>
      </c>
      <c r="AQ420" s="327" t="s">
        <v>156</v>
      </c>
      <c r="AR420" s="327" t="s">
        <v>583</v>
      </c>
      <c r="AS420" s="327">
        <v>0</v>
      </c>
      <c r="AT420" s="327">
        <v>1</v>
      </c>
      <c r="AU420" s="327">
        <v>0</v>
      </c>
      <c r="AV420" s="327">
        <v>0</v>
      </c>
      <c r="AW420" s="327">
        <v>0</v>
      </c>
      <c r="AX420" s="327">
        <v>0</v>
      </c>
      <c r="AY420" s="327">
        <v>1</v>
      </c>
      <c r="AZ420" s="327">
        <v>0</v>
      </c>
      <c r="BA420" s="327">
        <v>31819</v>
      </c>
      <c r="BB420" s="327" t="s">
        <v>445</v>
      </c>
      <c r="BC420" s="327" t="s">
        <v>445</v>
      </c>
      <c r="BD420" s="327">
        <v>45636.056898148148</v>
      </c>
      <c r="BE420" s="327" t="s">
        <v>643</v>
      </c>
      <c r="BF420" s="327" t="s">
        <v>643</v>
      </c>
      <c r="BG420" s="353"/>
    </row>
    <row r="421" spans="2:59" ht="14">
      <c r="B421" s="358"/>
      <c r="C421" s="359"/>
      <c r="D421" s="359"/>
      <c r="E421" s="359"/>
      <c r="F421" s="359"/>
      <c r="G421" s="359"/>
      <c r="H421" s="359"/>
      <c r="I421" s="359"/>
      <c r="J421" s="359"/>
      <c r="M421" s="359"/>
      <c r="N421" s="359"/>
      <c r="O421" s="359"/>
      <c r="BG421" s="353"/>
    </row>
    <row r="422" spans="2:59" ht="14">
      <c r="B422" s="358"/>
      <c r="C422" s="359" t="s">
        <v>153</v>
      </c>
      <c r="D422" s="359"/>
      <c r="E422" s="359"/>
      <c r="F422" s="359"/>
      <c r="G422" s="359"/>
      <c r="H422" s="359"/>
      <c r="I422" s="359"/>
      <c r="J422" s="359"/>
      <c r="M422" s="359"/>
      <c r="N422" s="359"/>
      <c r="O422" s="359"/>
      <c r="BG422" s="353"/>
    </row>
    <row r="423" spans="2:59" ht="14">
      <c r="B423" s="358"/>
      <c r="C423" s="359" t="s">
        <v>154</v>
      </c>
      <c r="D423" s="359" t="s">
        <v>155</v>
      </c>
      <c r="E423" s="359" t="s">
        <v>157</v>
      </c>
      <c r="F423" s="359" t="s">
        <v>158</v>
      </c>
      <c r="G423" s="359" t="s">
        <v>356</v>
      </c>
      <c r="H423" s="359" t="s">
        <v>357</v>
      </c>
      <c r="I423" s="359" t="s">
        <v>358</v>
      </c>
      <c r="J423" s="359" t="s">
        <v>359</v>
      </c>
      <c r="K423" s="359" t="s">
        <v>360</v>
      </c>
      <c r="L423" s="359" t="s">
        <v>361</v>
      </c>
      <c r="M423" s="359" t="s">
        <v>362</v>
      </c>
      <c r="BG423" s="353"/>
    </row>
    <row r="424" spans="2:59" ht="14">
      <c r="B424" s="358"/>
      <c r="C424" s="359">
        <v>0</v>
      </c>
      <c r="D424" s="359">
        <v>0</v>
      </c>
      <c r="E424" s="359">
        <v>0</v>
      </c>
      <c r="F424" s="359" t="s">
        <v>156</v>
      </c>
      <c r="G424" s="359" t="s">
        <v>156</v>
      </c>
      <c r="H424" s="359">
        <v>1</v>
      </c>
      <c r="I424" s="359">
        <v>4</v>
      </c>
      <c r="J424" s="359">
        <v>2</v>
      </c>
      <c r="K424" s="359">
        <v>0</v>
      </c>
      <c r="L424" s="359">
        <v>30</v>
      </c>
      <c r="M424" s="359">
        <v>0</v>
      </c>
      <c r="BG424" s="353"/>
    </row>
    <row r="425" spans="2:59" ht="14.5" thickBot="1">
      <c r="B425" s="358"/>
      <c r="C425" s="359"/>
      <c r="D425" s="359"/>
      <c r="E425" s="359"/>
      <c r="F425" s="359"/>
      <c r="G425" s="359"/>
      <c r="H425" s="359"/>
      <c r="I425" s="359"/>
      <c r="J425" s="359"/>
      <c r="M425" s="359"/>
      <c r="N425" s="359"/>
      <c r="O425" s="359"/>
      <c r="BG425" s="353"/>
    </row>
    <row r="426" spans="2:59" ht="14" thickBot="1">
      <c r="B426" s="299" t="s">
        <v>700</v>
      </c>
      <c r="C426" s="300" t="s">
        <v>701</v>
      </c>
      <c r="D426" s="300"/>
      <c r="E426" s="300"/>
      <c r="F426" s="300"/>
      <c r="G426" s="300"/>
      <c r="H426" s="300"/>
      <c r="I426" s="300"/>
      <c r="J426" s="300"/>
      <c r="K426" s="300"/>
      <c r="L426" s="300"/>
      <c r="M426" s="300"/>
      <c r="N426" s="300"/>
      <c r="O426" s="300"/>
      <c r="P426" s="300"/>
      <c r="Q426" s="300"/>
      <c r="R426" s="300"/>
      <c r="S426" s="300"/>
      <c r="T426" s="300"/>
      <c r="U426" s="300"/>
      <c r="V426" s="300"/>
      <c r="W426" s="300"/>
      <c r="X426" s="300"/>
      <c r="Y426" s="300"/>
      <c r="Z426" s="300"/>
      <c r="AA426" s="300"/>
      <c r="AB426" s="300"/>
      <c r="AC426" s="300"/>
      <c r="AD426" s="300"/>
      <c r="AE426" s="300"/>
      <c r="AF426" s="300"/>
      <c r="AG426" s="300"/>
      <c r="AH426" s="300"/>
      <c r="AI426" s="300"/>
      <c r="AJ426" s="300"/>
      <c r="AK426" s="300"/>
      <c r="AL426" s="300"/>
      <c r="AM426" s="300"/>
      <c r="AN426" s="300"/>
      <c r="AO426" s="300"/>
      <c r="AP426" s="300"/>
      <c r="AQ426" s="300"/>
      <c r="AR426" s="300"/>
      <c r="AS426" s="300"/>
      <c r="AT426" s="300"/>
      <c r="AU426" s="300"/>
      <c r="AV426" s="300"/>
      <c r="AW426" s="300"/>
      <c r="AX426" s="300"/>
      <c r="AY426" s="300"/>
      <c r="AZ426" s="300"/>
      <c r="BA426" s="300"/>
      <c r="BB426" s="300"/>
      <c r="BC426" s="300"/>
      <c r="BD426" s="300"/>
      <c r="BE426" s="300"/>
      <c r="BF426" s="300"/>
      <c r="BG426" s="353"/>
    </row>
    <row r="427" spans="2:59" ht="14" thickBot="1">
      <c r="B427" s="335" t="s">
        <v>601</v>
      </c>
      <c r="C427" s="300" t="s">
        <v>395</v>
      </c>
      <c r="D427" s="300"/>
      <c r="E427" s="300"/>
      <c r="F427" s="300"/>
      <c r="G427" s="300"/>
      <c r="H427" s="300"/>
      <c r="I427" s="300"/>
      <c r="J427" s="300"/>
      <c r="K427" s="300"/>
      <c r="L427" s="300"/>
      <c r="M427" s="300"/>
      <c r="N427" s="300"/>
      <c r="O427" s="300"/>
      <c r="P427" s="300"/>
      <c r="Q427" s="300"/>
      <c r="R427" s="300"/>
      <c r="S427" s="300"/>
      <c r="T427" s="300"/>
      <c r="U427" s="300"/>
      <c r="V427" s="300"/>
      <c r="W427" s="300"/>
      <c r="X427" s="300"/>
      <c r="Y427" s="300"/>
      <c r="Z427" s="300"/>
      <c r="AA427" s="300"/>
      <c r="AB427" s="300"/>
      <c r="AC427" s="300"/>
      <c r="AD427" s="300"/>
      <c r="AE427" s="300"/>
      <c r="AF427" s="300"/>
      <c r="AG427" s="300"/>
      <c r="AH427" s="300"/>
      <c r="AI427" s="300"/>
      <c r="AJ427" s="300"/>
      <c r="AK427" s="300"/>
      <c r="AL427" s="300"/>
      <c r="AM427" s="300"/>
      <c r="AN427" s="300"/>
      <c r="AO427" s="300"/>
      <c r="AP427" s="300"/>
      <c r="AQ427" s="300"/>
      <c r="AR427" s="300"/>
      <c r="AS427" s="300"/>
      <c r="AT427" s="300"/>
      <c r="AU427" s="300"/>
      <c r="AV427" s="300"/>
      <c r="AW427" s="300"/>
      <c r="AX427" s="300"/>
      <c r="AY427" s="300"/>
      <c r="AZ427" s="300"/>
      <c r="BA427" s="300"/>
      <c r="BB427" s="300"/>
      <c r="BC427" s="300"/>
      <c r="BD427" s="300"/>
      <c r="BE427" s="300"/>
      <c r="BF427" s="300"/>
      <c r="BG427" s="353"/>
    </row>
    <row r="428" spans="2:59" ht="14">
      <c r="B428" s="358"/>
      <c r="C428" s="359"/>
      <c r="D428" s="359"/>
      <c r="E428" s="359"/>
      <c r="F428" s="359"/>
      <c r="G428" s="359"/>
      <c r="H428" s="359"/>
      <c r="I428" s="359"/>
      <c r="J428" s="359"/>
      <c r="M428" s="359"/>
      <c r="N428" s="359"/>
      <c r="O428" s="359"/>
      <c r="BG428" s="353"/>
    </row>
    <row r="429" spans="2:59" ht="14">
      <c r="B429" s="358"/>
      <c r="C429" s="356" t="s">
        <v>396</v>
      </c>
      <c r="D429" s="359"/>
      <c r="E429" s="359"/>
      <c r="F429" s="359"/>
      <c r="G429" s="359"/>
      <c r="H429" s="359"/>
      <c r="I429" s="359"/>
      <c r="J429" s="359"/>
      <c r="M429" s="359"/>
      <c r="N429" s="359"/>
      <c r="O429" s="359"/>
      <c r="BG429" s="353"/>
    </row>
    <row r="430" spans="2:59" ht="14">
      <c r="B430" s="358"/>
      <c r="C430" s="356" t="s">
        <v>705</v>
      </c>
      <c r="D430" s="359"/>
      <c r="E430" s="359"/>
      <c r="F430" s="359"/>
      <c r="G430" s="359"/>
      <c r="H430" s="359"/>
      <c r="I430" s="359"/>
      <c r="J430" s="359"/>
      <c r="M430" s="359"/>
      <c r="N430" s="359"/>
      <c r="O430" s="359"/>
      <c r="BG430" s="353"/>
    </row>
    <row r="431" spans="2:59" ht="14">
      <c r="B431" s="358"/>
      <c r="C431" s="359"/>
      <c r="D431" s="359"/>
      <c r="E431" s="359"/>
      <c r="F431" s="359"/>
      <c r="G431" s="359"/>
      <c r="H431" s="359"/>
      <c r="I431" s="359"/>
      <c r="J431" s="359"/>
      <c r="M431" s="359"/>
      <c r="N431" s="359"/>
      <c r="O431" s="359"/>
      <c r="BG431" s="353"/>
    </row>
    <row r="432" spans="2:59" s="27" customFormat="1" ht="19.5" customHeight="1">
      <c r="B432" s="362"/>
      <c r="C432" s="320" t="s">
        <v>436</v>
      </c>
      <c r="D432" s="321"/>
      <c r="E432" s="321"/>
      <c r="F432" s="291"/>
      <c r="G432" s="291"/>
      <c r="H432" s="291"/>
      <c r="I432" s="291"/>
      <c r="J432" s="291"/>
      <c r="K432" s="291"/>
      <c r="L432" s="291"/>
      <c r="M432" s="291"/>
      <c r="N432" s="291"/>
      <c r="O432" s="291"/>
      <c r="P432" s="291"/>
      <c r="Q432" s="291"/>
      <c r="R432" s="291"/>
      <c r="S432" s="291"/>
      <c r="T432" s="291"/>
      <c r="U432" s="291"/>
      <c r="V432" s="291"/>
      <c r="W432" s="291"/>
      <c r="X432" s="292"/>
      <c r="Y432" s="68"/>
      <c r="Z432" s="68"/>
      <c r="AA432" s="68"/>
      <c r="AB432" s="68"/>
      <c r="AC432" s="68"/>
      <c r="AD432" s="306"/>
      <c r="AH432" s="303"/>
      <c r="AJ432" s="69"/>
      <c r="AK432" s="69"/>
      <c r="AL432" s="69"/>
      <c r="AM432" s="69"/>
      <c r="AN432" s="70"/>
      <c r="AO432" s="70"/>
      <c r="AP432" s="70"/>
      <c r="BG432" s="122"/>
    </row>
    <row r="433" spans="1:59" s="72" customFormat="1" ht="16.5" customHeight="1">
      <c r="A433" s="293"/>
      <c r="B433" s="363"/>
      <c r="C433" s="322"/>
      <c r="D433" s="322"/>
      <c r="E433" s="322"/>
      <c r="F433" s="319" t="s">
        <v>169</v>
      </c>
      <c r="G433" s="319" t="s">
        <v>169</v>
      </c>
      <c r="H433" s="319" t="s">
        <v>169</v>
      </c>
      <c r="I433" s="319"/>
      <c r="J433" s="319"/>
      <c r="K433" s="319"/>
      <c r="L433" s="319"/>
      <c r="M433" s="319"/>
      <c r="N433" s="319"/>
      <c r="O433" s="319"/>
      <c r="P433" s="319"/>
      <c r="Q433" s="319"/>
      <c r="R433" s="319"/>
      <c r="S433" s="319"/>
      <c r="T433" s="319"/>
      <c r="U433" s="319"/>
      <c r="V433" s="319"/>
      <c r="W433" s="319"/>
      <c r="X433" s="319"/>
      <c r="Y433" s="319"/>
      <c r="Z433" s="319"/>
      <c r="AA433" s="319"/>
      <c r="AB433" s="319"/>
      <c r="AC433" s="319"/>
      <c r="AD433" s="319"/>
      <c r="AH433" s="304"/>
      <c r="AI433" s="71"/>
      <c r="AJ433" s="71"/>
      <c r="AK433" s="71"/>
      <c r="AL433" s="71"/>
      <c r="AM433" s="71"/>
      <c r="BG433" s="364"/>
    </row>
    <row r="434" spans="1:59" s="78" customFormat="1" ht="92" customHeight="1">
      <c r="A434" s="73"/>
      <c r="B434" s="365"/>
      <c r="C434" s="312" t="s">
        <v>172</v>
      </c>
      <c r="D434" s="312" t="s">
        <v>173</v>
      </c>
      <c r="E434" s="312" t="s">
        <v>174</v>
      </c>
      <c r="F434" s="314" t="s">
        <v>91</v>
      </c>
      <c r="G434" s="314" t="s">
        <v>67</v>
      </c>
      <c r="H434" s="314" t="s">
        <v>69</v>
      </c>
      <c r="I434" s="314" t="s">
        <v>457</v>
      </c>
      <c r="J434" s="314" t="s">
        <v>458</v>
      </c>
      <c r="K434" s="314" t="s">
        <v>459</v>
      </c>
      <c r="L434" s="314" t="s">
        <v>460</v>
      </c>
      <c r="M434" s="314" t="s">
        <v>461</v>
      </c>
      <c r="N434" s="314" t="s">
        <v>462</v>
      </c>
      <c r="O434" s="314" t="s">
        <v>463</v>
      </c>
      <c r="P434" s="314" t="s">
        <v>464</v>
      </c>
      <c r="Q434" s="314" t="s">
        <v>465</v>
      </c>
      <c r="R434" s="314" t="s">
        <v>466</v>
      </c>
      <c r="S434" s="314" t="s">
        <v>467</v>
      </c>
      <c r="T434" s="314" t="s">
        <v>468</v>
      </c>
      <c r="U434" s="314" t="s">
        <v>469</v>
      </c>
      <c r="V434" s="314" t="s">
        <v>470</v>
      </c>
      <c r="W434" s="314" t="s">
        <v>471</v>
      </c>
      <c r="X434" s="314" t="s">
        <v>397</v>
      </c>
      <c r="Y434" s="314" t="s">
        <v>398</v>
      </c>
      <c r="Z434" s="314" t="s">
        <v>399</v>
      </c>
      <c r="AA434" s="314" t="s">
        <v>400</v>
      </c>
      <c r="AB434" s="314" t="s">
        <v>151</v>
      </c>
      <c r="AC434" s="314" t="s">
        <v>152</v>
      </c>
      <c r="AD434" s="314" t="s">
        <v>401</v>
      </c>
      <c r="AH434" s="305"/>
      <c r="AI434" s="69"/>
      <c r="AJ434" s="76"/>
      <c r="AK434" s="76"/>
      <c r="AL434" s="76"/>
      <c r="AM434" s="76"/>
      <c r="AN434" s="77"/>
      <c r="AO434" s="77"/>
      <c r="AP434" s="77"/>
      <c r="BG434" s="366"/>
    </row>
    <row r="435" spans="1:59" s="78" customFormat="1" ht="15">
      <c r="A435" s="73"/>
      <c r="B435" s="365"/>
      <c r="C435" s="312" t="s">
        <v>371</v>
      </c>
      <c r="D435" s="312" t="s">
        <v>381</v>
      </c>
      <c r="E435" s="312" t="s">
        <v>390</v>
      </c>
      <c r="F435" s="313" t="s">
        <v>418</v>
      </c>
      <c r="G435" s="313" t="s">
        <v>419</v>
      </c>
      <c r="H435" s="313" t="s">
        <v>421</v>
      </c>
      <c r="I435" s="313" t="s">
        <v>420</v>
      </c>
      <c r="J435" s="313" t="s">
        <v>422</v>
      </c>
      <c r="K435" s="313" t="s">
        <v>423</v>
      </c>
      <c r="L435" s="313" t="s">
        <v>424</v>
      </c>
      <c r="M435" s="313" t="s">
        <v>425</v>
      </c>
      <c r="N435" s="313" t="s">
        <v>426</v>
      </c>
      <c r="O435" s="313" t="s">
        <v>427</v>
      </c>
      <c r="P435" s="313" t="s">
        <v>428</v>
      </c>
      <c r="Q435" s="313" t="s">
        <v>429</v>
      </c>
      <c r="R435" s="313" t="s">
        <v>430</v>
      </c>
      <c r="S435" s="313" t="s">
        <v>431</v>
      </c>
      <c r="T435" s="313" t="s">
        <v>432</v>
      </c>
      <c r="U435" s="313" t="s">
        <v>433</v>
      </c>
      <c r="V435" s="313" t="s">
        <v>434</v>
      </c>
      <c r="W435" s="313" t="s">
        <v>435</v>
      </c>
      <c r="X435" s="313" t="s">
        <v>403</v>
      </c>
      <c r="Y435" s="313" t="s">
        <v>404</v>
      </c>
      <c r="Z435" s="313" t="s">
        <v>405</v>
      </c>
      <c r="AA435" s="313" t="s">
        <v>406</v>
      </c>
      <c r="AB435" s="313" t="s">
        <v>407</v>
      </c>
      <c r="AC435" s="313" t="s">
        <v>408</v>
      </c>
      <c r="AD435" s="313" t="s">
        <v>409</v>
      </c>
      <c r="AH435" s="305"/>
      <c r="AI435" s="69"/>
      <c r="AJ435" s="76"/>
      <c r="AK435" s="76"/>
      <c r="AL435" s="76"/>
      <c r="AM435" s="76"/>
      <c r="AN435" s="77"/>
      <c r="AO435" s="77"/>
      <c r="AP435" s="77"/>
      <c r="BG435" s="366"/>
    </row>
    <row r="436" spans="1:59" s="70" customFormat="1" ht="13.5" customHeight="1">
      <c r="A436" s="79"/>
      <c r="B436" s="367"/>
      <c r="C436" s="312" t="s">
        <v>472</v>
      </c>
      <c r="D436" s="312" t="s">
        <v>473</v>
      </c>
      <c r="E436" s="312" t="s">
        <v>473</v>
      </c>
      <c r="F436" s="314" t="s">
        <v>474</v>
      </c>
      <c r="G436" s="314" t="s">
        <v>474</v>
      </c>
      <c r="H436" s="314" t="s">
        <v>475</v>
      </c>
      <c r="I436" s="314" t="s">
        <v>474</v>
      </c>
      <c r="J436" s="314" t="s">
        <v>476</v>
      </c>
      <c r="K436" s="314" t="s">
        <v>477</v>
      </c>
      <c r="L436" s="313" t="s">
        <v>478</v>
      </c>
      <c r="M436" s="314" t="s">
        <v>478</v>
      </c>
      <c r="N436" s="314" t="s">
        <v>479</v>
      </c>
      <c r="O436" s="314" t="s">
        <v>474</v>
      </c>
      <c r="P436" s="314" t="s">
        <v>480</v>
      </c>
      <c r="Q436" s="314" t="s">
        <v>481</v>
      </c>
      <c r="R436" s="314" t="s">
        <v>480</v>
      </c>
      <c r="S436" s="314" t="s">
        <v>482</v>
      </c>
      <c r="T436" s="313" t="s">
        <v>483</v>
      </c>
      <c r="U436" s="314" t="s">
        <v>483</v>
      </c>
      <c r="V436" s="314" t="s">
        <v>484</v>
      </c>
      <c r="W436" s="314" t="s">
        <v>474</v>
      </c>
      <c r="X436" s="314" t="s">
        <v>485</v>
      </c>
      <c r="Y436" s="314" t="s">
        <v>487</v>
      </c>
      <c r="Z436" s="314" t="s">
        <v>488</v>
      </c>
      <c r="AA436" s="314" t="s">
        <v>488</v>
      </c>
      <c r="AB436" s="313" t="s">
        <v>486</v>
      </c>
      <c r="AC436" s="314" t="s">
        <v>488</v>
      </c>
      <c r="AD436" s="314" t="s">
        <v>488</v>
      </c>
      <c r="AH436" s="303"/>
      <c r="AI436" s="69"/>
      <c r="AJ436" s="69"/>
      <c r="AK436" s="69"/>
      <c r="AL436" s="69"/>
      <c r="AM436" s="69"/>
      <c r="BG436" s="368"/>
    </row>
    <row r="437" spans="1:59" s="27" customFormat="1" ht="13.5" customHeight="1">
      <c r="A437" s="82"/>
      <c r="B437" s="315" t="s">
        <v>410</v>
      </c>
      <c r="C437" s="316" t="s">
        <v>437</v>
      </c>
      <c r="D437" s="337" t="s">
        <v>630</v>
      </c>
      <c r="E437" s="314" t="s">
        <v>182</v>
      </c>
      <c r="F437" s="314" t="s">
        <v>183</v>
      </c>
      <c r="G437" s="327" t="s">
        <v>439</v>
      </c>
      <c r="H437" s="314" t="s">
        <v>184</v>
      </c>
      <c r="I437" s="327" t="s">
        <v>439</v>
      </c>
      <c r="J437" s="314" t="s">
        <v>184</v>
      </c>
      <c r="K437" s="314" t="s">
        <v>411</v>
      </c>
      <c r="L437" s="313" t="s">
        <v>448</v>
      </c>
      <c r="M437" s="314" t="s">
        <v>441</v>
      </c>
      <c r="N437" s="314"/>
      <c r="O437" s="314" t="s">
        <v>411</v>
      </c>
      <c r="P437" s="314" t="s">
        <v>156</v>
      </c>
      <c r="Q437" s="314" t="s">
        <v>184</v>
      </c>
      <c r="R437" s="314" t="s">
        <v>449</v>
      </c>
      <c r="S437" s="314"/>
      <c r="T437" s="313" t="s">
        <v>156</v>
      </c>
      <c r="U437" s="314" t="s">
        <v>156</v>
      </c>
      <c r="V437" s="314" t="s">
        <v>156</v>
      </c>
      <c r="W437" s="314"/>
      <c r="X437" s="314" t="s">
        <v>411</v>
      </c>
      <c r="Y437" s="314" t="s">
        <v>450</v>
      </c>
      <c r="Z437" s="314" t="s">
        <v>451</v>
      </c>
      <c r="AA437" s="314">
        <v>470195</v>
      </c>
      <c r="AB437" s="313" t="s">
        <v>450</v>
      </c>
      <c r="AC437" s="314">
        <v>470195</v>
      </c>
      <c r="AD437" s="314" t="s">
        <v>451</v>
      </c>
      <c r="AH437" s="303"/>
      <c r="AI437" s="69"/>
      <c r="AJ437" s="69"/>
      <c r="AK437" s="85"/>
      <c r="AL437" s="69"/>
      <c r="AM437" s="69"/>
      <c r="AN437" s="70"/>
      <c r="AO437" s="70"/>
      <c r="AP437" s="70"/>
      <c r="BG437" s="122"/>
    </row>
    <row r="438" spans="1:59" s="27" customFormat="1" ht="13.5" customHeight="1">
      <c r="A438" s="86"/>
      <c r="B438" s="317" t="s">
        <v>412</v>
      </c>
      <c r="C438" s="327" t="s">
        <v>437</v>
      </c>
      <c r="D438" s="327" t="s">
        <v>702</v>
      </c>
      <c r="E438" s="327" t="s">
        <v>453</v>
      </c>
      <c r="F438" s="327" t="s">
        <v>454</v>
      </c>
      <c r="G438" s="327" t="s">
        <v>703</v>
      </c>
      <c r="H438" s="327" t="s">
        <v>184</v>
      </c>
      <c r="I438" s="327"/>
      <c r="J438" s="327" t="s">
        <v>665</v>
      </c>
      <c r="K438" s="327" t="s">
        <v>666</v>
      </c>
      <c r="L438" s="327" t="s">
        <v>156</v>
      </c>
      <c r="M438" s="327" t="s">
        <v>441</v>
      </c>
      <c r="N438" s="327" t="s">
        <v>156</v>
      </c>
      <c r="O438" s="327" t="s">
        <v>183</v>
      </c>
      <c r="P438" s="327" t="s">
        <v>156</v>
      </c>
      <c r="Q438" s="327" t="s">
        <v>442</v>
      </c>
      <c r="R438" s="327" t="s">
        <v>443</v>
      </c>
      <c r="S438" s="327" t="s">
        <v>156</v>
      </c>
      <c r="T438" s="327" t="s">
        <v>156</v>
      </c>
      <c r="U438" s="327" t="s">
        <v>156</v>
      </c>
      <c r="V438" s="327" t="s">
        <v>156</v>
      </c>
      <c r="W438" s="327" t="s">
        <v>156</v>
      </c>
      <c r="X438" s="327" t="s">
        <v>411</v>
      </c>
      <c r="Y438" s="327" t="s">
        <v>444</v>
      </c>
      <c r="Z438" s="327" t="s">
        <v>445</v>
      </c>
      <c r="AA438" s="327" t="s">
        <v>445</v>
      </c>
      <c r="AB438" s="327" t="s">
        <v>446</v>
      </c>
      <c r="AC438" s="327" t="s">
        <v>455</v>
      </c>
      <c r="AD438" s="327" t="s">
        <v>455</v>
      </c>
      <c r="AH438" s="303"/>
      <c r="AI438" s="69"/>
      <c r="AJ438" s="63"/>
      <c r="AK438" s="85"/>
      <c r="AL438" s="69"/>
      <c r="AM438" s="69"/>
      <c r="AN438" s="70"/>
      <c r="AO438" s="70"/>
      <c r="AP438" s="70"/>
      <c r="BG438" s="122"/>
    </row>
    <row r="439" spans="1:59" s="27" customFormat="1" ht="13.5" customHeight="1">
      <c r="A439" s="87"/>
      <c r="B439" s="315" t="s">
        <v>410</v>
      </c>
      <c r="C439" s="316" t="s">
        <v>437</v>
      </c>
      <c r="D439" s="337" t="s">
        <v>182</v>
      </c>
      <c r="E439" s="316" t="s">
        <v>453</v>
      </c>
      <c r="F439" s="316" t="s">
        <v>454</v>
      </c>
      <c r="G439" s="316" t="s">
        <v>611</v>
      </c>
      <c r="H439" s="316" t="s">
        <v>184</v>
      </c>
      <c r="I439" s="327"/>
      <c r="J439" s="316" t="s">
        <v>440</v>
      </c>
      <c r="K439" s="316" t="s">
        <v>411</v>
      </c>
      <c r="L439" s="316" t="s">
        <v>156</v>
      </c>
      <c r="M439" s="316" t="s">
        <v>441</v>
      </c>
      <c r="N439" s="316" t="s">
        <v>156</v>
      </c>
      <c r="O439" s="316" t="s">
        <v>183</v>
      </c>
      <c r="P439" s="316" t="s">
        <v>156</v>
      </c>
      <c r="Q439" s="316" t="s">
        <v>442</v>
      </c>
      <c r="R439" s="316" t="s">
        <v>443</v>
      </c>
      <c r="S439" s="316" t="s">
        <v>156</v>
      </c>
      <c r="T439" s="316" t="s">
        <v>156</v>
      </c>
      <c r="U439" s="316" t="s">
        <v>156</v>
      </c>
      <c r="V439" s="316" t="s">
        <v>156</v>
      </c>
      <c r="W439" s="316" t="s">
        <v>156</v>
      </c>
      <c r="X439" s="316" t="s">
        <v>411</v>
      </c>
      <c r="Y439" s="316" t="s">
        <v>444</v>
      </c>
      <c r="Z439" s="316" t="s">
        <v>445</v>
      </c>
      <c r="AA439" s="316" t="s">
        <v>445</v>
      </c>
      <c r="AB439" s="316" t="s">
        <v>446</v>
      </c>
      <c r="AC439" s="316" t="s">
        <v>455</v>
      </c>
      <c r="AD439" s="316" t="s">
        <v>455</v>
      </c>
      <c r="AH439" s="303"/>
      <c r="AI439" s="69"/>
      <c r="AJ439" s="63"/>
      <c r="AK439" s="85"/>
      <c r="AL439" s="69"/>
      <c r="AM439" s="69"/>
      <c r="AN439" s="70"/>
      <c r="AO439" s="70"/>
      <c r="AP439" s="70"/>
      <c r="BG439" s="122"/>
    </row>
    <row r="440" spans="1:59" s="27" customFormat="1" ht="13.5" customHeight="1">
      <c r="A440" s="87"/>
      <c r="B440" s="315" t="s">
        <v>410</v>
      </c>
      <c r="C440" s="316" t="s">
        <v>437</v>
      </c>
      <c r="D440" s="337" t="s">
        <v>629</v>
      </c>
      <c r="E440" s="316" t="s">
        <v>453</v>
      </c>
      <c r="F440" s="316" t="s">
        <v>454</v>
      </c>
      <c r="G440" s="316" t="s">
        <v>183</v>
      </c>
      <c r="H440" s="316" t="s">
        <v>184</v>
      </c>
      <c r="I440" s="327"/>
      <c r="J440" s="316" t="s">
        <v>440</v>
      </c>
      <c r="K440" s="316" t="s">
        <v>411</v>
      </c>
      <c r="L440" s="316" t="s">
        <v>156</v>
      </c>
      <c r="M440" s="316" t="s">
        <v>441</v>
      </c>
      <c r="N440" s="316" t="s">
        <v>156</v>
      </c>
      <c r="O440" s="316" t="s">
        <v>183</v>
      </c>
      <c r="P440" s="316" t="s">
        <v>156</v>
      </c>
      <c r="Q440" s="316" t="s">
        <v>442</v>
      </c>
      <c r="R440" s="316" t="s">
        <v>443</v>
      </c>
      <c r="S440" s="316" t="s">
        <v>156</v>
      </c>
      <c r="T440" s="316" t="s">
        <v>156</v>
      </c>
      <c r="U440" s="316" t="s">
        <v>156</v>
      </c>
      <c r="V440" s="316" t="s">
        <v>156</v>
      </c>
      <c r="W440" s="316" t="s">
        <v>156</v>
      </c>
      <c r="X440" s="316" t="s">
        <v>411</v>
      </c>
      <c r="Y440" s="316" t="s">
        <v>444</v>
      </c>
      <c r="Z440" s="316" t="s">
        <v>445</v>
      </c>
      <c r="AA440" s="316" t="s">
        <v>445</v>
      </c>
      <c r="AB440" s="316" t="s">
        <v>446</v>
      </c>
      <c r="AC440" s="316" t="s">
        <v>455</v>
      </c>
      <c r="AD440" s="316" t="s">
        <v>455</v>
      </c>
      <c r="AH440" s="303"/>
      <c r="AI440" s="69"/>
      <c r="AJ440" s="63"/>
      <c r="AK440" s="85"/>
      <c r="AL440" s="69"/>
      <c r="AM440" s="69"/>
      <c r="AN440" s="70"/>
      <c r="AO440" s="70"/>
      <c r="AP440" s="70"/>
      <c r="BG440" s="122"/>
    </row>
    <row r="441" spans="1:59" ht="14">
      <c r="B441" s="358"/>
      <c r="C441" s="359"/>
      <c r="D441" s="359"/>
      <c r="E441" s="359"/>
      <c r="F441" s="359"/>
      <c r="G441" s="359"/>
      <c r="H441" s="359"/>
      <c r="I441" s="359"/>
      <c r="J441" s="359"/>
      <c r="M441" s="359"/>
      <c r="N441" s="359"/>
      <c r="O441" s="359"/>
      <c r="BG441" s="353"/>
    </row>
    <row r="442" spans="1:59" ht="15">
      <c r="B442" s="358"/>
      <c r="C442" s="449" t="s">
        <v>489</v>
      </c>
      <c r="D442" s="450"/>
      <c r="E442" s="450"/>
      <c r="F442" s="450"/>
      <c r="G442" s="450"/>
      <c r="H442" s="450"/>
      <c r="I442" s="450"/>
      <c r="J442" s="450"/>
      <c r="K442" s="450"/>
      <c r="L442" s="450"/>
      <c r="M442" s="450"/>
      <c r="N442" s="450"/>
      <c r="O442" s="450"/>
      <c r="P442" s="450"/>
      <c r="Q442" s="450"/>
      <c r="R442" s="450"/>
      <c r="S442" s="450"/>
      <c r="T442" s="450"/>
      <c r="U442" s="92"/>
      <c r="V442" s="92"/>
      <c r="W442" s="92"/>
      <c r="X442" s="92"/>
      <c r="Y442" s="92"/>
      <c r="Z442" s="92"/>
      <c r="AA442" s="93"/>
      <c r="AB442" s="93"/>
      <c r="AC442" s="93"/>
      <c r="AD442" s="93"/>
      <c r="AE442" s="93"/>
      <c r="AF442" s="93"/>
      <c r="AG442" s="93"/>
      <c r="AH442" s="93"/>
      <c r="AI442" s="93"/>
      <c r="AJ442" s="93"/>
      <c r="AK442" s="93"/>
      <c r="AL442" s="93"/>
      <c r="AM442" s="93"/>
      <c r="AN442" s="93"/>
      <c r="AO442" s="93"/>
      <c r="AP442" s="94"/>
      <c r="AQ442" s="94"/>
      <c r="AR442" s="94"/>
      <c r="AS442" s="94"/>
      <c r="AT442" s="94"/>
      <c r="AU442" s="94"/>
      <c r="AV442" s="94"/>
      <c r="AW442" s="94"/>
      <c r="AX442" s="94"/>
      <c r="AY442" s="94"/>
      <c r="AZ442" s="94"/>
      <c r="BA442" s="94"/>
      <c r="BB442" s="94"/>
      <c r="BC442" s="94"/>
      <c r="BD442" s="94"/>
      <c r="BE442" s="94"/>
      <c r="BF442" s="94"/>
      <c r="BG442" s="353"/>
    </row>
    <row r="443" spans="1:59" ht="15">
      <c r="B443" s="358"/>
      <c r="C443" s="322"/>
      <c r="D443" s="322"/>
      <c r="E443" s="322"/>
      <c r="F443" s="319" t="s">
        <v>169</v>
      </c>
      <c r="G443" s="319" t="s">
        <v>169</v>
      </c>
      <c r="H443" s="324" t="s">
        <v>169</v>
      </c>
      <c r="I443" s="319" t="s">
        <v>169</v>
      </c>
      <c r="J443" s="319" t="s">
        <v>169</v>
      </c>
      <c r="K443" s="324"/>
      <c r="L443" s="324"/>
      <c r="M443" s="324"/>
      <c r="N443" s="324"/>
      <c r="O443" s="324"/>
      <c r="P443" s="324"/>
      <c r="Q443" s="324"/>
      <c r="R443" s="324"/>
      <c r="S443" s="324"/>
      <c r="T443" s="324"/>
      <c r="U443" s="324"/>
      <c r="V443" s="324"/>
      <c r="W443" s="324"/>
      <c r="X443" s="324"/>
      <c r="Y443" s="324"/>
      <c r="Z443" s="324"/>
      <c r="AA443" s="325"/>
      <c r="AB443" s="325"/>
      <c r="AC443" s="325"/>
      <c r="AD443" s="325"/>
      <c r="AE443" s="325"/>
      <c r="AF443" s="325"/>
      <c r="AG443" s="325"/>
      <c r="AH443" s="325"/>
      <c r="AI443" s="325"/>
      <c r="AJ443" s="325"/>
      <c r="AK443" s="325"/>
      <c r="AL443" s="325"/>
      <c r="AM443" s="325"/>
      <c r="AN443" s="325"/>
      <c r="AO443" s="325"/>
      <c r="AP443" s="325"/>
      <c r="AQ443" s="325"/>
      <c r="AR443" s="325"/>
      <c r="AS443" s="325"/>
      <c r="AT443" s="325"/>
      <c r="AU443" s="325"/>
      <c r="AV443" s="325"/>
      <c r="AW443" s="325"/>
      <c r="AX443" s="325"/>
      <c r="AY443" s="325"/>
      <c r="AZ443" s="325"/>
      <c r="BA443" s="325"/>
      <c r="BB443" s="325"/>
      <c r="BC443" s="325"/>
      <c r="BD443" s="325"/>
      <c r="BE443" s="325"/>
      <c r="BF443" s="325"/>
      <c r="BG443" s="353"/>
    </row>
    <row r="444" spans="1:59" ht="25">
      <c r="B444" s="358"/>
      <c r="C444" s="312" t="s">
        <v>533</v>
      </c>
      <c r="D444" s="312" t="s">
        <v>588</v>
      </c>
      <c r="E444" s="312" t="s">
        <v>589</v>
      </c>
      <c r="F444" s="314" t="s">
        <v>96</v>
      </c>
      <c r="G444" s="314" t="s">
        <v>99</v>
      </c>
      <c r="H444" s="314" t="s">
        <v>130</v>
      </c>
      <c r="I444" s="314" t="s">
        <v>559</v>
      </c>
      <c r="J444" s="314" t="s">
        <v>127</v>
      </c>
      <c r="K444" s="314" t="s">
        <v>67</v>
      </c>
      <c r="L444" s="314" t="s">
        <v>456</v>
      </c>
      <c r="M444" s="314" t="s">
        <v>534</v>
      </c>
      <c r="N444" s="314" t="s">
        <v>535</v>
      </c>
      <c r="O444" s="314" t="s">
        <v>536</v>
      </c>
      <c r="P444" s="314" t="s">
        <v>537</v>
      </c>
      <c r="Q444" s="314" t="s">
        <v>538</v>
      </c>
      <c r="R444" s="314" t="s">
        <v>539</v>
      </c>
      <c r="S444" s="314" t="s">
        <v>540</v>
      </c>
      <c r="T444" s="314" t="s">
        <v>541</v>
      </c>
      <c r="U444" s="314" t="s">
        <v>542</v>
      </c>
      <c r="V444" s="314" t="s">
        <v>543</v>
      </c>
      <c r="W444" s="314" t="s">
        <v>544</v>
      </c>
      <c r="X444" s="314" t="s">
        <v>545</v>
      </c>
      <c r="Y444" s="314" t="s">
        <v>546</v>
      </c>
      <c r="Z444" s="314" t="s">
        <v>547</v>
      </c>
      <c r="AA444" s="314" t="s">
        <v>548</v>
      </c>
      <c r="AB444" s="314" t="s">
        <v>549</v>
      </c>
      <c r="AC444" s="314" t="s">
        <v>550</v>
      </c>
      <c r="AD444" s="314" t="s">
        <v>551</v>
      </c>
      <c r="AE444" s="314" t="s">
        <v>552</v>
      </c>
      <c r="AF444" s="314" t="s">
        <v>553</v>
      </c>
      <c r="AG444" s="314" t="s">
        <v>554</v>
      </c>
      <c r="AH444" s="314" t="s">
        <v>555</v>
      </c>
      <c r="AI444" s="314" t="s">
        <v>556</v>
      </c>
      <c r="AJ444" s="314" t="s">
        <v>558</v>
      </c>
      <c r="AK444" s="314" t="s">
        <v>557</v>
      </c>
      <c r="AL444" s="314" t="s">
        <v>566</v>
      </c>
      <c r="AM444" s="314" t="s">
        <v>560</v>
      </c>
      <c r="AN444" s="314" t="s">
        <v>561</v>
      </c>
      <c r="AO444" s="314" t="s">
        <v>562</v>
      </c>
      <c r="AP444" s="314" t="s">
        <v>563</v>
      </c>
      <c r="AQ444" s="314" t="s">
        <v>567</v>
      </c>
      <c r="AR444" s="314" t="s">
        <v>564</v>
      </c>
      <c r="AS444" s="314" t="s">
        <v>565</v>
      </c>
      <c r="AT444" s="314" t="s">
        <v>568</v>
      </c>
      <c r="AU444" s="314" t="s">
        <v>569</v>
      </c>
      <c r="AV444" s="314" t="s">
        <v>570</v>
      </c>
      <c r="AW444" s="314" t="s">
        <v>571</v>
      </c>
      <c r="AX444" s="314" t="s">
        <v>572</v>
      </c>
      <c r="AY444" s="314" t="s">
        <v>573</v>
      </c>
      <c r="AZ444" s="314" t="s">
        <v>397</v>
      </c>
      <c r="BA444" s="314" t="s">
        <v>398</v>
      </c>
      <c r="BB444" s="314" t="s">
        <v>399</v>
      </c>
      <c r="BC444" s="314" t="s">
        <v>400</v>
      </c>
      <c r="BD444" s="314" t="s">
        <v>151</v>
      </c>
      <c r="BE444" s="314" t="s">
        <v>152</v>
      </c>
      <c r="BF444" s="314" t="s">
        <v>401</v>
      </c>
      <c r="BG444" s="353"/>
    </row>
    <row r="445" spans="1:59">
      <c r="B445" s="358"/>
      <c r="C445" s="312" t="s">
        <v>371</v>
      </c>
      <c r="D445" s="312" t="s">
        <v>381</v>
      </c>
      <c r="E445" s="312" t="s">
        <v>390</v>
      </c>
      <c r="F445" s="313" t="s">
        <v>490</v>
      </c>
      <c r="G445" s="313" t="s">
        <v>491</v>
      </c>
      <c r="H445" s="313" t="s">
        <v>492</v>
      </c>
      <c r="I445" s="313" t="s">
        <v>519</v>
      </c>
      <c r="J445" s="313" t="s">
        <v>525</v>
      </c>
      <c r="K445" s="313" t="s">
        <v>419</v>
      </c>
      <c r="L445" s="313" t="s">
        <v>420</v>
      </c>
      <c r="M445" s="313" t="s">
        <v>493</v>
      </c>
      <c r="N445" s="313" t="s">
        <v>494</v>
      </c>
      <c r="O445" s="313" t="s">
        <v>495</v>
      </c>
      <c r="P445" s="313" t="s">
        <v>496</v>
      </c>
      <c r="Q445" s="313" t="s">
        <v>497</v>
      </c>
      <c r="R445" s="313" t="s">
        <v>498</v>
      </c>
      <c r="S445" s="313" t="s">
        <v>499</v>
      </c>
      <c r="T445" s="313" t="s">
        <v>500</v>
      </c>
      <c r="U445" s="313" t="s">
        <v>501</v>
      </c>
      <c r="V445" s="313" t="s">
        <v>502</v>
      </c>
      <c r="W445" s="313" t="s">
        <v>503</v>
      </c>
      <c r="X445" s="313" t="s">
        <v>504</v>
      </c>
      <c r="Y445" s="313" t="s">
        <v>505</v>
      </c>
      <c r="Z445" s="313" t="s">
        <v>506</v>
      </c>
      <c r="AA445" s="313" t="s">
        <v>507</v>
      </c>
      <c r="AB445" s="313" t="s">
        <v>508</v>
      </c>
      <c r="AC445" s="313" t="s">
        <v>509</v>
      </c>
      <c r="AD445" s="313" t="s">
        <v>510</v>
      </c>
      <c r="AE445" s="313" t="s">
        <v>511</v>
      </c>
      <c r="AF445" s="313" t="s">
        <v>512</v>
      </c>
      <c r="AG445" s="313" t="s">
        <v>513</v>
      </c>
      <c r="AH445" s="313" t="s">
        <v>514</v>
      </c>
      <c r="AI445" s="313" t="s">
        <v>515</v>
      </c>
      <c r="AJ445" s="313" t="s">
        <v>516</v>
      </c>
      <c r="AK445" s="313" t="s">
        <v>517</v>
      </c>
      <c r="AL445" s="313" t="s">
        <v>518</v>
      </c>
      <c r="AM445" s="313" t="s">
        <v>520</v>
      </c>
      <c r="AN445" s="313" t="s">
        <v>521</v>
      </c>
      <c r="AO445" s="313" t="s">
        <v>522</v>
      </c>
      <c r="AP445" s="313" t="s">
        <v>402</v>
      </c>
      <c r="AQ445" s="313" t="s">
        <v>523</v>
      </c>
      <c r="AR445" s="313" t="s">
        <v>524</v>
      </c>
      <c r="AS445" s="313" t="s">
        <v>526</v>
      </c>
      <c r="AT445" s="313" t="s">
        <v>527</v>
      </c>
      <c r="AU445" s="313" t="s">
        <v>528</v>
      </c>
      <c r="AV445" s="313" t="s">
        <v>529</v>
      </c>
      <c r="AW445" s="313" t="s">
        <v>530</v>
      </c>
      <c r="AX445" s="313" t="s">
        <v>531</v>
      </c>
      <c r="AY445" s="313" t="s">
        <v>532</v>
      </c>
      <c r="AZ445" s="313" t="s">
        <v>403</v>
      </c>
      <c r="BA445" s="313" t="s">
        <v>404</v>
      </c>
      <c r="BB445" s="313" t="s">
        <v>405</v>
      </c>
      <c r="BC445" s="313" t="s">
        <v>406</v>
      </c>
      <c r="BD445" s="313" t="s">
        <v>407</v>
      </c>
      <c r="BE445" s="313" t="s">
        <v>408</v>
      </c>
      <c r="BF445" s="313" t="s">
        <v>409</v>
      </c>
      <c r="BG445" s="353"/>
    </row>
    <row r="446" spans="1:59">
      <c r="B446" s="358"/>
      <c r="C446" s="312" t="s">
        <v>472</v>
      </c>
      <c r="D446" s="312" t="s">
        <v>574</v>
      </c>
      <c r="E446" s="312" t="s">
        <v>473</v>
      </c>
      <c r="F446" s="326" t="s">
        <v>474</v>
      </c>
      <c r="G446" s="326" t="s">
        <v>474</v>
      </c>
      <c r="H446" s="326" t="s">
        <v>474</v>
      </c>
      <c r="I446" s="326" t="s">
        <v>474</v>
      </c>
      <c r="J446" s="326" t="s">
        <v>476</v>
      </c>
      <c r="K446" s="326" t="s">
        <v>474</v>
      </c>
      <c r="L446" s="326" t="s">
        <v>474</v>
      </c>
      <c r="M446" s="326" t="s">
        <v>575</v>
      </c>
      <c r="N446" s="326" t="s">
        <v>575</v>
      </c>
      <c r="O446" s="326" t="s">
        <v>473</v>
      </c>
      <c r="P446" s="326" t="s">
        <v>576</v>
      </c>
      <c r="Q446" s="326" t="s">
        <v>474</v>
      </c>
      <c r="R446" s="326" t="s">
        <v>481</v>
      </c>
      <c r="S446" s="326" t="s">
        <v>476</v>
      </c>
      <c r="T446" s="326" t="s">
        <v>481</v>
      </c>
      <c r="U446" s="326" t="s">
        <v>476</v>
      </c>
      <c r="V446" s="326" t="s">
        <v>476</v>
      </c>
      <c r="W446" s="326" t="s">
        <v>474</v>
      </c>
      <c r="X446" s="326" t="s">
        <v>577</v>
      </c>
      <c r="Y446" s="326" t="s">
        <v>577</v>
      </c>
      <c r="Z446" s="326" t="s">
        <v>478</v>
      </c>
      <c r="AA446" s="326" t="s">
        <v>576</v>
      </c>
      <c r="AB446" s="326" t="s">
        <v>576</v>
      </c>
      <c r="AC446" s="326" t="s">
        <v>476</v>
      </c>
      <c r="AD446" s="326" t="s">
        <v>480</v>
      </c>
      <c r="AE446" s="326" t="s">
        <v>481</v>
      </c>
      <c r="AF446" s="326" t="s">
        <v>481</v>
      </c>
      <c r="AG446" s="326" t="s">
        <v>578</v>
      </c>
      <c r="AH446" s="326" t="s">
        <v>578</v>
      </c>
      <c r="AI446" s="326" t="s">
        <v>481</v>
      </c>
      <c r="AJ446" s="326" t="s">
        <v>481</v>
      </c>
      <c r="AK446" s="326" t="s">
        <v>578</v>
      </c>
      <c r="AL446" s="326" t="s">
        <v>578</v>
      </c>
      <c r="AM446" s="326" t="s">
        <v>474</v>
      </c>
      <c r="AN446" s="326" t="s">
        <v>474</v>
      </c>
      <c r="AO446" s="326" t="s">
        <v>474</v>
      </c>
      <c r="AP446" s="326" t="s">
        <v>478</v>
      </c>
      <c r="AQ446" s="326" t="s">
        <v>473</v>
      </c>
      <c r="AR446" s="326" t="s">
        <v>474</v>
      </c>
      <c r="AS446" s="326" t="s">
        <v>476</v>
      </c>
      <c r="AT446" s="326" t="s">
        <v>474</v>
      </c>
      <c r="AU446" s="326" t="s">
        <v>579</v>
      </c>
      <c r="AV446" s="326" t="s">
        <v>481</v>
      </c>
      <c r="AW446" s="326" t="s">
        <v>478</v>
      </c>
      <c r="AX446" s="326" t="s">
        <v>474</v>
      </c>
      <c r="AY446" s="326" t="s">
        <v>474</v>
      </c>
      <c r="AZ446" s="326" t="s">
        <v>485</v>
      </c>
      <c r="BA446" s="326" t="s">
        <v>486</v>
      </c>
      <c r="BB446" s="326" t="s">
        <v>488</v>
      </c>
      <c r="BC446" s="326" t="s">
        <v>488</v>
      </c>
      <c r="BD446" s="326" t="s">
        <v>486</v>
      </c>
      <c r="BE446" s="326" t="s">
        <v>488</v>
      </c>
      <c r="BF446" s="326" t="s">
        <v>488</v>
      </c>
      <c r="BG446" s="353"/>
    </row>
    <row r="447" spans="1:59" ht="15">
      <c r="B447" s="315" t="s">
        <v>410</v>
      </c>
      <c r="C447" s="327" t="s">
        <v>437</v>
      </c>
      <c r="D447" s="337" t="s">
        <v>630</v>
      </c>
      <c r="E447" s="327" t="s">
        <v>182</v>
      </c>
      <c r="F447" s="328" t="s">
        <v>185</v>
      </c>
      <c r="G447" s="327" t="s">
        <v>411</v>
      </c>
      <c r="H447" s="327" t="s">
        <v>411</v>
      </c>
      <c r="I447" s="330">
        <v>0</v>
      </c>
      <c r="J447" s="331">
        <v>30</v>
      </c>
      <c r="K447" s="327" t="s">
        <v>439</v>
      </c>
      <c r="L447" s="327" t="s">
        <v>439</v>
      </c>
      <c r="M447" s="327" t="s">
        <v>156</v>
      </c>
      <c r="N447" s="327" t="s">
        <v>156</v>
      </c>
      <c r="O447" s="327" t="s">
        <v>584</v>
      </c>
      <c r="P447" s="327" t="s">
        <v>156</v>
      </c>
      <c r="Q447" s="329" t="s">
        <v>585</v>
      </c>
      <c r="R447" s="327" t="s">
        <v>183</v>
      </c>
      <c r="S447" s="327" t="s">
        <v>411</v>
      </c>
      <c r="T447" s="327" t="s">
        <v>581</v>
      </c>
      <c r="U447" s="327" t="s">
        <v>582</v>
      </c>
      <c r="V447" s="327" t="s">
        <v>586</v>
      </c>
      <c r="W447" s="327" t="s">
        <v>183</v>
      </c>
      <c r="X447" s="327" t="s">
        <v>411</v>
      </c>
      <c r="Y447" s="327" t="s">
        <v>411</v>
      </c>
      <c r="Z447" s="327"/>
      <c r="AA447" s="330"/>
      <c r="AB447" s="330" t="s">
        <v>587</v>
      </c>
      <c r="AC447" s="333">
        <v>5000</v>
      </c>
      <c r="AD447" s="330">
        <v>99999999</v>
      </c>
      <c r="AE447" s="327" t="s">
        <v>411</v>
      </c>
      <c r="AF447" s="327" t="s">
        <v>439</v>
      </c>
      <c r="AG447" s="327" t="s">
        <v>411</v>
      </c>
      <c r="AH447" s="327" t="s">
        <v>411</v>
      </c>
      <c r="AI447" s="330">
        <v>0</v>
      </c>
      <c r="AJ447" s="330">
        <v>0</v>
      </c>
      <c r="AK447" s="330">
        <v>0</v>
      </c>
      <c r="AL447" s="330">
        <v>0</v>
      </c>
      <c r="AM447" s="327" t="s">
        <v>183</v>
      </c>
      <c r="AN447" s="330">
        <v>0</v>
      </c>
      <c r="AO447" s="327" t="s">
        <v>411</v>
      </c>
      <c r="AP447" s="330">
        <v>1</v>
      </c>
      <c r="AQ447" s="331">
        <v>1111</v>
      </c>
      <c r="AR447" s="331" t="s">
        <v>583</v>
      </c>
      <c r="AS447" s="331">
        <v>10</v>
      </c>
      <c r="AT447" s="331">
        <v>1</v>
      </c>
      <c r="AU447" s="331">
        <v>0</v>
      </c>
      <c r="AV447" s="331">
        <v>0</v>
      </c>
      <c r="AW447" s="331">
        <v>0</v>
      </c>
      <c r="AX447" s="331">
        <v>0</v>
      </c>
      <c r="AY447" s="331">
        <v>1</v>
      </c>
      <c r="AZ447" s="331">
        <v>0</v>
      </c>
      <c r="BA447" s="332">
        <v>40640.750486111108</v>
      </c>
      <c r="BB447" s="331">
        <v>470195</v>
      </c>
      <c r="BC447" s="331">
        <v>470195</v>
      </c>
      <c r="BD447" s="332">
        <v>45392.67769675926</v>
      </c>
      <c r="BE447" s="331">
        <v>363363</v>
      </c>
      <c r="BF447" s="331">
        <v>363363</v>
      </c>
      <c r="BG447" s="353"/>
    </row>
    <row r="448" spans="1:59" ht="14">
      <c r="B448" s="317" t="s">
        <v>412</v>
      </c>
      <c r="C448" s="327" t="s">
        <v>437</v>
      </c>
      <c r="D448" s="327" t="s">
        <v>702</v>
      </c>
      <c r="E448" s="327" t="s">
        <v>453</v>
      </c>
      <c r="F448" s="327" t="s">
        <v>185</v>
      </c>
      <c r="G448" s="327" t="s">
        <v>411</v>
      </c>
      <c r="H448" s="327" t="s">
        <v>411</v>
      </c>
      <c r="I448" s="327">
        <v>0</v>
      </c>
      <c r="J448" s="327">
        <v>30</v>
      </c>
      <c r="K448" s="327" t="s">
        <v>703</v>
      </c>
      <c r="L448" s="420" t="s">
        <v>600</v>
      </c>
      <c r="M448" s="327" t="s">
        <v>156</v>
      </c>
      <c r="N448" s="327" t="s">
        <v>156</v>
      </c>
      <c r="O448" s="327" t="s">
        <v>584</v>
      </c>
      <c r="P448" s="327" t="s">
        <v>156</v>
      </c>
      <c r="Q448" s="327" t="s">
        <v>585</v>
      </c>
      <c r="R448" s="327" t="s">
        <v>183</v>
      </c>
      <c r="S448" s="327" t="s">
        <v>666</v>
      </c>
      <c r="T448" s="327" t="s">
        <v>581</v>
      </c>
      <c r="U448" s="327" t="s">
        <v>667</v>
      </c>
      <c r="V448" s="327" t="s">
        <v>668</v>
      </c>
      <c r="W448" s="327" t="s">
        <v>183</v>
      </c>
      <c r="X448" s="327" t="s">
        <v>669</v>
      </c>
      <c r="Y448" s="327" t="s">
        <v>669</v>
      </c>
      <c r="Z448" s="327"/>
      <c r="AA448" s="327"/>
      <c r="AB448" s="327" t="s">
        <v>587</v>
      </c>
      <c r="AC448" s="327">
        <v>5000</v>
      </c>
      <c r="AD448" s="327">
        <v>99999999</v>
      </c>
      <c r="AE448" s="327">
        <v>0</v>
      </c>
      <c r="AF448" s="327">
        <v>2</v>
      </c>
      <c r="AG448" s="327">
        <v>0</v>
      </c>
      <c r="AH448" s="327">
        <v>0</v>
      </c>
      <c r="AI448" s="327">
        <v>0</v>
      </c>
      <c r="AJ448" s="327">
        <v>0</v>
      </c>
      <c r="AK448" s="327">
        <v>0</v>
      </c>
      <c r="AL448" s="327">
        <v>0</v>
      </c>
      <c r="AM448" s="327">
        <v>1</v>
      </c>
      <c r="AN448" s="327">
        <v>0</v>
      </c>
      <c r="AO448" s="327">
        <v>0</v>
      </c>
      <c r="AP448" s="327">
        <v>1</v>
      </c>
      <c r="AQ448" s="327">
        <v>1111</v>
      </c>
      <c r="AR448" s="327" t="s">
        <v>583</v>
      </c>
      <c r="AS448" s="327">
        <v>10</v>
      </c>
      <c r="AT448" s="327">
        <v>1</v>
      </c>
      <c r="AU448" s="327">
        <v>0</v>
      </c>
      <c r="AV448" s="327">
        <v>0</v>
      </c>
      <c r="AW448" s="327">
        <v>0</v>
      </c>
      <c r="AX448" s="327">
        <v>0</v>
      </c>
      <c r="AY448" s="327">
        <v>1</v>
      </c>
      <c r="AZ448" s="327">
        <v>0</v>
      </c>
      <c r="BA448" s="327">
        <v>40640.750486111108</v>
      </c>
      <c r="BB448" s="327">
        <v>470195</v>
      </c>
      <c r="BC448" s="327">
        <v>470195</v>
      </c>
      <c r="BD448" s="327">
        <v>45392.67769675926</v>
      </c>
      <c r="BE448" s="327">
        <v>363363</v>
      </c>
      <c r="BF448" s="327">
        <v>363363</v>
      </c>
      <c r="BG448" s="353"/>
    </row>
    <row r="449" spans="2:59" ht="15">
      <c r="B449" s="315" t="s">
        <v>410</v>
      </c>
      <c r="C449" s="327" t="s">
        <v>437</v>
      </c>
      <c r="D449" s="337" t="s">
        <v>629</v>
      </c>
      <c r="E449" s="338" t="s">
        <v>182</v>
      </c>
      <c r="F449" s="334" t="s">
        <v>454</v>
      </c>
      <c r="G449" s="327" t="s">
        <v>411</v>
      </c>
      <c r="H449" s="327" t="s">
        <v>411</v>
      </c>
      <c r="I449" s="330">
        <v>1</v>
      </c>
      <c r="J449" s="331">
        <v>0</v>
      </c>
      <c r="K449" s="327" t="s">
        <v>183</v>
      </c>
      <c r="L449" s="420" t="s">
        <v>600</v>
      </c>
      <c r="M449" s="327" t="s">
        <v>156</v>
      </c>
      <c r="N449" s="327" t="s">
        <v>156</v>
      </c>
      <c r="O449" s="327" t="s">
        <v>156</v>
      </c>
      <c r="P449" s="327" t="s">
        <v>156</v>
      </c>
      <c r="Q449" s="329" t="s">
        <v>580</v>
      </c>
      <c r="R449" s="327" t="s">
        <v>411</v>
      </c>
      <c r="S449" s="327" t="s">
        <v>411</v>
      </c>
      <c r="T449" s="327" t="s">
        <v>581</v>
      </c>
      <c r="U449" s="327" t="s">
        <v>582</v>
      </c>
      <c r="V449" s="327" t="s">
        <v>183</v>
      </c>
      <c r="W449" s="327" t="s">
        <v>183</v>
      </c>
      <c r="X449" s="327" t="s">
        <v>411</v>
      </c>
      <c r="Y449" s="327" t="s">
        <v>411</v>
      </c>
      <c r="Z449" s="327" t="s">
        <v>156</v>
      </c>
      <c r="AA449" s="330" t="s">
        <v>156</v>
      </c>
      <c r="AB449" s="330" t="s">
        <v>156</v>
      </c>
      <c r="AC449" s="330">
        <v>1</v>
      </c>
      <c r="AD449" s="330">
        <v>99999999</v>
      </c>
      <c r="AE449" s="327" t="s">
        <v>411</v>
      </c>
      <c r="AF449" s="327" t="s">
        <v>411</v>
      </c>
      <c r="AG449" s="327" t="s">
        <v>411</v>
      </c>
      <c r="AH449" s="327" t="s">
        <v>411</v>
      </c>
      <c r="AI449" s="330">
        <v>0</v>
      </c>
      <c r="AJ449" s="330">
        <v>0</v>
      </c>
      <c r="AK449" s="330">
        <v>0</v>
      </c>
      <c r="AL449" s="330">
        <v>0</v>
      </c>
      <c r="AM449" s="327" t="s">
        <v>183</v>
      </c>
      <c r="AN449" s="330">
        <v>0</v>
      </c>
      <c r="AO449" s="327" t="s">
        <v>411</v>
      </c>
      <c r="AP449" s="330">
        <v>1</v>
      </c>
      <c r="AQ449" s="331" t="s">
        <v>156</v>
      </c>
      <c r="AR449" s="331" t="s">
        <v>583</v>
      </c>
      <c r="AS449" s="331">
        <v>0</v>
      </c>
      <c r="AT449" s="331">
        <v>1</v>
      </c>
      <c r="AU449" s="331">
        <v>0</v>
      </c>
      <c r="AV449" s="331">
        <v>0</v>
      </c>
      <c r="AW449" s="331">
        <v>0</v>
      </c>
      <c r="AX449" s="331">
        <v>0</v>
      </c>
      <c r="AY449" s="331">
        <v>1</v>
      </c>
      <c r="AZ449" s="331">
        <v>0</v>
      </c>
      <c r="BA449" s="332">
        <v>29705</v>
      </c>
      <c r="BB449" s="331" t="s">
        <v>445</v>
      </c>
      <c r="BC449" s="331" t="s">
        <v>445</v>
      </c>
      <c r="BD449" s="332">
        <v>36413</v>
      </c>
      <c r="BE449" s="331" t="s">
        <v>445</v>
      </c>
      <c r="BF449" s="331" t="s">
        <v>445</v>
      </c>
      <c r="BG449" s="353"/>
    </row>
    <row r="450" spans="2:59" ht="14">
      <c r="B450" s="315" t="s">
        <v>410</v>
      </c>
      <c r="C450" s="327" t="s">
        <v>437</v>
      </c>
      <c r="D450" s="337" t="s">
        <v>182</v>
      </c>
      <c r="E450" s="327" t="s">
        <v>453</v>
      </c>
      <c r="F450" s="327" t="s">
        <v>185</v>
      </c>
      <c r="G450" s="327" t="s">
        <v>411</v>
      </c>
      <c r="H450" s="327" t="s">
        <v>411</v>
      </c>
      <c r="I450" s="327">
        <v>0</v>
      </c>
      <c r="J450" s="327">
        <v>30</v>
      </c>
      <c r="K450" s="327" t="s">
        <v>611</v>
      </c>
      <c r="L450" s="420" t="s">
        <v>600</v>
      </c>
      <c r="M450" s="327" t="s">
        <v>156</v>
      </c>
      <c r="N450" s="327" t="s">
        <v>156</v>
      </c>
      <c r="O450" s="327" t="s">
        <v>584</v>
      </c>
      <c r="P450" s="327" t="s">
        <v>156</v>
      </c>
      <c r="Q450" s="327" t="s">
        <v>585</v>
      </c>
      <c r="R450" s="327" t="s">
        <v>183</v>
      </c>
      <c r="S450" s="327" t="s">
        <v>411</v>
      </c>
      <c r="T450" s="327" t="s">
        <v>581</v>
      </c>
      <c r="U450" s="327" t="s">
        <v>582</v>
      </c>
      <c r="V450" s="327" t="s">
        <v>586</v>
      </c>
      <c r="W450" s="327" t="s">
        <v>183</v>
      </c>
      <c r="X450" s="327" t="s">
        <v>411</v>
      </c>
      <c r="Y450" s="327" t="s">
        <v>411</v>
      </c>
      <c r="Z450" s="327"/>
      <c r="AA450" s="327"/>
      <c r="AB450" s="327" t="s">
        <v>587</v>
      </c>
      <c r="AC450" s="327">
        <v>5000</v>
      </c>
      <c r="AD450" s="327">
        <v>99999999</v>
      </c>
      <c r="AE450" s="327" t="s">
        <v>411</v>
      </c>
      <c r="AF450" s="327" t="s">
        <v>439</v>
      </c>
      <c r="AG450" s="327" t="s">
        <v>411</v>
      </c>
      <c r="AH450" s="327" t="s">
        <v>411</v>
      </c>
      <c r="AI450" s="327">
        <v>0</v>
      </c>
      <c r="AJ450" s="327">
        <v>0</v>
      </c>
      <c r="AK450" s="327">
        <v>0</v>
      </c>
      <c r="AL450" s="327">
        <v>0</v>
      </c>
      <c r="AM450" s="327" t="s">
        <v>183</v>
      </c>
      <c r="AN450" s="327">
        <v>0</v>
      </c>
      <c r="AO450" s="327" t="s">
        <v>411</v>
      </c>
      <c r="AP450" s="327">
        <v>1</v>
      </c>
      <c r="AQ450" s="327">
        <v>1111</v>
      </c>
      <c r="AR450" s="327" t="s">
        <v>583</v>
      </c>
      <c r="AS450" s="327">
        <v>10</v>
      </c>
      <c r="AT450" s="327">
        <v>1</v>
      </c>
      <c r="AU450" s="327">
        <v>0</v>
      </c>
      <c r="AV450" s="327">
        <v>0</v>
      </c>
      <c r="AW450" s="327">
        <v>0</v>
      </c>
      <c r="AX450" s="327">
        <v>0</v>
      </c>
      <c r="AY450" s="327">
        <v>1</v>
      </c>
      <c r="AZ450" s="327">
        <v>0</v>
      </c>
      <c r="BA450" s="327">
        <v>40640.750486111108</v>
      </c>
      <c r="BB450" s="327">
        <v>470195</v>
      </c>
      <c r="BC450" s="327">
        <v>470195</v>
      </c>
      <c r="BD450" s="327">
        <v>45392.67769675926</v>
      </c>
      <c r="BE450" s="327">
        <v>363363</v>
      </c>
      <c r="BF450" s="327">
        <v>363363</v>
      </c>
      <c r="BG450" s="353"/>
    </row>
    <row r="451" spans="2:59" ht="14">
      <c r="B451" s="358"/>
      <c r="C451" s="359"/>
      <c r="D451" s="359"/>
      <c r="E451" s="359"/>
      <c r="F451" s="359"/>
      <c r="G451" s="359"/>
      <c r="H451" s="359"/>
      <c r="I451" s="359"/>
      <c r="J451" s="359"/>
      <c r="M451" s="359"/>
      <c r="N451" s="359"/>
      <c r="O451" s="359"/>
      <c r="BG451" s="353"/>
    </row>
    <row r="452" spans="2:59" ht="14">
      <c r="B452" s="358"/>
      <c r="C452" s="359" t="s">
        <v>153</v>
      </c>
      <c r="D452" s="359"/>
      <c r="E452" s="359"/>
      <c r="F452" s="359"/>
      <c r="G452" s="359"/>
      <c r="H452" s="359"/>
      <c r="I452" s="359"/>
      <c r="J452" s="359"/>
      <c r="M452" s="359"/>
      <c r="N452" s="359"/>
      <c r="O452" s="359"/>
      <c r="BG452" s="353"/>
    </row>
    <row r="453" spans="2:59" ht="14">
      <c r="B453" s="358"/>
      <c r="C453" s="359" t="s">
        <v>154</v>
      </c>
      <c r="D453" s="359" t="s">
        <v>155</v>
      </c>
      <c r="E453" s="359" t="s">
        <v>157</v>
      </c>
      <c r="F453" s="359" t="s">
        <v>158</v>
      </c>
      <c r="G453" s="359" t="s">
        <v>356</v>
      </c>
      <c r="H453" s="359" t="s">
        <v>357</v>
      </c>
      <c r="I453" s="359" t="s">
        <v>358</v>
      </c>
      <c r="J453" s="359" t="s">
        <v>359</v>
      </c>
      <c r="K453" s="359" t="s">
        <v>360</v>
      </c>
      <c r="L453" s="359" t="s">
        <v>361</v>
      </c>
      <c r="M453" s="359" t="s">
        <v>362</v>
      </c>
      <c r="BG453" s="353"/>
    </row>
    <row r="454" spans="2:59" ht="14">
      <c r="B454" s="358"/>
      <c r="C454" s="359">
        <v>0</v>
      </c>
      <c r="D454" s="359">
        <v>0</v>
      </c>
      <c r="E454" s="359">
        <v>0</v>
      </c>
      <c r="F454" s="359" t="s">
        <v>156</v>
      </c>
      <c r="G454" s="359" t="s">
        <v>156</v>
      </c>
      <c r="H454" s="359" t="s">
        <v>703</v>
      </c>
      <c r="I454" s="359">
        <v>4</v>
      </c>
      <c r="J454" s="359">
        <v>5</v>
      </c>
      <c r="K454" s="359">
        <v>0</v>
      </c>
      <c r="L454" s="359">
        <v>30</v>
      </c>
      <c r="M454" s="359">
        <v>0</v>
      </c>
      <c r="BG454" s="353"/>
    </row>
    <row r="455" spans="2:59" ht="13.5" thickBot="1">
      <c r="B455" s="358"/>
      <c r="BG455" s="353"/>
    </row>
    <row r="456" spans="2:59" ht="14" thickBot="1">
      <c r="B456" s="299" t="s">
        <v>627</v>
      </c>
      <c r="C456" s="300" t="s">
        <v>628</v>
      </c>
      <c r="D456" s="300"/>
      <c r="E456" s="300"/>
      <c r="F456" s="300"/>
      <c r="G456" s="300"/>
      <c r="H456" s="300"/>
      <c r="I456" s="300"/>
      <c r="J456" s="300"/>
      <c r="K456" s="300"/>
      <c r="L456" s="300"/>
      <c r="M456" s="300"/>
      <c r="N456" s="300"/>
      <c r="O456" s="300"/>
      <c r="P456" s="300"/>
      <c r="Q456" s="300"/>
      <c r="R456" s="300"/>
      <c r="S456" s="300"/>
      <c r="T456" s="300"/>
      <c r="U456" s="300"/>
      <c r="V456" s="300"/>
      <c r="W456" s="300"/>
      <c r="X456" s="300"/>
      <c r="Y456" s="300"/>
      <c r="Z456" s="300"/>
      <c r="AA456" s="300"/>
      <c r="AB456" s="300"/>
      <c r="AC456" s="300"/>
      <c r="AD456" s="300"/>
      <c r="AE456" s="300"/>
      <c r="AF456" s="300"/>
      <c r="AG456" s="300"/>
      <c r="AH456" s="300"/>
      <c r="AI456" s="300"/>
      <c r="AJ456" s="300"/>
      <c r="AK456" s="300"/>
      <c r="AL456" s="300"/>
      <c r="AM456" s="300"/>
      <c r="AN456" s="300"/>
      <c r="AO456" s="300"/>
      <c r="AP456" s="300"/>
      <c r="AQ456" s="300"/>
      <c r="AR456" s="300"/>
      <c r="AS456" s="300"/>
      <c r="AT456" s="300"/>
      <c r="AU456" s="300"/>
      <c r="AV456" s="300"/>
      <c r="AW456" s="300"/>
      <c r="AX456" s="300"/>
      <c r="AY456" s="300"/>
      <c r="AZ456" s="300"/>
      <c r="BA456" s="300"/>
      <c r="BB456" s="300"/>
      <c r="BC456" s="300"/>
      <c r="BD456" s="300"/>
      <c r="BE456" s="300"/>
      <c r="BF456" s="300"/>
      <c r="BG456" s="353"/>
    </row>
    <row r="457" spans="2:59" ht="14" thickBot="1">
      <c r="B457" s="335" t="s">
        <v>805</v>
      </c>
      <c r="C457" s="300" t="s">
        <v>615</v>
      </c>
      <c r="D457" s="300"/>
      <c r="E457" s="300"/>
      <c r="F457" s="300"/>
      <c r="G457" s="300"/>
      <c r="H457" s="300"/>
      <c r="I457" s="300"/>
      <c r="J457" s="300"/>
      <c r="K457" s="300"/>
      <c r="L457" s="300"/>
      <c r="M457" s="300"/>
      <c r="N457" s="300"/>
      <c r="O457" s="300"/>
      <c r="P457" s="300"/>
      <c r="Q457" s="300"/>
      <c r="R457" s="300"/>
      <c r="S457" s="300"/>
      <c r="T457" s="300"/>
      <c r="U457" s="300"/>
      <c r="V457" s="300"/>
      <c r="W457" s="300"/>
      <c r="X457" s="300"/>
      <c r="Y457" s="300"/>
      <c r="Z457" s="300"/>
      <c r="AA457" s="300"/>
      <c r="AB457" s="300"/>
      <c r="AC457" s="300"/>
      <c r="AD457" s="300"/>
      <c r="AE457" s="300"/>
      <c r="AF457" s="300"/>
      <c r="AG457" s="300"/>
      <c r="AH457" s="300"/>
      <c r="AI457" s="300"/>
      <c r="AJ457" s="300"/>
      <c r="AK457" s="300"/>
      <c r="AL457" s="300"/>
      <c r="AM457" s="300"/>
      <c r="AN457" s="300"/>
      <c r="AO457" s="300"/>
      <c r="AP457" s="300"/>
      <c r="AQ457" s="300"/>
      <c r="AR457" s="300"/>
      <c r="AS457" s="300"/>
      <c r="AT457" s="300"/>
      <c r="AU457" s="300"/>
      <c r="AV457" s="300"/>
      <c r="AW457" s="300"/>
      <c r="AX457" s="300"/>
      <c r="AY457" s="300"/>
      <c r="AZ457" s="300"/>
      <c r="BA457" s="300"/>
      <c r="BB457" s="300"/>
      <c r="BC457" s="300"/>
      <c r="BD457" s="300"/>
      <c r="BE457" s="300"/>
      <c r="BF457" s="300"/>
      <c r="BG457" s="353"/>
    </row>
    <row r="458" spans="2:59">
      <c r="B458" s="358"/>
      <c r="BG458" s="353"/>
    </row>
    <row r="459" spans="2:59" ht="13.5">
      <c r="B459" s="358"/>
      <c r="C459" s="356" t="s">
        <v>396</v>
      </c>
      <c r="BG459" s="353"/>
    </row>
    <row r="460" spans="2:59" ht="14.5">
      <c r="B460" s="358"/>
      <c r="C460" s="356" t="s">
        <v>716</v>
      </c>
      <c r="BG460" s="353"/>
    </row>
    <row r="461" spans="2:59">
      <c r="B461" s="358"/>
      <c r="BG461" s="353"/>
    </row>
    <row r="462" spans="2:59" ht="15">
      <c r="B462" s="358"/>
      <c r="C462" s="416" t="s">
        <v>436</v>
      </c>
      <c r="D462" s="417"/>
      <c r="E462" s="417"/>
      <c r="F462" s="417"/>
      <c r="G462" s="417"/>
      <c r="H462" s="417"/>
      <c r="I462" s="417"/>
      <c r="J462" s="417"/>
      <c r="K462" s="417"/>
      <c r="L462" s="417"/>
      <c r="M462" s="417"/>
      <c r="N462" s="417"/>
      <c r="O462" s="417"/>
      <c r="P462" s="417"/>
      <c r="Q462" s="417"/>
      <c r="R462" s="417"/>
      <c r="S462" s="417"/>
      <c r="T462" s="417"/>
      <c r="U462" s="417"/>
      <c r="V462" s="417"/>
      <c r="W462" s="417"/>
      <c r="X462" s="418"/>
      <c r="Y462" s="68"/>
      <c r="Z462" s="68"/>
      <c r="AA462" s="68"/>
      <c r="AB462" s="68"/>
      <c r="AC462" s="68"/>
      <c r="AD462" s="306"/>
      <c r="BG462" s="353"/>
    </row>
    <row r="463" spans="2:59" ht="15">
      <c r="B463" s="358"/>
      <c r="C463" s="322"/>
      <c r="D463" s="322"/>
      <c r="E463" s="322"/>
      <c r="F463" s="319" t="s">
        <v>169</v>
      </c>
      <c r="G463" s="319" t="s">
        <v>169</v>
      </c>
      <c r="H463" s="319" t="s">
        <v>169</v>
      </c>
      <c r="I463" s="319"/>
      <c r="J463" s="319"/>
      <c r="K463" s="319"/>
      <c r="L463" s="319"/>
      <c r="M463" s="319"/>
      <c r="N463" s="319"/>
      <c r="O463" s="319"/>
      <c r="P463" s="319"/>
      <c r="Q463" s="319"/>
      <c r="R463" s="319"/>
      <c r="S463" s="319"/>
      <c r="T463" s="319"/>
      <c r="U463" s="319"/>
      <c r="V463" s="319"/>
      <c r="W463" s="319"/>
      <c r="X463" s="319"/>
      <c r="Y463" s="319"/>
      <c r="Z463" s="319"/>
      <c r="AA463" s="319"/>
      <c r="AB463" s="319"/>
      <c r="AC463" s="319"/>
      <c r="AD463" s="319"/>
      <c r="BG463" s="353"/>
    </row>
    <row r="464" spans="2:59">
      <c r="B464" s="358"/>
      <c r="C464" s="312" t="s">
        <v>172</v>
      </c>
      <c r="D464" s="312" t="s">
        <v>173</v>
      </c>
      <c r="E464" s="312" t="s">
        <v>174</v>
      </c>
      <c r="F464" s="314" t="s">
        <v>91</v>
      </c>
      <c r="G464" s="314" t="s">
        <v>67</v>
      </c>
      <c r="H464" s="314" t="s">
        <v>69</v>
      </c>
      <c r="I464" s="314" t="s">
        <v>457</v>
      </c>
      <c r="J464" s="314" t="s">
        <v>458</v>
      </c>
      <c r="K464" s="314" t="s">
        <v>459</v>
      </c>
      <c r="L464" s="314" t="s">
        <v>460</v>
      </c>
      <c r="M464" s="314" t="s">
        <v>461</v>
      </c>
      <c r="N464" s="314" t="s">
        <v>462</v>
      </c>
      <c r="O464" s="314" t="s">
        <v>463</v>
      </c>
      <c r="P464" s="314" t="s">
        <v>464</v>
      </c>
      <c r="Q464" s="314" t="s">
        <v>465</v>
      </c>
      <c r="R464" s="314" t="s">
        <v>466</v>
      </c>
      <c r="S464" s="314" t="s">
        <v>467</v>
      </c>
      <c r="T464" s="314" t="s">
        <v>468</v>
      </c>
      <c r="U464" s="314" t="s">
        <v>469</v>
      </c>
      <c r="V464" s="314" t="s">
        <v>470</v>
      </c>
      <c r="W464" s="314" t="s">
        <v>471</v>
      </c>
      <c r="X464" s="314" t="s">
        <v>397</v>
      </c>
      <c r="Y464" s="314" t="s">
        <v>398</v>
      </c>
      <c r="Z464" s="314" t="s">
        <v>399</v>
      </c>
      <c r="AA464" s="314" t="s">
        <v>400</v>
      </c>
      <c r="AB464" s="314" t="s">
        <v>151</v>
      </c>
      <c r="AC464" s="314" t="s">
        <v>152</v>
      </c>
      <c r="AD464" s="314" t="s">
        <v>401</v>
      </c>
      <c r="BG464" s="353"/>
    </row>
    <row r="465" spans="2:59">
      <c r="B465" s="358"/>
      <c r="C465" s="312" t="s">
        <v>371</v>
      </c>
      <c r="D465" s="312" t="s">
        <v>381</v>
      </c>
      <c r="E465" s="312" t="s">
        <v>390</v>
      </c>
      <c r="F465" s="313" t="s">
        <v>418</v>
      </c>
      <c r="G465" s="313" t="s">
        <v>419</v>
      </c>
      <c r="H465" s="313" t="s">
        <v>421</v>
      </c>
      <c r="I465" s="313" t="s">
        <v>420</v>
      </c>
      <c r="J465" s="313" t="s">
        <v>422</v>
      </c>
      <c r="K465" s="313" t="s">
        <v>423</v>
      </c>
      <c r="L465" s="313" t="s">
        <v>424</v>
      </c>
      <c r="M465" s="313" t="s">
        <v>425</v>
      </c>
      <c r="N465" s="313" t="s">
        <v>426</v>
      </c>
      <c r="O465" s="313" t="s">
        <v>427</v>
      </c>
      <c r="P465" s="313" t="s">
        <v>428</v>
      </c>
      <c r="Q465" s="313" t="s">
        <v>429</v>
      </c>
      <c r="R465" s="313" t="s">
        <v>430</v>
      </c>
      <c r="S465" s="313" t="s">
        <v>431</v>
      </c>
      <c r="T465" s="313" t="s">
        <v>432</v>
      </c>
      <c r="U465" s="313" t="s">
        <v>433</v>
      </c>
      <c r="V465" s="313" t="s">
        <v>434</v>
      </c>
      <c r="W465" s="313" t="s">
        <v>435</v>
      </c>
      <c r="X465" s="313" t="s">
        <v>403</v>
      </c>
      <c r="Y465" s="313" t="s">
        <v>404</v>
      </c>
      <c r="Z465" s="313" t="s">
        <v>405</v>
      </c>
      <c r="AA465" s="313" t="s">
        <v>406</v>
      </c>
      <c r="AB465" s="313" t="s">
        <v>407</v>
      </c>
      <c r="AC465" s="313" t="s">
        <v>408</v>
      </c>
      <c r="AD465" s="313" t="s">
        <v>409</v>
      </c>
      <c r="BG465" s="353"/>
    </row>
    <row r="466" spans="2:59">
      <c r="B466" s="358"/>
      <c r="C466" s="312" t="s">
        <v>472</v>
      </c>
      <c r="D466" s="312" t="s">
        <v>473</v>
      </c>
      <c r="E466" s="312" t="s">
        <v>473</v>
      </c>
      <c r="F466" s="314" t="s">
        <v>474</v>
      </c>
      <c r="G466" s="314" t="s">
        <v>474</v>
      </c>
      <c r="H466" s="314" t="s">
        <v>475</v>
      </c>
      <c r="I466" s="314" t="s">
        <v>474</v>
      </c>
      <c r="J466" s="314" t="s">
        <v>476</v>
      </c>
      <c r="K466" s="314" t="s">
        <v>477</v>
      </c>
      <c r="L466" s="313" t="s">
        <v>478</v>
      </c>
      <c r="M466" s="314" t="s">
        <v>478</v>
      </c>
      <c r="N466" s="314" t="s">
        <v>479</v>
      </c>
      <c r="O466" s="314" t="s">
        <v>474</v>
      </c>
      <c r="P466" s="314" t="s">
        <v>480</v>
      </c>
      <c r="Q466" s="314" t="s">
        <v>481</v>
      </c>
      <c r="R466" s="314" t="s">
        <v>480</v>
      </c>
      <c r="S466" s="314" t="s">
        <v>482</v>
      </c>
      <c r="T466" s="313" t="s">
        <v>483</v>
      </c>
      <c r="U466" s="314" t="s">
        <v>483</v>
      </c>
      <c r="V466" s="314" t="s">
        <v>484</v>
      </c>
      <c r="W466" s="314" t="s">
        <v>474</v>
      </c>
      <c r="X466" s="314" t="s">
        <v>485</v>
      </c>
      <c r="Y466" s="314" t="s">
        <v>487</v>
      </c>
      <c r="Z466" s="314" t="s">
        <v>488</v>
      </c>
      <c r="AA466" s="314" t="s">
        <v>488</v>
      </c>
      <c r="AB466" s="313" t="s">
        <v>486</v>
      </c>
      <c r="AC466" s="314" t="s">
        <v>488</v>
      </c>
      <c r="AD466" s="314" t="s">
        <v>488</v>
      </c>
      <c r="BG466" s="353"/>
    </row>
    <row r="467" spans="2:59" ht="25">
      <c r="B467" s="315" t="s">
        <v>410</v>
      </c>
      <c r="C467" s="316" t="s">
        <v>437</v>
      </c>
      <c r="D467" s="337" t="s">
        <v>630</v>
      </c>
      <c r="E467" s="338" t="s">
        <v>182</v>
      </c>
      <c r="F467" s="314" t="s">
        <v>183</v>
      </c>
      <c r="G467" s="314" t="s">
        <v>183</v>
      </c>
      <c r="H467" s="314" t="s">
        <v>184</v>
      </c>
      <c r="I467" s="327"/>
      <c r="J467" s="314" t="s">
        <v>184</v>
      </c>
      <c r="K467" s="314" t="s">
        <v>411</v>
      </c>
      <c r="L467" s="313" t="s">
        <v>448</v>
      </c>
      <c r="M467" s="314" t="s">
        <v>441</v>
      </c>
      <c r="N467" s="314"/>
      <c r="O467" s="314" t="s">
        <v>411</v>
      </c>
      <c r="P467" s="314" t="s">
        <v>156</v>
      </c>
      <c r="Q467" s="314" t="s">
        <v>184</v>
      </c>
      <c r="R467" s="314" t="s">
        <v>449</v>
      </c>
      <c r="S467" s="314"/>
      <c r="T467" s="313" t="s">
        <v>156</v>
      </c>
      <c r="U467" s="314" t="s">
        <v>156</v>
      </c>
      <c r="V467" s="314" t="s">
        <v>156</v>
      </c>
      <c r="W467" s="314"/>
      <c r="X467" s="314" t="s">
        <v>411</v>
      </c>
      <c r="Y467" s="314" t="s">
        <v>450</v>
      </c>
      <c r="Z467" s="314" t="s">
        <v>451</v>
      </c>
      <c r="AA467" s="314">
        <v>470195</v>
      </c>
      <c r="AB467" s="313" t="s">
        <v>450</v>
      </c>
      <c r="AC467" s="314">
        <v>470195</v>
      </c>
      <c r="AD467" s="314" t="s">
        <v>451</v>
      </c>
      <c r="BG467" s="353"/>
    </row>
    <row r="468" spans="2:59" ht="14">
      <c r="B468" s="315" t="s">
        <v>410</v>
      </c>
      <c r="C468" s="316" t="s">
        <v>437</v>
      </c>
      <c r="D468" s="337" t="s">
        <v>629</v>
      </c>
      <c r="E468" s="338" t="s">
        <v>182</v>
      </c>
      <c r="F468" s="316" t="s">
        <v>454</v>
      </c>
      <c r="G468" s="316" t="s">
        <v>183</v>
      </c>
      <c r="H468" s="316" t="s">
        <v>184</v>
      </c>
      <c r="I468" s="327"/>
      <c r="J468" s="316" t="s">
        <v>440</v>
      </c>
      <c r="K468" s="316" t="s">
        <v>411</v>
      </c>
      <c r="L468" s="316" t="s">
        <v>156</v>
      </c>
      <c r="M468" s="316" t="s">
        <v>441</v>
      </c>
      <c r="N468" s="316" t="s">
        <v>156</v>
      </c>
      <c r="O468" s="316" t="s">
        <v>183</v>
      </c>
      <c r="P468" s="316" t="s">
        <v>156</v>
      </c>
      <c r="Q468" s="316" t="s">
        <v>442</v>
      </c>
      <c r="R468" s="316" t="s">
        <v>443</v>
      </c>
      <c r="S468" s="316" t="s">
        <v>156</v>
      </c>
      <c r="T468" s="316" t="s">
        <v>156</v>
      </c>
      <c r="U468" s="316" t="s">
        <v>156</v>
      </c>
      <c r="V468" s="316" t="s">
        <v>156</v>
      </c>
      <c r="W468" s="316" t="s">
        <v>156</v>
      </c>
      <c r="X468" s="316" t="s">
        <v>411</v>
      </c>
      <c r="Y468" s="316" t="s">
        <v>444</v>
      </c>
      <c r="Z468" s="316" t="s">
        <v>445</v>
      </c>
      <c r="AA468" s="316" t="s">
        <v>445</v>
      </c>
      <c r="AB468" s="316" t="s">
        <v>446</v>
      </c>
      <c r="AC468" s="316" t="s">
        <v>455</v>
      </c>
      <c r="AD468" s="316" t="s">
        <v>455</v>
      </c>
      <c r="BG468" s="353"/>
    </row>
    <row r="469" spans="2:59" ht="14.5">
      <c r="B469" s="317" t="s">
        <v>412</v>
      </c>
      <c r="C469" s="316" t="s">
        <v>437</v>
      </c>
      <c r="D469" s="316" t="s">
        <v>610</v>
      </c>
      <c r="E469" s="345" t="s">
        <v>182</v>
      </c>
      <c r="F469" s="413" t="s">
        <v>454</v>
      </c>
      <c r="G469" s="316" t="s">
        <v>439</v>
      </c>
      <c r="H469" s="316" t="s">
        <v>184</v>
      </c>
      <c r="I469" s="316" t="s">
        <v>439</v>
      </c>
      <c r="J469" s="316" t="s">
        <v>440</v>
      </c>
      <c r="K469" s="316" t="s">
        <v>411</v>
      </c>
      <c r="L469" s="316" t="s">
        <v>156</v>
      </c>
      <c r="M469" s="316" t="s">
        <v>441</v>
      </c>
      <c r="N469" s="316" t="s">
        <v>156</v>
      </c>
      <c r="O469" s="316" t="s">
        <v>183</v>
      </c>
      <c r="P469" s="316" t="s">
        <v>156</v>
      </c>
      <c r="Q469" s="316" t="s">
        <v>442</v>
      </c>
      <c r="R469" s="316" t="s">
        <v>443</v>
      </c>
      <c r="S469" s="316" t="s">
        <v>156</v>
      </c>
      <c r="T469" s="316" t="s">
        <v>156</v>
      </c>
      <c r="U469" s="316" t="s">
        <v>156</v>
      </c>
      <c r="V469" s="316" t="s">
        <v>156</v>
      </c>
      <c r="W469" s="316" t="s">
        <v>156</v>
      </c>
      <c r="X469" s="316" t="s">
        <v>411</v>
      </c>
      <c r="Y469" s="316" t="s">
        <v>444</v>
      </c>
      <c r="Z469" s="316" t="s">
        <v>445</v>
      </c>
      <c r="AA469" s="316" t="s">
        <v>445</v>
      </c>
      <c r="AB469" s="316" t="s">
        <v>446</v>
      </c>
      <c r="AC469" s="316" t="s">
        <v>455</v>
      </c>
      <c r="AD469" s="316" t="s">
        <v>455</v>
      </c>
      <c r="BG469" s="353"/>
    </row>
    <row r="470" spans="2:59" ht="14">
      <c r="B470" s="315" t="s">
        <v>410</v>
      </c>
      <c r="C470" s="316" t="s">
        <v>437</v>
      </c>
      <c r="D470" s="337" t="s">
        <v>182</v>
      </c>
      <c r="E470" s="338" t="s">
        <v>182</v>
      </c>
      <c r="F470" s="316" t="s">
        <v>454</v>
      </c>
      <c r="G470" s="316" t="s">
        <v>611</v>
      </c>
      <c r="H470" s="316" t="s">
        <v>184</v>
      </c>
      <c r="I470" s="327"/>
      <c r="J470" s="316" t="s">
        <v>440</v>
      </c>
      <c r="K470" s="316" t="s">
        <v>411</v>
      </c>
      <c r="L470" s="316" t="s">
        <v>156</v>
      </c>
      <c r="M470" s="316" t="s">
        <v>441</v>
      </c>
      <c r="N470" s="316" t="s">
        <v>156</v>
      </c>
      <c r="O470" s="316" t="s">
        <v>183</v>
      </c>
      <c r="P470" s="316" t="s">
        <v>156</v>
      </c>
      <c r="Q470" s="316" t="s">
        <v>442</v>
      </c>
      <c r="R470" s="316" t="s">
        <v>443</v>
      </c>
      <c r="S470" s="316" t="s">
        <v>156</v>
      </c>
      <c r="T470" s="316" t="s">
        <v>156</v>
      </c>
      <c r="U470" s="316" t="s">
        <v>156</v>
      </c>
      <c r="V470" s="316" t="s">
        <v>156</v>
      </c>
      <c r="W470" s="316" t="s">
        <v>156</v>
      </c>
      <c r="X470" s="316" t="s">
        <v>411</v>
      </c>
      <c r="Y470" s="316" t="s">
        <v>444</v>
      </c>
      <c r="Z470" s="316" t="s">
        <v>445</v>
      </c>
      <c r="AA470" s="316" t="s">
        <v>445</v>
      </c>
      <c r="AB470" s="316" t="s">
        <v>446</v>
      </c>
      <c r="AC470" s="316" t="s">
        <v>455</v>
      </c>
      <c r="AD470" s="316" t="s">
        <v>455</v>
      </c>
      <c r="BG470" s="353"/>
    </row>
    <row r="471" spans="2:59">
      <c r="B471" s="358"/>
      <c r="BG471" s="353"/>
    </row>
    <row r="472" spans="2:59" ht="15">
      <c r="B472" s="358"/>
      <c r="C472" s="449" t="s">
        <v>489</v>
      </c>
      <c r="D472" s="450"/>
      <c r="E472" s="450"/>
      <c r="F472" s="450"/>
      <c r="G472" s="450"/>
      <c r="H472" s="450"/>
      <c r="I472" s="450"/>
      <c r="J472" s="450"/>
      <c r="K472" s="450"/>
      <c r="L472" s="450"/>
      <c r="M472" s="450"/>
      <c r="N472" s="450"/>
      <c r="O472" s="450"/>
      <c r="P472" s="450"/>
      <c r="Q472" s="450"/>
      <c r="R472" s="450"/>
      <c r="S472" s="450"/>
      <c r="T472" s="450"/>
      <c r="U472" s="92"/>
      <c r="V472" s="92"/>
      <c r="W472" s="92"/>
      <c r="X472" s="92"/>
      <c r="Y472" s="92"/>
      <c r="Z472" s="92"/>
      <c r="AA472" s="93"/>
      <c r="AB472" s="93"/>
      <c r="AC472" s="93"/>
      <c r="AD472" s="93"/>
      <c r="AE472" s="93"/>
      <c r="AF472" s="93"/>
      <c r="AG472" s="93"/>
      <c r="AH472" s="93"/>
      <c r="AI472" s="93"/>
      <c r="AJ472" s="93"/>
      <c r="AK472" s="93"/>
      <c r="AL472" s="93"/>
      <c r="AM472" s="93"/>
      <c r="AN472" s="93"/>
      <c r="AO472" s="93"/>
      <c r="AP472" s="94"/>
      <c r="AQ472" s="94"/>
      <c r="AR472" s="94"/>
      <c r="AS472" s="94"/>
      <c r="AT472" s="94"/>
      <c r="AU472" s="94"/>
      <c r="AV472" s="94"/>
      <c r="AW472" s="94"/>
      <c r="AX472" s="94"/>
      <c r="AY472" s="94"/>
      <c r="AZ472" s="94"/>
      <c r="BA472" s="94"/>
      <c r="BB472" s="94"/>
      <c r="BC472" s="94"/>
      <c r="BD472" s="94"/>
      <c r="BE472" s="94"/>
      <c r="BF472" s="94"/>
      <c r="BG472" s="353"/>
    </row>
    <row r="473" spans="2:59" ht="15">
      <c r="B473" s="358"/>
      <c r="C473" s="322"/>
      <c r="D473" s="322"/>
      <c r="E473" s="322"/>
      <c r="F473" s="319" t="s">
        <v>169</v>
      </c>
      <c r="G473" s="319" t="s">
        <v>169</v>
      </c>
      <c r="H473" s="324" t="s">
        <v>169</v>
      </c>
      <c r="I473" s="319" t="s">
        <v>169</v>
      </c>
      <c r="J473" s="319" t="s">
        <v>169</v>
      </c>
      <c r="K473" s="324"/>
      <c r="L473" s="324"/>
      <c r="M473" s="324"/>
      <c r="N473" s="324"/>
      <c r="O473" s="324"/>
      <c r="P473" s="324"/>
      <c r="Q473" s="324"/>
      <c r="R473" s="324"/>
      <c r="S473" s="324"/>
      <c r="T473" s="324"/>
      <c r="U473" s="324"/>
      <c r="V473" s="324"/>
      <c r="W473" s="324"/>
      <c r="X473" s="324"/>
      <c r="Y473" s="324"/>
      <c r="Z473" s="324"/>
      <c r="AA473" s="325"/>
      <c r="AB473" s="325"/>
      <c r="AC473" s="325"/>
      <c r="AD473" s="325"/>
      <c r="AE473" s="325"/>
      <c r="AF473" s="325"/>
      <c r="AG473" s="325"/>
      <c r="AH473" s="325"/>
      <c r="AI473" s="325"/>
      <c r="AJ473" s="325"/>
      <c r="AK473" s="325"/>
      <c r="AL473" s="325"/>
      <c r="AM473" s="325"/>
      <c r="AN473" s="325"/>
      <c r="AO473" s="325"/>
      <c r="AP473" s="325"/>
      <c r="AQ473" s="325"/>
      <c r="AR473" s="325"/>
      <c r="AS473" s="325"/>
      <c r="AT473" s="325"/>
      <c r="AU473" s="325"/>
      <c r="AV473" s="325"/>
      <c r="AW473" s="325"/>
      <c r="AX473" s="325"/>
      <c r="AY473" s="325"/>
      <c r="AZ473" s="325"/>
      <c r="BA473" s="325"/>
      <c r="BB473" s="325"/>
      <c r="BC473" s="325"/>
      <c r="BD473" s="325"/>
      <c r="BE473" s="325"/>
      <c r="BF473" s="325"/>
      <c r="BG473" s="353"/>
    </row>
    <row r="474" spans="2:59" ht="25">
      <c r="B474" s="358"/>
      <c r="C474" s="312" t="s">
        <v>533</v>
      </c>
      <c r="D474" s="312" t="s">
        <v>588</v>
      </c>
      <c r="E474" s="312" t="s">
        <v>589</v>
      </c>
      <c r="F474" s="314" t="s">
        <v>96</v>
      </c>
      <c r="G474" s="314" t="s">
        <v>99</v>
      </c>
      <c r="H474" s="314" t="s">
        <v>130</v>
      </c>
      <c r="I474" s="314" t="s">
        <v>559</v>
      </c>
      <c r="J474" s="314" t="s">
        <v>127</v>
      </c>
      <c r="K474" s="314" t="s">
        <v>67</v>
      </c>
      <c r="L474" s="314" t="s">
        <v>456</v>
      </c>
      <c r="M474" s="314" t="s">
        <v>534</v>
      </c>
      <c r="N474" s="314" t="s">
        <v>535</v>
      </c>
      <c r="O474" s="314" t="s">
        <v>536</v>
      </c>
      <c r="P474" s="314" t="s">
        <v>537</v>
      </c>
      <c r="Q474" s="314" t="s">
        <v>538</v>
      </c>
      <c r="R474" s="314" t="s">
        <v>539</v>
      </c>
      <c r="S474" s="314" t="s">
        <v>540</v>
      </c>
      <c r="T474" s="314" t="s">
        <v>541</v>
      </c>
      <c r="U474" s="314" t="s">
        <v>542</v>
      </c>
      <c r="V474" s="314" t="s">
        <v>543</v>
      </c>
      <c r="W474" s="314" t="s">
        <v>544</v>
      </c>
      <c r="X474" s="314" t="s">
        <v>545</v>
      </c>
      <c r="Y474" s="314" t="s">
        <v>546</v>
      </c>
      <c r="Z474" s="314" t="s">
        <v>547</v>
      </c>
      <c r="AA474" s="314" t="s">
        <v>548</v>
      </c>
      <c r="AB474" s="314" t="s">
        <v>549</v>
      </c>
      <c r="AC474" s="314" t="s">
        <v>550</v>
      </c>
      <c r="AD474" s="314" t="s">
        <v>551</v>
      </c>
      <c r="AE474" s="314" t="s">
        <v>552</v>
      </c>
      <c r="AF474" s="314" t="s">
        <v>553</v>
      </c>
      <c r="AG474" s="314" t="s">
        <v>554</v>
      </c>
      <c r="AH474" s="314" t="s">
        <v>555</v>
      </c>
      <c r="AI474" s="314" t="s">
        <v>556</v>
      </c>
      <c r="AJ474" s="314" t="s">
        <v>558</v>
      </c>
      <c r="AK474" s="314" t="s">
        <v>557</v>
      </c>
      <c r="AL474" s="314" t="s">
        <v>566</v>
      </c>
      <c r="AM474" s="314" t="s">
        <v>560</v>
      </c>
      <c r="AN474" s="314" t="s">
        <v>561</v>
      </c>
      <c r="AO474" s="314" t="s">
        <v>562</v>
      </c>
      <c r="AP474" s="314" t="s">
        <v>563</v>
      </c>
      <c r="AQ474" s="314" t="s">
        <v>567</v>
      </c>
      <c r="AR474" s="314" t="s">
        <v>564</v>
      </c>
      <c r="AS474" s="314" t="s">
        <v>565</v>
      </c>
      <c r="AT474" s="314" t="s">
        <v>568</v>
      </c>
      <c r="AU474" s="314" t="s">
        <v>569</v>
      </c>
      <c r="AV474" s="314" t="s">
        <v>570</v>
      </c>
      <c r="AW474" s="314" t="s">
        <v>571</v>
      </c>
      <c r="AX474" s="314" t="s">
        <v>572</v>
      </c>
      <c r="AY474" s="314" t="s">
        <v>573</v>
      </c>
      <c r="AZ474" s="314" t="s">
        <v>397</v>
      </c>
      <c r="BA474" s="314" t="s">
        <v>398</v>
      </c>
      <c r="BB474" s="314" t="s">
        <v>399</v>
      </c>
      <c r="BC474" s="314" t="s">
        <v>400</v>
      </c>
      <c r="BD474" s="314" t="s">
        <v>151</v>
      </c>
      <c r="BE474" s="314" t="s">
        <v>152</v>
      </c>
      <c r="BF474" s="314" t="s">
        <v>401</v>
      </c>
      <c r="BG474" s="353"/>
    </row>
    <row r="475" spans="2:59">
      <c r="B475" s="358"/>
      <c r="C475" s="312" t="s">
        <v>371</v>
      </c>
      <c r="D475" s="312" t="s">
        <v>381</v>
      </c>
      <c r="E475" s="312" t="s">
        <v>390</v>
      </c>
      <c r="F475" s="313" t="s">
        <v>490</v>
      </c>
      <c r="G475" s="313" t="s">
        <v>491</v>
      </c>
      <c r="H475" s="313" t="s">
        <v>492</v>
      </c>
      <c r="I475" s="313" t="s">
        <v>519</v>
      </c>
      <c r="J475" s="313" t="s">
        <v>525</v>
      </c>
      <c r="K475" s="313" t="s">
        <v>419</v>
      </c>
      <c r="L475" s="313" t="s">
        <v>420</v>
      </c>
      <c r="M475" s="313" t="s">
        <v>493</v>
      </c>
      <c r="N475" s="313" t="s">
        <v>494</v>
      </c>
      <c r="O475" s="313" t="s">
        <v>495</v>
      </c>
      <c r="P475" s="313" t="s">
        <v>496</v>
      </c>
      <c r="Q475" s="313" t="s">
        <v>497</v>
      </c>
      <c r="R475" s="313" t="s">
        <v>498</v>
      </c>
      <c r="S475" s="313" t="s">
        <v>499</v>
      </c>
      <c r="T475" s="313" t="s">
        <v>500</v>
      </c>
      <c r="U475" s="313" t="s">
        <v>501</v>
      </c>
      <c r="V475" s="313" t="s">
        <v>502</v>
      </c>
      <c r="W475" s="313" t="s">
        <v>503</v>
      </c>
      <c r="X475" s="313" t="s">
        <v>504</v>
      </c>
      <c r="Y475" s="313" t="s">
        <v>505</v>
      </c>
      <c r="Z475" s="313" t="s">
        <v>506</v>
      </c>
      <c r="AA475" s="313" t="s">
        <v>507</v>
      </c>
      <c r="AB475" s="313" t="s">
        <v>508</v>
      </c>
      <c r="AC475" s="313" t="s">
        <v>509</v>
      </c>
      <c r="AD475" s="313" t="s">
        <v>510</v>
      </c>
      <c r="AE475" s="313" t="s">
        <v>511</v>
      </c>
      <c r="AF475" s="313" t="s">
        <v>512</v>
      </c>
      <c r="AG475" s="313" t="s">
        <v>513</v>
      </c>
      <c r="AH475" s="313" t="s">
        <v>514</v>
      </c>
      <c r="AI475" s="313" t="s">
        <v>515</v>
      </c>
      <c r="AJ475" s="313" t="s">
        <v>516</v>
      </c>
      <c r="AK475" s="313" t="s">
        <v>517</v>
      </c>
      <c r="AL475" s="313" t="s">
        <v>518</v>
      </c>
      <c r="AM475" s="313" t="s">
        <v>520</v>
      </c>
      <c r="AN475" s="313" t="s">
        <v>521</v>
      </c>
      <c r="AO475" s="313" t="s">
        <v>522</v>
      </c>
      <c r="AP475" s="313" t="s">
        <v>402</v>
      </c>
      <c r="AQ475" s="313" t="s">
        <v>523</v>
      </c>
      <c r="AR475" s="313" t="s">
        <v>524</v>
      </c>
      <c r="AS475" s="313" t="s">
        <v>526</v>
      </c>
      <c r="AT475" s="313" t="s">
        <v>527</v>
      </c>
      <c r="AU475" s="313" t="s">
        <v>528</v>
      </c>
      <c r="AV475" s="313" t="s">
        <v>529</v>
      </c>
      <c r="AW475" s="313" t="s">
        <v>530</v>
      </c>
      <c r="AX475" s="313" t="s">
        <v>531</v>
      </c>
      <c r="AY475" s="313" t="s">
        <v>532</v>
      </c>
      <c r="AZ475" s="313" t="s">
        <v>403</v>
      </c>
      <c r="BA475" s="313" t="s">
        <v>404</v>
      </c>
      <c r="BB475" s="313" t="s">
        <v>405</v>
      </c>
      <c r="BC475" s="313" t="s">
        <v>406</v>
      </c>
      <c r="BD475" s="313" t="s">
        <v>407</v>
      </c>
      <c r="BE475" s="313" t="s">
        <v>408</v>
      </c>
      <c r="BF475" s="313" t="s">
        <v>409</v>
      </c>
      <c r="BG475" s="353"/>
    </row>
    <row r="476" spans="2:59">
      <c r="B476" s="358"/>
      <c r="C476" s="312" t="s">
        <v>472</v>
      </c>
      <c r="D476" s="312" t="s">
        <v>574</v>
      </c>
      <c r="E476" s="312" t="s">
        <v>473</v>
      </c>
      <c r="F476" s="326" t="s">
        <v>474</v>
      </c>
      <c r="G476" s="326" t="s">
        <v>474</v>
      </c>
      <c r="H476" s="326" t="s">
        <v>474</v>
      </c>
      <c r="I476" s="326" t="s">
        <v>474</v>
      </c>
      <c r="J476" s="326" t="s">
        <v>476</v>
      </c>
      <c r="K476" s="326" t="s">
        <v>474</v>
      </c>
      <c r="L476" s="326" t="s">
        <v>474</v>
      </c>
      <c r="M476" s="326" t="s">
        <v>575</v>
      </c>
      <c r="N476" s="326" t="s">
        <v>575</v>
      </c>
      <c r="O476" s="326" t="s">
        <v>473</v>
      </c>
      <c r="P476" s="326" t="s">
        <v>576</v>
      </c>
      <c r="Q476" s="326" t="s">
        <v>474</v>
      </c>
      <c r="R476" s="326" t="s">
        <v>481</v>
      </c>
      <c r="S476" s="326" t="s">
        <v>476</v>
      </c>
      <c r="T476" s="326" t="s">
        <v>481</v>
      </c>
      <c r="U476" s="326" t="s">
        <v>476</v>
      </c>
      <c r="V476" s="326" t="s">
        <v>476</v>
      </c>
      <c r="W476" s="326" t="s">
        <v>474</v>
      </c>
      <c r="X476" s="326" t="s">
        <v>577</v>
      </c>
      <c r="Y476" s="326" t="s">
        <v>577</v>
      </c>
      <c r="Z476" s="326" t="s">
        <v>478</v>
      </c>
      <c r="AA476" s="326" t="s">
        <v>576</v>
      </c>
      <c r="AB476" s="326" t="s">
        <v>576</v>
      </c>
      <c r="AC476" s="326" t="s">
        <v>476</v>
      </c>
      <c r="AD476" s="326" t="s">
        <v>480</v>
      </c>
      <c r="AE476" s="326" t="s">
        <v>481</v>
      </c>
      <c r="AF476" s="326" t="s">
        <v>481</v>
      </c>
      <c r="AG476" s="326" t="s">
        <v>578</v>
      </c>
      <c r="AH476" s="326" t="s">
        <v>578</v>
      </c>
      <c r="AI476" s="326" t="s">
        <v>481</v>
      </c>
      <c r="AJ476" s="326" t="s">
        <v>481</v>
      </c>
      <c r="AK476" s="326" t="s">
        <v>578</v>
      </c>
      <c r="AL476" s="326" t="s">
        <v>578</v>
      </c>
      <c r="AM476" s="326" t="s">
        <v>474</v>
      </c>
      <c r="AN476" s="326" t="s">
        <v>474</v>
      </c>
      <c r="AO476" s="326" t="s">
        <v>474</v>
      </c>
      <c r="AP476" s="326" t="s">
        <v>478</v>
      </c>
      <c r="AQ476" s="326" t="s">
        <v>473</v>
      </c>
      <c r="AR476" s="326" t="s">
        <v>474</v>
      </c>
      <c r="AS476" s="326" t="s">
        <v>476</v>
      </c>
      <c r="AT476" s="326" t="s">
        <v>474</v>
      </c>
      <c r="AU476" s="326" t="s">
        <v>579</v>
      </c>
      <c r="AV476" s="326" t="s">
        <v>481</v>
      </c>
      <c r="AW476" s="326" t="s">
        <v>478</v>
      </c>
      <c r="AX476" s="326" t="s">
        <v>474</v>
      </c>
      <c r="AY476" s="326" t="s">
        <v>474</v>
      </c>
      <c r="AZ476" s="326" t="s">
        <v>485</v>
      </c>
      <c r="BA476" s="326" t="s">
        <v>486</v>
      </c>
      <c r="BB476" s="326" t="s">
        <v>488</v>
      </c>
      <c r="BC476" s="326" t="s">
        <v>488</v>
      </c>
      <c r="BD476" s="326" t="s">
        <v>486</v>
      </c>
      <c r="BE476" s="326" t="s">
        <v>488</v>
      </c>
      <c r="BF476" s="326" t="s">
        <v>488</v>
      </c>
      <c r="BG476" s="353"/>
    </row>
    <row r="477" spans="2:59" ht="15">
      <c r="B477" s="315" t="s">
        <v>410</v>
      </c>
      <c r="C477" s="327" t="s">
        <v>437</v>
      </c>
      <c r="D477" s="337" t="s">
        <v>630</v>
      </c>
      <c r="E477" s="338" t="s">
        <v>182</v>
      </c>
      <c r="F477" s="328" t="s">
        <v>185</v>
      </c>
      <c r="G477" s="327" t="s">
        <v>411</v>
      </c>
      <c r="H477" s="327" t="s">
        <v>411</v>
      </c>
      <c r="I477" s="330">
        <v>0</v>
      </c>
      <c r="J477" s="331">
        <v>30</v>
      </c>
      <c r="K477" s="327" t="s">
        <v>439</v>
      </c>
      <c r="L477" s="327" t="s">
        <v>439</v>
      </c>
      <c r="M477" s="327" t="s">
        <v>156</v>
      </c>
      <c r="N477" s="327" t="s">
        <v>156</v>
      </c>
      <c r="O477" s="327" t="s">
        <v>584</v>
      </c>
      <c r="P477" s="327" t="s">
        <v>156</v>
      </c>
      <c r="Q477" s="329" t="s">
        <v>585</v>
      </c>
      <c r="R477" s="327" t="s">
        <v>183</v>
      </c>
      <c r="S477" s="327" t="s">
        <v>411</v>
      </c>
      <c r="T477" s="327" t="s">
        <v>581</v>
      </c>
      <c r="U477" s="327" t="s">
        <v>582</v>
      </c>
      <c r="V477" s="327" t="s">
        <v>586</v>
      </c>
      <c r="W477" s="327" t="s">
        <v>183</v>
      </c>
      <c r="X477" s="327" t="s">
        <v>411</v>
      </c>
      <c r="Y477" s="327" t="s">
        <v>411</v>
      </c>
      <c r="Z477" s="327"/>
      <c r="AA477" s="330"/>
      <c r="AB477" s="330" t="s">
        <v>587</v>
      </c>
      <c r="AC477" s="333">
        <v>5000</v>
      </c>
      <c r="AD477" s="330">
        <v>99999999</v>
      </c>
      <c r="AE477" s="327" t="s">
        <v>411</v>
      </c>
      <c r="AF477" s="327" t="s">
        <v>439</v>
      </c>
      <c r="AG477" s="327" t="s">
        <v>411</v>
      </c>
      <c r="AH477" s="327" t="s">
        <v>411</v>
      </c>
      <c r="AI477" s="330">
        <v>0</v>
      </c>
      <c r="AJ477" s="330">
        <v>0</v>
      </c>
      <c r="AK477" s="330">
        <v>0</v>
      </c>
      <c r="AL477" s="330">
        <v>0</v>
      </c>
      <c r="AM477" s="327" t="s">
        <v>183</v>
      </c>
      <c r="AN477" s="330">
        <v>0</v>
      </c>
      <c r="AO477" s="327" t="s">
        <v>411</v>
      </c>
      <c r="AP477" s="330">
        <v>1</v>
      </c>
      <c r="AQ477" s="331">
        <v>1111</v>
      </c>
      <c r="AR477" s="331" t="s">
        <v>583</v>
      </c>
      <c r="AS477" s="331">
        <v>10</v>
      </c>
      <c r="AT477" s="331">
        <v>1</v>
      </c>
      <c r="AU477" s="331">
        <v>0</v>
      </c>
      <c r="AV477" s="331">
        <v>0</v>
      </c>
      <c r="AW477" s="331">
        <v>0</v>
      </c>
      <c r="AX477" s="331">
        <v>0</v>
      </c>
      <c r="AY477" s="331">
        <v>1</v>
      </c>
      <c r="AZ477" s="331">
        <v>0</v>
      </c>
      <c r="BA477" s="332">
        <v>40640.750486111108</v>
      </c>
      <c r="BB477" s="331">
        <v>470195</v>
      </c>
      <c r="BC477" s="331">
        <v>470195</v>
      </c>
      <c r="BD477" s="332">
        <v>45392.67769675926</v>
      </c>
      <c r="BE477" s="331">
        <v>363363</v>
      </c>
      <c r="BF477" s="331">
        <v>363363</v>
      </c>
      <c r="BG477" s="353"/>
    </row>
    <row r="478" spans="2:59" ht="15">
      <c r="B478" s="315" t="s">
        <v>410</v>
      </c>
      <c r="C478" s="327" t="s">
        <v>437</v>
      </c>
      <c r="D478" s="337" t="s">
        <v>629</v>
      </c>
      <c r="E478" s="338" t="s">
        <v>182</v>
      </c>
      <c r="F478" s="334" t="s">
        <v>454</v>
      </c>
      <c r="G478" s="327" t="s">
        <v>411</v>
      </c>
      <c r="H478" s="327" t="s">
        <v>411</v>
      </c>
      <c r="I478" s="330">
        <v>1</v>
      </c>
      <c r="J478" s="331">
        <v>0</v>
      </c>
      <c r="K478" s="327" t="s">
        <v>183</v>
      </c>
      <c r="L478" s="327"/>
      <c r="M478" s="327" t="s">
        <v>156</v>
      </c>
      <c r="N478" s="327" t="s">
        <v>156</v>
      </c>
      <c r="O478" s="327" t="s">
        <v>156</v>
      </c>
      <c r="P478" s="327" t="s">
        <v>156</v>
      </c>
      <c r="Q478" s="329" t="s">
        <v>580</v>
      </c>
      <c r="R478" s="327" t="s">
        <v>411</v>
      </c>
      <c r="S478" s="327" t="s">
        <v>411</v>
      </c>
      <c r="T478" s="327" t="s">
        <v>581</v>
      </c>
      <c r="U478" s="327" t="s">
        <v>582</v>
      </c>
      <c r="V478" s="327" t="s">
        <v>183</v>
      </c>
      <c r="W478" s="327" t="s">
        <v>183</v>
      </c>
      <c r="X478" s="327" t="s">
        <v>411</v>
      </c>
      <c r="Y478" s="327" t="s">
        <v>411</v>
      </c>
      <c r="Z478" s="327" t="s">
        <v>156</v>
      </c>
      <c r="AA478" s="330" t="s">
        <v>156</v>
      </c>
      <c r="AB478" s="330" t="s">
        <v>156</v>
      </c>
      <c r="AC478" s="330">
        <v>1</v>
      </c>
      <c r="AD478" s="330">
        <v>99999999</v>
      </c>
      <c r="AE478" s="327" t="s">
        <v>411</v>
      </c>
      <c r="AF478" s="327" t="s">
        <v>411</v>
      </c>
      <c r="AG478" s="327" t="s">
        <v>411</v>
      </c>
      <c r="AH478" s="327" t="s">
        <v>411</v>
      </c>
      <c r="AI478" s="330">
        <v>0</v>
      </c>
      <c r="AJ478" s="330">
        <v>0</v>
      </c>
      <c r="AK478" s="330">
        <v>0</v>
      </c>
      <c r="AL478" s="330">
        <v>0</v>
      </c>
      <c r="AM478" s="327" t="s">
        <v>183</v>
      </c>
      <c r="AN478" s="330">
        <v>0</v>
      </c>
      <c r="AO478" s="327" t="s">
        <v>411</v>
      </c>
      <c r="AP478" s="330">
        <v>1</v>
      </c>
      <c r="AQ478" s="331" t="s">
        <v>156</v>
      </c>
      <c r="AR478" s="331" t="s">
        <v>583</v>
      </c>
      <c r="AS478" s="331">
        <v>0</v>
      </c>
      <c r="AT478" s="331">
        <v>1</v>
      </c>
      <c r="AU478" s="331">
        <v>0</v>
      </c>
      <c r="AV478" s="331">
        <v>0</v>
      </c>
      <c r="AW478" s="331">
        <v>0</v>
      </c>
      <c r="AX478" s="331">
        <v>0</v>
      </c>
      <c r="AY478" s="331">
        <v>1</v>
      </c>
      <c r="AZ478" s="331">
        <v>0</v>
      </c>
      <c r="BA478" s="332">
        <v>29705</v>
      </c>
      <c r="BB478" s="331" t="s">
        <v>445</v>
      </c>
      <c r="BC478" s="331" t="s">
        <v>445</v>
      </c>
      <c r="BD478" s="332">
        <v>36413</v>
      </c>
      <c r="BE478" s="331" t="s">
        <v>445</v>
      </c>
      <c r="BF478" s="331" t="s">
        <v>445</v>
      </c>
      <c r="BG478" s="353"/>
    </row>
    <row r="479" spans="2:59" ht="14">
      <c r="B479" s="317" t="s">
        <v>412</v>
      </c>
      <c r="C479" s="327" t="s">
        <v>437</v>
      </c>
      <c r="D479" s="316" t="s">
        <v>610</v>
      </c>
      <c r="E479" s="338" t="s">
        <v>182</v>
      </c>
      <c r="F479" s="327" t="s">
        <v>186</v>
      </c>
      <c r="G479" s="327" t="s">
        <v>411</v>
      </c>
      <c r="H479" s="327" t="s">
        <v>411</v>
      </c>
      <c r="I479" s="327">
        <v>0</v>
      </c>
      <c r="J479" s="327">
        <v>30</v>
      </c>
      <c r="K479" s="327" t="s">
        <v>439</v>
      </c>
      <c r="L479" s="327" t="s">
        <v>439</v>
      </c>
      <c r="M479" s="327" t="s">
        <v>156</v>
      </c>
      <c r="N479" s="327" t="s">
        <v>156</v>
      </c>
      <c r="O479" s="327" t="s">
        <v>584</v>
      </c>
      <c r="P479" s="327" t="s">
        <v>156</v>
      </c>
      <c r="Q479" s="327" t="s">
        <v>585</v>
      </c>
      <c r="R479" s="327" t="s">
        <v>183</v>
      </c>
      <c r="S479" s="327" t="s">
        <v>411</v>
      </c>
      <c r="T479" s="327" t="s">
        <v>581</v>
      </c>
      <c r="U479" s="327" t="s">
        <v>582</v>
      </c>
      <c r="V479" s="327" t="s">
        <v>586</v>
      </c>
      <c r="W479" s="327" t="s">
        <v>183</v>
      </c>
      <c r="X479" s="327" t="s">
        <v>411</v>
      </c>
      <c r="Y479" s="327" t="s">
        <v>411</v>
      </c>
      <c r="Z479" s="327"/>
      <c r="AA479" s="327"/>
      <c r="AB479" s="327" t="s">
        <v>587</v>
      </c>
      <c r="AC479" s="327">
        <v>5000</v>
      </c>
      <c r="AD479" s="327">
        <v>99999999</v>
      </c>
      <c r="AE479" s="327" t="s">
        <v>411</v>
      </c>
      <c r="AF479" s="327" t="s">
        <v>439</v>
      </c>
      <c r="AG479" s="327" t="s">
        <v>411</v>
      </c>
      <c r="AH479" s="327" t="s">
        <v>411</v>
      </c>
      <c r="AI479" s="327">
        <v>0</v>
      </c>
      <c r="AJ479" s="327">
        <v>0</v>
      </c>
      <c r="AK479" s="327">
        <v>0</v>
      </c>
      <c r="AL479" s="327">
        <v>0</v>
      </c>
      <c r="AM479" s="327" t="s">
        <v>183</v>
      </c>
      <c r="AN479" s="327">
        <v>0</v>
      </c>
      <c r="AO479" s="327" t="s">
        <v>411</v>
      </c>
      <c r="AP479" s="327">
        <v>1</v>
      </c>
      <c r="AQ479" s="327">
        <v>1111</v>
      </c>
      <c r="AR479" s="327" t="s">
        <v>583</v>
      </c>
      <c r="AS479" s="327">
        <v>10</v>
      </c>
      <c r="AT479" s="327">
        <v>1</v>
      </c>
      <c r="AU479" s="327">
        <v>0</v>
      </c>
      <c r="AV479" s="327">
        <v>0</v>
      </c>
      <c r="AW479" s="327">
        <v>0</v>
      </c>
      <c r="AX479" s="327">
        <v>0</v>
      </c>
      <c r="AY479" s="327">
        <v>1</v>
      </c>
      <c r="AZ479" s="327">
        <v>0</v>
      </c>
      <c r="BA479" s="327">
        <v>40640.750486111108</v>
      </c>
      <c r="BB479" s="327">
        <v>470195</v>
      </c>
      <c r="BC479" s="327">
        <v>470195</v>
      </c>
      <c r="BD479" s="327">
        <v>45392.67769675926</v>
      </c>
      <c r="BE479" s="327">
        <v>363363</v>
      </c>
      <c r="BF479" s="327">
        <v>363363</v>
      </c>
      <c r="BG479" s="353"/>
    </row>
    <row r="480" spans="2:59" ht="14">
      <c r="B480" s="315" t="s">
        <v>410</v>
      </c>
      <c r="C480" s="327" t="s">
        <v>437</v>
      </c>
      <c r="D480" s="337" t="s">
        <v>182</v>
      </c>
      <c r="E480" s="338" t="s">
        <v>182</v>
      </c>
      <c r="F480" s="327" t="s">
        <v>185</v>
      </c>
      <c r="G480" s="327" t="s">
        <v>411</v>
      </c>
      <c r="H480" s="327" t="s">
        <v>411</v>
      </c>
      <c r="I480" s="327">
        <v>0</v>
      </c>
      <c r="J480" s="327">
        <v>30</v>
      </c>
      <c r="K480" s="327" t="s">
        <v>611</v>
      </c>
      <c r="L480" s="327"/>
      <c r="M480" s="327" t="s">
        <v>156</v>
      </c>
      <c r="N480" s="327" t="s">
        <v>156</v>
      </c>
      <c r="O480" s="327" t="s">
        <v>584</v>
      </c>
      <c r="P480" s="327" t="s">
        <v>156</v>
      </c>
      <c r="Q480" s="327" t="s">
        <v>585</v>
      </c>
      <c r="R480" s="327" t="s">
        <v>183</v>
      </c>
      <c r="S480" s="327" t="s">
        <v>411</v>
      </c>
      <c r="T480" s="327" t="s">
        <v>581</v>
      </c>
      <c r="U480" s="327" t="s">
        <v>582</v>
      </c>
      <c r="V480" s="327" t="s">
        <v>586</v>
      </c>
      <c r="W480" s="327" t="s">
        <v>183</v>
      </c>
      <c r="X480" s="327" t="s">
        <v>411</v>
      </c>
      <c r="Y480" s="327" t="s">
        <v>411</v>
      </c>
      <c r="Z480" s="327"/>
      <c r="AA480" s="327"/>
      <c r="AB480" s="327" t="s">
        <v>587</v>
      </c>
      <c r="AC480" s="327">
        <v>5000</v>
      </c>
      <c r="AD480" s="327">
        <v>99999999</v>
      </c>
      <c r="AE480" s="327" t="s">
        <v>411</v>
      </c>
      <c r="AF480" s="327" t="s">
        <v>439</v>
      </c>
      <c r="AG480" s="327" t="s">
        <v>411</v>
      </c>
      <c r="AH480" s="327" t="s">
        <v>411</v>
      </c>
      <c r="AI480" s="327">
        <v>0</v>
      </c>
      <c r="AJ480" s="327">
        <v>0</v>
      </c>
      <c r="AK480" s="327">
        <v>0</v>
      </c>
      <c r="AL480" s="327">
        <v>0</v>
      </c>
      <c r="AM480" s="327" t="s">
        <v>183</v>
      </c>
      <c r="AN480" s="327">
        <v>0</v>
      </c>
      <c r="AO480" s="327" t="s">
        <v>411</v>
      </c>
      <c r="AP480" s="327">
        <v>1</v>
      </c>
      <c r="AQ480" s="327">
        <v>1111</v>
      </c>
      <c r="AR480" s="327" t="s">
        <v>583</v>
      </c>
      <c r="AS480" s="327">
        <v>10</v>
      </c>
      <c r="AT480" s="327">
        <v>1</v>
      </c>
      <c r="AU480" s="327">
        <v>0</v>
      </c>
      <c r="AV480" s="327">
        <v>0</v>
      </c>
      <c r="AW480" s="327">
        <v>0</v>
      </c>
      <c r="AX480" s="327">
        <v>0</v>
      </c>
      <c r="AY480" s="327">
        <v>1</v>
      </c>
      <c r="AZ480" s="327">
        <v>0</v>
      </c>
      <c r="BA480" s="327">
        <v>40640.750486111108</v>
      </c>
      <c r="BB480" s="327">
        <v>470195</v>
      </c>
      <c r="BC480" s="327">
        <v>470195</v>
      </c>
      <c r="BD480" s="327">
        <v>45392.67769675926</v>
      </c>
      <c r="BE480" s="327">
        <v>363363</v>
      </c>
      <c r="BF480" s="327">
        <v>363363</v>
      </c>
      <c r="BG480" s="353"/>
    </row>
    <row r="481" spans="1:59">
      <c r="B481" s="358"/>
      <c r="BG481" s="353"/>
    </row>
    <row r="482" spans="1:59" ht="14">
      <c r="B482" s="358"/>
      <c r="C482" s="359" t="s">
        <v>153</v>
      </c>
      <c r="BG482" s="353"/>
    </row>
    <row r="483" spans="1:59" ht="14">
      <c r="B483" s="358"/>
      <c r="C483" s="359" t="s">
        <v>590</v>
      </c>
      <c r="D483" s="359" t="s">
        <v>591</v>
      </c>
      <c r="E483" s="359" t="s">
        <v>159</v>
      </c>
      <c r="F483" s="359" t="s">
        <v>592</v>
      </c>
      <c r="G483" s="359" t="s">
        <v>593</v>
      </c>
      <c r="H483" s="359" t="s">
        <v>594</v>
      </c>
      <c r="I483" s="359" t="s">
        <v>595</v>
      </c>
      <c r="J483" s="359" t="s">
        <v>596</v>
      </c>
      <c r="K483" s="359" t="s">
        <v>597</v>
      </c>
      <c r="L483" s="359" t="s">
        <v>598</v>
      </c>
      <c r="M483" s="359" t="s">
        <v>599</v>
      </c>
      <c r="BG483" s="353"/>
    </row>
    <row r="484" spans="1:59" ht="14">
      <c r="B484" s="358"/>
      <c r="C484" s="359">
        <v>-2</v>
      </c>
      <c r="D484" s="359" t="s">
        <v>156</v>
      </c>
      <c r="E484" s="359" t="s">
        <v>763</v>
      </c>
      <c r="F484" s="359" t="s">
        <v>754</v>
      </c>
      <c r="G484" s="359" t="s">
        <v>623</v>
      </c>
      <c r="H484" s="359" t="s">
        <v>156</v>
      </c>
      <c r="I484" s="359" t="s">
        <v>156</v>
      </c>
      <c r="J484" s="359" t="s">
        <v>156</v>
      </c>
      <c r="K484" s="359" t="s">
        <v>156</v>
      </c>
      <c r="L484" s="359">
        <v>0</v>
      </c>
      <c r="M484" s="359" t="s">
        <v>156</v>
      </c>
      <c r="BG484" s="353"/>
    </row>
    <row r="485" spans="1:59" ht="13.5" thickBot="1">
      <c r="B485" s="358"/>
      <c r="BG485" s="353"/>
    </row>
    <row r="486" spans="1:59" ht="14" thickBot="1">
      <c r="B486" s="299" t="s">
        <v>708</v>
      </c>
      <c r="C486" s="300" t="s">
        <v>607</v>
      </c>
      <c r="D486" s="300"/>
      <c r="E486" s="300"/>
      <c r="F486" s="300"/>
      <c r="G486" s="300"/>
      <c r="H486" s="300"/>
      <c r="I486" s="300"/>
      <c r="J486" s="300"/>
      <c r="K486" s="300"/>
      <c r="L486" s="300"/>
      <c r="M486" s="300"/>
      <c r="N486" s="300"/>
      <c r="O486" s="300"/>
      <c r="P486" s="300"/>
      <c r="Q486" s="300"/>
      <c r="R486" s="300"/>
      <c r="S486" s="300"/>
      <c r="T486" s="300"/>
      <c r="U486" s="300"/>
      <c r="V486" s="300"/>
      <c r="W486" s="300"/>
      <c r="X486" s="300"/>
      <c r="Y486" s="300"/>
      <c r="Z486" s="300"/>
      <c r="AA486" s="300"/>
      <c r="AB486" s="300"/>
      <c r="AC486" s="300"/>
      <c r="AD486" s="300"/>
      <c r="AE486" s="300"/>
      <c r="AF486" s="300"/>
      <c r="AG486" s="300"/>
      <c r="AH486" s="300"/>
      <c r="AI486" s="300"/>
      <c r="AJ486" s="300"/>
      <c r="AK486" s="300"/>
      <c r="AL486" s="300"/>
      <c r="AM486" s="300"/>
      <c r="AN486" s="300"/>
      <c r="AO486" s="300"/>
      <c r="AP486" s="300"/>
      <c r="AQ486" s="300"/>
      <c r="AR486" s="300"/>
      <c r="AS486" s="300"/>
      <c r="AT486" s="300"/>
      <c r="AU486" s="300"/>
      <c r="AV486" s="300"/>
      <c r="AW486" s="300"/>
      <c r="AX486" s="300"/>
      <c r="AY486" s="300"/>
      <c r="AZ486" s="300"/>
      <c r="BA486" s="300"/>
      <c r="BB486" s="300"/>
      <c r="BC486" s="300"/>
      <c r="BD486" s="300"/>
      <c r="BE486" s="300"/>
      <c r="BF486" s="300"/>
      <c r="BG486" s="353"/>
    </row>
    <row r="487" spans="1:59" ht="14" thickBot="1">
      <c r="B487" s="335" t="s">
        <v>805</v>
      </c>
      <c r="C487" s="300" t="s">
        <v>615</v>
      </c>
      <c r="D487" s="300"/>
      <c r="E487" s="300"/>
      <c r="F487" s="300"/>
      <c r="G487" s="300"/>
      <c r="H487" s="300"/>
      <c r="I487" s="300"/>
      <c r="J487" s="300"/>
      <c r="K487" s="300"/>
      <c r="L487" s="300"/>
      <c r="M487" s="300"/>
      <c r="N487" s="300"/>
      <c r="O487" s="300"/>
      <c r="P487" s="300"/>
      <c r="Q487" s="300"/>
      <c r="R487" s="300"/>
      <c r="S487" s="300"/>
      <c r="T487" s="300"/>
      <c r="U487" s="300"/>
      <c r="V487" s="300"/>
      <c r="W487" s="300"/>
      <c r="X487" s="300"/>
      <c r="Y487" s="300"/>
      <c r="Z487" s="300"/>
      <c r="AA487" s="300"/>
      <c r="AB487" s="300"/>
      <c r="AC487" s="300"/>
      <c r="AD487" s="300"/>
      <c r="AE487" s="300"/>
      <c r="AF487" s="300"/>
      <c r="AG487" s="300"/>
      <c r="AH487" s="300"/>
      <c r="AI487" s="300"/>
      <c r="AJ487" s="300"/>
      <c r="AK487" s="300"/>
      <c r="AL487" s="300"/>
      <c r="AM487" s="300"/>
      <c r="AN487" s="300"/>
      <c r="AO487" s="300"/>
      <c r="AP487" s="300"/>
      <c r="AQ487" s="300"/>
      <c r="AR487" s="300"/>
      <c r="AS487" s="300"/>
      <c r="AT487" s="300"/>
      <c r="AU487" s="300"/>
      <c r="AV487" s="300"/>
      <c r="AW487" s="300"/>
      <c r="AX487" s="300"/>
      <c r="AY487" s="300"/>
      <c r="AZ487" s="300"/>
      <c r="BA487" s="300"/>
      <c r="BB487" s="300"/>
      <c r="BC487" s="300"/>
      <c r="BD487" s="300"/>
      <c r="BE487" s="300"/>
      <c r="BF487" s="300"/>
      <c r="BG487" s="353"/>
    </row>
    <row r="488" spans="1:59">
      <c r="B488" s="358"/>
      <c r="BG488" s="353"/>
    </row>
    <row r="489" spans="1:59" ht="13.5">
      <c r="B489" s="358"/>
      <c r="C489" s="356" t="s">
        <v>396</v>
      </c>
      <c r="BG489" s="353"/>
    </row>
    <row r="490" spans="1:59" ht="13.5">
      <c r="B490" s="358"/>
      <c r="C490" s="356" t="s">
        <v>706</v>
      </c>
      <c r="BG490" s="353"/>
    </row>
    <row r="491" spans="1:59">
      <c r="B491" s="358"/>
      <c r="BG491" s="353"/>
    </row>
    <row r="492" spans="1:59" s="27" customFormat="1" ht="19.5" customHeight="1">
      <c r="B492" s="362"/>
      <c r="C492" s="320" t="s">
        <v>436</v>
      </c>
      <c r="D492" s="321"/>
      <c r="E492" s="321"/>
      <c r="F492" s="291"/>
      <c r="G492" s="291"/>
      <c r="H492" s="291"/>
      <c r="I492" s="291"/>
      <c r="J492" s="291"/>
      <c r="K492" s="291"/>
      <c r="L492" s="291"/>
      <c r="M492" s="291"/>
      <c r="N492" s="291"/>
      <c r="O492" s="291"/>
      <c r="P492" s="291"/>
      <c r="Q492" s="291"/>
      <c r="R492" s="291"/>
      <c r="S492" s="291"/>
      <c r="T492" s="291"/>
      <c r="U492" s="291"/>
      <c r="V492" s="291"/>
      <c r="W492" s="291"/>
      <c r="X492" s="292"/>
      <c r="Y492" s="68"/>
      <c r="Z492" s="68"/>
      <c r="AA492" s="68"/>
      <c r="AB492" s="68"/>
      <c r="AC492" s="68"/>
      <c r="AD492" s="306"/>
      <c r="AH492" s="303"/>
      <c r="AJ492" s="69"/>
      <c r="AK492" s="69"/>
      <c r="AL492" s="69"/>
      <c r="AM492" s="69"/>
      <c r="AN492" s="70"/>
      <c r="AO492" s="70"/>
      <c r="AP492" s="70"/>
      <c r="BG492" s="122"/>
    </row>
    <row r="493" spans="1:59" s="72" customFormat="1" ht="16.5" customHeight="1">
      <c r="A493" s="293"/>
      <c r="B493" s="363"/>
      <c r="C493" s="322"/>
      <c r="D493" s="322"/>
      <c r="E493" s="322"/>
      <c r="F493" s="319" t="s">
        <v>169</v>
      </c>
      <c r="G493" s="319" t="s">
        <v>169</v>
      </c>
      <c r="H493" s="319" t="s">
        <v>169</v>
      </c>
      <c r="I493" s="319"/>
      <c r="J493" s="319"/>
      <c r="K493" s="319"/>
      <c r="L493" s="319"/>
      <c r="M493" s="319"/>
      <c r="N493" s="319"/>
      <c r="O493" s="319"/>
      <c r="P493" s="319"/>
      <c r="Q493" s="319"/>
      <c r="R493" s="319"/>
      <c r="S493" s="319"/>
      <c r="T493" s="319"/>
      <c r="U493" s="319"/>
      <c r="V493" s="319"/>
      <c r="W493" s="319"/>
      <c r="X493" s="319"/>
      <c r="Y493" s="319"/>
      <c r="Z493" s="319"/>
      <c r="AA493" s="319"/>
      <c r="AB493" s="319"/>
      <c r="AC493" s="319"/>
      <c r="AD493" s="319"/>
      <c r="AH493" s="304"/>
      <c r="AI493" s="71"/>
      <c r="AJ493" s="71"/>
      <c r="AK493" s="71"/>
      <c r="AL493" s="71"/>
      <c r="AM493" s="71"/>
      <c r="BG493" s="364"/>
    </row>
    <row r="494" spans="1:59" s="78" customFormat="1" ht="92" customHeight="1">
      <c r="A494" s="73"/>
      <c r="B494" s="365"/>
      <c r="C494" s="312" t="s">
        <v>172</v>
      </c>
      <c r="D494" s="312" t="s">
        <v>173</v>
      </c>
      <c r="E494" s="312" t="s">
        <v>174</v>
      </c>
      <c r="F494" s="314" t="s">
        <v>91</v>
      </c>
      <c r="G494" s="314" t="s">
        <v>67</v>
      </c>
      <c r="H494" s="314" t="s">
        <v>69</v>
      </c>
      <c r="I494" s="314" t="s">
        <v>457</v>
      </c>
      <c r="J494" s="314" t="s">
        <v>458</v>
      </c>
      <c r="K494" s="314" t="s">
        <v>459</v>
      </c>
      <c r="L494" s="314" t="s">
        <v>460</v>
      </c>
      <c r="M494" s="314" t="s">
        <v>461</v>
      </c>
      <c r="N494" s="314" t="s">
        <v>462</v>
      </c>
      <c r="O494" s="314" t="s">
        <v>463</v>
      </c>
      <c r="P494" s="314" t="s">
        <v>464</v>
      </c>
      <c r="Q494" s="314" t="s">
        <v>465</v>
      </c>
      <c r="R494" s="314" t="s">
        <v>466</v>
      </c>
      <c r="S494" s="314" t="s">
        <v>467</v>
      </c>
      <c r="T494" s="314" t="s">
        <v>468</v>
      </c>
      <c r="U494" s="314" t="s">
        <v>469</v>
      </c>
      <c r="V494" s="314" t="s">
        <v>470</v>
      </c>
      <c r="W494" s="314" t="s">
        <v>471</v>
      </c>
      <c r="X494" s="314" t="s">
        <v>397</v>
      </c>
      <c r="Y494" s="314" t="s">
        <v>398</v>
      </c>
      <c r="Z494" s="314" t="s">
        <v>399</v>
      </c>
      <c r="AA494" s="314" t="s">
        <v>400</v>
      </c>
      <c r="AB494" s="314" t="s">
        <v>151</v>
      </c>
      <c r="AC494" s="314" t="s">
        <v>152</v>
      </c>
      <c r="AD494" s="314" t="s">
        <v>401</v>
      </c>
      <c r="AH494" s="305"/>
      <c r="AI494" s="69"/>
      <c r="AJ494" s="76"/>
      <c r="AK494" s="76"/>
      <c r="AL494" s="76"/>
      <c r="AM494" s="76"/>
      <c r="AN494" s="77"/>
      <c r="AO494" s="77"/>
      <c r="AP494" s="77"/>
      <c r="BG494" s="366"/>
    </row>
    <row r="495" spans="1:59" s="78" customFormat="1" ht="15">
      <c r="A495" s="73"/>
      <c r="B495" s="365"/>
      <c r="C495" s="312" t="s">
        <v>371</v>
      </c>
      <c r="D495" s="312" t="s">
        <v>381</v>
      </c>
      <c r="E495" s="312" t="s">
        <v>390</v>
      </c>
      <c r="F495" s="313" t="s">
        <v>418</v>
      </c>
      <c r="G495" s="313" t="s">
        <v>419</v>
      </c>
      <c r="H495" s="313" t="s">
        <v>421</v>
      </c>
      <c r="I495" s="313" t="s">
        <v>420</v>
      </c>
      <c r="J495" s="313" t="s">
        <v>422</v>
      </c>
      <c r="K495" s="313" t="s">
        <v>423</v>
      </c>
      <c r="L495" s="313" t="s">
        <v>424</v>
      </c>
      <c r="M495" s="313" t="s">
        <v>425</v>
      </c>
      <c r="N495" s="313" t="s">
        <v>426</v>
      </c>
      <c r="O495" s="313" t="s">
        <v>427</v>
      </c>
      <c r="P495" s="313" t="s">
        <v>428</v>
      </c>
      <c r="Q495" s="313" t="s">
        <v>429</v>
      </c>
      <c r="R495" s="313" t="s">
        <v>430</v>
      </c>
      <c r="S495" s="313" t="s">
        <v>431</v>
      </c>
      <c r="T495" s="313" t="s">
        <v>432</v>
      </c>
      <c r="U495" s="313" t="s">
        <v>433</v>
      </c>
      <c r="V495" s="313" t="s">
        <v>434</v>
      </c>
      <c r="W495" s="313" t="s">
        <v>435</v>
      </c>
      <c r="X495" s="313" t="s">
        <v>403</v>
      </c>
      <c r="Y495" s="313" t="s">
        <v>404</v>
      </c>
      <c r="Z495" s="313" t="s">
        <v>405</v>
      </c>
      <c r="AA495" s="313" t="s">
        <v>406</v>
      </c>
      <c r="AB495" s="313" t="s">
        <v>407</v>
      </c>
      <c r="AC495" s="313" t="s">
        <v>408</v>
      </c>
      <c r="AD495" s="313" t="s">
        <v>409</v>
      </c>
      <c r="AH495" s="305"/>
      <c r="AI495" s="69"/>
      <c r="AJ495" s="76"/>
      <c r="AK495" s="76"/>
      <c r="AL495" s="76"/>
      <c r="AM495" s="76"/>
      <c r="AN495" s="77"/>
      <c r="AO495" s="77"/>
      <c r="AP495" s="77"/>
      <c r="BG495" s="366"/>
    </row>
    <row r="496" spans="1:59" s="70" customFormat="1" ht="13.5" customHeight="1">
      <c r="A496" s="79"/>
      <c r="B496" s="367"/>
      <c r="C496" s="312" t="s">
        <v>472</v>
      </c>
      <c r="D496" s="312" t="s">
        <v>473</v>
      </c>
      <c r="E496" s="312" t="s">
        <v>473</v>
      </c>
      <c r="F496" s="314" t="s">
        <v>474</v>
      </c>
      <c r="G496" s="314" t="s">
        <v>474</v>
      </c>
      <c r="H496" s="314" t="s">
        <v>475</v>
      </c>
      <c r="I496" s="314" t="s">
        <v>474</v>
      </c>
      <c r="J496" s="314" t="s">
        <v>476</v>
      </c>
      <c r="K496" s="314" t="s">
        <v>477</v>
      </c>
      <c r="L496" s="313" t="s">
        <v>478</v>
      </c>
      <c r="M496" s="314" t="s">
        <v>478</v>
      </c>
      <c r="N496" s="314" t="s">
        <v>479</v>
      </c>
      <c r="O496" s="314" t="s">
        <v>474</v>
      </c>
      <c r="P496" s="314" t="s">
        <v>480</v>
      </c>
      <c r="Q496" s="314" t="s">
        <v>481</v>
      </c>
      <c r="R496" s="314" t="s">
        <v>480</v>
      </c>
      <c r="S496" s="314" t="s">
        <v>482</v>
      </c>
      <c r="T496" s="313" t="s">
        <v>483</v>
      </c>
      <c r="U496" s="314" t="s">
        <v>483</v>
      </c>
      <c r="V496" s="314" t="s">
        <v>484</v>
      </c>
      <c r="W496" s="314" t="s">
        <v>474</v>
      </c>
      <c r="X496" s="314" t="s">
        <v>485</v>
      </c>
      <c r="Y496" s="314" t="s">
        <v>487</v>
      </c>
      <c r="Z496" s="314" t="s">
        <v>488</v>
      </c>
      <c r="AA496" s="314" t="s">
        <v>488</v>
      </c>
      <c r="AB496" s="313" t="s">
        <v>486</v>
      </c>
      <c r="AC496" s="314" t="s">
        <v>488</v>
      </c>
      <c r="AD496" s="314" t="s">
        <v>488</v>
      </c>
      <c r="AH496" s="303"/>
      <c r="AI496" s="69"/>
      <c r="AJ496" s="69"/>
      <c r="AK496" s="69"/>
      <c r="AL496" s="69"/>
      <c r="AM496" s="69"/>
      <c r="BG496" s="368"/>
    </row>
    <row r="497" spans="1:59" s="27" customFormat="1" ht="13.5" customHeight="1">
      <c r="A497" s="82"/>
      <c r="B497" s="315" t="s">
        <v>410</v>
      </c>
      <c r="C497" s="316" t="s">
        <v>437</v>
      </c>
      <c r="D497" s="337" t="s">
        <v>630</v>
      </c>
      <c r="E497" s="314" t="s">
        <v>182</v>
      </c>
      <c r="F497" s="314" t="s">
        <v>183</v>
      </c>
      <c r="G497" s="327" t="s">
        <v>439</v>
      </c>
      <c r="H497" s="314" t="s">
        <v>184</v>
      </c>
      <c r="I497" s="327" t="s">
        <v>439</v>
      </c>
      <c r="J497" s="314" t="s">
        <v>184</v>
      </c>
      <c r="K497" s="314" t="s">
        <v>411</v>
      </c>
      <c r="L497" s="313" t="s">
        <v>448</v>
      </c>
      <c r="M497" s="314" t="s">
        <v>441</v>
      </c>
      <c r="N497" s="314"/>
      <c r="O497" s="314" t="s">
        <v>411</v>
      </c>
      <c r="P497" s="314" t="s">
        <v>156</v>
      </c>
      <c r="Q497" s="314" t="s">
        <v>184</v>
      </c>
      <c r="R497" s="314" t="s">
        <v>449</v>
      </c>
      <c r="S497" s="314"/>
      <c r="T497" s="313" t="s">
        <v>156</v>
      </c>
      <c r="U497" s="314" t="s">
        <v>156</v>
      </c>
      <c r="V497" s="314" t="s">
        <v>156</v>
      </c>
      <c r="W497" s="314"/>
      <c r="X497" s="314" t="s">
        <v>411</v>
      </c>
      <c r="Y497" s="314" t="s">
        <v>450</v>
      </c>
      <c r="Z497" s="314" t="s">
        <v>451</v>
      </c>
      <c r="AA497" s="314">
        <v>470195</v>
      </c>
      <c r="AB497" s="313" t="s">
        <v>450</v>
      </c>
      <c r="AC497" s="314">
        <v>470195</v>
      </c>
      <c r="AD497" s="314" t="s">
        <v>451</v>
      </c>
      <c r="AH497" s="303"/>
      <c r="AI497" s="69"/>
      <c r="AJ497" s="69"/>
      <c r="AK497" s="85"/>
      <c r="AL497" s="69"/>
      <c r="AM497" s="69"/>
      <c r="AN497" s="70"/>
      <c r="AO497" s="70"/>
      <c r="AP497" s="70"/>
      <c r="BG497" s="122"/>
    </row>
    <row r="498" spans="1:59" s="27" customFormat="1" ht="13.5" customHeight="1">
      <c r="A498" s="86"/>
      <c r="B498" s="317" t="s">
        <v>412</v>
      </c>
      <c r="C498" s="327" t="s">
        <v>437</v>
      </c>
      <c r="D498" s="327" t="s">
        <v>702</v>
      </c>
      <c r="E498" s="327" t="s">
        <v>453</v>
      </c>
      <c r="F498" s="413" t="s">
        <v>454</v>
      </c>
      <c r="G498" s="327" t="s">
        <v>703</v>
      </c>
      <c r="H498" s="327" t="s">
        <v>184</v>
      </c>
      <c r="I498" s="327"/>
      <c r="J498" s="327" t="s">
        <v>665</v>
      </c>
      <c r="K498" s="327" t="s">
        <v>666</v>
      </c>
      <c r="L498" s="327" t="s">
        <v>156</v>
      </c>
      <c r="M498" s="327" t="s">
        <v>441</v>
      </c>
      <c r="N498" s="327" t="s">
        <v>156</v>
      </c>
      <c r="O498" s="327" t="s">
        <v>183</v>
      </c>
      <c r="P498" s="327" t="s">
        <v>156</v>
      </c>
      <c r="Q498" s="327" t="s">
        <v>442</v>
      </c>
      <c r="R498" s="327" t="s">
        <v>443</v>
      </c>
      <c r="S498" s="327" t="s">
        <v>156</v>
      </c>
      <c r="T498" s="327" t="s">
        <v>156</v>
      </c>
      <c r="U498" s="327" t="s">
        <v>156</v>
      </c>
      <c r="V498" s="327" t="s">
        <v>156</v>
      </c>
      <c r="W498" s="327" t="s">
        <v>156</v>
      </c>
      <c r="X498" s="327" t="s">
        <v>411</v>
      </c>
      <c r="Y498" s="327" t="s">
        <v>444</v>
      </c>
      <c r="Z498" s="327" t="s">
        <v>445</v>
      </c>
      <c r="AA498" s="327" t="s">
        <v>445</v>
      </c>
      <c r="AB498" s="327" t="s">
        <v>446</v>
      </c>
      <c r="AC498" s="327" t="s">
        <v>455</v>
      </c>
      <c r="AD498" s="327" t="s">
        <v>455</v>
      </c>
      <c r="AH498" s="303"/>
      <c r="AI498" s="69"/>
      <c r="AJ498" s="63"/>
      <c r="AK498" s="85"/>
      <c r="AL498" s="69"/>
      <c r="AM498" s="69"/>
      <c r="AN498" s="70"/>
      <c r="AO498" s="70"/>
      <c r="AP498" s="70"/>
      <c r="BG498" s="122"/>
    </row>
    <row r="499" spans="1:59" s="27" customFormat="1" ht="13.5" customHeight="1">
      <c r="A499" s="87"/>
      <c r="B499" s="315" t="s">
        <v>410</v>
      </c>
      <c r="C499" s="316" t="s">
        <v>437</v>
      </c>
      <c r="D499" s="337" t="s">
        <v>182</v>
      </c>
      <c r="E499" s="316" t="s">
        <v>453</v>
      </c>
      <c r="F499" s="316" t="s">
        <v>454</v>
      </c>
      <c r="G499" s="316" t="s">
        <v>611</v>
      </c>
      <c r="H499" s="316" t="s">
        <v>184</v>
      </c>
      <c r="I499" s="327"/>
      <c r="J499" s="316" t="s">
        <v>440</v>
      </c>
      <c r="K499" s="316" t="s">
        <v>411</v>
      </c>
      <c r="L499" s="316" t="s">
        <v>156</v>
      </c>
      <c r="M499" s="316" t="s">
        <v>441</v>
      </c>
      <c r="N499" s="316" t="s">
        <v>156</v>
      </c>
      <c r="O499" s="316" t="s">
        <v>183</v>
      </c>
      <c r="P499" s="316" t="s">
        <v>156</v>
      </c>
      <c r="Q499" s="316" t="s">
        <v>442</v>
      </c>
      <c r="R499" s="316" t="s">
        <v>443</v>
      </c>
      <c r="S499" s="316" t="s">
        <v>156</v>
      </c>
      <c r="T499" s="316" t="s">
        <v>156</v>
      </c>
      <c r="U499" s="316" t="s">
        <v>156</v>
      </c>
      <c r="V499" s="316" t="s">
        <v>156</v>
      </c>
      <c r="W499" s="316" t="s">
        <v>156</v>
      </c>
      <c r="X499" s="316" t="s">
        <v>411</v>
      </c>
      <c r="Y499" s="316" t="s">
        <v>444</v>
      </c>
      <c r="Z499" s="316" t="s">
        <v>445</v>
      </c>
      <c r="AA499" s="316" t="s">
        <v>445</v>
      </c>
      <c r="AB499" s="316" t="s">
        <v>446</v>
      </c>
      <c r="AC499" s="316" t="s">
        <v>455</v>
      </c>
      <c r="AD499" s="316" t="s">
        <v>455</v>
      </c>
      <c r="AH499" s="303"/>
      <c r="AI499" s="69"/>
      <c r="AJ499" s="63"/>
      <c r="AK499" s="85"/>
      <c r="AL499" s="69"/>
      <c r="AM499" s="69"/>
      <c r="AN499" s="70"/>
      <c r="AO499" s="70"/>
      <c r="AP499" s="70"/>
      <c r="BG499" s="122"/>
    </row>
    <row r="500" spans="1:59" s="27" customFormat="1" ht="13.5" customHeight="1">
      <c r="A500" s="87"/>
      <c r="B500" s="315" t="s">
        <v>410</v>
      </c>
      <c r="C500" s="316" t="s">
        <v>437</v>
      </c>
      <c r="D500" s="337" t="s">
        <v>629</v>
      </c>
      <c r="E500" s="316" t="s">
        <v>453</v>
      </c>
      <c r="F500" s="316" t="s">
        <v>454</v>
      </c>
      <c r="G500" s="316" t="s">
        <v>183</v>
      </c>
      <c r="H500" s="316" t="s">
        <v>184</v>
      </c>
      <c r="I500" s="327"/>
      <c r="J500" s="316" t="s">
        <v>440</v>
      </c>
      <c r="K500" s="316" t="s">
        <v>411</v>
      </c>
      <c r="L500" s="316" t="s">
        <v>156</v>
      </c>
      <c r="M500" s="316" t="s">
        <v>441</v>
      </c>
      <c r="N500" s="316" t="s">
        <v>156</v>
      </c>
      <c r="O500" s="316" t="s">
        <v>183</v>
      </c>
      <c r="P500" s="316" t="s">
        <v>156</v>
      </c>
      <c r="Q500" s="316" t="s">
        <v>442</v>
      </c>
      <c r="R500" s="316" t="s">
        <v>443</v>
      </c>
      <c r="S500" s="316" t="s">
        <v>156</v>
      </c>
      <c r="T500" s="316" t="s">
        <v>156</v>
      </c>
      <c r="U500" s="316" t="s">
        <v>156</v>
      </c>
      <c r="V500" s="316" t="s">
        <v>156</v>
      </c>
      <c r="W500" s="316" t="s">
        <v>156</v>
      </c>
      <c r="X500" s="316" t="s">
        <v>411</v>
      </c>
      <c r="Y500" s="316" t="s">
        <v>444</v>
      </c>
      <c r="Z500" s="316" t="s">
        <v>445</v>
      </c>
      <c r="AA500" s="316" t="s">
        <v>445</v>
      </c>
      <c r="AB500" s="316" t="s">
        <v>446</v>
      </c>
      <c r="AC500" s="316" t="s">
        <v>455</v>
      </c>
      <c r="AD500" s="316" t="s">
        <v>455</v>
      </c>
      <c r="AH500" s="303"/>
      <c r="AI500" s="69"/>
      <c r="AJ500" s="63"/>
      <c r="AK500" s="85"/>
      <c r="AL500" s="69"/>
      <c r="AM500" s="69"/>
      <c r="AN500" s="70"/>
      <c r="AO500" s="70"/>
      <c r="AP500" s="70"/>
      <c r="BG500" s="122"/>
    </row>
    <row r="501" spans="1:59" ht="14">
      <c r="B501" s="358"/>
      <c r="C501" s="359"/>
      <c r="D501" s="359"/>
      <c r="E501" s="359"/>
      <c r="F501" s="359"/>
      <c r="G501" s="359"/>
      <c r="H501" s="359"/>
      <c r="I501" s="359"/>
      <c r="J501" s="359"/>
      <c r="M501" s="359"/>
      <c r="N501" s="359"/>
      <c r="O501" s="359"/>
      <c r="BG501" s="353"/>
    </row>
    <row r="502" spans="1:59" ht="15">
      <c r="B502" s="358"/>
      <c r="C502" s="449" t="s">
        <v>489</v>
      </c>
      <c r="D502" s="450"/>
      <c r="E502" s="450"/>
      <c r="F502" s="450"/>
      <c r="G502" s="450"/>
      <c r="H502" s="450"/>
      <c r="I502" s="450"/>
      <c r="J502" s="450"/>
      <c r="K502" s="450"/>
      <c r="L502" s="450"/>
      <c r="M502" s="450"/>
      <c r="N502" s="450"/>
      <c r="O502" s="450"/>
      <c r="P502" s="450"/>
      <c r="Q502" s="450"/>
      <c r="R502" s="450"/>
      <c r="S502" s="450"/>
      <c r="T502" s="450"/>
      <c r="U502" s="92"/>
      <c r="V502" s="92"/>
      <c r="W502" s="92"/>
      <c r="X502" s="92"/>
      <c r="Y502" s="92"/>
      <c r="Z502" s="92"/>
      <c r="AA502" s="93"/>
      <c r="AB502" s="93"/>
      <c r="AC502" s="93"/>
      <c r="AD502" s="93"/>
      <c r="AE502" s="93"/>
      <c r="AF502" s="93"/>
      <c r="AG502" s="93"/>
      <c r="AH502" s="93"/>
      <c r="AI502" s="93"/>
      <c r="AJ502" s="93"/>
      <c r="AK502" s="93"/>
      <c r="AL502" s="93"/>
      <c r="AM502" s="93"/>
      <c r="AN502" s="93"/>
      <c r="AO502" s="93"/>
      <c r="AP502" s="94"/>
      <c r="AQ502" s="94"/>
      <c r="AR502" s="94"/>
      <c r="AS502" s="94"/>
      <c r="AT502" s="94"/>
      <c r="AU502" s="94"/>
      <c r="AV502" s="94"/>
      <c r="AW502" s="94"/>
      <c r="AX502" s="94"/>
      <c r="AY502" s="94"/>
      <c r="AZ502" s="94"/>
      <c r="BA502" s="94"/>
      <c r="BB502" s="94"/>
      <c r="BC502" s="94"/>
      <c r="BD502" s="94"/>
      <c r="BE502" s="94"/>
      <c r="BF502" s="94"/>
      <c r="BG502" s="353"/>
    </row>
    <row r="503" spans="1:59" ht="15">
      <c r="B503" s="358"/>
      <c r="C503" s="322"/>
      <c r="D503" s="322"/>
      <c r="E503" s="322"/>
      <c r="F503" s="319" t="s">
        <v>169</v>
      </c>
      <c r="G503" s="319" t="s">
        <v>169</v>
      </c>
      <c r="H503" s="324" t="s">
        <v>169</v>
      </c>
      <c r="I503" s="319" t="s">
        <v>169</v>
      </c>
      <c r="J503" s="319" t="s">
        <v>169</v>
      </c>
      <c r="K503" s="324"/>
      <c r="L503" s="324"/>
      <c r="M503" s="324"/>
      <c r="N503" s="324"/>
      <c r="O503" s="324"/>
      <c r="P503" s="324"/>
      <c r="Q503" s="324"/>
      <c r="R503" s="324"/>
      <c r="S503" s="324"/>
      <c r="T503" s="324"/>
      <c r="U503" s="324"/>
      <c r="V503" s="324"/>
      <c r="W503" s="324"/>
      <c r="X503" s="324"/>
      <c r="Y503" s="324"/>
      <c r="Z503" s="324"/>
      <c r="AA503" s="325"/>
      <c r="AB503" s="325"/>
      <c r="AC503" s="325"/>
      <c r="AD503" s="325"/>
      <c r="AE503" s="325"/>
      <c r="AF503" s="325"/>
      <c r="AG503" s="325"/>
      <c r="AH503" s="325"/>
      <c r="AI503" s="325"/>
      <c r="AJ503" s="325"/>
      <c r="AK503" s="325"/>
      <c r="AL503" s="325"/>
      <c r="AM503" s="325"/>
      <c r="AN503" s="325"/>
      <c r="AO503" s="325"/>
      <c r="AP503" s="325"/>
      <c r="AQ503" s="325"/>
      <c r="AR503" s="325"/>
      <c r="AS503" s="325"/>
      <c r="AT503" s="325"/>
      <c r="AU503" s="325"/>
      <c r="AV503" s="325"/>
      <c r="AW503" s="325"/>
      <c r="AX503" s="325"/>
      <c r="AY503" s="325"/>
      <c r="AZ503" s="325"/>
      <c r="BA503" s="325"/>
      <c r="BB503" s="325"/>
      <c r="BC503" s="325"/>
      <c r="BD503" s="325"/>
      <c r="BE503" s="325"/>
      <c r="BF503" s="325"/>
      <c r="BG503" s="353"/>
    </row>
    <row r="504" spans="1:59" ht="25">
      <c r="B504" s="358"/>
      <c r="C504" s="312" t="s">
        <v>533</v>
      </c>
      <c r="D504" s="312" t="s">
        <v>588</v>
      </c>
      <c r="E504" s="312" t="s">
        <v>589</v>
      </c>
      <c r="F504" s="314" t="s">
        <v>96</v>
      </c>
      <c r="G504" s="314" t="s">
        <v>99</v>
      </c>
      <c r="H504" s="314" t="s">
        <v>130</v>
      </c>
      <c r="I504" s="314" t="s">
        <v>559</v>
      </c>
      <c r="J504" s="314" t="s">
        <v>127</v>
      </c>
      <c r="K504" s="314" t="s">
        <v>67</v>
      </c>
      <c r="L504" s="314" t="s">
        <v>456</v>
      </c>
      <c r="M504" s="314" t="s">
        <v>534</v>
      </c>
      <c r="N504" s="314" t="s">
        <v>535</v>
      </c>
      <c r="O504" s="314" t="s">
        <v>536</v>
      </c>
      <c r="P504" s="314" t="s">
        <v>537</v>
      </c>
      <c r="Q504" s="314" t="s">
        <v>538</v>
      </c>
      <c r="R504" s="314" t="s">
        <v>539</v>
      </c>
      <c r="S504" s="314" t="s">
        <v>540</v>
      </c>
      <c r="T504" s="314" t="s">
        <v>541</v>
      </c>
      <c r="U504" s="314" t="s">
        <v>542</v>
      </c>
      <c r="V504" s="314" t="s">
        <v>543</v>
      </c>
      <c r="W504" s="314" t="s">
        <v>544</v>
      </c>
      <c r="X504" s="314" t="s">
        <v>545</v>
      </c>
      <c r="Y504" s="314" t="s">
        <v>546</v>
      </c>
      <c r="Z504" s="314" t="s">
        <v>547</v>
      </c>
      <c r="AA504" s="314" t="s">
        <v>548</v>
      </c>
      <c r="AB504" s="314" t="s">
        <v>549</v>
      </c>
      <c r="AC504" s="314" t="s">
        <v>550</v>
      </c>
      <c r="AD504" s="314" t="s">
        <v>551</v>
      </c>
      <c r="AE504" s="314" t="s">
        <v>552</v>
      </c>
      <c r="AF504" s="314" t="s">
        <v>553</v>
      </c>
      <c r="AG504" s="314" t="s">
        <v>554</v>
      </c>
      <c r="AH504" s="314" t="s">
        <v>555</v>
      </c>
      <c r="AI504" s="314" t="s">
        <v>556</v>
      </c>
      <c r="AJ504" s="314" t="s">
        <v>558</v>
      </c>
      <c r="AK504" s="314" t="s">
        <v>557</v>
      </c>
      <c r="AL504" s="314" t="s">
        <v>566</v>
      </c>
      <c r="AM504" s="314" t="s">
        <v>560</v>
      </c>
      <c r="AN504" s="314" t="s">
        <v>561</v>
      </c>
      <c r="AO504" s="314" t="s">
        <v>562</v>
      </c>
      <c r="AP504" s="314" t="s">
        <v>563</v>
      </c>
      <c r="AQ504" s="314" t="s">
        <v>567</v>
      </c>
      <c r="AR504" s="314" t="s">
        <v>564</v>
      </c>
      <c r="AS504" s="314" t="s">
        <v>565</v>
      </c>
      <c r="AT504" s="314" t="s">
        <v>568</v>
      </c>
      <c r="AU504" s="314" t="s">
        <v>569</v>
      </c>
      <c r="AV504" s="314" t="s">
        <v>570</v>
      </c>
      <c r="AW504" s="314" t="s">
        <v>571</v>
      </c>
      <c r="AX504" s="314" t="s">
        <v>572</v>
      </c>
      <c r="AY504" s="314" t="s">
        <v>573</v>
      </c>
      <c r="AZ504" s="314" t="s">
        <v>397</v>
      </c>
      <c r="BA504" s="314" t="s">
        <v>398</v>
      </c>
      <c r="BB504" s="314" t="s">
        <v>399</v>
      </c>
      <c r="BC504" s="314" t="s">
        <v>400</v>
      </c>
      <c r="BD504" s="314" t="s">
        <v>151</v>
      </c>
      <c r="BE504" s="314" t="s">
        <v>152</v>
      </c>
      <c r="BF504" s="314" t="s">
        <v>401</v>
      </c>
      <c r="BG504" s="353"/>
    </row>
    <row r="505" spans="1:59">
      <c r="B505" s="358"/>
      <c r="C505" s="312" t="s">
        <v>371</v>
      </c>
      <c r="D505" s="312" t="s">
        <v>381</v>
      </c>
      <c r="E505" s="312" t="s">
        <v>390</v>
      </c>
      <c r="F505" s="313" t="s">
        <v>490</v>
      </c>
      <c r="G505" s="313" t="s">
        <v>491</v>
      </c>
      <c r="H505" s="313" t="s">
        <v>492</v>
      </c>
      <c r="I505" s="313" t="s">
        <v>519</v>
      </c>
      <c r="J505" s="313" t="s">
        <v>525</v>
      </c>
      <c r="K505" s="313" t="s">
        <v>419</v>
      </c>
      <c r="L505" s="313" t="s">
        <v>420</v>
      </c>
      <c r="M505" s="313" t="s">
        <v>493</v>
      </c>
      <c r="N505" s="313" t="s">
        <v>494</v>
      </c>
      <c r="O505" s="313" t="s">
        <v>495</v>
      </c>
      <c r="P505" s="313" t="s">
        <v>496</v>
      </c>
      <c r="Q505" s="313" t="s">
        <v>497</v>
      </c>
      <c r="R505" s="313" t="s">
        <v>498</v>
      </c>
      <c r="S505" s="313" t="s">
        <v>499</v>
      </c>
      <c r="T505" s="313" t="s">
        <v>500</v>
      </c>
      <c r="U505" s="313" t="s">
        <v>501</v>
      </c>
      <c r="V505" s="313" t="s">
        <v>502</v>
      </c>
      <c r="W505" s="313" t="s">
        <v>503</v>
      </c>
      <c r="X505" s="313" t="s">
        <v>504</v>
      </c>
      <c r="Y505" s="313" t="s">
        <v>505</v>
      </c>
      <c r="Z505" s="313" t="s">
        <v>506</v>
      </c>
      <c r="AA505" s="313" t="s">
        <v>507</v>
      </c>
      <c r="AB505" s="313" t="s">
        <v>508</v>
      </c>
      <c r="AC505" s="313" t="s">
        <v>509</v>
      </c>
      <c r="AD505" s="313" t="s">
        <v>510</v>
      </c>
      <c r="AE505" s="313" t="s">
        <v>511</v>
      </c>
      <c r="AF505" s="313" t="s">
        <v>512</v>
      </c>
      <c r="AG505" s="313" t="s">
        <v>513</v>
      </c>
      <c r="AH505" s="313" t="s">
        <v>514</v>
      </c>
      <c r="AI505" s="313" t="s">
        <v>515</v>
      </c>
      <c r="AJ505" s="313" t="s">
        <v>516</v>
      </c>
      <c r="AK505" s="313" t="s">
        <v>517</v>
      </c>
      <c r="AL505" s="313" t="s">
        <v>518</v>
      </c>
      <c r="AM505" s="313" t="s">
        <v>520</v>
      </c>
      <c r="AN505" s="313" t="s">
        <v>521</v>
      </c>
      <c r="AO505" s="313" t="s">
        <v>522</v>
      </c>
      <c r="AP505" s="313" t="s">
        <v>402</v>
      </c>
      <c r="AQ505" s="313" t="s">
        <v>523</v>
      </c>
      <c r="AR505" s="313" t="s">
        <v>524</v>
      </c>
      <c r="AS505" s="313" t="s">
        <v>526</v>
      </c>
      <c r="AT505" s="313" t="s">
        <v>527</v>
      </c>
      <c r="AU505" s="313" t="s">
        <v>528</v>
      </c>
      <c r="AV505" s="313" t="s">
        <v>529</v>
      </c>
      <c r="AW505" s="313" t="s">
        <v>530</v>
      </c>
      <c r="AX505" s="313" t="s">
        <v>531</v>
      </c>
      <c r="AY505" s="313" t="s">
        <v>532</v>
      </c>
      <c r="AZ505" s="313" t="s">
        <v>403</v>
      </c>
      <c r="BA505" s="313" t="s">
        <v>404</v>
      </c>
      <c r="BB505" s="313" t="s">
        <v>405</v>
      </c>
      <c r="BC505" s="313" t="s">
        <v>406</v>
      </c>
      <c r="BD505" s="313" t="s">
        <v>407</v>
      </c>
      <c r="BE505" s="313" t="s">
        <v>408</v>
      </c>
      <c r="BF505" s="313" t="s">
        <v>409</v>
      </c>
      <c r="BG505" s="353"/>
    </row>
    <row r="506" spans="1:59">
      <c r="B506" s="358"/>
      <c r="C506" s="312" t="s">
        <v>472</v>
      </c>
      <c r="D506" s="312" t="s">
        <v>574</v>
      </c>
      <c r="E506" s="312" t="s">
        <v>473</v>
      </c>
      <c r="F506" s="326" t="s">
        <v>474</v>
      </c>
      <c r="G506" s="326" t="s">
        <v>474</v>
      </c>
      <c r="H506" s="326" t="s">
        <v>474</v>
      </c>
      <c r="I506" s="326" t="s">
        <v>474</v>
      </c>
      <c r="J506" s="326" t="s">
        <v>476</v>
      </c>
      <c r="K506" s="326" t="s">
        <v>474</v>
      </c>
      <c r="L506" s="326" t="s">
        <v>474</v>
      </c>
      <c r="M506" s="326" t="s">
        <v>575</v>
      </c>
      <c r="N506" s="326" t="s">
        <v>575</v>
      </c>
      <c r="O506" s="326" t="s">
        <v>473</v>
      </c>
      <c r="P506" s="326" t="s">
        <v>576</v>
      </c>
      <c r="Q506" s="326" t="s">
        <v>474</v>
      </c>
      <c r="R506" s="326" t="s">
        <v>481</v>
      </c>
      <c r="S506" s="326" t="s">
        <v>476</v>
      </c>
      <c r="T506" s="326" t="s">
        <v>481</v>
      </c>
      <c r="U506" s="326" t="s">
        <v>476</v>
      </c>
      <c r="V506" s="326" t="s">
        <v>476</v>
      </c>
      <c r="W506" s="326" t="s">
        <v>474</v>
      </c>
      <c r="X506" s="326" t="s">
        <v>577</v>
      </c>
      <c r="Y506" s="326" t="s">
        <v>577</v>
      </c>
      <c r="Z506" s="326" t="s">
        <v>478</v>
      </c>
      <c r="AA506" s="326" t="s">
        <v>576</v>
      </c>
      <c r="AB506" s="326" t="s">
        <v>576</v>
      </c>
      <c r="AC506" s="326" t="s">
        <v>476</v>
      </c>
      <c r="AD506" s="326" t="s">
        <v>480</v>
      </c>
      <c r="AE506" s="326" t="s">
        <v>481</v>
      </c>
      <c r="AF506" s="326" t="s">
        <v>481</v>
      </c>
      <c r="AG506" s="326" t="s">
        <v>578</v>
      </c>
      <c r="AH506" s="326" t="s">
        <v>578</v>
      </c>
      <c r="AI506" s="326" t="s">
        <v>481</v>
      </c>
      <c r="AJ506" s="326" t="s">
        <v>481</v>
      </c>
      <c r="AK506" s="326" t="s">
        <v>578</v>
      </c>
      <c r="AL506" s="326" t="s">
        <v>578</v>
      </c>
      <c r="AM506" s="326" t="s">
        <v>474</v>
      </c>
      <c r="AN506" s="326" t="s">
        <v>474</v>
      </c>
      <c r="AO506" s="326" t="s">
        <v>474</v>
      </c>
      <c r="AP506" s="326" t="s">
        <v>478</v>
      </c>
      <c r="AQ506" s="326" t="s">
        <v>473</v>
      </c>
      <c r="AR506" s="326" t="s">
        <v>474</v>
      </c>
      <c r="AS506" s="326" t="s">
        <v>476</v>
      </c>
      <c r="AT506" s="326" t="s">
        <v>474</v>
      </c>
      <c r="AU506" s="326" t="s">
        <v>579</v>
      </c>
      <c r="AV506" s="326" t="s">
        <v>481</v>
      </c>
      <c r="AW506" s="326" t="s">
        <v>478</v>
      </c>
      <c r="AX506" s="326" t="s">
        <v>474</v>
      </c>
      <c r="AY506" s="326" t="s">
        <v>474</v>
      </c>
      <c r="AZ506" s="326" t="s">
        <v>485</v>
      </c>
      <c r="BA506" s="326" t="s">
        <v>486</v>
      </c>
      <c r="BB506" s="326" t="s">
        <v>488</v>
      </c>
      <c r="BC506" s="326" t="s">
        <v>488</v>
      </c>
      <c r="BD506" s="326" t="s">
        <v>486</v>
      </c>
      <c r="BE506" s="326" t="s">
        <v>488</v>
      </c>
      <c r="BF506" s="326" t="s">
        <v>488</v>
      </c>
      <c r="BG506" s="353"/>
    </row>
    <row r="507" spans="1:59" ht="15">
      <c r="B507" s="315" t="s">
        <v>410</v>
      </c>
      <c r="C507" s="327" t="s">
        <v>437</v>
      </c>
      <c r="D507" s="337" t="s">
        <v>630</v>
      </c>
      <c r="E507" s="327" t="s">
        <v>182</v>
      </c>
      <c r="F507" s="328" t="s">
        <v>185</v>
      </c>
      <c r="G507" s="327" t="s">
        <v>411</v>
      </c>
      <c r="H507" s="327" t="s">
        <v>411</v>
      </c>
      <c r="I507" s="330">
        <v>0</v>
      </c>
      <c r="J507" s="331">
        <v>30</v>
      </c>
      <c r="K507" s="327" t="s">
        <v>439</v>
      </c>
      <c r="L507" s="327" t="s">
        <v>439</v>
      </c>
      <c r="M507" s="327" t="s">
        <v>156</v>
      </c>
      <c r="N507" s="327" t="s">
        <v>156</v>
      </c>
      <c r="O507" s="327" t="s">
        <v>584</v>
      </c>
      <c r="P507" s="327" t="s">
        <v>156</v>
      </c>
      <c r="Q507" s="329" t="s">
        <v>585</v>
      </c>
      <c r="R507" s="327" t="s">
        <v>183</v>
      </c>
      <c r="S507" s="327" t="s">
        <v>411</v>
      </c>
      <c r="T507" s="327" t="s">
        <v>581</v>
      </c>
      <c r="U507" s="327" t="s">
        <v>582</v>
      </c>
      <c r="V507" s="327" t="s">
        <v>586</v>
      </c>
      <c r="W507" s="327" t="s">
        <v>183</v>
      </c>
      <c r="X507" s="327" t="s">
        <v>411</v>
      </c>
      <c r="Y507" s="327" t="s">
        <v>411</v>
      </c>
      <c r="Z507" s="327"/>
      <c r="AA507" s="330"/>
      <c r="AB507" s="330" t="s">
        <v>587</v>
      </c>
      <c r="AC507" s="333">
        <v>5000</v>
      </c>
      <c r="AD507" s="330">
        <v>99999999</v>
      </c>
      <c r="AE507" s="327" t="s">
        <v>411</v>
      </c>
      <c r="AF507" s="327" t="s">
        <v>439</v>
      </c>
      <c r="AG507" s="327" t="s">
        <v>411</v>
      </c>
      <c r="AH507" s="327" t="s">
        <v>411</v>
      </c>
      <c r="AI507" s="330">
        <v>0</v>
      </c>
      <c r="AJ507" s="330">
        <v>0</v>
      </c>
      <c r="AK507" s="330">
        <v>0</v>
      </c>
      <c r="AL507" s="330">
        <v>0</v>
      </c>
      <c r="AM507" s="327" t="s">
        <v>183</v>
      </c>
      <c r="AN507" s="330">
        <v>0</v>
      </c>
      <c r="AO507" s="327" t="s">
        <v>411</v>
      </c>
      <c r="AP507" s="330">
        <v>1</v>
      </c>
      <c r="AQ507" s="331">
        <v>1111</v>
      </c>
      <c r="AR507" s="331" t="s">
        <v>583</v>
      </c>
      <c r="AS507" s="331">
        <v>10</v>
      </c>
      <c r="AT507" s="331">
        <v>1</v>
      </c>
      <c r="AU507" s="331">
        <v>0</v>
      </c>
      <c r="AV507" s="331">
        <v>0</v>
      </c>
      <c r="AW507" s="331">
        <v>0</v>
      </c>
      <c r="AX507" s="331">
        <v>0</v>
      </c>
      <c r="AY507" s="331">
        <v>1</v>
      </c>
      <c r="AZ507" s="331">
        <v>0</v>
      </c>
      <c r="BA507" s="332">
        <v>40640.750486111108</v>
      </c>
      <c r="BB507" s="331">
        <v>470195</v>
      </c>
      <c r="BC507" s="331">
        <v>470195</v>
      </c>
      <c r="BD507" s="332">
        <v>45392.67769675926</v>
      </c>
      <c r="BE507" s="331">
        <v>363363</v>
      </c>
      <c r="BF507" s="331">
        <v>363363</v>
      </c>
      <c r="BG507" s="353"/>
    </row>
    <row r="508" spans="1:59" ht="14">
      <c r="B508" s="317" t="s">
        <v>412</v>
      </c>
      <c r="C508" s="327" t="s">
        <v>437</v>
      </c>
      <c r="D508" s="327" t="s">
        <v>702</v>
      </c>
      <c r="E508" s="327" t="s">
        <v>453</v>
      </c>
      <c r="F508" s="327" t="s">
        <v>185</v>
      </c>
      <c r="G508" s="327" t="s">
        <v>411</v>
      </c>
      <c r="H508" s="327" t="s">
        <v>411</v>
      </c>
      <c r="I508" s="327">
        <v>0</v>
      </c>
      <c r="J508" s="327">
        <v>30</v>
      </c>
      <c r="K508" s="327" t="s">
        <v>703</v>
      </c>
      <c r="L508" s="327"/>
      <c r="M508" s="327" t="s">
        <v>156</v>
      </c>
      <c r="N508" s="327" t="s">
        <v>156</v>
      </c>
      <c r="O508" s="327" t="s">
        <v>584</v>
      </c>
      <c r="P508" s="327" t="s">
        <v>156</v>
      </c>
      <c r="Q508" s="327" t="s">
        <v>585</v>
      </c>
      <c r="R508" s="327" t="s">
        <v>183</v>
      </c>
      <c r="S508" s="327" t="s">
        <v>666</v>
      </c>
      <c r="T508" s="327" t="s">
        <v>581</v>
      </c>
      <c r="U508" s="327" t="s">
        <v>667</v>
      </c>
      <c r="V508" s="327" t="s">
        <v>668</v>
      </c>
      <c r="W508" s="327" t="s">
        <v>183</v>
      </c>
      <c r="X508" s="327" t="s">
        <v>669</v>
      </c>
      <c r="Y508" s="327" t="s">
        <v>669</v>
      </c>
      <c r="Z508" s="327"/>
      <c r="AA508" s="327"/>
      <c r="AB508" s="327" t="s">
        <v>587</v>
      </c>
      <c r="AC508" s="327">
        <v>5000</v>
      </c>
      <c r="AD508" s="327">
        <v>99999999</v>
      </c>
      <c r="AE508" s="327">
        <v>0</v>
      </c>
      <c r="AF508" s="327">
        <v>2</v>
      </c>
      <c r="AG508" s="327">
        <v>0</v>
      </c>
      <c r="AH508" s="327">
        <v>0</v>
      </c>
      <c r="AI508" s="327">
        <v>0</v>
      </c>
      <c r="AJ508" s="327">
        <v>0</v>
      </c>
      <c r="AK508" s="327">
        <v>0</v>
      </c>
      <c r="AL508" s="327">
        <v>0</v>
      </c>
      <c r="AM508" s="327">
        <v>1</v>
      </c>
      <c r="AN508" s="327">
        <v>0</v>
      </c>
      <c r="AO508" s="327">
        <v>0</v>
      </c>
      <c r="AP508" s="327">
        <v>1</v>
      </c>
      <c r="AQ508" s="327">
        <v>1111</v>
      </c>
      <c r="AR508" s="327" t="s">
        <v>583</v>
      </c>
      <c r="AS508" s="327">
        <v>10</v>
      </c>
      <c r="AT508" s="327">
        <v>1</v>
      </c>
      <c r="AU508" s="327">
        <v>0</v>
      </c>
      <c r="AV508" s="327">
        <v>0</v>
      </c>
      <c r="AW508" s="327">
        <v>0</v>
      </c>
      <c r="AX508" s="327">
        <v>0</v>
      </c>
      <c r="AY508" s="327">
        <v>1</v>
      </c>
      <c r="AZ508" s="327">
        <v>0</v>
      </c>
      <c r="BA508" s="327">
        <v>40640.750486111108</v>
      </c>
      <c r="BB508" s="327">
        <v>470195</v>
      </c>
      <c r="BC508" s="327">
        <v>470195</v>
      </c>
      <c r="BD508" s="327">
        <v>45392.67769675926</v>
      </c>
      <c r="BE508" s="327">
        <v>363363</v>
      </c>
      <c r="BF508" s="327">
        <v>363363</v>
      </c>
      <c r="BG508" s="353"/>
    </row>
    <row r="509" spans="1:59" ht="15">
      <c r="B509" s="315" t="s">
        <v>410</v>
      </c>
      <c r="C509" s="327" t="s">
        <v>437</v>
      </c>
      <c r="D509" s="337" t="s">
        <v>629</v>
      </c>
      <c r="E509" s="338" t="s">
        <v>182</v>
      </c>
      <c r="F509" s="334" t="s">
        <v>454</v>
      </c>
      <c r="G509" s="327" t="s">
        <v>411</v>
      </c>
      <c r="H509" s="327" t="s">
        <v>411</v>
      </c>
      <c r="I509" s="330">
        <v>1</v>
      </c>
      <c r="J509" s="331">
        <v>0</v>
      </c>
      <c r="K509" s="327" t="s">
        <v>183</v>
      </c>
      <c r="L509" s="327"/>
      <c r="M509" s="327" t="s">
        <v>156</v>
      </c>
      <c r="N509" s="327" t="s">
        <v>156</v>
      </c>
      <c r="O509" s="327" t="s">
        <v>156</v>
      </c>
      <c r="P509" s="327" t="s">
        <v>156</v>
      </c>
      <c r="Q509" s="329" t="s">
        <v>580</v>
      </c>
      <c r="R509" s="327" t="s">
        <v>411</v>
      </c>
      <c r="S509" s="327" t="s">
        <v>411</v>
      </c>
      <c r="T509" s="327" t="s">
        <v>581</v>
      </c>
      <c r="U509" s="327" t="s">
        <v>582</v>
      </c>
      <c r="V509" s="327" t="s">
        <v>183</v>
      </c>
      <c r="W509" s="327" t="s">
        <v>183</v>
      </c>
      <c r="X509" s="327" t="s">
        <v>411</v>
      </c>
      <c r="Y509" s="327" t="s">
        <v>411</v>
      </c>
      <c r="Z509" s="327" t="s">
        <v>156</v>
      </c>
      <c r="AA509" s="330" t="s">
        <v>156</v>
      </c>
      <c r="AB509" s="330" t="s">
        <v>156</v>
      </c>
      <c r="AC509" s="330">
        <v>1</v>
      </c>
      <c r="AD509" s="330">
        <v>99999999</v>
      </c>
      <c r="AE509" s="327" t="s">
        <v>411</v>
      </c>
      <c r="AF509" s="327" t="s">
        <v>411</v>
      </c>
      <c r="AG509" s="327" t="s">
        <v>411</v>
      </c>
      <c r="AH509" s="327" t="s">
        <v>411</v>
      </c>
      <c r="AI509" s="330">
        <v>0</v>
      </c>
      <c r="AJ509" s="330">
        <v>0</v>
      </c>
      <c r="AK509" s="330">
        <v>0</v>
      </c>
      <c r="AL509" s="330">
        <v>0</v>
      </c>
      <c r="AM509" s="327" t="s">
        <v>183</v>
      </c>
      <c r="AN509" s="330">
        <v>0</v>
      </c>
      <c r="AO509" s="327" t="s">
        <v>411</v>
      </c>
      <c r="AP509" s="330">
        <v>1</v>
      </c>
      <c r="AQ509" s="331" t="s">
        <v>156</v>
      </c>
      <c r="AR509" s="331" t="s">
        <v>583</v>
      </c>
      <c r="AS509" s="331">
        <v>0</v>
      </c>
      <c r="AT509" s="331">
        <v>1</v>
      </c>
      <c r="AU509" s="331">
        <v>0</v>
      </c>
      <c r="AV509" s="331">
        <v>0</v>
      </c>
      <c r="AW509" s="331">
        <v>0</v>
      </c>
      <c r="AX509" s="331">
        <v>0</v>
      </c>
      <c r="AY509" s="331">
        <v>1</v>
      </c>
      <c r="AZ509" s="331">
        <v>0</v>
      </c>
      <c r="BA509" s="332">
        <v>29705</v>
      </c>
      <c r="BB509" s="331" t="s">
        <v>445</v>
      </c>
      <c r="BC509" s="331" t="s">
        <v>445</v>
      </c>
      <c r="BD509" s="332">
        <v>36413</v>
      </c>
      <c r="BE509" s="331" t="s">
        <v>445</v>
      </c>
      <c r="BF509" s="331" t="s">
        <v>445</v>
      </c>
      <c r="BG509" s="353"/>
    </row>
    <row r="510" spans="1:59" ht="14">
      <c r="B510" s="315" t="s">
        <v>410</v>
      </c>
      <c r="C510" s="327" t="s">
        <v>437</v>
      </c>
      <c r="D510" s="337" t="s">
        <v>182</v>
      </c>
      <c r="E510" s="327" t="s">
        <v>453</v>
      </c>
      <c r="F510" s="327" t="s">
        <v>185</v>
      </c>
      <c r="G510" s="327" t="s">
        <v>411</v>
      </c>
      <c r="H510" s="327" t="s">
        <v>411</v>
      </c>
      <c r="I510" s="327">
        <v>0</v>
      </c>
      <c r="J510" s="327">
        <v>30</v>
      </c>
      <c r="K510" s="327" t="s">
        <v>611</v>
      </c>
      <c r="L510" s="327"/>
      <c r="M510" s="327" t="s">
        <v>156</v>
      </c>
      <c r="N510" s="327" t="s">
        <v>156</v>
      </c>
      <c r="O510" s="327" t="s">
        <v>584</v>
      </c>
      <c r="P510" s="327" t="s">
        <v>156</v>
      </c>
      <c r="Q510" s="327" t="s">
        <v>585</v>
      </c>
      <c r="R510" s="327" t="s">
        <v>183</v>
      </c>
      <c r="S510" s="327" t="s">
        <v>411</v>
      </c>
      <c r="T510" s="327" t="s">
        <v>581</v>
      </c>
      <c r="U510" s="327" t="s">
        <v>582</v>
      </c>
      <c r="V510" s="327" t="s">
        <v>586</v>
      </c>
      <c r="W510" s="327" t="s">
        <v>183</v>
      </c>
      <c r="X510" s="327" t="s">
        <v>411</v>
      </c>
      <c r="Y510" s="327" t="s">
        <v>411</v>
      </c>
      <c r="Z510" s="327"/>
      <c r="AA510" s="327"/>
      <c r="AB510" s="327" t="s">
        <v>587</v>
      </c>
      <c r="AC510" s="327">
        <v>5000</v>
      </c>
      <c r="AD510" s="327">
        <v>99999999</v>
      </c>
      <c r="AE510" s="327" t="s">
        <v>411</v>
      </c>
      <c r="AF510" s="327" t="s">
        <v>439</v>
      </c>
      <c r="AG510" s="327" t="s">
        <v>411</v>
      </c>
      <c r="AH510" s="327" t="s">
        <v>411</v>
      </c>
      <c r="AI510" s="327">
        <v>0</v>
      </c>
      <c r="AJ510" s="327">
        <v>0</v>
      </c>
      <c r="AK510" s="327">
        <v>0</v>
      </c>
      <c r="AL510" s="327">
        <v>0</v>
      </c>
      <c r="AM510" s="327" t="s">
        <v>183</v>
      </c>
      <c r="AN510" s="327">
        <v>0</v>
      </c>
      <c r="AO510" s="327" t="s">
        <v>411</v>
      </c>
      <c r="AP510" s="327">
        <v>1</v>
      </c>
      <c r="AQ510" s="327">
        <v>1111</v>
      </c>
      <c r="AR510" s="327" t="s">
        <v>583</v>
      </c>
      <c r="AS510" s="327">
        <v>10</v>
      </c>
      <c r="AT510" s="327">
        <v>1</v>
      </c>
      <c r="AU510" s="327">
        <v>0</v>
      </c>
      <c r="AV510" s="327">
        <v>0</v>
      </c>
      <c r="AW510" s="327">
        <v>0</v>
      </c>
      <c r="AX510" s="327">
        <v>0</v>
      </c>
      <c r="AY510" s="327">
        <v>1</v>
      </c>
      <c r="AZ510" s="327">
        <v>0</v>
      </c>
      <c r="BA510" s="327">
        <v>40640.750486111108</v>
      </c>
      <c r="BB510" s="327">
        <v>470195</v>
      </c>
      <c r="BC510" s="327">
        <v>470195</v>
      </c>
      <c r="BD510" s="327">
        <v>45392.67769675926</v>
      </c>
      <c r="BE510" s="327">
        <v>363363</v>
      </c>
      <c r="BF510" s="327">
        <v>363363</v>
      </c>
      <c r="BG510" s="353"/>
    </row>
    <row r="511" spans="1:59" ht="14">
      <c r="B511" s="358"/>
      <c r="C511" s="359"/>
      <c r="D511" s="359"/>
      <c r="E511" s="359"/>
      <c r="F511" s="359"/>
      <c r="G511" s="359"/>
      <c r="H511" s="359"/>
      <c r="I511" s="359"/>
      <c r="J511" s="359"/>
      <c r="M511" s="359"/>
      <c r="N511" s="359"/>
      <c r="O511" s="359"/>
      <c r="BG511" s="353"/>
    </row>
    <row r="512" spans="1:59" ht="14">
      <c r="B512" s="358"/>
      <c r="C512" s="359" t="s">
        <v>153</v>
      </c>
      <c r="BG512" s="353"/>
    </row>
    <row r="513" spans="1:59" ht="14">
      <c r="B513" s="358"/>
      <c r="C513" s="359" t="s">
        <v>590</v>
      </c>
      <c r="D513" s="359" t="s">
        <v>591</v>
      </c>
      <c r="E513" s="359" t="s">
        <v>159</v>
      </c>
      <c r="F513" s="359" t="s">
        <v>592</v>
      </c>
      <c r="G513" s="359" t="s">
        <v>593</v>
      </c>
      <c r="H513" s="359" t="s">
        <v>594</v>
      </c>
      <c r="I513" s="359" t="s">
        <v>595</v>
      </c>
      <c r="J513" s="359" t="s">
        <v>596</v>
      </c>
      <c r="K513" s="359" t="s">
        <v>597</v>
      </c>
      <c r="L513" s="359" t="s">
        <v>598</v>
      </c>
      <c r="M513" s="359" t="s">
        <v>599</v>
      </c>
      <c r="BG513" s="353"/>
    </row>
    <row r="514" spans="1:59" ht="14">
      <c r="B514" s="358"/>
      <c r="C514" s="359">
        <v>-2</v>
      </c>
      <c r="D514" s="359" t="s">
        <v>156</v>
      </c>
      <c r="E514" s="359" t="s">
        <v>765</v>
      </c>
      <c r="F514" s="359" t="s">
        <v>755</v>
      </c>
      <c r="G514" s="359" t="s">
        <v>623</v>
      </c>
      <c r="H514" s="359" t="s">
        <v>156</v>
      </c>
      <c r="I514" s="359" t="s">
        <v>156</v>
      </c>
      <c r="J514" s="359" t="s">
        <v>156</v>
      </c>
      <c r="K514" s="359" t="s">
        <v>156</v>
      </c>
      <c r="L514" s="359">
        <v>0</v>
      </c>
      <c r="M514" s="359" t="s">
        <v>156</v>
      </c>
      <c r="BG514" s="353"/>
    </row>
    <row r="515" spans="1:59" ht="13.5" thickBot="1">
      <c r="B515" s="358"/>
      <c r="BG515" s="353"/>
    </row>
    <row r="516" spans="1:59" ht="14" thickBot="1">
      <c r="B516" s="299" t="s">
        <v>709</v>
      </c>
      <c r="C516" s="300" t="s">
        <v>707</v>
      </c>
      <c r="D516" s="300"/>
      <c r="E516" s="300"/>
      <c r="F516" s="300"/>
      <c r="G516" s="300"/>
      <c r="H516" s="300"/>
      <c r="I516" s="300"/>
      <c r="J516" s="300"/>
      <c r="K516" s="300"/>
      <c r="L516" s="300"/>
      <c r="M516" s="300"/>
      <c r="N516" s="300"/>
      <c r="O516" s="300"/>
      <c r="P516" s="300"/>
      <c r="Q516" s="300"/>
      <c r="R516" s="300"/>
      <c r="S516" s="300"/>
      <c r="T516" s="300"/>
      <c r="U516" s="300"/>
      <c r="V516" s="300"/>
      <c r="W516" s="300"/>
      <c r="X516" s="300"/>
      <c r="Y516" s="300"/>
      <c r="Z516" s="300"/>
      <c r="AA516" s="300"/>
      <c r="AB516" s="300"/>
      <c r="AC516" s="300"/>
      <c r="AD516" s="300"/>
      <c r="AE516" s="300"/>
      <c r="AF516" s="300"/>
      <c r="AG516" s="300"/>
      <c r="AH516" s="300"/>
      <c r="AI516" s="300"/>
      <c r="AJ516" s="300"/>
      <c r="AK516" s="300"/>
      <c r="AL516" s="300"/>
      <c r="AM516" s="300"/>
      <c r="AN516" s="300"/>
      <c r="AO516" s="300"/>
      <c r="AP516" s="300"/>
      <c r="AQ516" s="300"/>
      <c r="AR516" s="300"/>
      <c r="AS516" s="300"/>
      <c r="AT516" s="300"/>
      <c r="AU516" s="300"/>
      <c r="AV516" s="300"/>
      <c r="AW516" s="300"/>
      <c r="AX516" s="300"/>
      <c r="AY516" s="300"/>
      <c r="AZ516" s="300"/>
      <c r="BA516" s="300"/>
      <c r="BB516" s="300"/>
      <c r="BC516" s="300"/>
      <c r="BD516" s="300"/>
      <c r="BE516" s="300"/>
      <c r="BF516" s="300"/>
      <c r="BG516" s="353"/>
    </row>
    <row r="517" spans="1:59" ht="14" thickBot="1">
      <c r="B517" s="335" t="s">
        <v>805</v>
      </c>
      <c r="C517" s="300" t="s">
        <v>615</v>
      </c>
      <c r="D517" s="300"/>
      <c r="E517" s="300"/>
      <c r="F517" s="300"/>
      <c r="G517" s="300"/>
      <c r="H517" s="300"/>
      <c r="I517" s="300"/>
      <c r="J517" s="300"/>
      <c r="K517" s="300"/>
      <c r="L517" s="300"/>
      <c r="M517" s="300"/>
      <c r="N517" s="300"/>
      <c r="O517" s="300"/>
      <c r="P517" s="300"/>
      <c r="Q517" s="300"/>
      <c r="R517" s="300"/>
      <c r="S517" s="300"/>
      <c r="T517" s="300"/>
      <c r="U517" s="300"/>
      <c r="V517" s="300"/>
      <c r="W517" s="300"/>
      <c r="X517" s="300"/>
      <c r="Y517" s="300"/>
      <c r="Z517" s="300"/>
      <c r="AA517" s="300"/>
      <c r="AB517" s="300"/>
      <c r="AC517" s="300"/>
      <c r="AD517" s="300"/>
      <c r="AE517" s="300"/>
      <c r="AF517" s="300"/>
      <c r="AG517" s="300"/>
      <c r="AH517" s="300"/>
      <c r="AI517" s="300"/>
      <c r="AJ517" s="300"/>
      <c r="AK517" s="300"/>
      <c r="AL517" s="300"/>
      <c r="AM517" s="300"/>
      <c r="AN517" s="300"/>
      <c r="AO517" s="300"/>
      <c r="AP517" s="300"/>
      <c r="AQ517" s="300"/>
      <c r="AR517" s="300"/>
      <c r="AS517" s="300"/>
      <c r="AT517" s="300"/>
      <c r="AU517" s="300"/>
      <c r="AV517" s="300"/>
      <c r="AW517" s="300"/>
      <c r="AX517" s="300"/>
      <c r="AY517" s="300"/>
      <c r="AZ517" s="300"/>
      <c r="BA517" s="300"/>
      <c r="BB517" s="300"/>
      <c r="BC517" s="300"/>
      <c r="BD517" s="300"/>
      <c r="BE517" s="300"/>
      <c r="BF517" s="300"/>
      <c r="BG517" s="353"/>
    </row>
    <row r="518" spans="1:59">
      <c r="B518" s="358"/>
      <c r="BG518" s="353"/>
    </row>
    <row r="519" spans="1:59" ht="13.5">
      <c r="B519" s="358"/>
      <c r="C519" s="356" t="s">
        <v>396</v>
      </c>
      <c r="BG519" s="353"/>
    </row>
    <row r="520" spans="1:59" ht="13.5">
      <c r="B520" s="358"/>
      <c r="C520" s="356" t="s">
        <v>809</v>
      </c>
      <c r="BG520" s="353"/>
    </row>
    <row r="521" spans="1:59">
      <c r="B521" s="358"/>
      <c r="BG521" s="353"/>
    </row>
    <row r="522" spans="1:59" s="27" customFormat="1" ht="19.5" customHeight="1">
      <c r="B522" s="362"/>
      <c r="C522" s="320" t="s">
        <v>436</v>
      </c>
      <c r="D522" s="321"/>
      <c r="E522" s="321"/>
      <c r="F522" s="291"/>
      <c r="G522" s="291"/>
      <c r="H522" s="291"/>
      <c r="I522" s="291"/>
      <c r="J522" s="291"/>
      <c r="K522" s="291"/>
      <c r="L522" s="291"/>
      <c r="M522" s="291"/>
      <c r="N522" s="291"/>
      <c r="O522" s="291"/>
      <c r="P522" s="291"/>
      <c r="Q522" s="291"/>
      <c r="R522" s="291"/>
      <c r="S522" s="291"/>
      <c r="T522" s="291"/>
      <c r="U522" s="291"/>
      <c r="V522" s="291"/>
      <c r="W522" s="291"/>
      <c r="X522" s="292"/>
      <c r="Y522" s="68"/>
      <c r="Z522" s="68"/>
      <c r="AA522" s="68"/>
      <c r="AB522" s="68"/>
      <c r="AC522" s="68"/>
      <c r="AD522" s="306"/>
      <c r="AH522" s="303"/>
      <c r="AJ522" s="69"/>
      <c r="AK522" s="69"/>
      <c r="AL522" s="69"/>
      <c r="AM522" s="69"/>
      <c r="AN522" s="70"/>
      <c r="AO522" s="70"/>
      <c r="AP522" s="70"/>
      <c r="BG522" s="122"/>
    </row>
    <row r="523" spans="1:59" s="72" customFormat="1" ht="16.5" customHeight="1">
      <c r="A523" s="293"/>
      <c r="B523" s="363"/>
      <c r="C523" s="322"/>
      <c r="D523" s="322"/>
      <c r="E523" s="322"/>
      <c r="F523" s="319" t="s">
        <v>169</v>
      </c>
      <c r="G523" s="319" t="s">
        <v>169</v>
      </c>
      <c r="H523" s="319" t="s">
        <v>169</v>
      </c>
      <c r="I523" s="319"/>
      <c r="J523" s="319"/>
      <c r="K523" s="319"/>
      <c r="L523" s="319"/>
      <c r="M523" s="319"/>
      <c r="N523" s="319"/>
      <c r="O523" s="319"/>
      <c r="P523" s="319"/>
      <c r="Q523" s="319"/>
      <c r="R523" s="319"/>
      <c r="S523" s="319"/>
      <c r="T523" s="319"/>
      <c r="U523" s="319"/>
      <c r="V523" s="319"/>
      <c r="W523" s="319"/>
      <c r="X523" s="319"/>
      <c r="Y523" s="319"/>
      <c r="Z523" s="319"/>
      <c r="AA523" s="319"/>
      <c r="AB523" s="319"/>
      <c r="AC523" s="319"/>
      <c r="AD523" s="319"/>
      <c r="AH523" s="304"/>
      <c r="AI523" s="71"/>
      <c r="AJ523" s="71"/>
      <c r="AK523" s="71"/>
      <c r="AL523" s="71"/>
      <c r="AM523" s="71"/>
      <c r="BG523" s="364"/>
    </row>
    <row r="524" spans="1:59" s="78" customFormat="1" ht="92" customHeight="1">
      <c r="A524" s="73"/>
      <c r="B524" s="365"/>
      <c r="C524" s="312" t="s">
        <v>172</v>
      </c>
      <c r="D524" s="312" t="s">
        <v>173</v>
      </c>
      <c r="E524" s="312" t="s">
        <v>174</v>
      </c>
      <c r="F524" s="314" t="s">
        <v>91</v>
      </c>
      <c r="G524" s="314" t="s">
        <v>67</v>
      </c>
      <c r="H524" s="314" t="s">
        <v>69</v>
      </c>
      <c r="I524" s="314" t="s">
        <v>457</v>
      </c>
      <c r="J524" s="314" t="s">
        <v>458</v>
      </c>
      <c r="K524" s="314" t="s">
        <v>459</v>
      </c>
      <c r="L524" s="314" t="s">
        <v>460</v>
      </c>
      <c r="M524" s="314" t="s">
        <v>461</v>
      </c>
      <c r="N524" s="314" t="s">
        <v>462</v>
      </c>
      <c r="O524" s="314" t="s">
        <v>463</v>
      </c>
      <c r="P524" s="314" t="s">
        <v>464</v>
      </c>
      <c r="Q524" s="314" t="s">
        <v>465</v>
      </c>
      <c r="R524" s="314" t="s">
        <v>466</v>
      </c>
      <c r="S524" s="314" t="s">
        <v>467</v>
      </c>
      <c r="T524" s="314" t="s">
        <v>468</v>
      </c>
      <c r="U524" s="314" t="s">
        <v>469</v>
      </c>
      <c r="V524" s="314" t="s">
        <v>470</v>
      </c>
      <c r="W524" s="314" t="s">
        <v>471</v>
      </c>
      <c r="X524" s="314" t="s">
        <v>397</v>
      </c>
      <c r="Y524" s="314" t="s">
        <v>398</v>
      </c>
      <c r="Z524" s="314" t="s">
        <v>399</v>
      </c>
      <c r="AA524" s="314" t="s">
        <v>400</v>
      </c>
      <c r="AB524" s="314" t="s">
        <v>151</v>
      </c>
      <c r="AC524" s="314" t="s">
        <v>152</v>
      </c>
      <c r="AD524" s="314" t="s">
        <v>401</v>
      </c>
      <c r="AH524" s="305"/>
      <c r="AI524" s="69"/>
      <c r="AJ524" s="76"/>
      <c r="AK524" s="76"/>
      <c r="AL524" s="76"/>
      <c r="AM524" s="76"/>
      <c r="AN524" s="77"/>
      <c r="AO524" s="77"/>
      <c r="AP524" s="77"/>
      <c r="BG524" s="366"/>
    </row>
    <row r="525" spans="1:59" s="78" customFormat="1" ht="15">
      <c r="A525" s="73"/>
      <c r="B525" s="365"/>
      <c r="C525" s="312" t="s">
        <v>371</v>
      </c>
      <c r="D525" s="312" t="s">
        <v>381</v>
      </c>
      <c r="E525" s="312" t="s">
        <v>390</v>
      </c>
      <c r="F525" s="313" t="s">
        <v>418</v>
      </c>
      <c r="G525" s="313" t="s">
        <v>419</v>
      </c>
      <c r="H525" s="313" t="s">
        <v>421</v>
      </c>
      <c r="I525" s="313" t="s">
        <v>420</v>
      </c>
      <c r="J525" s="313" t="s">
        <v>422</v>
      </c>
      <c r="K525" s="313" t="s">
        <v>423</v>
      </c>
      <c r="L525" s="313" t="s">
        <v>424</v>
      </c>
      <c r="M525" s="313" t="s">
        <v>425</v>
      </c>
      <c r="N525" s="313" t="s">
        <v>426</v>
      </c>
      <c r="O525" s="313" t="s">
        <v>427</v>
      </c>
      <c r="P525" s="313" t="s">
        <v>428</v>
      </c>
      <c r="Q525" s="313" t="s">
        <v>429</v>
      </c>
      <c r="R525" s="313" t="s">
        <v>430</v>
      </c>
      <c r="S525" s="313" t="s">
        <v>431</v>
      </c>
      <c r="T525" s="313" t="s">
        <v>432</v>
      </c>
      <c r="U525" s="313" t="s">
        <v>433</v>
      </c>
      <c r="V525" s="313" t="s">
        <v>434</v>
      </c>
      <c r="W525" s="313" t="s">
        <v>435</v>
      </c>
      <c r="X525" s="313" t="s">
        <v>403</v>
      </c>
      <c r="Y525" s="313" t="s">
        <v>404</v>
      </c>
      <c r="Z525" s="313" t="s">
        <v>405</v>
      </c>
      <c r="AA525" s="313" t="s">
        <v>406</v>
      </c>
      <c r="AB525" s="313" t="s">
        <v>407</v>
      </c>
      <c r="AC525" s="313" t="s">
        <v>408</v>
      </c>
      <c r="AD525" s="313" t="s">
        <v>409</v>
      </c>
      <c r="AH525" s="305"/>
      <c r="AI525" s="69"/>
      <c r="AJ525" s="76"/>
      <c r="AK525" s="76"/>
      <c r="AL525" s="76"/>
      <c r="AM525" s="76"/>
      <c r="AN525" s="77"/>
      <c r="AO525" s="77"/>
      <c r="AP525" s="77"/>
      <c r="BG525" s="366"/>
    </row>
    <row r="526" spans="1:59" s="70" customFormat="1" ht="13.5" customHeight="1">
      <c r="A526" s="79"/>
      <c r="B526" s="367"/>
      <c r="C526" s="312" t="s">
        <v>472</v>
      </c>
      <c r="D526" s="312" t="s">
        <v>473</v>
      </c>
      <c r="E526" s="312" t="s">
        <v>473</v>
      </c>
      <c r="F526" s="314" t="s">
        <v>474</v>
      </c>
      <c r="G526" s="314" t="s">
        <v>474</v>
      </c>
      <c r="H526" s="314" t="s">
        <v>475</v>
      </c>
      <c r="I526" s="314" t="s">
        <v>474</v>
      </c>
      <c r="J526" s="314" t="s">
        <v>476</v>
      </c>
      <c r="K526" s="314" t="s">
        <v>477</v>
      </c>
      <c r="L526" s="313" t="s">
        <v>478</v>
      </c>
      <c r="M526" s="314" t="s">
        <v>478</v>
      </c>
      <c r="N526" s="314" t="s">
        <v>479</v>
      </c>
      <c r="O526" s="314" t="s">
        <v>474</v>
      </c>
      <c r="P526" s="314" t="s">
        <v>480</v>
      </c>
      <c r="Q526" s="314" t="s">
        <v>481</v>
      </c>
      <c r="R526" s="314" t="s">
        <v>480</v>
      </c>
      <c r="S526" s="314" t="s">
        <v>482</v>
      </c>
      <c r="T526" s="313" t="s">
        <v>483</v>
      </c>
      <c r="U526" s="314" t="s">
        <v>483</v>
      </c>
      <c r="V526" s="314" t="s">
        <v>484</v>
      </c>
      <c r="W526" s="314" t="s">
        <v>474</v>
      </c>
      <c r="X526" s="314" t="s">
        <v>485</v>
      </c>
      <c r="Y526" s="314" t="s">
        <v>487</v>
      </c>
      <c r="Z526" s="314" t="s">
        <v>488</v>
      </c>
      <c r="AA526" s="314" t="s">
        <v>488</v>
      </c>
      <c r="AB526" s="313" t="s">
        <v>486</v>
      </c>
      <c r="AC526" s="314" t="s">
        <v>488</v>
      </c>
      <c r="AD526" s="314" t="s">
        <v>488</v>
      </c>
      <c r="AH526" s="303"/>
      <c r="AI526" s="69"/>
      <c r="AJ526" s="69"/>
      <c r="AK526" s="69"/>
      <c r="AL526" s="69"/>
      <c r="AM526" s="69"/>
      <c r="BG526" s="368"/>
    </row>
    <row r="527" spans="1:59" s="27" customFormat="1" ht="13.5" customHeight="1">
      <c r="A527" s="82"/>
      <c r="B527" s="315" t="s">
        <v>410</v>
      </c>
      <c r="C527" s="316" t="s">
        <v>437</v>
      </c>
      <c r="D527" s="337" t="s">
        <v>630</v>
      </c>
      <c r="E527" s="314" t="s">
        <v>182</v>
      </c>
      <c r="F527" s="314" t="s">
        <v>183</v>
      </c>
      <c r="G527" s="327" t="s">
        <v>439</v>
      </c>
      <c r="H527" s="314" t="s">
        <v>184</v>
      </c>
      <c r="I527" s="327" t="s">
        <v>439</v>
      </c>
      <c r="J527" s="314" t="s">
        <v>184</v>
      </c>
      <c r="K527" s="314" t="s">
        <v>411</v>
      </c>
      <c r="L527" s="313" t="s">
        <v>448</v>
      </c>
      <c r="M527" s="314" t="s">
        <v>441</v>
      </c>
      <c r="N527" s="314"/>
      <c r="O527" s="314" t="s">
        <v>411</v>
      </c>
      <c r="P527" s="314" t="s">
        <v>156</v>
      </c>
      <c r="Q527" s="314" t="s">
        <v>184</v>
      </c>
      <c r="R527" s="314" t="s">
        <v>449</v>
      </c>
      <c r="S527" s="314"/>
      <c r="T527" s="313" t="s">
        <v>156</v>
      </c>
      <c r="U527" s="314" t="s">
        <v>156</v>
      </c>
      <c r="V527" s="314" t="s">
        <v>156</v>
      </c>
      <c r="W527" s="314"/>
      <c r="X527" s="314" t="s">
        <v>411</v>
      </c>
      <c r="Y527" s="314" t="s">
        <v>450</v>
      </c>
      <c r="Z527" s="314" t="s">
        <v>451</v>
      </c>
      <c r="AA527" s="314">
        <v>470195</v>
      </c>
      <c r="AB527" s="313" t="s">
        <v>450</v>
      </c>
      <c r="AC527" s="314">
        <v>470195</v>
      </c>
      <c r="AD527" s="314" t="s">
        <v>451</v>
      </c>
      <c r="AH527" s="303"/>
      <c r="AI527" s="69"/>
      <c r="AJ527" s="69"/>
      <c r="AK527" s="85"/>
      <c r="AL527" s="69"/>
      <c r="AM527" s="69"/>
      <c r="AN527" s="70"/>
      <c r="AO527" s="70"/>
      <c r="AP527" s="70"/>
      <c r="BG527" s="122"/>
    </row>
    <row r="528" spans="1:59" s="27" customFormat="1" ht="13.5" customHeight="1">
      <c r="A528" s="86"/>
      <c r="B528" s="317" t="s">
        <v>412</v>
      </c>
      <c r="C528" s="327" t="s">
        <v>437</v>
      </c>
      <c r="D528" s="327" t="s">
        <v>790</v>
      </c>
      <c r="E528" s="327" t="s">
        <v>453</v>
      </c>
      <c r="F528" s="327" t="s">
        <v>183</v>
      </c>
      <c r="G528" s="413" t="s">
        <v>703</v>
      </c>
      <c r="H528" s="327" t="s">
        <v>184</v>
      </c>
      <c r="I528" s="420" t="s">
        <v>600</v>
      </c>
      <c r="J528" s="327" t="s">
        <v>665</v>
      </c>
      <c r="K528" s="327" t="s">
        <v>666</v>
      </c>
      <c r="L528" s="327" t="s">
        <v>156</v>
      </c>
      <c r="M528" s="327" t="s">
        <v>441</v>
      </c>
      <c r="N528" s="327" t="s">
        <v>156</v>
      </c>
      <c r="O528" s="327" t="s">
        <v>183</v>
      </c>
      <c r="P528" s="327" t="s">
        <v>156</v>
      </c>
      <c r="Q528" s="327" t="s">
        <v>442</v>
      </c>
      <c r="R528" s="327" t="s">
        <v>443</v>
      </c>
      <c r="S528" s="327" t="s">
        <v>156</v>
      </c>
      <c r="T528" s="327" t="s">
        <v>156</v>
      </c>
      <c r="U528" s="327" t="s">
        <v>156</v>
      </c>
      <c r="V528" s="327" t="s">
        <v>156</v>
      </c>
      <c r="W528" s="327" t="s">
        <v>156</v>
      </c>
      <c r="X528" s="327" t="s">
        <v>411</v>
      </c>
      <c r="Y528" s="327" t="s">
        <v>444</v>
      </c>
      <c r="Z528" s="327" t="s">
        <v>445</v>
      </c>
      <c r="AA528" s="327" t="s">
        <v>445</v>
      </c>
      <c r="AB528" s="327" t="s">
        <v>446</v>
      </c>
      <c r="AC528" s="327" t="s">
        <v>455</v>
      </c>
      <c r="AD528" s="327" t="s">
        <v>455</v>
      </c>
      <c r="AH528" s="303"/>
      <c r="AI528" s="69"/>
      <c r="AJ528" s="63"/>
      <c r="AK528" s="85"/>
      <c r="AL528" s="69"/>
      <c r="AM528" s="69"/>
      <c r="AN528" s="70"/>
      <c r="AO528" s="70"/>
      <c r="AP528" s="70"/>
      <c r="BG528" s="122"/>
    </row>
    <row r="529" spans="1:59" s="27" customFormat="1" ht="13.5" customHeight="1">
      <c r="A529" s="87"/>
      <c r="B529" s="315" t="s">
        <v>410</v>
      </c>
      <c r="C529" s="316" t="s">
        <v>437</v>
      </c>
      <c r="D529" s="337" t="s">
        <v>182</v>
      </c>
      <c r="E529" s="316" t="s">
        <v>453</v>
      </c>
      <c r="F529" s="316" t="s">
        <v>454</v>
      </c>
      <c r="G529" s="316" t="s">
        <v>611</v>
      </c>
      <c r="H529" s="316" t="s">
        <v>184</v>
      </c>
      <c r="I529" s="419" t="s">
        <v>600</v>
      </c>
      <c r="J529" s="316" t="s">
        <v>440</v>
      </c>
      <c r="K529" s="316" t="s">
        <v>411</v>
      </c>
      <c r="L529" s="316" t="s">
        <v>156</v>
      </c>
      <c r="M529" s="316" t="s">
        <v>441</v>
      </c>
      <c r="N529" s="316" t="s">
        <v>156</v>
      </c>
      <c r="O529" s="316" t="s">
        <v>183</v>
      </c>
      <c r="P529" s="316" t="s">
        <v>156</v>
      </c>
      <c r="Q529" s="316" t="s">
        <v>442</v>
      </c>
      <c r="R529" s="316" t="s">
        <v>443</v>
      </c>
      <c r="S529" s="316" t="s">
        <v>156</v>
      </c>
      <c r="T529" s="316" t="s">
        <v>156</v>
      </c>
      <c r="U529" s="316" t="s">
        <v>156</v>
      </c>
      <c r="V529" s="316" t="s">
        <v>156</v>
      </c>
      <c r="W529" s="316" t="s">
        <v>156</v>
      </c>
      <c r="X529" s="316" t="s">
        <v>411</v>
      </c>
      <c r="Y529" s="316" t="s">
        <v>444</v>
      </c>
      <c r="Z529" s="316" t="s">
        <v>445</v>
      </c>
      <c r="AA529" s="316" t="s">
        <v>445</v>
      </c>
      <c r="AB529" s="316" t="s">
        <v>446</v>
      </c>
      <c r="AC529" s="316" t="s">
        <v>455</v>
      </c>
      <c r="AD529" s="316" t="s">
        <v>455</v>
      </c>
      <c r="AH529" s="303"/>
      <c r="AI529" s="69"/>
      <c r="AJ529" s="63"/>
      <c r="AK529" s="85"/>
      <c r="AL529" s="69"/>
      <c r="AM529" s="69"/>
      <c r="AN529" s="70"/>
      <c r="AO529" s="70"/>
      <c r="AP529" s="70"/>
      <c r="BG529" s="122"/>
    </row>
    <row r="530" spans="1:59" s="27" customFormat="1" ht="13.5" customHeight="1">
      <c r="A530" s="87"/>
      <c r="B530" s="315" t="s">
        <v>410</v>
      </c>
      <c r="C530" s="316" t="s">
        <v>437</v>
      </c>
      <c r="D530" s="337" t="s">
        <v>629</v>
      </c>
      <c r="E530" s="316" t="s">
        <v>453</v>
      </c>
      <c r="F530" s="316" t="s">
        <v>454</v>
      </c>
      <c r="G530" s="316" t="s">
        <v>183</v>
      </c>
      <c r="H530" s="316" t="s">
        <v>184</v>
      </c>
      <c r="I530" s="419" t="s">
        <v>600</v>
      </c>
      <c r="J530" s="316" t="s">
        <v>440</v>
      </c>
      <c r="K530" s="316" t="s">
        <v>411</v>
      </c>
      <c r="L530" s="316" t="s">
        <v>156</v>
      </c>
      <c r="M530" s="316" t="s">
        <v>441</v>
      </c>
      <c r="N530" s="316" t="s">
        <v>156</v>
      </c>
      <c r="O530" s="316" t="s">
        <v>183</v>
      </c>
      <c r="P530" s="316" t="s">
        <v>156</v>
      </c>
      <c r="Q530" s="316" t="s">
        <v>442</v>
      </c>
      <c r="R530" s="316" t="s">
        <v>443</v>
      </c>
      <c r="S530" s="316" t="s">
        <v>156</v>
      </c>
      <c r="T530" s="316" t="s">
        <v>156</v>
      </c>
      <c r="U530" s="316" t="s">
        <v>156</v>
      </c>
      <c r="V530" s="316" t="s">
        <v>156</v>
      </c>
      <c r="W530" s="316" t="s">
        <v>156</v>
      </c>
      <c r="X530" s="316" t="s">
        <v>411</v>
      </c>
      <c r="Y530" s="316" t="s">
        <v>444</v>
      </c>
      <c r="Z530" s="316" t="s">
        <v>445</v>
      </c>
      <c r="AA530" s="316" t="s">
        <v>445</v>
      </c>
      <c r="AB530" s="316" t="s">
        <v>446</v>
      </c>
      <c r="AC530" s="316" t="s">
        <v>455</v>
      </c>
      <c r="AD530" s="316" t="s">
        <v>455</v>
      </c>
      <c r="AH530" s="303"/>
      <c r="AI530" s="69"/>
      <c r="AJ530" s="63"/>
      <c r="AK530" s="85"/>
      <c r="AL530" s="69"/>
      <c r="AM530" s="69"/>
      <c r="AN530" s="70"/>
      <c r="AO530" s="70"/>
      <c r="AP530" s="70"/>
      <c r="BG530" s="122"/>
    </row>
    <row r="531" spans="1:59" ht="14">
      <c r="B531" s="358"/>
      <c r="C531" s="359"/>
      <c r="D531" s="359"/>
      <c r="E531" s="359"/>
      <c r="F531" s="359"/>
      <c r="G531" s="359"/>
      <c r="H531" s="359"/>
      <c r="I531" s="359"/>
      <c r="J531" s="359"/>
      <c r="M531" s="359"/>
      <c r="N531" s="359"/>
      <c r="O531" s="359"/>
      <c r="BG531" s="353"/>
    </row>
    <row r="532" spans="1:59" ht="15">
      <c r="B532" s="358"/>
      <c r="C532" s="449" t="s">
        <v>489</v>
      </c>
      <c r="D532" s="450"/>
      <c r="E532" s="450"/>
      <c r="F532" s="450"/>
      <c r="G532" s="450"/>
      <c r="H532" s="450"/>
      <c r="I532" s="450"/>
      <c r="J532" s="450"/>
      <c r="K532" s="450"/>
      <c r="L532" s="450"/>
      <c r="M532" s="450"/>
      <c r="N532" s="450"/>
      <c r="O532" s="450"/>
      <c r="P532" s="450"/>
      <c r="Q532" s="450"/>
      <c r="R532" s="450"/>
      <c r="S532" s="450"/>
      <c r="T532" s="450"/>
      <c r="U532" s="92"/>
      <c r="V532" s="92"/>
      <c r="W532" s="92"/>
      <c r="X532" s="92"/>
      <c r="Y532" s="92"/>
      <c r="Z532" s="92"/>
      <c r="AA532" s="93"/>
      <c r="AB532" s="93"/>
      <c r="AC532" s="93"/>
      <c r="AD532" s="93"/>
      <c r="AE532" s="93"/>
      <c r="AF532" s="93"/>
      <c r="AG532" s="93"/>
      <c r="AH532" s="93"/>
      <c r="AI532" s="93"/>
      <c r="AJ532" s="93"/>
      <c r="AK532" s="93"/>
      <c r="AL532" s="93"/>
      <c r="AM532" s="93"/>
      <c r="AN532" s="93"/>
      <c r="AO532" s="93"/>
      <c r="AP532" s="94"/>
      <c r="AQ532" s="94"/>
      <c r="AR532" s="94"/>
      <c r="AS532" s="94"/>
      <c r="AT532" s="94"/>
      <c r="AU532" s="94"/>
      <c r="AV532" s="94"/>
      <c r="AW532" s="94"/>
      <c r="AX532" s="94"/>
      <c r="AY532" s="94"/>
      <c r="AZ532" s="94"/>
      <c r="BA532" s="94"/>
      <c r="BB532" s="94"/>
      <c r="BC532" s="94"/>
      <c r="BD532" s="94"/>
      <c r="BE532" s="94"/>
      <c r="BF532" s="94"/>
      <c r="BG532" s="353"/>
    </row>
    <row r="533" spans="1:59" ht="15">
      <c r="B533" s="358"/>
      <c r="C533" s="322"/>
      <c r="D533" s="322"/>
      <c r="E533" s="322"/>
      <c r="F533" s="319" t="s">
        <v>169</v>
      </c>
      <c r="G533" s="319" t="s">
        <v>169</v>
      </c>
      <c r="H533" s="324" t="s">
        <v>169</v>
      </c>
      <c r="I533" s="319" t="s">
        <v>169</v>
      </c>
      <c r="J533" s="319" t="s">
        <v>169</v>
      </c>
      <c r="K533" s="324"/>
      <c r="L533" s="324"/>
      <c r="M533" s="324"/>
      <c r="N533" s="324"/>
      <c r="O533" s="324"/>
      <c r="P533" s="324"/>
      <c r="Q533" s="324"/>
      <c r="R533" s="324"/>
      <c r="S533" s="324"/>
      <c r="T533" s="324"/>
      <c r="U533" s="324"/>
      <c r="V533" s="324"/>
      <c r="W533" s="324"/>
      <c r="X533" s="324"/>
      <c r="Y533" s="324"/>
      <c r="Z533" s="324"/>
      <c r="AA533" s="325"/>
      <c r="AB533" s="325"/>
      <c r="AC533" s="325"/>
      <c r="AD533" s="325"/>
      <c r="AE533" s="325"/>
      <c r="AF533" s="325"/>
      <c r="AG533" s="325"/>
      <c r="AH533" s="325"/>
      <c r="AI533" s="325"/>
      <c r="AJ533" s="325"/>
      <c r="AK533" s="325"/>
      <c r="AL533" s="325"/>
      <c r="AM533" s="325"/>
      <c r="AN533" s="325"/>
      <c r="AO533" s="325"/>
      <c r="AP533" s="325"/>
      <c r="AQ533" s="325"/>
      <c r="AR533" s="325"/>
      <c r="AS533" s="325"/>
      <c r="AT533" s="325"/>
      <c r="AU533" s="325"/>
      <c r="AV533" s="325"/>
      <c r="AW533" s="325"/>
      <c r="AX533" s="325"/>
      <c r="AY533" s="325"/>
      <c r="AZ533" s="325"/>
      <c r="BA533" s="325"/>
      <c r="BB533" s="325"/>
      <c r="BC533" s="325"/>
      <c r="BD533" s="325"/>
      <c r="BE533" s="325"/>
      <c r="BF533" s="325"/>
      <c r="BG533" s="353"/>
    </row>
    <row r="534" spans="1:59" ht="25">
      <c r="B534" s="358"/>
      <c r="C534" s="312" t="s">
        <v>533</v>
      </c>
      <c r="D534" s="312" t="s">
        <v>588</v>
      </c>
      <c r="E534" s="312" t="s">
        <v>589</v>
      </c>
      <c r="F534" s="314" t="s">
        <v>96</v>
      </c>
      <c r="G534" s="314" t="s">
        <v>99</v>
      </c>
      <c r="H534" s="314" t="s">
        <v>130</v>
      </c>
      <c r="I534" s="314" t="s">
        <v>559</v>
      </c>
      <c r="J534" s="314" t="s">
        <v>127</v>
      </c>
      <c r="K534" s="314" t="s">
        <v>67</v>
      </c>
      <c r="L534" s="314" t="s">
        <v>456</v>
      </c>
      <c r="M534" s="314" t="s">
        <v>534</v>
      </c>
      <c r="N534" s="314" t="s">
        <v>535</v>
      </c>
      <c r="O534" s="314" t="s">
        <v>536</v>
      </c>
      <c r="P534" s="314" t="s">
        <v>537</v>
      </c>
      <c r="Q534" s="314" t="s">
        <v>538</v>
      </c>
      <c r="R534" s="314" t="s">
        <v>539</v>
      </c>
      <c r="S534" s="314" t="s">
        <v>540</v>
      </c>
      <c r="T534" s="314" t="s">
        <v>541</v>
      </c>
      <c r="U534" s="314" t="s">
        <v>542</v>
      </c>
      <c r="V534" s="314" t="s">
        <v>543</v>
      </c>
      <c r="W534" s="314" t="s">
        <v>544</v>
      </c>
      <c r="X534" s="314" t="s">
        <v>545</v>
      </c>
      <c r="Y534" s="314" t="s">
        <v>546</v>
      </c>
      <c r="Z534" s="314" t="s">
        <v>547</v>
      </c>
      <c r="AA534" s="314" t="s">
        <v>548</v>
      </c>
      <c r="AB534" s="314" t="s">
        <v>549</v>
      </c>
      <c r="AC534" s="314" t="s">
        <v>550</v>
      </c>
      <c r="AD534" s="314" t="s">
        <v>551</v>
      </c>
      <c r="AE534" s="314" t="s">
        <v>552</v>
      </c>
      <c r="AF534" s="314" t="s">
        <v>553</v>
      </c>
      <c r="AG534" s="314" t="s">
        <v>554</v>
      </c>
      <c r="AH534" s="314" t="s">
        <v>555</v>
      </c>
      <c r="AI534" s="314" t="s">
        <v>556</v>
      </c>
      <c r="AJ534" s="314" t="s">
        <v>558</v>
      </c>
      <c r="AK534" s="314" t="s">
        <v>557</v>
      </c>
      <c r="AL534" s="314" t="s">
        <v>566</v>
      </c>
      <c r="AM534" s="314" t="s">
        <v>560</v>
      </c>
      <c r="AN534" s="314" t="s">
        <v>561</v>
      </c>
      <c r="AO534" s="314" t="s">
        <v>562</v>
      </c>
      <c r="AP534" s="314" t="s">
        <v>563</v>
      </c>
      <c r="AQ534" s="314" t="s">
        <v>567</v>
      </c>
      <c r="AR534" s="314" t="s">
        <v>564</v>
      </c>
      <c r="AS534" s="314" t="s">
        <v>565</v>
      </c>
      <c r="AT534" s="314" t="s">
        <v>568</v>
      </c>
      <c r="AU534" s="314" t="s">
        <v>569</v>
      </c>
      <c r="AV534" s="314" t="s">
        <v>570</v>
      </c>
      <c r="AW534" s="314" t="s">
        <v>571</v>
      </c>
      <c r="AX534" s="314" t="s">
        <v>572</v>
      </c>
      <c r="AY534" s="314" t="s">
        <v>573</v>
      </c>
      <c r="AZ534" s="314" t="s">
        <v>397</v>
      </c>
      <c r="BA534" s="314" t="s">
        <v>398</v>
      </c>
      <c r="BB534" s="314" t="s">
        <v>399</v>
      </c>
      <c r="BC534" s="314" t="s">
        <v>400</v>
      </c>
      <c r="BD534" s="314" t="s">
        <v>151</v>
      </c>
      <c r="BE534" s="314" t="s">
        <v>152</v>
      </c>
      <c r="BF534" s="314" t="s">
        <v>401</v>
      </c>
      <c r="BG534" s="353"/>
    </row>
    <row r="535" spans="1:59">
      <c r="B535" s="358"/>
      <c r="C535" s="312" t="s">
        <v>371</v>
      </c>
      <c r="D535" s="312" t="s">
        <v>381</v>
      </c>
      <c r="E535" s="312" t="s">
        <v>390</v>
      </c>
      <c r="F535" s="313" t="s">
        <v>490</v>
      </c>
      <c r="G535" s="313" t="s">
        <v>491</v>
      </c>
      <c r="H535" s="313" t="s">
        <v>492</v>
      </c>
      <c r="I535" s="313" t="s">
        <v>519</v>
      </c>
      <c r="J535" s="313" t="s">
        <v>525</v>
      </c>
      <c r="K535" s="313" t="s">
        <v>419</v>
      </c>
      <c r="L535" s="313" t="s">
        <v>420</v>
      </c>
      <c r="M535" s="313" t="s">
        <v>493</v>
      </c>
      <c r="N535" s="313" t="s">
        <v>494</v>
      </c>
      <c r="O535" s="313" t="s">
        <v>495</v>
      </c>
      <c r="P535" s="313" t="s">
        <v>496</v>
      </c>
      <c r="Q535" s="313" t="s">
        <v>497</v>
      </c>
      <c r="R535" s="313" t="s">
        <v>498</v>
      </c>
      <c r="S535" s="313" t="s">
        <v>499</v>
      </c>
      <c r="T535" s="313" t="s">
        <v>500</v>
      </c>
      <c r="U535" s="313" t="s">
        <v>501</v>
      </c>
      <c r="V535" s="313" t="s">
        <v>502</v>
      </c>
      <c r="W535" s="313" t="s">
        <v>503</v>
      </c>
      <c r="X535" s="313" t="s">
        <v>504</v>
      </c>
      <c r="Y535" s="313" t="s">
        <v>505</v>
      </c>
      <c r="Z535" s="313" t="s">
        <v>506</v>
      </c>
      <c r="AA535" s="313" t="s">
        <v>507</v>
      </c>
      <c r="AB535" s="313" t="s">
        <v>508</v>
      </c>
      <c r="AC535" s="313" t="s">
        <v>509</v>
      </c>
      <c r="AD535" s="313" t="s">
        <v>510</v>
      </c>
      <c r="AE535" s="313" t="s">
        <v>511</v>
      </c>
      <c r="AF535" s="313" t="s">
        <v>512</v>
      </c>
      <c r="AG535" s="313" t="s">
        <v>513</v>
      </c>
      <c r="AH535" s="313" t="s">
        <v>514</v>
      </c>
      <c r="AI535" s="313" t="s">
        <v>515</v>
      </c>
      <c r="AJ535" s="313" t="s">
        <v>516</v>
      </c>
      <c r="AK535" s="313" t="s">
        <v>517</v>
      </c>
      <c r="AL535" s="313" t="s">
        <v>518</v>
      </c>
      <c r="AM535" s="313" t="s">
        <v>520</v>
      </c>
      <c r="AN535" s="313" t="s">
        <v>521</v>
      </c>
      <c r="AO535" s="313" t="s">
        <v>522</v>
      </c>
      <c r="AP535" s="313" t="s">
        <v>402</v>
      </c>
      <c r="AQ535" s="313" t="s">
        <v>523</v>
      </c>
      <c r="AR535" s="313" t="s">
        <v>524</v>
      </c>
      <c r="AS535" s="313" t="s">
        <v>526</v>
      </c>
      <c r="AT535" s="313" t="s">
        <v>527</v>
      </c>
      <c r="AU535" s="313" t="s">
        <v>528</v>
      </c>
      <c r="AV535" s="313" t="s">
        <v>529</v>
      </c>
      <c r="AW535" s="313" t="s">
        <v>530</v>
      </c>
      <c r="AX535" s="313" t="s">
        <v>531</v>
      </c>
      <c r="AY535" s="313" t="s">
        <v>532</v>
      </c>
      <c r="AZ535" s="313" t="s">
        <v>403</v>
      </c>
      <c r="BA535" s="313" t="s">
        <v>404</v>
      </c>
      <c r="BB535" s="313" t="s">
        <v>405</v>
      </c>
      <c r="BC535" s="313" t="s">
        <v>406</v>
      </c>
      <c r="BD535" s="313" t="s">
        <v>407</v>
      </c>
      <c r="BE535" s="313" t="s">
        <v>408</v>
      </c>
      <c r="BF535" s="313" t="s">
        <v>409</v>
      </c>
      <c r="BG535" s="353"/>
    </row>
    <row r="536" spans="1:59">
      <c r="B536" s="358"/>
      <c r="C536" s="312" t="s">
        <v>472</v>
      </c>
      <c r="D536" s="312" t="s">
        <v>574</v>
      </c>
      <c r="E536" s="312" t="s">
        <v>473</v>
      </c>
      <c r="F536" s="326" t="s">
        <v>474</v>
      </c>
      <c r="G536" s="326" t="s">
        <v>474</v>
      </c>
      <c r="H536" s="326" t="s">
        <v>474</v>
      </c>
      <c r="I536" s="326" t="s">
        <v>474</v>
      </c>
      <c r="J536" s="326" t="s">
        <v>476</v>
      </c>
      <c r="K536" s="326" t="s">
        <v>474</v>
      </c>
      <c r="L536" s="326" t="s">
        <v>474</v>
      </c>
      <c r="M536" s="326" t="s">
        <v>575</v>
      </c>
      <c r="N536" s="326" t="s">
        <v>575</v>
      </c>
      <c r="O536" s="326" t="s">
        <v>473</v>
      </c>
      <c r="P536" s="326" t="s">
        <v>576</v>
      </c>
      <c r="Q536" s="326" t="s">
        <v>474</v>
      </c>
      <c r="R536" s="326" t="s">
        <v>481</v>
      </c>
      <c r="S536" s="326" t="s">
        <v>476</v>
      </c>
      <c r="T536" s="326" t="s">
        <v>481</v>
      </c>
      <c r="U536" s="326" t="s">
        <v>476</v>
      </c>
      <c r="V536" s="326" t="s">
        <v>476</v>
      </c>
      <c r="W536" s="326" t="s">
        <v>474</v>
      </c>
      <c r="X536" s="326" t="s">
        <v>577</v>
      </c>
      <c r="Y536" s="326" t="s">
        <v>577</v>
      </c>
      <c r="Z536" s="326" t="s">
        <v>478</v>
      </c>
      <c r="AA536" s="326" t="s">
        <v>576</v>
      </c>
      <c r="AB536" s="326" t="s">
        <v>576</v>
      </c>
      <c r="AC536" s="326" t="s">
        <v>476</v>
      </c>
      <c r="AD536" s="326" t="s">
        <v>480</v>
      </c>
      <c r="AE536" s="326" t="s">
        <v>481</v>
      </c>
      <c r="AF536" s="326" t="s">
        <v>481</v>
      </c>
      <c r="AG536" s="326" t="s">
        <v>578</v>
      </c>
      <c r="AH536" s="326" t="s">
        <v>578</v>
      </c>
      <c r="AI536" s="326" t="s">
        <v>481</v>
      </c>
      <c r="AJ536" s="326" t="s">
        <v>481</v>
      </c>
      <c r="AK536" s="326" t="s">
        <v>578</v>
      </c>
      <c r="AL536" s="326" t="s">
        <v>578</v>
      </c>
      <c r="AM536" s="326" t="s">
        <v>474</v>
      </c>
      <c r="AN536" s="326" t="s">
        <v>474</v>
      </c>
      <c r="AO536" s="326" t="s">
        <v>474</v>
      </c>
      <c r="AP536" s="326" t="s">
        <v>478</v>
      </c>
      <c r="AQ536" s="326" t="s">
        <v>473</v>
      </c>
      <c r="AR536" s="326" t="s">
        <v>474</v>
      </c>
      <c r="AS536" s="326" t="s">
        <v>476</v>
      </c>
      <c r="AT536" s="326" t="s">
        <v>474</v>
      </c>
      <c r="AU536" s="326" t="s">
        <v>579</v>
      </c>
      <c r="AV536" s="326" t="s">
        <v>481</v>
      </c>
      <c r="AW536" s="326" t="s">
        <v>478</v>
      </c>
      <c r="AX536" s="326" t="s">
        <v>474</v>
      </c>
      <c r="AY536" s="326" t="s">
        <v>474</v>
      </c>
      <c r="AZ536" s="326" t="s">
        <v>485</v>
      </c>
      <c r="BA536" s="326" t="s">
        <v>486</v>
      </c>
      <c r="BB536" s="326" t="s">
        <v>488</v>
      </c>
      <c r="BC536" s="326" t="s">
        <v>488</v>
      </c>
      <c r="BD536" s="326" t="s">
        <v>486</v>
      </c>
      <c r="BE536" s="326" t="s">
        <v>488</v>
      </c>
      <c r="BF536" s="326" t="s">
        <v>488</v>
      </c>
      <c r="BG536" s="353"/>
    </row>
    <row r="537" spans="1:59" ht="15">
      <c r="B537" s="315" t="s">
        <v>410</v>
      </c>
      <c r="C537" s="327" t="s">
        <v>437</v>
      </c>
      <c r="D537" s="337" t="s">
        <v>630</v>
      </c>
      <c r="E537" s="327" t="s">
        <v>182</v>
      </c>
      <c r="F537" s="328" t="s">
        <v>185</v>
      </c>
      <c r="G537" s="327" t="s">
        <v>411</v>
      </c>
      <c r="H537" s="327" t="s">
        <v>411</v>
      </c>
      <c r="I537" s="330">
        <v>0</v>
      </c>
      <c r="J537" s="331">
        <v>30</v>
      </c>
      <c r="K537" s="327" t="s">
        <v>439</v>
      </c>
      <c r="L537" s="327" t="s">
        <v>439</v>
      </c>
      <c r="M537" s="327" t="s">
        <v>156</v>
      </c>
      <c r="N537" s="327" t="s">
        <v>156</v>
      </c>
      <c r="O537" s="327" t="s">
        <v>584</v>
      </c>
      <c r="P537" s="327" t="s">
        <v>156</v>
      </c>
      <c r="Q537" s="329" t="s">
        <v>585</v>
      </c>
      <c r="R537" s="327" t="s">
        <v>183</v>
      </c>
      <c r="S537" s="327" t="s">
        <v>411</v>
      </c>
      <c r="T537" s="327" t="s">
        <v>581</v>
      </c>
      <c r="U537" s="327" t="s">
        <v>582</v>
      </c>
      <c r="V537" s="327" t="s">
        <v>586</v>
      </c>
      <c r="W537" s="327" t="s">
        <v>183</v>
      </c>
      <c r="X537" s="327" t="s">
        <v>411</v>
      </c>
      <c r="Y537" s="327" t="s">
        <v>411</v>
      </c>
      <c r="Z537" s="327"/>
      <c r="AA537" s="330"/>
      <c r="AB537" s="330" t="s">
        <v>587</v>
      </c>
      <c r="AC537" s="333">
        <v>5000</v>
      </c>
      <c r="AD537" s="330">
        <v>99999999</v>
      </c>
      <c r="AE537" s="327" t="s">
        <v>411</v>
      </c>
      <c r="AF537" s="327" t="s">
        <v>439</v>
      </c>
      <c r="AG537" s="327" t="s">
        <v>411</v>
      </c>
      <c r="AH537" s="327" t="s">
        <v>411</v>
      </c>
      <c r="AI537" s="330">
        <v>0</v>
      </c>
      <c r="AJ537" s="330">
        <v>0</v>
      </c>
      <c r="AK537" s="330">
        <v>0</v>
      </c>
      <c r="AL537" s="330">
        <v>0</v>
      </c>
      <c r="AM537" s="327" t="s">
        <v>183</v>
      </c>
      <c r="AN537" s="330">
        <v>0</v>
      </c>
      <c r="AO537" s="327" t="s">
        <v>411</v>
      </c>
      <c r="AP537" s="330">
        <v>1</v>
      </c>
      <c r="AQ537" s="331">
        <v>1111</v>
      </c>
      <c r="AR537" s="331" t="s">
        <v>583</v>
      </c>
      <c r="AS537" s="331">
        <v>10</v>
      </c>
      <c r="AT537" s="331">
        <v>1</v>
      </c>
      <c r="AU537" s="331">
        <v>0</v>
      </c>
      <c r="AV537" s="331">
        <v>0</v>
      </c>
      <c r="AW537" s="331">
        <v>0</v>
      </c>
      <c r="AX537" s="331">
        <v>0</v>
      </c>
      <c r="AY537" s="331">
        <v>1</v>
      </c>
      <c r="AZ537" s="331">
        <v>0</v>
      </c>
      <c r="BA537" s="332">
        <v>40640.750486111108</v>
      </c>
      <c r="BB537" s="331">
        <v>470195</v>
      </c>
      <c r="BC537" s="331">
        <v>470195</v>
      </c>
      <c r="BD537" s="332">
        <v>45392.67769675926</v>
      </c>
      <c r="BE537" s="331">
        <v>363363</v>
      </c>
      <c r="BF537" s="331">
        <v>363363</v>
      </c>
      <c r="BG537" s="353"/>
    </row>
    <row r="538" spans="1:59" ht="14">
      <c r="B538" s="317" t="s">
        <v>412</v>
      </c>
      <c r="C538" s="327" t="s">
        <v>437</v>
      </c>
      <c r="D538" s="327" t="s">
        <v>790</v>
      </c>
      <c r="E538" s="327" t="s">
        <v>453</v>
      </c>
      <c r="F538" s="327" t="s">
        <v>185</v>
      </c>
      <c r="G538" s="327" t="s">
        <v>411</v>
      </c>
      <c r="H538" s="327" t="s">
        <v>411</v>
      </c>
      <c r="I538" s="327" t="s">
        <v>411</v>
      </c>
      <c r="J538" s="327" t="s">
        <v>675</v>
      </c>
      <c r="K538" s="327" t="s">
        <v>703</v>
      </c>
      <c r="L538" s="420" t="s">
        <v>600</v>
      </c>
      <c r="M538" s="327" t="s">
        <v>156</v>
      </c>
      <c r="N538" s="327" t="s">
        <v>156</v>
      </c>
      <c r="O538" s="327" t="s">
        <v>584</v>
      </c>
      <c r="P538" s="327" t="s">
        <v>156</v>
      </c>
      <c r="Q538" s="327" t="s">
        <v>585</v>
      </c>
      <c r="R538" s="327" t="s">
        <v>183</v>
      </c>
      <c r="S538" s="327" t="s">
        <v>666</v>
      </c>
      <c r="T538" s="327" t="s">
        <v>581</v>
      </c>
      <c r="U538" s="327" t="s">
        <v>667</v>
      </c>
      <c r="V538" s="327" t="s">
        <v>668</v>
      </c>
      <c r="W538" s="327" t="s">
        <v>183</v>
      </c>
      <c r="X538" s="327" t="s">
        <v>669</v>
      </c>
      <c r="Y538" s="327" t="s">
        <v>669</v>
      </c>
      <c r="Z538" s="327"/>
      <c r="AA538" s="327"/>
      <c r="AB538" s="327" t="s">
        <v>587</v>
      </c>
      <c r="AC538" s="327" t="s">
        <v>668</v>
      </c>
      <c r="AD538" s="327" t="s">
        <v>673</v>
      </c>
      <c r="AE538" s="327" t="s">
        <v>411</v>
      </c>
      <c r="AF538" s="327" t="s">
        <v>439</v>
      </c>
      <c r="AG538" s="327" t="s">
        <v>411</v>
      </c>
      <c r="AH538" s="327" t="s">
        <v>411</v>
      </c>
      <c r="AI538" s="327" t="s">
        <v>411</v>
      </c>
      <c r="AJ538" s="327" t="s">
        <v>411</v>
      </c>
      <c r="AK538" s="327" t="s">
        <v>411</v>
      </c>
      <c r="AL538" s="327" t="s">
        <v>411</v>
      </c>
      <c r="AM538" s="327" t="s">
        <v>183</v>
      </c>
      <c r="AN538" s="327" t="s">
        <v>411</v>
      </c>
      <c r="AO538" s="327" t="s">
        <v>411</v>
      </c>
      <c r="AP538" s="327" t="s">
        <v>413</v>
      </c>
      <c r="AQ538" s="327" t="s">
        <v>674</v>
      </c>
      <c r="AR538" s="327" t="s">
        <v>583</v>
      </c>
      <c r="AS538" s="327" t="s">
        <v>676</v>
      </c>
      <c r="AT538" s="327" t="s">
        <v>183</v>
      </c>
      <c r="AU538" s="327" t="s">
        <v>666</v>
      </c>
      <c r="AV538" s="327" t="s">
        <v>411</v>
      </c>
      <c r="AW538" s="327" t="s">
        <v>441</v>
      </c>
      <c r="AX538" s="327" t="s">
        <v>411</v>
      </c>
      <c r="AY538" s="327" t="s">
        <v>183</v>
      </c>
      <c r="AZ538" s="327" t="s">
        <v>411</v>
      </c>
      <c r="BA538" s="327" t="s">
        <v>450</v>
      </c>
      <c r="BB538" s="327" t="s">
        <v>451</v>
      </c>
      <c r="BC538" s="327" t="s">
        <v>451</v>
      </c>
      <c r="BD538" s="327" t="s">
        <v>677</v>
      </c>
      <c r="BE538" s="327" t="s">
        <v>678</v>
      </c>
      <c r="BF538" s="327" t="s">
        <v>678</v>
      </c>
      <c r="BG538" s="353"/>
    </row>
    <row r="539" spans="1:59" ht="15">
      <c r="B539" s="315" t="s">
        <v>410</v>
      </c>
      <c r="C539" s="327" t="s">
        <v>437</v>
      </c>
      <c r="D539" s="337" t="s">
        <v>629</v>
      </c>
      <c r="E539" s="338" t="s">
        <v>182</v>
      </c>
      <c r="F539" s="334" t="s">
        <v>454</v>
      </c>
      <c r="G539" s="327" t="s">
        <v>411</v>
      </c>
      <c r="H539" s="327" t="s">
        <v>411</v>
      </c>
      <c r="I539" s="330">
        <v>1</v>
      </c>
      <c r="J539" s="331">
        <v>0</v>
      </c>
      <c r="K539" s="327" t="s">
        <v>183</v>
      </c>
      <c r="L539" s="420" t="s">
        <v>600</v>
      </c>
      <c r="M539" s="327" t="s">
        <v>156</v>
      </c>
      <c r="N539" s="327" t="s">
        <v>156</v>
      </c>
      <c r="O539" s="327" t="s">
        <v>156</v>
      </c>
      <c r="P539" s="327" t="s">
        <v>156</v>
      </c>
      <c r="Q539" s="329" t="s">
        <v>580</v>
      </c>
      <c r="R539" s="327" t="s">
        <v>411</v>
      </c>
      <c r="S539" s="327" t="s">
        <v>411</v>
      </c>
      <c r="T539" s="327" t="s">
        <v>581</v>
      </c>
      <c r="U539" s="327" t="s">
        <v>582</v>
      </c>
      <c r="V539" s="327" t="s">
        <v>183</v>
      </c>
      <c r="W539" s="327" t="s">
        <v>183</v>
      </c>
      <c r="X539" s="327" t="s">
        <v>411</v>
      </c>
      <c r="Y539" s="327" t="s">
        <v>411</v>
      </c>
      <c r="Z539" s="327" t="s">
        <v>156</v>
      </c>
      <c r="AA539" s="330" t="s">
        <v>156</v>
      </c>
      <c r="AB539" s="330" t="s">
        <v>156</v>
      </c>
      <c r="AC539" s="330">
        <v>1</v>
      </c>
      <c r="AD539" s="330">
        <v>99999999</v>
      </c>
      <c r="AE539" s="327" t="s">
        <v>411</v>
      </c>
      <c r="AF539" s="327" t="s">
        <v>411</v>
      </c>
      <c r="AG539" s="327" t="s">
        <v>411</v>
      </c>
      <c r="AH539" s="327" t="s">
        <v>411</v>
      </c>
      <c r="AI539" s="330">
        <v>0</v>
      </c>
      <c r="AJ539" s="330">
        <v>0</v>
      </c>
      <c r="AK539" s="330">
        <v>0</v>
      </c>
      <c r="AL539" s="330">
        <v>0</v>
      </c>
      <c r="AM539" s="327" t="s">
        <v>183</v>
      </c>
      <c r="AN539" s="330">
        <v>0</v>
      </c>
      <c r="AO539" s="327" t="s">
        <v>411</v>
      </c>
      <c r="AP539" s="330">
        <v>1</v>
      </c>
      <c r="AQ539" s="331" t="s">
        <v>156</v>
      </c>
      <c r="AR539" s="331" t="s">
        <v>583</v>
      </c>
      <c r="AS539" s="331">
        <v>0</v>
      </c>
      <c r="AT539" s="331">
        <v>1</v>
      </c>
      <c r="AU539" s="331">
        <v>0</v>
      </c>
      <c r="AV539" s="331">
        <v>0</v>
      </c>
      <c r="AW539" s="331">
        <v>0</v>
      </c>
      <c r="AX539" s="331">
        <v>0</v>
      </c>
      <c r="AY539" s="331">
        <v>1</v>
      </c>
      <c r="AZ539" s="331">
        <v>0</v>
      </c>
      <c r="BA539" s="332">
        <v>29705</v>
      </c>
      <c r="BB539" s="331" t="s">
        <v>445</v>
      </c>
      <c r="BC539" s="331" t="s">
        <v>445</v>
      </c>
      <c r="BD539" s="332">
        <v>36413</v>
      </c>
      <c r="BE539" s="331" t="s">
        <v>445</v>
      </c>
      <c r="BF539" s="331" t="s">
        <v>445</v>
      </c>
      <c r="BG539" s="353"/>
    </row>
    <row r="540" spans="1:59" ht="14">
      <c r="B540" s="315" t="s">
        <v>410</v>
      </c>
      <c r="C540" s="327" t="s">
        <v>437</v>
      </c>
      <c r="D540" s="337" t="s">
        <v>182</v>
      </c>
      <c r="E540" s="327" t="s">
        <v>453</v>
      </c>
      <c r="F540" s="327" t="s">
        <v>185</v>
      </c>
      <c r="G540" s="327" t="s">
        <v>411</v>
      </c>
      <c r="H540" s="327" t="s">
        <v>411</v>
      </c>
      <c r="I540" s="327">
        <v>0</v>
      </c>
      <c r="J540" s="327">
        <v>30</v>
      </c>
      <c r="K540" s="327" t="s">
        <v>611</v>
      </c>
      <c r="L540" s="420" t="s">
        <v>600</v>
      </c>
      <c r="M540" s="327" t="s">
        <v>156</v>
      </c>
      <c r="N540" s="327" t="s">
        <v>156</v>
      </c>
      <c r="O540" s="327" t="s">
        <v>584</v>
      </c>
      <c r="P540" s="327" t="s">
        <v>156</v>
      </c>
      <c r="Q540" s="327" t="s">
        <v>585</v>
      </c>
      <c r="R540" s="327" t="s">
        <v>183</v>
      </c>
      <c r="S540" s="327" t="s">
        <v>411</v>
      </c>
      <c r="T540" s="327" t="s">
        <v>581</v>
      </c>
      <c r="U540" s="327" t="s">
        <v>582</v>
      </c>
      <c r="V540" s="327" t="s">
        <v>586</v>
      </c>
      <c r="W540" s="327" t="s">
        <v>183</v>
      </c>
      <c r="X540" s="327" t="s">
        <v>411</v>
      </c>
      <c r="Y540" s="327" t="s">
        <v>411</v>
      </c>
      <c r="Z540" s="327"/>
      <c r="AA540" s="327"/>
      <c r="AB540" s="327" t="s">
        <v>587</v>
      </c>
      <c r="AC540" s="327">
        <v>5000</v>
      </c>
      <c r="AD540" s="327">
        <v>99999999</v>
      </c>
      <c r="AE540" s="327" t="s">
        <v>411</v>
      </c>
      <c r="AF540" s="327" t="s">
        <v>439</v>
      </c>
      <c r="AG540" s="327" t="s">
        <v>411</v>
      </c>
      <c r="AH540" s="327" t="s">
        <v>411</v>
      </c>
      <c r="AI540" s="327">
        <v>0</v>
      </c>
      <c r="AJ540" s="327">
        <v>0</v>
      </c>
      <c r="AK540" s="327">
        <v>0</v>
      </c>
      <c r="AL540" s="327">
        <v>0</v>
      </c>
      <c r="AM540" s="327" t="s">
        <v>183</v>
      </c>
      <c r="AN540" s="327">
        <v>0</v>
      </c>
      <c r="AO540" s="327" t="s">
        <v>411</v>
      </c>
      <c r="AP540" s="327">
        <v>1</v>
      </c>
      <c r="AQ540" s="327">
        <v>1111</v>
      </c>
      <c r="AR540" s="327" t="s">
        <v>583</v>
      </c>
      <c r="AS540" s="327">
        <v>10</v>
      </c>
      <c r="AT540" s="327">
        <v>1</v>
      </c>
      <c r="AU540" s="327">
        <v>0</v>
      </c>
      <c r="AV540" s="327">
        <v>0</v>
      </c>
      <c r="AW540" s="327">
        <v>0</v>
      </c>
      <c r="AX540" s="327">
        <v>0</v>
      </c>
      <c r="AY540" s="327">
        <v>1</v>
      </c>
      <c r="AZ540" s="327">
        <v>0</v>
      </c>
      <c r="BA540" s="327">
        <v>40640.750486111108</v>
      </c>
      <c r="BB540" s="327">
        <v>470195</v>
      </c>
      <c r="BC540" s="327">
        <v>470195</v>
      </c>
      <c r="BD540" s="327">
        <v>45392.67769675926</v>
      </c>
      <c r="BE540" s="327">
        <v>363363</v>
      </c>
      <c r="BF540" s="327">
        <v>363363</v>
      </c>
      <c r="BG540" s="353"/>
    </row>
    <row r="541" spans="1:59">
      <c r="B541" s="358"/>
      <c r="BG541" s="353"/>
    </row>
    <row r="542" spans="1:59" ht="14">
      <c r="B542" s="358"/>
      <c r="C542" s="359" t="s">
        <v>153</v>
      </c>
      <c r="D542" s="359"/>
      <c r="E542" s="359"/>
      <c r="F542" s="359"/>
      <c r="G542" s="359"/>
      <c r="H542" s="359"/>
      <c r="I542" s="359"/>
      <c r="J542" s="359"/>
      <c r="M542" s="359"/>
      <c r="N542" s="359"/>
      <c r="O542" s="359"/>
      <c r="BG542" s="353"/>
    </row>
    <row r="543" spans="1:59" ht="14">
      <c r="B543" s="358"/>
      <c r="C543" s="359" t="s">
        <v>590</v>
      </c>
      <c r="D543" s="359" t="s">
        <v>591</v>
      </c>
      <c r="E543" s="359" t="s">
        <v>159</v>
      </c>
      <c r="F543" s="359" t="s">
        <v>592</v>
      </c>
      <c r="G543" s="359" t="s">
        <v>593</v>
      </c>
      <c r="H543" s="359" t="s">
        <v>594</v>
      </c>
      <c r="I543" s="359" t="s">
        <v>595</v>
      </c>
      <c r="J543" s="359" t="s">
        <v>596</v>
      </c>
      <c r="K543" s="359" t="s">
        <v>597</v>
      </c>
      <c r="L543" s="359" t="s">
        <v>598</v>
      </c>
      <c r="M543" s="359" t="s">
        <v>599</v>
      </c>
      <c r="BG543" s="353"/>
    </row>
    <row r="544" spans="1:59" ht="14">
      <c r="B544" s="358"/>
      <c r="C544" s="359">
        <v>-2</v>
      </c>
      <c r="D544" s="359" t="s">
        <v>156</v>
      </c>
      <c r="E544" s="359" t="s">
        <v>806</v>
      </c>
      <c r="F544" s="359" t="s">
        <v>808</v>
      </c>
      <c r="G544" s="359" t="s">
        <v>623</v>
      </c>
      <c r="H544" s="359" t="s">
        <v>156</v>
      </c>
      <c r="I544" s="359" t="s">
        <v>156</v>
      </c>
      <c r="J544" s="359" t="s">
        <v>156</v>
      </c>
      <c r="K544" s="359" t="s">
        <v>156</v>
      </c>
      <c r="L544" s="359">
        <v>0</v>
      </c>
      <c r="M544" s="359" t="s">
        <v>156</v>
      </c>
      <c r="BG544" s="353"/>
    </row>
    <row r="545" spans="2:59" ht="13.5" thickBot="1">
      <c r="B545" s="358"/>
      <c r="BG545" s="353"/>
    </row>
    <row r="546" spans="2:59" ht="14" thickBot="1">
      <c r="B546" s="299" t="s">
        <v>711</v>
      </c>
      <c r="C546" s="300" t="s">
        <v>712</v>
      </c>
      <c r="D546" s="300"/>
      <c r="E546" s="300"/>
      <c r="F546" s="300"/>
      <c r="G546" s="300"/>
      <c r="H546" s="300"/>
      <c r="I546" s="300"/>
      <c r="J546" s="300"/>
      <c r="K546" s="300"/>
      <c r="L546" s="300"/>
      <c r="M546" s="300"/>
      <c r="N546" s="300"/>
      <c r="O546" s="300"/>
      <c r="P546" s="300"/>
      <c r="Q546" s="300"/>
      <c r="R546" s="300"/>
      <c r="S546" s="300"/>
      <c r="T546" s="300"/>
      <c r="U546" s="300"/>
      <c r="V546" s="300"/>
      <c r="W546" s="300"/>
      <c r="X546" s="300"/>
      <c r="Y546" s="300"/>
      <c r="Z546" s="300"/>
      <c r="AA546" s="300"/>
      <c r="AB546" s="300"/>
      <c r="AC546" s="300"/>
      <c r="AD546" s="300"/>
      <c r="AE546" s="300"/>
      <c r="AF546" s="300"/>
      <c r="AG546" s="300"/>
      <c r="AH546" s="300"/>
      <c r="AI546" s="300"/>
      <c r="AJ546" s="300"/>
      <c r="AK546" s="300"/>
      <c r="AL546" s="300"/>
      <c r="AM546" s="300"/>
      <c r="AN546" s="300"/>
      <c r="AO546" s="300"/>
      <c r="AP546" s="300"/>
      <c r="AQ546" s="300"/>
      <c r="AR546" s="300"/>
      <c r="AS546" s="300"/>
      <c r="AT546" s="300"/>
      <c r="AU546" s="300"/>
      <c r="AV546" s="300"/>
      <c r="AW546" s="300"/>
      <c r="AX546" s="300"/>
      <c r="AY546" s="300"/>
      <c r="AZ546" s="300"/>
      <c r="BA546" s="300"/>
      <c r="BB546" s="300"/>
      <c r="BC546" s="300"/>
      <c r="BD546" s="300"/>
      <c r="BE546" s="300"/>
      <c r="BF546" s="300"/>
      <c r="BG546" s="353"/>
    </row>
    <row r="547" spans="2:59" ht="14" thickBot="1">
      <c r="B547" s="335" t="s">
        <v>805</v>
      </c>
      <c r="C547" s="300" t="s">
        <v>615</v>
      </c>
      <c r="D547" s="300"/>
      <c r="E547" s="300"/>
      <c r="F547" s="300"/>
      <c r="G547" s="300"/>
      <c r="H547" s="300"/>
      <c r="I547" s="300"/>
      <c r="J547" s="300"/>
      <c r="K547" s="300"/>
      <c r="L547" s="300"/>
      <c r="M547" s="300"/>
      <c r="N547" s="300"/>
      <c r="O547" s="300"/>
      <c r="P547" s="300"/>
      <c r="Q547" s="300"/>
      <c r="R547" s="300"/>
      <c r="S547" s="300"/>
      <c r="T547" s="300"/>
      <c r="U547" s="300"/>
      <c r="V547" s="300"/>
      <c r="W547" s="300"/>
      <c r="X547" s="300"/>
      <c r="Y547" s="300"/>
      <c r="Z547" s="300"/>
      <c r="AA547" s="300"/>
      <c r="AB547" s="300"/>
      <c r="AC547" s="300"/>
      <c r="AD547" s="300"/>
      <c r="AE547" s="300"/>
      <c r="AF547" s="300"/>
      <c r="AG547" s="300"/>
      <c r="AH547" s="300"/>
      <c r="AI547" s="300"/>
      <c r="AJ547" s="300"/>
      <c r="AK547" s="300"/>
      <c r="AL547" s="300"/>
      <c r="AM547" s="300"/>
      <c r="AN547" s="300"/>
      <c r="AO547" s="300"/>
      <c r="AP547" s="300"/>
      <c r="AQ547" s="300"/>
      <c r="AR547" s="300"/>
      <c r="AS547" s="300"/>
      <c r="AT547" s="300"/>
      <c r="AU547" s="300"/>
      <c r="AV547" s="300"/>
      <c r="AW547" s="300"/>
      <c r="AX547" s="300"/>
      <c r="AY547" s="300"/>
      <c r="AZ547" s="300"/>
      <c r="BA547" s="300"/>
      <c r="BB547" s="300"/>
      <c r="BC547" s="300"/>
      <c r="BD547" s="300"/>
      <c r="BE547" s="300"/>
      <c r="BF547" s="300"/>
      <c r="BG547" s="353"/>
    </row>
    <row r="548" spans="2:59">
      <c r="B548" s="358"/>
      <c r="BG548" s="353"/>
    </row>
    <row r="549" spans="2:59" ht="13.5">
      <c r="B549" s="358"/>
      <c r="C549" s="356" t="s">
        <v>396</v>
      </c>
      <c r="BG549" s="353"/>
    </row>
    <row r="550" spans="2:59" ht="13.5">
      <c r="B550" s="358"/>
      <c r="C550" s="356" t="s">
        <v>713</v>
      </c>
      <c r="BG550" s="353"/>
    </row>
    <row r="551" spans="2:59">
      <c r="B551" s="358"/>
      <c r="BG551" s="353"/>
    </row>
    <row r="552" spans="2:59" ht="15">
      <c r="B552" s="301"/>
      <c r="C552" s="449" t="s">
        <v>436</v>
      </c>
      <c r="D552" s="450"/>
      <c r="E552" s="450"/>
      <c r="F552" s="451"/>
      <c r="G552" s="451"/>
      <c r="H552" s="451"/>
      <c r="I552" s="451"/>
      <c r="J552" s="451"/>
      <c r="K552" s="451"/>
      <c r="L552" s="451"/>
      <c r="M552" s="451"/>
      <c r="N552" s="451"/>
      <c r="O552" s="451"/>
      <c r="P552" s="451"/>
      <c r="Q552" s="451"/>
      <c r="R552" s="451"/>
      <c r="S552" s="451"/>
      <c r="T552" s="451"/>
      <c r="U552" s="451"/>
      <c r="V552" s="451"/>
      <c r="W552" s="451"/>
      <c r="X552" s="451"/>
      <c r="Y552" s="451"/>
      <c r="Z552" s="452"/>
      <c r="AA552" s="68"/>
      <c r="AB552" s="68"/>
      <c r="AC552" s="68"/>
      <c r="AD552" s="68"/>
      <c r="BG552" s="353"/>
    </row>
    <row r="553" spans="2:59" ht="15">
      <c r="B553" s="301"/>
      <c r="C553" s="322"/>
      <c r="D553" s="322"/>
      <c r="E553" s="322"/>
      <c r="F553" s="319" t="s">
        <v>169</v>
      </c>
      <c r="G553" s="319" t="s">
        <v>169</v>
      </c>
      <c r="H553" s="319" t="s">
        <v>169</v>
      </c>
      <c r="I553" s="319"/>
      <c r="J553" s="319"/>
      <c r="K553" s="319"/>
      <c r="L553" s="319"/>
      <c r="M553" s="319"/>
      <c r="N553" s="319"/>
      <c r="O553" s="319"/>
      <c r="P553" s="319"/>
      <c r="Q553" s="319"/>
      <c r="R553" s="319"/>
      <c r="S553" s="319"/>
      <c r="T553" s="319"/>
      <c r="U553" s="319"/>
      <c r="V553" s="319"/>
      <c r="W553" s="319"/>
      <c r="X553" s="319"/>
      <c r="Y553" s="319"/>
      <c r="Z553" s="319"/>
      <c r="AA553" s="319"/>
      <c r="AB553" s="319"/>
      <c r="AC553" s="319"/>
      <c r="AD553" s="319"/>
      <c r="BG553" s="353"/>
    </row>
    <row r="554" spans="2:59" ht="13.5">
      <c r="B554" s="301"/>
      <c r="C554" s="312" t="s">
        <v>172</v>
      </c>
      <c r="D554" s="312" t="s">
        <v>173</v>
      </c>
      <c r="E554" s="312" t="s">
        <v>174</v>
      </c>
      <c r="F554" s="314" t="s">
        <v>91</v>
      </c>
      <c r="G554" s="314" t="s">
        <v>67</v>
      </c>
      <c r="H554" s="314" t="s">
        <v>69</v>
      </c>
      <c r="I554" s="314" t="s">
        <v>457</v>
      </c>
      <c r="J554" s="314" t="s">
        <v>458</v>
      </c>
      <c r="K554" s="314" t="s">
        <v>459</v>
      </c>
      <c r="L554" s="314" t="s">
        <v>460</v>
      </c>
      <c r="M554" s="314" t="s">
        <v>461</v>
      </c>
      <c r="N554" s="314" t="s">
        <v>462</v>
      </c>
      <c r="O554" s="314" t="s">
        <v>463</v>
      </c>
      <c r="P554" s="314" t="s">
        <v>464</v>
      </c>
      <c r="Q554" s="314" t="s">
        <v>465</v>
      </c>
      <c r="R554" s="314" t="s">
        <v>466</v>
      </c>
      <c r="S554" s="314" t="s">
        <v>467</v>
      </c>
      <c r="T554" s="314" t="s">
        <v>468</v>
      </c>
      <c r="U554" s="314" t="s">
        <v>469</v>
      </c>
      <c r="V554" s="314" t="s">
        <v>470</v>
      </c>
      <c r="W554" s="314" t="s">
        <v>471</v>
      </c>
      <c r="X554" s="314" t="s">
        <v>397</v>
      </c>
      <c r="Y554" s="314" t="s">
        <v>398</v>
      </c>
      <c r="Z554" s="314" t="s">
        <v>399</v>
      </c>
      <c r="AA554" s="314" t="s">
        <v>400</v>
      </c>
      <c r="AB554" s="314" t="s">
        <v>151</v>
      </c>
      <c r="AC554" s="314" t="s">
        <v>152</v>
      </c>
      <c r="AD554" s="314" t="s">
        <v>401</v>
      </c>
      <c r="BG554" s="353"/>
    </row>
    <row r="555" spans="2:59" ht="13.5">
      <c r="B555" s="301"/>
      <c r="C555" s="312" t="s">
        <v>371</v>
      </c>
      <c r="D555" s="312" t="s">
        <v>381</v>
      </c>
      <c r="E555" s="312" t="s">
        <v>390</v>
      </c>
      <c r="F555" s="313" t="s">
        <v>418</v>
      </c>
      <c r="G555" s="313" t="s">
        <v>419</v>
      </c>
      <c r="H555" s="313" t="s">
        <v>421</v>
      </c>
      <c r="I555" s="313" t="s">
        <v>420</v>
      </c>
      <c r="J555" s="313" t="s">
        <v>422</v>
      </c>
      <c r="K555" s="313" t="s">
        <v>423</v>
      </c>
      <c r="L555" s="313" t="s">
        <v>424</v>
      </c>
      <c r="M555" s="313" t="s">
        <v>425</v>
      </c>
      <c r="N555" s="313" t="s">
        <v>426</v>
      </c>
      <c r="O555" s="313" t="s">
        <v>427</v>
      </c>
      <c r="P555" s="313" t="s">
        <v>428</v>
      </c>
      <c r="Q555" s="313" t="s">
        <v>429</v>
      </c>
      <c r="R555" s="313" t="s">
        <v>430</v>
      </c>
      <c r="S555" s="313" t="s">
        <v>431</v>
      </c>
      <c r="T555" s="313" t="s">
        <v>432</v>
      </c>
      <c r="U555" s="313" t="s">
        <v>433</v>
      </c>
      <c r="V555" s="313" t="s">
        <v>434</v>
      </c>
      <c r="W555" s="313" t="s">
        <v>435</v>
      </c>
      <c r="X555" s="313" t="s">
        <v>403</v>
      </c>
      <c r="Y555" s="313" t="s">
        <v>404</v>
      </c>
      <c r="Z555" s="313" t="s">
        <v>405</v>
      </c>
      <c r="AA555" s="313" t="s">
        <v>406</v>
      </c>
      <c r="AB555" s="313" t="s">
        <v>407</v>
      </c>
      <c r="AC555" s="313" t="s">
        <v>408</v>
      </c>
      <c r="AD555" s="313" t="s">
        <v>409</v>
      </c>
      <c r="BG555" s="353"/>
    </row>
    <row r="556" spans="2:59" ht="13.5">
      <c r="B556" s="317"/>
      <c r="C556" s="312" t="s">
        <v>472</v>
      </c>
      <c r="D556" s="312" t="s">
        <v>473</v>
      </c>
      <c r="E556" s="312" t="s">
        <v>473</v>
      </c>
      <c r="F556" s="314" t="s">
        <v>474</v>
      </c>
      <c r="G556" s="314" t="s">
        <v>474</v>
      </c>
      <c r="H556" s="314" t="s">
        <v>475</v>
      </c>
      <c r="I556" s="314" t="s">
        <v>474</v>
      </c>
      <c r="J556" s="314" t="s">
        <v>476</v>
      </c>
      <c r="K556" s="314" t="s">
        <v>477</v>
      </c>
      <c r="L556" s="313" t="s">
        <v>478</v>
      </c>
      <c r="M556" s="314" t="s">
        <v>478</v>
      </c>
      <c r="N556" s="314" t="s">
        <v>479</v>
      </c>
      <c r="O556" s="314" t="s">
        <v>474</v>
      </c>
      <c r="P556" s="314" t="s">
        <v>480</v>
      </c>
      <c r="Q556" s="314" t="s">
        <v>481</v>
      </c>
      <c r="R556" s="314" t="s">
        <v>480</v>
      </c>
      <c r="S556" s="314" t="s">
        <v>482</v>
      </c>
      <c r="T556" s="313" t="s">
        <v>483</v>
      </c>
      <c r="U556" s="314" t="s">
        <v>483</v>
      </c>
      <c r="V556" s="314" t="s">
        <v>484</v>
      </c>
      <c r="W556" s="314" t="s">
        <v>474</v>
      </c>
      <c r="X556" s="314" t="s">
        <v>485</v>
      </c>
      <c r="Y556" s="314" t="s">
        <v>487</v>
      </c>
      <c r="Z556" s="314" t="s">
        <v>488</v>
      </c>
      <c r="AA556" s="314" t="s">
        <v>488</v>
      </c>
      <c r="AB556" s="313" t="s">
        <v>486</v>
      </c>
      <c r="AC556" s="314" t="s">
        <v>488</v>
      </c>
      <c r="AD556" s="314" t="s">
        <v>488</v>
      </c>
      <c r="BG556" s="353"/>
    </row>
    <row r="557" spans="2:59" ht="25">
      <c r="B557" s="317" t="s">
        <v>412</v>
      </c>
      <c r="C557" s="316" t="s">
        <v>437</v>
      </c>
      <c r="D557" s="313" t="s">
        <v>438</v>
      </c>
      <c r="E557" s="314" t="s">
        <v>438</v>
      </c>
      <c r="F557" s="314" t="s">
        <v>183</v>
      </c>
      <c r="G557" s="414" t="s">
        <v>439</v>
      </c>
      <c r="H557" s="314" t="s">
        <v>184</v>
      </c>
      <c r="I557" s="314" t="s">
        <v>439</v>
      </c>
      <c r="J557" s="314" t="s">
        <v>440</v>
      </c>
      <c r="K557" s="314" t="s">
        <v>411</v>
      </c>
      <c r="L557" s="313" t="s">
        <v>156</v>
      </c>
      <c r="M557" s="314" t="s">
        <v>441</v>
      </c>
      <c r="N557" s="314"/>
      <c r="O557" s="314" t="s">
        <v>183</v>
      </c>
      <c r="P557" s="314" t="s">
        <v>156</v>
      </c>
      <c r="Q557" s="314" t="s">
        <v>442</v>
      </c>
      <c r="R557" s="314" t="s">
        <v>443</v>
      </c>
      <c r="S557" s="314"/>
      <c r="T557" s="313" t="s">
        <v>156</v>
      </c>
      <c r="U557" s="314" t="s">
        <v>156</v>
      </c>
      <c r="V557" s="314" t="s">
        <v>156</v>
      </c>
      <c r="W557" s="314"/>
      <c r="X557" s="314" t="s">
        <v>411</v>
      </c>
      <c r="Y557" s="314" t="s">
        <v>444</v>
      </c>
      <c r="Z557" s="314" t="s">
        <v>445</v>
      </c>
      <c r="AA557" s="314" t="s">
        <v>445</v>
      </c>
      <c r="AB557" s="313" t="s">
        <v>446</v>
      </c>
      <c r="AC557" s="314" t="s">
        <v>447</v>
      </c>
      <c r="AD557" s="314" t="s">
        <v>447</v>
      </c>
      <c r="BG557" s="353"/>
    </row>
    <row r="558" spans="2:59" ht="25">
      <c r="B558" s="315" t="s">
        <v>410</v>
      </c>
      <c r="C558" s="336" t="s">
        <v>437</v>
      </c>
      <c r="D558" s="326" t="s">
        <v>438</v>
      </c>
      <c r="E558" s="337" t="s">
        <v>182</v>
      </c>
      <c r="F558" s="311" t="s">
        <v>183</v>
      </c>
      <c r="G558" s="327" t="s">
        <v>439</v>
      </c>
      <c r="H558" s="311" t="s">
        <v>184</v>
      </c>
      <c r="I558" s="327" t="s">
        <v>439</v>
      </c>
      <c r="J558" s="311" t="s">
        <v>184</v>
      </c>
      <c r="K558" s="311" t="s">
        <v>411</v>
      </c>
      <c r="L558" s="326" t="s">
        <v>448</v>
      </c>
      <c r="M558" s="311" t="s">
        <v>441</v>
      </c>
      <c r="N558" s="311"/>
      <c r="O558" s="311" t="s">
        <v>411</v>
      </c>
      <c r="P558" s="311" t="s">
        <v>156</v>
      </c>
      <c r="Q558" s="311" t="s">
        <v>184</v>
      </c>
      <c r="R558" s="311" t="s">
        <v>449</v>
      </c>
      <c r="S558" s="311"/>
      <c r="T558" s="326" t="s">
        <v>156</v>
      </c>
      <c r="U558" s="311" t="s">
        <v>156</v>
      </c>
      <c r="V558" s="311" t="s">
        <v>156</v>
      </c>
      <c r="W558" s="311"/>
      <c r="X558" s="311" t="s">
        <v>411</v>
      </c>
      <c r="Y558" s="311" t="s">
        <v>450</v>
      </c>
      <c r="Z558" s="311" t="s">
        <v>451</v>
      </c>
      <c r="AA558" s="311">
        <v>470195</v>
      </c>
      <c r="AB558" s="326" t="s">
        <v>450</v>
      </c>
      <c r="AC558" s="311">
        <v>470195</v>
      </c>
      <c r="AD558" s="311" t="s">
        <v>451</v>
      </c>
      <c r="BG558" s="353"/>
    </row>
    <row r="559" spans="2:59" ht="14">
      <c r="B559" s="315" t="s">
        <v>410</v>
      </c>
      <c r="C559" s="337" t="s">
        <v>645</v>
      </c>
      <c r="D559" s="316" t="s">
        <v>438</v>
      </c>
      <c r="E559" s="316" t="s">
        <v>438</v>
      </c>
      <c r="F559" s="316" t="s">
        <v>183</v>
      </c>
      <c r="G559" s="316" t="s">
        <v>439</v>
      </c>
      <c r="H559" s="316" t="s">
        <v>184</v>
      </c>
      <c r="I559" s="316" t="s">
        <v>439</v>
      </c>
      <c r="J559" s="316" t="s">
        <v>646</v>
      </c>
      <c r="K559" s="316" t="s">
        <v>411</v>
      </c>
      <c r="L559" s="316" t="s">
        <v>156</v>
      </c>
      <c r="M559" s="316" t="s">
        <v>441</v>
      </c>
      <c r="N559" s="316"/>
      <c r="O559" s="316" t="s">
        <v>183</v>
      </c>
      <c r="P559" s="316" t="s">
        <v>156</v>
      </c>
      <c r="Q559" s="316" t="s">
        <v>442</v>
      </c>
      <c r="R559" s="316" t="s">
        <v>647</v>
      </c>
      <c r="S559" s="316"/>
      <c r="T559" s="316" t="s">
        <v>648</v>
      </c>
      <c r="U559" s="316" t="s">
        <v>649</v>
      </c>
      <c r="V559" s="316" t="s">
        <v>650</v>
      </c>
      <c r="W559" s="316"/>
      <c r="X559" s="316" t="s">
        <v>411</v>
      </c>
      <c r="Y559" s="316" t="s">
        <v>444</v>
      </c>
      <c r="Z559" s="316" t="s">
        <v>445</v>
      </c>
      <c r="AA559" s="316" t="s">
        <v>445</v>
      </c>
      <c r="AB559" s="316" t="s">
        <v>651</v>
      </c>
      <c r="AC559" s="316">
        <v>375901</v>
      </c>
      <c r="AD559" s="316" t="s">
        <v>652</v>
      </c>
      <c r="BG559" s="353"/>
    </row>
    <row r="560" spans="2:59" ht="14">
      <c r="B560" s="315" t="s">
        <v>410</v>
      </c>
      <c r="C560" s="337" t="s">
        <v>659</v>
      </c>
      <c r="D560" s="316" t="s">
        <v>438</v>
      </c>
      <c r="E560" s="316" t="s">
        <v>438</v>
      </c>
      <c r="F560" s="316" t="s">
        <v>183</v>
      </c>
      <c r="G560" s="316" t="s">
        <v>439</v>
      </c>
      <c r="H560" s="316" t="s">
        <v>184</v>
      </c>
      <c r="I560" s="316" t="s">
        <v>439</v>
      </c>
      <c r="J560" s="316" t="s">
        <v>653</v>
      </c>
      <c r="K560" s="316" t="s">
        <v>411</v>
      </c>
      <c r="L560" s="316" t="s">
        <v>654</v>
      </c>
      <c r="M560" s="316" t="s">
        <v>441</v>
      </c>
      <c r="N560" s="316"/>
      <c r="O560" s="316" t="s">
        <v>439</v>
      </c>
      <c r="P560" s="316" t="s">
        <v>156</v>
      </c>
      <c r="Q560" s="316" t="s">
        <v>655</v>
      </c>
      <c r="R560" s="316" t="s">
        <v>443</v>
      </c>
      <c r="S560" s="316"/>
      <c r="T560" s="316" t="s">
        <v>156</v>
      </c>
      <c r="U560" s="316" t="s">
        <v>156</v>
      </c>
      <c r="V560" s="316" t="s">
        <v>156</v>
      </c>
      <c r="W560" s="316"/>
      <c r="X560" s="316" t="s">
        <v>411</v>
      </c>
      <c r="Y560" s="316" t="s">
        <v>656</v>
      </c>
      <c r="Z560" s="316" t="s">
        <v>445</v>
      </c>
      <c r="AA560" s="316" t="s">
        <v>445</v>
      </c>
      <c r="AB560" s="316" t="s">
        <v>657</v>
      </c>
      <c r="AC560" s="316" t="s">
        <v>658</v>
      </c>
      <c r="AD560" s="316" t="s">
        <v>658</v>
      </c>
      <c r="BG560" s="353"/>
    </row>
    <row r="561" spans="2:59" ht="14">
      <c r="B561" s="343"/>
      <c r="C561" s="344"/>
      <c r="D561" s="344"/>
      <c r="E561" s="344"/>
      <c r="F561" s="361"/>
      <c r="G561" s="361"/>
      <c r="H561" s="361"/>
      <c r="I561" s="361"/>
      <c r="J561" s="361"/>
      <c r="M561" s="361"/>
      <c r="N561" s="360"/>
      <c r="O561" s="361"/>
      <c r="P561" s="361"/>
      <c r="Q561" s="361"/>
      <c r="R561" s="361"/>
      <c r="S561" s="361"/>
      <c r="T561" s="361"/>
      <c r="U561" s="361"/>
      <c r="V561" s="360"/>
      <c r="W561" s="361"/>
      <c r="X561" s="361"/>
      <c r="Y561" s="361"/>
      <c r="Z561" s="361"/>
      <c r="AA561" s="361"/>
      <c r="AB561" s="361"/>
      <c r="AC561" s="361"/>
      <c r="AD561" s="360"/>
      <c r="AE561" s="361"/>
      <c r="AF561" s="361"/>
      <c r="BG561" s="353"/>
    </row>
    <row r="562" spans="2:59" ht="14">
      <c r="B562" s="343"/>
      <c r="C562" s="344"/>
      <c r="D562" s="344"/>
      <c r="E562" s="344"/>
      <c r="F562" s="361"/>
      <c r="G562" s="361"/>
      <c r="H562" s="361"/>
      <c r="I562" s="361"/>
      <c r="J562" s="361"/>
      <c r="M562" s="361"/>
      <c r="N562" s="360"/>
      <c r="O562" s="361"/>
      <c r="P562" s="361"/>
      <c r="Q562" s="361"/>
      <c r="R562" s="361"/>
      <c r="S562" s="361"/>
      <c r="T562" s="361"/>
      <c r="U562" s="361"/>
      <c r="V562" s="360"/>
      <c r="W562" s="361"/>
      <c r="X562" s="361"/>
      <c r="Y562" s="361"/>
      <c r="Z562" s="361"/>
      <c r="AA562" s="361"/>
      <c r="AB562" s="361"/>
      <c r="AC562" s="361"/>
      <c r="AD562" s="360"/>
      <c r="AE562" s="361"/>
      <c r="AF562" s="361"/>
      <c r="BG562" s="353"/>
    </row>
    <row r="563" spans="2:59" ht="14">
      <c r="B563" s="343"/>
      <c r="C563" s="344"/>
      <c r="D563" s="344"/>
      <c r="E563" s="344"/>
      <c r="F563" s="361"/>
      <c r="G563" s="361"/>
      <c r="H563" s="361"/>
      <c r="I563" s="361"/>
      <c r="J563" s="361"/>
      <c r="M563" s="361"/>
      <c r="N563" s="360"/>
      <c r="O563" s="361"/>
      <c r="P563" s="361"/>
      <c r="Q563" s="361"/>
      <c r="R563" s="361"/>
      <c r="S563" s="361"/>
      <c r="T563" s="361"/>
      <c r="U563" s="361"/>
      <c r="V563" s="360"/>
      <c r="W563" s="361"/>
      <c r="X563" s="361"/>
      <c r="Y563" s="361"/>
      <c r="Z563" s="361"/>
      <c r="AA563" s="361"/>
      <c r="AB563" s="361"/>
      <c r="AC563" s="361"/>
      <c r="AD563" s="360"/>
      <c r="AE563" s="361"/>
      <c r="AF563" s="361"/>
      <c r="BG563" s="353"/>
    </row>
    <row r="564" spans="2:59" ht="13.5">
      <c r="B564" s="301"/>
      <c r="C564" s="356"/>
      <c r="D564" s="356"/>
      <c r="E564" s="356"/>
      <c r="F564" s="356"/>
      <c r="G564" s="356"/>
      <c r="H564" s="356"/>
      <c r="I564" s="356"/>
      <c r="J564" s="356"/>
      <c r="M564" s="356"/>
      <c r="N564" s="356"/>
      <c r="O564" s="356"/>
      <c r="P564" s="356"/>
      <c r="Q564" s="356"/>
      <c r="R564" s="356"/>
      <c r="S564" s="356"/>
      <c r="T564" s="356"/>
      <c r="U564" s="356"/>
      <c r="V564" s="356"/>
      <c r="W564" s="356"/>
      <c r="X564" s="356"/>
      <c r="Y564" s="356"/>
      <c r="Z564" s="356"/>
      <c r="AA564" s="356"/>
      <c r="AB564" s="356"/>
      <c r="AC564" s="356"/>
      <c r="AD564" s="356"/>
      <c r="AE564" s="356"/>
      <c r="AF564" s="356"/>
      <c r="BG564" s="353"/>
    </row>
    <row r="565" spans="2:59" ht="15">
      <c r="B565" s="301"/>
      <c r="C565" s="457" t="s">
        <v>489</v>
      </c>
      <c r="D565" s="458"/>
      <c r="E565" s="458"/>
      <c r="F565" s="458"/>
      <c r="G565" s="458"/>
      <c r="H565" s="458"/>
      <c r="I565" s="458"/>
      <c r="J565" s="458"/>
      <c r="K565" s="458"/>
      <c r="L565" s="458"/>
      <c r="M565" s="458"/>
      <c r="N565" s="458"/>
      <c r="O565" s="458"/>
      <c r="P565" s="458"/>
      <c r="Q565" s="458"/>
      <c r="R565" s="458"/>
      <c r="S565" s="458"/>
      <c r="T565" s="458"/>
      <c r="U565" s="92"/>
      <c r="V565" s="92"/>
      <c r="W565" s="92"/>
      <c r="X565" s="92"/>
      <c r="Y565" s="92"/>
      <c r="Z565" s="92"/>
      <c r="AA565" s="93"/>
      <c r="AB565" s="93"/>
      <c r="AC565" s="93"/>
      <c r="AD565" s="93"/>
      <c r="AE565" s="93"/>
      <c r="AF565" s="93"/>
      <c r="AG565" s="93"/>
      <c r="AH565" s="93"/>
      <c r="AI565" s="93"/>
      <c r="AJ565" s="93"/>
      <c r="AK565" s="93"/>
      <c r="AL565" s="93"/>
      <c r="AM565" s="93"/>
      <c r="AN565" s="93"/>
      <c r="AO565" s="93"/>
      <c r="AP565" s="94"/>
      <c r="AQ565" s="94"/>
      <c r="AR565" s="94"/>
      <c r="AS565" s="94"/>
      <c r="AT565" s="94"/>
      <c r="AU565" s="94"/>
      <c r="AV565" s="94"/>
      <c r="AW565" s="94"/>
      <c r="AX565" s="94"/>
      <c r="AY565" s="94"/>
      <c r="AZ565" s="94"/>
      <c r="BA565" s="94"/>
      <c r="BB565" s="94"/>
      <c r="BC565" s="94"/>
      <c r="BD565" s="94"/>
      <c r="BE565" s="94"/>
      <c r="BF565" s="94"/>
      <c r="BG565" s="353"/>
    </row>
    <row r="566" spans="2:59" ht="15">
      <c r="B566" s="301"/>
      <c r="C566" s="322"/>
      <c r="D566" s="322"/>
      <c r="E566" s="322"/>
      <c r="F566" s="319" t="s">
        <v>169</v>
      </c>
      <c r="G566" s="319" t="s">
        <v>169</v>
      </c>
      <c r="H566" s="324" t="s">
        <v>169</v>
      </c>
      <c r="I566" s="319" t="s">
        <v>169</v>
      </c>
      <c r="J566" s="319" t="s">
        <v>169</v>
      </c>
      <c r="K566" s="324"/>
      <c r="L566" s="324"/>
      <c r="M566" s="324"/>
      <c r="N566" s="324"/>
      <c r="O566" s="324"/>
      <c r="P566" s="324"/>
      <c r="Q566" s="324"/>
      <c r="R566" s="324"/>
      <c r="S566" s="324"/>
      <c r="T566" s="324"/>
      <c r="U566" s="324"/>
      <c r="V566" s="324"/>
      <c r="W566" s="324"/>
      <c r="X566" s="324"/>
      <c r="Y566" s="324"/>
      <c r="Z566" s="324"/>
      <c r="AA566" s="325"/>
      <c r="AB566" s="325"/>
      <c r="AC566" s="325"/>
      <c r="AD566" s="325"/>
      <c r="AE566" s="325"/>
      <c r="AF566" s="325"/>
      <c r="AG566" s="325"/>
      <c r="AH566" s="325"/>
      <c r="AI566" s="325"/>
      <c r="AJ566" s="325"/>
      <c r="AK566" s="325"/>
      <c r="AL566" s="325"/>
      <c r="AM566" s="325"/>
      <c r="AN566" s="325"/>
      <c r="AO566" s="325"/>
      <c r="AP566" s="325"/>
      <c r="AQ566" s="325"/>
      <c r="AR566" s="325"/>
      <c r="AS566" s="325"/>
      <c r="AT566" s="325"/>
      <c r="AU566" s="325"/>
      <c r="AV566" s="325"/>
      <c r="AW566" s="325"/>
      <c r="AX566" s="325"/>
      <c r="AY566" s="325"/>
      <c r="AZ566" s="325"/>
      <c r="BA566" s="325"/>
      <c r="BB566" s="325"/>
      <c r="BC566" s="325"/>
      <c r="BD566" s="325"/>
      <c r="BE566" s="325"/>
      <c r="BF566" s="325"/>
      <c r="BG566" s="353"/>
    </row>
    <row r="567" spans="2:59" ht="25">
      <c r="B567" s="301"/>
      <c r="C567" s="312" t="s">
        <v>533</v>
      </c>
      <c r="D567" s="312" t="s">
        <v>588</v>
      </c>
      <c r="E567" s="312" t="s">
        <v>589</v>
      </c>
      <c r="F567" s="314" t="s">
        <v>96</v>
      </c>
      <c r="G567" s="314" t="s">
        <v>99</v>
      </c>
      <c r="H567" s="314" t="s">
        <v>130</v>
      </c>
      <c r="I567" s="314" t="s">
        <v>559</v>
      </c>
      <c r="J567" s="314" t="s">
        <v>127</v>
      </c>
      <c r="K567" s="314" t="s">
        <v>67</v>
      </c>
      <c r="L567" s="314" t="s">
        <v>456</v>
      </c>
      <c r="M567" s="314" t="s">
        <v>534</v>
      </c>
      <c r="N567" s="314" t="s">
        <v>535</v>
      </c>
      <c r="O567" s="314" t="s">
        <v>536</v>
      </c>
      <c r="P567" s="314" t="s">
        <v>537</v>
      </c>
      <c r="Q567" s="314" t="s">
        <v>538</v>
      </c>
      <c r="R567" s="314" t="s">
        <v>539</v>
      </c>
      <c r="S567" s="314" t="s">
        <v>540</v>
      </c>
      <c r="T567" s="314" t="s">
        <v>541</v>
      </c>
      <c r="U567" s="314" t="s">
        <v>542</v>
      </c>
      <c r="V567" s="314" t="s">
        <v>543</v>
      </c>
      <c r="W567" s="314" t="s">
        <v>544</v>
      </c>
      <c r="X567" s="314" t="s">
        <v>545</v>
      </c>
      <c r="Y567" s="314" t="s">
        <v>546</v>
      </c>
      <c r="Z567" s="314" t="s">
        <v>547</v>
      </c>
      <c r="AA567" s="314" t="s">
        <v>548</v>
      </c>
      <c r="AB567" s="314" t="s">
        <v>549</v>
      </c>
      <c r="AC567" s="314" t="s">
        <v>550</v>
      </c>
      <c r="AD567" s="314" t="s">
        <v>551</v>
      </c>
      <c r="AE567" s="314" t="s">
        <v>552</v>
      </c>
      <c r="AF567" s="314" t="s">
        <v>553</v>
      </c>
      <c r="AG567" s="314" t="s">
        <v>554</v>
      </c>
      <c r="AH567" s="314" t="s">
        <v>555</v>
      </c>
      <c r="AI567" s="314" t="s">
        <v>556</v>
      </c>
      <c r="AJ567" s="314" t="s">
        <v>558</v>
      </c>
      <c r="AK567" s="314" t="s">
        <v>557</v>
      </c>
      <c r="AL567" s="314" t="s">
        <v>566</v>
      </c>
      <c r="AM567" s="314" t="s">
        <v>560</v>
      </c>
      <c r="AN567" s="314" t="s">
        <v>561</v>
      </c>
      <c r="AO567" s="314" t="s">
        <v>562</v>
      </c>
      <c r="AP567" s="314" t="s">
        <v>563</v>
      </c>
      <c r="AQ567" s="314" t="s">
        <v>567</v>
      </c>
      <c r="AR567" s="314" t="s">
        <v>564</v>
      </c>
      <c r="AS567" s="314" t="s">
        <v>565</v>
      </c>
      <c r="AT567" s="314" t="s">
        <v>568</v>
      </c>
      <c r="AU567" s="314" t="s">
        <v>569</v>
      </c>
      <c r="AV567" s="314" t="s">
        <v>570</v>
      </c>
      <c r="AW567" s="314" t="s">
        <v>571</v>
      </c>
      <c r="AX567" s="314" t="s">
        <v>572</v>
      </c>
      <c r="AY567" s="314" t="s">
        <v>573</v>
      </c>
      <c r="AZ567" s="314" t="s">
        <v>397</v>
      </c>
      <c r="BA567" s="314" t="s">
        <v>398</v>
      </c>
      <c r="BB567" s="314" t="s">
        <v>399</v>
      </c>
      <c r="BC567" s="314" t="s">
        <v>400</v>
      </c>
      <c r="BD567" s="314" t="s">
        <v>151</v>
      </c>
      <c r="BE567" s="314" t="s">
        <v>152</v>
      </c>
      <c r="BF567" s="314" t="s">
        <v>688</v>
      </c>
      <c r="BG567" s="353"/>
    </row>
    <row r="568" spans="2:59">
      <c r="B568" s="358"/>
      <c r="C568" s="312" t="s">
        <v>371</v>
      </c>
      <c r="D568" s="312" t="s">
        <v>381</v>
      </c>
      <c r="E568" s="312" t="s">
        <v>390</v>
      </c>
      <c r="F568" s="313" t="s">
        <v>490</v>
      </c>
      <c r="G568" s="313" t="s">
        <v>491</v>
      </c>
      <c r="H568" s="313" t="s">
        <v>492</v>
      </c>
      <c r="I568" s="313" t="s">
        <v>519</v>
      </c>
      <c r="J568" s="313" t="s">
        <v>525</v>
      </c>
      <c r="K568" s="313" t="s">
        <v>419</v>
      </c>
      <c r="L568" s="313" t="s">
        <v>420</v>
      </c>
      <c r="M568" s="313" t="s">
        <v>493</v>
      </c>
      <c r="N568" s="313" t="s">
        <v>494</v>
      </c>
      <c r="O568" s="313" t="s">
        <v>495</v>
      </c>
      <c r="P568" s="313" t="s">
        <v>496</v>
      </c>
      <c r="Q568" s="313" t="s">
        <v>497</v>
      </c>
      <c r="R568" s="313" t="s">
        <v>498</v>
      </c>
      <c r="S568" s="313" t="s">
        <v>499</v>
      </c>
      <c r="T568" s="313" t="s">
        <v>500</v>
      </c>
      <c r="U568" s="313" t="s">
        <v>501</v>
      </c>
      <c r="V568" s="313" t="s">
        <v>502</v>
      </c>
      <c r="W568" s="313" t="s">
        <v>503</v>
      </c>
      <c r="X568" s="313" t="s">
        <v>504</v>
      </c>
      <c r="Y568" s="313" t="s">
        <v>505</v>
      </c>
      <c r="Z568" s="313" t="s">
        <v>506</v>
      </c>
      <c r="AA568" s="313" t="s">
        <v>507</v>
      </c>
      <c r="AB568" s="313" t="s">
        <v>508</v>
      </c>
      <c r="AC568" s="313" t="s">
        <v>509</v>
      </c>
      <c r="AD568" s="313" t="s">
        <v>510</v>
      </c>
      <c r="AE568" s="313" t="s">
        <v>511</v>
      </c>
      <c r="AF568" s="313" t="s">
        <v>512</v>
      </c>
      <c r="AG568" s="313" t="s">
        <v>513</v>
      </c>
      <c r="AH568" s="313" t="s">
        <v>514</v>
      </c>
      <c r="AI568" s="313" t="s">
        <v>515</v>
      </c>
      <c r="AJ568" s="313" t="s">
        <v>516</v>
      </c>
      <c r="AK568" s="313" t="s">
        <v>517</v>
      </c>
      <c r="AL568" s="313" t="s">
        <v>518</v>
      </c>
      <c r="AM568" s="313" t="s">
        <v>520</v>
      </c>
      <c r="AN568" s="313" t="s">
        <v>521</v>
      </c>
      <c r="AO568" s="313" t="s">
        <v>522</v>
      </c>
      <c r="AP568" s="313" t="s">
        <v>402</v>
      </c>
      <c r="AQ568" s="313" t="s">
        <v>523</v>
      </c>
      <c r="AR568" s="313" t="s">
        <v>524</v>
      </c>
      <c r="AS568" s="313" t="s">
        <v>526</v>
      </c>
      <c r="AT568" s="313" t="s">
        <v>527</v>
      </c>
      <c r="AU568" s="313" t="s">
        <v>528</v>
      </c>
      <c r="AV568" s="313" t="s">
        <v>529</v>
      </c>
      <c r="AW568" s="313" t="s">
        <v>530</v>
      </c>
      <c r="AX568" s="313" t="s">
        <v>531</v>
      </c>
      <c r="AY568" s="313" t="s">
        <v>532</v>
      </c>
      <c r="AZ568" s="313" t="s">
        <v>403</v>
      </c>
      <c r="BA568" s="313" t="s">
        <v>404</v>
      </c>
      <c r="BB568" s="313" t="s">
        <v>405</v>
      </c>
      <c r="BC568" s="313" t="s">
        <v>406</v>
      </c>
      <c r="BD568" s="313" t="s">
        <v>407</v>
      </c>
      <c r="BE568" s="313" t="s">
        <v>408</v>
      </c>
      <c r="BF568" s="313" t="s">
        <v>409</v>
      </c>
      <c r="BG568" s="353"/>
    </row>
    <row r="569" spans="2:59">
      <c r="B569" s="358"/>
      <c r="C569" s="312" t="s">
        <v>472</v>
      </c>
      <c r="D569" s="312" t="s">
        <v>574</v>
      </c>
      <c r="E569" s="312" t="s">
        <v>473</v>
      </c>
      <c r="F569" s="326" t="s">
        <v>474</v>
      </c>
      <c r="G569" s="326" t="s">
        <v>474</v>
      </c>
      <c r="H569" s="326" t="s">
        <v>474</v>
      </c>
      <c r="I569" s="326" t="s">
        <v>474</v>
      </c>
      <c r="J569" s="326" t="s">
        <v>476</v>
      </c>
      <c r="K569" s="326" t="s">
        <v>474</v>
      </c>
      <c r="L569" s="326" t="s">
        <v>474</v>
      </c>
      <c r="M569" s="326" t="s">
        <v>575</v>
      </c>
      <c r="N569" s="326" t="s">
        <v>575</v>
      </c>
      <c r="O569" s="326" t="s">
        <v>473</v>
      </c>
      <c r="P569" s="326" t="s">
        <v>576</v>
      </c>
      <c r="Q569" s="326" t="s">
        <v>474</v>
      </c>
      <c r="R569" s="326" t="s">
        <v>481</v>
      </c>
      <c r="S569" s="326" t="s">
        <v>476</v>
      </c>
      <c r="T569" s="326" t="s">
        <v>481</v>
      </c>
      <c r="U569" s="326" t="s">
        <v>476</v>
      </c>
      <c r="V569" s="326" t="s">
        <v>476</v>
      </c>
      <c r="W569" s="326" t="s">
        <v>474</v>
      </c>
      <c r="X569" s="326" t="s">
        <v>577</v>
      </c>
      <c r="Y569" s="326" t="s">
        <v>577</v>
      </c>
      <c r="Z569" s="326" t="s">
        <v>478</v>
      </c>
      <c r="AA569" s="326" t="s">
        <v>576</v>
      </c>
      <c r="AB569" s="326" t="s">
        <v>576</v>
      </c>
      <c r="AC569" s="326" t="s">
        <v>476</v>
      </c>
      <c r="AD569" s="326" t="s">
        <v>480</v>
      </c>
      <c r="AE569" s="326" t="s">
        <v>481</v>
      </c>
      <c r="AF569" s="326" t="s">
        <v>481</v>
      </c>
      <c r="AG569" s="326" t="s">
        <v>578</v>
      </c>
      <c r="AH569" s="326" t="s">
        <v>578</v>
      </c>
      <c r="AI569" s="326" t="s">
        <v>481</v>
      </c>
      <c r="AJ569" s="326" t="s">
        <v>481</v>
      </c>
      <c r="AK569" s="326" t="s">
        <v>578</v>
      </c>
      <c r="AL569" s="326" t="s">
        <v>578</v>
      </c>
      <c r="AM569" s="326" t="s">
        <v>474</v>
      </c>
      <c r="AN569" s="326" t="s">
        <v>474</v>
      </c>
      <c r="AO569" s="326" t="s">
        <v>474</v>
      </c>
      <c r="AP569" s="326" t="s">
        <v>478</v>
      </c>
      <c r="AQ569" s="326" t="s">
        <v>473</v>
      </c>
      <c r="AR569" s="326" t="s">
        <v>474</v>
      </c>
      <c r="AS569" s="326" t="s">
        <v>476</v>
      </c>
      <c r="AT569" s="326" t="s">
        <v>474</v>
      </c>
      <c r="AU569" s="326" t="s">
        <v>579</v>
      </c>
      <c r="AV569" s="326" t="s">
        <v>481</v>
      </c>
      <c r="AW569" s="326" t="s">
        <v>478</v>
      </c>
      <c r="AX569" s="326" t="s">
        <v>474</v>
      </c>
      <c r="AY569" s="326" t="s">
        <v>474</v>
      </c>
      <c r="AZ569" s="326" t="s">
        <v>485</v>
      </c>
      <c r="BA569" s="326" t="s">
        <v>486</v>
      </c>
      <c r="BB569" s="326" t="s">
        <v>488</v>
      </c>
      <c r="BC569" s="326" t="s">
        <v>488</v>
      </c>
      <c r="BD569" s="326" t="s">
        <v>486</v>
      </c>
      <c r="BE569" s="326" t="s">
        <v>488</v>
      </c>
      <c r="BF569" s="326" t="s">
        <v>488</v>
      </c>
      <c r="BG569" s="353"/>
    </row>
    <row r="570" spans="2:59" ht="15">
      <c r="B570" s="317" t="s">
        <v>412</v>
      </c>
      <c r="C570" s="327" t="s">
        <v>437</v>
      </c>
      <c r="D570" s="327" t="s">
        <v>438</v>
      </c>
      <c r="E570" s="327" t="s">
        <v>438</v>
      </c>
      <c r="F570" s="328" t="s">
        <v>454</v>
      </c>
      <c r="G570" s="327" t="s">
        <v>411</v>
      </c>
      <c r="H570" s="327" t="s">
        <v>411</v>
      </c>
      <c r="I570" s="330">
        <v>1</v>
      </c>
      <c r="J570" s="331">
        <v>0</v>
      </c>
      <c r="K570" s="327" t="s">
        <v>439</v>
      </c>
      <c r="L570" s="327" t="s">
        <v>439</v>
      </c>
      <c r="M570" s="327" t="s">
        <v>156</v>
      </c>
      <c r="N570" s="327" t="s">
        <v>156</v>
      </c>
      <c r="O570" s="327" t="s">
        <v>156</v>
      </c>
      <c r="P570" s="327" t="s">
        <v>156</v>
      </c>
      <c r="Q570" s="329" t="s">
        <v>580</v>
      </c>
      <c r="R570" s="327" t="s">
        <v>411</v>
      </c>
      <c r="S570" s="327" t="s">
        <v>411</v>
      </c>
      <c r="T570" s="327" t="s">
        <v>581</v>
      </c>
      <c r="U570" s="327" t="s">
        <v>582</v>
      </c>
      <c r="V570" s="327" t="s">
        <v>183</v>
      </c>
      <c r="W570" s="327" t="s">
        <v>183</v>
      </c>
      <c r="X570" s="327" t="s">
        <v>411</v>
      </c>
      <c r="Y570" s="327" t="s">
        <v>411</v>
      </c>
      <c r="Z570" s="327"/>
      <c r="AA570" s="330"/>
      <c r="AB570" s="330" t="s">
        <v>156</v>
      </c>
      <c r="AC570" s="330">
        <v>1</v>
      </c>
      <c r="AD570" s="330">
        <v>99999999</v>
      </c>
      <c r="AE570" s="327" t="s">
        <v>411</v>
      </c>
      <c r="AF570" s="327" t="s">
        <v>411</v>
      </c>
      <c r="AG570" s="327" t="s">
        <v>411</v>
      </c>
      <c r="AH570" s="327" t="s">
        <v>411</v>
      </c>
      <c r="AI570" s="330">
        <v>0</v>
      </c>
      <c r="AJ570" s="330">
        <v>0</v>
      </c>
      <c r="AK570" s="330">
        <v>0</v>
      </c>
      <c r="AL570" s="330">
        <v>0</v>
      </c>
      <c r="AM570" s="327" t="s">
        <v>183</v>
      </c>
      <c r="AN570" s="330">
        <v>0</v>
      </c>
      <c r="AO570" s="327" t="s">
        <v>411</v>
      </c>
      <c r="AP570" s="330">
        <v>1</v>
      </c>
      <c r="AQ570" s="331" t="s">
        <v>156</v>
      </c>
      <c r="AR570" s="331" t="s">
        <v>583</v>
      </c>
      <c r="AS570" s="331">
        <v>0</v>
      </c>
      <c r="AT570" s="331">
        <v>1</v>
      </c>
      <c r="AU570" s="331">
        <v>0</v>
      </c>
      <c r="AV570" s="331">
        <v>0</v>
      </c>
      <c r="AW570" s="331">
        <v>0</v>
      </c>
      <c r="AX570" s="331">
        <v>0</v>
      </c>
      <c r="AY570" s="331">
        <v>1</v>
      </c>
      <c r="AZ570" s="331">
        <v>0</v>
      </c>
      <c r="BA570" s="332">
        <v>29705</v>
      </c>
      <c r="BB570" s="331" t="s">
        <v>445</v>
      </c>
      <c r="BC570" s="331" t="s">
        <v>445</v>
      </c>
      <c r="BD570" s="332">
        <v>36413</v>
      </c>
      <c r="BE570" s="331" t="s">
        <v>445</v>
      </c>
      <c r="BF570" s="331" t="s">
        <v>445</v>
      </c>
      <c r="BG570" s="353"/>
    </row>
    <row r="571" spans="2:59" ht="15">
      <c r="B571" s="315" t="s">
        <v>410</v>
      </c>
      <c r="C571" s="327" t="s">
        <v>437</v>
      </c>
      <c r="D571" s="327" t="s">
        <v>438</v>
      </c>
      <c r="E571" s="337" t="s">
        <v>182</v>
      </c>
      <c r="F571" s="328" t="s">
        <v>185</v>
      </c>
      <c r="G571" s="327" t="s">
        <v>411</v>
      </c>
      <c r="H571" s="327" t="s">
        <v>411</v>
      </c>
      <c r="I571" s="330">
        <v>0</v>
      </c>
      <c r="J571" s="331">
        <v>30</v>
      </c>
      <c r="K571" s="327" t="s">
        <v>439</v>
      </c>
      <c r="L571" s="327" t="s">
        <v>439</v>
      </c>
      <c r="M571" s="327" t="s">
        <v>156</v>
      </c>
      <c r="N571" s="327" t="s">
        <v>156</v>
      </c>
      <c r="O571" s="327" t="s">
        <v>584</v>
      </c>
      <c r="P571" s="327" t="s">
        <v>156</v>
      </c>
      <c r="Q571" s="329" t="s">
        <v>585</v>
      </c>
      <c r="R571" s="327" t="s">
        <v>183</v>
      </c>
      <c r="S571" s="327" t="s">
        <v>411</v>
      </c>
      <c r="T571" s="327" t="s">
        <v>581</v>
      </c>
      <c r="U571" s="327" t="s">
        <v>582</v>
      </c>
      <c r="V571" s="327" t="s">
        <v>586</v>
      </c>
      <c r="W571" s="327" t="s">
        <v>183</v>
      </c>
      <c r="X571" s="327" t="s">
        <v>411</v>
      </c>
      <c r="Y571" s="327" t="s">
        <v>411</v>
      </c>
      <c r="Z571" s="327"/>
      <c r="AA571" s="330"/>
      <c r="AB571" s="330" t="s">
        <v>587</v>
      </c>
      <c r="AC571" s="333">
        <v>5000</v>
      </c>
      <c r="AD571" s="330">
        <v>99999999</v>
      </c>
      <c r="AE571" s="327" t="s">
        <v>411</v>
      </c>
      <c r="AF571" s="327" t="s">
        <v>439</v>
      </c>
      <c r="AG571" s="327" t="s">
        <v>411</v>
      </c>
      <c r="AH571" s="327" t="s">
        <v>411</v>
      </c>
      <c r="AI571" s="330">
        <v>0</v>
      </c>
      <c r="AJ571" s="330">
        <v>0</v>
      </c>
      <c r="AK571" s="330">
        <v>0</v>
      </c>
      <c r="AL571" s="330">
        <v>0</v>
      </c>
      <c r="AM571" s="327" t="s">
        <v>183</v>
      </c>
      <c r="AN571" s="330">
        <v>0</v>
      </c>
      <c r="AO571" s="327" t="s">
        <v>411</v>
      </c>
      <c r="AP571" s="330">
        <v>1</v>
      </c>
      <c r="AQ571" s="331">
        <v>1111</v>
      </c>
      <c r="AR571" s="331" t="s">
        <v>583</v>
      </c>
      <c r="AS571" s="331">
        <v>10</v>
      </c>
      <c r="AT571" s="331">
        <v>1</v>
      </c>
      <c r="AU571" s="331">
        <v>0</v>
      </c>
      <c r="AV571" s="331">
        <v>0</v>
      </c>
      <c r="AW571" s="331">
        <v>0</v>
      </c>
      <c r="AX571" s="331">
        <v>0</v>
      </c>
      <c r="AY571" s="331">
        <v>1</v>
      </c>
      <c r="AZ571" s="331">
        <v>0</v>
      </c>
      <c r="BA571" s="332">
        <v>40640.750486111108</v>
      </c>
      <c r="BB571" s="331">
        <v>470195</v>
      </c>
      <c r="BC571" s="331">
        <v>470195</v>
      </c>
      <c r="BD571" s="332">
        <v>45392.67769675926</v>
      </c>
      <c r="BE571" s="331">
        <v>363363</v>
      </c>
      <c r="BF571" s="331">
        <v>363363</v>
      </c>
      <c r="BG571" s="353"/>
    </row>
    <row r="572" spans="2:59" ht="14">
      <c r="B572" s="315" t="s">
        <v>410</v>
      </c>
      <c r="C572" s="337" t="s">
        <v>645</v>
      </c>
      <c r="D572" s="327" t="s">
        <v>438</v>
      </c>
      <c r="E572" s="327" t="s">
        <v>438</v>
      </c>
      <c r="F572" s="327" t="s">
        <v>454</v>
      </c>
      <c r="G572" s="327" t="s">
        <v>411</v>
      </c>
      <c r="H572" s="327" t="s">
        <v>411</v>
      </c>
      <c r="I572" s="327">
        <v>1</v>
      </c>
      <c r="J572" s="327">
        <v>0</v>
      </c>
      <c r="K572" s="327" t="s">
        <v>439</v>
      </c>
      <c r="L572" s="327" t="s">
        <v>439</v>
      </c>
      <c r="M572" s="327" t="s">
        <v>156</v>
      </c>
      <c r="N572" s="327" t="s">
        <v>156</v>
      </c>
      <c r="O572" s="327" t="s">
        <v>156</v>
      </c>
      <c r="P572" s="327" t="s">
        <v>156</v>
      </c>
      <c r="Q572" s="327" t="s">
        <v>580</v>
      </c>
      <c r="R572" s="327" t="s">
        <v>411</v>
      </c>
      <c r="S572" s="327" t="s">
        <v>411</v>
      </c>
      <c r="T572" s="327" t="s">
        <v>581</v>
      </c>
      <c r="U572" s="327" t="s">
        <v>582</v>
      </c>
      <c r="V572" s="327" t="s">
        <v>183</v>
      </c>
      <c r="W572" s="327" t="s">
        <v>183</v>
      </c>
      <c r="X572" s="327" t="s">
        <v>411</v>
      </c>
      <c r="Y572" s="327" t="s">
        <v>411</v>
      </c>
      <c r="Z572" s="327"/>
      <c r="AA572" s="327"/>
      <c r="AB572" s="327" t="s">
        <v>156</v>
      </c>
      <c r="AC572" s="327">
        <v>1</v>
      </c>
      <c r="AD572" s="327">
        <v>99999999</v>
      </c>
      <c r="AE572" s="327">
        <v>0</v>
      </c>
      <c r="AF572" s="327">
        <v>0</v>
      </c>
      <c r="AG572" s="327">
        <v>0</v>
      </c>
      <c r="AH572" s="327">
        <v>0</v>
      </c>
      <c r="AI572" s="327">
        <v>0</v>
      </c>
      <c r="AJ572" s="327">
        <v>0</v>
      </c>
      <c r="AK572" s="327">
        <v>0</v>
      </c>
      <c r="AL572" s="327">
        <v>0</v>
      </c>
      <c r="AM572" s="327">
        <v>1</v>
      </c>
      <c r="AN572" s="327">
        <v>0</v>
      </c>
      <c r="AO572" s="327">
        <v>0</v>
      </c>
      <c r="AP572" s="327">
        <v>1</v>
      </c>
      <c r="AQ572" s="327" t="s">
        <v>156</v>
      </c>
      <c r="AR572" s="327" t="s">
        <v>583</v>
      </c>
      <c r="AS572" s="327">
        <v>0</v>
      </c>
      <c r="AT572" s="327">
        <v>1</v>
      </c>
      <c r="AU572" s="327">
        <v>0</v>
      </c>
      <c r="AV572" s="327">
        <v>0</v>
      </c>
      <c r="AW572" s="327">
        <v>0</v>
      </c>
      <c r="AX572" s="327">
        <v>0</v>
      </c>
      <c r="AY572" s="327">
        <v>1</v>
      </c>
      <c r="AZ572" s="327">
        <v>0</v>
      </c>
      <c r="BA572" s="327">
        <v>29705</v>
      </c>
      <c r="BB572" s="327" t="s">
        <v>445</v>
      </c>
      <c r="BC572" s="327" t="s">
        <v>445</v>
      </c>
      <c r="BD572" s="327">
        <v>39993.705960648149</v>
      </c>
      <c r="BE572" s="327">
        <v>375901</v>
      </c>
      <c r="BF572" s="327">
        <v>375901</v>
      </c>
      <c r="BG572" s="353"/>
    </row>
    <row r="573" spans="2:59" ht="14">
      <c r="B573" s="315" t="s">
        <v>410</v>
      </c>
      <c r="C573" s="337" t="s">
        <v>659</v>
      </c>
      <c r="D573" s="327" t="s">
        <v>438</v>
      </c>
      <c r="E573" s="327" t="s">
        <v>438</v>
      </c>
      <c r="F573" s="327" t="s">
        <v>454</v>
      </c>
      <c r="G573" s="327" t="s">
        <v>411</v>
      </c>
      <c r="H573" s="327" t="s">
        <v>411</v>
      </c>
      <c r="I573" s="327">
        <v>1</v>
      </c>
      <c r="J573" s="327">
        <v>0</v>
      </c>
      <c r="K573" s="327" t="s">
        <v>439</v>
      </c>
      <c r="L573" s="327" t="s">
        <v>439</v>
      </c>
      <c r="M573" s="327" t="s">
        <v>156</v>
      </c>
      <c r="N573" s="327" t="s">
        <v>156</v>
      </c>
      <c r="O573" s="327" t="s">
        <v>156</v>
      </c>
      <c r="P573" s="327" t="s">
        <v>156</v>
      </c>
      <c r="Q573" s="327" t="s">
        <v>580</v>
      </c>
      <c r="R573" s="327" t="s">
        <v>411</v>
      </c>
      <c r="S573" s="327" t="s">
        <v>411</v>
      </c>
      <c r="T573" s="327" t="s">
        <v>581</v>
      </c>
      <c r="U573" s="327" t="s">
        <v>582</v>
      </c>
      <c r="V573" s="327" t="s">
        <v>183</v>
      </c>
      <c r="W573" s="327" t="s">
        <v>183</v>
      </c>
      <c r="X573" s="327" t="s">
        <v>411</v>
      </c>
      <c r="Y573" s="327" t="s">
        <v>411</v>
      </c>
      <c r="Z573" s="327"/>
      <c r="AA573" s="327"/>
      <c r="AB573" s="327" t="s">
        <v>156</v>
      </c>
      <c r="AC573" s="327">
        <v>1</v>
      </c>
      <c r="AD573" s="327">
        <v>99999999</v>
      </c>
      <c r="AE573" s="327">
        <v>0</v>
      </c>
      <c r="AF573" s="327">
        <v>0</v>
      </c>
      <c r="AG573" s="327">
        <v>0</v>
      </c>
      <c r="AH573" s="327">
        <v>0</v>
      </c>
      <c r="AI573" s="327">
        <v>0</v>
      </c>
      <c r="AJ573" s="327">
        <v>0</v>
      </c>
      <c r="AK573" s="327">
        <v>0</v>
      </c>
      <c r="AL573" s="327">
        <v>0</v>
      </c>
      <c r="AM573" s="327">
        <v>1</v>
      </c>
      <c r="AN573" s="327">
        <v>0</v>
      </c>
      <c r="AO573" s="327">
        <v>0</v>
      </c>
      <c r="AP573" s="327">
        <v>1</v>
      </c>
      <c r="AQ573" s="327" t="s">
        <v>156</v>
      </c>
      <c r="AR573" s="327" t="s">
        <v>583</v>
      </c>
      <c r="AS573" s="327">
        <v>0</v>
      </c>
      <c r="AT573" s="327">
        <v>1</v>
      </c>
      <c r="AU573" s="327">
        <v>0</v>
      </c>
      <c r="AV573" s="327">
        <v>0</v>
      </c>
      <c r="AW573" s="327">
        <v>0</v>
      </c>
      <c r="AX573" s="327">
        <v>0</v>
      </c>
      <c r="AY573" s="327">
        <v>1</v>
      </c>
      <c r="AZ573" s="327">
        <v>0</v>
      </c>
      <c r="BA573" s="327">
        <v>31819</v>
      </c>
      <c r="BB573" s="327" t="s">
        <v>445</v>
      </c>
      <c r="BC573" s="327" t="s">
        <v>445</v>
      </c>
      <c r="BD573" s="327">
        <v>45636.056898148148</v>
      </c>
      <c r="BE573" s="327" t="s">
        <v>643</v>
      </c>
      <c r="BF573" s="327" t="s">
        <v>643</v>
      </c>
      <c r="BG573" s="353"/>
    </row>
    <row r="574" spans="2:59">
      <c r="B574" s="358"/>
      <c r="BG574" s="353"/>
    </row>
    <row r="575" spans="2:59" ht="14">
      <c r="B575" s="358"/>
      <c r="C575" s="359" t="s">
        <v>153</v>
      </c>
      <c r="BG575" s="353"/>
    </row>
    <row r="576" spans="2:59" ht="14">
      <c r="B576" s="358"/>
      <c r="C576" s="359" t="s">
        <v>590</v>
      </c>
      <c r="D576" s="359" t="s">
        <v>591</v>
      </c>
      <c r="E576" s="359" t="s">
        <v>159</v>
      </c>
      <c r="F576" s="359" t="s">
        <v>592</v>
      </c>
      <c r="G576" s="359" t="s">
        <v>593</v>
      </c>
      <c r="H576" s="359" t="s">
        <v>594</v>
      </c>
      <c r="I576" s="359" t="s">
        <v>595</v>
      </c>
      <c r="J576" s="359" t="s">
        <v>596</v>
      </c>
      <c r="K576" s="359" t="s">
        <v>597</v>
      </c>
      <c r="L576" s="359" t="s">
        <v>598</v>
      </c>
      <c r="M576" s="359" t="s">
        <v>599</v>
      </c>
      <c r="BG576" s="353"/>
    </row>
    <row r="577" spans="2:59" ht="14">
      <c r="B577" s="358"/>
      <c r="C577" s="359">
        <v>-2</v>
      </c>
      <c r="D577" s="359" t="s">
        <v>156</v>
      </c>
      <c r="E577" s="359" t="s">
        <v>767</v>
      </c>
      <c r="F577" s="359" t="s">
        <v>756</v>
      </c>
      <c r="G577" s="359" t="s">
        <v>623</v>
      </c>
      <c r="H577" s="359" t="s">
        <v>156</v>
      </c>
      <c r="I577" s="359" t="s">
        <v>156</v>
      </c>
      <c r="J577" s="359" t="s">
        <v>156</v>
      </c>
      <c r="K577" s="359" t="s">
        <v>156</v>
      </c>
      <c r="L577" s="359">
        <v>0</v>
      </c>
      <c r="M577" s="359" t="s">
        <v>156</v>
      </c>
      <c r="BG577" s="353"/>
    </row>
    <row r="578" spans="2:59" ht="13.5" thickBot="1">
      <c r="B578" s="358"/>
      <c r="BG578" s="353"/>
    </row>
    <row r="579" spans="2:59" ht="15" thickBot="1">
      <c r="B579" s="299" t="s">
        <v>715</v>
      </c>
      <c r="C579" s="300" t="s">
        <v>714</v>
      </c>
      <c r="D579" s="300"/>
      <c r="E579" s="300"/>
      <c r="F579" s="300"/>
      <c r="G579" s="300"/>
      <c r="H579" s="300"/>
      <c r="I579" s="300"/>
      <c r="J579" s="300"/>
      <c r="K579" s="300"/>
      <c r="L579" s="300"/>
      <c r="M579" s="300"/>
      <c r="N579" s="300"/>
      <c r="O579" s="300"/>
      <c r="P579" s="300"/>
      <c r="Q579" s="300"/>
      <c r="R579" s="300"/>
      <c r="S579" s="300"/>
      <c r="T579" s="300"/>
      <c r="U579" s="300"/>
      <c r="V579" s="300"/>
      <c r="W579" s="300"/>
      <c r="X579" s="300"/>
      <c r="Y579" s="300"/>
      <c r="Z579" s="300"/>
      <c r="AA579" s="300"/>
      <c r="AB579" s="300"/>
      <c r="AC579" s="300"/>
      <c r="AD579" s="300"/>
      <c r="AE579" s="300"/>
      <c r="AF579" s="300"/>
      <c r="AG579" s="300"/>
      <c r="AH579" s="300"/>
      <c r="AI579" s="300"/>
      <c r="AJ579" s="300"/>
      <c r="AK579" s="300"/>
      <c r="AL579" s="300"/>
      <c r="AM579" s="300"/>
      <c r="AN579" s="300"/>
      <c r="AO579" s="300"/>
      <c r="AP579" s="300"/>
      <c r="AQ579" s="300"/>
      <c r="AR579" s="300"/>
      <c r="AS579" s="300"/>
      <c r="AT579" s="300"/>
      <c r="AU579" s="300"/>
      <c r="AV579" s="300"/>
      <c r="AW579" s="300"/>
      <c r="AX579" s="300"/>
      <c r="AY579" s="300"/>
      <c r="AZ579" s="300"/>
      <c r="BA579" s="300"/>
      <c r="BB579" s="300"/>
      <c r="BC579" s="300"/>
      <c r="BD579" s="300"/>
      <c r="BE579" s="300"/>
      <c r="BF579" s="300"/>
      <c r="BG579" s="353"/>
    </row>
    <row r="580" spans="2:59" ht="14" thickBot="1">
      <c r="B580" s="335" t="s">
        <v>805</v>
      </c>
      <c r="C580" s="300" t="s">
        <v>615</v>
      </c>
      <c r="D580" s="300"/>
      <c r="E580" s="300"/>
      <c r="F580" s="300"/>
      <c r="G580" s="300"/>
      <c r="H580" s="300"/>
      <c r="I580" s="300"/>
      <c r="J580" s="300"/>
      <c r="K580" s="300"/>
      <c r="L580" s="300"/>
      <c r="M580" s="300"/>
      <c r="N580" s="300"/>
      <c r="O580" s="300"/>
      <c r="P580" s="300"/>
      <c r="Q580" s="300"/>
      <c r="R580" s="300"/>
      <c r="S580" s="300"/>
      <c r="T580" s="300"/>
      <c r="U580" s="300"/>
      <c r="V580" s="300"/>
      <c r="W580" s="300"/>
      <c r="X580" s="300"/>
      <c r="Y580" s="300"/>
      <c r="Z580" s="300"/>
      <c r="AA580" s="300"/>
      <c r="AB580" s="300"/>
      <c r="AC580" s="300"/>
      <c r="AD580" s="300"/>
      <c r="AE580" s="300"/>
      <c r="AF580" s="300"/>
      <c r="AG580" s="300"/>
      <c r="AH580" s="300"/>
      <c r="AI580" s="300"/>
      <c r="AJ580" s="300"/>
      <c r="AK580" s="300"/>
      <c r="AL580" s="300"/>
      <c r="AM580" s="300"/>
      <c r="AN580" s="300"/>
      <c r="AO580" s="300"/>
      <c r="AP580" s="300"/>
      <c r="AQ580" s="300"/>
      <c r="AR580" s="300"/>
      <c r="AS580" s="300"/>
      <c r="AT580" s="300"/>
      <c r="AU580" s="300"/>
      <c r="AV580" s="300"/>
      <c r="AW580" s="300"/>
      <c r="AX580" s="300"/>
      <c r="AY580" s="300"/>
      <c r="AZ580" s="300"/>
      <c r="BA580" s="300"/>
      <c r="BB580" s="300"/>
      <c r="BC580" s="300"/>
      <c r="BD580" s="300"/>
      <c r="BE580" s="300"/>
      <c r="BF580" s="300"/>
      <c r="BG580" s="353"/>
    </row>
    <row r="581" spans="2:59">
      <c r="B581" s="358"/>
      <c r="BG581" s="353"/>
    </row>
    <row r="582" spans="2:59" ht="13.5">
      <c r="B582" s="358"/>
      <c r="C582" s="356" t="s">
        <v>396</v>
      </c>
      <c r="BG582" s="353"/>
    </row>
    <row r="583" spans="2:59" ht="13.5">
      <c r="B583" s="358"/>
      <c r="C583" s="356" t="s">
        <v>782</v>
      </c>
      <c r="BG583" s="353"/>
    </row>
    <row r="584" spans="2:59">
      <c r="B584" s="358"/>
      <c r="BG584" s="353"/>
    </row>
    <row r="585" spans="2:59" ht="15">
      <c r="B585" s="358"/>
      <c r="C585" s="459" t="s">
        <v>436</v>
      </c>
      <c r="D585" s="460"/>
      <c r="E585" s="460"/>
      <c r="F585" s="460"/>
      <c r="G585" s="460"/>
      <c r="H585" s="460"/>
      <c r="I585" s="460"/>
      <c r="J585" s="460"/>
      <c r="K585" s="460"/>
      <c r="L585" s="460"/>
      <c r="M585" s="460"/>
      <c r="N585" s="460"/>
      <c r="O585" s="460"/>
      <c r="P585" s="460"/>
      <c r="Q585" s="460"/>
      <c r="R585" s="460"/>
      <c r="S585" s="460"/>
      <c r="T585" s="460"/>
      <c r="U585" s="460"/>
      <c r="V585" s="460"/>
      <c r="W585" s="460"/>
      <c r="X585" s="460"/>
      <c r="Y585" s="460"/>
      <c r="Z585" s="461"/>
      <c r="AA585" s="68"/>
      <c r="AB585" s="68"/>
      <c r="AC585" s="68"/>
      <c r="AD585" s="68"/>
      <c r="BG585" s="353"/>
    </row>
    <row r="586" spans="2:59" ht="15">
      <c r="B586" s="358"/>
      <c r="C586" s="322"/>
      <c r="D586" s="322"/>
      <c r="E586" s="322"/>
      <c r="F586" s="319" t="s">
        <v>169</v>
      </c>
      <c r="G586" s="319" t="s">
        <v>169</v>
      </c>
      <c r="H586" s="319" t="s">
        <v>169</v>
      </c>
      <c r="I586" s="319"/>
      <c r="J586" s="319"/>
      <c r="K586" s="319"/>
      <c r="L586" s="319"/>
      <c r="M586" s="319"/>
      <c r="N586" s="319"/>
      <c r="O586" s="319"/>
      <c r="P586" s="319"/>
      <c r="Q586" s="319"/>
      <c r="R586" s="319"/>
      <c r="S586" s="319"/>
      <c r="T586" s="319"/>
      <c r="U586" s="319"/>
      <c r="V586" s="319"/>
      <c r="W586" s="319"/>
      <c r="X586" s="319"/>
      <c r="Y586" s="319"/>
      <c r="Z586" s="319"/>
      <c r="AA586" s="319"/>
      <c r="AB586" s="319"/>
      <c r="AC586" s="319"/>
      <c r="AD586" s="319"/>
      <c r="BG586" s="353"/>
    </row>
    <row r="587" spans="2:59">
      <c r="B587" s="358"/>
      <c r="C587" s="312" t="s">
        <v>172</v>
      </c>
      <c r="D587" s="312" t="s">
        <v>173</v>
      </c>
      <c r="E587" s="312" t="s">
        <v>174</v>
      </c>
      <c r="F587" s="314" t="s">
        <v>91</v>
      </c>
      <c r="G587" s="314" t="s">
        <v>67</v>
      </c>
      <c r="H587" s="314" t="s">
        <v>69</v>
      </c>
      <c r="I587" s="314" t="s">
        <v>457</v>
      </c>
      <c r="J587" s="314" t="s">
        <v>458</v>
      </c>
      <c r="K587" s="314" t="s">
        <v>459</v>
      </c>
      <c r="L587" s="314" t="s">
        <v>460</v>
      </c>
      <c r="M587" s="314" t="s">
        <v>461</v>
      </c>
      <c r="N587" s="314" t="s">
        <v>462</v>
      </c>
      <c r="O587" s="314" t="s">
        <v>463</v>
      </c>
      <c r="P587" s="314" t="s">
        <v>464</v>
      </c>
      <c r="Q587" s="314" t="s">
        <v>465</v>
      </c>
      <c r="R587" s="314" t="s">
        <v>466</v>
      </c>
      <c r="S587" s="314" t="s">
        <v>467</v>
      </c>
      <c r="T587" s="314" t="s">
        <v>468</v>
      </c>
      <c r="U587" s="314" t="s">
        <v>469</v>
      </c>
      <c r="V587" s="314" t="s">
        <v>470</v>
      </c>
      <c r="W587" s="314" t="s">
        <v>471</v>
      </c>
      <c r="X587" s="314" t="s">
        <v>397</v>
      </c>
      <c r="Y587" s="314" t="s">
        <v>398</v>
      </c>
      <c r="Z587" s="314" t="s">
        <v>399</v>
      </c>
      <c r="AA587" s="314" t="s">
        <v>400</v>
      </c>
      <c r="AB587" s="314" t="s">
        <v>151</v>
      </c>
      <c r="AC587" s="314" t="s">
        <v>152</v>
      </c>
      <c r="AD587" s="314" t="s">
        <v>401</v>
      </c>
      <c r="BG587" s="353"/>
    </row>
    <row r="588" spans="2:59">
      <c r="B588" s="358"/>
      <c r="C588" s="312" t="s">
        <v>371</v>
      </c>
      <c r="D588" s="312" t="s">
        <v>381</v>
      </c>
      <c r="E588" s="312" t="s">
        <v>390</v>
      </c>
      <c r="F588" s="313" t="s">
        <v>418</v>
      </c>
      <c r="G588" s="313" t="s">
        <v>419</v>
      </c>
      <c r="H588" s="313" t="s">
        <v>421</v>
      </c>
      <c r="I588" s="313" t="s">
        <v>420</v>
      </c>
      <c r="J588" s="313" t="s">
        <v>422</v>
      </c>
      <c r="K588" s="313" t="s">
        <v>423</v>
      </c>
      <c r="L588" s="313" t="s">
        <v>424</v>
      </c>
      <c r="M588" s="313" t="s">
        <v>425</v>
      </c>
      <c r="N588" s="313" t="s">
        <v>426</v>
      </c>
      <c r="O588" s="313" t="s">
        <v>427</v>
      </c>
      <c r="P588" s="313" t="s">
        <v>428</v>
      </c>
      <c r="Q588" s="313" t="s">
        <v>429</v>
      </c>
      <c r="R588" s="313" t="s">
        <v>430</v>
      </c>
      <c r="S588" s="313" t="s">
        <v>431</v>
      </c>
      <c r="T588" s="313" t="s">
        <v>432</v>
      </c>
      <c r="U588" s="313" t="s">
        <v>433</v>
      </c>
      <c r="V588" s="313" t="s">
        <v>434</v>
      </c>
      <c r="W588" s="313" t="s">
        <v>435</v>
      </c>
      <c r="X588" s="313" t="s">
        <v>403</v>
      </c>
      <c r="Y588" s="313" t="s">
        <v>404</v>
      </c>
      <c r="Z588" s="313" t="s">
        <v>405</v>
      </c>
      <c r="AA588" s="313" t="s">
        <v>406</v>
      </c>
      <c r="AB588" s="313" t="s">
        <v>407</v>
      </c>
      <c r="AC588" s="313" t="s">
        <v>408</v>
      </c>
      <c r="AD588" s="313" t="s">
        <v>409</v>
      </c>
      <c r="BG588" s="353"/>
    </row>
    <row r="589" spans="2:59">
      <c r="B589" s="358"/>
      <c r="C589" s="312" t="s">
        <v>472</v>
      </c>
      <c r="D589" s="312" t="s">
        <v>473</v>
      </c>
      <c r="E589" s="312" t="s">
        <v>473</v>
      </c>
      <c r="F589" s="314" t="s">
        <v>474</v>
      </c>
      <c r="G589" s="314" t="s">
        <v>474</v>
      </c>
      <c r="H589" s="314" t="s">
        <v>475</v>
      </c>
      <c r="I589" s="314" t="s">
        <v>474</v>
      </c>
      <c r="J589" s="314" t="s">
        <v>476</v>
      </c>
      <c r="K589" s="314" t="s">
        <v>477</v>
      </c>
      <c r="L589" s="313" t="s">
        <v>478</v>
      </c>
      <c r="M589" s="314" t="s">
        <v>478</v>
      </c>
      <c r="N589" s="314" t="s">
        <v>479</v>
      </c>
      <c r="O589" s="314" t="s">
        <v>474</v>
      </c>
      <c r="P589" s="314" t="s">
        <v>480</v>
      </c>
      <c r="Q589" s="314" t="s">
        <v>481</v>
      </c>
      <c r="R589" s="314" t="s">
        <v>480</v>
      </c>
      <c r="S589" s="314" t="s">
        <v>482</v>
      </c>
      <c r="T589" s="313" t="s">
        <v>483</v>
      </c>
      <c r="U589" s="314" t="s">
        <v>483</v>
      </c>
      <c r="V589" s="314" t="s">
        <v>484</v>
      </c>
      <c r="W589" s="314" t="s">
        <v>474</v>
      </c>
      <c r="X589" s="314" t="s">
        <v>485</v>
      </c>
      <c r="Y589" s="314" t="s">
        <v>487</v>
      </c>
      <c r="Z589" s="314" t="s">
        <v>488</v>
      </c>
      <c r="AA589" s="314" t="s">
        <v>488</v>
      </c>
      <c r="AB589" s="313" t="s">
        <v>486</v>
      </c>
      <c r="AC589" s="314" t="s">
        <v>488</v>
      </c>
      <c r="AD589" s="314" t="s">
        <v>488</v>
      </c>
      <c r="BG589" s="353"/>
    </row>
    <row r="590" spans="2:59" ht="25">
      <c r="B590" s="315" t="s">
        <v>410</v>
      </c>
      <c r="C590" s="316" t="s">
        <v>437</v>
      </c>
      <c r="D590" s="337" t="s">
        <v>630</v>
      </c>
      <c r="E590" s="338" t="s">
        <v>182</v>
      </c>
      <c r="F590" s="314" t="s">
        <v>183</v>
      </c>
      <c r="G590" s="316" t="s">
        <v>439</v>
      </c>
      <c r="H590" s="314" t="s">
        <v>184</v>
      </c>
      <c r="I590" s="327" t="s">
        <v>439</v>
      </c>
      <c r="J590" s="314" t="s">
        <v>184</v>
      </c>
      <c r="K590" s="314" t="s">
        <v>411</v>
      </c>
      <c r="L590" s="313" t="s">
        <v>448</v>
      </c>
      <c r="M590" s="314" t="s">
        <v>441</v>
      </c>
      <c r="N590" s="314"/>
      <c r="O590" s="314" t="s">
        <v>411</v>
      </c>
      <c r="P590" s="314" t="s">
        <v>156</v>
      </c>
      <c r="Q590" s="314" t="s">
        <v>184</v>
      </c>
      <c r="R590" s="314" t="s">
        <v>449</v>
      </c>
      <c r="S590" s="314"/>
      <c r="T590" s="313" t="s">
        <v>156</v>
      </c>
      <c r="U590" s="314" t="s">
        <v>156</v>
      </c>
      <c r="V590" s="314" t="s">
        <v>156</v>
      </c>
      <c r="W590" s="314"/>
      <c r="X590" s="314" t="s">
        <v>411</v>
      </c>
      <c r="Y590" s="314" t="s">
        <v>450</v>
      </c>
      <c r="Z590" s="314" t="s">
        <v>451</v>
      </c>
      <c r="AA590" s="314">
        <v>470195</v>
      </c>
      <c r="AB590" s="313" t="s">
        <v>450</v>
      </c>
      <c r="AC590" s="314">
        <v>470195</v>
      </c>
      <c r="AD590" s="314" t="s">
        <v>451</v>
      </c>
      <c r="BG590" s="353"/>
    </row>
    <row r="591" spans="2:59" ht="14">
      <c r="B591" s="315" t="s">
        <v>410</v>
      </c>
      <c r="C591" s="316" t="s">
        <v>437</v>
      </c>
      <c r="D591" s="337" t="s">
        <v>629</v>
      </c>
      <c r="E591" s="338" t="s">
        <v>182</v>
      </c>
      <c r="F591" s="316" t="s">
        <v>454</v>
      </c>
      <c r="G591" s="316" t="s">
        <v>183</v>
      </c>
      <c r="H591" s="316" t="s">
        <v>184</v>
      </c>
      <c r="I591" s="419" t="s">
        <v>600</v>
      </c>
      <c r="J591" s="316" t="s">
        <v>440</v>
      </c>
      <c r="K591" s="316" t="s">
        <v>411</v>
      </c>
      <c r="L591" s="316" t="s">
        <v>156</v>
      </c>
      <c r="M591" s="316" t="s">
        <v>441</v>
      </c>
      <c r="N591" s="316" t="s">
        <v>156</v>
      </c>
      <c r="O591" s="316" t="s">
        <v>183</v>
      </c>
      <c r="P591" s="316" t="s">
        <v>156</v>
      </c>
      <c r="Q591" s="316" t="s">
        <v>442</v>
      </c>
      <c r="R591" s="316" t="s">
        <v>443</v>
      </c>
      <c r="S591" s="316" t="s">
        <v>156</v>
      </c>
      <c r="T591" s="316" t="s">
        <v>156</v>
      </c>
      <c r="U591" s="316" t="s">
        <v>156</v>
      </c>
      <c r="V591" s="316" t="s">
        <v>156</v>
      </c>
      <c r="W591" s="316" t="s">
        <v>156</v>
      </c>
      <c r="X591" s="316" t="s">
        <v>411</v>
      </c>
      <c r="Y591" s="316" t="s">
        <v>444</v>
      </c>
      <c r="Z591" s="316" t="s">
        <v>445</v>
      </c>
      <c r="AA591" s="316" t="s">
        <v>445</v>
      </c>
      <c r="AB591" s="316" t="s">
        <v>446</v>
      </c>
      <c r="AC591" s="316" t="s">
        <v>455</v>
      </c>
      <c r="AD591" s="316" t="s">
        <v>455</v>
      </c>
      <c r="BG591" s="353"/>
    </row>
    <row r="592" spans="2:59" ht="14">
      <c r="B592" s="317" t="s">
        <v>412</v>
      </c>
      <c r="C592" s="327" t="s">
        <v>437</v>
      </c>
      <c r="D592" s="327" t="s">
        <v>784</v>
      </c>
      <c r="E592" s="327" t="s">
        <v>453</v>
      </c>
      <c r="F592" s="327" t="s">
        <v>183</v>
      </c>
      <c r="G592" s="327" t="s">
        <v>183</v>
      </c>
      <c r="H592" s="327" t="s">
        <v>184</v>
      </c>
      <c r="I592" s="420" t="s">
        <v>600</v>
      </c>
      <c r="J592" s="327" t="s">
        <v>665</v>
      </c>
      <c r="K592" s="327" t="s">
        <v>666</v>
      </c>
      <c r="L592" s="327" t="s">
        <v>156</v>
      </c>
      <c r="M592" s="327" t="s">
        <v>441</v>
      </c>
      <c r="N592" s="327" t="s">
        <v>156</v>
      </c>
      <c r="O592" s="327" t="s">
        <v>183</v>
      </c>
      <c r="P592" s="327" t="s">
        <v>156</v>
      </c>
      <c r="Q592" s="327" t="s">
        <v>442</v>
      </c>
      <c r="R592" s="327" t="s">
        <v>443</v>
      </c>
      <c r="S592" s="327" t="s">
        <v>156</v>
      </c>
      <c r="T592" s="327" t="s">
        <v>156</v>
      </c>
      <c r="U592" s="327" t="s">
        <v>156</v>
      </c>
      <c r="V592" s="327" t="s">
        <v>156</v>
      </c>
      <c r="W592" s="327" t="s">
        <v>156</v>
      </c>
      <c r="X592" s="327" t="s">
        <v>411</v>
      </c>
      <c r="Y592" s="327" t="s">
        <v>444</v>
      </c>
      <c r="Z592" s="327" t="s">
        <v>445</v>
      </c>
      <c r="AA592" s="327" t="s">
        <v>445</v>
      </c>
      <c r="AB592" s="327" t="s">
        <v>446</v>
      </c>
      <c r="AC592" s="327" t="s">
        <v>455</v>
      </c>
      <c r="AD592" s="327" t="s">
        <v>455</v>
      </c>
      <c r="BG592" s="353"/>
    </row>
    <row r="593" spans="2:59" ht="14">
      <c r="B593" s="315" t="s">
        <v>410</v>
      </c>
      <c r="C593" s="316" t="s">
        <v>437</v>
      </c>
      <c r="D593" s="337" t="s">
        <v>182</v>
      </c>
      <c r="E593" s="338" t="s">
        <v>182</v>
      </c>
      <c r="F593" s="316" t="s">
        <v>454</v>
      </c>
      <c r="G593" s="316" t="s">
        <v>611</v>
      </c>
      <c r="H593" s="316" t="s">
        <v>184</v>
      </c>
      <c r="I593" s="419" t="s">
        <v>600</v>
      </c>
      <c r="J593" s="316" t="s">
        <v>440</v>
      </c>
      <c r="K593" s="316" t="s">
        <v>411</v>
      </c>
      <c r="L593" s="316" t="s">
        <v>156</v>
      </c>
      <c r="M593" s="316" t="s">
        <v>441</v>
      </c>
      <c r="N593" s="316" t="s">
        <v>156</v>
      </c>
      <c r="O593" s="316" t="s">
        <v>183</v>
      </c>
      <c r="P593" s="316" t="s">
        <v>156</v>
      </c>
      <c r="Q593" s="316" t="s">
        <v>442</v>
      </c>
      <c r="R593" s="316" t="s">
        <v>443</v>
      </c>
      <c r="S593" s="316" t="s">
        <v>156</v>
      </c>
      <c r="T593" s="316" t="s">
        <v>156</v>
      </c>
      <c r="U593" s="316" t="s">
        <v>156</v>
      </c>
      <c r="V593" s="316" t="s">
        <v>156</v>
      </c>
      <c r="W593" s="316" t="s">
        <v>156</v>
      </c>
      <c r="X593" s="316" t="s">
        <v>411</v>
      </c>
      <c r="Y593" s="316" t="s">
        <v>444</v>
      </c>
      <c r="Z593" s="316" t="s">
        <v>445</v>
      </c>
      <c r="AA593" s="316" t="s">
        <v>445</v>
      </c>
      <c r="AB593" s="316" t="s">
        <v>446</v>
      </c>
      <c r="AC593" s="316" t="s">
        <v>455</v>
      </c>
      <c r="AD593" s="316" t="s">
        <v>455</v>
      </c>
      <c r="BG593" s="353"/>
    </row>
    <row r="594" spans="2:59">
      <c r="B594" s="358"/>
      <c r="BG594" s="353"/>
    </row>
    <row r="595" spans="2:59" ht="15">
      <c r="B595" s="358"/>
      <c r="C595" s="449" t="s">
        <v>489</v>
      </c>
      <c r="D595" s="450"/>
      <c r="E595" s="450"/>
      <c r="F595" s="450"/>
      <c r="G595" s="450"/>
      <c r="H595" s="450"/>
      <c r="I595" s="450"/>
      <c r="J595" s="450"/>
      <c r="K595" s="450"/>
      <c r="L595" s="450"/>
      <c r="M595" s="450"/>
      <c r="N595" s="450"/>
      <c r="O595" s="450"/>
      <c r="P595" s="450"/>
      <c r="Q595" s="450"/>
      <c r="R595" s="450"/>
      <c r="S595" s="450"/>
      <c r="T595" s="450"/>
      <c r="U595" s="92"/>
      <c r="V595" s="92"/>
      <c r="W595" s="92"/>
      <c r="X595" s="92"/>
      <c r="Y595" s="92"/>
      <c r="Z595" s="92"/>
      <c r="AA595" s="93"/>
      <c r="AB595" s="93"/>
      <c r="AC595" s="93"/>
      <c r="AD595" s="93"/>
      <c r="AE595" s="93"/>
      <c r="AF595" s="93"/>
      <c r="AG595" s="93"/>
      <c r="AH595" s="93"/>
      <c r="AI595" s="93"/>
      <c r="AJ595" s="93"/>
      <c r="AK595" s="93"/>
      <c r="AL595" s="93"/>
      <c r="AM595" s="93"/>
      <c r="AN595" s="93"/>
      <c r="AO595" s="93"/>
      <c r="AP595" s="94"/>
      <c r="AQ595" s="94"/>
      <c r="AR595" s="94"/>
      <c r="AS595" s="94"/>
      <c r="AT595" s="94"/>
      <c r="AU595" s="94"/>
      <c r="AV595" s="94"/>
      <c r="AW595" s="94"/>
      <c r="AX595" s="94"/>
      <c r="AY595" s="94"/>
      <c r="AZ595" s="94"/>
      <c r="BA595" s="94"/>
      <c r="BB595" s="94"/>
      <c r="BC595" s="94"/>
      <c r="BD595" s="94"/>
      <c r="BE595" s="94"/>
      <c r="BF595" s="94"/>
      <c r="BG595" s="353"/>
    </row>
    <row r="596" spans="2:59" ht="15">
      <c r="B596" s="358"/>
      <c r="C596" s="322"/>
      <c r="D596" s="322"/>
      <c r="E596" s="322"/>
      <c r="F596" s="319" t="s">
        <v>169</v>
      </c>
      <c r="G596" s="319" t="s">
        <v>169</v>
      </c>
      <c r="H596" s="324" t="s">
        <v>169</v>
      </c>
      <c r="I596" s="319" t="s">
        <v>169</v>
      </c>
      <c r="J596" s="319" t="s">
        <v>169</v>
      </c>
      <c r="K596" s="324"/>
      <c r="L596" s="324"/>
      <c r="M596" s="324"/>
      <c r="N596" s="324"/>
      <c r="O596" s="324"/>
      <c r="P596" s="324"/>
      <c r="Q596" s="324"/>
      <c r="R596" s="324"/>
      <c r="S596" s="324"/>
      <c r="T596" s="324"/>
      <c r="U596" s="324"/>
      <c r="V596" s="324"/>
      <c r="W596" s="324"/>
      <c r="X596" s="324"/>
      <c r="Y596" s="324"/>
      <c r="Z596" s="324"/>
      <c r="AA596" s="325"/>
      <c r="AB596" s="325"/>
      <c r="AC596" s="325"/>
      <c r="AD596" s="325"/>
      <c r="AE596" s="325"/>
      <c r="AF596" s="325"/>
      <c r="AG596" s="325"/>
      <c r="AH596" s="325"/>
      <c r="AI596" s="325"/>
      <c r="AJ596" s="325"/>
      <c r="AK596" s="325"/>
      <c r="AL596" s="325"/>
      <c r="AM596" s="325"/>
      <c r="AN596" s="325"/>
      <c r="AO596" s="325"/>
      <c r="AP596" s="325"/>
      <c r="AQ596" s="325"/>
      <c r="AR596" s="325"/>
      <c r="AS596" s="325"/>
      <c r="AT596" s="325"/>
      <c r="AU596" s="325"/>
      <c r="AV596" s="325"/>
      <c r="AW596" s="325"/>
      <c r="AX596" s="325"/>
      <c r="AY596" s="325"/>
      <c r="AZ596" s="325"/>
      <c r="BA596" s="325"/>
      <c r="BB596" s="325"/>
      <c r="BC596" s="325"/>
      <c r="BD596" s="325"/>
      <c r="BE596" s="325"/>
      <c r="BF596" s="325"/>
      <c r="BG596" s="353"/>
    </row>
    <row r="597" spans="2:59" ht="25">
      <c r="B597" s="358"/>
      <c r="C597" s="312" t="s">
        <v>533</v>
      </c>
      <c r="D597" s="312" t="s">
        <v>588</v>
      </c>
      <c r="E597" s="312" t="s">
        <v>589</v>
      </c>
      <c r="F597" s="314" t="s">
        <v>96</v>
      </c>
      <c r="G597" s="314" t="s">
        <v>99</v>
      </c>
      <c r="H597" s="314" t="s">
        <v>130</v>
      </c>
      <c r="I597" s="314" t="s">
        <v>559</v>
      </c>
      <c r="J597" s="314" t="s">
        <v>127</v>
      </c>
      <c r="K597" s="314" t="s">
        <v>67</v>
      </c>
      <c r="L597" s="314" t="s">
        <v>456</v>
      </c>
      <c r="M597" s="314" t="s">
        <v>534</v>
      </c>
      <c r="N597" s="314" t="s">
        <v>535</v>
      </c>
      <c r="O597" s="314" t="s">
        <v>536</v>
      </c>
      <c r="P597" s="314" t="s">
        <v>537</v>
      </c>
      <c r="Q597" s="314" t="s">
        <v>538</v>
      </c>
      <c r="R597" s="314" t="s">
        <v>539</v>
      </c>
      <c r="S597" s="314" t="s">
        <v>540</v>
      </c>
      <c r="T597" s="314" t="s">
        <v>541</v>
      </c>
      <c r="U597" s="314" t="s">
        <v>542</v>
      </c>
      <c r="V597" s="314" t="s">
        <v>543</v>
      </c>
      <c r="W597" s="314" t="s">
        <v>544</v>
      </c>
      <c r="X597" s="314" t="s">
        <v>545</v>
      </c>
      <c r="Y597" s="314" t="s">
        <v>546</v>
      </c>
      <c r="Z597" s="314" t="s">
        <v>547</v>
      </c>
      <c r="AA597" s="314" t="s">
        <v>548</v>
      </c>
      <c r="AB597" s="314" t="s">
        <v>549</v>
      </c>
      <c r="AC597" s="314" t="s">
        <v>550</v>
      </c>
      <c r="AD597" s="314" t="s">
        <v>551</v>
      </c>
      <c r="AE597" s="314" t="s">
        <v>552</v>
      </c>
      <c r="AF597" s="314" t="s">
        <v>553</v>
      </c>
      <c r="AG597" s="314" t="s">
        <v>554</v>
      </c>
      <c r="AH597" s="314" t="s">
        <v>555</v>
      </c>
      <c r="AI597" s="314" t="s">
        <v>556</v>
      </c>
      <c r="AJ597" s="314" t="s">
        <v>558</v>
      </c>
      <c r="AK597" s="314" t="s">
        <v>557</v>
      </c>
      <c r="AL597" s="314" t="s">
        <v>566</v>
      </c>
      <c r="AM597" s="314" t="s">
        <v>560</v>
      </c>
      <c r="AN597" s="314" t="s">
        <v>561</v>
      </c>
      <c r="AO597" s="314" t="s">
        <v>562</v>
      </c>
      <c r="AP597" s="314" t="s">
        <v>563</v>
      </c>
      <c r="AQ597" s="314" t="s">
        <v>567</v>
      </c>
      <c r="AR597" s="314" t="s">
        <v>564</v>
      </c>
      <c r="AS597" s="314" t="s">
        <v>565</v>
      </c>
      <c r="AT597" s="314" t="s">
        <v>568</v>
      </c>
      <c r="AU597" s="314" t="s">
        <v>569</v>
      </c>
      <c r="AV597" s="314" t="s">
        <v>570</v>
      </c>
      <c r="AW597" s="314" t="s">
        <v>571</v>
      </c>
      <c r="AX597" s="314" t="s">
        <v>572</v>
      </c>
      <c r="AY597" s="314" t="s">
        <v>573</v>
      </c>
      <c r="AZ597" s="314" t="s">
        <v>397</v>
      </c>
      <c r="BA597" s="314" t="s">
        <v>398</v>
      </c>
      <c r="BB597" s="314" t="s">
        <v>399</v>
      </c>
      <c r="BC597" s="314" t="s">
        <v>400</v>
      </c>
      <c r="BD597" s="314" t="s">
        <v>151</v>
      </c>
      <c r="BE597" s="314" t="s">
        <v>152</v>
      </c>
      <c r="BF597" s="314" t="s">
        <v>401</v>
      </c>
      <c r="BG597" s="353"/>
    </row>
    <row r="598" spans="2:59">
      <c r="B598" s="358"/>
      <c r="C598" s="312" t="s">
        <v>371</v>
      </c>
      <c r="D598" s="312" t="s">
        <v>381</v>
      </c>
      <c r="E598" s="312" t="s">
        <v>390</v>
      </c>
      <c r="F598" s="313" t="s">
        <v>490</v>
      </c>
      <c r="G598" s="313" t="s">
        <v>491</v>
      </c>
      <c r="H598" s="313" t="s">
        <v>492</v>
      </c>
      <c r="I598" s="313" t="s">
        <v>519</v>
      </c>
      <c r="J598" s="313" t="s">
        <v>525</v>
      </c>
      <c r="K598" s="313" t="s">
        <v>419</v>
      </c>
      <c r="L598" s="313" t="s">
        <v>420</v>
      </c>
      <c r="M598" s="313" t="s">
        <v>493</v>
      </c>
      <c r="N598" s="313" t="s">
        <v>494</v>
      </c>
      <c r="O598" s="313" t="s">
        <v>495</v>
      </c>
      <c r="P598" s="313" t="s">
        <v>496</v>
      </c>
      <c r="Q598" s="313" t="s">
        <v>497</v>
      </c>
      <c r="R598" s="313" t="s">
        <v>498</v>
      </c>
      <c r="S598" s="313" t="s">
        <v>499</v>
      </c>
      <c r="T598" s="313" t="s">
        <v>500</v>
      </c>
      <c r="U598" s="313" t="s">
        <v>501</v>
      </c>
      <c r="V598" s="313" t="s">
        <v>502</v>
      </c>
      <c r="W598" s="313" t="s">
        <v>503</v>
      </c>
      <c r="X598" s="313" t="s">
        <v>504</v>
      </c>
      <c r="Y598" s="313" t="s">
        <v>505</v>
      </c>
      <c r="Z598" s="313" t="s">
        <v>506</v>
      </c>
      <c r="AA598" s="313" t="s">
        <v>507</v>
      </c>
      <c r="AB598" s="313" t="s">
        <v>508</v>
      </c>
      <c r="AC598" s="313" t="s">
        <v>509</v>
      </c>
      <c r="AD598" s="313" t="s">
        <v>510</v>
      </c>
      <c r="AE598" s="313" t="s">
        <v>511</v>
      </c>
      <c r="AF598" s="313" t="s">
        <v>512</v>
      </c>
      <c r="AG598" s="313" t="s">
        <v>513</v>
      </c>
      <c r="AH598" s="313" t="s">
        <v>514</v>
      </c>
      <c r="AI598" s="313" t="s">
        <v>515</v>
      </c>
      <c r="AJ598" s="313" t="s">
        <v>516</v>
      </c>
      <c r="AK598" s="313" t="s">
        <v>517</v>
      </c>
      <c r="AL598" s="313" t="s">
        <v>518</v>
      </c>
      <c r="AM598" s="313" t="s">
        <v>520</v>
      </c>
      <c r="AN598" s="313" t="s">
        <v>521</v>
      </c>
      <c r="AO598" s="313" t="s">
        <v>522</v>
      </c>
      <c r="AP598" s="313" t="s">
        <v>402</v>
      </c>
      <c r="AQ598" s="313" t="s">
        <v>523</v>
      </c>
      <c r="AR598" s="313" t="s">
        <v>524</v>
      </c>
      <c r="AS598" s="313" t="s">
        <v>526</v>
      </c>
      <c r="AT598" s="313" t="s">
        <v>527</v>
      </c>
      <c r="AU598" s="313" t="s">
        <v>528</v>
      </c>
      <c r="AV598" s="313" t="s">
        <v>529</v>
      </c>
      <c r="AW598" s="313" t="s">
        <v>530</v>
      </c>
      <c r="AX598" s="313" t="s">
        <v>531</v>
      </c>
      <c r="AY598" s="313" t="s">
        <v>532</v>
      </c>
      <c r="AZ598" s="313" t="s">
        <v>403</v>
      </c>
      <c r="BA598" s="313" t="s">
        <v>404</v>
      </c>
      <c r="BB598" s="313" t="s">
        <v>405</v>
      </c>
      <c r="BC598" s="313" t="s">
        <v>406</v>
      </c>
      <c r="BD598" s="313" t="s">
        <v>407</v>
      </c>
      <c r="BE598" s="313" t="s">
        <v>408</v>
      </c>
      <c r="BF598" s="313" t="s">
        <v>409</v>
      </c>
      <c r="BG598" s="353"/>
    </row>
    <row r="599" spans="2:59">
      <c r="B599" s="358"/>
      <c r="C599" s="312" t="s">
        <v>472</v>
      </c>
      <c r="D599" s="312" t="s">
        <v>574</v>
      </c>
      <c r="E599" s="312" t="s">
        <v>473</v>
      </c>
      <c r="F599" s="326" t="s">
        <v>474</v>
      </c>
      <c r="G599" s="326" t="s">
        <v>474</v>
      </c>
      <c r="H599" s="326" t="s">
        <v>474</v>
      </c>
      <c r="I599" s="326" t="s">
        <v>474</v>
      </c>
      <c r="J599" s="326" t="s">
        <v>476</v>
      </c>
      <c r="K599" s="326" t="s">
        <v>474</v>
      </c>
      <c r="L599" s="326" t="s">
        <v>474</v>
      </c>
      <c r="M599" s="326" t="s">
        <v>575</v>
      </c>
      <c r="N599" s="326" t="s">
        <v>575</v>
      </c>
      <c r="O599" s="326" t="s">
        <v>473</v>
      </c>
      <c r="P599" s="326" t="s">
        <v>576</v>
      </c>
      <c r="Q599" s="326" t="s">
        <v>474</v>
      </c>
      <c r="R599" s="326" t="s">
        <v>481</v>
      </c>
      <c r="S599" s="326" t="s">
        <v>476</v>
      </c>
      <c r="T599" s="326" t="s">
        <v>481</v>
      </c>
      <c r="U599" s="326" t="s">
        <v>476</v>
      </c>
      <c r="V599" s="326" t="s">
        <v>476</v>
      </c>
      <c r="W599" s="326" t="s">
        <v>474</v>
      </c>
      <c r="X599" s="326" t="s">
        <v>577</v>
      </c>
      <c r="Y599" s="326" t="s">
        <v>577</v>
      </c>
      <c r="Z599" s="326" t="s">
        <v>478</v>
      </c>
      <c r="AA599" s="326" t="s">
        <v>576</v>
      </c>
      <c r="AB599" s="326" t="s">
        <v>576</v>
      </c>
      <c r="AC599" s="326" t="s">
        <v>476</v>
      </c>
      <c r="AD599" s="326" t="s">
        <v>480</v>
      </c>
      <c r="AE599" s="326" t="s">
        <v>481</v>
      </c>
      <c r="AF599" s="326" t="s">
        <v>481</v>
      </c>
      <c r="AG599" s="326" t="s">
        <v>578</v>
      </c>
      <c r="AH599" s="326" t="s">
        <v>578</v>
      </c>
      <c r="AI599" s="326" t="s">
        <v>481</v>
      </c>
      <c r="AJ599" s="326" t="s">
        <v>481</v>
      </c>
      <c r="AK599" s="326" t="s">
        <v>578</v>
      </c>
      <c r="AL599" s="326" t="s">
        <v>578</v>
      </c>
      <c r="AM599" s="326" t="s">
        <v>474</v>
      </c>
      <c r="AN599" s="326" t="s">
        <v>474</v>
      </c>
      <c r="AO599" s="326" t="s">
        <v>474</v>
      </c>
      <c r="AP599" s="326" t="s">
        <v>478</v>
      </c>
      <c r="AQ599" s="326" t="s">
        <v>473</v>
      </c>
      <c r="AR599" s="326" t="s">
        <v>474</v>
      </c>
      <c r="AS599" s="326" t="s">
        <v>476</v>
      </c>
      <c r="AT599" s="326" t="s">
        <v>474</v>
      </c>
      <c r="AU599" s="326" t="s">
        <v>579</v>
      </c>
      <c r="AV599" s="326" t="s">
        <v>481</v>
      </c>
      <c r="AW599" s="326" t="s">
        <v>478</v>
      </c>
      <c r="AX599" s="326" t="s">
        <v>474</v>
      </c>
      <c r="AY599" s="326" t="s">
        <v>474</v>
      </c>
      <c r="AZ599" s="326" t="s">
        <v>485</v>
      </c>
      <c r="BA599" s="326" t="s">
        <v>486</v>
      </c>
      <c r="BB599" s="326" t="s">
        <v>488</v>
      </c>
      <c r="BC599" s="326" t="s">
        <v>488</v>
      </c>
      <c r="BD599" s="326" t="s">
        <v>486</v>
      </c>
      <c r="BE599" s="326" t="s">
        <v>488</v>
      </c>
      <c r="BF599" s="326" t="s">
        <v>488</v>
      </c>
      <c r="BG599" s="353"/>
    </row>
    <row r="600" spans="2:59" ht="15">
      <c r="B600" s="315" t="s">
        <v>410</v>
      </c>
      <c r="C600" s="327" t="s">
        <v>437</v>
      </c>
      <c r="D600" s="337" t="s">
        <v>630</v>
      </c>
      <c r="E600" s="338" t="s">
        <v>182</v>
      </c>
      <c r="F600" s="328" t="s">
        <v>185</v>
      </c>
      <c r="G600" s="327" t="s">
        <v>411</v>
      </c>
      <c r="H600" s="327" t="s">
        <v>411</v>
      </c>
      <c r="I600" s="330">
        <v>0</v>
      </c>
      <c r="J600" s="331">
        <v>30</v>
      </c>
      <c r="K600" s="327" t="s">
        <v>439</v>
      </c>
      <c r="L600" s="327" t="s">
        <v>439</v>
      </c>
      <c r="M600" s="327" t="s">
        <v>156</v>
      </c>
      <c r="N600" s="327" t="s">
        <v>156</v>
      </c>
      <c r="O600" s="327" t="s">
        <v>584</v>
      </c>
      <c r="P600" s="327" t="s">
        <v>156</v>
      </c>
      <c r="Q600" s="329" t="s">
        <v>585</v>
      </c>
      <c r="R600" s="327" t="s">
        <v>183</v>
      </c>
      <c r="S600" s="327" t="s">
        <v>411</v>
      </c>
      <c r="T600" s="327" t="s">
        <v>581</v>
      </c>
      <c r="U600" s="327" t="s">
        <v>582</v>
      </c>
      <c r="V600" s="327" t="s">
        <v>586</v>
      </c>
      <c r="W600" s="327" t="s">
        <v>183</v>
      </c>
      <c r="X600" s="327" t="s">
        <v>411</v>
      </c>
      <c r="Y600" s="327" t="s">
        <v>411</v>
      </c>
      <c r="Z600" s="327"/>
      <c r="AA600" s="330"/>
      <c r="AB600" s="330" t="s">
        <v>587</v>
      </c>
      <c r="AC600" s="333">
        <v>5000</v>
      </c>
      <c r="AD600" s="330">
        <v>99999999</v>
      </c>
      <c r="AE600" s="327" t="s">
        <v>411</v>
      </c>
      <c r="AF600" s="327" t="s">
        <v>439</v>
      </c>
      <c r="AG600" s="327" t="s">
        <v>411</v>
      </c>
      <c r="AH600" s="327" t="s">
        <v>411</v>
      </c>
      <c r="AI600" s="330">
        <v>0</v>
      </c>
      <c r="AJ600" s="330">
        <v>0</v>
      </c>
      <c r="AK600" s="330">
        <v>0</v>
      </c>
      <c r="AL600" s="330">
        <v>0</v>
      </c>
      <c r="AM600" s="327" t="s">
        <v>183</v>
      </c>
      <c r="AN600" s="330">
        <v>0</v>
      </c>
      <c r="AO600" s="327" t="s">
        <v>411</v>
      </c>
      <c r="AP600" s="330">
        <v>1</v>
      </c>
      <c r="AQ600" s="331">
        <v>1111</v>
      </c>
      <c r="AR600" s="331" t="s">
        <v>583</v>
      </c>
      <c r="AS600" s="331">
        <v>10</v>
      </c>
      <c r="AT600" s="331">
        <v>1</v>
      </c>
      <c r="AU600" s="331">
        <v>0</v>
      </c>
      <c r="AV600" s="331">
        <v>0</v>
      </c>
      <c r="AW600" s="331">
        <v>0</v>
      </c>
      <c r="AX600" s="331">
        <v>0</v>
      </c>
      <c r="AY600" s="331">
        <v>1</v>
      </c>
      <c r="AZ600" s="331">
        <v>0</v>
      </c>
      <c r="BA600" s="332">
        <v>40640.750486111108</v>
      </c>
      <c r="BB600" s="331">
        <v>470195</v>
      </c>
      <c r="BC600" s="331">
        <v>470195</v>
      </c>
      <c r="BD600" s="332">
        <v>45392.67769675926</v>
      </c>
      <c r="BE600" s="331">
        <v>363363</v>
      </c>
      <c r="BF600" s="331">
        <v>363363</v>
      </c>
      <c r="BG600" s="353"/>
    </row>
    <row r="601" spans="2:59" ht="15">
      <c r="B601" s="315" t="s">
        <v>410</v>
      </c>
      <c r="C601" s="327" t="s">
        <v>437</v>
      </c>
      <c r="D601" s="337" t="s">
        <v>629</v>
      </c>
      <c r="E601" s="338" t="s">
        <v>182</v>
      </c>
      <c r="F601" s="334" t="s">
        <v>454</v>
      </c>
      <c r="G601" s="327" t="s">
        <v>411</v>
      </c>
      <c r="H601" s="327" t="s">
        <v>411</v>
      </c>
      <c r="I601" s="330">
        <v>1</v>
      </c>
      <c r="J601" s="331">
        <v>0</v>
      </c>
      <c r="K601" s="327" t="s">
        <v>183</v>
      </c>
      <c r="L601" s="420" t="s">
        <v>600</v>
      </c>
      <c r="M601" s="327" t="s">
        <v>156</v>
      </c>
      <c r="N601" s="327" t="s">
        <v>156</v>
      </c>
      <c r="O601" s="327" t="s">
        <v>156</v>
      </c>
      <c r="P601" s="327" t="s">
        <v>156</v>
      </c>
      <c r="Q601" s="329" t="s">
        <v>580</v>
      </c>
      <c r="R601" s="327" t="s">
        <v>411</v>
      </c>
      <c r="S601" s="327" t="s">
        <v>411</v>
      </c>
      <c r="T601" s="327" t="s">
        <v>581</v>
      </c>
      <c r="U601" s="327" t="s">
        <v>582</v>
      </c>
      <c r="V601" s="327" t="s">
        <v>183</v>
      </c>
      <c r="W601" s="327" t="s">
        <v>183</v>
      </c>
      <c r="X601" s="327" t="s">
        <v>411</v>
      </c>
      <c r="Y601" s="327" t="s">
        <v>411</v>
      </c>
      <c r="Z601" s="327" t="s">
        <v>156</v>
      </c>
      <c r="AA601" s="330" t="s">
        <v>156</v>
      </c>
      <c r="AB601" s="330" t="s">
        <v>156</v>
      </c>
      <c r="AC601" s="330">
        <v>1</v>
      </c>
      <c r="AD601" s="330">
        <v>99999999</v>
      </c>
      <c r="AE601" s="327" t="s">
        <v>411</v>
      </c>
      <c r="AF601" s="327" t="s">
        <v>411</v>
      </c>
      <c r="AG601" s="327" t="s">
        <v>411</v>
      </c>
      <c r="AH601" s="327" t="s">
        <v>411</v>
      </c>
      <c r="AI601" s="330">
        <v>0</v>
      </c>
      <c r="AJ601" s="330">
        <v>0</v>
      </c>
      <c r="AK601" s="330">
        <v>0</v>
      </c>
      <c r="AL601" s="330">
        <v>0</v>
      </c>
      <c r="AM601" s="327" t="s">
        <v>183</v>
      </c>
      <c r="AN601" s="330">
        <v>0</v>
      </c>
      <c r="AO601" s="327" t="s">
        <v>411</v>
      </c>
      <c r="AP601" s="330">
        <v>1</v>
      </c>
      <c r="AQ601" s="331" t="s">
        <v>156</v>
      </c>
      <c r="AR601" s="331" t="s">
        <v>583</v>
      </c>
      <c r="AS601" s="331">
        <v>0</v>
      </c>
      <c r="AT601" s="331">
        <v>1</v>
      </c>
      <c r="AU601" s="331">
        <v>0</v>
      </c>
      <c r="AV601" s="331">
        <v>0</v>
      </c>
      <c r="AW601" s="331">
        <v>0</v>
      </c>
      <c r="AX601" s="331">
        <v>0</v>
      </c>
      <c r="AY601" s="331">
        <v>1</v>
      </c>
      <c r="AZ601" s="331">
        <v>0</v>
      </c>
      <c r="BA601" s="332">
        <v>29705</v>
      </c>
      <c r="BB601" s="331" t="s">
        <v>445</v>
      </c>
      <c r="BC601" s="331" t="s">
        <v>445</v>
      </c>
      <c r="BD601" s="332">
        <v>36413</v>
      </c>
      <c r="BE601" s="331" t="s">
        <v>445</v>
      </c>
      <c r="BF601" s="331" t="s">
        <v>445</v>
      </c>
      <c r="BG601" s="353"/>
    </row>
    <row r="602" spans="2:59" ht="14">
      <c r="B602" s="317" t="s">
        <v>412</v>
      </c>
      <c r="C602" s="327" t="s">
        <v>437</v>
      </c>
      <c r="D602" s="316" t="s">
        <v>784</v>
      </c>
      <c r="E602" s="338" t="s">
        <v>453</v>
      </c>
      <c r="F602" s="413" t="s">
        <v>186</v>
      </c>
      <c r="G602" s="327" t="s">
        <v>411</v>
      </c>
      <c r="H602" s="327" t="s">
        <v>411</v>
      </c>
      <c r="I602" s="327" t="s">
        <v>411</v>
      </c>
      <c r="J602" s="327" t="s">
        <v>675</v>
      </c>
      <c r="K602" s="327" t="s">
        <v>183</v>
      </c>
      <c r="L602" s="420" t="s">
        <v>600</v>
      </c>
      <c r="M602" s="327" t="s">
        <v>156</v>
      </c>
      <c r="N602" s="327" t="s">
        <v>156</v>
      </c>
      <c r="O602" s="327" t="s">
        <v>584</v>
      </c>
      <c r="P602" s="327" t="s">
        <v>156</v>
      </c>
      <c r="Q602" s="327" t="s">
        <v>585</v>
      </c>
      <c r="R602" s="327" t="s">
        <v>183</v>
      </c>
      <c r="S602" s="327" t="s">
        <v>666</v>
      </c>
      <c r="T602" s="327" t="s">
        <v>581</v>
      </c>
      <c r="U602" s="327" t="s">
        <v>667</v>
      </c>
      <c r="V602" s="327" t="s">
        <v>668</v>
      </c>
      <c r="W602" s="327" t="s">
        <v>183</v>
      </c>
      <c r="X602" s="327" t="s">
        <v>669</v>
      </c>
      <c r="Y602" s="327" t="s">
        <v>669</v>
      </c>
      <c r="Z602" s="327"/>
      <c r="AA602" s="327"/>
      <c r="AB602" s="327" t="s">
        <v>587</v>
      </c>
      <c r="AC602" s="327" t="s">
        <v>668</v>
      </c>
      <c r="AD602" s="327" t="s">
        <v>673</v>
      </c>
      <c r="AE602" s="327" t="s">
        <v>411</v>
      </c>
      <c r="AF602" s="327" t="s">
        <v>439</v>
      </c>
      <c r="AG602" s="327" t="s">
        <v>411</v>
      </c>
      <c r="AH602" s="327" t="s">
        <v>411</v>
      </c>
      <c r="AI602" s="327" t="s">
        <v>411</v>
      </c>
      <c r="AJ602" s="327" t="s">
        <v>411</v>
      </c>
      <c r="AK602" s="327" t="s">
        <v>411</v>
      </c>
      <c r="AL602" s="327" t="s">
        <v>411</v>
      </c>
      <c r="AM602" s="327" t="s">
        <v>183</v>
      </c>
      <c r="AN602" s="327" t="s">
        <v>411</v>
      </c>
      <c r="AO602" s="327" t="s">
        <v>411</v>
      </c>
      <c r="AP602" s="327" t="s">
        <v>413</v>
      </c>
      <c r="AQ602" s="327" t="s">
        <v>674</v>
      </c>
      <c r="AR602" s="327" t="s">
        <v>583</v>
      </c>
      <c r="AS602" s="327" t="s">
        <v>676</v>
      </c>
      <c r="AT602" s="327" t="s">
        <v>183</v>
      </c>
      <c r="AU602" s="327" t="s">
        <v>666</v>
      </c>
      <c r="AV602" s="327" t="s">
        <v>411</v>
      </c>
      <c r="AW602" s="327" t="s">
        <v>441</v>
      </c>
      <c r="AX602" s="327" t="s">
        <v>411</v>
      </c>
      <c r="AY602" s="327" t="s">
        <v>183</v>
      </c>
      <c r="AZ602" s="327" t="s">
        <v>411</v>
      </c>
      <c r="BA602" s="327" t="s">
        <v>450</v>
      </c>
      <c r="BB602" s="327" t="s">
        <v>451</v>
      </c>
      <c r="BC602" s="327" t="s">
        <v>451</v>
      </c>
      <c r="BD602" s="327" t="s">
        <v>677</v>
      </c>
      <c r="BE602" s="327" t="s">
        <v>678</v>
      </c>
      <c r="BF602" s="327" t="s">
        <v>678</v>
      </c>
      <c r="BG602" s="353"/>
    </row>
    <row r="603" spans="2:59" ht="14">
      <c r="B603" s="315" t="s">
        <v>410</v>
      </c>
      <c r="C603" s="327" t="s">
        <v>437</v>
      </c>
      <c r="D603" s="337" t="s">
        <v>182</v>
      </c>
      <c r="E603" s="338" t="s">
        <v>182</v>
      </c>
      <c r="F603" s="327" t="s">
        <v>185</v>
      </c>
      <c r="G603" s="327" t="s">
        <v>411</v>
      </c>
      <c r="H603" s="327" t="s">
        <v>411</v>
      </c>
      <c r="I603" s="327">
        <v>0</v>
      </c>
      <c r="J603" s="327">
        <v>30</v>
      </c>
      <c r="K603" s="327" t="s">
        <v>611</v>
      </c>
      <c r="L603" s="420" t="s">
        <v>600</v>
      </c>
      <c r="M603" s="327" t="s">
        <v>156</v>
      </c>
      <c r="N603" s="327" t="s">
        <v>156</v>
      </c>
      <c r="O603" s="327" t="s">
        <v>584</v>
      </c>
      <c r="P603" s="327" t="s">
        <v>156</v>
      </c>
      <c r="Q603" s="327" t="s">
        <v>585</v>
      </c>
      <c r="R603" s="327" t="s">
        <v>183</v>
      </c>
      <c r="S603" s="327" t="s">
        <v>411</v>
      </c>
      <c r="T603" s="327" t="s">
        <v>581</v>
      </c>
      <c r="U603" s="327" t="s">
        <v>582</v>
      </c>
      <c r="V603" s="327" t="s">
        <v>586</v>
      </c>
      <c r="W603" s="327" t="s">
        <v>183</v>
      </c>
      <c r="X603" s="327" t="s">
        <v>411</v>
      </c>
      <c r="Y603" s="327" t="s">
        <v>411</v>
      </c>
      <c r="Z603" s="327"/>
      <c r="AA603" s="327"/>
      <c r="AB603" s="327" t="s">
        <v>587</v>
      </c>
      <c r="AC603" s="327">
        <v>5000</v>
      </c>
      <c r="AD603" s="327">
        <v>99999999</v>
      </c>
      <c r="AE603" s="327" t="s">
        <v>411</v>
      </c>
      <c r="AF603" s="327" t="s">
        <v>439</v>
      </c>
      <c r="AG603" s="327" t="s">
        <v>411</v>
      </c>
      <c r="AH603" s="327" t="s">
        <v>411</v>
      </c>
      <c r="AI603" s="327">
        <v>0</v>
      </c>
      <c r="AJ603" s="327">
        <v>0</v>
      </c>
      <c r="AK603" s="327">
        <v>0</v>
      </c>
      <c r="AL603" s="327">
        <v>0</v>
      </c>
      <c r="AM603" s="327" t="s">
        <v>183</v>
      </c>
      <c r="AN603" s="327">
        <v>0</v>
      </c>
      <c r="AO603" s="327" t="s">
        <v>411</v>
      </c>
      <c r="AP603" s="327">
        <v>1</v>
      </c>
      <c r="AQ603" s="327">
        <v>1111</v>
      </c>
      <c r="AR603" s="327" t="s">
        <v>583</v>
      </c>
      <c r="AS603" s="327">
        <v>10</v>
      </c>
      <c r="AT603" s="327">
        <v>1</v>
      </c>
      <c r="AU603" s="327">
        <v>0</v>
      </c>
      <c r="AV603" s="327">
        <v>0</v>
      </c>
      <c r="AW603" s="327">
        <v>0</v>
      </c>
      <c r="AX603" s="327">
        <v>0</v>
      </c>
      <c r="AY603" s="327">
        <v>1</v>
      </c>
      <c r="AZ603" s="327">
        <v>0</v>
      </c>
      <c r="BA603" s="327">
        <v>40640.750486111108</v>
      </c>
      <c r="BB603" s="327">
        <v>470195</v>
      </c>
      <c r="BC603" s="327">
        <v>470195</v>
      </c>
      <c r="BD603" s="327">
        <v>45392.67769675926</v>
      </c>
      <c r="BE603" s="327">
        <v>363363</v>
      </c>
      <c r="BF603" s="327">
        <v>363363</v>
      </c>
      <c r="BG603" s="353"/>
    </row>
    <row r="604" spans="2:59">
      <c r="B604" s="358"/>
      <c r="BG604" s="353"/>
    </row>
    <row r="605" spans="2:59" ht="14">
      <c r="B605" s="358"/>
      <c r="C605" s="359" t="s">
        <v>153</v>
      </c>
      <c r="BG605" s="353"/>
    </row>
    <row r="606" spans="2:59" ht="14">
      <c r="B606" s="358"/>
      <c r="C606" s="359" t="s">
        <v>154</v>
      </c>
      <c r="D606" s="359" t="s">
        <v>155</v>
      </c>
      <c r="E606" s="359" t="s">
        <v>157</v>
      </c>
      <c r="F606" s="359" t="s">
        <v>158</v>
      </c>
      <c r="G606" s="359" t="s">
        <v>356</v>
      </c>
      <c r="H606" s="359" t="s">
        <v>357</v>
      </c>
      <c r="I606" s="359" t="s">
        <v>358</v>
      </c>
      <c r="J606" s="359" t="s">
        <v>359</v>
      </c>
      <c r="K606" s="359" t="s">
        <v>360</v>
      </c>
      <c r="L606" s="359" t="s">
        <v>361</v>
      </c>
      <c r="M606" s="359" t="s">
        <v>362</v>
      </c>
      <c r="BG606" s="353"/>
    </row>
    <row r="607" spans="2:59" ht="14">
      <c r="B607" s="358"/>
      <c r="C607" s="359">
        <v>-2</v>
      </c>
      <c r="D607" s="359" t="s">
        <v>156</v>
      </c>
      <c r="E607" s="359" t="s">
        <v>783</v>
      </c>
      <c r="F607" s="359" t="s">
        <v>719</v>
      </c>
      <c r="G607" s="359" t="s">
        <v>623</v>
      </c>
      <c r="H607" s="359" t="s">
        <v>156</v>
      </c>
      <c r="I607" s="359" t="s">
        <v>156</v>
      </c>
      <c r="J607" s="359" t="s">
        <v>156</v>
      </c>
      <c r="K607" s="359" t="s">
        <v>156</v>
      </c>
      <c r="L607" s="359">
        <v>0</v>
      </c>
      <c r="M607" s="359" t="s">
        <v>156</v>
      </c>
      <c r="BG607" s="353"/>
    </row>
    <row r="608" spans="2:59" ht="13.5" thickBot="1">
      <c r="B608" s="358"/>
      <c r="BG608" s="353"/>
    </row>
    <row r="609" spans="2:59" ht="15" thickBot="1">
      <c r="B609" s="299" t="s">
        <v>718</v>
      </c>
      <c r="C609" s="300" t="s">
        <v>717</v>
      </c>
      <c r="D609" s="300"/>
      <c r="E609" s="300"/>
      <c r="F609" s="300"/>
      <c r="G609" s="300"/>
      <c r="H609" s="300"/>
      <c r="I609" s="300"/>
      <c r="J609" s="300"/>
      <c r="K609" s="300"/>
      <c r="L609" s="300"/>
      <c r="M609" s="300"/>
      <c r="N609" s="300"/>
      <c r="O609" s="300"/>
      <c r="P609" s="300"/>
      <c r="Q609" s="300"/>
      <c r="R609" s="300"/>
      <c r="S609" s="300"/>
      <c r="T609" s="300"/>
      <c r="U609" s="300"/>
      <c r="V609" s="300"/>
      <c r="W609" s="300"/>
      <c r="X609" s="300"/>
      <c r="Y609" s="300"/>
      <c r="Z609" s="300"/>
      <c r="AA609" s="300"/>
      <c r="AB609" s="300"/>
      <c r="AC609" s="300"/>
      <c r="AD609" s="300"/>
      <c r="AE609" s="300"/>
      <c r="AF609" s="300"/>
      <c r="AG609" s="300"/>
      <c r="AH609" s="300"/>
      <c r="AI609" s="300"/>
      <c r="AJ609" s="300"/>
      <c r="AK609" s="300"/>
      <c r="AL609" s="300"/>
      <c r="AM609" s="300"/>
      <c r="AN609" s="300"/>
      <c r="AO609" s="300"/>
      <c r="AP609" s="300"/>
      <c r="AQ609" s="300"/>
      <c r="AR609" s="300"/>
      <c r="AS609" s="300"/>
      <c r="AT609" s="300"/>
      <c r="AU609" s="300"/>
      <c r="AV609" s="300"/>
      <c r="AW609" s="300"/>
      <c r="AX609" s="300"/>
      <c r="AY609" s="300"/>
      <c r="AZ609" s="300"/>
      <c r="BA609" s="300"/>
      <c r="BB609" s="300"/>
      <c r="BC609" s="300"/>
      <c r="BD609" s="300"/>
      <c r="BE609" s="300"/>
      <c r="BF609" s="300"/>
      <c r="BG609" s="353"/>
    </row>
    <row r="610" spans="2:59" ht="14" thickBot="1">
      <c r="B610" s="335" t="s">
        <v>805</v>
      </c>
      <c r="C610" s="300" t="s">
        <v>615</v>
      </c>
      <c r="D610" s="300"/>
      <c r="E610" s="300"/>
      <c r="F610" s="300"/>
      <c r="G610" s="300"/>
      <c r="H610" s="300"/>
      <c r="I610" s="300"/>
      <c r="J610" s="300"/>
      <c r="K610" s="300"/>
      <c r="L610" s="300"/>
      <c r="M610" s="300"/>
      <c r="N610" s="300"/>
      <c r="O610" s="300"/>
      <c r="P610" s="300"/>
      <c r="Q610" s="300"/>
      <c r="R610" s="300"/>
      <c r="S610" s="300"/>
      <c r="T610" s="300"/>
      <c r="U610" s="300"/>
      <c r="V610" s="300"/>
      <c r="W610" s="300"/>
      <c r="X610" s="300"/>
      <c r="Y610" s="300"/>
      <c r="Z610" s="300"/>
      <c r="AA610" s="300"/>
      <c r="AB610" s="300"/>
      <c r="AC610" s="300"/>
      <c r="AD610" s="300"/>
      <c r="AE610" s="300"/>
      <c r="AF610" s="300"/>
      <c r="AG610" s="300"/>
      <c r="AH610" s="300"/>
      <c r="AI610" s="300"/>
      <c r="AJ610" s="300"/>
      <c r="AK610" s="300"/>
      <c r="AL610" s="300"/>
      <c r="AM610" s="300"/>
      <c r="AN610" s="300"/>
      <c r="AO610" s="300"/>
      <c r="AP610" s="300"/>
      <c r="AQ610" s="300"/>
      <c r="AR610" s="300"/>
      <c r="AS610" s="300"/>
      <c r="AT610" s="300"/>
      <c r="AU610" s="300"/>
      <c r="AV610" s="300"/>
      <c r="AW610" s="300"/>
      <c r="AX610" s="300"/>
      <c r="AY610" s="300"/>
      <c r="AZ610" s="300"/>
      <c r="BA610" s="300"/>
      <c r="BB610" s="300"/>
      <c r="BC610" s="300"/>
      <c r="BD610" s="300"/>
      <c r="BE610" s="300"/>
      <c r="BF610" s="300"/>
      <c r="BG610" s="353"/>
    </row>
    <row r="611" spans="2:59">
      <c r="B611" s="358"/>
      <c r="BG611" s="353"/>
    </row>
    <row r="612" spans="2:59" ht="13.5">
      <c r="B612" s="358"/>
      <c r="C612" s="356" t="s">
        <v>396</v>
      </c>
      <c r="BG612" s="353"/>
    </row>
    <row r="613" spans="2:59" ht="13.5">
      <c r="B613" s="358"/>
      <c r="C613" s="356" t="s">
        <v>810</v>
      </c>
      <c r="BG613" s="353"/>
    </row>
    <row r="614" spans="2:59" ht="12" customHeight="1">
      <c r="B614" s="358"/>
      <c r="BG614" s="353"/>
    </row>
    <row r="615" spans="2:59" ht="15">
      <c r="B615" s="358"/>
      <c r="C615" s="459" t="s">
        <v>436</v>
      </c>
      <c r="D615" s="460"/>
      <c r="E615" s="460"/>
      <c r="F615" s="460"/>
      <c r="G615" s="460"/>
      <c r="H615" s="460"/>
      <c r="I615" s="460"/>
      <c r="J615" s="460"/>
      <c r="K615" s="460"/>
      <c r="L615" s="460"/>
      <c r="M615" s="460"/>
      <c r="N615" s="460"/>
      <c r="O615" s="460"/>
      <c r="P615" s="460"/>
      <c r="Q615" s="460"/>
      <c r="R615" s="460"/>
      <c r="S615" s="460"/>
      <c r="T615" s="460"/>
      <c r="U615" s="460"/>
      <c r="V615" s="460"/>
      <c r="W615" s="460"/>
      <c r="X615" s="460"/>
      <c r="Y615" s="460"/>
      <c r="Z615" s="461"/>
      <c r="AA615" s="68"/>
      <c r="AB615" s="68"/>
      <c r="AC615" s="68"/>
      <c r="AD615" s="68"/>
      <c r="AE615" s="68"/>
      <c r="AF615" s="306"/>
      <c r="BG615" s="353"/>
    </row>
    <row r="616" spans="2:59" ht="15">
      <c r="B616" s="358"/>
      <c r="C616" s="322"/>
      <c r="D616" s="322"/>
      <c r="E616" s="322"/>
      <c r="F616" s="319" t="s">
        <v>169</v>
      </c>
      <c r="G616" s="319" t="s">
        <v>169</v>
      </c>
      <c r="H616" s="319" t="s">
        <v>169</v>
      </c>
      <c r="I616" s="319"/>
      <c r="J616" s="319"/>
      <c r="K616" s="319"/>
      <c r="L616" s="319"/>
      <c r="M616" s="319"/>
      <c r="N616" s="319"/>
      <c r="O616" s="319"/>
      <c r="P616" s="319"/>
      <c r="Q616" s="319"/>
      <c r="R616" s="319"/>
      <c r="S616" s="319"/>
      <c r="T616" s="319"/>
      <c r="U616" s="319"/>
      <c r="V616" s="319"/>
      <c r="W616" s="319"/>
      <c r="X616" s="319"/>
      <c r="Y616" s="319"/>
      <c r="Z616" s="319"/>
      <c r="AA616" s="319"/>
      <c r="AB616" s="319"/>
      <c r="AC616" s="319"/>
      <c r="AD616" s="319"/>
      <c r="BG616" s="353"/>
    </row>
    <row r="617" spans="2:59">
      <c r="B617" s="358"/>
      <c r="C617" s="312" t="s">
        <v>172</v>
      </c>
      <c r="D617" s="312" t="s">
        <v>173</v>
      </c>
      <c r="E617" s="312" t="s">
        <v>174</v>
      </c>
      <c r="F617" s="314" t="s">
        <v>91</v>
      </c>
      <c r="G617" s="314" t="s">
        <v>67</v>
      </c>
      <c r="H617" s="314" t="s">
        <v>69</v>
      </c>
      <c r="I617" s="314" t="s">
        <v>457</v>
      </c>
      <c r="J617" s="314" t="s">
        <v>458</v>
      </c>
      <c r="K617" s="314" t="s">
        <v>459</v>
      </c>
      <c r="L617" s="314" t="s">
        <v>460</v>
      </c>
      <c r="M617" s="314" t="s">
        <v>461</v>
      </c>
      <c r="N617" s="314" t="s">
        <v>462</v>
      </c>
      <c r="O617" s="314" t="s">
        <v>463</v>
      </c>
      <c r="P617" s="314" t="s">
        <v>464</v>
      </c>
      <c r="Q617" s="314" t="s">
        <v>465</v>
      </c>
      <c r="R617" s="314" t="s">
        <v>466</v>
      </c>
      <c r="S617" s="314" t="s">
        <v>467</v>
      </c>
      <c r="T617" s="314" t="s">
        <v>468</v>
      </c>
      <c r="U617" s="314" t="s">
        <v>469</v>
      </c>
      <c r="V617" s="314" t="s">
        <v>470</v>
      </c>
      <c r="W617" s="314" t="s">
        <v>471</v>
      </c>
      <c r="X617" s="314" t="s">
        <v>397</v>
      </c>
      <c r="Y617" s="314" t="s">
        <v>398</v>
      </c>
      <c r="Z617" s="314" t="s">
        <v>399</v>
      </c>
      <c r="AA617" s="314" t="s">
        <v>400</v>
      </c>
      <c r="AB617" s="314" t="s">
        <v>151</v>
      </c>
      <c r="AC617" s="314" t="s">
        <v>152</v>
      </c>
      <c r="AD617" s="314" t="s">
        <v>401</v>
      </c>
      <c r="BG617" s="353"/>
    </row>
    <row r="618" spans="2:59">
      <c r="B618" s="358"/>
      <c r="C618" s="312" t="s">
        <v>371</v>
      </c>
      <c r="D618" s="312" t="s">
        <v>381</v>
      </c>
      <c r="E618" s="312" t="s">
        <v>390</v>
      </c>
      <c r="F618" s="313" t="s">
        <v>418</v>
      </c>
      <c r="G618" s="313" t="s">
        <v>419</v>
      </c>
      <c r="H618" s="313" t="s">
        <v>421</v>
      </c>
      <c r="I618" s="313" t="s">
        <v>420</v>
      </c>
      <c r="J618" s="313" t="s">
        <v>422</v>
      </c>
      <c r="K618" s="313" t="s">
        <v>423</v>
      </c>
      <c r="L618" s="313" t="s">
        <v>424</v>
      </c>
      <c r="M618" s="313" t="s">
        <v>425</v>
      </c>
      <c r="N618" s="313" t="s">
        <v>426</v>
      </c>
      <c r="O618" s="313" t="s">
        <v>427</v>
      </c>
      <c r="P618" s="313" t="s">
        <v>428</v>
      </c>
      <c r="Q618" s="313" t="s">
        <v>429</v>
      </c>
      <c r="R618" s="313" t="s">
        <v>430</v>
      </c>
      <c r="S618" s="313" t="s">
        <v>431</v>
      </c>
      <c r="T618" s="313" t="s">
        <v>432</v>
      </c>
      <c r="U618" s="313" t="s">
        <v>433</v>
      </c>
      <c r="V618" s="313" t="s">
        <v>434</v>
      </c>
      <c r="W618" s="313" t="s">
        <v>435</v>
      </c>
      <c r="X618" s="313" t="s">
        <v>403</v>
      </c>
      <c r="Y618" s="313" t="s">
        <v>404</v>
      </c>
      <c r="Z618" s="313" t="s">
        <v>405</v>
      </c>
      <c r="AA618" s="313" t="s">
        <v>406</v>
      </c>
      <c r="AB618" s="313" t="s">
        <v>407</v>
      </c>
      <c r="AC618" s="313" t="s">
        <v>408</v>
      </c>
      <c r="AD618" s="313" t="s">
        <v>409</v>
      </c>
      <c r="BG618" s="353"/>
    </row>
    <row r="619" spans="2:59">
      <c r="B619" s="358"/>
      <c r="C619" s="312" t="s">
        <v>472</v>
      </c>
      <c r="D619" s="312" t="s">
        <v>473</v>
      </c>
      <c r="E619" s="312" t="s">
        <v>473</v>
      </c>
      <c r="F619" s="314" t="s">
        <v>474</v>
      </c>
      <c r="G619" s="314" t="s">
        <v>474</v>
      </c>
      <c r="H619" s="314" t="s">
        <v>475</v>
      </c>
      <c r="I619" s="314" t="s">
        <v>474</v>
      </c>
      <c r="J619" s="314" t="s">
        <v>476</v>
      </c>
      <c r="K619" s="314" t="s">
        <v>477</v>
      </c>
      <c r="L619" s="313" t="s">
        <v>478</v>
      </c>
      <c r="M619" s="314" t="s">
        <v>478</v>
      </c>
      <c r="N619" s="314" t="s">
        <v>479</v>
      </c>
      <c r="O619" s="314" t="s">
        <v>474</v>
      </c>
      <c r="P619" s="314" t="s">
        <v>480</v>
      </c>
      <c r="Q619" s="314" t="s">
        <v>481</v>
      </c>
      <c r="R619" s="314" t="s">
        <v>480</v>
      </c>
      <c r="S619" s="314" t="s">
        <v>482</v>
      </c>
      <c r="T619" s="313" t="s">
        <v>483</v>
      </c>
      <c r="U619" s="314" t="s">
        <v>483</v>
      </c>
      <c r="V619" s="314" t="s">
        <v>484</v>
      </c>
      <c r="W619" s="314" t="s">
        <v>474</v>
      </c>
      <c r="X619" s="314" t="s">
        <v>485</v>
      </c>
      <c r="Y619" s="314" t="s">
        <v>487</v>
      </c>
      <c r="Z619" s="314" t="s">
        <v>488</v>
      </c>
      <c r="AA619" s="314" t="s">
        <v>488</v>
      </c>
      <c r="AB619" s="313" t="s">
        <v>486</v>
      </c>
      <c r="AC619" s="314" t="s">
        <v>488</v>
      </c>
      <c r="AD619" s="314" t="s">
        <v>488</v>
      </c>
      <c r="BG619" s="353"/>
    </row>
    <row r="620" spans="2:59" ht="25">
      <c r="B620" s="315" t="s">
        <v>410</v>
      </c>
      <c r="C620" s="316" t="s">
        <v>437</v>
      </c>
      <c r="D620" s="337" t="s">
        <v>630</v>
      </c>
      <c r="E620" s="338" t="s">
        <v>182</v>
      </c>
      <c r="F620" s="314" t="s">
        <v>183</v>
      </c>
      <c r="G620" s="327" t="s">
        <v>439</v>
      </c>
      <c r="H620" s="314" t="s">
        <v>184</v>
      </c>
      <c r="I620" s="327" t="s">
        <v>439</v>
      </c>
      <c r="J620" s="314" t="s">
        <v>184</v>
      </c>
      <c r="K620" s="314" t="s">
        <v>411</v>
      </c>
      <c r="L620" s="313" t="s">
        <v>448</v>
      </c>
      <c r="M620" s="314" t="s">
        <v>441</v>
      </c>
      <c r="N620" s="314"/>
      <c r="O620" s="314" t="s">
        <v>411</v>
      </c>
      <c r="P620" s="314" t="s">
        <v>156</v>
      </c>
      <c r="Q620" s="314" t="s">
        <v>184</v>
      </c>
      <c r="R620" s="314" t="s">
        <v>449</v>
      </c>
      <c r="S620" s="314"/>
      <c r="T620" s="313" t="s">
        <v>156</v>
      </c>
      <c r="U620" s="314" t="s">
        <v>156</v>
      </c>
      <c r="V620" s="314" t="s">
        <v>156</v>
      </c>
      <c r="W620" s="314"/>
      <c r="X620" s="314" t="s">
        <v>411</v>
      </c>
      <c r="Y620" s="314" t="s">
        <v>450</v>
      </c>
      <c r="Z620" s="314" t="s">
        <v>451</v>
      </c>
      <c r="AA620" s="314">
        <v>470195</v>
      </c>
      <c r="AB620" s="313" t="s">
        <v>450</v>
      </c>
      <c r="AC620" s="314">
        <v>470195</v>
      </c>
      <c r="AD620" s="314" t="s">
        <v>451</v>
      </c>
      <c r="BG620" s="353"/>
    </row>
    <row r="621" spans="2:59" ht="14">
      <c r="B621" s="315" t="s">
        <v>410</v>
      </c>
      <c r="C621" s="316" t="s">
        <v>437</v>
      </c>
      <c r="D621" s="337" t="s">
        <v>629</v>
      </c>
      <c r="E621" s="338" t="s">
        <v>182</v>
      </c>
      <c r="F621" s="316" t="s">
        <v>454</v>
      </c>
      <c r="G621" s="316" t="s">
        <v>183</v>
      </c>
      <c r="H621" s="316" t="s">
        <v>184</v>
      </c>
      <c r="I621" s="419" t="s">
        <v>600</v>
      </c>
      <c r="J621" s="316" t="s">
        <v>440</v>
      </c>
      <c r="K621" s="316" t="s">
        <v>411</v>
      </c>
      <c r="L621" s="316" t="s">
        <v>156</v>
      </c>
      <c r="M621" s="316" t="s">
        <v>441</v>
      </c>
      <c r="N621" s="316" t="s">
        <v>156</v>
      </c>
      <c r="O621" s="316" t="s">
        <v>183</v>
      </c>
      <c r="P621" s="316" t="s">
        <v>156</v>
      </c>
      <c r="Q621" s="316" t="s">
        <v>442</v>
      </c>
      <c r="R621" s="316" t="s">
        <v>443</v>
      </c>
      <c r="S621" s="316" t="s">
        <v>156</v>
      </c>
      <c r="T621" s="316" t="s">
        <v>156</v>
      </c>
      <c r="U621" s="316" t="s">
        <v>156</v>
      </c>
      <c r="V621" s="316" t="s">
        <v>156</v>
      </c>
      <c r="W621" s="316" t="s">
        <v>156</v>
      </c>
      <c r="X621" s="316" t="s">
        <v>411</v>
      </c>
      <c r="Y621" s="316" t="s">
        <v>444</v>
      </c>
      <c r="Z621" s="316" t="s">
        <v>445</v>
      </c>
      <c r="AA621" s="316" t="s">
        <v>445</v>
      </c>
      <c r="AB621" s="316" t="s">
        <v>446</v>
      </c>
      <c r="AC621" s="316" t="s">
        <v>455</v>
      </c>
      <c r="AD621" s="316" t="s">
        <v>455</v>
      </c>
      <c r="BG621" s="353"/>
    </row>
    <row r="622" spans="2:59" ht="14">
      <c r="B622" s="317" t="s">
        <v>412</v>
      </c>
      <c r="C622" s="327" t="s">
        <v>437</v>
      </c>
      <c r="D622" s="327" t="s">
        <v>784</v>
      </c>
      <c r="E622" s="327" t="s">
        <v>453</v>
      </c>
      <c r="F622" s="327" t="s">
        <v>183</v>
      </c>
      <c r="G622" s="327" t="s">
        <v>183</v>
      </c>
      <c r="H622" s="327" t="s">
        <v>184</v>
      </c>
      <c r="I622" s="420" t="s">
        <v>600</v>
      </c>
      <c r="J622" s="327" t="s">
        <v>665</v>
      </c>
      <c r="K622" s="327" t="s">
        <v>666</v>
      </c>
      <c r="L622" s="327" t="s">
        <v>156</v>
      </c>
      <c r="M622" s="327" t="s">
        <v>441</v>
      </c>
      <c r="N622" s="327" t="s">
        <v>156</v>
      </c>
      <c r="O622" s="327" t="s">
        <v>183</v>
      </c>
      <c r="P622" s="327" t="s">
        <v>156</v>
      </c>
      <c r="Q622" s="327" t="s">
        <v>442</v>
      </c>
      <c r="R622" s="327" t="s">
        <v>443</v>
      </c>
      <c r="S622" s="327" t="s">
        <v>156</v>
      </c>
      <c r="T622" s="327" t="s">
        <v>156</v>
      </c>
      <c r="U622" s="327" t="s">
        <v>156</v>
      </c>
      <c r="V622" s="327" t="s">
        <v>156</v>
      </c>
      <c r="W622" s="327" t="s">
        <v>156</v>
      </c>
      <c r="X622" s="327" t="s">
        <v>411</v>
      </c>
      <c r="Y622" s="327" t="s">
        <v>444</v>
      </c>
      <c r="Z622" s="327" t="s">
        <v>445</v>
      </c>
      <c r="AA622" s="327" t="s">
        <v>445</v>
      </c>
      <c r="AB622" s="327" t="s">
        <v>446</v>
      </c>
      <c r="AC622" s="327" t="s">
        <v>455</v>
      </c>
      <c r="AD622" s="327" t="s">
        <v>455</v>
      </c>
      <c r="BG622" s="353"/>
    </row>
    <row r="623" spans="2:59" ht="14">
      <c r="B623" s="315" t="s">
        <v>410</v>
      </c>
      <c r="C623" s="316" t="s">
        <v>437</v>
      </c>
      <c r="D623" s="337" t="s">
        <v>182</v>
      </c>
      <c r="E623" s="338" t="s">
        <v>182</v>
      </c>
      <c r="F623" s="316" t="s">
        <v>454</v>
      </c>
      <c r="G623" s="316" t="s">
        <v>611</v>
      </c>
      <c r="H623" s="316" t="s">
        <v>184</v>
      </c>
      <c r="I623" s="419" t="s">
        <v>600</v>
      </c>
      <c r="J623" s="316" t="s">
        <v>440</v>
      </c>
      <c r="K623" s="316" t="s">
        <v>411</v>
      </c>
      <c r="L623" s="316" t="s">
        <v>156</v>
      </c>
      <c r="M623" s="316" t="s">
        <v>441</v>
      </c>
      <c r="N623" s="316" t="s">
        <v>156</v>
      </c>
      <c r="O623" s="316" t="s">
        <v>183</v>
      </c>
      <c r="P623" s="316" t="s">
        <v>156</v>
      </c>
      <c r="Q623" s="316" t="s">
        <v>442</v>
      </c>
      <c r="R623" s="316" t="s">
        <v>443</v>
      </c>
      <c r="S623" s="316" t="s">
        <v>156</v>
      </c>
      <c r="T623" s="316" t="s">
        <v>156</v>
      </c>
      <c r="U623" s="316" t="s">
        <v>156</v>
      </c>
      <c r="V623" s="316" t="s">
        <v>156</v>
      </c>
      <c r="W623" s="316" t="s">
        <v>156</v>
      </c>
      <c r="X623" s="316" t="s">
        <v>411</v>
      </c>
      <c r="Y623" s="316" t="s">
        <v>444</v>
      </c>
      <c r="Z623" s="316" t="s">
        <v>445</v>
      </c>
      <c r="AA623" s="316" t="s">
        <v>445</v>
      </c>
      <c r="AB623" s="316" t="s">
        <v>446</v>
      </c>
      <c r="AC623" s="316" t="s">
        <v>455</v>
      </c>
      <c r="AD623" s="316" t="s">
        <v>455</v>
      </c>
      <c r="BG623" s="353"/>
    </row>
    <row r="624" spans="2:59">
      <c r="B624" s="358"/>
      <c r="BG624" s="353"/>
    </row>
    <row r="625" spans="2:59" ht="15">
      <c r="B625" s="358"/>
      <c r="C625" s="449" t="s">
        <v>489</v>
      </c>
      <c r="D625" s="450"/>
      <c r="E625" s="450"/>
      <c r="F625" s="450"/>
      <c r="G625" s="450"/>
      <c r="H625" s="450"/>
      <c r="I625" s="450"/>
      <c r="J625" s="450"/>
      <c r="K625" s="450"/>
      <c r="L625" s="450"/>
      <c r="M625" s="450"/>
      <c r="N625" s="450"/>
      <c r="O625" s="450"/>
      <c r="P625" s="450"/>
      <c r="Q625" s="450"/>
      <c r="R625" s="450"/>
      <c r="S625" s="450"/>
      <c r="T625" s="450"/>
      <c r="U625" s="92"/>
      <c r="V625" s="92"/>
      <c r="W625" s="92"/>
      <c r="X625" s="92"/>
      <c r="Y625" s="92"/>
      <c r="Z625" s="92"/>
      <c r="AA625" s="93"/>
      <c r="AB625" s="93"/>
      <c r="AC625" s="93"/>
      <c r="AD625" s="93"/>
      <c r="AE625" s="93"/>
      <c r="AF625" s="93"/>
      <c r="AG625" s="93"/>
      <c r="AH625" s="93"/>
      <c r="AI625" s="93"/>
      <c r="AJ625" s="93"/>
      <c r="AK625" s="93"/>
      <c r="AL625" s="93"/>
      <c r="AM625" s="93"/>
      <c r="AN625" s="93"/>
      <c r="AO625" s="93"/>
      <c r="AP625" s="94"/>
      <c r="AQ625" s="94"/>
      <c r="AR625" s="94"/>
      <c r="AS625" s="94"/>
      <c r="AT625" s="94"/>
      <c r="AU625" s="94"/>
      <c r="AV625" s="94"/>
      <c r="AW625" s="94"/>
      <c r="AX625" s="94"/>
      <c r="AY625" s="94"/>
      <c r="AZ625" s="94"/>
      <c r="BA625" s="94"/>
      <c r="BB625" s="94"/>
      <c r="BC625" s="94"/>
      <c r="BD625" s="94"/>
      <c r="BE625" s="94"/>
      <c r="BF625" s="94"/>
      <c r="BG625" s="353"/>
    </row>
    <row r="626" spans="2:59" ht="15">
      <c r="B626" s="358"/>
      <c r="C626" s="322"/>
      <c r="D626" s="322"/>
      <c r="E626" s="322"/>
      <c r="F626" s="319" t="s">
        <v>169</v>
      </c>
      <c r="G626" s="319" t="s">
        <v>169</v>
      </c>
      <c r="H626" s="324" t="s">
        <v>169</v>
      </c>
      <c r="I626" s="319" t="s">
        <v>169</v>
      </c>
      <c r="J626" s="319" t="s">
        <v>169</v>
      </c>
      <c r="K626" s="324"/>
      <c r="L626" s="324"/>
      <c r="M626" s="324"/>
      <c r="N626" s="324"/>
      <c r="O626" s="324"/>
      <c r="P626" s="324"/>
      <c r="Q626" s="324"/>
      <c r="R626" s="324"/>
      <c r="S626" s="324"/>
      <c r="T626" s="324"/>
      <c r="U626" s="324"/>
      <c r="V626" s="324"/>
      <c r="W626" s="324"/>
      <c r="X626" s="324"/>
      <c r="Y626" s="324"/>
      <c r="Z626" s="324"/>
      <c r="AA626" s="325"/>
      <c r="AB626" s="325"/>
      <c r="AC626" s="325"/>
      <c r="AD626" s="325"/>
      <c r="AE626" s="325"/>
      <c r="AF626" s="325"/>
      <c r="AG626" s="325"/>
      <c r="AH626" s="325"/>
      <c r="AI626" s="325"/>
      <c r="AJ626" s="325"/>
      <c r="AK626" s="325"/>
      <c r="AL626" s="325"/>
      <c r="AM626" s="325"/>
      <c r="AN626" s="325"/>
      <c r="AO626" s="325"/>
      <c r="AP626" s="325"/>
      <c r="AQ626" s="325"/>
      <c r="AR626" s="325"/>
      <c r="AS626" s="325"/>
      <c r="AT626" s="325"/>
      <c r="AU626" s="325"/>
      <c r="AV626" s="325"/>
      <c r="AW626" s="325"/>
      <c r="AX626" s="325"/>
      <c r="AY626" s="325"/>
      <c r="AZ626" s="325"/>
      <c r="BA626" s="325"/>
      <c r="BB626" s="325"/>
      <c r="BC626" s="325"/>
      <c r="BD626" s="325"/>
      <c r="BE626" s="325"/>
      <c r="BF626" s="325"/>
      <c r="BG626" s="353"/>
    </row>
    <row r="627" spans="2:59" ht="25">
      <c r="B627" s="358"/>
      <c r="C627" s="312" t="s">
        <v>533</v>
      </c>
      <c r="D627" s="312" t="s">
        <v>588</v>
      </c>
      <c r="E627" s="312" t="s">
        <v>589</v>
      </c>
      <c r="F627" s="314" t="s">
        <v>96</v>
      </c>
      <c r="G627" s="314" t="s">
        <v>99</v>
      </c>
      <c r="H627" s="314" t="s">
        <v>130</v>
      </c>
      <c r="I627" s="314" t="s">
        <v>559</v>
      </c>
      <c r="J627" s="314" t="s">
        <v>127</v>
      </c>
      <c r="K627" s="314" t="s">
        <v>67</v>
      </c>
      <c r="L627" s="314" t="s">
        <v>456</v>
      </c>
      <c r="M627" s="314" t="s">
        <v>534</v>
      </c>
      <c r="N627" s="314" t="s">
        <v>535</v>
      </c>
      <c r="O627" s="314" t="s">
        <v>536</v>
      </c>
      <c r="P627" s="314" t="s">
        <v>537</v>
      </c>
      <c r="Q627" s="314" t="s">
        <v>538</v>
      </c>
      <c r="R627" s="314" t="s">
        <v>539</v>
      </c>
      <c r="S627" s="314" t="s">
        <v>540</v>
      </c>
      <c r="T627" s="314" t="s">
        <v>541</v>
      </c>
      <c r="U627" s="314" t="s">
        <v>542</v>
      </c>
      <c r="V627" s="314" t="s">
        <v>543</v>
      </c>
      <c r="W627" s="314" t="s">
        <v>544</v>
      </c>
      <c r="X627" s="314" t="s">
        <v>545</v>
      </c>
      <c r="Y627" s="314" t="s">
        <v>546</v>
      </c>
      <c r="Z627" s="314" t="s">
        <v>547</v>
      </c>
      <c r="AA627" s="314" t="s">
        <v>548</v>
      </c>
      <c r="AB627" s="314" t="s">
        <v>549</v>
      </c>
      <c r="AC627" s="314" t="s">
        <v>550</v>
      </c>
      <c r="AD627" s="314" t="s">
        <v>551</v>
      </c>
      <c r="AE627" s="314" t="s">
        <v>552</v>
      </c>
      <c r="AF627" s="314" t="s">
        <v>553</v>
      </c>
      <c r="AG627" s="314" t="s">
        <v>554</v>
      </c>
      <c r="AH627" s="314" t="s">
        <v>555</v>
      </c>
      <c r="AI627" s="314" t="s">
        <v>556</v>
      </c>
      <c r="AJ627" s="314" t="s">
        <v>558</v>
      </c>
      <c r="AK627" s="314" t="s">
        <v>557</v>
      </c>
      <c r="AL627" s="314" t="s">
        <v>566</v>
      </c>
      <c r="AM627" s="314" t="s">
        <v>560</v>
      </c>
      <c r="AN627" s="314" t="s">
        <v>561</v>
      </c>
      <c r="AO627" s="314" t="s">
        <v>562</v>
      </c>
      <c r="AP627" s="314" t="s">
        <v>563</v>
      </c>
      <c r="AQ627" s="314" t="s">
        <v>567</v>
      </c>
      <c r="AR627" s="314" t="s">
        <v>564</v>
      </c>
      <c r="AS627" s="314" t="s">
        <v>565</v>
      </c>
      <c r="AT627" s="314" t="s">
        <v>568</v>
      </c>
      <c r="AU627" s="314" t="s">
        <v>569</v>
      </c>
      <c r="AV627" s="314" t="s">
        <v>570</v>
      </c>
      <c r="AW627" s="314" t="s">
        <v>571</v>
      </c>
      <c r="AX627" s="314" t="s">
        <v>572</v>
      </c>
      <c r="AY627" s="314" t="s">
        <v>573</v>
      </c>
      <c r="AZ627" s="314" t="s">
        <v>397</v>
      </c>
      <c r="BA627" s="314" t="s">
        <v>398</v>
      </c>
      <c r="BB627" s="314" t="s">
        <v>399</v>
      </c>
      <c r="BC627" s="314" t="s">
        <v>400</v>
      </c>
      <c r="BD627" s="314" t="s">
        <v>151</v>
      </c>
      <c r="BE627" s="314" t="s">
        <v>152</v>
      </c>
      <c r="BF627" s="314" t="s">
        <v>401</v>
      </c>
      <c r="BG627" s="353"/>
    </row>
    <row r="628" spans="2:59">
      <c r="B628" s="358"/>
      <c r="C628" s="312" t="s">
        <v>371</v>
      </c>
      <c r="D628" s="312" t="s">
        <v>381</v>
      </c>
      <c r="E628" s="312" t="s">
        <v>390</v>
      </c>
      <c r="F628" s="313" t="s">
        <v>490</v>
      </c>
      <c r="G628" s="313" t="s">
        <v>491</v>
      </c>
      <c r="H628" s="313" t="s">
        <v>492</v>
      </c>
      <c r="I628" s="313" t="s">
        <v>519</v>
      </c>
      <c r="J628" s="313" t="s">
        <v>525</v>
      </c>
      <c r="K628" s="313" t="s">
        <v>419</v>
      </c>
      <c r="L628" s="313" t="s">
        <v>420</v>
      </c>
      <c r="M628" s="313" t="s">
        <v>493</v>
      </c>
      <c r="N628" s="313" t="s">
        <v>494</v>
      </c>
      <c r="O628" s="313" t="s">
        <v>495</v>
      </c>
      <c r="P628" s="313" t="s">
        <v>496</v>
      </c>
      <c r="Q628" s="313" t="s">
        <v>497</v>
      </c>
      <c r="R628" s="313" t="s">
        <v>498</v>
      </c>
      <c r="S628" s="313" t="s">
        <v>499</v>
      </c>
      <c r="T628" s="313" t="s">
        <v>500</v>
      </c>
      <c r="U628" s="313" t="s">
        <v>501</v>
      </c>
      <c r="V628" s="313" t="s">
        <v>502</v>
      </c>
      <c r="W628" s="313" t="s">
        <v>503</v>
      </c>
      <c r="X628" s="313" t="s">
        <v>504</v>
      </c>
      <c r="Y628" s="313" t="s">
        <v>505</v>
      </c>
      <c r="Z628" s="313" t="s">
        <v>506</v>
      </c>
      <c r="AA628" s="313" t="s">
        <v>507</v>
      </c>
      <c r="AB628" s="313" t="s">
        <v>508</v>
      </c>
      <c r="AC628" s="313" t="s">
        <v>509</v>
      </c>
      <c r="AD628" s="313" t="s">
        <v>510</v>
      </c>
      <c r="AE628" s="313" t="s">
        <v>511</v>
      </c>
      <c r="AF628" s="313" t="s">
        <v>512</v>
      </c>
      <c r="AG628" s="313" t="s">
        <v>513</v>
      </c>
      <c r="AH628" s="313" t="s">
        <v>514</v>
      </c>
      <c r="AI628" s="313" t="s">
        <v>515</v>
      </c>
      <c r="AJ628" s="313" t="s">
        <v>516</v>
      </c>
      <c r="AK628" s="313" t="s">
        <v>517</v>
      </c>
      <c r="AL628" s="313" t="s">
        <v>518</v>
      </c>
      <c r="AM628" s="313" t="s">
        <v>520</v>
      </c>
      <c r="AN628" s="313" t="s">
        <v>521</v>
      </c>
      <c r="AO628" s="313" t="s">
        <v>522</v>
      </c>
      <c r="AP628" s="313" t="s">
        <v>402</v>
      </c>
      <c r="AQ628" s="313" t="s">
        <v>523</v>
      </c>
      <c r="AR628" s="313" t="s">
        <v>524</v>
      </c>
      <c r="AS628" s="313" t="s">
        <v>526</v>
      </c>
      <c r="AT628" s="313" t="s">
        <v>527</v>
      </c>
      <c r="AU628" s="313" t="s">
        <v>528</v>
      </c>
      <c r="AV628" s="313" t="s">
        <v>529</v>
      </c>
      <c r="AW628" s="313" t="s">
        <v>530</v>
      </c>
      <c r="AX628" s="313" t="s">
        <v>531</v>
      </c>
      <c r="AY628" s="313" t="s">
        <v>532</v>
      </c>
      <c r="AZ628" s="313" t="s">
        <v>403</v>
      </c>
      <c r="BA628" s="313" t="s">
        <v>404</v>
      </c>
      <c r="BB628" s="313" t="s">
        <v>405</v>
      </c>
      <c r="BC628" s="313" t="s">
        <v>406</v>
      </c>
      <c r="BD628" s="313" t="s">
        <v>407</v>
      </c>
      <c r="BE628" s="313" t="s">
        <v>408</v>
      </c>
      <c r="BF628" s="313" t="s">
        <v>409</v>
      </c>
      <c r="BG628" s="353"/>
    </row>
    <row r="629" spans="2:59">
      <c r="B629" s="358"/>
      <c r="C629" s="312" t="s">
        <v>472</v>
      </c>
      <c r="D629" s="312" t="s">
        <v>574</v>
      </c>
      <c r="E629" s="312" t="s">
        <v>473</v>
      </c>
      <c r="F629" s="326" t="s">
        <v>474</v>
      </c>
      <c r="G629" s="326" t="s">
        <v>474</v>
      </c>
      <c r="H629" s="326" t="s">
        <v>474</v>
      </c>
      <c r="I629" s="326" t="s">
        <v>474</v>
      </c>
      <c r="J629" s="326" t="s">
        <v>476</v>
      </c>
      <c r="K629" s="326" t="s">
        <v>474</v>
      </c>
      <c r="L629" s="326" t="s">
        <v>474</v>
      </c>
      <c r="M629" s="326" t="s">
        <v>575</v>
      </c>
      <c r="N629" s="326" t="s">
        <v>575</v>
      </c>
      <c r="O629" s="326" t="s">
        <v>473</v>
      </c>
      <c r="P629" s="326" t="s">
        <v>576</v>
      </c>
      <c r="Q629" s="326" t="s">
        <v>474</v>
      </c>
      <c r="R629" s="326" t="s">
        <v>481</v>
      </c>
      <c r="S629" s="326" t="s">
        <v>476</v>
      </c>
      <c r="T629" s="326" t="s">
        <v>481</v>
      </c>
      <c r="U629" s="326" t="s">
        <v>476</v>
      </c>
      <c r="V629" s="326" t="s">
        <v>476</v>
      </c>
      <c r="W629" s="326" t="s">
        <v>474</v>
      </c>
      <c r="X629" s="326" t="s">
        <v>577</v>
      </c>
      <c r="Y629" s="326" t="s">
        <v>577</v>
      </c>
      <c r="Z629" s="326" t="s">
        <v>478</v>
      </c>
      <c r="AA629" s="326" t="s">
        <v>576</v>
      </c>
      <c r="AB629" s="326" t="s">
        <v>576</v>
      </c>
      <c r="AC629" s="326" t="s">
        <v>476</v>
      </c>
      <c r="AD629" s="326" t="s">
        <v>480</v>
      </c>
      <c r="AE629" s="326" t="s">
        <v>481</v>
      </c>
      <c r="AF629" s="326" t="s">
        <v>481</v>
      </c>
      <c r="AG629" s="326" t="s">
        <v>578</v>
      </c>
      <c r="AH629" s="326" t="s">
        <v>578</v>
      </c>
      <c r="AI629" s="326" t="s">
        <v>481</v>
      </c>
      <c r="AJ629" s="326" t="s">
        <v>481</v>
      </c>
      <c r="AK629" s="326" t="s">
        <v>578</v>
      </c>
      <c r="AL629" s="326" t="s">
        <v>578</v>
      </c>
      <c r="AM629" s="326" t="s">
        <v>474</v>
      </c>
      <c r="AN629" s="326" t="s">
        <v>474</v>
      </c>
      <c r="AO629" s="326" t="s">
        <v>474</v>
      </c>
      <c r="AP629" s="326" t="s">
        <v>478</v>
      </c>
      <c r="AQ629" s="326" t="s">
        <v>473</v>
      </c>
      <c r="AR629" s="326" t="s">
        <v>474</v>
      </c>
      <c r="AS629" s="326" t="s">
        <v>476</v>
      </c>
      <c r="AT629" s="326" t="s">
        <v>474</v>
      </c>
      <c r="AU629" s="326" t="s">
        <v>579</v>
      </c>
      <c r="AV629" s="326" t="s">
        <v>481</v>
      </c>
      <c r="AW629" s="326" t="s">
        <v>478</v>
      </c>
      <c r="AX629" s="326" t="s">
        <v>474</v>
      </c>
      <c r="AY629" s="326" t="s">
        <v>474</v>
      </c>
      <c r="AZ629" s="326" t="s">
        <v>485</v>
      </c>
      <c r="BA629" s="326" t="s">
        <v>486</v>
      </c>
      <c r="BB629" s="326" t="s">
        <v>488</v>
      </c>
      <c r="BC629" s="326" t="s">
        <v>488</v>
      </c>
      <c r="BD629" s="326" t="s">
        <v>486</v>
      </c>
      <c r="BE629" s="326" t="s">
        <v>488</v>
      </c>
      <c r="BF629" s="326" t="s">
        <v>488</v>
      </c>
      <c r="BG629" s="353"/>
    </row>
    <row r="630" spans="2:59" ht="15">
      <c r="B630" s="315" t="s">
        <v>410</v>
      </c>
      <c r="C630" s="327" t="s">
        <v>437</v>
      </c>
      <c r="D630" s="337" t="s">
        <v>630</v>
      </c>
      <c r="E630" s="338" t="s">
        <v>182</v>
      </c>
      <c r="F630" s="328" t="s">
        <v>185</v>
      </c>
      <c r="G630" s="327" t="s">
        <v>411</v>
      </c>
      <c r="H630" s="327" t="s">
        <v>411</v>
      </c>
      <c r="I630" s="330">
        <v>0</v>
      </c>
      <c r="J630" s="331">
        <v>30</v>
      </c>
      <c r="K630" s="327" t="s">
        <v>439</v>
      </c>
      <c r="L630" s="327" t="s">
        <v>439</v>
      </c>
      <c r="M630" s="327" t="s">
        <v>156</v>
      </c>
      <c r="N630" s="327" t="s">
        <v>156</v>
      </c>
      <c r="O630" s="327" t="s">
        <v>584</v>
      </c>
      <c r="P630" s="327" t="s">
        <v>156</v>
      </c>
      <c r="Q630" s="329" t="s">
        <v>585</v>
      </c>
      <c r="R630" s="327" t="s">
        <v>183</v>
      </c>
      <c r="S630" s="327" t="s">
        <v>411</v>
      </c>
      <c r="T630" s="327" t="s">
        <v>581</v>
      </c>
      <c r="U630" s="327" t="s">
        <v>582</v>
      </c>
      <c r="V630" s="327" t="s">
        <v>586</v>
      </c>
      <c r="W630" s="327" t="s">
        <v>183</v>
      </c>
      <c r="X630" s="327" t="s">
        <v>411</v>
      </c>
      <c r="Y630" s="327" t="s">
        <v>411</v>
      </c>
      <c r="Z630" s="327"/>
      <c r="AA630" s="330"/>
      <c r="AB630" s="330" t="s">
        <v>587</v>
      </c>
      <c r="AC630" s="333">
        <v>5000</v>
      </c>
      <c r="AD630" s="330">
        <v>99999999</v>
      </c>
      <c r="AE630" s="327" t="s">
        <v>411</v>
      </c>
      <c r="AF630" s="327" t="s">
        <v>439</v>
      </c>
      <c r="AG630" s="327" t="s">
        <v>411</v>
      </c>
      <c r="AH630" s="327" t="s">
        <v>411</v>
      </c>
      <c r="AI630" s="330">
        <v>0</v>
      </c>
      <c r="AJ630" s="330">
        <v>0</v>
      </c>
      <c r="AK630" s="330">
        <v>0</v>
      </c>
      <c r="AL630" s="330">
        <v>0</v>
      </c>
      <c r="AM630" s="327" t="s">
        <v>183</v>
      </c>
      <c r="AN630" s="330">
        <v>0</v>
      </c>
      <c r="AO630" s="327" t="s">
        <v>411</v>
      </c>
      <c r="AP630" s="330">
        <v>1</v>
      </c>
      <c r="AQ630" s="331">
        <v>1111</v>
      </c>
      <c r="AR630" s="331" t="s">
        <v>583</v>
      </c>
      <c r="AS630" s="331">
        <v>10</v>
      </c>
      <c r="AT630" s="331">
        <v>1</v>
      </c>
      <c r="AU630" s="331">
        <v>0</v>
      </c>
      <c r="AV630" s="331">
        <v>0</v>
      </c>
      <c r="AW630" s="331">
        <v>0</v>
      </c>
      <c r="AX630" s="331">
        <v>0</v>
      </c>
      <c r="AY630" s="331">
        <v>1</v>
      </c>
      <c r="AZ630" s="331">
        <v>0</v>
      </c>
      <c r="BA630" s="332">
        <v>40640.750486111108</v>
      </c>
      <c r="BB630" s="331">
        <v>470195</v>
      </c>
      <c r="BC630" s="331">
        <v>470195</v>
      </c>
      <c r="BD630" s="332">
        <v>45392.67769675926</v>
      </c>
      <c r="BE630" s="331">
        <v>363363</v>
      </c>
      <c r="BF630" s="331">
        <v>363363</v>
      </c>
      <c r="BG630" s="353"/>
    </row>
    <row r="631" spans="2:59" ht="15">
      <c r="B631" s="315" t="s">
        <v>410</v>
      </c>
      <c r="C631" s="327" t="s">
        <v>437</v>
      </c>
      <c r="D631" s="337" t="s">
        <v>629</v>
      </c>
      <c r="E631" s="338" t="s">
        <v>182</v>
      </c>
      <c r="F631" s="334" t="s">
        <v>454</v>
      </c>
      <c r="G631" s="327" t="s">
        <v>411</v>
      </c>
      <c r="H631" s="327" t="s">
        <v>411</v>
      </c>
      <c r="I631" s="330">
        <v>1</v>
      </c>
      <c r="J631" s="331">
        <v>0</v>
      </c>
      <c r="K631" s="327" t="s">
        <v>183</v>
      </c>
      <c r="L631" s="420" t="s">
        <v>600</v>
      </c>
      <c r="M631" s="327" t="s">
        <v>156</v>
      </c>
      <c r="N631" s="327" t="s">
        <v>156</v>
      </c>
      <c r="O631" s="327" t="s">
        <v>156</v>
      </c>
      <c r="P631" s="327" t="s">
        <v>156</v>
      </c>
      <c r="Q631" s="329" t="s">
        <v>580</v>
      </c>
      <c r="R631" s="327" t="s">
        <v>411</v>
      </c>
      <c r="S631" s="327" t="s">
        <v>411</v>
      </c>
      <c r="T631" s="327" t="s">
        <v>581</v>
      </c>
      <c r="U631" s="327" t="s">
        <v>582</v>
      </c>
      <c r="V631" s="327" t="s">
        <v>183</v>
      </c>
      <c r="W631" s="327" t="s">
        <v>183</v>
      </c>
      <c r="X631" s="327" t="s">
        <v>411</v>
      </c>
      <c r="Y631" s="327" t="s">
        <v>411</v>
      </c>
      <c r="Z631" s="327" t="s">
        <v>156</v>
      </c>
      <c r="AA631" s="330" t="s">
        <v>156</v>
      </c>
      <c r="AB631" s="330" t="s">
        <v>156</v>
      </c>
      <c r="AC631" s="330">
        <v>1</v>
      </c>
      <c r="AD631" s="330">
        <v>99999999</v>
      </c>
      <c r="AE631" s="327" t="s">
        <v>411</v>
      </c>
      <c r="AF631" s="327" t="s">
        <v>411</v>
      </c>
      <c r="AG631" s="327" t="s">
        <v>411</v>
      </c>
      <c r="AH631" s="327" t="s">
        <v>411</v>
      </c>
      <c r="AI631" s="330">
        <v>0</v>
      </c>
      <c r="AJ631" s="330">
        <v>0</v>
      </c>
      <c r="AK631" s="330">
        <v>0</v>
      </c>
      <c r="AL631" s="330">
        <v>0</v>
      </c>
      <c r="AM631" s="327" t="s">
        <v>183</v>
      </c>
      <c r="AN631" s="330">
        <v>0</v>
      </c>
      <c r="AO631" s="327" t="s">
        <v>411</v>
      </c>
      <c r="AP631" s="330">
        <v>1</v>
      </c>
      <c r="AQ631" s="331" t="s">
        <v>156</v>
      </c>
      <c r="AR631" s="331" t="s">
        <v>583</v>
      </c>
      <c r="AS631" s="331">
        <v>0</v>
      </c>
      <c r="AT631" s="331">
        <v>1</v>
      </c>
      <c r="AU631" s="331">
        <v>0</v>
      </c>
      <c r="AV631" s="331">
        <v>0</v>
      </c>
      <c r="AW631" s="331">
        <v>0</v>
      </c>
      <c r="AX631" s="331">
        <v>0</v>
      </c>
      <c r="AY631" s="331">
        <v>1</v>
      </c>
      <c r="AZ631" s="331">
        <v>0</v>
      </c>
      <c r="BA631" s="332">
        <v>29705</v>
      </c>
      <c r="BB631" s="331" t="s">
        <v>445</v>
      </c>
      <c r="BC631" s="331" t="s">
        <v>445</v>
      </c>
      <c r="BD631" s="332">
        <v>36413</v>
      </c>
      <c r="BE631" s="331" t="s">
        <v>445</v>
      </c>
      <c r="BF631" s="331" t="s">
        <v>445</v>
      </c>
      <c r="BG631" s="353"/>
    </row>
    <row r="632" spans="2:59" ht="14">
      <c r="B632" s="317" t="s">
        <v>412</v>
      </c>
      <c r="C632" s="327" t="s">
        <v>437</v>
      </c>
      <c r="D632" s="327" t="s">
        <v>784</v>
      </c>
      <c r="E632" s="327" t="s">
        <v>453</v>
      </c>
      <c r="F632" s="413" t="s">
        <v>186</v>
      </c>
      <c r="G632" s="327" t="s">
        <v>411</v>
      </c>
      <c r="H632" s="327" t="s">
        <v>411</v>
      </c>
      <c r="I632" s="327">
        <v>0</v>
      </c>
      <c r="J632" s="327">
        <v>30</v>
      </c>
      <c r="K632" s="327" t="s">
        <v>183</v>
      </c>
      <c r="L632" s="420" t="s">
        <v>600</v>
      </c>
      <c r="M632" s="327" t="s">
        <v>156</v>
      </c>
      <c r="N632" s="327" t="s">
        <v>156</v>
      </c>
      <c r="O632" s="327" t="s">
        <v>584</v>
      </c>
      <c r="P632" s="327" t="s">
        <v>156</v>
      </c>
      <c r="Q632" s="327" t="s">
        <v>585</v>
      </c>
      <c r="R632" s="327" t="s">
        <v>183</v>
      </c>
      <c r="S632" s="327" t="s">
        <v>666</v>
      </c>
      <c r="T632" s="327" t="s">
        <v>581</v>
      </c>
      <c r="U632" s="327" t="s">
        <v>667</v>
      </c>
      <c r="V632" s="327" t="s">
        <v>668</v>
      </c>
      <c r="W632" s="327" t="s">
        <v>183</v>
      </c>
      <c r="X632" s="327" t="s">
        <v>669</v>
      </c>
      <c r="Y632" s="327" t="s">
        <v>669</v>
      </c>
      <c r="Z632" s="327"/>
      <c r="AA632" s="327"/>
      <c r="AB632" s="327" t="s">
        <v>587</v>
      </c>
      <c r="AC632" s="327">
        <v>5000</v>
      </c>
      <c r="AD632" s="327">
        <v>99999999</v>
      </c>
      <c r="AE632" s="327">
        <v>0</v>
      </c>
      <c r="AF632" s="327">
        <v>2</v>
      </c>
      <c r="AG632" s="327">
        <v>0</v>
      </c>
      <c r="AH632" s="327">
        <v>0</v>
      </c>
      <c r="AI632" s="327">
        <v>0</v>
      </c>
      <c r="AJ632" s="327">
        <v>0</v>
      </c>
      <c r="AK632" s="327">
        <v>0</v>
      </c>
      <c r="AL632" s="327">
        <v>0</v>
      </c>
      <c r="AM632" s="327">
        <v>1</v>
      </c>
      <c r="AN632" s="327">
        <v>0</v>
      </c>
      <c r="AO632" s="327">
        <v>0</v>
      </c>
      <c r="AP632" s="327">
        <v>1</v>
      </c>
      <c r="AQ632" s="327">
        <v>1111</v>
      </c>
      <c r="AR632" s="327" t="s">
        <v>583</v>
      </c>
      <c r="AS632" s="327">
        <v>10</v>
      </c>
      <c r="AT632" s="327">
        <v>1</v>
      </c>
      <c r="AU632" s="327">
        <v>0</v>
      </c>
      <c r="AV632" s="327">
        <v>0</v>
      </c>
      <c r="AW632" s="327">
        <v>0</v>
      </c>
      <c r="AX632" s="327">
        <v>0</v>
      </c>
      <c r="AY632" s="327">
        <v>1</v>
      </c>
      <c r="AZ632" s="327">
        <v>0</v>
      </c>
      <c r="BA632" s="327">
        <v>40640.750486111108</v>
      </c>
      <c r="BB632" s="327">
        <v>470195</v>
      </c>
      <c r="BC632" s="327">
        <v>470195</v>
      </c>
      <c r="BD632" s="327">
        <v>45392.67769675926</v>
      </c>
      <c r="BE632" s="327">
        <v>363363</v>
      </c>
      <c r="BF632" s="327">
        <v>363363</v>
      </c>
      <c r="BG632" s="353"/>
    </row>
    <row r="633" spans="2:59" ht="14">
      <c r="B633" s="315" t="s">
        <v>410</v>
      </c>
      <c r="C633" s="327" t="s">
        <v>437</v>
      </c>
      <c r="D633" s="337" t="s">
        <v>182</v>
      </c>
      <c r="E633" s="338" t="s">
        <v>182</v>
      </c>
      <c r="F633" s="327" t="s">
        <v>185</v>
      </c>
      <c r="G633" s="327" t="s">
        <v>411</v>
      </c>
      <c r="H633" s="327" t="s">
        <v>411</v>
      </c>
      <c r="I633" s="327">
        <v>0</v>
      </c>
      <c r="J633" s="327">
        <v>30</v>
      </c>
      <c r="K633" s="327" t="s">
        <v>611</v>
      </c>
      <c r="L633" s="420" t="s">
        <v>600</v>
      </c>
      <c r="M633" s="327" t="s">
        <v>156</v>
      </c>
      <c r="N633" s="327" t="s">
        <v>156</v>
      </c>
      <c r="O633" s="327" t="s">
        <v>584</v>
      </c>
      <c r="P633" s="327" t="s">
        <v>156</v>
      </c>
      <c r="Q633" s="327" t="s">
        <v>585</v>
      </c>
      <c r="R633" s="327" t="s">
        <v>183</v>
      </c>
      <c r="S633" s="327" t="s">
        <v>411</v>
      </c>
      <c r="T633" s="327" t="s">
        <v>581</v>
      </c>
      <c r="U633" s="327" t="s">
        <v>582</v>
      </c>
      <c r="V633" s="327" t="s">
        <v>586</v>
      </c>
      <c r="W633" s="327" t="s">
        <v>183</v>
      </c>
      <c r="X633" s="327" t="s">
        <v>411</v>
      </c>
      <c r="Y633" s="327" t="s">
        <v>411</v>
      </c>
      <c r="Z633" s="327"/>
      <c r="AA633" s="327"/>
      <c r="AB633" s="327" t="s">
        <v>587</v>
      </c>
      <c r="AC633" s="327">
        <v>5000</v>
      </c>
      <c r="AD633" s="327">
        <v>99999999</v>
      </c>
      <c r="AE633" s="327" t="s">
        <v>411</v>
      </c>
      <c r="AF633" s="327" t="s">
        <v>439</v>
      </c>
      <c r="AG633" s="327" t="s">
        <v>411</v>
      </c>
      <c r="AH633" s="327" t="s">
        <v>411</v>
      </c>
      <c r="AI633" s="327">
        <v>0</v>
      </c>
      <c r="AJ633" s="327">
        <v>0</v>
      </c>
      <c r="AK633" s="327">
        <v>0</v>
      </c>
      <c r="AL633" s="327">
        <v>0</v>
      </c>
      <c r="AM633" s="327" t="s">
        <v>183</v>
      </c>
      <c r="AN633" s="327">
        <v>0</v>
      </c>
      <c r="AO633" s="327" t="s">
        <v>411</v>
      </c>
      <c r="AP633" s="327">
        <v>1</v>
      </c>
      <c r="AQ633" s="327">
        <v>1111</v>
      </c>
      <c r="AR633" s="327" t="s">
        <v>583</v>
      </c>
      <c r="AS633" s="327">
        <v>10</v>
      </c>
      <c r="AT633" s="327">
        <v>1</v>
      </c>
      <c r="AU633" s="327">
        <v>0</v>
      </c>
      <c r="AV633" s="327">
        <v>0</v>
      </c>
      <c r="AW633" s="327">
        <v>0</v>
      </c>
      <c r="AX633" s="327">
        <v>0</v>
      </c>
      <c r="AY633" s="327">
        <v>1</v>
      </c>
      <c r="AZ633" s="327">
        <v>0</v>
      </c>
      <c r="BA633" s="327">
        <v>40640.750486111108</v>
      </c>
      <c r="BB633" s="327">
        <v>470195</v>
      </c>
      <c r="BC633" s="327">
        <v>470195</v>
      </c>
      <c r="BD633" s="327">
        <v>45392.67769675926</v>
      </c>
      <c r="BE633" s="327">
        <v>363363</v>
      </c>
      <c r="BF633" s="327">
        <v>363363</v>
      </c>
      <c r="BG633" s="353"/>
    </row>
    <row r="634" spans="2:59">
      <c r="B634" s="358"/>
      <c r="BG634" s="353"/>
    </row>
    <row r="635" spans="2:59" ht="14">
      <c r="B635" s="358"/>
      <c r="C635" s="359" t="s">
        <v>153</v>
      </c>
      <c r="BG635" s="353"/>
    </row>
    <row r="636" spans="2:59" ht="14">
      <c r="B636" s="358"/>
      <c r="C636" s="359" t="s">
        <v>154</v>
      </c>
      <c r="D636" s="359" t="s">
        <v>155</v>
      </c>
      <c r="E636" s="359" t="s">
        <v>157</v>
      </c>
      <c r="F636" s="359" t="s">
        <v>158</v>
      </c>
      <c r="G636" s="359" t="s">
        <v>356</v>
      </c>
      <c r="H636" s="359" t="s">
        <v>357</v>
      </c>
      <c r="I636" s="359" t="s">
        <v>358</v>
      </c>
      <c r="J636" s="359" t="s">
        <v>359</v>
      </c>
      <c r="K636" s="359" t="s">
        <v>360</v>
      </c>
      <c r="L636" s="359" t="s">
        <v>361</v>
      </c>
      <c r="M636" s="359" t="s">
        <v>362</v>
      </c>
      <c r="BG636" s="353"/>
    </row>
    <row r="637" spans="2:59" ht="14">
      <c r="B637" s="358"/>
      <c r="C637" s="359">
        <v>-2</v>
      </c>
      <c r="D637" s="359" t="s">
        <v>156</v>
      </c>
      <c r="E637" s="359" t="s">
        <v>770</v>
      </c>
      <c r="F637" s="359" t="s">
        <v>720</v>
      </c>
      <c r="G637" s="359" t="s">
        <v>623</v>
      </c>
      <c r="H637" s="359" t="s">
        <v>156</v>
      </c>
      <c r="I637" s="359" t="s">
        <v>156</v>
      </c>
      <c r="J637" s="359" t="s">
        <v>156</v>
      </c>
      <c r="K637" s="359" t="s">
        <v>156</v>
      </c>
      <c r="L637" s="359">
        <v>0</v>
      </c>
      <c r="M637" s="359" t="s">
        <v>156</v>
      </c>
      <c r="BG637" s="353"/>
    </row>
    <row r="638" spans="2:59" ht="13.5" thickBot="1">
      <c r="B638" s="358"/>
      <c r="BG638" s="353"/>
    </row>
    <row r="639" spans="2:59" ht="15" thickBot="1">
      <c r="B639" s="299" t="s">
        <v>722</v>
      </c>
      <c r="C639" s="300" t="s">
        <v>721</v>
      </c>
      <c r="D639" s="300"/>
      <c r="E639" s="300"/>
      <c r="F639" s="300"/>
      <c r="G639" s="300"/>
      <c r="H639" s="300"/>
      <c r="I639" s="300"/>
      <c r="J639" s="300"/>
      <c r="K639" s="300"/>
      <c r="L639" s="300"/>
      <c r="M639" s="300"/>
      <c r="N639" s="300"/>
      <c r="O639" s="300"/>
      <c r="P639" s="300"/>
      <c r="Q639" s="300"/>
      <c r="R639" s="300"/>
      <c r="S639" s="300"/>
      <c r="T639" s="300"/>
      <c r="U639" s="300"/>
      <c r="V639" s="300"/>
      <c r="W639" s="300"/>
      <c r="X639" s="300"/>
      <c r="Y639" s="300"/>
      <c r="Z639" s="300"/>
      <c r="AA639" s="300"/>
      <c r="AB639" s="300"/>
      <c r="AC639" s="300"/>
      <c r="AD639" s="300"/>
      <c r="AE639" s="300"/>
      <c r="AF639" s="300"/>
      <c r="AG639" s="300"/>
      <c r="AH639" s="300"/>
      <c r="AI639" s="300"/>
      <c r="AJ639" s="300"/>
      <c r="AK639" s="300"/>
      <c r="AL639" s="300"/>
      <c r="AM639" s="300"/>
      <c r="AN639" s="300"/>
      <c r="AO639" s="300"/>
      <c r="AP639" s="300"/>
      <c r="AQ639" s="300"/>
      <c r="AR639" s="300"/>
      <c r="AS639" s="300"/>
      <c r="AT639" s="300"/>
      <c r="AU639" s="300"/>
      <c r="AV639" s="300"/>
      <c r="AW639" s="300"/>
      <c r="AX639" s="300"/>
      <c r="AY639" s="300"/>
      <c r="AZ639" s="300"/>
      <c r="BA639" s="300"/>
      <c r="BB639" s="300"/>
      <c r="BC639" s="300"/>
      <c r="BD639" s="300"/>
      <c r="BE639" s="300"/>
      <c r="BF639" s="300"/>
      <c r="BG639" s="353"/>
    </row>
    <row r="640" spans="2:59" ht="14" thickBot="1">
      <c r="B640" s="335" t="s">
        <v>805</v>
      </c>
      <c r="C640" s="300" t="s">
        <v>615</v>
      </c>
      <c r="D640" s="300"/>
      <c r="E640" s="300"/>
      <c r="F640" s="300"/>
      <c r="G640" s="300"/>
      <c r="H640" s="300"/>
      <c r="I640" s="300"/>
      <c r="J640" s="300"/>
      <c r="K640" s="300"/>
      <c r="L640" s="300"/>
      <c r="M640" s="300"/>
      <c r="N640" s="300"/>
      <c r="O640" s="300"/>
      <c r="P640" s="300"/>
      <c r="Q640" s="300"/>
      <c r="R640" s="300"/>
      <c r="S640" s="300"/>
      <c r="T640" s="300"/>
      <c r="U640" s="300"/>
      <c r="V640" s="300"/>
      <c r="W640" s="300"/>
      <c r="X640" s="300"/>
      <c r="Y640" s="300"/>
      <c r="Z640" s="300"/>
      <c r="AA640" s="300"/>
      <c r="AB640" s="300"/>
      <c r="AC640" s="300"/>
      <c r="AD640" s="300"/>
      <c r="AE640" s="300"/>
      <c r="AF640" s="300"/>
      <c r="AG640" s="300"/>
      <c r="AH640" s="300"/>
      <c r="AI640" s="300"/>
      <c r="AJ640" s="300"/>
      <c r="AK640" s="300"/>
      <c r="AL640" s="300"/>
      <c r="AM640" s="300"/>
      <c r="AN640" s="300"/>
      <c r="AO640" s="300"/>
      <c r="AP640" s="300"/>
      <c r="AQ640" s="300"/>
      <c r="AR640" s="300"/>
      <c r="AS640" s="300"/>
      <c r="AT640" s="300"/>
      <c r="AU640" s="300"/>
      <c r="AV640" s="300"/>
      <c r="AW640" s="300"/>
      <c r="AX640" s="300"/>
      <c r="AY640" s="300"/>
      <c r="AZ640" s="300"/>
      <c r="BA640" s="300"/>
      <c r="BB640" s="300"/>
      <c r="BC640" s="300"/>
      <c r="BD640" s="300"/>
      <c r="BE640" s="300"/>
      <c r="BF640" s="300"/>
      <c r="BG640" s="353"/>
    </row>
    <row r="641" spans="2:59">
      <c r="B641" s="358"/>
      <c r="BG641" s="353"/>
    </row>
    <row r="642" spans="2:59" ht="13.5">
      <c r="B642" s="358"/>
      <c r="C642" s="356" t="s">
        <v>396</v>
      </c>
      <c r="BG642" s="353"/>
    </row>
    <row r="643" spans="2:59" ht="13.5">
      <c r="B643" s="358"/>
      <c r="C643" s="356" t="s">
        <v>723</v>
      </c>
      <c r="BG643" s="353"/>
    </row>
    <row r="644" spans="2:59">
      <c r="B644" s="358"/>
      <c r="BG644" s="353"/>
    </row>
    <row r="645" spans="2:59" ht="15">
      <c r="B645" s="358"/>
      <c r="C645" s="449" t="s">
        <v>436</v>
      </c>
      <c r="D645" s="450"/>
      <c r="E645" s="450"/>
      <c r="F645" s="451"/>
      <c r="G645" s="451"/>
      <c r="H645" s="451"/>
      <c r="I645" s="451"/>
      <c r="J645" s="451"/>
      <c r="K645" s="451"/>
      <c r="L645" s="451"/>
      <c r="M645" s="451"/>
      <c r="N645" s="451"/>
      <c r="O645" s="451"/>
      <c r="P645" s="451"/>
      <c r="Q645" s="451"/>
      <c r="R645" s="451"/>
      <c r="S645" s="451"/>
      <c r="T645" s="451"/>
      <c r="U645" s="451"/>
      <c r="V645" s="451"/>
      <c r="W645" s="451"/>
      <c r="X645" s="451"/>
      <c r="Y645" s="451"/>
      <c r="Z645" s="452"/>
      <c r="AA645" s="68"/>
      <c r="AB645" s="68"/>
      <c r="AC645" s="68"/>
      <c r="AD645" s="68"/>
      <c r="BG645" s="353"/>
    </row>
    <row r="646" spans="2:59" ht="15">
      <c r="B646" s="358"/>
      <c r="C646" s="322"/>
      <c r="D646" s="322"/>
      <c r="E646" s="322"/>
      <c r="F646" s="319" t="s">
        <v>169</v>
      </c>
      <c r="G646" s="319" t="s">
        <v>169</v>
      </c>
      <c r="H646" s="319" t="s">
        <v>169</v>
      </c>
      <c r="I646" s="319"/>
      <c r="J646" s="319"/>
      <c r="K646" s="319"/>
      <c r="L646" s="319"/>
      <c r="M646" s="319"/>
      <c r="N646" s="319"/>
      <c r="O646" s="319"/>
      <c r="P646" s="319"/>
      <c r="Q646" s="319"/>
      <c r="R646" s="319"/>
      <c r="S646" s="319"/>
      <c r="T646" s="319"/>
      <c r="U646" s="319"/>
      <c r="V646" s="319"/>
      <c r="W646" s="319"/>
      <c r="X646" s="319"/>
      <c r="Y646" s="319"/>
      <c r="Z646" s="319"/>
      <c r="AA646" s="319"/>
      <c r="AB646" s="319"/>
      <c r="AC646" s="319"/>
      <c r="AD646" s="319"/>
      <c r="BG646" s="353"/>
    </row>
    <row r="647" spans="2:59">
      <c r="B647" s="358"/>
      <c r="C647" s="312" t="s">
        <v>172</v>
      </c>
      <c r="D647" s="312" t="s">
        <v>173</v>
      </c>
      <c r="E647" s="312" t="s">
        <v>174</v>
      </c>
      <c r="F647" s="314" t="s">
        <v>91</v>
      </c>
      <c r="G647" s="314" t="s">
        <v>67</v>
      </c>
      <c r="H647" s="314" t="s">
        <v>69</v>
      </c>
      <c r="I647" s="314" t="s">
        <v>457</v>
      </c>
      <c r="J647" s="314" t="s">
        <v>458</v>
      </c>
      <c r="K647" s="314" t="s">
        <v>459</v>
      </c>
      <c r="L647" s="314" t="s">
        <v>460</v>
      </c>
      <c r="M647" s="314" t="s">
        <v>461</v>
      </c>
      <c r="N647" s="314" t="s">
        <v>462</v>
      </c>
      <c r="O647" s="314" t="s">
        <v>463</v>
      </c>
      <c r="P647" s="314" t="s">
        <v>464</v>
      </c>
      <c r="Q647" s="314" t="s">
        <v>465</v>
      </c>
      <c r="R647" s="314" t="s">
        <v>466</v>
      </c>
      <c r="S647" s="314" t="s">
        <v>467</v>
      </c>
      <c r="T647" s="314" t="s">
        <v>468</v>
      </c>
      <c r="U647" s="314" t="s">
        <v>469</v>
      </c>
      <c r="V647" s="314" t="s">
        <v>470</v>
      </c>
      <c r="W647" s="314" t="s">
        <v>471</v>
      </c>
      <c r="X647" s="314" t="s">
        <v>397</v>
      </c>
      <c r="Y647" s="314" t="s">
        <v>398</v>
      </c>
      <c r="Z647" s="314" t="s">
        <v>399</v>
      </c>
      <c r="AA647" s="314" t="s">
        <v>400</v>
      </c>
      <c r="AB647" s="314" t="s">
        <v>151</v>
      </c>
      <c r="AC647" s="314" t="s">
        <v>152</v>
      </c>
      <c r="AD647" s="314" t="s">
        <v>401</v>
      </c>
      <c r="BG647" s="353"/>
    </row>
    <row r="648" spans="2:59">
      <c r="B648" s="358"/>
      <c r="C648" s="312" t="s">
        <v>371</v>
      </c>
      <c r="D648" s="312" t="s">
        <v>381</v>
      </c>
      <c r="E648" s="312" t="s">
        <v>390</v>
      </c>
      <c r="F648" s="313" t="s">
        <v>418</v>
      </c>
      <c r="G648" s="313" t="s">
        <v>419</v>
      </c>
      <c r="H648" s="313" t="s">
        <v>421</v>
      </c>
      <c r="I648" s="313" t="s">
        <v>420</v>
      </c>
      <c r="J648" s="313" t="s">
        <v>422</v>
      </c>
      <c r="K648" s="313" t="s">
        <v>423</v>
      </c>
      <c r="L648" s="313" t="s">
        <v>424</v>
      </c>
      <c r="M648" s="313" t="s">
        <v>425</v>
      </c>
      <c r="N648" s="313" t="s">
        <v>426</v>
      </c>
      <c r="O648" s="313" t="s">
        <v>427</v>
      </c>
      <c r="P648" s="313" t="s">
        <v>428</v>
      </c>
      <c r="Q648" s="313" t="s">
        <v>429</v>
      </c>
      <c r="R648" s="313" t="s">
        <v>430</v>
      </c>
      <c r="S648" s="313" t="s">
        <v>431</v>
      </c>
      <c r="T648" s="313" t="s">
        <v>432</v>
      </c>
      <c r="U648" s="313" t="s">
        <v>433</v>
      </c>
      <c r="V648" s="313" t="s">
        <v>434</v>
      </c>
      <c r="W648" s="313" t="s">
        <v>435</v>
      </c>
      <c r="X648" s="313" t="s">
        <v>403</v>
      </c>
      <c r="Y648" s="313" t="s">
        <v>404</v>
      </c>
      <c r="Z648" s="313" t="s">
        <v>405</v>
      </c>
      <c r="AA648" s="313" t="s">
        <v>406</v>
      </c>
      <c r="AB648" s="313" t="s">
        <v>407</v>
      </c>
      <c r="AC648" s="313" t="s">
        <v>408</v>
      </c>
      <c r="AD648" s="313" t="s">
        <v>409</v>
      </c>
      <c r="BG648" s="353"/>
    </row>
    <row r="649" spans="2:59">
      <c r="B649" s="358"/>
      <c r="C649" s="312" t="s">
        <v>472</v>
      </c>
      <c r="D649" s="312" t="s">
        <v>473</v>
      </c>
      <c r="E649" s="312" t="s">
        <v>473</v>
      </c>
      <c r="F649" s="314" t="s">
        <v>474</v>
      </c>
      <c r="G649" s="314" t="s">
        <v>474</v>
      </c>
      <c r="H649" s="314" t="s">
        <v>475</v>
      </c>
      <c r="I649" s="314" t="s">
        <v>474</v>
      </c>
      <c r="J649" s="314" t="s">
        <v>476</v>
      </c>
      <c r="K649" s="314" t="s">
        <v>477</v>
      </c>
      <c r="L649" s="313" t="s">
        <v>478</v>
      </c>
      <c r="M649" s="314" t="s">
        <v>478</v>
      </c>
      <c r="N649" s="314" t="s">
        <v>479</v>
      </c>
      <c r="O649" s="314" t="s">
        <v>474</v>
      </c>
      <c r="P649" s="314" t="s">
        <v>480</v>
      </c>
      <c r="Q649" s="314" t="s">
        <v>481</v>
      </c>
      <c r="R649" s="314" t="s">
        <v>480</v>
      </c>
      <c r="S649" s="314" t="s">
        <v>482</v>
      </c>
      <c r="T649" s="313" t="s">
        <v>483</v>
      </c>
      <c r="U649" s="314" t="s">
        <v>483</v>
      </c>
      <c r="V649" s="314" t="s">
        <v>484</v>
      </c>
      <c r="W649" s="314" t="s">
        <v>474</v>
      </c>
      <c r="X649" s="314" t="s">
        <v>485</v>
      </c>
      <c r="Y649" s="314" t="s">
        <v>487</v>
      </c>
      <c r="Z649" s="314" t="s">
        <v>488</v>
      </c>
      <c r="AA649" s="314" t="s">
        <v>488</v>
      </c>
      <c r="AB649" s="313" t="s">
        <v>486</v>
      </c>
      <c r="AC649" s="314" t="s">
        <v>488</v>
      </c>
      <c r="AD649" s="314" t="s">
        <v>488</v>
      </c>
      <c r="BG649" s="353"/>
    </row>
    <row r="650" spans="2:59" ht="14">
      <c r="B650" s="317" t="s">
        <v>412</v>
      </c>
      <c r="C650" s="327" t="s">
        <v>685</v>
      </c>
      <c r="D650" s="327" t="s">
        <v>630</v>
      </c>
      <c r="E650" s="327" t="s">
        <v>630</v>
      </c>
      <c r="F650" s="327" t="s">
        <v>183</v>
      </c>
      <c r="G650" s="327" t="s">
        <v>183</v>
      </c>
      <c r="H650" s="327" t="s">
        <v>184</v>
      </c>
      <c r="I650" s="420" t="s">
        <v>600</v>
      </c>
      <c r="J650" s="327" t="s">
        <v>184</v>
      </c>
      <c r="K650" s="327" t="s">
        <v>411</v>
      </c>
      <c r="L650" s="327" t="s">
        <v>448</v>
      </c>
      <c r="M650" s="327" t="s">
        <v>441</v>
      </c>
      <c r="N650" s="327"/>
      <c r="O650" s="327" t="s">
        <v>411</v>
      </c>
      <c r="P650" s="327" t="s">
        <v>156</v>
      </c>
      <c r="Q650" s="327" t="s">
        <v>184</v>
      </c>
      <c r="R650" s="327" t="s">
        <v>449</v>
      </c>
      <c r="S650" s="327"/>
      <c r="T650" s="327" t="s">
        <v>156</v>
      </c>
      <c r="U650" s="327" t="s">
        <v>156</v>
      </c>
      <c r="V650" s="327" t="s">
        <v>156</v>
      </c>
      <c r="W650" s="327"/>
      <c r="X650" s="327" t="s">
        <v>411</v>
      </c>
      <c r="Y650" s="327">
        <v>40640.750486111108</v>
      </c>
      <c r="Z650" s="327">
        <v>470195</v>
      </c>
      <c r="AA650" s="327">
        <v>470195</v>
      </c>
      <c r="AB650" s="327">
        <v>40640.750486111108</v>
      </c>
      <c r="AC650" s="327">
        <v>470195</v>
      </c>
      <c r="AD650" s="327">
        <v>470195</v>
      </c>
      <c r="BG650" s="353"/>
    </row>
    <row r="651" spans="2:59" ht="14">
      <c r="B651" s="315" t="s">
        <v>410</v>
      </c>
      <c r="C651" s="337" t="s">
        <v>645</v>
      </c>
      <c r="D651" s="316" t="s">
        <v>438</v>
      </c>
      <c r="E651" s="316" t="s">
        <v>438</v>
      </c>
      <c r="F651" s="316" t="s">
        <v>183</v>
      </c>
      <c r="G651" s="316" t="s">
        <v>439</v>
      </c>
      <c r="H651" s="316" t="s">
        <v>184</v>
      </c>
      <c r="I651" s="316" t="s">
        <v>439</v>
      </c>
      <c r="J651" s="316" t="s">
        <v>646</v>
      </c>
      <c r="K651" s="316" t="s">
        <v>411</v>
      </c>
      <c r="L651" s="316" t="s">
        <v>156</v>
      </c>
      <c r="M651" s="316" t="s">
        <v>441</v>
      </c>
      <c r="N651" s="316"/>
      <c r="O651" s="316" t="s">
        <v>183</v>
      </c>
      <c r="P651" s="316" t="s">
        <v>156</v>
      </c>
      <c r="Q651" s="316" t="s">
        <v>442</v>
      </c>
      <c r="R651" s="316" t="s">
        <v>647</v>
      </c>
      <c r="S651" s="316"/>
      <c r="T651" s="316" t="s">
        <v>648</v>
      </c>
      <c r="U651" s="316" t="s">
        <v>649</v>
      </c>
      <c r="V651" s="316" t="s">
        <v>650</v>
      </c>
      <c r="W651" s="316"/>
      <c r="X651" s="316" t="s">
        <v>411</v>
      </c>
      <c r="Y651" s="316" t="s">
        <v>444</v>
      </c>
      <c r="Z651" s="316" t="s">
        <v>445</v>
      </c>
      <c r="AA651" s="316" t="s">
        <v>445</v>
      </c>
      <c r="AB651" s="316" t="s">
        <v>651</v>
      </c>
      <c r="AC651" s="316">
        <v>375901</v>
      </c>
      <c r="AD651" s="316" t="s">
        <v>652</v>
      </c>
      <c r="BG651" s="353"/>
    </row>
    <row r="652" spans="2:59" ht="14">
      <c r="B652" s="315" t="s">
        <v>410</v>
      </c>
      <c r="C652" s="337" t="s">
        <v>659</v>
      </c>
      <c r="D652" s="327" t="s">
        <v>438</v>
      </c>
      <c r="E652" s="327" t="s">
        <v>438</v>
      </c>
      <c r="F652" s="327" t="s">
        <v>183</v>
      </c>
      <c r="G652" s="327" t="s">
        <v>439</v>
      </c>
      <c r="H652" s="327" t="s">
        <v>184</v>
      </c>
      <c r="I652" s="327" t="s">
        <v>439</v>
      </c>
      <c r="J652" s="327" t="s">
        <v>653</v>
      </c>
      <c r="K652" s="327" t="s">
        <v>411</v>
      </c>
      <c r="L652" s="327" t="s">
        <v>654</v>
      </c>
      <c r="M652" s="327" t="s">
        <v>441</v>
      </c>
      <c r="N652" s="327"/>
      <c r="O652" s="327" t="s">
        <v>439</v>
      </c>
      <c r="P652" s="327" t="s">
        <v>156</v>
      </c>
      <c r="Q652" s="327" t="s">
        <v>655</v>
      </c>
      <c r="R652" s="327" t="s">
        <v>443</v>
      </c>
      <c r="S652" s="327"/>
      <c r="T652" s="327" t="s">
        <v>156</v>
      </c>
      <c r="U652" s="327" t="s">
        <v>156</v>
      </c>
      <c r="V652" s="327" t="s">
        <v>156</v>
      </c>
      <c r="W652" s="327"/>
      <c r="X652" s="327" t="s">
        <v>411</v>
      </c>
      <c r="Y652" s="327" t="s">
        <v>656</v>
      </c>
      <c r="Z652" s="327" t="s">
        <v>445</v>
      </c>
      <c r="AA652" s="327" t="s">
        <v>445</v>
      </c>
      <c r="AB652" s="327" t="s">
        <v>657</v>
      </c>
      <c r="AC652" s="327" t="s">
        <v>658</v>
      </c>
      <c r="AD652" s="327" t="s">
        <v>658</v>
      </c>
      <c r="BG652" s="353"/>
    </row>
    <row r="653" spans="2:59" ht="25">
      <c r="B653" s="315" t="s">
        <v>410</v>
      </c>
      <c r="C653" s="337" t="s">
        <v>684</v>
      </c>
      <c r="D653" s="313" t="s">
        <v>438</v>
      </c>
      <c r="E653" s="314" t="s">
        <v>438</v>
      </c>
      <c r="F653" s="314" t="s">
        <v>183</v>
      </c>
      <c r="G653" s="314" t="s">
        <v>439</v>
      </c>
      <c r="H653" s="314" t="s">
        <v>184</v>
      </c>
      <c r="I653" s="314" t="s">
        <v>439</v>
      </c>
      <c r="J653" s="314" t="s">
        <v>440</v>
      </c>
      <c r="K653" s="314" t="s">
        <v>411</v>
      </c>
      <c r="L653" s="313" t="s">
        <v>156</v>
      </c>
      <c r="M653" s="314" t="s">
        <v>441</v>
      </c>
      <c r="N653" s="314"/>
      <c r="O653" s="314" t="s">
        <v>183</v>
      </c>
      <c r="P653" s="314" t="s">
        <v>156</v>
      </c>
      <c r="Q653" s="314" t="s">
        <v>442</v>
      </c>
      <c r="R653" s="314" t="s">
        <v>443</v>
      </c>
      <c r="S653" s="314"/>
      <c r="T653" s="313" t="s">
        <v>156</v>
      </c>
      <c r="U653" s="314" t="s">
        <v>156</v>
      </c>
      <c r="V653" s="314" t="s">
        <v>156</v>
      </c>
      <c r="W653" s="314"/>
      <c r="X653" s="314" t="s">
        <v>411</v>
      </c>
      <c r="Y653" s="314" t="s">
        <v>444</v>
      </c>
      <c r="Z653" s="314" t="s">
        <v>445</v>
      </c>
      <c r="AA653" s="314" t="s">
        <v>445</v>
      </c>
      <c r="AB653" s="313" t="s">
        <v>446</v>
      </c>
      <c r="AC653" s="314" t="s">
        <v>447</v>
      </c>
      <c r="AD653" s="314" t="s">
        <v>447</v>
      </c>
      <c r="BG653" s="353"/>
    </row>
    <row r="654" spans="2:59">
      <c r="B654" s="358"/>
      <c r="BG654" s="353"/>
    </row>
    <row r="655" spans="2:59" ht="15">
      <c r="B655" s="358"/>
      <c r="C655" s="449" t="s">
        <v>489</v>
      </c>
      <c r="D655" s="450"/>
      <c r="E655" s="450"/>
      <c r="F655" s="450"/>
      <c r="G655" s="450"/>
      <c r="H655" s="450"/>
      <c r="I655" s="450"/>
      <c r="J655" s="450"/>
      <c r="K655" s="450"/>
      <c r="L655" s="450"/>
      <c r="M655" s="450"/>
      <c r="N655" s="450"/>
      <c r="O655" s="450"/>
      <c r="P655" s="450"/>
      <c r="Q655" s="450"/>
      <c r="R655" s="450"/>
      <c r="S655" s="450"/>
      <c r="T655" s="450"/>
      <c r="U655" s="92"/>
      <c r="V655" s="92"/>
      <c r="W655" s="92"/>
      <c r="X655" s="92"/>
      <c r="Y655" s="92"/>
      <c r="Z655" s="92"/>
      <c r="AA655" s="93"/>
      <c r="AB655" s="93"/>
      <c r="AC655" s="93"/>
      <c r="AD655" s="93"/>
      <c r="AE655" s="93"/>
      <c r="AF655" s="93"/>
      <c r="AG655" s="93"/>
      <c r="AH655" s="93"/>
      <c r="AI655" s="93"/>
      <c r="AJ655" s="93"/>
      <c r="AK655" s="93"/>
      <c r="AL655" s="93"/>
      <c r="AM655" s="93"/>
      <c r="AN655" s="93"/>
      <c r="AO655" s="93"/>
      <c r="AP655" s="94"/>
      <c r="AQ655" s="94"/>
      <c r="AR655" s="94"/>
      <c r="AS655" s="94"/>
      <c r="AT655" s="94"/>
      <c r="AU655" s="94"/>
      <c r="AV655" s="94"/>
      <c r="AW655" s="94"/>
      <c r="AX655" s="94"/>
      <c r="AY655" s="94"/>
      <c r="AZ655" s="94"/>
      <c r="BA655" s="94"/>
      <c r="BB655" s="94"/>
      <c r="BC655" s="94"/>
      <c r="BD655" s="94"/>
      <c r="BE655" s="94"/>
      <c r="BF655" s="94"/>
      <c r="BG655" s="353"/>
    </row>
    <row r="656" spans="2:59" ht="15">
      <c r="B656" s="358"/>
      <c r="C656" s="322"/>
      <c r="D656" s="322"/>
      <c r="E656" s="322"/>
      <c r="F656" s="319" t="s">
        <v>169</v>
      </c>
      <c r="G656" s="319" t="s">
        <v>169</v>
      </c>
      <c r="H656" s="324" t="s">
        <v>169</v>
      </c>
      <c r="I656" s="319" t="s">
        <v>169</v>
      </c>
      <c r="J656" s="319" t="s">
        <v>169</v>
      </c>
      <c r="K656" s="324"/>
      <c r="L656" s="324"/>
      <c r="M656" s="324"/>
      <c r="N656" s="324"/>
      <c r="O656" s="324"/>
      <c r="P656" s="324"/>
      <c r="Q656" s="324"/>
      <c r="R656" s="324"/>
      <c r="S656" s="324"/>
      <c r="T656" s="324"/>
      <c r="U656" s="324"/>
      <c r="V656" s="324"/>
      <c r="W656" s="324"/>
      <c r="X656" s="324"/>
      <c r="Y656" s="324"/>
      <c r="Z656" s="324"/>
      <c r="AA656" s="325"/>
      <c r="AB656" s="325"/>
      <c r="AC656" s="325"/>
      <c r="AD656" s="325"/>
      <c r="AE656" s="325"/>
      <c r="AF656" s="325"/>
      <c r="AG656" s="325"/>
      <c r="AH656" s="325"/>
      <c r="AI656" s="325"/>
      <c r="AJ656" s="325"/>
      <c r="AK656" s="325"/>
      <c r="AL656" s="325"/>
      <c r="AM656" s="325"/>
      <c r="AN656" s="325"/>
      <c r="AO656" s="325"/>
      <c r="AP656" s="325"/>
      <c r="AQ656" s="325"/>
      <c r="AR656" s="325"/>
      <c r="AS656" s="325"/>
      <c r="AT656" s="325"/>
      <c r="AU656" s="325"/>
      <c r="AV656" s="325"/>
      <c r="AW656" s="325"/>
      <c r="AX656" s="325"/>
      <c r="AY656" s="325"/>
      <c r="AZ656" s="325"/>
      <c r="BA656" s="325"/>
      <c r="BB656" s="325"/>
      <c r="BC656" s="325"/>
      <c r="BD656" s="325"/>
      <c r="BE656" s="325"/>
      <c r="BF656" s="325"/>
      <c r="BG656" s="353"/>
    </row>
    <row r="657" spans="2:59" ht="25">
      <c r="B657" s="358"/>
      <c r="C657" s="312" t="s">
        <v>533</v>
      </c>
      <c r="D657" s="312" t="s">
        <v>588</v>
      </c>
      <c r="E657" s="312" t="s">
        <v>589</v>
      </c>
      <c r="F657" s="314" t="s">
        <v>96</v>
      </c>
      <c r="G657" s="314" t="s">
        <v>99</v>
      </c>
      <c r="H657" s="314" t="s">
        <v>130</v>
      </c>
      <c r="I657" s="314" t="s">
        <v>559</v>
      </c>
      <c r="J657" s="314" t="s">
        <v>127</v>
      </c>
      <c r="K657" s="314" t="s">
        <v>67</v>
      </c>
      <c r="L657" s="314" t="s">
        <v>456</v>
      </c>
      <c r="M657" s="314" t="s">
        <v>534</v>
      </c>
      <c r="N657" s="314" t="s">
        <v>535</v>
      </c>
      <c r="O657" s="314" t="s">
        <v>536</v>
      </c>
      <c r="P657" s="314" t="s">
        <v>537</v>
      </c>
      <c r="Q657" s="314" t="s">
        <v>538</v>
      </c>
      <c r="R657" s="314" t="s">
        <v>539</v>
      </c>
      <c r="S657" s="314" t="s">
        <v>540</v>
      </c>
      <c r="T657" s="314" t="s">
        <v>541</v>
      </c>
      <c r="U657" s="314" t="s">
        <v>542</v>
      </c>
      <c r="V657" s="314" t="s">
        <v>543</v>
      </c>
      <c r="W657" s="314" t="s">
        <v>544</v>
      </c>
      <c r="X657" s="314" t="s">
        <v>545</v>
      </c>
      <c r="Y657" s="314" t="s">
        <v>546</v>
      </c>
      <c r="Z657" s="314" t="s">
        <v>547</v>
      </c>
      <c r="AA657" s="314" t="s">
        <v>548</v>
      </c>
      <c r="AB657" s="314" t="s">
        <v>549</v>
      </c>
      <c r="AC657" s="314" t="s">
        <v>550</v>
      </c>
      <c r="AD657" s="314" t="s">
        <v>551</v>
      </c>
      <c r="AE657" s="314" t="s">
        <v>552</v>
      </c>
      <c r="AF657" s="314" t="s">
        <v>553</v>
      </c>
      <c r="AG657" s="314" t="s">
        <v>554</v>
      </c>
      <c r="AH657" s="314" t="s">
        <v>555</v>
      </c>
      <c r="AI657" s="314" t="s">
        <v>556</v>
      </c>
      <c r="AJ657" s="314" t="s">
        <v>558</v>
      </c>
      <c r="AK657" s="314" t="s">
        <v>557</v>
      </c>
      <c r="AL657" s="314" t="s">
        <v>566</v>
      </c>
      <c r="AM657" s="314" t="s">
        <v>560</v>
      </c>
      <c r="AN657" s="314" t="s">
        <v>561</v>
      </c>
      <c r="AO657" s="314" t="s">
        <v>562</v>
      </c>
      <c r="AP657" s="314" t="s">
        <v>563</v>
      </c>
      <c r="AQ657" s="314" t="s">
        <v>567</v>
      </c>
      <c r="AR657" s="314" t="s">
        <v>564</v>
      </c>
      <c r="AS657" s="314" t="s">
        <v>565</v>
      </c>
      <c r="AT657" s="314" t="s">
        <v>568</v>
      </c>
      <c r="AU657" s="314" t="s">
        <v>569</v>
      </c>
      <c r="AV657" s="314" t="s">
        <v>570</v>
      </c>
      <c r="AW657" s="314" t="s">
        <v>571</v>
      </c>
      <c r="AX657" s="314" t="s">
        <v>572</v>
      </c>
      <c r="AY657" s="314" t="s">
        <v>573</v>
      </c>
      <c r="AZ657" s="314" t="s">
        <v>397</v>
      </c>
      <c r="BA657" s="314" t="s">
        <v>398</v>
      </c>
      <c r="BB657" s="314" t="s">
        <v>399</v>
      </c>
      <c r="BC657" s="314" t="s">
        <v>400</v>
      </c>
      <c r="BD657" s="314" t="s">
        <v>151</v>
      </c>
      <c r="BE657" s="314" t="s">
        <v>152</v>
      </c>
      <c r="BF657" s="314" t="s">
        <v>401</v>
      </c>
      <c r="BG657" s="353"/>
    </row>
    <row r="658" spans="2:59">
      <c r="B658" s="358"/>
      <c r="C658" s="312" t="s">
        <v>371</v>
      </c>
      <c r="D658" s="312" t="s">
        <v>381</v>
      </c>
      <c r="E658" s="312" t="s">
        <v>390</v>
      </c>
      <c r="F658" s="313" t="s">
        <v>490</v>
      </c>
      <c r="G658" s="313" t="s">
        <v>491</v>
      </c>
      <c r="H658" s="313" t="s">
        <v>492</v>
      </c>
      <c r="I658" s="313" t="s">
        <v>519</v>
      </c>
      <c r="J658" s="313" t="s">
        <v>525</v>
      </c>
      <c r="K658" s="313" t="s">
        <v>419</v>
      </c>
      <c r="L658" s="313" t="s">
        <v>420</v>
      </c>
      <c r="M658" s="313" t="s">
        <v>493</v>
      </c>
      <c r="N658" s="313" t="s">
        <v>494</v>
      </c>
      <c r="O658" s="313" t="s">
        <v>495</v>
      </c>
      <c r="P658" s="313" t="s">
        <v>496</v>
      </c>
      <c r="Q658" s="313" t="s">
        <v>497</v>
      </c>
      <c r="R658" s="313" t="s">
        <v>498</v>
      </c>
      <c r="S658" s="313" t="s">
        <v>499</v>
      </c>
      <c r="T658" s="313" t="s">
        <v>500</v>
      </c>
      <c r="U658" s="313" t="s">
        <v>501</v>
      </c>
      <c r="V658" s="313" t="s">
        <v>502</v>
      </c>
      <c r="W658" s="313" t="s">
        <v>503</v>
      </c>
      <c r="X658" s="313" t="s">
        <v>504</v>
      </c>
      <c r="Y658" s="313" t="s">
        <v>505</v>
      </c>
      <c r="Z658" s="313" t="s">
        <v>506</v>
      </c>
      <c r="AA658" s="313" t="s">
        <v>507</v>
      </c>
      <c r="AB658" s="313" t="s">
        <v>508</v>
      </c>
      <c r="AC658" s="313" t="s">
        <v>509</v>
      </c>
      <c r="AD658" s="313" t="s">
        <v>510</v>
      </c>
      <c r="AE658" s="313" t="s">
        <v>511</v>
      </c>
      <c r="AF658" s="313" t="s">
        <v>512</v>
      </c>
      <c r="AG658" s="313" t="s">
        <v>513</v>
      </c>
      <c r="AH658" s="313" t="s">
        <v>514</v>
      </c>
      <c r="AI658" s="313" t="s">
        <v>515</v>
      </c>
      <c r="AJ658" s="313" t="s">
        <v>516</v>
      </c>
      <c r="AK658" s="313" t="s">
        <v>517</v>
      </c>
      <c r="AL658" s="313" t="s">
        <v>518</v>
      </c>
      <c r="AM658" s="313" t="s">
        <v>520</v>
      </c>
      <c r="AN658" s="313" t="s">
        <v>521</v>
      </c>
      <c r="AO658" s="313" t="s">
        <v>522</v>
      </c>
      <c r="AP658" s="313" t="s">
        <v>402</v>
      </c>
      <c r="AQ658" s="313" t="s">
        <v>523</v>
      </c>
      <c r="AR658" s="313" t="s">
        <v>524</v>
      </c>
      <c r="AS658" s="313" t="s">
        <v>526</v>
      </c>
      <c r="AT658" s="313" t="s">
        <v>527</v>
      </c>
      <c r="AU658" s="313" t="s">
        <v>528</v>
      </c>
      <c r="AV658" s="313" t="s">
        <v>529</v>
      </c>
      <c r="AW658" s="313" t="s">
        <v>530</v>
      </c>
      <c r="AX658" s="313" t="s">
        <v>531</v>
      </c>
      <c r="AY658" s="313" t="s">
        <v>532</v>
      </c>
      <c r="AZ658" s="313" t="s">
        <v>403</v>
      </c>
      <c r="BA658" s="313" t="s">
        <v>404</v>
      </c>
      <c r="BB658" s="313" t="s">
        <v>405</v>
      </c>
      <c r="BC658" s="313" t="s">
        <v>406</v>
      </c>
      <c r="BD658" s="313" t="s">
        <v>407</v>
      </c>
      <c r="BE658" s="313" t="s">
        <v>408</v>
      </c>
      <c r="BF658" s="313" t="s">
        <v>409</v>
      </c>
      <c r="BG658" s="353"/>
    </row>
    <row r="659" spans="2:59">
      <c r="B659" s="358"/>
      <c r="C659" s="312" t="s">
        <v>472</v>
      </c>
      <c r="D659" s="312" t="s">
        <v>574</v>
      </c>
      <c r="E659" s="312" t="s">
        <v>473</v>
      </c>
      <c r="F659" s="326" t="s">
        <v>474</v>
      </c>
      <c r="G659" s="326" t="s">
        <v>474</v>
      </c>
      <c r="H659" s="326" t="s">
        <v>474</v>
      </c>
      <c r="I659" s="326" t="s">
        <v>474</v>
      </c>
      <c r="J659" s="326" t="s">
        <v>476</v>
      </c>
      <c r="K659" s="326" t="s">
        <v>474</v>
      </c>
      <c r="L659" s="326" t="s">
        <v>474</v>
      </c>
      <c r="M659" s="326" t="s">
        <v>575</v>
      </c>
      <c r="N659" s="326" t="s">
        <v>575</v>
      </c>
      <c r="O659" s="326" t="s">
        <v>473</v>
      </c>
      <c r="P659" s="326" t="s">
        <v>576</v>
      </c>
      <c r="Q659" s="326" t="s">
        <v>474</v>
      </c>
      <c r="R659" s="326" t="s">
        <v>481</v>
      </c>
      <c r="S659" s="326" t="s">
        <v>476</v>
      </c>
      <c r="T659" s="326" t="s">
        <v>481</v>
      </c>
      <c r="U659" s="326" t="s">
        <v>476</v>
      </c>
      <c r="V659" s="326" t="s">
        <v>476</v>
      </c>
      <c r="W659" s="326" t="s">
        <v>474</v>
      </c>
      <c r="X659" s="326" t="s">
        <v>577</v>
      </c>
      <c r="Y659" s="326" t="s">
        <v>577</v>
      </c>
      <c r="Z659" s="326" t="s">
        <v>478</v>
      </c>
      <c r="AA659" s="326" t="s">
        <v>576</v>
      </c>
      <c r="AB659" s="326" t="s">
        <v>576</v>
      </c>
      <c r="AC659" s="326" t="s">
        <v>476</v>
      </c>
      <c r="AD659" s="326" t="s">
        <v>480</v>
      </c>
      <c r="AE659" s="326" t="s">
        <v>481</v>
      </c>
      <c r="AF659" s="326" t="s">
        <v>481</v>
      </c>
      <c r="AG659" s="326" t="s">
        <v>578</v>
      </c>
      <c r="AH659" s="326" t="s">
        <v>578</v>
      </c>
      <c r="AI659" s="326" t="s">
        <v>481</v>
      </c>
      <c r="AJ659" s="326" t="s">
        <v>481</v>
      </c>
      <c r="AK659" s="326" t="s">
        <v>578</v>
      </c>
      <c r="AL659" s="326" t="s">
        <v>578</v>
      </c>
      <c r="AM659" s="326" t="s">
        <v>474</v>
      </c>
      <c r="AN659" s="326" t="s">
        <v>474</v>
      </c>
      <c r="AO659" s="326" t="s">
        <v>474</v>
      </c>
      <c r="AP659" s="326" t="s">
        <v>478</v>
      </c>
      <c r="AQ659" s="326" t="s">
        <v>473</v>
      </c>
      <c r="AR659" s="326" t="s">
        <v>474</v>
      </c>
      <c r="AS659" s="326" t="s">
        <v>476</v>
      </c>
      <c r="AT659" s="326" t="s">
        <v>474</v>
      </c>
      <c r="AU659" s="326" t="s">
        <v>579</v>
      </c>
      <c r="AV659" s="326" t="s">
        <v>481</v>
      </c>
      <c r="AW659" s="326" t="s">
        <v>478</v>
      </c>
      <c r="AX659" s="326" t="s">
        <v>474</v>
      </c>
      <c r="AY659" s="326" t="s">
        <v>474</v>
      </c>
      <c r="AZ659" s="326" t="s">
        <v>485</v>
      </c>
      <c r="BA659" s="326" t="s">
        <v>486</v>
      </c>
      <c r="BB659" s="326" t="s">
        <v>488</v>
      </c>
      <c r="BC659" s="326" t="s">
        <v>488</v>
      </c>
      <c r="BD659" s="326" t="s">
        <v>486</v>
      </c>
      <c r="BE659" s="326" t="s">
        <v>488</v>
      </c>
      <c r="BF659" s="326" t="s">
        <v>488</v>
      </c>
      <c r="BG659" s="353"/>
    </row>
    <row r="660" spans="2:59" ht="14">
      <c r="B660" s="317" t="s">
        <v>412</v>
      </c>
      <c r="C660" s="327" t="s">
        <v>685</v>
      </c>
      <c r="D660" s="327" t="s">
        <v>630</v>
      </c>
      <c r="E660" s="327" t="s">
        <v>630</v>
      </c>
      <c r="F660" s="327" t="s">
        <v>439</v>
      </c>
      <c r="G660" s="413" t="s">
        <v>183</v>
      </c>
      <c r="H660" s="327" t="s">
        <v>411</v>
      </c>
      <c r="I660" s="327">
        <v>0</v>
      </c>
      <c r="J660" s="327">
        <v>30</v>
      </c>
      <c r="K660" s="327" t="s">
        <v>183</v>
      </c>
      <c r="L660" s="420" t="s">
        <v>600</v>
      </c>
      <c r="M660" s="327" t="s">
        <v>156</v>
      </c>
      <c r="N660" s="327" t="s">
        <v>156</v>
      </c>
      <c r="O660" s="327" t="s">
        <v>584</v>
      </c>
      <c r="P660" s="327" t="s">
        <v>156</v>
      </c>
      <c r="Q660" s="327" t="s">
        <v>585</v>
      </c>
      <c r="R660" s="327" t="s">
        <v>183</v>
      </c>
      <c r="S660" s="327" t="s">
        <v>411</v>
      </c>
      <c r="T660" s="327" t="s">
        <v>581</v>
      </c>
      <c r="U660" s="327" t="s">
        <v>582</v>
      </c>
      <c r="V660" s="327" t="s">
        <v>586</v>
      </c>
      <c r="W660" s="327" t="s">
        <v>183</v>
      </c>
      <c r="X660" s="327" t="s">
        <v>411</v>
      </c>
      <c r="Y660" s="327" t="s">
        <v>411</v>
      </c>
      <c r="Z660" s="327"/>
      <c r="AA660" s="327"/>
      <c r="AB660" s="327" t="s">
        <v>587</v>
      </c>
      <c r="AC660" s="327">
        <v>5000</v>
      </c>
      <c r="AD660" s="327">
        <v>99999999</v>
      </c>
      <c r="AE660" s="327">
        <v>0</v>
      </c>
      <c r="AF660" s="327">
        <v>2</v>
      </c>
      <c r="AG660" s="327">
        <v>0</v>
      </c>
      <c r="AH660" s="327">
        <v>0</v>
      </c>
      <c r="AI660" s="327">
        <v>0</v>
      </c>
      <c r="AJ660" s="327">
        <v>0</v>
      </c>
      <c r="AK660" s="327">
        <v>0</v>
      </c>
      <c r="AL660" s="327">
        <v>0</v>
      </c>
      <c r="AM660" s="327">
        <v>1</v>
      </c>
      <c r="AN660" s="327">
        <v>0</v>
      </c>
      <c r="AO660" s="327">
        <v>0</v>
      </c>
      <c r="AP660" s="327">
        <v>1</v>
      </c>
      <c r="AQ660" s="327">
        <v>1111</v>
      </c>
      <c r="AR660" s="327" t="s">
        <v>583</v>
      </c>
      <c r="AS660" s="327">
        <v>10</v>
      </c>
      <c r="AT660" s="327">
        <v>1</v>
      </c>
      <c r="AU660" s="327">
        <v>0</v>
      </c>
      <c r="AV660" s="327">
        <v>0</v>
      </c>
      <c r="AW660" s="327">
        <v>0</v>
      </c>
      <c r="AX660" s="327">
        <v>0</v>
      </c>
      <c r="AY660" s="327">
        <v>1</v>
      </c>
      <c r="AZ660" s="327">
        <v>0</v>
      </c>
      <c r="BA660" s="327">
        <v>40640.750486111108</v>
      </c>
      <c r="BB660" s="327">
        <v>470195</v>
      </c>
      <c r="BC660" s="327">
        <v>470195</v>
      </c>
      <c r="BD660" s="327">
        <v>45392.67769675926</v>
      </c>
      <c r="BE660" s="327">
        <v>363363</v>
      </c>
      <c r="BF660" s="327">
        <v>363363</v>
      </c>
      <c r="BG660" s="353"/>
    </row>
    <row r="661" spans="2:59" ht="14">
      <c r="B661" s="315" t="s">
        <v>410</v>
      </c>
      <c r="C661" s="337" t="s">
        <v>645</v>
      </c>
      <c r="D661" s="338" t="s">
        <v>630</v>
      </c>
      <c r="E661" s="338" t="s">
        <v>630</v>
      </c>
      <c r="F661" s="327" t="s">
        <v>454</v>
      </c>
      <c r="G661" s="327" t="s">
        <v>411</v>
      </c>
      <c r="H661" s="327" t="s">
        <v>411</v>
      </c>
      <c r="I661" s="327">
        <v>1</v>
      </c>
      <c r="J661" s="327">
        <v>0</v>
      </c>
      <c r="K661" s="327" t="s">
        <v>439</v>
      </c>
      <c r="L661" s="327" t="s">
        <v>439</v>
      </c>
      <c r="M661" s="327" t="s">
        <v>156</v>
      </c>
      <c r="N661" s="327" t="s">
        <v>156</v>
      </c>
      <c r="O661" s="327" t="s">
        <v>156</v>
      </c>
      <c r="P661" s="327" t="s">
        <v>156</v>
      </c>
      <c r="Q661" s="327" t="s">
        <v>580</v>
      </c>
      <c r="R661" s="327" t="s">
        <v>411</v>
      </c>
      <c r="S661" s="327" t="s">
        <v>411</v>
      </c>
      <c r="T661" s="327" t="s">
        <v>581</v>
      </c>
      <c r="U661" s="327" t="s">
        <v>582</v>
      </c>
      <c r="V661" s="327" t="s">
        <v>183</v>
      </c>
      <c r="W661" s="327" t="s">
        <v>183</v>
      </c>
      <c r="X661" s="327" t="s">
        <v>411</v>
      </c>
      <c r="Y661" s="327" t="s">
        <v>411</v>
      </c>
      <c r="Z661" s="327"/>
      <c r="AA661" s="327"/>
      <c r="AB661" s="327" t="s">
        <v>156</v>
      </c>
      <c r="AC661" s="327">
        <v>1</v>
      </c>
      <c r="AD661" s="327">
        <v>99999999</v>
      </c>
      <c r="AE661" s="327">
        <v>0</v>
      </c>
      <c r="AF661" s="327">
        <v>0</v>
      </c>
      <c r="AG661" s="327">
        <v>0</v>
      </c>
      <c r="AH661" s="327">
        <v>0</v>
      </c>
      <c r="AI661" s="327">
        <v>0</v>
      </c>
      <c r="AJ661" s="327">
        <v>0</v>
      </c>
      <c r="AK661" s="327">
        <v>0</v>
      </c>
      <c r="AL661" s="327">
        <v>0</v>
      </c>
      <c r="AM661" s="327">
        <v>1</v>
      </c>
      <c r="AN661" s="327">
        <v>0</v>
      </c>
      <c r="AO661" s="327">
        <v>0</v>
      </c>
      <c r="AP661" s="327">
        <v>1</v>
      </c>
      <c r="AQ661" s="327" t="s">
        <v>156</v>
      </c>
      <c r="AR661" s="327" t="s">
        <v>583</v>
      </c>
      <c r="AS661" s="327">
        <v>0</v>
      </c>
      <c r="AT661" s="327">
        <v>1</v>
      </c>
      <c r="AU661" s="327">
        <v>0</v>
      </c>
      <c r="AV661" s="327">
        <v>0</v>
      </c>
      <c r="AW661" s="327">
        <v>0</v>
      </c>
      <c r="AX661" s="327">
        <v>0</v>
      </c>
      <c r="AY661" s="327">
        <v>1</v>
      </c>
      <c r="AZ661" s="327">
        <v>0</v>
      </c>
      <c r="BA661" s="327">
        <v>29705</v>
      </c>
      <c r="BB661" s="327" t="s">
        <v>445</v>
      </c>
      <c r="BC661" s="327" t="s">
        <v>445</v>
      </c>
      <c r="BD661" s="327">
        <v>39993.705960648149</v>
      </c>
      <c r="BE661" s="327">
        <v>375901</v>
      </c>
      <c r="BF661" s="327">
        <v>375901</v>
      </c>
      <c r="BG661" s="353"/>
    </row>
    <row r="662" spans="2:59" ht="14">
      <c r="B662" s="315" t="s">
        <v>410</v>
      </c>
      <c r="C662" s="337" t="s">
        <v>659</v>
      </c>
      <c r="D662" s="338" t="s">
        <v>630</v>
      </c>
      <c r="E662" s="338" t="s">
        <v>630</v>
      </c>
      <c r="F662" s="327" t="s">
        <v>454</v>
      </c>
      <c r="G662" s="327" t="s">
        <v>411</v>
      </c>
      <c r="H662" s="327" t="s">
        <v>411</v>
      </c>
      <c r="I662" s="327">
        <v>1</v>
      </c>
      <c r="J662" s="327">
        <v>0</v>
      </c>
      <c r="K662" s="327" t="s">
        <v>439</v>
      </c>
      <c r="L662" s="327" t="s">
        <v>439</v>
      </c>
      <c r="M662" s="327" t="s">
        <v>156</v>
      </c>
      <c r="N662" s="327" t="s">
        <v>156</v>
      </c>
      <c r="O662" s="327" t="s">
        <v>156</v>
      </c>
      <c r="P662" s="327" t="s">
        <v>156</v>
      </c>
      <c r="Q662" s="327" t="s">
        <v>580</v>
      </c>
      <c r="R662" s="327" t="s">
        <v>411</v>
      </c>
      <c r="S662" s="327" t="s">
        <v>411</v>
      </c>
      <c r="T662" s="327" t="s">
        <v>581</v>
      </c>
      <c r="U662" s="327" t="s">
        <v>582</v>
      </c>
      <c r="V662" s="327" t="s">
        <v>183</v>
      </c>
      <c r="W662" s="327" t="s">
        <v>183</v>
      </c>
      <c r="X662" s="327" t="s">
        <v>411</v>
      </c>
      <c r="Y662" s="327" t="s">
        <v>411</v>
      </c>
      <c r="Z662" s="327"/>
      <c r="AA662" s="327"/>
      <c r="AB662" s="327" t="s">
        <v>156</v>
      </c>
      <c r="AC662" s="327">
        <v>1</v>
      </c>
      <c r="AD662" s="327">
        <v>99999999</v>
      </c>
      <c r="AE662" s="327">
        <v>0</v>
      </c>
      <c r="AF662" s="327">
        <v>0</v>
      </c>
      <c r="AG662" s="327">
        <v>0</v>
      </c>
      <c r="AH662" s="327">
        <v>0</v>
      </c>
      <c r="AI662" s="327">
        <v>0</v>
      </c>
      <c r="AJ662" s="327">
        <v>0</v>
      </c>
      <c r="AK662" s="327">
        <v>0</v>
      </c>
      <c r="AL662" s="327">
        <v>0</v>
      </c>
      <c r="AM662" s="327">
        <v>1</v>
      </c>
      <c r="AN662" s="327">
        <v>0</v>
      </c>
      <c r="AO662" s="327">
        <v>0</v>
      </c>
      <c r="AP662" s="327">
        <v>1</v>
      </c>
      <c r="AQ662" s="327" t="s">
        <v>156</v>
      </c>
      <c r="AR662" s="327" t="s">
        <v>583</v>
      </c>
      <c r="AS662" s="327">
        <v>0</v>
      </c>
      <c r="AT662" s="327">
        <v>1</v>
      </c>
      <c r="AU662" s="327">
        <v>0</v>
      </c>
      <c r="AV662" s="327">
        <v>0</v>
      </c>
      <c r="AW662" s="327">
        <v>0</v>
      </c>
      <c r="AX662" s="327">
        <v>0</v>
      </c>
      <c r="AY662" s="327">
        <v>1</v>
      </c>
      <c r="AZ662" s="327">
        <v>0</v>
      </c>
      <c r="BA662" s="327">
        <v>31819</v>
      </c>
      <c r="BB662" s="327" t="s">
        <v>445</v>
      </c>
      <c r="BC662" s="327" t="s">
        <v>445</v>
      </c>
      <c r="BD662" s="327">
        <v>45636.056898148148</v>
      </c>
      <c r="BE662" s="327" t="s">
        <v>643</v>
      </c>
      <c r="BF662" s="327" t="s">
        <v>643</v>
      </c>
      <c r="BG662" s="353"/>
    </row>
    <row r="663" spans="2:59" ht="15">
      <c r="B663" s="315" t="s">
        <v>410</v>
      </c>
      <c r="C663" s="337" t="s">
        <v>684</v>
      </c>
      <c r="D663" s="327" t="s">
        <v>438</v>
      </c>
      <c r="E663" s="327" t="s">
        <v>438</v>
      </c>
      <c r="F663" s="328" t="s">
        <v>454</v>
      </c>
      <c r="G663" s="327" t="s">
        <v>411</v>
      </c>
      <c r="H663" s="327" t="s">
        <v>411</v>
      </c>
      <c r="I663" s="330">
        <v>1</v>
      </c>
      <c r="J663" s="331">
        <v>0</v>
      </c>
      <c r="K663" s="327" t="s">
        <v>439</v>
      </c>
      <c r="L663" s="327" t="s">
        <v>439</v>
      </c>
      <c r="M663" s="327" t="s">
        <v>156</v>
      </c>
      <c r="N663" s="327" t="s">
        <v>156</v>
      </c>
      <c r="O663" s="327" t="s">
        <v>156</v>
      </c>
      <c r="P663" s="327" t="s">
        <v>156</v>
      </c>
      <c r="Q663" s="329" t="s">
        <v>580</v>
      </c>
      <c r="R663" s="327" t="s">
        <v>411</v>
      </c>
      <c r="S663" s="327" t="s">
        <v>411</v>
      </c>
      <c r="T663" s="327" t="s">
        <v>581</v>
      </c>
      <c r="U663" s="327" t="s">
        <v>582</v>
      </c>
      <c r="V663" s="327" t="s">
        <v>183</v>
      </c>
      <c r="W663" s="327" t="s">
        <v>183</v>
      </c>
      <c r="X663" s="327" t="s">
        <v>411</v>
      </c>
      <c r="Y663" s="327" t="s">
        <v>411</v>
      </c>
      <c r="Z663" s="327"/>
      <c r="AA663" s="330"/>
      <c r="AB663" s="330" t="s">
        <v>156</v>
      </c>
      <c r="AC663" s="330">
        <v>1</v>
      </c>
      <c r="AD663" s="330">
        <v>99999999</v>
      </c>
      <c r="AE663" s="327" t="s">
        <v>411</v>
      </c>
      <c r="AF663" s="327" t="s">
        <v>411</v>
      </c>
      <c r="AG663" s="327" t="s">
        <v>411</v>
      </c>
      <c r="AH663" s="327" t="s">
        <v>411</v>
      </c>
      <c r="AI663" s="330">
        <v>0</v>
      </c>
      <c r="AJ663" s="330">
        <v>0</v>
      </c>
      <c r="AK663" s="330">
        <v>0</v>
      </c>
      <c r="AL663" s="330">
        <v>0</v>
      </c>
      <c r="AM663" s="327" t="s">
        <v>183</v>
      </c>
      <c r="AN663" s="330">
        <v>0</v>
      </c>
      <c r="AO663" s="327" t="s">
        <v>411</v>
      </c>
      <c r="AP663" s="330">
        <v>1</v>
      </c>
      <c r="AQ663" s="331" t="s">
        <v>156</v>
      </c>
      <c r="AR663" s="331" t="s">
        <v>583</v>
      </c>
      <c r="AS663" s="331">
        <v>0</v>
      </c>
      <c r="AT663" s="331">
        <v>1</v>
      </c>
      <c r="AU663" s="331">
        <v>0</v>
      </c>
      <c r="AV663" s="331">
        <v>0</v>
      </c>
      <c r="AW663" s="331">
        <v>0</v>
      </c>
      <c r="AX663" s="331">
        <v>0</v>
      </c>
      <c r="AY663" s="331">
        <v>1</v>
      </c>
      <c r="AZ663" s="331">
        <v>0</v>
      </c>
      <c r="BA663" s="332">
        <v>29705</v>
      </c>
      <c r="BB663" s="331" t="s">
        <v>445</v>
      </c>
      <c r="BC663" s="331" t="s">
        <v>445</v>
      </c>
      <c r="BD663" s="332">
        <v>36413</v>
      </c>
      <c r="BE663" s="331" t="s">
        <v>445</v>
      </c>
      <c r="BF663" s="331" t="s">
        <v>445</v>
      </c>
      <c r="BG663" s="353"/>
    </row>
    <row r="664" spans="2:59">
      <c r="B664" s="358"/>
      <c r="BG664" s="353"/>
    </row>
    <row r="665" spans="2:59" ht="14">
      <c r="B665" s="358"/>
      <c r="C665" s="359" t="s">
        <v>153</v>
      </c>
      <c r="BG665" s="353"/>
    </row>
    <row r="666" spans="2:59" ht="14">
      <c r="B666" s="358"/>
      <c r="C666" s="359" t="s">
        <v>154</v>
      </c>
      <c r="D666" s="359" t="s">
        <v>155</v>
      </c>
      <c r="E666" s="359" t="s">
        <v>157</v>
      </c>
      <c r="F666" s="359" t="s">
        <v>158</v>
      </c>
      <c r="G666" s="359" t="s">
        <v>356</v>
      </c>
      <c r="H666" s="359" t="s">
        <v>357</v>
      </c>
      <c r="I666" s="359" t="s">
        <v>358</v>
      </c>
      <c r="J666" s="359" t="s">
        <v>359</v>
      </c>
      <c r="K666" s="359" t="s">
        <v>360</v>
      </c>
      <c r="L666" s="359" t="s">
        <v>361</v>
      </c>
      <c r="M666" s="359" t="s">
        <v>362</v>
      </c>
      <c r="BG666" s="353"/>
    </row>
    <row r="667" spans="2:59" ht="14">
      <c r="B667" s="358"/>
      <c r="C667" s="359">
        <v>-2</v>
      </c>
      <c r="D667" s="359" t="s">
        <v>156</v>
      </c>
      <c r="E667" s="359" t="s">
        <v>772</v>
      </c>
      <c r="F667" s="359" t="s">
        <v>726</v>
      </c>
      <c r="G667" s="359" t="s">
        <v>623</v>
      </c>
      <c r="H667" s="359" t="s">
        <v>156</v>
      </c>
      <c r="I667" s="359" t="s">
        <v>156</v>
      </c>
      <c r="J667" s="359" t="s">
        <v>156</v>
      </c>
      <c r="K667" s="359" t="s">
        <v>156</v>
      </c>
      <c r="L667" s="359">
        <v>0</v>
      </c>
      <c r="M667" s="359" t="s">
        <v>156</v>
      </c>
      <c r="BG667" s="353"/>
    </row>
    <row r="668" spans="2:59" ht="13.5" thickBot="1">
      <c r="B668" s="358"/>
      <c r="BG668" s="353"/>
    </row>
    <row r="669" spans="2:59" ht="15" thickBot="1">
      <c r="B669" s="299" t="s">
        <v>727</v>
      </c>
      <c r="C669" s="300" t="s">
        <v>728</v>
      </c>
      <c r="D669" s="300"/>
      <c r="E669" s="300"/>
      <c r="F669" s="300"/>
      <c r="G669" s="300"/>
      <c r="H669" s="300"/>
      <c r="I669" s="300"/>
      <c r="J669" s="300"/>
      <c r="K669" s="300"/>
      <c r="L669" s="300"/>
      <c r="M669" s="300"/>
      <c r="N669" s="300"/>
      <c r="O669" s="300"/>
      <c r="P669" s="300"/>
      <c r="Q669" s="300"/>
      <c r="R669" s="300"/>
      <c r="S669" s="300"/>
      <c r="T669" s="300"/>
      <c r="U669" s="300"/>
      <c r="V669" s="300"/>
      <c r="W669" s="300"/>
      <c r="X669" s="300"/>
      <c r="Y669" s="300"/>
      <c r="Z669" s="300"/>
      <c r="AA669" s="300"/>
      <c r="AB669" s="300"/>
      <c r="AC669" s="300"/>
      <c r="AD669" s="300"/>
      <c r="AE669" s="300"/>
      <c r="AF669" s="300"/>
      <c r="AG669" s="300"/>
      <c r="AH669" s="300"/>
      <c r="AI669" s="300"/>
      <c r="AJ669" s="300"/>
      <c r="AK669" s="300"/>
      <c r="AL669" s="300"/>
      <c r="AM669" s="300"/>
      <c r="AN669" s="300"/>
      <c r="AO669" s="300"/>
      <c r="AP669" s="300"/>
      <c r="AQ669" s="300"/>
      <c r="AR669" s="300"/>
      <c r="AS669" s="300"/>
      <c r="AT669" s="300"/>
      <c r="AU669" s="300"/>
      <c r="AV669" s="300"/>
      <c r="AW669" s="300"/>
      <c r="AX669" s="300"/>
      <c r="AY669" s="300"/>
      <c r="AZ669" s="300"/>
      <c r="BA669" s="300"/>
      <c r="BB669" s="300"/>
      <c r="BC669" s="300"/>
      <c r="BD669" s="300"/>
      <c r="BE669" s="300"/>
      <c r="BF669" s="300"/>
      <c r="BG669" s="353"/>
    </row>
    <row r="670" spans="2:59" ht="14" thickBot="1">
      <c r="B670" s="335" t="s">
        <v>805</v>
      </c>
      <c r="C670" s="300" t="s">
        <v>615</v>
      </c>
      <c r="D670" s="300"/>
      <c r="E670" s="300"/>
      <c r="F670" s="300"/>
      <c r="G670" s="300"/>
      <c r="H670" s="300"/>
      <c r="I670" s="300"/>
      <c r="J670" s="300"/>
      <c r="K670" s="300"/>
      <c r="L670" s="300"/>
      <c r="M670" s="300"/>
      <c r="N670" s="300"/>
      <c r="O670" s="300"/>
      <c r="P670" s="300"/>
      <c r="Q670" s="300"/>
      <c r="R670" s="300"/>
      <c r="S670" s="300"/>
      <c r="T670" s="300"/>
      <c r="U670" s="300"/>
      <c r="V670" s="300"/>
      <c r="W670" s="300"/>
      <c r="X670" s="300"/>
      <c r="Y670" s="300"/>
      <c r="Z670" s="300"/>
      <c r="AA670" s="300"/>
      <c r="AB670" s="300"/>
      <c r="AC670" s="300"/>
      <c r="AD670" s="300"/>
      <c r="AE670" s="300"/>
      <c r="AF670" s="300"/>
      <c r="AG670" s="300"/>
      <c r="AH670" s="300"/>
      <c r="AI670" s="300"/>
      <c r="AJ670" s="300"/>
      <c r="AK670" s="300"/>
      <c r="AL670" s="300"/>
      <c r="AM670" s="300"/>
      <c r="AN670" s="300"/>
      <c r="AO670" s="300"/>
      <c r="AP670" s="300"/>
      <c r="AQ670" s="300"/>
      <c r="AR670" s="300"/>
      <c r="AS670" s="300"/>
      <c r="AT670" s="300"/>
      <c r="AU670" s="300"/>
      <c r="AV670" s="300"/>
      <c r="AW670" s="300"/>
      <c r="AX670" s="300"/>
      <c r="AY670" s="300"/>
      <c r="AZ670" s="300"/>
      <c r="BA670" s="300"/>
      <c r="BB670" s="300"/>
      <c r="BC670" s="300"/>
      <c r="BD670" s="300"/>
      <c r="BE670" s="300"/>
      <c r="BF670" s="300"/>
      <c r="BG670" s="353"/>
    </row>
    <row r="671" spans="2:59">
      <c r="B671" s="358"/>
      <c r="BG671" s="353"/>
    </row>
    <row r="672" spans="2:59" ht="13.5">
      <c r="B672" s="358"/>
      <c r="C672" s="356" t="s">
        <v>396</v>
      </c>
      <c r="BG672" s="353"/>
    </row>
    <row r="673" spans="2:59" ht="13.5">
      <c r="B673" s="358"/>
      <c r="C673" s="356" t="s">
        <v>729</v>
      </c>
      <c r="BG673" s="353"/>
    </row>
    <row r="674" spans="2:59">
      <c r="B674" s="358"/>
      <c r="BG674" s="353"/>
    </row>
    <row r="675" spans="2:59" ht="15">
      <c r="B675" s="301"/>
      <c r="C675" s="449" t="s">
        <v>436</v>
      </c>
      <c r="D675" s="450"/>
      <c r="E675" s="450"/>
      <c r="F675" s="451"/>
      <c r="G675" s="451"/>
      <c r="H675" s="451"/>
      <c r="I675" s="451"/>
      <c r="J675" s="451"/>
      <c r="K675" s="451"/>
      <c r="L675" s="451"/>
      <c r="M675" s="451"/>
      <c r="N675" s="451"/>
      <c r="O675" s="451"/>
      <c r="P675" s="451"/>
      <c r="Q675" s="451"/>
      <c r="R675" s="451"/>
      <c r="S675" s="451"/>
      <c r="T675" s="451"/>
      <c r="U675" s="451"/>
      <c r="V675" s="451"/>
      <c r="W675" s="451"/>
      <c r="X675" s="451"/>
      <c r="Y675" s="451"/>
      <c r="Z675" s="452"/>
      <c r="AA675" s="68"/>
      <c r="AB675" s="68"/>
      <c r="AC675" s="68"/>
      <c r="AD675" s="68"/>
      <c r="BG675" s="353"/>
    </row>
    <row r="676" spans="2:59" ht="15">
      <c r="B676" s="301"/>
      <c r="C676" s="322"/>
      <c r="D676" s="322"/>
      <c r="E676" s="322"/>
      <c r="F676" s="319" t="s">
        <v>169</v>
      </c>
      <c r="G676" s="319" t="s">
        <v>169</v>
      </c>
      <c r="H676" s="319" t="s">
        <v>169</v>
      </c>
      <c r="I676" s="319"/>
      <c r="J676" s="319"/>
      <c r="K676" s="319"/>
      <c r="L676" s="319"/>
      <c r="M676" s="319"/>
      <c r="N676" s="319"/>
      <c r="O676" s="319"/>
      <c r="P676" s="319"/>
      <c r="Q676" s="319"/>
      <c r="R676" s="319"/>
      <c r="S676" s="319"/>
      <c r="T676" s="319"/>
      <c r="U676" s="319"/>
      <c r="V676" s="319"/>
      <c r="W676" s="319"/>
      <c r="X676" s="319"/>
      <c r="Y676" s="319"/>
      <c r="Z676" s="319"/>
      <c r="AA676" s="319"/>
      <c r="AB676" s="319"/>
      <c r="AC676" s="319"/>
      <c r="AD676" s="319"/>
      <c r="BG676" s="353"/>
    </row>
    <row r="677" spans="2:59" ht="13.5">
      <c r="B677" s="301"/>
      <c r="C677" s="312" t="s">
        <v>172</v>
      </c>
      <c r="D677" s="312" t="s">
        <v>173</v>
      </c>
      <c r="E677" s="312" t="s">
        <v>174</v>
      </c>
      <c r="F677" s="314" t="s">
        <v>91</v>
      </c>
      <c r="G677" s="314" t="s">
        <v>67</v>
      </c>
      <c r="H677" s="314" t="s">
        <v>69</v>
      </c>
      <c r="I677" s="314" t="s">
        <v>457</v>
      </c>
      <c r="J677" s="314" t="s">
        <v>458</v>
      </c>
      <c r="K677" s="314" t="s">
        <v>459</v>
      </c>
      <c r="L677" s="314" t="s">
        <v>460</v>
      </c>
      <c r="M677" s="314" t="s">
        <v>461</v>
      </c>
      <c r="N677" s="314" t="s">
        <v>462</v>
      </c>
      <c r="O677" s="314" t="s">
        <v>463</v>
      </c>
      <c r="P677" s="314" t="s">
        <v>464</v>
      </c>
      <c r="Q677" s="314" t="s">
        <v>465</v>
      </c>
      <c r="R677" s="314" t="s">
        <v>466</v>
      </c>
      <c r="S677" s="314" t="s">
        <v>467</v>
      </c>
      <c r="T677" s="314" t="s">
        <v>468</v>
      </c>
      <c r="U677" s="314" t="s">
        <v>469</v>
      </c>
      <c r="V677" s="314" t="s">
        <v>470</v>
      </c>
      <c r="W677" s="314" t="s">
        <v>471</v>
      </c>
      <c r="X677" s="314" t="s">
        <v>397</v>
      </c>
      <c r="Y677" s="314" t="s">
        <v>398</v>
      </c>
      <c r="Z677" s="314" t="s">
        <v>399</v>
      </c>
      <c r="AA677" s="314" t="s">
        <v>400</v>
      </c>
      <c r="AB677" s="314" t="s">
        <v>151</v>
      </c>
      <c r="AC677" s="314" t="s">
        <v>152</v>
      </c>
      <c r="AD677" s="314" t="s">
        <v>401</v>
      </c>
      <c r="BG677" s="353"/>
    </row>
    <row r="678" spans="2:59" ht="13.5">
      <c r="B678" s="301"/>
      <c r="C678" s="312" t="s">
        <v>371</v>
      </c>
      <c r="D678" s="312" t="s">
        <v>381</v>
      </c>
      <c r="E678" s="312" t="s">
        <v>390</v>
      </c>
      <c r="F678" s="313" t="s">
        <v>418</v>
      </c>
      <c r="G678" s="313" t="s">
        <v>419</v>
      </c>
      <c r="H678" s="313" t="s">
        <v>421</v>
      </c>
      <c r="I678" s="313" t="s">
        <v>420</v>
      </c>
      <c r="J678" s="313" t="s">
        <v>422</v>
      </c>
      <c r="K678" s="313" t="s">
        <v>423</v>
      </c>
      <c r="L678" s="313" t="s">
        <v>424</v>
      </c>
      <c r="M678" s="313" t="s">
        <v>425</v>
      </c>
      <c r="N678" s="313" t="s">
        <v>426</v>
      </c>
      <c r="O678" s="313" t="s">
        <v>427</v>
      </c>
      <c r="P678" s="313" t="s">
        <v>428</v>
      </c>
      <c r="Q678" s="313" t="s">
        <v>429</v>
      </c>
      <c r="R678" s="313" t="s">
        <v>430</v>
      </c>
      <c r="S678" s="313" t="s">
        <v>431</v>
      </c>
      <c r="T678" s="313" t="s">
        <v>432</v>
      </c>
      <c r="U678" s="313" t="s">
        <v>433</v>
      </c>
      <c r="V678" s="313" t="s">
        <v>434</v>
      </c>
      <c r="W678" s="313" t="s">
        <v>435</v>
      </c>
      <c r="X678" s="313" t="s">
        <v>403</v>
      </c>
      <c r="Y678" s="313" t="s">
        <v>404</v>
      </c>
      <c r="Z678" s="313" t="s">
        <v>405</v>
      </c>
      <c r="AA678" s="313" t="s">
        <v>406</v>
      </c>
      <c r="AB678" s="313" t="s">
        <v>407</v>
      </c>
      <c r="AC678" s="313" t="s">
        <v>408</v>
      </c>
      <c r="AD678" s="313" t="s">
        <v>409</v>
      </c>
      <c r="BG678" s="353"/>
    </row>
    <row r="679" spans="2:59" ht="13.5">
      <c r="B679" s="317"/>
      <c r="C679" s="312" t="s">
        <v>472</v>
      </c>
      <c r="D679" s="312" t="s">
        <v>473</v>
      </c>
      <c r="E679" s="312" t="s">
        <v>473</v>
      </c>
      <c r="F679" s="314" t="s">
        <v>474</v>
      </c>
      <c r="G679" s="314" t="s">
        <v>474</v>
      </c>
      <c r="H679" s="314" t="s">
        <v>475</v>
      </c>
      <c r="I679" s="314" t="s">
        <v>474</v>
      </c>
      <c r="J679" s="314" t="s">
        <v>476</v>
      </c>
      <c r="K679" s="314" t="s">
        <v>477</v>
      </c>
      <c r="L679" s="313" t="s">
        <v>478</v>
      </c>
      <c r="M679" s="314" t="s">
        <v>478</v>
      </c>
      <c r="N679" s="314" t="s">
        <v>479</v>
      </c>
      <c r="O679" s="314" t="s">
        <v>474</v>
      </c>
      <c r="P679" s="314" t="s">
        <v>480</v>
      </c>
      <c r="Q679" s="314" t="s">
        <v>481</v>
      </c>
      <c r="R679" s="314" t="s">
        <v>480</v>
      </c>
      <c r="S679" s="314" t="s">
        <v>482</v>
      </c>
      <c r="T679" s="313" t="s">
        <v>483</v>
      </c>
      <c r="U679" s="314" t="s">
        <v>483</v>
      </c>
      <c r="V679" s="314" t="s">
        <v>484</v>
      </c>
      <c r="W679" s="314" t="s">
        <v>474</v>
      </c>
      <c r="X679" s="314" t="s">
        <v>485</v>
      </c>
      <c r="Y679" s="314" t="s">
        <v>487</v>
      </c>
      <c r="Z679" s="314" t="s">
        <v>488</v>
      </c>
      <c r="AA679" s="314" t="s">
        <v>488</v>
      </c>
      <c r="AB679" s="313" t="s">
        <v>486</v>
      </c>
      <c r="AC679" s="314" t="s">
        <v>488</v>
      </c>
      <c r="AD679" s="314" t="s">
        <v>488</v>
      </c>
      <c r="BG679" s="353"/>
    </row>
    <row r="680" spans="2:59" ht="25">
      <c r="B680" s="317" t="s">
        <v>412</v>
      </c>
      <c r="C680" s="316" t="s">
        <v>437</v>
      </c>
      <c r="D680" s="313" t="s">
        <v>438</v>
      </c>
      <c r="E680" s="314" t="s">
        <v>438</v>
      </c>
      <c r="F680" s="314" t="s">
        <v>183</v>
      </c>
      <c r="G680" s="314" t="s">
        <v>439</v>
      </c>
      <c r="H680" s="314" t="s">
        <v>184</v>
      </c>
      <c r="I680" s="314" t="s">
        <v>439</v>
      </c>
      <c r="J680" s="314" t="s">
        <v>440</v>
      </c>
      <c r="K680" s="314" t="s">
        <v>411</v>
      </c>
      <c r="L680" s="313" t="s">
        <v>156</v>
      </c>
      <c r="M680" s="314" t="s">
        <v>441</v>
      </c>
      <c r="N680" s="314"/>
      <c r="O680" s="314" t="s">
        <v>183</v>
      </c>
      <c r="P680" s="314" t="s">
        <v>156</v>
      </c>
      <c r="Q680" s="314" t="s">
        <v>442</v>
      </c>
      <c r="R680" s="314" t="s">
        <v>443</v>
      </c>
      <c r="S680" s="314"/>
      <c r="T680" s="313" t="s">
        <v>156</v>
      </c>
      <c r="U680" s="314" t="s">
        <v>156</v>
      </c>
      <c r="V680" s="314" t="s">
        <v>156</v>
      </c>
      <c r="W680" s="314"/>
      <c r="X680" s="314" t="s">
        <v>411</v>
      </c>
      <c r="Y680" s="314" t="s">
        <v>444</v>
      </c>
      <c r="Z680" s="314" t="s">
        <v>445</v>
      </c>
      <c r="AA680" s="314" t="s">
        <v>445</v>
      </c>
      <c r="AB680" s="313" t="s">
        <v>446</v>
      </c>
      <c r="AC680" s="314" t="s">
        <v>447</v>
      </c>
      <c r="AD680" s="314" t="s">
        <v>447</v>
      </c>
      <c r="BG680" s="353"/>
    </row>
    <row r="681" spans="2:59" ht="25">
      <c r="B681" s="315" t="s">
        <v>410</v>
      </c>
      <c r="C681" s="336" t="s">
        <v>437</v>
      </c>
      <c r="D681" s="326" t="s">
        <v>438</v>
      </c>
      <c r="E681" s="337" t="s">
        <v>182</v>
      </c>
      <c r="F681" s="311" t="s">
        <v>183</v>
      </c>
      <c r="G681" s="313" t="s">
        <v>439</v>
      </c>
      <c r="H681" s="311" t="s">
        <v>184</v>
      </c>
      <c r="I681" s="313" t="s">
        <v>439</v>
      </c>
      <c r="J681" s="311" t="s">
        <v>184</v>
      </c>
      <c r="K681" s="311" t="s">
        <v>411</v>
      </c>
      <c r="L681" s="326" t="s">
        <v>448</v>
      </c>
      <c r="M681" s="311" t="s">
        <v>441</v>
      </c>
      <c r="N681" s="311"/>
      <c r="O681" s="311" t="s">
        <v>411</v>
      </c>
      <c r="P681" s="311" t="s">
        <v>156</v>
      </c>
      <c r="Q681" s="311" t="s">
        <v>184</v>
      </c>
      <c r="R681" s="311" t="s">
        <v>449</v>
      </c>
      <c r="S681" s="311"/>
      <c r="T681" s="326" t="s">
        <v>156</v>
      </c>
      <c r="U681" s="311" t="s">
        <v>156</v>
      </c>
      <c r="V681" s="311" t="s">
        <v>156</v>
      </c>
      <c r="W681" s="311"/>
      <c r="X681" s="311" t="s">
        <v>411</v>
      </c>
      <c r="Y681" s="311" t="s">
        <v>450</v>
      </c>
      <c r="Z681" s="311" t="s">
        <v>451</v>
      </c>
      <c r="AA681" s="311">
        <v>470195</v>
      </c>
      <c r="AB681" s="326" t="s">
        <v>450</v>
      </c>
      <c r="AC681" s="311">
        <v>470195</v>
      </c>
      <c r="AD681" s="311" t="s">
        <v>451</v>
      </c>
      <c r="BG681" s="353"/>
    </row>
    <row r="682" spans="2:59" ht="14">
      <c r="B682" s="315" t="s">
        <v>410</v>
      </c>
      <c r="C682" s="337" t="s">
        <v>645</v>
      </c>
      <c r="D682" s="316" t="s">
        <v>438</v>
      </c>
      <c r="E682" s="316" t="s">
        <v>438</v>
      </c>
      <c r="F682" s="316" t="s">
        <v>183</v>
      </c>
      <c r="G682" s="316" t="s">
        <v>439</v>
      </c>
      <c r="H682" s="316" t="s">
        <v>184</v>
      </c>
      <c r="I682" s="316" t="s">
        <v>439</v>
      </c>
      <c r="J682" s="316" t="s">
        <v>646</v>
      </c>
      <c r="K682" s="316" t="s">
        <v>411</v>
      </c>
      <c r="L682" s="316" t="s">
        <v>156</v>
      </c>
      <c r="M682" s="316" t="s">
        <v>441</v>
      </c>
      <c r="N682" s="316"/>
      <c r="O682" s="316" t="s">
        <v>183</v>
      </c>
      <c r="P682" s="316" t="s">
        <v>156</v>
      </c>
      <c r="Q682" s="316" t="s">
        <v>442</v>
      </c>
      <c r="R682" s="316" t="s">
        <v>647</v>
      </c>
      <c r="S682" s="316"/>
      <c r="T682" s="316" t="s">
        <v>648</v>
      </c>
      <c r="U682" s="316" t="s">
        <v>649</v>
      </c>
      <c r="V682" s="316" t="s">
        <v>650</v>
      </c>
      <c r="W682" s="316"/>
      <c r="X682" s="316" t="s">
        <v>411</v>
      </c>
      <c r="Y682" s="316" t="s">
        <v>444</v>
      </c>
      <c r="Z682" s="316" t="s">
        <v>445</v>
      </c>
      <c r="AA682" s="316" t="s">
        <v>445</v>
      </c>
      <c r="AB682" s="316" t="s">
        <v>651</v>
      </c>
      <c r="AC682" s="316">
        <v>375901</v>
      </c>
      <c r="AD682" s="316" t="s">
        <v>652</v>
      </c>
      <c r="BG682" s="353"/>
    </row>
    <row r="683" spans="2:59" ht="14">
      <c r="B683" s="315" t="s">
        <v>410</v>
      </c>
      <c r="C683" s="337" t="s">
        <v>659</v>
      </c>
      <c r="D683" s="316" t="s">
        <v>438</v>
      </c>
      <c r="E683" s="316" t="s">
        <v>438</v>
      </c>
      <c r="F683" s="316" t="s">
        <v>183</v>
      </c>
      <c r="G683" s="316" t="s">
        <v>439</v>
      </c>
      <c r="H683" s="316" t="s">
        <v>184</v>
      </c>
      <c r="I683" s="316" t="s">
        <v>439</v>
      </c>
      <c r="J683" s="316" t="s">
        <v>653</v>
      </c>
      <c r="K683" s="316" t="s">
        <v>411</v>
      </c>
      <c r="L683" s="316" t="s">
        <v>654</v>
      </c>
      <c r="M683" s="316" t="s">
        <v>441</v>
      </c>
      <c r="N683" s="316"/>
      <c r="O683" s="316" t="s">
        <v>439</v>
      </c>
      <c r="P683" s="316" t="s">
        <v>156</v>
      </c>
      <c r="Q683" s="316" t="s">
        <v>655</v>
      </c>
      <c r="R683" s="316" t="s">
        <v>443</v>
      </c>
      <c r="S683" s="316"/>
      <c r="T683" s="316" t="s">
        <v>156</v>
      </c>
      <c r="U683" s="316" t="s">
        <v>156</v>
      </c>
      <c r="V683" s="316" t="s">
        <v>156</v>
      </c>
      <c r="W683" s="316"/>
      <c r="X683" s="316" t="s">
        <v>411</v>
      </c>
      <c r="Y683" s="316" t="s">
        <v>656</v>
      </c>
      <c r="Z683" s="316" t="s">
        <v>445</v>
      </c>
      <c r="AA683" s="316" t="s">
        <v>445</v>
      </c>
      <c r="AB683" s="316" t="s">
        <v>657</v>
      </c>
      <c r="AC683" s="316" t="s">
        <v>658</v>
      </c>
      <c r="AD683" s="316" t="s">
        <v>658</v>
      </c>
      <c r="BG683" s="353"/>
    </row>
    <row r="684" spans="2:59" ht="13.5">
      <c r="B684" s="301"/>
      <c r="C684" s="356"/>
      <c r="D684" s="356"/>
      <c r="E684" s="356"/>
      <c r="F684" s="356"/>
      <c r="G684" s="356"/>
      <c r="H684" s="356"/>
      <c r="I684" s="356"/>
      <c r="J684" s="356"/>
      <c r="M684" s="356"/>
      <c r="N684" s="356"/>
      <c r="O684" s="356"/>
      <c r="P684" s="356"/>
      <c r="Q684" s="356"/>
      <c r="R684" s="356"/>
      <c r="S684" s="356"/>
      <c r="T684" s="356"/>
      <c r="U684" s="356"/>
      <c r="V684" s="356"/>
      <c r="W684" s="356"/>
      <c r="X684" s="356"/>
      <c r="Y684" s="356"/>
      <c r="Z684" s="356"/>
      <c r="AA684" s="356"/>
      <c r="AB684" s="356"/>
      <c r="AC684" s="356"/>
      <c r="AD684" s="356"/>
      <c r="AE684" s="356"/>
      <c r="AF684" s="356"/>
      <c r="BG684" s="353"/>
    </row>
    <row r="685" spans="2:59" ht="15">
      <c r="B685" s="301"/>
      <c r="C685" s="457" t="s">
        <v>489</v>
      </c>
      <c r="D685" s="458"/>
      <c r="E685" s="458"/>
      <c r="F685" s="458"/>
      <c r="G685" s="458"/>
      <c r="H685" s="458"/>
      <c r="I685" s="458"/>
      <c r="J685" s="458"/>
      <c r="K685" s="458"/>
      <c r="L685" s="458"/>
      <c r="M685" s="458"/>
      <c r="N685" s="458"/>
      <c r="O685" s="458"/>
      <c r="P685" s="458"/>
      <c r="Q685" s="458"/>
      <c r="R685" s="458"/>
      <c r="S685" s="458"/>
      <c r="T685" s="458"/>
      <c r="U685" s="92"/>
      <c r="V685" s="92"/>
      <c r="W685" s="92"/>
      <c r="X685" s="92"/>
      <c r="Y685" s="92"/>
      <c r="Z685" s="92"/>
      <c r="AA685" s="93"/>
      <c r="AB685" s="93"/>
      <c r="AC685" s="93"/>
      <c r="AD685" s="93"/>
      <c r="AE685" s="93"/>
      <c r="AF685" s="93"/>
      <c r="AG685" s="93"/>
      <c r="AH685" s="93"/>
      <c r="AI685" s="93"/>
      <c r="AJ685" s="93"/>
      <c r="AK685" s="93"/>
      <c r="AL685" s="93"/>
      <c r="AM685" s="93"/>
      <c r="AN685" s="93"/>
      <c r="AO685" s="93"/>
      <c r="AP685" s="94"/>
      <c r="AQ685" s="94"/>
      <c r="AR685" s="94"/>
      <c r="AS685" s="94"/>
      <c r="AT685" s="94"/>
      <c r="AU685" s="94"/>
      <c r="AV685" s="94"/>
      <c r="AW685" s="94"/>
      <c r="AX685" s="94"/>
      <c r="AY685" s="94"/>
      <c r="AZ685" s="94"/>
      <c r="BA685" s="94"/>
      <c r="BB685" s="94"/>
      <c r="BC685" s="94"/>
      <c r="BD685" s="94"/>
      <c r="BE685" s="94"/>
      <c r="BF685" s="94"/>
      <c r="BG685" s="353"/>
    </row>
    <row r="686" spans="2:59" ht="15">
      <c r="B686" s="301"/>
      <c r="C686" s="322"/>
      <c r="D686" s="322"/>
      <c r="E686" s="322"/>
      <c r="F686" s="319" t="s">
        <v>169</v>
      </c>
      <c r="G686" s="319" t="s">
        <v>169</v>
      </c>
      <c r="H686" s="324" t="s">
        <v>169</v>
      </c>
      <c r="I686" s="319" t="s">
        <v>169</v>
      </c>
      <c r="J686" s="319" t="s">
        <v>169</v>
      </c>
      <c r="K686" s="324"/>
      <c r="L686" s="324"/>
      <c r="M686" s="324"/>
      <c r="N686" s="324"/>
      <c r="O686" s="324"/>
      <c r="P686" s="324"/>
      <c r="Q686" s="324"/>
      <c r="R686" s="324"/>
      <c r="S686" s="324"/>
      <c r="T686" s="324"/>
      <c r="U686" s="324"/>
      <c r="V686" s="324"/>
      <c r="W686" s="324"/>
      <c r="X686" s="324"/>
      <c r="Y686" s="324"/>
      <c r="Z686" s="324"/>
      <c r="AA686" s="325"/>
      <c r="AB686" s="325"/>
      <c r="AC686" s="325"/>
      <c r="AD686" s="325"/>
      <c r="AE686" s="325"/>
      <c r="AF686" s="325"/>
      <c r="AG686" s="325"/>
      <c r="AH686" s="325"/>
      <c r="AI686" s="325"/>
      <c r="AJ686" s="325"/>
      <c r="AK686" s="325"/>
      <c r="AL686" s="325"/>
      <c r="AM686" s="325"/>
      <c r="AN686" s="325"/>
      <c r="AO686" s="325"/>
      <c r="AP686" s="325"/>
      <c r="AQ686" s="325"/>
      <c r="AR686" s="325"/>
      <c r="AS686" s="325"/>
      <c r="AT686" s="325"/>
      <c r="AU686" s="325"/>
      <c r="AV686" s="325"/>
      <c r="AW686" s="325"/>
      <c r="AX686" s="325"/>
      <c r="AY686" s="325"/>
      <c r="AZ686" s="325"/>
      <c r="BA686" s="325"/>
      <c r="BB686" s="325"/>
      <c r="BC686" s="325"/>
      <c r="BD686" s="325"/>
      <c r="BE686" s="325"/>
      <c r="BF686" s="325"/>
      <c r="BG686" s="353"/>
    </row>
    <row r="687" spans="2:59" ht="25">
      <c r="B687" s="301"/>
      <c r="C687" s="312" t="s">
        <v>533</v>
      </c>
      <c r="D687" s="312" t="s">
        <v>588</v>
      </c>
      <c r="E687" s="312" t="s">
        <v>589</v>
      </c>
      <c r="F687" s="314" t="s">
        <v>96</v>
      </c>
      <c r="G687" s="314" t="s">
        <v>99</v>
      </c>
      <c r="H687" s="314" t="s">
        <v>130</v>
      </c>
      <c r="I687" s="314" t="s">
        <v>559</v>
      </c>
      <c r="J687" s="314" t="s">
        <v>127</v>
      </c>
      <c r="K687" s="314" t="s">
        <v>67</v>
      </c>
      <c r="L687" s="314" t="s">
        <v>456</v>
      </c>
      <c r="M687" s="314" t="s">
        <v>534</v>
      </c>
      <c r="N687" s="314" t="s">
        <v>535</v>
      </c>
      <c r="O687" s="314" t="s">
        <v>536</v>
      </c>
      <c r="P687" s="314" t="s">
        <v>537</v>
      </c>
      <c r="Q687" s="314" t="s">
        <v>538</v>
      </c>
      <c r="R687" s="314" t="s">
        <v>539</v>
      </c>
      <c r="S687" s="314" t="s">
        <v>540</v>
      </c>
      <c r="T687" s="314" t="s">
        <v>541</v>
      </c>
      <c r="U687" s="314" t="s">
        <v>542</v>
      </c>
      <c r="V687" s="314" t="s">
        <v>543</v>
      </c>
      <c r="W687" s="314" t="s">
        <v>544</v>
      </c>
      <c r="X687" s="314" t="s">
        <v>545</v>
      </c>
      <c r="Y687" s="314" t="s">
        <v>546</v>
      </c>
      <c r="Z687" s="314" t="s">
        <v>547</v>
      </c>
      <c r="AA687" s="314" t="s">
        <v>548</v>
      </c>
      <c r="AB687" s="314" t="s">
        <v>549</v>
      </c>
      <c r="AC687" s="314" t="s">
        <v>550</v>
      </c>
      <c r="AD687" s="314" t="s">
        <v>551</v>
      </c>
      <c r="AE687" s="314" t="s">
        <v>552</v>
      </c>
      <c r="AF687" s="314" t="s">
        <v>553</v>
      </c>
      <c r="AG687" s="314" t="s">
        <v>554</v>
      </c>
      <c r="AH687" s="314" t="s">
        <v>555</v>
      </c>
      <c r="AI687" s="314" t="s">
        <v>556</v>
      </c>
      <c r="AJ687" s="314" t="s">
        <v>558</v>
      </c>
      <c r="AK687" s="314" t="s">
        <v>557</v>
      </c>
      <c r="AL687" s="314" t="s">
        <v>566</v>
      </c>
      <c r="AM687" s="314" t="s">
        <v>560</v>
      </c>
      <c r="AN687" s="314" t="s">
        <v>561</v>
      </c>
      <c r="AO687" s="314" t="s">
        <v>562</v>
      </c>
      <c r="AP687" s="314" t="s">
        <v>563</v>
      </c>
      <c r="AQ687" s="314" t="s">
        <v>567</v>
      </c>
      <c r="AR687" s="314" t="s">
        <v>564</v>
      </c>
      <c r="AS687" s="314" t="s">
        <v>565</v>
      </c>
      <c r="AT687" s="314" t="s">
        <v>568</v>
      </c>
      <c r="AU687" s="314" t="s">
        <v>569</v>
      </c>
      <c r="AV687" s="314" t="s">
        <v>570</v>
      </c>
      <c r="AW687" s="314" t="s">
        <v>571</v>
      </c>
      <c r="AX687" s="314" t="s">
        <v>572</v>
      </c>
      <c r="AY687" s="314" t="s">
        <v>573</v>
      </c>
      <c r="AZ687" s="314" t="s">
        <v>397</v>
      </c>
      <c r="BA687" s="314" t="s">
        <v>398</v>
      </c>
      <c r="BB687" s="314" t="s">
        <v>399</v>
      </c>
      <c r="BC687" s="314" t="s">
        <v>400</v>
      </c>
      <c r="BD687" s="314" t="s">
        <v>151</v>
      </c>
      <c r="BE687" s="314" t="s">
        <v>152</v>
      </c>
      <c r="BF687" s="314" t="s">
        <v>688</v>
      </c>
      <c r="BG687" s="353"/>
    </row>
    <row r="688" spans="2:59">
      <c r="B688" s="358"/>
      <c r="C688" s="312" t="s">
        <v>371</v>
      </c>
      <c r="D688" s="312" t="s">
        <v>381</v>
      </c>
      <c r="E688" s="312" t="s">
        <v>390</v>
      </c>
      <c r="F688" s="313" t="s">
        <v>490</v>
      </c>
      <c r="G688" s="313" t="s">
        <v>491</v>
      </c>
      <c r="H688" s="313" t="s">
        <v>492</v>
      </c>
      <c r="I688" s="313" t="s">
        <v>519</v>
      </c>
      <c r="J688" s="313" t="s">
        <v>525</v>
      </c>
      <c r="K688" s="313" t="s">
        <v>419</v>
      </c>
      <c r="L688" s="313" t="s">
        <v>420</v>
      </c>
      <c r="M688" s="313" t="s">
        <v>493</v>
      </c>
      <c r="N688" s="313" t="s">
        <v>494</v>
      </c>
      <c r="O688" s="313" t="s">
        <v>495</v>
      </c>
      <c r="P688" s="313" t="s">
        <v>496</v>
      </c>
      <c r="Q688" s="313" t="s">
        <v>497</v>
      </c>
      <c r="R688" s="313" t="s">
        <v>498</v>
      </c>
      <c r="S688" s="313" t="s">
        <v>499</v>
      </c>
      <c r="T688" s="313" t="s">
        <v>500</v>
      </c>
      <c r="U688" s="313" t="s">
        <v>501</v>
      </c>
      <c r="V688" s="313" t="s">
        <v>502</v>
      </c>
      <c r="W688" s="313" t="s">
        <v>503</v>
      </c>
      <c r="X688" s="313" t="s">
        <v>504</v>
      </c>
      <c r="Y688" s="313" t="s">
        <v>505</v>
      </c>
      <c r="Z688" s="313" t="s">
        <v>506</v>
      </c>
      <c r="AA688" s="313" t="s">
        <v>507</v>
      </c>
      <c r="AB688" s="313" t="s">
        <v>508</v>
      </c>
      <c r="AC688" s="313" t="s">
        <v>509</v>
      </c>
      <c r="AD688" s="313" t="s">
        <v>510</v>
      </c>
      <c r="AE688" s="313" t="s">
        <v>511</v>
      </c>
      <c r="AF688" s="313" t="s">
        <v>512</v>
      </c>
      <c r="AG688" s="313" t="s">
        <v>513</v>
      </c>
      <c r="AH688" s="313" t="s">
        <v>514</v>
      </c>
      <c r="AI688" s="313" t="s">
        <v>515</v>
      </c>
      <c r="AJ688" s="313" t="s">
        <v>516</v>
      </c>
      <c r="AK688" s="313" t="s">
        <v>517</v>
      </c>
      <c r="AL688" s="313" t="s">
        <v>518</v>
      </c>
      <c r="AM688" s="313" t="s">
        <v>520</v>
      </c>
      <c r="AN688" s="313" t="s">
        <v>521</v>
      </c>
      <c r="AO688" s="313" t="s">
        <v>522</v>
      </c>
      <c r="AP688" s="313" t="s">
        <v>402</v>
      </c>
      <c r="AQ688" s="313" t="s">
        <v>523</v>
      </c>
      <c r="AR688" s="313" t="s">
        <v>524</v>
      </c>
      <c r="AS688" s="313" t="s">
        <v>526</v>
      </c>
      <c r="AT688" s="313" t="s">
        <v>527</v>
      </c>
      <c r="AU688" s="313" t="s">
        <v>528</v>
      </c>
      <c r="AV688" s="313" t="s">
        <v>529</v>
      </c>
      <c r="AW688" s="313" t="s">
        <v>530</v>
      </c>
      <c r="AX688" s="313" t="s">
        <v>531</v>
      </c>
      <c r="AY688" s="313" t="s">
        <v>532</v>
      </c>
      <c r="AZ688" s="313" t="s">
        <v>403</v>
      </c>
      <c r="BA688" s="313" t="s">
        <v>404</v>
      </c>
      <c r="BB688" s="313" t="s">
        <v>405</v>
      </c>
      <c r="BC688" s="313" t="s">
        <v>406</v>
      </c>
      <c r="BD688" s="313" t="s">
        <v>407</v>
      </c>
      <c r="BE688" s="313" t="s">
        <v>408</v>
      </c>
      <c r="BF688" s="313" t="s">
        <v>409</v>
      </c>
      <c r="BG688" s="353"/>
    </row>
    <row r="689" spans="2:59">
      <c r="B689" s="358"/>
      <c r="C689" s="312" t="s">
        <v>472</v>
      </c>
      <c r="D689" s="312" t="s">
        <v>574</v>
      </c>
      <c r="E689" s="312" t="s">
        <v>473</v>
      </c>
      <c r="F689" s="326" t="s">
        <v>474</v>
      </c>
      <c r="G689" s="326" t="s">
        <v>474</v>
      </c>
      <c r="H689" s="326" t="s">
        <v>474</v>
      </c>
      <c r="I689" s="326" t="s">
        <v>474</v>
      </c>
      <c r="J689" s="326" t="s">
        <v>476</v>
      </c>
      <c r="K689" s="326" t="s">
        <v>474</v>
      </c>
      <c r="L689" s="326" t="s">
        <v>474</v>
      </c>
      <c r="M689" s="326" t="s">
        <v>575</v>
      </c>
      <c r="N689" s="326" t="s">
        <v>575</v>
      </c>
      <c r="O689" s="326" t="s">
        <v>473</v>
      </c>
      <c r="P689" s="326" t="s">
        <v>576</v>
      </c>
      <c r="Q689" s="326" t="s">
        <v>474</v>
      </c>
      <c r="R689" s="326" t="s">
        <v>481</v>
      </c>
      <c r="S689" s="326" t="s">
        <v>476</v>
      </c>
      <c r="T689" s="326" t="s">
        <v>481</v>
      </c>
      <c r="U689" s="326" t="s">
        <v>476</v>
      </c>
      <c r="V689" s="326" t="s">
        <v>476</v>
      </c>
      <c r="W689" s="326" t="s">
        <v>474</v>
      </c>
      <c r="X689" s="326" t="s">
        <v>577</v>
      </c>
      <c r="Y689" s="326" t="s">
        <v>577</v>
      </c>
      <c r="Z689" s="326" t="s">
        <v>478</v>
      </c>
      <c r="AA689" s="326" t="s">
        <v>576</v>
      </c>
      <c r="AB689" s="326" t="s">
        <v>576</v>
      </c>
      <c r="AC689" s="326" t="s">
        <v>476</v>
      </c>
      <c r="AD689" s="326" t="s">
        <v>480</v>
      </c>
      <c r="AE689" s="326" t="s">
        <v>481</v>
      </c>
      <c r="AF689" s="326" t="s">
        <v>481</v>
      </c>
      <c r="AG689" s="326" t="s">
        <v>578</v>
      </c>
      <c r="AH689" s="326" t="s">
        <v>578</v>
      </c>
      <c r="AI689" s="326" t="s">
        <v>481</v>
      </c>
      <c r="AJ689" s="326" t="s">
        <v>481</v>
      </c>
      <c r="AK689" s="326" t="s">
        <v>578</v>
      </c>
      <c r="AL689" s="326" t="s">
        <v>578</v>
      </c>
      <c r="AM689" s="326" t="s">
        <v>474</v>
      </c>
      <c r="AN689" s="326" t="s">
        <v>474</v>
      </c>
      <c r="AO689" s="326" t="s">
        <v>474</v>
      </c>
      <c r="AP689" s="326" t="s">
        <v>478</v>
      </c>
      <c r="AQ689" s="326" t="s">
        <v>473</v>
      </c>
      <c r="AR689" s="326" t="s">
        <v>474</v>
      </c>
      <c r="AS689" s="326" t="s">
        <v>476</v>
      </c>
      <c r="AT689" s="326" t="s">
        <v>474</v>
      </c>
      <c r="AU689" s="326" t="s">
        <v>579</v>
      </c>
      <c r="AV689" s="326" t="s">
        <v>481</v>
      </c>
      <c r="AW689" s="326" t="s">
        <v>478</v>
      </c>
      <c r="AX689" s="326" t="s">
        <v>474</v>
      </c>
      <c r="AY689" s="326" t="s">
        <v>474</v>
      </c>
      <c r="AZ689" s="326" t="s">
        <v>485</v>
      </c>
      <c r="BA689" s="326" t="s">
        <v>486</v>
      </c>
      <c r="BB689" s="326" t="s">
        <v>488</v>
      </c>
      <c r="BC689" s="326" t="s">
        <v>488</v>
      </c>
      <c r="BD689" s="326" t="s">
        <v>486</v>
      </c>
      <c r="BE689" s="326" t="s">
        <v>488</v>
      </c>
      <c r="BF689" s="326" t="s">
        <v>488</v>
      </c>
      <c r="BG689" s="353"/>
    </row>
    <row r="690" spans="2:59" ht="15">
      <c r="B690" s="317" t="s">
        <v>412</v>
      </c>
      <c r="C690" s="327" t="s">
        <v>437</v>
      </c>
      <c r="D690" s="327" t="s">
        <v>438</v>
      </c>
      <c r="E690" s="327" t="s">
        <v>438</v>
      </c>
      <c r="F690" s="328" t="s">
        <v>454</v>
      </c>
      <c r="G690" s="413" t="s">
        <v>411</v>
      </c>
      <c r="H690" s="327" t="s">
        <v>411</v>
      </c>
      <c r="I690" s="330">
        <v>1</v>
      </c>
      <c r="J690" s="331">
        <v>0</v>
      </c>
      <c r="K690" s="327" t="s">
        <v>439</v>
      </c>
      <c r="L690" s="327" t="s">
        <v>439</v>
      </c>
      <c r="M690" s="327" t="s">
        <v>156</v>
      </c>
      <c r="N690" s="327" t="s">
        <v>156</v>
      </c>
      <c r="O690" s="327" t="s">
        <v>156</v>
      </c>
      <c r="P690" s="327" t="s">
        <v>156</v>
      </c>
      <c r="Q690" s="329" t="s">
        <v>580</v>
      </c>
      <c r="R690" s="327" t="s">
        <v>411</v>
      </c>
      <c r="S690" s="327" t="s">
        <v>411</v>
      </c>
      <c r="T690" s="327" t="s">
        <v>581</v>
      </c>
      <c r="U690" s="327" t="s">
        <v>582</v>
      </c>
      <c r="V690" s="327" t="s">
        <v>183</v>
      </c>
      <c r="W690" s="327" t="s">
        <v>183</v>
      </c>
      <c r="X690" s="327" t="s">
        <v>411</v>
      </c>
      <c r="Y690" s="327" t="s">
        <v>411</v>
      </c>
      <c r="Z690" s="327"/>
      <c r="AA690" s="330"/>
      <c r="AB690" s="330" t="s">
        <v>156</v>
      </c>
      <c r="AC690" s="330">
        <v>1</v>
      </c>
      <c r="AD690" s="330">
        <v>99999999</v>
      </c>
      <c r="AE690" s="327" t="s">
        <v>411</v>
      </c>
      <c r="AF690" s="327" t="s">
        <v>411</v>
      </c>
      <c r="AG690" s="327" t="s">
        <v>411</v>
      </c>
      <c r="AH690" s="327" t="s">
        <v>411</v>
      </c>
      <c r="AI690" s="330">
        <v>0</v>
      </c>
      <c r="AJ690" s="330">
        <v>0</v>
      </c>
      <c r="AK690" s="330">
        <v>0</v>
      </c>
      <c r="AL690" s="330">
        <v>0</v>
      </c>
      <c r="AM690" s="327" t="s">
        <v>183</v>
      </c>
      <c r="AN690" s="330">
        <v>0</v>
      </c>
      <c r="AO690" s="327" t="s">
        <v>411</v>
      </c>
      <c r="AP690" s="330">
        <v>1</v>
      </c>
      <c r="AQ690" s="331" t="s">
        <v>156</v>
      </c>
      <c r="AR690" s="331" t="s">
        <v>583</v>
      </c>
      <c r="AS690" s="331">
        <v>0</v>
      </c>
      <c r="AT690" s="331">
        <v>1</v>
      </c>
      <c r="AU690" s="331">
        <v>0</v>
      </c>
      <c r="AV690" s="331">
        <v>0</v>
      </c>
      <c r="AW690" s="331">
        <v>0</v>
      </c>
      <c r="AX690" s="331">
        <v>0</v>
      </c>
      <c r="AY690" s="331">
        <v>1</v>
      </c>
      <c r="AZ690" s="331">
        <v>0</v>
      </c>
      <c r="BA690" s="332">
        <v>29705</v>
      </c>
      <c r="BB690" s="331" t="s">
        <v>445</v>
      </c>
      <c r="BC690" s="331" t="s">
        <v>445</v>
      </c>
      <c r="BD690" s="332">
        <v>36413</v>
      </c>
      <c r="BE690" s="331" t="s">
        <v>445</v>
      </c>
      <c r="BF690" s="331" t="s">
        <v>445</v>
      </c>
      <c r="BG690" s="353"/>
    </row>
    <row r="691" spans="2:59" ht="15">
      <c r="B691" s="315" t="s">
        <v>410</v>
      </c>
      <c r="C691" s="327" t="s">
        <v>437</v>
      </c>
      <c r="D691" s="327" t="s">
        <v>438</v>
      </c>
      <c r="E691" s="337" t="s">
        <v>182</v>
      </c>
      <c r="F691" s="328" t="s">
        <v>185</v>
      </c>
      <c r="G691" s="327" t="s">
        <v>411</v>
      </c>
      <c r="H691" s="327" t="s">
        <v>411</v>
      </c>
      <c r="I691" s="330">
        <v>0</v>
      </c>
      <c r="J691" s="331">
        <v>30</v>
      </c>
      <c r="K691" s="327" t="s">
        <v>439</v>
      </c>
      <c r="L691" s="327" t="s">
        <v>439</v>
      </c>
      <c r="M691" s="327" t="s">
        <v>156</v>
      </c>
      <c r="N691" s="327" t="s">
        <v>156</v>
      </c>
      <c r="O691" s="327" t="s">
        <v>584</v>
      </c>
      <c r="P691" s="327" t="s">
        <v>156</v>
      </c>
      <c r="Q691" s="329" t="s">
        <v>585</v>
      </c>
      <c r="R691" s="327" t="s">
        <v>183</v>
      </c>
      <c r="S691" s="327" t="s">
        <v>411</v>
      </c>
      <c r="T691" s="327" t="s">
        <v>581</v>
      </c>
      <c r="U691" s="327" t="s">
        <v>582</v>
      </c>
      <c r="V691" s="327" t="s">
        <v>586</v>
      </c>
      <c r="W691" s="327" t="s">
        <v>183</v>
      </c>
      <c r="X691" s="327" t="s">
        <v>411</v>
      </c>
      <c r="Y691" s="327" t="s">
        <v>411</v>
      </c>
      <c r="Z691" s="327"/>
      <c r="AA691" s="330"/>
      <c r="AB691" s="330" t="s">
        <v>587</v>
      </c>
      <c r="AC691" s="333">
        <v>5000</v>
      </c>
      <c r="AD691" s="330">
        <v>99999999</v>
      </c>
      <c r="AE691" s="327" t="s">
        <v>411</v>
      </c>
      <c r="AF691" s="327" t="s">
        <v>439</v>
      </c>
      <c r="AG691" s="327" t="s">
        <v>411</v>
      </c>
      <c r="AH691" s="327" t="s">
        <v>411</v>
      </c>
      <c r="AI691" s="330">
        <v>0</v>
      </c>
      <c r="AJ691" s="330">
        <v>0</v>
      </c>
      <c r="AK691" s="330">
        <v>0</v>
      </c>
      <c r="AL691" s="330">
        <v>0</v>
      </c>
      <c r="AM691" s="327" t="s">
        <v>183</v>
      </c>
      <c r="AN691" s="330">
        <v>0</v>
      </c>
      <c r="AO691" s="327" t="s">
        <v>411</v>
      </c>
      <c r="AP691" s="330">
        <v>1</v>
      </c>
      <c r="AQ691" s="331">
        <v>1111</v>
      </c>
      <c r="AR691" s="331" t="s">
        <v>583</v>
      </c>
      <c r="AS691" s="331">
        <v>10</v>
      </c>
      <c r="AT691" s="331">
        <v>1</v>
      </c>
      <c r="AU691" s="331">
        <v>0</v>
      </c>
      <c r="AV691" s="331">
        <v>0</v>
      </c>
      <c r="AW691" s="331">
        <v>0</v>
      </c>
      <c r="AX691" s="331">
        <v>0</v>
      </c>
      <c r="AY691" s="331">
        <v>1</v>
      </c>
      <c r="AZ691" s="331">
        <v>0</v>
      </c>
      <c r="BA691" s="332">
        <v>40640.750486111108</v>
      </c>
      <c r="BB691" s="331">
        <v>470195</v>
      </c>
      <c r="BC691" s="331">
        <v>470195</v>
      </c>
      <c r="BD691" s="332">
        <v>45392.67769675926</v>
      </c>
      <c r="BE691" s="331">
        <v>363363</v>
      </c>
      <c r="BF691" s="331">
        <v>363363</v>
      </c>
      <c r="BG691" s="353"/>
    </row>
    <row r="692" spans="2:59" ht="14">
      <c r="B692" s="315" t="s">
        <v>410</v>
      </c>
      <c r="C692" s="337" t="s">
        <v>645</v>
      </c>
      <c r="D692" s="327" t="s">
        <v>438</v>
      </c>
      <c r="E692" s="327" t="s">
        <v>438</v>
      </c>
      <c r="F692" s="327" t="s">
        <v>454</v>
      </c>
      <c r="G692" s="327" t="s">
        <v>411</v>
      </c>
      <c r="H692" s="327" t="s">
        <v>411</v>
      </c>
      <c r="I692" s="327">
        <v>1</v>
      </c>
      <c r="J692" s="327">
        <v>0</v>
      </c>
      <c r="K692" s="327" t="s">
        <v>439</v>
      </c>
      <c r="L692" s="327" t="s">
        <v>439</v>
      </c>
      <c r="M692" s="327" t="s">
        <v>156</v>
      </c>
      <c r="N692" s="327" t="s">
        <v>156</v>
      </c>
      <c r="O692" s="327" t="s">
        <v>156</v>
      </c>
      <c r="P692" s="327" t="s">
        <v>156</v>
      </c>
      <c r="Q692" s="327" t="s">
        <v>580</v>
      </c>
      <c r="R692" s="327" t="s">
        <v>411</v>
      </c>
      <c r="S692" s="327" t="s">
        <v>411</v>
      </c>
      <c r="T692" s="327" t="s">
        <v>581</v>
      </c>
      <c r="U692" s="327" t="s">
        <v>582</v>
      </c>
      <c r="V692" s="327" t="s">
        <v>183</v>
      </c>
      <c r="W692" s="327" t="s">
        <v>183</v>
      </c>
      <c r="X692" s="327" t="s">
        <v>411</v>
      </c>
      <c r="Y692" s="327" t="s">
        <v>411</v>
      </c>
      <c r="Z692" s="327"/>
      <c r="AA692" s="327"/>
      <c r="AB692" s="327" t="s">
        <v>156</v>
      </c>
      <c r="AC692" s="327">
        <v>1</v>
      </c>
      <c r="AD692" s="327">
        <v>99999999</v>
      </c>
      <c r="AE692" s="327">
        <v>0</v>
      </c>
      <c r="AF692" s="327">
        <v>0</v>
      </c>
      <c r="AG692" s="327">
        <v>0</v>
      </c>
      <c r="AH692" s="327">
        <v>0</v>
      </c>
      <c r="AI692" s="327">
        <v>0</v>
      </c>
      <c r="AJ692" s="327">
        <v>0</v>
      </c>
      <c r="AK692" s="327">
        <v>0</v>
      </c>
      <c r="AL692" s="327">
        <v>0</v>
      </c>
      <c r="AM692" s="327">
        <v>1</v>
      </c>
      <c r="AN692" s="327">
        <v>0</v>
      </c>
      <c r="AO692" s="327">
        <v>0</v>
      </c>
      <c r="AP692" s="327">
        <v>1</v>
      </c>
      <c r="AQ692" s="327" t="s">
        <v>156</v>
      </c>
      <c r="AR692" s="327" t="s">
        <v>583</v>
      </c>
      <c r="AS692" s="327">
        <v>0</v>
      </c>
      <c r="AT692" s="327">
        <v>1</v>
      </c>
      <c r="AU692" s="327">
        <v>0</v>
      </c>
      <c r="AV692" s="327">
        <v>0</v>
      </c>
      <c r="AW692" s="327">
        <v>0</v>
      </c>
      <c r="AX692" s="327">
        <v>0</v>
      </c>
      <c r="AY692" s="327">
        <v>1</v>
      </c>
      <c r="AZ692" s="327">
        <v>0</v>
      </c>
      <c r="BA692" s="327">
        <v>29705</v>
      </c>
      <c r="BB692" s="327" t="s">
        <v>445</v>
      </c>
      <c r="BC692" s="327" t="s">
        <v>445</v>
      </c>
      <c r="BD692" s="327">
        <v>39993.705960648149</v>
      </c>
      <c r="BE692" s="327">
        <v>375901</v>
      </c>
      <c r="BF692" s="327">
        <v>375901</v>
      </c>
      <c r="BG692" s="353"/>
    </row>
    <row r="693" spans="2:59" ht="14">
      <c r="B693" s="315" t="s">
        <v>410</v>
      </c>
      <c r="C693" s="337" t="s">
        <v>659</v>
      </c>
      <c r="D693" s="327" t="s">
        <v>438</v>
      </c>
      <c r="E693" s="327" t="s">
        <v>438</v>
      </c>
      <c r="F693" s="327" t="s">
        <v>454</v>
      </c>
      <c r="G693" s="327" t="s">
        <v>411</v>
      </c>
      <c r="H693" s="327" t="s">
        <v>411</v>
      </c>
      <c r="I693" s="327">
        <v>1</v>
      </c>
      <c r="J693" s="327">
        <v>0</v>
      </c>
      <c r="K693" s="327" t="s">
        <v>439</v>
      </c>
      <c r="L693" s="327" t="s">
        <v>439</v>
      </c>
      <c r="M693" s="327" t="s">
        <v>156</v>
      </c>
      <c r="N693" s="327" t="s">
        <v>156</v>
      </c>
      <c r="O693" s="327" t="s">
        <v>156</v>
      </c>
      <c r="P693" s="327" t="s">
        <v>156</v>
      </c>
      <c r="Q693" s="327" t="s">
        <v>580</v>
      </c>
      <c r="R693" s="327" t="s">
        <v>411</v>
      </c>
      <c r="S693" s="327" t="s">
        <v>411</v>
      </c>
      <c r="T693" s="327" t="s">
        <v>581</v>
      </c>
      <c r="U693" s="327" t="s">
        <v>582</v>
      </c>
      <c r="V693" s="327" t="s">
        <v>183</v>
      </c>
      <c r="W693" s="327" t="s">
        <v>183</v>
      </c>
      <c r="X693" s="327" t="s">
        <v>411</v>
      </c>
      <c r="Y693" s="327" t="s">
        <v>411</v>
      </c>
      <c r="Z693" s="327"/>
      <c r="AA693" s="327"/>
      <c r="AB693" s="327" t="s">
        <v>156</v>
      </c>
      <c r="AC693" s="327">
        <v>1</v>
      </c>
      <c r="AD693" s="327">
        <v>99999999</v>
      </c>
      <c r="AE693" s="327">
        <v>0</v>
      </c>
      <c r="AF693" s="327">
        <v>0</v>
      </c>
      <c r="AG693" s="327">
        <v>0</v>
      </c>
      <c r="AH693" s="327">
        <v>0</v>
      </c>
      <c r="AI693" s="327">
        <v>0</v>
      </c>
      <c r="AJ693" s="327">
        <v>0</v>
      </c>
      <c r="AK693" s="327">
        <v>0</v>
      </c>
      <c r="AL693" s="327">
        <v>0</v>
      </c>
      <c r="AM693" s="327">
        <v>1</v>
      </c>
      <c r="AN693" s="327">
        <v>0</v>
      </c>
      <c r="AO693" s="327">
        <v>0</v>
      </c>
      <c r="AP693" s="327">
        <v>1</v>
      </c>
      <c r="AQ693" s="327" t="s">
        <v>156</v>
      </c>
      <c r="AR693" s="327" t="s">
        <v>583</v>
      </c>
      <c r="AS693" s="327">
        <v>0</v>
      </c>
      <c r="AT693" s="327">
        <v>1</v>
      </c>
      <c r="AU693" s="327">
        <v>0</v>
      </c>
      <c r="AV693" s="327">
        <v>0</v>
      </c>
      <c r="AW693" s="327">
        <v>0</v>
      </c>
      <c r="AX693" s="327">
        <v>0</v>
      </c>
      <c r="AY693" s="327">
        <v>1</v>
      </c>
      <c r="AZ693" s="327">
        <v>0</v>
      </c>
      <c r="BA693" s="327">
        <v>31819</v>
      </c>
      <c r="BB693" s="327" t="s">
        <v>445</v>
      </c>
      <c r="BC693" s="327" t="s">
        <v>445</v>
      </c>
      <c r="BD693" s="327">
        <v>45636.056898148148</v>
      </c>
      <c r="BE693" s="327" t="s">
        <v>643</v>
      </c>
      <c r="BF693" s="327" t="s">
        <v>643</v>
      </c>
      <c r="BG693" s="353"/>
    </row>
    <row r="694" spans="2:59">
      <c r="B694" s="358"/>
      <c r="BG694" s="353"/>
    </row>
    <row r="695" spans="2:59" ht="14">
      <c r="B695" s="358"/>
      <c r="C695" s="359" t="s">
        <v>153</v>
      </c>
      <c r="BG695" s="353"/>
    </row>
    <row r="696" spans="2:59" ht="14">
      <c r="B696" s="358"/>
      <c r="C696" s="359" t="s">
        <v>154</v>
      </c>
      <c r="D696" s="359" t="s">
        <v>155</v>
      </c>
      <c r="E696" s="359" t="s">
        <v>157</v>
      </c>
      <c r="F696" s="359" t="s">
        <v>158</v>
      </c>
      <c r="G696" s="359" t="s">
        <v>356</v>
      </c>
      <c r="H696" s="359" t="s">
        <v>357</v>
      </c>
      <c r="I696" s="359" t="s">
        <v>358</v>
      </c>
      <c r="J696" s="359" t="s">
        <v>359</v>
      </c>
      <c r="K696" s="359" t="s">
        <v>360</v>
      </c>
      <c r="L696" s="359" t="s">
        <v>361</v>
      </c>
      <c r="M696" s="359" t="s">
        <v>362</v>
      </c>
      <c r="BG696" s="353"/>
    </row>
    <row r="697" spans="2:59" ht="14">
      <c r="B697" s="358"/>
      <c r="C697" s="359">
        <v>-2</v>
      </c>
      <c r="D697" s="359" t="s">
        <v>156</v>
      </c>
      <c r="E697" s="359" t="s">
        <v>774</v>
      </c>
      <c r="F697" s="359" t="s">
        <v>730</v>
      </c>
      <c r="G697" s="359" t="s">
        <v>623</v>
      </c>
      <c r="H697" s="359" t="s">
        <v>156</v>
      </c>
      <c r="I697" s="359" t="s">
        <v>156</v>
      </c>
      <c r="J697" s="359" t="s">
        <v>156</v>
      </c>
      <c r="K697" s="359" t="s">
        <v>156</v>
      </c>
      <c r="L697" s="359">
        <v>0</v>
      </c>
      <c r="M697" s="359" t="s">
        <v>156</v>
      </c>
      <c r="BG697" s="353"/>
    </row>
    <row r="698" spans="2:59" ht="13.5" thickBot="1">
      <c r="B698" s="358"/>
      <c r="BG698" s="353"/>
    </row>
    <row r="699" spans="2:59" ht="15" thickBot="1">
      <c r="B699" s="299" t="s">
        <v>731</v>
      </c>
      <c r="C699" s="300" t="s">
        <v>732</v>
      </c>
      <c r="D699" s="300"/>
      <c r="E699" s="300"/>
      <c r="F699" s="300"/>
      <c r="G699" s="300"/>
      <c r="H699" s="300"/>
      <c r="I699" s="300"/>
      <c r="J699" s="300"/>
      <c r="K699" s="300"/>
      <c r="L699" s="300"/>
      <c r="M699" s="300"/>
      <c r="N699" s="300"/>
      <c r="O699" s="300"/>
      <c r="P699" s="300"/>
      <c r="Q699" s="300"/>
      <c r="R699" s="300"/>
      <c r="S699" s="300"/>
      <c r="T699" s="300"/>
      <c r="U699" s="300"/>
      <c r="V699" s="300"/>
      <c r="W699" s="300"/>
      <c r="X699" s="300"/>
      <c r="Y699" s="300"/>
      <c r="Z699" s="300"/>
      <c r="AA699" s="300"/>
      <c r="AB699" s="300"/>
      <c r="AC699" s="300"/>
      <c r="AD699" s="300"/>
      <c r="AE699" s="300"/>
      <c r="AF699" s="300"/>
      <c r="AG699" s="300"/>
      <c r="AH699" s="300"/>
      <c r="AI699" s="300"/>
      <c r="AJ699" s="300"/>
      <c r="AK699" s="300"/>
      <c r="AL699" s="300"/>
      <c r="AM699" s="300"/>
      <c r="AN699" s="300"/>
      <c r="AO699" s="300"/>
      <c r="AP699" s="300"/>
      <c r="AQ699" s="300"/>
      <c r="AR699" s="300"/>
      <c r="AS699" s="300"/>
      <c r="AT699" s="300"/>
      <c r="AU699" s="300"/>
      <c r="AV699" s="300"/>
      <c r="AW699" s="300"/>
      <c r="AX699" s="300"/>
      <c r="AY699" s="300"/>
      <c r="AZ699" s="300"/>
      <c r="BA699" s="300"/>
      <c r="BB699" s="300"/>
      <c r="BC699" s="300"/>
      <c r="BD699" s="300"/>
      <c r="BE699" s="300"/>
      <c r="BF699" s="300"/>
      <c r="BG699" s="353"/>
    </row>
    <row r="700" spans="2:59" ht="14" thickBot="1">
      <c r="B700" s="335" t="s">
        <v>805</v>
      </c>
      <c r="C700" s="300" t="s">
        <v>615</v>
      </c>
      <c r="D700" s="300"/>
      <c r="E700" s="300"/>
      <c r="F700" s="300"/>
      <c r="G700" s="300"/>
      <c r="H700" s="300"/>
      <c r="I700" s="300"/>
      <c r="J700" s="300"/>
      <c r="K700" s="300"/>
      <c r="L700" s="300"/>
      <c r="M700" s="300"/>
      <c r="N700" s="300"/>
      <c r="O700" s="300"/>
      <c r="P700" s="300"/>
      <c r="Q700" s="300"/>
      <c r="R700" s="300"/>
      <c r="S700" s="300"/>
      <c r="T700" s="300"/>
      <c r="U700" s="300"/>
      <c r="V700" s="300"/>
      <c r="W700" s="300"/>
      <c r="X700" s="300"/>
      <c r="Y700" s="300"/>
      <c r="Z700" s="300"/>
      <c r="AA700" s="300"/>
      <c r="AB700" s="300"/>
      <c r="AC700" s="300"/>
      <c r="AD700" s="300"/>
      <c r="AE700" s="300"/>
      <c r="AF700" s="300"/>
      <c r="AG700" s="300"/>
      <c r="AH700" s="300"/>
      <c r="AI700" s="300"/>
      <c r="AJ700" s="300"/>
      <c r="AK700" s="300"/>
      <c r="AL700" s="300"/>
      <c r="AM700" s="300"/>
      <c r="AN700" s="300"/>
      <c r="AO700" s="300"/>
      <c r="AP700" s="300"/>
      <c r="AQ700" s="300"/>
      <c r="AR700" s="300"/>
      <c r="AS700" s="300"/>
      <c r="AT700" s="300"/>
      <c r="AU700" s="300"/>
      <c r="AV700" s="300"/>
      <c r="AW700" s="300"/>
      <c r="AX700" s="300"/>
      <c r="AY700" s="300"/>
      <c r="AZ700" s="300"/>
      <c r="BA700" s="300"/>
      <c r="BB700" s="300"/>
      <c r="BC700" s="300"/>
      <c r="BD700" s="300"/>
      <c r="BE700" s="300"/>
      <c r="BF700" s="300"/>
      <c r="BG700" s="353"/>
    </row>
    <row r="701" spans="2:59">
      <c r="B701" s="358"/>
      <c r="BG701" s="353"/>
    </row>
    <row r="702" spans="2:59" ht="13.5">
      <c r="B702" s="358"/>
      <c r="C702" s="356" t="s">
        <v>396</v>
      </c>
      <c r="BG702" s="353"/>
    </row>
    <row r="703" spans="2:59" ht="13.5">
      <c r="B703" s="358"/>
      <c r="C703" s="356" t="s">
        <v>733</v>
      </c>
      <c r="BG703" s="353"/>
    </row>
    <row r="704" spans="2:59">
      <c r="B704" s="358"/>
      <c r="BG704" s="353"/>
    </row>
    <row r="705" spans="2:59" ht="15">
      <c r="B705" s="301"/>
      <c r="C705" s="449" t="s">
        <v>436</v>
      </c>
      <c r="D705" s="450"/>
      <c r="E705" s="450"/>
      <c r="F705" s="451"/>
      <c r="G705" s="451"/>
      <c r="H705" s="451"/>
      <c r="I705" s="451"/>
      <c r="J705" s="451"/>
      <c r="K705" s="451"/>
      <c r="L705" s="451"/>
      <c r="M705" s="451"/>
      <c r="N705" s="451"/>
      <c r="O705" s="451"/>
      <c r="P705" s="451"/>
      <c r="Q705" s="451"/>
      <c r="R705" s="451"/>
      <c r="S705" s="451"/>
      <c r="T705" s="451"/>
      <c r="U705" s="451"/>
      <c r="V705" s="451"/>
      <c r="W705" s="451"/>
      <c r="X705" s="451"/>
      <c r="Y705" s="451"/>
      <c r="Z705" s="452"/>
      <c r="AA705" s="68"/>
      <c r="AB705" s="68"/>
      <c r="AC705" s="68"/>
      <c r="AD705" s="68"/>
      <c r="BG705" s="353"/>
    </row>
    <row r="706" spans="2:59" ht="15">
      <c r="B706" s="301"/>
      <c r="C706" s="322"/>
      <c r="D706" s="322"/>
      <c r="E706" s="322"/>
      <c r="F706" s="319" t="s">
        <v>169</v>
      </c>
      <c r="G706" s="319" t="s">
        <v>169</v>
      </c>
      <c r="H706" s="319" t="s">
        <v>169</v>
      </c>
      <c r="I706" s="319"/>
      <c r="J706" s="319"/>
      <c r="K706" s="319"/>
      <c r="L706" s="319"/>
      <c r="M706" s="319"/>
      <c r="N706" s="319"/>
      <c r="O706" s="319"/>
      <c r="P706" s="319"/>
      <c r="Q706" s="319"/>
      <c r="R706" s="319"/>
      <c r="S706" s="319"/>
      <c r="T706" s="319"/>
      <c r="U706" s="319"/>
      <c r="V706" s="319"/>
      <c r="W706" s="319"/>
      <c r="X706" s="319"/>
      <c r="Y706" s="319"/>
      <c r="Z706" s="319"/>
      <c r="AA706" s="319"/>
      <c r="AB706" s="319"/>
      <c r="AC706" s="319"/>
      <c r="AD706" s="319"/>
      <c r="BG706" s="353"/>
    </row>
    <row r="707" spans="2:59" ht="13.5">
      <c r="B707" s="301"/>
      <c r="C707" s="312" t="s">
        <v>172</v>
      </c>
      <c r="D707" s="312" t="s">
        <v>173</v>
      </c>
      <c r="E707" s="312" t="s">
        <v>174</v>
      </c>
      <c r="F707" s="314" t="s">
        <v>91</v>
      </c>
      <c r="G707" s="314" t="s">
        <v>67</v>
      </c>
      <c r="H707" s="314" t="s">
        <v>69</v>
      </c>
      <c r="I707" s="314" t="s">
        <v>457</v>
      </c>
      <c r="J707" s="314" t="s">
        <v>458</v>
      </c>
      <c r="K707" s="314" t="s">
        <v>459</v>
      </c>
      <c r="L707" s="314" t="s">
        <v>460</v>
      </c>
      <c r="M707" s="314" t="s">
        <v>461</v>
      </c>
      <c r="N707" s="314" t="s">
        <v>462</v>
      </c>
      <c r="O707" s="314" t="s">
        <v>463</v>
      </c>
      <c r="P707" s="314" t="s">
        <v>464</v>
      </c>
      <c r="Q707" s="314" t="s">
        <v>465</v>
      </c>
      <c r="R707" s="314" t="s">
        <v>466</v>
      </c>
      <c r="S707" s="314" t="s">
        <v>467</v>
      </c>
      <c r="T707" s="314" t="s">
        <v>468</v>
      </c>
      <c r="U707" s="314" t="s">
        <v>469</v>
      </c>
      <c r="V707" s="314" t="s">
        <v>470</v>
      </c>
      <c r="W707" s="314" t="s">
        <v>471</v>
      </c>
      <c r="X707" s="314" t="s">
        <v>397</v>
      </c>
      <c r="Y707" s="314" t="s">
        <v>398</v>
      </c>
      <c r="Z707" s="314" t="s">
        <v>399</v>
      </c>
      <c r="AA707" s="314" t="s">
        <v>400</v>
      </c>
      <c r="AB707" s="314" t="s">
        <v>151</v>
      </c>
      <c r="AC707" s="314" t="s">
        <v>152</v>
      </c>
      <c r="AD707" s="314" t="s">
        <v>401</v>
      </c>
      <c r="BG707" s="353"/>
    </row>
    <row r="708" spans="2:59" ht="13.5">
      <c r="B708" s="301"/>
      <c r="C708" s="312" t="s">
        <v>371</v>
      </c>
      <c r="D708" s="312" t="s">
        <v>381</v>
      </c>
      <c r="E708" s="312" t="s">
        <v>390</v>
      </c>
      <c r="F708" s="313" t="s">
        <v>418</v>
      </c>
      <c r="G708" s="313" t="s">
        <v>419</v>
      </c>
      <c r="H708" s="313" t="s">
        <v>421</v>
      </c>
      <c r="I708" s="313" t="s">
        <v>420</v>
      </c>
      <c r="J708" s="313" t="s">
        <v>422</v>
      </c>
      <c r="K708" s="313" t="s">
        <v>423</v>
      </c>
      <c r="L708" s="313" t="s">
        <v>424</v>
      </c>
      <c r="M708" s="313" t="s">
        <v>425</v>
      </c>
      <c r="N708" s="313" t="s">
        <v>426</v>
      </c>
      <c r="O708" s="313" t="s">
        <v>427</v>
      </c>
      <c r="P708" s="313" t="s">
        <v>428</v>
      </c>
      <c r="Q708" s="313" t="s">
        <v>429</v>
      </c>
      <c r="R708" s="313" t="s">
        <v>430</v>
      </c>
      <c r="S708" s="313" t="s">
        <v>431</v>
      </c>
      <c r="T708" s="313" t="s">
        <v>432</v>
      </c>
      <c r="U708" s="313" t="s">
        <v>433</v>
      </c>
      <c r="V708" s="313" t="s">
        <v>434</v>
      </c>
      <c r="W708" s="313" t="s">
        <v>435</v>
      </c>
      <c r="X708" s="313" t="s">
        <v>403</v>
      </c>
      <c r="Y708" s="313" t="s">
        <v>404</v>
      </c>
      <c r="Z708" s="313" t="s">
        <v>405</v>
      </c>
      <c r="AA708" s="313" t="s">
        <v>406</v>
      </c>
      <c r="AB708" s="313" t="s">
        <v>407</v>
      </c>
      <c r="AC708" s="313" t="s">
        <v>408</v>
      </c>
      <c r="AD708" s="313" t="s">
        <v>409</v>
      </c>
      <c r="BG708" s="353"/>
    </row>
    <row r="709" spans="2:59" ht="13.5">
      <c r="B709" s="317"/>
      <c r="C709" s="312" t="s">
        <v>472</v>
      </c>
      <c r="D709" s="312" t="s">
        <v>473</v>
      </c>
      <c r="E709" s="312" t="s">
        <v>473</v>
      </c>
      <c r="F709" s="314" t="s">
        <v>474</v>
      </c>
      <c r="G709" s="314" t="s">
        <v>474</v>
      </c>
      <c r="H709" s="314" t="s">
        <v>475</v>
      </c>
      <c r="I709" s="314" t="s">
        <v>474</v>
      </c>
      <c r="J709" s="314" t="s">
        <v>476</v>
      </c>
      <c r="K709" s="314" t="s">
        <v>477</v>
      </c>
      <c r="L709" s="313" t="s">
        <v>478</v>
      </c>
      <c r="M709" s="314" t="s">
        <v>478</v>
      </c>
      <c r="N709" s="314" t="s">
        <v>479</v>
      </c>
      <c r="O709" s="314" t="s">
        <v>474</v>
      </c>
      <c r="P709" s="314" t="s">
        <v>480</v>
      </c>
      <c r="Q709" s="314" t="s">
        <v>481</v>
      </c>
      <c r="R709" s="314" t="s">
        <v>480</v>
      </c>
      <c r="S709" s="314" t="s">
        <v>482</v>
      </c>
      <c r="T709" s="313" t="s">
        <v>483</v>
      </c>
      <c r="U709" s="314" t="s">
        <v>483</v>
      </c>
      <c r="V709" s="314" t="s">
        <v>484</v>
      </c>
      <c r="W709" s="314" t="s">
        <v>474</v>
      </c>
      <c r="X709" s="314" t="s">
        <v>485</v>
      </c>
      <c r="Y709" s="314" t="s">
        <v>487</v>
      </c>
      <c r="Z709" s="314" t="s">
        <v>488</v>
      </c>
      <c r="AA709" s="314" t="s">
        <v>488</v>
      </c>
      <c r="AB709" s="313" t="s">
        <v>486</v>
      </c>
      <c r="AC709" s="314" t="s">
        <v>488</v>
      </c>
      <c r="AD709" s="314" t="s">
        <v>488</v>
      </c>
      <c r="BG709" s="353"/>
    </row>
    <row r="710" spans="2:59" ht="25">
      <c r="B710" s="317" t="s">
        <v>412</v>
      </c>
      <c r="C710" s="316" t="s">
        <v>437</v>
      </c>
      <c r="D710" s="313" t="s">
        <v>438</v>
      </c>
      <c r="E710" s="314" t="s">
        <v>438</v>
      </c>
      <c r="F710" s="314" t="s">
        <v>183</v>
      </c>
      <c r="G710" s="314" t="s">
        <v>439</v>
      </c>
      <c r="H710" s="314" t="s">
        <v>184</v>
      </c>
      <c r="I710" s="314" t="s">
        <v>439</v>
      </c>
      <c r="J710" s="314" t="s">
        <v>440</v>
      </c>
      <c r="K710" s="314" t="s">
        <v>411</v>
      </c>
      <c r="L710" s="313" t="s">
        <v>156</v>
      </c>
      <c r="M710" s="314" t="s">
        <v>441</v>
      </c>
      <c r="N710" s="314"/>
      <c r="O710" s="314" t="s">
        <v>183</v>
      </c>
      <c r="P710" s="314" t="s">
        <v>156</v>
      </c>
      <c r="Q710" s="314" t="s">
        <v>442</v>
      </c>
      <c r="R710" s="314" t="s">
        <v>443</v>
      </c>
      <c r="S710" s="314"/>
      <c r="T710" s="313" t="s">
        <v>156</v>
      </c>
      <c r="U710" s="314" t="s">
        <v>156</v>
      </c>
      <c r="V710" s="314" t="s">
        <v>156</v>
      </c>
      <c r="W710" s="314"/>
      <c r="X710" s="314" t="s">
        <v>411</v>
      </c>
      <c r="Y710" s="314" t="s">
        <v>444</v>
      </c>
      <c r="Z710" s="314" t="s">
        <v>445</v>
      </c>
      <c r="AA710" s="314" t="s">
        <v>445</v>
      </c>
      <c r="AB710" s="313" t="s">
        <v>446</v>
      </c>
      <c r="AC710" s="314" t="s">
        <v>447</v>
      </c>
      <c r="AD710" s="314" t="s">
        <v>447</v>
      </c>
      <c r="BG710" s="353"/>
    </row>
    <row r="711" spans="2:59" ht="25">
      <c r="B711" s="315" t="s">
        <v>410</v>
      </c>
      <c r="C711" s="336" t="s">
        <v>437</v>
      </c>
      <c r="D711" s="326" t="s">
        <v>438</v>
      </c>
      <c r="E711" s="337" t="s">
        <v>182</v>
      </c>
      <c r="F711" s="311" t="s">
        <v>183</v>
      </c>
      <c r="G711" s="327" t="s">
        <v>439</v>
      </c>
      <c r="H711" s="311" t="s">
        <v>184</v>
      </c>
      <c r="I711" s="327" t="s">
        <v>439</v>
      </c>
      <c r="J711" s="311" t="s">
        <v>184</v>
      </c>
      <c r="K711" s="311" t="s">
        <v>411</v>
      </c>
      <c r="L711" s="326" t="s">
        <v>448</v>
      </c>
      <c r="M711" s="311" t="s">
        <v>441</v>
      </c>
      <c r="N711" s="311"/>
      <c r="O711" s="311" t="s">
        <v>411</v>
      </c>
      <c r="P711" s="311" t="s">
        <v>156</v>
      </c>
      <c r="Q711" s="311" t="s">
        <v>184</v>
      </c>
      <c r="R711" s="311" t="s">
        <v>449</v>
      </c>
      <c r="S711" s="311"/>
      <c r="T711" s="326" t="s">
        <v>156</v>
      </c>
      <c r="U711" s="311" t="s">
        <v>156</v>
      </c>
      <c r="V711" s="311" t="s">
        <v>156</v>
      </c>
      <c r="W711" s="311"/>
      <c r="X711" s="311" t="s">
        <v>411</v>
      </c>
      <c r="Y711" s="311" t="s">
        <v>450</v>
      </c>
      <c r="Z711" s="311" t="s">
        <v>451</v>
      </c>
      <c r="AA711" s="311">
        <v>470195</v>
      </c>
      <c r="AB711" s="326" t="s">
        <v>450</v>
      </c>
      <c r="AC711" s="311">
        <v>470195</v>
      </c>
      <c r="AD711" s="311" t="s">
        <v>451</v>
      </c>
      <c r="BG711" s="353"/>
    </row>
    <row r="712" spans="2:59" ht="14">
      <c r="B712" s="315" t="s">
        <v>410</v>
      </c>
      <c r="C712" s="337" t="s">
        <v>645</v>
      </c>
      <c r="D712" s="316" t="s">
        <v>438</v>
      </c>
      <c r="E712" s="316" t="s">
        <v>438</v>
      </c>
      <c r="F712" s="316" t="s">
        <v>183</v>
      </c>
      <c r="G712" s="316" t="s">
        <v>439</v>
      </c>
      <c r="H712" s="316" t="s">
        <v>184</v>
      </c>
      <c r="I712" s="316" t="s">
        <v>439</v>
      </c>
      <c r="J712" s="316" t="s">
        <v>646</v>
      </c>
      <c r="K712" s="316" t="s">
        <v>411</v>
      </c>
      <c r="L712" s="316" t="s">
        <v>156</v>
      </c>
      <c r="M712" s="316" t="s">
        <v>441</v>
      </c>
      <c r="N712" s="316"/>
      <c r="O712" s="316" t="s">
        <v>183</v>
      </c>
      <c r="P712" s="316" t="s">
        <v>156</v>
      </c>
      <c r="Q712" s="316" t="s">
        <v>442</v>
      </c>
      <c r="R712" s="316" t="s">
        <v>647</v>
      </c>
      <c r="S712" s="316"/>
      <c r="T712" s="316" t="s">
        <v>648</v>
      </c>
      <c r="U712" s="316" t="s">
        <v>649</v>
      </c>
      <c r="V712" s="316" t="s">
        <v>650</v>
      </c>
      <c r="W712" s="316"/>
      <c r="X712" s="316" t="s">
        <v>411</v>
      </c>
      <c r="Y712" s="316" t="s">
        <v>444</v>
      </c>
      <c r="Z712" s="316" t="s">
        <v>445</v>
      </c>
      <c r="AA712" s="316" t="s">
        <v>445</v>
      </c>
      <c r="AB712" s="316" t="s">
        <v>651</v>
      </c>
      <c r="AC712" s="316">
        <v>375901</v>
      </c>
      <c r="AD712" s="316" t="s">
        <v>652</v>
      </c>
      <c r="BG712" s="353"/>
    </row>
    <row r="713" spans="2:59" ht="14">
      <c r="B713" s="315" t="s">
        <v>410</v>
      </c>
      <c r="C713" s="337" t="s">
        <v>659</v>
      </c>
      <c r="D713" s="316" t="s">
        <v>438</v>
      </c>
      <c r="E713" s="316" t="s">
        <v>438</v>
      </c>
      <c r="F713" s="316" t="s">
        <v>183</v>
      </c>
      <c r="G713" s="316" t="s">
        <v>439</v>
      </c>
      <c r="H713" s="316" t="s">
        <v>184</v>
      </c>
      <c r="I713" s="316" t="s">
        <v>439</v>
      </c>
      <c r="J713" s="316" t="s">
        <v>653</v>
      </c>
      <c r="K713" s="316" t="s">
        <v>411</v>
      </c>
      <c r="L713" s="316" t="s">
        <v>654</v>
      </c>
      <c r="M713" s="316" t="s">
        <v>441</v>
      </c>
      <c r="N713" s="316"/>
      <c r="O713" s="316" t="s">
        <v>439</v>
      </c>
      <c r="P713" s="316" t="s">
        <v>156</v>
      </c>
      <c r="Q713" s="316" t="s">
        <v>655</v>
      </c>
      <c r="R713" s="316" t="s">
        <v>443</v>
      </c>
      <c r="S713" s="316"/>
      <c r="T713" s="316" t="s">
        <v>156</v>
      </c>
      <c r="U713" s="316" t="s">
        <v>156</v>
      </c>
      <c r="V713" s="316" t="s">
        <v>156</v>
      </c>
      <c r="W713" s="316"/>
      <c r="X713" s="316" t="s">
        <v>411</v>
      </c>
      <c r="Y713" s="316" t="s">
        <v>656</v>
      </c>
      <c r="Z713" s="316" t="s">
        <v>445</v>
      </c>
      <c r="AA713" s="316" t="s">
        <v>445</v>
      </c>
      <c r="AB713" s="316" t="s">
        <v>657</v>
      </c>
      <c r="AC713" s="316" t="s">
        <v>658</v>
      </c>
      <c r="AD713" s="316" t="s">
        <v>658</v>
      </c>
      <c r="BG713" s="353"/>
    </row>
    <row r="714" spans="2:59" ht="13.5">
      <c r="B714" s="301"/>
      <c r="C714" s="356"/>
      <c r="D714" s="356"/>
      <c r="E714" s="356"/>
      <c r="F714" s="356"/>
      <c r="G714" s="356"/>
      <c r="H714" s="356"/>
      <c r="I714" s="356"/>
      <c r="J714" s="356"/>
      <c r="M714" s="356"/>
      <c r="N714" s="356"/>
      <c r="O714" s="356"/>
      <c r="P714" s="356"/>
      <c r="Q714" s="356"/>
      <c r="R714" s="356"/>
      <c r="S714" s="356"/>
      <c r="T714" s="356"/>
      <c r="U714" s="356"/>
      <c r="V714" s="356"/>
      <c r="W714" s="356"/>
      <c r="X714" s="356"/>
      <c r="Y714" s="356"/>
      <c r="Z714" s="356"/>
      <c r="AA714" s="356"/>
      <c r="AB714" s="356"/>
      <c r="AC714" s="356"/>
      <c r="AD714" s="356"/>
      <c r="AE714" s="356"/>
      <c r="AF714" s="356"/>
      <c r="BG714" s="353"/>
    </row>
    <row r="715" spans="2:59" ht="15">
      <c r="B715" s="301"/>
      <c r="C715" s="457" t="s">
        <v>489</v>
      </c>
      <c r="D715" s="458"/>
      <c r="E715" s="458"/>
      <c r="F715" s="458"/>
      <c r="G715" s="458"/>
      <c r="H715" s="458"/>
      <c r="I715" s="458"/>
      <c r="J715" s="458"/>
      <c r="K715" s="458"/>
      <c r="L715" s="458"/>
      <c r="M715" s="458"/>
      <c r="N715" s="458"/>
      <c r="O715" s="458"/>
      <c r="P715" s="458"/>
      <c r="Q715" s="458"/>
      <c r="R715" s="458"/>
      <c r="S715" s="458"/>
      <c r="T715" s="458"/>
      <c r="U715" s="92"/>
      <c r="V715" s="92"/>
      <c r="W715" s="92"/>
      <c r="X715" s="92"/>
      <c r="Y715" s="92"/>
      <c r="Z715" s="92"/>
      <c r="AA715" s="93"/>
      <c r="AB715" s="93"/>
      <c r="AC715" s="93"/>
      <c r="AD715" s="93"/>
      <c r="AE715" s="93"/>
      <c r="AF715" s="93"/>
      <c r="AG715" s="93"/>
      <c r="AH715" s="93"/>
      <c r="AI715" s="93"/>
      <c r="AJ715" s="93"/>
      <c r="AK715" s="93"/>
      <c r="AL715" s="93"/>
      <c r="AM715" s="93"/>
      <c r="AN715" s="93"/>
      <c r="AO715" s="93"/>
      <c r="AP715" s="94"/>
      <c r="AQ715" s="94"/>
      <c r="AR715" s="94"/>
      <c r="AS715" s="94"/>
      <c r="AT715" s="94"/>
      <c r="AU715" s="94"/>
      <c r="AV715" s="94"/>
      <c r="AW715" s="94"/>
      <c r="AX715" s="94"/>
      <c r="AY715" s="94"/>
      <c r="AZ715" s="94"/>
      <c r="BA715" s="94"/>
      <c r="BB715" s="94"/>
      <c r="BC715" s="94"/>
      <c r="BD715" s="94"/>
      <c r="BE715" s="94"/>
      <c r="BF715" s="94"/>
      <c r="BG715" s="353"/>
    </row>
    <row r="716" spans="2:59" ht="15">
      <c r="B716" s="301"/>
      <c r="C716" s="322"/>
      <c r="D716" s="322"/>
      <c r="E716" s="322"/>
      <c r="F716" s="319" t="s">
        <v>169</v>
      </c>
      <c r="G716" s="319" t="s">
        <v>169</v>
      </c>
      <c r="H716" s="324" t="s">
        <v>169</v>
      </c>
      <c r="I716" s="319" t="s">
        <v>169</v>
      </c>
      <c r="J716" s="319" t="s">
        <v>169</v>
      </c>
      <c r="K716" s="324"/>
      <c r="L716" s="324"/>
      <c r="M716" s="324"/>
      <c r="N716" s="324"/>
      <c r="O716" s="324"/>
      <c r="P716" s="324"/>
      <c r="Q716" s="324"/>
      <c r="R716" s="324"/>
      <c r="S716" s="324"/>
      <c r="T716" s="324"/>
      <c r="U716" s="324"/>
      <c r="V716" s="324"/>
      <c r="W716" s="324"/>
      <c r="X716" s="324"/>
      <c r="Y716" s="324"/>
      <c r="Z716" s="324"/>
      <c r="AA716" s="325"/>
      <c r="AB716" s="325"/>
      <c r="AC716" s="325"/>
      <c r="AD716" s="325"/>
      <c r="AE716" s="325"/>
      <c r="AF716" s="325"/>
      <c r="AG716" s="325"/>
      <c r="AH716" s="325"/>
      <c r="AI716" s="325"/>
      <c r="AJ716" s="325"/>
      <c r="AK716" s="325"/>
      <c r="AL716" s="325"/>
      <c r="AM716" s="325"/>
      <c r="AN716" s="325"/>
      <c r="AO716" s="325"/>
      <c r="AP716" s="325"/>
      <c r="AQ716" s="325"/>
      <c r="AR716" s="325"/>
      <c r="AS716" s="325"/>
      <c r="AT716" s="325"/>
      <c r="AU716" s="325"/>
      <c r="AV716" s="325"/>
      <c r="AW716" s="325"/>
      <c r="AX716" s="325"/>
      <c r="AY716" s="325"/>
      <c r="AZ716" s="325"/>
      <c r="BA716" s="325"/>
      <c r="BB716" s="325"/>
      <c r="BC716" s="325"/>
      <c r="BD716" s="325"/>
      <c r="BE716" s="325"/>
      <c r="BF716" s="325"/>
      <c r="BG716" s="353"/>
    </row>
    <row r="717" spans="2:59" ht="25">
      <c r="B717" s="301"/>
      <c r="C717" s="312" t="s">
        <v>533</v>
      </c>
      <c r="D717" s="312" t="s">
        <v>588</v>
      </c>
      <c r="E717" s="312" t="s">
        <v>589</v>
      </c>
      <c r="F717" s="314" t="s">
        <v>96</v>
      </c>
      <c r="G717" s="314" t="s">
        <v>99</v>
      </c>
      <c r="H717" s="314" t="s">
        <v>130</v>
      </c>
      <c r="I717" s="314" t="s">
        <v>559</v>
      </c>
      <c r="J717" s="314" t="s">
        <v>127</v>
      </c>
      <c r="K717" s="314" t="s">
        <v>67</v>
      </c>
      <c r="L717" s="314" t="s">
        <v>456</v>
      </c>
      <c r="M717" s="314" t="s">
        <v>534</v>
      </c>
      <c r="N717" s="314" t="s">
        <v>535</v>
      </c>
      <c r="O717" s="314" t="s">
        <v>536</v>
      </c>
      <c r="P717" s="314" t="s">
        <v>537</v>
      </c>
      <c r="Q717" s="314" t="s">
        <v>538</v>
      </c>
      <c r="R717" s="314" t="s">
        <v>539</v>
      </c>
      <c r="S717" s="314" t="s">
        <v>540</v>
      </c>
      <c r="T717" s="314" t="s">
        <v>541</v>
      </c>
      <c r="U717" s="314" t="s">
        <v>542</v>
      </c>
      <c r="V717" s="314" t="s">
        <v>543</v>
      </c>
      <c r="W717" s="314" t="s">
        <v>544</v>
      </c>
      <c r="X717" s="314" t="s">
        <v>545</v>
      </c>
      <c r="Y717" s="314" t="s">
        <v>546</v>
      </c>
      <c r="Z717" s="314" t="s">
        <v>547</v>
      </c>
      <c r="AA717" s="314" t="s">
        <v>548</v>
      </c>
      <c r="AB717" s="314" t="s">
        <v>549</v>
      </c>
      <c r="AC717" s="314" t="s">
        <v>550</v>
      </c>
      <c r="AD717" s="314" t="s">
        <v>551</v>
      </c>
      <c r="AE717" s="314" t="s">
        <v>552</v>
      </c>
      <c r="AF717" s="314" t="s">
        <v>553</v>
      </c>
      <c r="AG717" s="314" t="s">
        <v>554</v>
      </c>
      <c r="AH717" s="314" t="s">
        <v>555</v>
      </c>
      <c r="AI717" s="314" t="s">
        <v>556</v>
      </c>
      <c r="AJ717" s="314" t="s">
        <v>558</v>
      </c>
      <c r="AK717" s="314" t="s">
        <v>557</v>
      </c>
      <c r="AL717" s="314" t="s">
        <v>566</v>
      </c>
      <c r="AM717" s="314" t="s">
        <v>560</v>
      </c>
      <c r="AN717" s="314" t="s">
        <v>561</v>
      </c>
      <c r="AO717" s="314" t="s">
        <v>562</v>
      </c>
      <c r="AP717" s="314" t="s">
        <v>563</v>
      </c>
      <c r="AQ717" s="314" t="s">
        <v>567</v>
      </c>
      <c r="AR717" s="314" t="s">
        <v>564</v>
      </c>
      <c r="AS717" s="314" t="s">
        <v>565</v>
      </c>
      <c r="AT717" s="314" t="s">
        <v>568</v>
      </c>
      <c r="AU717" s="314" t="s">
        <v>569</v>
      </c>
      <c r="AV717" s="314" t="s">
        <v>570</v>
      </c>
      <c r="AW717" s="314" t="s">
        <v>571</v>
      </c>
      <c r="AX717" s="314" t="s">
        <v>572</v>
      </c>
      <c r="AY717" s="314" t="s">
        <v>573</v>
      </c>
      <c r="AZ717" s="314" t="s">
        <v>397</v>
      </c>
      <c r="BA717" s="314" t="s">
        <v>398</v>
      </c>
      <c r="BB717" s="314" t="s">
        <v>399</v>
      </c>
      <c r="BC717" s="314" t="s">
        <v>400</v>
      </c>
      <c r="BD717" s="314" t="s">
        <v>151</v>
      </c>
      <c r="BE717" s="314" t="s">
        <v>152</v>
      </c>
      <c r="BF717" s="314" t="s">
        <v>688</v>
      </c>
      <c r="BG717" s="353"/>
    </row>
    <row r="718" spans="2:59">
      <c r="B718" s="358"/>
      <c r="C718" s="312" t="s">
        <v>371</v>
      </c>
      <c r="D718" s="312" t="s">
        <v>381</v>
      </c>
      <c r="E718" s="312" t="s">
        <v>390</v>
      </c>
      <c r="F718" s="313" t="s">
        <v>490</v>
      </c>
      <c r="G718" s="313" t="s">
        <v>491</v>
      </c>
      <c r="H718" s="313" t="s">
        <v>492</v>
      </c>
      <c r="I718" s="313" t="s">
        <v>519</v>
      </c>
      <c r="J718" s="313" t="s">
        <v>525</v>
      </c>
      <c r="K718" s="313" t="s">
        <v>419</v>
      </c>
      <c r="L718" s="313" t="s">
        <v>420</v>
      </c>
      <c r="M718" s="313" t="s">
        <v>493</v>
      </c>
      <c r="N718" s="313" t="s">
        <v>494</v>
      </c>
      <c r="O718" s="313" t="s">
        <v>495</v>
      </c>
      <c r="P718" s="313" t="s">
        <v>496</v>
      </c>
      <c r="Q718" s="313" t="s">
        <v>497</v>
      </c>
      <c r="R718" s="313" t="s">
        <v>498</v>
      </c>
      <c r="S718" s="313" t="s">
        <v>499</v>
      </c>
      <c r="T718" s="313" t="s">
        <v>500</v>
      </c>
      <c r="U718" s="313" t="s">
        <v>501</v>
      </c>
      <c r="V718" s="313" t="s">
        <v>502</v>
      </c>
      <c r="W718" s="313" t="s">
        <v>503</v>
      </c>
      <c r="X718" s="313" t="s">
        <v>504</v>
      </c>
      <c r="Y718" s="313" t="s">
        <v>505</v>
      </c>
      <c r="Z718" s="313" t="s">
        <v>506</v>
      </c>
      <c r="AA718" s="313" t="s">
        <v>507</v>
      </c>
      <c r="AB718" s="313" t="s">
        <v>508</v>
      </c>
      <c r="AC718" s="313" t="s">
        <v>509</v>
      </c>
      <c r="AD718" s="313" t="s">
        <v>510</v>
      </c>
      <c r="AE718" s="313" t="s">
        <v>511</v>
      </c>
      <c r="AF718" s="313" t="s">
        <v>512</v>
      </c>
      <c r="AG718" s="313" t="s">
        <v>513</v>
      </c>
      <c r="AH718" s="313" t="s">
        <v>514</v>
      </c>
      <c r="AI718" s="313" t="s">
        <v>515</v>
      </c>
      <c r="AJ718" s="313" t="s">
        <v>516</v>
      </c>
      <c r="AK718" s="313" t="s">
        <v>517</v>
      </c>
      <c r="AL718" s="313" t="s">
        <v>518</v>
      </c>
      <c r="AM718" s="313" t="s">
        <v>520</v>
      </c>
      <c r="AN718" s="313" t="s">
        <v>521</v>
      </c>
      <c r="AO718" s="313" t="s">
        <v>522</v>
      </c>
      <c r="AP718" s="313" t="s">
        <v>402</v>
      </c>
      <c r="AQ718" s="313" t="s">
        <v>523</v>
      </c>
      <c r="AR718" s="313" t="s">
        <v>524</v>
      </c>
      <c r="AS718" s="313" t="s">
        <v>526</v>
      </c>
      <c r="AT718" s="313" t="s">
        <v>527</v>
      </c>
      <c r="AU718" s="313" t="s">
        <v>528</v>
      </c>
      <c r="AV718" s="313" t="s">
        <v>529</v>
      </c>
      <c r="AW718" s="313" t="s">
        <v>530</v>
      </c>
      <c r="AX718" s="313" t="s">
        <v>531</v>
      </c>
      <c r="AY718" s="313" t="s">
        <v>532</v>
      </c>
      <c r="AZ718" s="313" t="s">
        <v>403</v>
      </c>
      <c r="BA718" s="313" t="s">
        <v>404</v>
      </c>
      <c r="BB718" s="313" t="s">
        <v>405</v>
      </c>
      <c r="BC718" s="313" t="s">
        <v>406</v>
      </c>
      <c r="BD718" s="313" t="s">
        <v>407</v>
      </c>
      <c r="BE718" s="313" t="s">
        <v>408</v>
      </c>
      <c r="BF718" s="313" t="s">
        <v>409</v>
      </c>
      <c r="BG718" s="353"/>
    </row>
    <row r="719" spans="2:59">
      <c r="B719" s="358"/>
      <c r="C719" s="312" t="s">
        <v>472</v>
      </c>
      <c r="D719" s="312" t="s">
        <v>574</v>
      </c>
      <c r="E719" s="312" t="s">
        <v>473</v>
      </c>
      <c r="F719" s="326" t="s">
        <v>474</v>
      </c>
      <c r="G719" s="326" t="s">
        <v>474</v>
      </c>
      <c r="H719" s="326" t="s">
        <v>474</v>
      </c>
      <c r="I719" s="326" t="s">
        <v>474</v>
      </c>
      <c r="J719" s="326" t="s">
        <v>476</v>
      </c>
      <c r="K719" s="326" t="s">
        <v>474</v>
      </c>
      <c r="L719" s="326" t="s">
        <v>474</v>
      </c>
      <c r="M719" s="326" t="s">
        <v>575</v>
      </c>
      <c r="N719" s="326" t="s">
        <v>575</v>
      </c>
      <c r="O719" s="326" t="s">
        <v>473</v>
      </c>
      <c r="P719" s="326" t="s">
        <v>576</v>
      </c>
      <c r="Q719" s="326" t="s">
        <v>474</v>
      </c>
      <c r="R719" s="326" t="s">
        <v>481</v>
      </c>
      <c r="S719" s="326" t="s">
        <v>476</v>
      </c>
      <c r="T719" s="326" t="s">
        <v>481</v>
      </c>
      <c r="U719" s="326" t="s">
        <v>476</v>
      </c>
      <c r="V719" s="326" t="s">
        <v>476</v>
      </c>
      <c r="W719" s="326" t="s">
        <v>474</v>
      </c>
      <c r="X719" s="326" t="s">
        <v>577</v>
      </c>
      <c r="Y719" s="326" t="s">
        <v>577</v>
      </c>
      <c r="Z719" s="326" t="s">
        <v>478</v>
      </c>
      <c r="AA719" s="326" t="s">
        <v>576</v>
      </c>
      <c r="AB719" s="326" t="s">
        <v>576</v>
      </c>
      <c r="AC719" s="326" t="s">
        <v>476</v>
      </c>
      <c r="AD719" s="326" t="s">
        <v>480</v>
      </c>
      <c r="AE719" s="326" t="s">
        <v>481</v>
      </c>
      <c r="AF719" s="326" t="s">
        <v>481</v>
      </c>
      <c r="AG719" s="326" t="s">
        <v>578</v>
      </c>
      <c r="AH719" s="326" t="s">
        <v>578</v>
      </c>
      <c r="AI719" s="326" t="s">
        <v>481</v>
      </c>
      <c r="AJ719" s="326" t="s">
        <v>481</v>
      </c>
      <c r="AK719" s="326" t="s">
        <v>578</v>
      </c>
      <c r="AL719" s="326" t="s">
        <v>578</v>
      </c>
      <c r="AM719" s="326" t="s">
        <v>474</v>
      </c>
      <c r="AN719" s="326" t="s">
        <v>474</v>
      </c>
      <c r="AO719" s="326" t="s">
        <v>474</v>
      </c>
      <c r="AP719" s="326" t="s">
        <v>478</v>
      </c>
      <c r="AQ719" s="326" t="s">
        <v>473</v>
      </c>
      <c r="AR719" s="326" t="s">
        <v>474</v>
      </c>
      <c r="AS719" s="326" t="s">
        <v>476</v>
      </c>
      <c r="AT719" s="326" t="s">
        <v>474</v>
      </c>
      <c r="AU719" s="326" t="s">
        <v>579</v>
      </c>
      <c r="AV719" s="326" t="s">
        <v>481</v>
      </c>
      <c r="AW719" s="326" t="s">
        <v>478</v>
      </c>
      <c r="AX719" s="326" t="s">
        <v>474</v>
      </c>
      <c r="AY719" s="326" t="s">
        <v>474</v>
      </c>
      <c r="AZ719" s="326" t="s">
        <v>485</v>
      </c>
      <c r="BA719" s="326" t="s">
        <v>486</v>
      </c>
      <c r="BB719" s="326" t="s">
        <v>488</v>
      </c>
      <c r="BC719" s="326" t="s">
        <v>488</v>
      </c>
      <c r="BD719" s="326" t="s">
        <v>486</v>
      </c>
      <c r="BE719" s="326" t="s">
        <v>488</v>
      </c>
      <c r="BF719" s="326" t="s">
        <v>488</v>
      </c>
      <c r="BG719" s="353"/>
    </row>
    <row r="720" spans="2:59" ht="15">
      <c r="B720" s="317" t="s">
        <v>412</v>
      </c>
      <c r="C720" s="327" t="s">
        <v>437</v>
      </c>
      <c r="D720" s="327" t="s">
        <v>438</v>
      </c>
      <c r="E720" s="327" t="s">
        <v>438</v>
      </c>
      <c r="F720" s="328" t="s">
        <v>454</v>
      </c>
      <c r="G720" s="327" t="s">
        <v>411</v>
      </c>
      <c r="H720" s="327" t="s">
        <v>411</v>
      </c>
      <c r="I720" s="415">
        <v>1</v>
      </c>
      <c r="J720" s="331">
        <v>0</v>
      </c>
      <c r="K720" s="327" t="s">
        <v>439</v>
      </c>
      <c r="L720" s="327" t="s">
        <v>439</v>
      </c>
      <c r="M720" s="327" t="s">
        <v>156</v>
      </c>
      <c r="N720" s="327" t="s">
        <v>156</v>
      </c>
      <c r="O720" s="327" t="s">
        <v>156</v>
      </c>
      <c r="P720" s="327" t="s">
        <v>156</v>
      </c>
      <c r="Q720" s="329" t="s">
        <v>580</v>
      </c>
      <c r="R720" s="327" t="s">
        <v>411</v>
      </c>
      <c r="S720" s="327" t="s">
        <v>411</v>
      </c>
      <c r="T720" s="327" t="s">
        <v>581</v>
      </c>
      <c r="U720" s="327" t="s">
        <v>582</v>
      </c>
      <c r="V720" s="327" t="s">
        <v>183</v>
      </c>
      <c r="W720" s="327" t="s">
        <v>183</v>
      </c>
      <c r="X720" s="327" t="s">
        <v>411</v>
      </c>
      <c r="Y720" s="327" t="s">
        <v>411</v>
      </c>
      <c r="Z720" s="327"/>
      <c r="AA720" s="330"/>
      <c r="AB720" s="330" t="s">
        <v>156</v>
      </c>
      <c r="AC720" s="330">
        <v>1</v>
      </c>
      <c r="AD720" s="330">
        <v>99999999</v>
      </c>
      <c r="AE720" s="327" t="s">
        <v>411</v>
      </c>
      <c r="AF720" s="327" t="s">
        <v>411</v>
      </c>
      <c r="AG720" s="327" t="s">
        <v>411</v>
      </c>
      <c r="AH720" s="327" t="s">
        <v>411</v>
      </c>
      <c r="AI720" s="330">
        <v>0</v>
      </c>
      <c r="AJ720" s="330">
        <v>0</v>
      </c>
      <c r="AK720" s="330">
        <v>0</v>
      </c>
      <c r="AL720" s="330">
        <v>0</v>
      </c>
      <c r="AM720" s="327" t="s">
        <v>183</v>
      </c>
      <c r="AN720" s="330">
        <v>0</v>
      </c>
      <c r="AO720" s="327" t="s">
        <v>411</v>
      </c>
      <c r="AP720" s="330">
        <v>1</v>
      </c>
      <c r="AQ720" s="331" t="s">
        <v>156</v>
      </c>
      <c r="AR720" s="331" t="s">
        <v>583</v>
      </c>
      <c r="AS720" s="331">
        <v>0</v>
      </c>
      <c r="AT720" s="331">
        <v>1</v>
      </c>
      <c r="AU720" s="331">
        <v>0</v>
      </c>
      <c r="AV720" s="331">
        <v>0</v>
      </c>
      <c r="AW720" s="331">
        <v>0</v>
      </c>
      <c r="AX720" s="331">
        <v>0</v>
      </c>
      <c r="AY720" s="331">
        <v>1</v>
      </c>
      <c r="AZ720" s="331">
        <v>0</v>
      </c>
      <c r="BA720" s="332">
        <v>29705</v>
      </c>
      <c r="BB720" s="331" t="s">
        <v>445</v>
      </c>
      <c r="BC720" s="331" t="s">
        <v>445</v>
      </c>
      <c r="BD720" s="332">
        <v>36413</v>
      </c>
      <c r="BE720" s="331" t="s">
        <v>445</v>
      </c>
      <c r="BF720" s="331" t="s">
        <v>445</v>
      </c>
      <c r="BG720" s="353"/>
    </row>
    <row r="721" spans="2:59" ht="15">
      <c r="B721" s="315" t="s">
        <v>410</v>
      </c>
      <c r="C721" s="327" t="s">
        <v>437</v>
      </c>
      <c r="D721" s="327" t="s">
        <v>438</v>
      </c>
      <c r="E721" s="337" t="s">
        <v>182</v>
      </c>
      <c r="F721" s="328" t="s">
        <v>185</v>
      </c>
      <c r="G721" s="327" t="s">
        <v>411</v>
      </c>
      <c r="H721" s="327" t="s">
        <v>411</v>
      </c>
      <c r="I721" s="330">
        <v>0</v>
      </c>
      <c r="J721" s="331">
        <v>30</v>
      </c>
      <c r="K721" s="327" t="s">
        <v>439</v>
      </c>
      <c r="L721" s="327" t="s">
        <v>439</v>
      </c>
      <c r="M721" s="327" t="s">
        <v>156</v>
      </c>
      <c r="N721" s="327" t="s">
        <v>156</v>
      </c>
      <c r="O721" s="327" t="s">
        <v>584</v>
      </c>
      <c r="P721" s="327" t="s">
        <v>156</v>
      </c>
      <c r="Q721" s="329" t="s">
        <v>585</v>
      </c>
      <c r="R721" s="327" t="s">
        <v>183</v>
      </c>
      <c r="S721" s="327" t="s">
        <v>411</v>
      </c>
      <c r="T721" s="327" t="s">
        <v>581</v>
      </c>
      <c r="U721" s="327" t="s">
        <v>582</v>
      </c>
      <c r="V721" s="327" t="s">
        <v>586</v>
      </c>
      <c r="W721" s="327" t="s">
        <v>183</v>
      </c>
      <c r="X721" s="327" t="s">
        <v>411</v>
      </c>
      <c r="Y721" s="327" t="s">
        <v>411</v>
      </c>
      <c r="Z721" s="327"/>
      <c r="AA721" s="330"/>
      <c r="AB721" s="330" t="s">
        <v>587</v>
      </c>
      <c r="AC721" s="333">
        <v>5000</v>
      </c>
      <c r="AD721" s="330">
        <v>99999999</v>
      </c>
      <c r="AE721" s="327" t="s">
        <v>411</v>
      </c>
      <c r="AF721" s="327" t="s">
        <v>439</v>
      </c>
      <c r="AG721" s="327" t="s">
        <v>411</v>
      </c>
      <c r="AH721" s="327" t="s">
        <v>411</v>
      </c>
      <c r="AI721" s="330">
        <v>0</v>
      </c>
      <c r="AJ721" s="330">
        <v>0</v>
      </c>
      <c r="AK721" s="330">
        <v>0</v>
      </c>
      <c r="AL721" s="330">
        <v>0</v>
      </c>
      <c r="AM721" s="327" t="s">
        <v>183</v>
      </c>
      <c r="AN721" s="330">
        <v>0</v>
      </c>
      <c r="AO721" s="327" t="s">
        <v>411</v>
      </c>
      <c r="AP721" s="330">
        <v>1</v>
      </c>
      <c r="AQ721" s="331">
        <v>1111</v>
      </c>
      <c r="AR721" s="331" t="s">
        <v>583</v>
      </c>
      <c r="AS721" s="331">
        <v>10</v>
      </c>
      <c r="AT721" s="331">
        <v>1</v>
      </c>
      <c r="AU721" s="331">
        <v>0</v>
      </c>
      <c r="AV721" s="331">
        <v>0</v>
      </c>
      <c r="AW721" s="331">
        <v>0</v>
      </c>
      <c r="AX721" s="331">
        <v>0</v>
      </c>
      <c r="AY721" s="331">
        <v>1</v>
      </c>
      <c r="AZ721" s="331">
        <v>0</v>
      </c>
      <c r="BA721" s="332">
        <v>40640.750486111108</v>
      </c>
      <c r="BB721" s="331">
        <v>470195</v>
      </c>
      <c r="BC721" s="331">
        <v>470195</v>
      </c>
      <c r="BD721" s="332">
        <v>45392.67769675926</v>
      </c>
      <c r="BE721" s="331">
        <v>363363</v>
      </c>
      <c r="BF721" s="331">
        <v>363363</v>
      </c>
      <c r="BG721" s="353"/>
    </row>
    <row r="722" spans="2:59" ht="14">
      <c r="B722" s="315" t="s">
        <v>410</v>
      </c>
      <c r="C722" s="337" t="s">
        <v>645</v>
      </c>
      <c r="D722" s="327" t="s">
        <v>438</v>
      </c>
      <c r="E722" s="327" t="s">
        <v>438</v>
      </c>
      <c r="F722" s="327" t="s">
        <v>454</v>
      </c>
      <c r="G722" s="327" t="s">
        <v>411</v>
      </c>
      <c r="H722" s="327" t="s">
        <v>411</v>
      </c>
      <c r="I722" s="327">
        <v>1</v>
      </c>
      <c r="J722" s="327">
        <v>0</v>
      </c>
      <c r="K722" s="327" t="s">
        <v>439</v>
      </c>
      <c r="L722" s="327" t="s">
        <v>439</v>
      </c>
      <c r="M722" s="327" t="s">
        <v>156</v>
      </c>
      <c r="N722" s="327" t="s">
        <v>156</v>
      </c>
      <c r="O722" s="327" t="s">
        <v>156</v>
      </c>
      <c r="P722" s="327" t="s">
        <v>156</v>
      </c>
      <c r="Q722" s="327" t="s">
        <v>580</v>
      </c>
      <c r="R722" s="327" t="s">
        <v>411</v>
      </c>
      <c r="S722" s="327" t="s">
        <v>411</v>
      </c>
      <c r="T722" s="327" t="s">
        <v>581</v>
      </c>
      <c r="U722" s="327" t="s">
        <v>582</v>
      </c>
      <c r="V722" s="327" t="s">
        <v>183</v>
      </c>
      <c r="W722" s="327" t="s">
        <v>183</v>
      </c>
      <c r="X722" s="327" t="s">
        <v>411</v>
      </c>
      <c r="Y722" s="327" t="s">
        <v>411</v>
      </c>
      <c r="Z722" s="327"/>
      <c r="AA722" s="327"/>
      <c r="AB722" s="327" t="s">
        <v>156</v>
      </c>
      <c r="AC722" s="327">
        <v>1</v>
      </c>
      <c r="AD722" s="327">
        <v>99999999</v>
      </c>
      <c r="AE722" s="327">
        <v>0</v>
      </c>
      <c r="AF722" s="327">
        <v>0</v>
      </c>
      <c r="AG722" s="327">
        <v>0</v>
      </c>
      <c r="AH722" s="327">
        <v>0</v>
      </c>
      <c r="AI722" s="327">
        <v>0</v>
      </c>
      <c r="AJ722" s="327">
        <v>0</v>
      </c>
      <c r="AK722" s="327">
        <v>0</v>
      </c>
      <c r="AL722" s="327">
        <v>0</v>
      </c>
      <c r="AM722" s="327">
        <v>1</v>
      </c>
      <c r="AN722" s="327">
        <v>0</v>
      </c>
      <c r="AO722" s="327">
        <v>0</v>
      </c>
      <c r="AP722" s="327">
        <v>1</v>
      </c>
      <c r="AQ722" s="327" t="s">
        <v>156</v>
      </c>
      <c r="AR722" s="327" t="s">
        <v>583</v>
      </c>
      <c r="AS722" s="327">
        <v>0</v>
      </c>
      <c r="AT722" s="327">
        <v>1</v>
      </c>
      <c r="AU722" s="327">
        <v>0</v>
      </c>
      <c r="AV722" s="327">
        <v>0</v>
      </c>
      <c r="AW722" s="327">
        <v>0</v>
      </c>
      <c r="AX722" s="327">
        <v>0</v>
      </c>
      <c r="AY722" s="327">
        <v>1</v>
      </c>
      <c r="AZ722" s="327">
        <v>0</v>
      </c>
      <c r="BA722" s="327">
        <v>29705</v>
      </c>
      <c r="BB722" s="327" t="s">
        <v>445</v>
      </c>
      <c r="BC722" s="327" t="s">
        <v>445</v>
      </c>
      <c r="BD722" s="327">
        <v>39993.705960648149</v>
      </c>
      <c r="BE722" s="327">
        <v>375901</v>
      </c>
      <c r="BF722" s="327">
        <v>375901</v>
      </c>
      <c r="BG722" s="353"/>
    </row>
    <row r="723" spans="2:59" ht="14">
      <c r="B723" s="315" t="s">
        <v>410</v>
      </c>
      <c r="C723" s="337" t="s">
        <v>659</v>
      </c>
      <c r="D723" s="327" t="s">
        <v>438</v>
      </c>
      <c r="E723" s="327" t="s">
        <v>438</v>
      </c>
      <c r="F723" s="327" t="s">
        <v>454</v>
      </c>
      <c r="G723" s="327" t="s">
        <v>411</v>
      </c>
      <c r="H723" s="327" t="s">
        <v>411</v>
      </c>
      <c r="I723" s="327">
        <v>1</v>
      </c>
      <c r="J723" s="327">
        <v>0</v>
      </c>
      <c r="K723" s="327" t="s">
        <v>439</v>
      </c>
      <c r="L723" s="327" t="s">
        <v>439</v>
      </c>
      <c r="M723" s="327" t="s">
        <v>156</v>
      </c>
      <c r="N723" s="327" t="s">
        <v>156</v>
      </c>
      <c r="O723" s="327" t="s">
        <v>156</v>
      </c>
      <c r="P723" s="327" t="s">
        <v>156</v>
      </c>
      <c r="Q723" s="327" t="s">
        <v>580</v>
      </c>
      <c r="R723" s="327" t="s">
        <v>411</v>
      </c>
      <c r="S723" s="327" t="s">
        <v>411</v>
      </c>
      <c r="T723" s="327" t="s">
        <v>581</v>
      </c>
      <c r="U723" s="327" t="s">
        <v>582</v>
      </c>
      <c r="V723" s="327" t="s">
        <v>183</v>
      </c>
      <c r="W723" s="327" t="s">
        <v>183</v>
      </c>
      <c r="X723" s="327" t="s">
        <v>411</v>
      </c>
      <c r="Y723" s="327" t="s">
        <v>411</v>
      </c>
      <c r="Z723" s="327"/>
      <c r="AA723" s="327"/>
      <c r="AB723" s="327" t="s">
        <v>156</v>
      </c>
      <c r="AC723" s="327">
        <v>1</v>
      </c>
      <c r="AD723" s="327">
        <v>99999999</v>
      </c>
      <c r="AE723" s="327">
        <v>0</v>
      </c>
      <c r="AF723" s="327">
        <v>0</v>
      </c>
      <c r="AG723" s="327">
        <v>0</v>
      </c>
      <c r="AH723" s="327">
        <v>0</v>
      </c>
      <c r="AI723" s="327">
        <v>0</v>
      </c>
      <c r="AJ723" s="327">
        <v>0</v>
      </c>
      <c r="AK723" s="327">
        <v>0</v>
      </c>
      <c r="AL723" s="327">
        <v>0</v>
      </c>
      <c r="AM723" s="327">
        <v>1</v>
      </c>
      <c r="AN723" s="327">
        <v>0</v>
      </c>
      <c r="AO723" s="327">
        <v>0</v>
      </c>
      <c r="AP723" s="327">
        <v>1</v>
      </c>
      <c r="AQ723" s="327" t="s">
        <v>156</v>
      </c>
      <c r="AR723" s="327" t="s">
        <v>583</v>
      </c>
      <c r="AS723" s="327">
        <v>0</v>
      </c>
      <c r="AT723" s="327">
        <v>1</v>
      </c>
      <c r="AU723" s="327">
        <v>0</v>
      </c>
      <c r="AV723" s="327">
        <v>0</v>
      </c>
      <c r="AW723" s="327">
        <v>0</v>
      </c>
      <c r="AX723" s="327">
        <v>0</v>
      </c>
      <c r="AY723" s="327">
        <v>1</v>
      </c>
      <c r="AZ723" s="327">
        <v>0</v>
      </c>
      <c r="BA723" s="327">
        <v>31819</v>
      </c>
      <c r="BB723" s="327" t="s">
        <v>445</v>
      </c>
      <c r="BC723" s="327" t="s">
        <v>445</v>
      </c>
      <c r="BD723" s="327">
        <v>45636.056898148148</v>
      </c>
      <c r="BE723" s="327" t="s">
        <v>643</v>
      </c>
      <c r="BF723" s="327" t="s">
        <v>643</v>
      </c>
      <c r="BG723" s="353"/>
    </row>
    <row r="724" spans="2:59">
      <c r="B724" s="358"/>
      <c r="BG724" s="353"/>
    </row>
    <row r="725" spans="2:59" ht="14">
      <c r="B725" s="358"/>
      <c r="C725" s="359" t="s">
        <v>153</v>
      </c>
      <c r="BG725" s="353"/>
    </row>
    <row r="726" spans="2:59" ht="14">
      <c r="B726" s="358"/>
      <c r="C726" s="359" t="s">
        <v>154</v>
      </c>
      <c r="D726" s="359" t="s">
        <v>155</v>
      </c>
      <c r="E726" s="359" t="s">
        <v>157</v>
      </c>
      <c r="F726" s="359" t="s">
        <v>158</v>
      </c>
      <c r="G726" s="359" t="s">
        <v>356</v>
      </c>
      <c r="H726" s="359" t="s">
        <v>357</v>
      </c>
      <c r="I726" s="359" t="s">
        <v>358</v>
      </c>
      <c r="J726" s="359" t="s">
        <v>359</v>
      </c>
      <c r="K726" s="359" t="s">
        <v>360</v>
      </c>
      <c r="L726" s="359" t="s">
        <v>361</v>
      </c>
      <c r="M726" s="359" t="s">
        <v>362</v>
      </c>
      <c r="BG726" s="353"/>
    </row>
    <row r="727" spans="2:59" ht="14">
      <c r="B727" s="358"/>
      <c r="C727" s="359">
        <v>-2</v>
      </c>
      <c r="D727" s="359" t="s">
        <v>156</v>
      </c>
      <c r="E727" s="359" t="s">
        <v>776</v>
      </c>
      <c r="F727" s="359" t="s">
        <v>734</v>
      </c>
      <c r="G727" s="359" t="s">
        <v>623</v>
      </c>
      <c r="H727" s="359" t="s">
        <v>156</v>
      </c>
      <c r="I727" s="359" t="s">
        <v>156</v>
      </c>
      <c r="J727" s="359" t="s">
        <v>156</v>
      </c>
      <c r="K727" s="359" t="s">
        <v>156</v>
      </c>
      <c r="L727" s="359">
        <v>0</v>
      </c>
      <c r="M727" s="359" t="s">
        <v>156</v>
      </c>
      <c r="BG727" s="353"/>
    </row>
    <row r="728" spans="2:59">
      <c r="B728" s="358"/>
      <c r="BG728" s="353"/>
    </row>
    <row r="729" spans="2:59" ht="13.5" thickBot="1">
      <c r="B729" s="369"/>
      <c r="C729" s="370"/>
      <c r="D729" s="370"/>
      <c r="E729" s="370"/>
      <c r="F729" s="370"/>
      <c r="G729" s="370"/>
      <c r="H729" s="370"/>
      <c r="I729" s="370"/>
      <c r="J729" s="370"/>
      <c r="K729" s="370"/>
      <c r="L729" s="370"/>
      <c r="M729" s="370"/>
      <c r="N729" s="370"/>
      <c r="O729" s="370"/>
      <c r="P729" s="370"/>
      <c r="Q729" s="370"/>
      <c r="R729" s="370"/>
      <c r="S729" s="370"/>
      <c r="T729" s="370"/>
      <c r="U729" s="370"/>
      <c r="V729" s="370"/>
      <c r="W729" s="370"/>
      <c r="X729" s="370"/>
      <c r="Y729" s="370"/>
      <c r="Z729" s="370"/>
      <c r="AA729" s="370"/>
      <c r="AB729" s="370"/>
      <c r="AC729" s="370"/>
      <c r="AD729" s="370"/>
      <c r="AE729" s="370"/>
      <c r="AF729" s="370"/>
      <c r="AG729" s="370"/>
      <c r="AH729" s="370"/>
      <c r="AI729" s="370"/>
      <c r="AJ729" s="370"/>
      <c r="AK729" s="370"/>
      <c r="AL729" s="370"/>
      <c r="AM729" s="370"/>
      <c r="AN729" s="370"/>
      <c r="AO729" s="370"/>
      <c r="AP729" s="370"/>
      <c r="AQ729" s="370"/>
      <c r="AR729" s="370"/>
      <c r="AS729" s="370"/>
      <c r="AT729" s="370"/>
      <c r="AU729" s="370"/>
      <c r="AV729" s="370"/>
      <c r="AW729" s="370"/>
      <c r="AX729" s="370"/>
      <c r="AY729" s="370"/>
      <c r="AZ729" s="370"/>
      <c r="BA729" s="370"/>
      <c r="BB729" s="370"/>
      <c r="BC729" s="370"/>
      <c r="BD729" s="370"/>
      <c r="BE729" s="370"/>
      <c r="BF729" s="370"/>
      <c r="BG729" s="371"/>
    </row>
  </sheetData>
  <mergeCells count="39">
    <mergeCell ref="C685:T685"/>
    <mergeCell ref="C705:Z705"/>
    <mergeCell ref="C715:T715"/>
    <mergeCell ref="C595:T595"/>
    <mergeCell ref="C615:Z615"/>
    <mergeCell ref="C625:T625"/>
    <mergeCell ref="C645:Z645"/>
    <mergeCell ref="C655:T655"/>
    <mergeCell ref="C532:T532"/>
    <mergeCell ref="C552:Z552"/>
    <mergeCell ref="C565:T565"/>
    <mergeCell ref="C585:Z585"/>
    <mergeCell ref="C675:Z675"/>
    <mergeCell ref="C352:T352"/>
    <mergeCell ref="C382:T382"/>
    <mergeCell ref="C412:T412"/>
    <mergeCell ref="C442:T442"/>
    <mergeCell ref="C502:T502"/>
    <mergeCell ref="C472:T472"/>
    <mergeCell ref="C222:Z222"/>
    <mergeCell ref="C232:T232"/>
    <mergeCell ref="C252:Z252"/>
    <mergeCell ref="C262:T262"/>
    <mergeCell ref="C322:T322"/>
    <mergeCell ref="C292:T292"/>
    <mergeCell ref="C202:T202"/>
    <mergeCell ref="C192:Z192"/>
    <mergeCell ref="C162:Z162"/>
    <mergeCell ref="C172:T172"/>
    <mergeCell ref="C12:Z12"/>
    <mergeCell ref="C22:T22"/>
    <mergeCell ref="C42:Z42"/>
    <mergeCell ref="C52:T52"/>
    <mergeCell ref="C82:T82"/>
    <mergeCell ref="C72:Z72"/>
    <mergeCell ref="C102:Z102"/>
    <mergeCell ref="C112:T112"/>
    <mergeCell ref="C132:Z132"/>
    <mergeCell ref="C142:T142"/>
  </mergeCells>
  <phoneticPr fontId="3"/>
  <hyperlinks>
    <hyperlink ref="A1" location="TCS!A1" display="戻る" xr:uid="{8979719D-6CD6-40CF-A95A-DE59D3FDAFF5}"/>
  </hyperlink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718489-C35F-4338-B91B-8814266B0BFB}">
  <dimension ref="A1:J254"/>
  <sheetViews>
    <sheetView showGridLines="0" workbookViewId="0">
      <pane ySplit="7" topLeftCell="A8" activePane="bottomLeft" state="frozen"/>
      <selection activeCell="G18" sqref="G18"/>
      <selection pane="bottomLeft" activeCell="G18" sqref="G18"/>
    </sheetView>
  </sheetViews>
  <sheetFormatPr defaultRowHeight="15"/>
  <cols>
    <col min="1" max="1" width="3.26953125" style="27" customWidth="1"/>
    <col min="2" max="2" width="7.08984375" style="27" customWidth="1"/>
    <col min="3" max="3" width="3.08984375" style="27" customWidth="1"/>
    <col min="4" max="4" width="4.08984375" style="29" customWidth="1"/>
    <col min="5" max="7" width="9" style="29"/>
    <col min="8" max="8" width="8" style="29" customWidth="1"/>
    <col min="9" max="9" width="7.08984375" style="29" customWidth="1"/>
    <col min="10" max="10" width="41.26953125" style="29" customWidth="1"/>
    <col min="11" max="11" width="9" style="27"/>
    <col min="12" max="12" width="9.7265625" style="27" customWidth="1"/>
    <col min="13" max="14" width="10.26953125" style="27" customWidth="1"/>
    <col min="15" max="15" width="11.26953125" style="27" customWidth="1"/>
    <col min="16" max="16" width="8.6328125" style="27" customWidth="1"/>
    <col min="17" max="17" width="10.36328125" style="27" customWidth="1"/>
    <col min="18" max="18" width="9" style="27"/>
    <col min="19" max="19" width="8.08984375" style="27" customWidth="1"/>
    <col min="20" max="21" width="9.453125" style="27" bestFit="1" customWidth="1"/>
    <col min="22" max="22" width="9.6328125" style="27" customWidth="1"/>
    <col min="23" max="256" width="9" style="27"/>
    <col min="257" max="257" width="3.26953125" style="27" customWidth="1"/>
    <col min="258" max="258" width="7.08984375" style="27" customWidth="1"/>
    <col min="259" max="259" width="3.08984375" style="27" customWidth="1"/>
    <col min="260" max="260" width="4.08984375" style="27" customWidth="1"/>
    <col min="261" max="263" width="9" style="27"/>
    <col min="264" max="264" width="8" style="27" customWidth="1"/>
    <col min="265" max="265" width="7.08984375" style="27" customWidth="1"/>
    <col min="266" max="266" width="41.26953125" style="27" customWidth="1"/>
    <col min="267" max="267" width="9" style="27"/>
    <col min="268" max="268" width="9.7265625" style="27" customWidth="1"/>
    <col min="269" max="270" width="10.26953125" style="27" customWidth="1"/>
    <col min="271" max="271" width="11.26953125" style="27" customWidth="1"/>
    <col min="272" max="272" width="8.6328125" style="27" customWidth="1"/>
    <col min="273" max="273" width="10.36328125" style="27" customWidth="1"/>
    <col min="274" max="274" width="9" style="27"/>
    <col min="275" max="275" width="8.08984375" style="27" customWidth="1"/>
    <col min="276" max="277" width="9.453125" style="27" bestFit="1" customWidth="1"/>
    <col min="278" max="278" width="9.6328125" style="27" customWidth="1"/>
    <col min="279" max="512" width="9" style="27"/>
    <col min="513" max="513" width="3.26953125" style="27" customWidth="1"/>
    <col min="514" max="514" width="7.08984375" style="27" customWidth="1"/>
    <col min="515" max="515" width="3.08984375" style="27" customWidth="1"/>
    <col min="516" max="516" width="4.08984375" style="27" customWidth="1"/>
    <col min="517" max="519" width="9" style="27"/>
    <col min="520" max="520" width="8" style="27" customWidth="1"/>
    <col min="521" max="521" width="7.08984375" style="27" customWidth="1"/>
    <col min="522" max="522" width="41.26953125" style="27" customWidth="1"/>
    <col min="523" max="523" width="9" style="27"/>
    <col min="524" max="524" width="9.7265625" style="27" customWidth="1"/>
    <col min="525" max="526" width="10.26953125" style="27" customWidth="1"/>
    <col min="527" max="527" width="11.26953125" style="27" customWidth="1"/>
    <col min="528" max="528" width="8.6328125" style="27" customWidth="1"/>
    <col min="529" max="529" width="10.36328125" style="27" customWidth="1"/>
    <col min="530" max="530" width="9" style="27"/>
    <col min="531" max="531" width="8.08984375" style="27" customWidth="1"/>
    <col min="532" max="533" width="9.453125" style="27" bestFit="1" customWidth="1"/>
    <col min="534" max="534" width="9.6328125" style="27" customWidth="1"/>
    <col min="535" max="768" width="9" style="27"/>
    <col min="769" max="769" width="3.26953125" style="27" customWidth="1"/>
    <col min="770" max="770" width="7.08984375" style="27" customWidth="1"/>
    <col min="771" max="771" width="3.08984375" style="27" customWidth="1"/>
    <col min="772" max="772" width="4.08984375" style="27" customWidth="1"/>
    <col min="773" max="775" width="9" style="27"/>
    <col min="776" max="776" width="8" style="27" customWidth="1"/>
    <col min="777" max="777" width="7.08984375" style="27" customWidth="1"/>
    <col min="778" max="778" width="41.26953125" style="27" customWidth="1"/>
    <col min="779" max="779" width="9" style="27"/>
    <col min="780" max="780" width="9.7265625" style="27" customWidth="1"/>
    <col min="781" max="782" width="10.26953125" style="27" customWidth="1"/>
    <col min="783" max="783" width="11.26953125" style="27" customWidth="1"/>
    <col min="784" max="784" width="8.6328125" style="27" customWidth="1"/>
    <col min="785" max="785" width="10.36328125" style="27" customWidth="1"/>
    <col min="786" max="786" width="9" style="27"/>
    <col min="787" max="787" width="8.08984375" style="27" customWidth="1"/>
    <col min="788" max="789" width="9.453125" style="27" bestFit="1" customWidth="1"/>
    <col min="790" max="790" width="9.6328125" style="27" customWidth="1"/>
    <col min="791" max="1024" width="9" style="27"/>
    <col min="1025" max="1025" width="3.26953125" style="27" customWidth="1"/>
    <col min="1026" max="1026" width="7.08984375" style="27" customWidth="1"/>
    <col min="1027" max="1027" width="3.08984375" style="27" customWidth="1"/>
    <col min="1028" max="1028" width="4.08984375" style="27" customWidth="1"/>
    <col min="1029" max="1031" width="9" style="27"/>
    <col min="1032" max="1032" width="8" style="27" customWidth="1"/>
    <col min="1033" max="1033" width="7.08984375" style="27" customWidth="1"/>
    <col min="1034" max="1034" width="41.26953125" style="27" customWidth="1"/>
    <col min="1035" max="1035" width="9" style="27"/>
    <col min="1036" max="1036" width="9.7265625" style="27" customWidth="1"/>
    <col min="1037" max="1038" width="10.26953125" style="27" customWidth="1"/>
    <col min="1039" max="1039" width="11.26953125" style="27" customWidth="1"/>
    <col min="1040" max="1040" width="8.6328125" style="27" customWidth="1"/>
    <col min="1041" max="1041" width="10.36328125" style="27" customWidth="1"/>
    <col min="1042" max="1042" width="9" style="27"/>
    <col min="1043" max="1043" width="8.08984375" style="27" customWidth="1"/>
    <col min="1044" max="1045" width="9.453125" style="27" bestFit="1" customWidth="1"/>
    <col min="1046" max="1046" width="9.6328125" style="27" customWidth="1"/>
    <col min="1047" max="1280" width="9" style="27"/>
    <col min="1281" max="1281" width="3.26953125" style="27" customWidth="1"/>
    <col min="1282" max="1282" width="7.08984375" style="27" customWidth="1"/>
    <col min="1283" max="1283" width="3.08984375" style="27" customWidth="1"/>
    <col min="1284" max="1284" width="4.08984375" style="27" customWidth="1"/>
    <col min="1285" max="1287" width="9" style="27"/>
    <col min="1288" max="1288" width="8" style="27" customWidth="1"/>
    <col min="1289" max="1289" width="7.08984375" style="27" customWidth="1"/>
    <col min="1290" max="1290" width="41.26953125" style="27" customWidth="1"/>
    <col min="1291" max="1291" width="9" style="27"/>
    <col min="1292" max="1292" width="9.7265625" style="27" customWidth="1"/>
    <col min="1293" max="1294" width="10.26953125" style="27" customWidth="1"/>
    <col min="1295" max="1295" width="11.26953125" style="27" customWidth="1"/>
    <col min="1296" max="1296" width="8.6328125" style="27" customWidth="1"/>
    <col min="1297" max="1297" width="10.36328125" style="27" customWidth="1"/>
    <col min="1298" max="1298" width="9" style="27"/>
    <col min="1299" max="1299" width="8.08984375" style="27" customWidth="1"/>
    <col min="1300" max="1301" width="9.453125" style="27" bestFit="1" customWidth="1"/>
    <col min="1302" max="1302" width="9.6328125" style="27" customWidth="1"/>
    <col min="1303" max="1536" width="9" style="27"/>
    <col min="1537" max="1537" width="3.26953125" style="27" customWidth="1"/>
    <col min="1538" max="1538" width="7.08984375" style="27" customWidth="1"/>
    <col min="1539" max="1539" width="3.08984375" style="27" customWidth="1"/>
    <col min="1540" max="1540" width="4.08984375" style="27" customWidth="1"/>
    <col min="1541" max="1543" width="9" style="27"/>
    <col min="1544" max="1544" width="8" style="27" customWidth="1"/>
    <col min="1545" max="1545" width="7.08984375" style="27" customWidth="1"/>
    <col min="1546" max="1546" width="41.26953125" style="27" customWidth="1"/>
    <col min="1547" max="1547" width="9" style="27"/>
    <col min="1548" max="1548" width="9.7265625" style="27" customWidth="1"/>
    <col min="1549" max="1550" width="10.26953125" style="27" customWidth="1"/>
    <col min="1551" max="1551" width="11.26953125" style="27" customWidth="1"/>
    <col min="1552" max="1552" width="8.6328125" style="27" customWidth="1"/>
    <col min="1553" max="1553" width="10.36328125" style="27" customWidth="1"/>
    <col min="1554" max="1554" width="9" style="27"/>
    <col min="1555" max="1555" width="8.08984375" style="27" customWidth="1"/>
    <col min="1556" max="1557" width="9.453125" style="27" bestFit="1" customWidth="1"/>
    <col min="1558" max="1558" width="9.6328125" style="27" customWidth="1"/>
    <col min="1559" max="1792" width="9" style="27"/>
    <col min="1793" max="1793" width="3.26953125" style="27" customWidth="1"/>
    <col min="1794" max="1794" width="7.08984375" style="27" customWidth="1"/>
    <col min="1795" max="1795" width="3.08984375" style="27" customWidth="1"/>
    <col min="1796" max="1796" width="4.08984375" style="27" customWidth="1"/>
    <col min="1797" max="1799" width="9" style="27"/>
    <col min="1800" max="1800" width="8" style="27" customWidth="1"/>
    <col min="1801" max="1801" width="7.08984375" style="27" customWidth="1"/>
    <col min="1802" max="1802" width="41.26953125" style="27" customWidth="1"/>
    <col min="1803" max="1803" width="9" style="27"/>
    <col min="1804" max="1804" width="9.7265625" style="27" customWidth="1"/>
    <col min="1805" max="1806" width="10.26953125" style="27" customWidth="1"/>
    <col min="1807" max="1807" width="11.26953125" style="27" customWidth="1"/>
    <col min="1808" max="1808" width="8.6328125" style="27" customWidth="1"/>
    <col min="1809" max="1809" width="10.36328125" style="27" customWidth="1"/>
    <col min="1810" max="1810" width="9" style="27"/>
    <col min="1811" max="1811" width="8.08984375" style="27" customWidth="1"/>
    <col min="1812" max="1813" width="9.453125" style="27" bestFit="1" customWidth="1"/>
    <col min="1814" max="1814" width="9.6328125" style="27" customWidth="1"/>
    <col min="1815" max="2048" width="9" style="27"/>
    <col min="2049" max="2049" width="3.26953125" style="27" customWidth="1"/>
    <col min="2050" max="2050" width="7.08984375" style="27" customWidth="1"/>
    <col min="2051" max="2051" width="3.08984375" style="27" customWidth="1"/>
    <col min="2052" max="2052" width="4.08984375" style="27" customWidth="1"/>
    <col min="2053" max="2055" width="9" style="27"/>
    <col min="2056" max="2056" width="8" style="27" customWidth="1"/>
    <col min="2057" max="2057" width="7.08984375" style="27" customWidth="1"/>
    <col min="2058" max="2058" width="41.26953125" style="27" customWidth="1"/>
    <col min="2059" max="2059" width="9" style="27"/>
    <col min="2060" max="2060" width="9.7265625" style="27" customWidth="1"/>
    <col min="2061" max="2062" width="10.26953125" style="27" customWidth="1"/>
    <col min="2063" max="2063" width="11.26953125" style="27" customWidth="1"/>
    <col min="2064" max="2064" width="8.6328125" style="27" customWidth="1"/>
    <col min="2065" max="2065" width="10.36328125" style="27" customWidth="1"/>
    <col min="2066" max="2066" width="9" style="27"/>
    <col min="2067" max="2067" width="8.08984375" style="27" customWidth="1"/>
    <col min="2068" max="2069" width="9.453125" style="27" bestFit="1" customWidth="1"/>
    <col min="2070" max="2070" width="9.6328125" style="27" customWidth="1"/>
    <col min="2071" max="2304" width="9" style="27"/>
    <col min="2305" max="2305" width="3.26953125" style="27" customWidth="1"/>
    <col min="2306" max="2306" width="7.08984375" style="27" customWidth="1"/>
    <col min="2307" max="2307" width="3.08984375" style="27" customWidth="1"/>
    <col min="2308" max="2308" width="4.08984375" style="27" customWidth="1"/>
    <col min="2309" max="2311" width="9" style="27"/>
    <col min="2312" max="2312" width="8" style="27" customWidth="1"/>
    <col min="2313" max="2313" width="7.08984375" style="27" customWidth="1"/>
    <col min="2314" max="2314" width="41.26953125" style="27" customWidth="1"/>
    <col min="2315" max="2315" width="9" style="27"/>
    <col min="2316" max="2316" width="9.7265625" style="27" customWidth="1"/>
    <col min="2317" max="2318" width="10.26953125" style="27" customWidth="1"/>
    <col min="2319" max="2319" width="11.26953125" style="27" customWidth="1"/>
    <col min="2320" max="2320" width="8.6328125" style="27" customWidth="1"/>
    <col min="2321" max="2321" width="10.36328125" style="27" customWidth="1"/>
    <col min="2322" max="2322" width="9" style="27"/>
    <col min="2323" max="2323" width="8.08984375" style="27" customWidth="1"/>
    <col min="2324" max="2325" width="9.453125" style="27" bestFit="1" customWidth="1"/>
    <col min="2326" max="2326" width="9.6328125" style="27" customWidth="1"/>
    <col min="2327" max="2560" width="9" style="27"/>
    <col min="2561" max="2561" width="3.26953125" style="27" customWidth="1"/>
    <col min="2562" max="2562" width="7.08984375" style="27" customWidth="1"/>
    <col min="2563" max="2563" width="3.08984375" style="27" customWidth="1"/>
    <col min="2564" max="2564" width="4.08984375" style="27" customWidth="1"/>
    <col min="2565" max="2567" width="9" style="27"/>
    <col min="2568" max="2568" width="8" style="27" customWidth="1"/>
    <col min="2569" max="2569" width="7.08984375" style="27" customWidth="1"/>
    <col min="2570" max="2570" width="41.26953125" style="27" customWidth="1"/>
    <col min="2571" max="2571" width="9" style="27"/>
    <col min="2572" max="2572" width="9.7265625" style="27" customWidth="1"/>
    <col min="2573" max="2574" width="10.26953125" style="27" customWidth="1"/>
    <col min="2575" max="2575" width="11.26953125" style="27" customWidth="1"/>
    <col min="2576" max="2576" width="8.6328125" style="27" customWidth="1"/>
    <col min="2577" max="2577" width="10.36328125" style="27" customWidth="1"/>
    <col min="2578" max="2578" width="9" style="27"/>
    <col min="2579" max="2579" width="8.08984375" style="27" customWidth="1"/>
    <col min="2580" max="2581" width="9.453125" style="27" bestFit="1" customWidth="1"/>
    <col min="2582" max="2582" width="9.6328125" style="27" customWidth="1"/>
    <col min="2583" max="2816" width="9" style="27"/>
    <col min="2817" max="2817" width="3.26953125" style="27" customWidth="1"/>
    <col min="2818" max="2818" width="7.08984375" style="27" customWidth="1"/>
    <col min="2819" max="2819" width="3.08984375" style="27" customWidth="1"/>
    <col min="2820" max="2820" width="4.08984375" style="27" customWidth="1"/>
    <col min="2821" max="2823" width="9" style="27"/>
    <col min="2824" max="2824" width="8" style="27" customWidth="1"/>
    <col min="2825" max="2825" width="7.08984375" style="27" customWidth="1"/>
    <col min="2826" max="2826" width="41.26953125" style="27" customWidth="1"/>
    <col min="2827" max="2827" width="9" style="27"/>
    <col min="2828" max="2828" width="9.7265625" style="27" customWidth="1"/>
    <col min="2829" max="2830" width="10.26953125" style="27" customWidth="1"/>
    <col min="2831" max="2831" width="11.26953125" style="27" customWidth="1"/>
    <col min="2832" max="2832" width="8.6328125" style="27" customWidth="1"/>
    <col min="2833" max="2833" width="10.36328125" style="27" customWidth="1"/>
    <col min="2834" max="2834" width="9" style="27"/>
    <col min="2835" max="2835" width="8.08984375" style="27" customWidth="1"/>
    <col min="2836" max="2837" width="9.453125" style="27" bestFit="1" customWidth="1"/>
    <col min="2838" max="2838" width="9.6328125" style="27" customWidth="1"/>
    <col min="2839" max="3072" width="9" style="27"/>
    <col min="3073" max="3073" width="3.26953125" style="27" customWidth="1"/>
    <col min="3074" max="3074" width="7.08984375" style="27" customWidth="1"/>
    <col min="3075" max="3075" width="3.08984375" style="27" customWidth="1"/>
    <col min="3076" max="3076" width="4.08984375" style="27" customWidth="1"/>
    <col min="3077" max="3079" width="9" style="27"/>
    <col min="3080" max="3080" width="8" style="27" customWidth="1"/>
    <col min="3081" max="3081" width="7.08984375" style="27" customWidth="1"/>
    <col min="3082" max="3082" width="41.26953125" style="27" customWidth="1"/>
    <col min="3083" max="3083" width="9" style="27"/>
    <col min="3084" max="3084" width="9.7265625" style="27" customWidth="1"/>
    <col min="3085" max="3086" width="10.26953125" style="27" customWidth="1"/>
    <col min="3087" max="3087" width="11.26953125" style="27" customWidth="1"/>
    <col min="3088" max="3088" width="8.6328125" style="27" customWidth="1"/>
    <col min="3089" max="3089" width="10.36328125" style="27" customWidth="1"/>
    <col min="3090" max="3090" width="9" style="27"/>
    <col min="3091" max="3091" width="8.08984375" style="27" customWidth="1"/>
    <col min="3092" max="3093" width="9.453125" style="27" bestFit="1" customWidth="1"/>
    <col min="3094" max="3094" width="9.6328125" style="27" customWidth="1"/>
    <col min="3095" max="3328" width="9" style="27"/>
    <col min="3329" max="3329" width="3.26953125" style="27" customWidth="1"/>
    <col min="3330" max="3330" width="7.08984375" style="27" customWidth="1"/>
    <col min="3331" max="3331" width="3.08984375" style="27" customWidth="1"/>
    <col min="3332" max="3332" width="4.08984375" style="27" customWidth="1"/>
    <col min="3333" max="3335" width="9" style="27"/>
    <col min="3336" max="3336" width="8" style="27" customWidth="1"/>
    <col min="3337" max="3337" width="7.08984375" style="27" customWidth="1"/>
    <col min="3338" max="3338" width="41.26953125" style="27" customWidth="1"/>
    <col min="3339" max="3339" width="9" style="27"/>
    <col min="3340" max="3340" width="9.7265625" style="27" customWidth="1"/>
    <col min="3341" max="3342" width="10.26953125" style="27" customWidth="1"/>
    <col min="3343" max="3343" width="11.26953125" style="27" customWidth="1"/>
    <col min="3344" max="3344" width="8.6328125" style="27" customWidth="1"/>
    <col min="3345" max="3345" width="10.36328125" style="27" customWidth="1"/>
    <col min="3346" max="3346" width="9" style="27"/>
    <col min="3347" max="3347" width="8.08984375" style="27" customWidth="1"/>
    <col min="3348" max="3349" width="9.453125" style="27" bestFit="1" customWidth="1"/>
    <col min="3350" max="3350" width="9.6328125" style="27" customWidth="1"/>
    <col min="3351" max="3584" width="9" style="27"/>
    <col min="3585" max="3585" width="3.26953125" style="27" customWidth="1"/>
    <col min="3586" max="3586" width="7.08984375" style="27" customWidth="1"/>
    <col min="3587" max="3587" width="3.08984375" style="27" customWidth="1"/>
    <col min="3588" max="3588" width="4.08984375" style="27" customWidth="1"/>
    <col min="3589" max="3591" width="9" style="27"/>
    <col min="3592" max="3592" width="8" style="27" customWidth="1"/>
    <col min="3593" max="3593" width="7.08984375" style="27" customWidth="1"/>
    <col min="3594" max="3594" width="41.26953125" style="27" customWidth="1"/>
    <col min="3595" max="3595" width="9" style="27"/>
    <col min="3596" max="3596" width="9.7265625" style="27" customWidth="1"/>
    <col min="3597" max="3598" width="10.26953125" style="27" customWidth="1"/>
    <col min="3599" max="3599" width="11.26953125" style="27" customWidth="1"/>
    <col min="3600" max="3600" width="8.6328125" style="27" customWidth="1"/>
    <col min="3601" max="3601" width="10.36328125" style="27" customWidth="1"/>
    <col min="3602" max="3602" width="9" style="27"/>
    <col min="3603" max="3603" width="8.08984375" style="27" customWidth="1"/>
    <col min="3604" max="3605" width="9.453125" style="27" bestFit="1" customWidth="1"/>
    <col min="3606" max="3606" width="9.6328125" style="27" customWidth="1"/>
    <col min="3607" max="3840" width="9" style="27"/>
    <col min="3841" max="3841" width="3.26953125" style="27" customWidth="1"/>
    <col min="3842" max="3842" width="7.08984375" style="27" customWidth="1"/>
    <col min="3843" max="3843" width="3.08984375" style="27" customWidth="1"/>
    <col min="3844" max="3844" width="4.08984375" style="27" customWidth="1"/>
    <col min="3845" max="3847" width="9" style="27"/>
    <col min="3848" max="3848" width="8" style="27" customWidth="1"/>
    <col min="3849" max="3849" width="7.08984375" style="27" customWidth="1"/>
    <col min="3850" max="3850" width="41.26953125" style="27" customWidth="1"/>
    <col min="3851" max="3851" width="9" style="27"/>
    <col min="3852" max="3852" width="9.7265625" style="27" customWidth="1"/>
    <col min="3853" max="3854" width="10.26953125" style="27" customWidth="1"/>
    <col min="3855" max="3855" width="11.26953125" style="27" customWidth="1"/>
    <col min="3856" max="3856" width="8.6328125" style="27" customWidth="1"/>
    <col min="3857" max="3857" width="10.36328125" style="27" customWidth="1"/>
    <col min="3858" max="3858" width="9" style="27"/>
    <col min="3859" max="3859" width="8.08984375" style="27" customWidth="1"/>
    <col min="3860" max="3861" width="9.453125" style="27" bestFit="1" customWidth="1"/>
    <col min="3862" max="3862" width="9.6328125" style="27" customWidth="1"/>
    <col min="3863" max="4096" width="9" style="27"/>
    <col min="4097" max="4097" width="3.26953125" style="27" customWidth="1"/>
    <col min="4098" max="4098" width="7.08984375" style="27" customWidth="1"/>
    <col min="4099" max="4099" width="3.08984375" style="27" customWidth="1"/>
    <col min="4100" max="4100" width="4.08984375" style="27" customWidth="1"/>
    <col min="4101" max="4103" width="9" style="27"/>
    <col min="4104" max="4104" width="8" style="27" customWidth="1"/>
    <col min="4105" max="4105" width="7.08984375" style="27" customWidth="1"/>
    <col min="4106" max="4106" width="41.26953125" style="27" customWidth="1"/>
    <col min="4107" max="4107" width="9" style="27"/>
    <col min="4108" max="4108" width="9.7265625" style="27" customWidth="1"/>
    <col min="4109" max="4110" width="10.26953125" style="27" customWidth="1"/>
    <col min="4111" max="4111" width="11.26953125" style="27" customWidth="1"/>
    <col min="4112" max="4112" width="8.6328125" style="27" customWidth="1"/>
    <col min="4113" max="4113" width="10.36328125" style="27" customWidth="1"/>
    <col min="4114" max="4114" width="9" style="27"/>
    <col min="4115" max="4115" width="8.08984375" style="27" customWidth="1"/>
    <col min="4116" max="4117" width="9.453125" style="27" bestFit="1" customWidth="1"/>
    <col min="4118" max="4118" width="9.6328125" style="27" customWidth="1"/>
    <col min="4119" max="4352" width="9" style="27"/>
    <col min="4353" max="4353" width="3.26953125" style="27" customWidth="1"/>
    <col min="4354" max="4354" width="7.08984375" style="27" customWidth="1"/>
    <col min="4355" max="4355" width="3.08984375" style="27" customWidth="1"/>
    <col min="4356" max="4356" width="4.08984375" style="27" customWidth="1"/>
    <col min="4357" max="4359" width="9" style="27"/>
    <col min="4360" max="4360" width="8" style="27" customWidth="1"/>
    <col min="4361" max="4361" width="7.08984375" style="27" customWidth="1"/>
    <col min="4362" max="4362" width="41.26953125" style="27" customWidth="1"/>
    <col min="4363" max="4363" width="9" style="27"/>
    <col min="4364" max="4364" width="9.7265625" style="27" customWidth="1"/>
    <col min="4365" max="4366" width="10.26953125" style="27" customWidth="1"/>
    <col min="4367" max="4367" width="11.26953125" style="27" customWidth="1"/>
    <col min="4368" max="4368" width="8.6328125" style="27" customWidth="1"/>
    <col min="4369" max="4369" width="10.36328125" style="27" customWidth="1"/>
    <col min="4370" max="4370" width="9" style="27"/>
    <col min="4371" max="4371" width="8.08984375" style="27" customWidth="1"/>
    <col min="4372" max="4373" width="9.453125" style="27" bestFit="1" customWidth="1"/>
    <col min="4374" max="4374" width="9.6328125" style="27" customWidth="1"/>
    <col min="4375" max="4608" width="9" style="27"/>
    <col min="4609" max="4609" width="3.26953125" style="27" customWidth="1"/>
    <col min="4610" max="4610" width="7.08984375" style="27" customWidth="1"/>
    <col min="4611" max="4611" width="3.08984375" style="27" customWidth="1"/>
    <col min="4612" max="4612" width="4.08984375" style="27" customWidth="1"/>
    <col min="4613" max="4615" width="9" style="27"/>
    <col min="4616" max="4616" width="8" style="27" customWidth="1"/>
    <col min="4617" max="4617" width="7.08984375" style="27" customWidth="1"/>
    <col min="4618" max="4618" width="41.26953125" style="27" customWidth="1"/>
    <col min="4619" max="4619" width="9" style="27"/>
    <col min="4620" max="4620" width="9.7265625" style="27" customWidth="1"/>
    <col min="4621" max="4622" width="10.26953125" style="27" customWidth="1"/>
    <col min="4623" max="4623" width="11.26953125" style="27" customWidth="1"/>
    <col min="4624" max="4624" width="8.6328125" style="27" customWidth="1"/>
    <col min="4625" max="4625" width="10.36328125" style="27" customWidth="1"/>
    <col min="4626" max="4626" width="9" style="27"/>
    <col min="4627" max="4627" width="8.08984375" style="27" customWidth="1"/>
    <col min="4628" max="4629" width="9.453125" style="27" bestFit="1" customWidth="1"/>
    <col min="4630" max="4630" width="9.6328125" style="27" customWidth="1"/>
    <col min="4631" max="4864" width="9" style="27"/>
    <col min="4865" max="4865" width="3.26953125" style="27" customWidth="1"/>
    <col min="4866" max="4866" width="7.08984375" style="27" customWidth="1"/>
    <col min="4867" max="4867" width="3.08984375" style="27" customWidth="1"/>
    <col min="4868" max="4868" width="4.08984375" style="27" customWidth="1"/>
    <col min="4869" max="4871" width="9" style="27"/>
    <col min="4872" max="4872" width="8" style="27" customWidth="1"/>
    <col min="4873" max="4873" width="7.08984375" style="27" customWidth="1"/>
    <col min="4874" max="4874" width="41.26953125" style="27" customWidth="1"/>
    <col min="4875" max="4875" width="9" style="27"/>
    <col min="4876" max="4876" width="9.7265625" style="27" customWidth="1"/>
    <col min="4877" max="4878" width="10.26953125" style="27" customWidth="1"/>
    <col min="4879" max="4879" width="11.26953125" style="27" customWidth="1"/>
    <col min="4880" max="4880" width="8.6328125" style="27" customWidth="1"/>
    <col min="4881" max="4881" width="10.36328125" style="27" customWidth="1"/>
    <col min="4882" max="4882" width="9" style="27"/>
    <col min="4883" max="4883" width="8.08984375" style="27" customWidth="1"/>
    <col min="4884" max="4885" width="9.453125" style="27" bestFit="1" customWidth="1"/>
    <col min="4886" max="4886" width="9.6328125" style="27" customWidth="1"/>
    <col min="4887" max="5120" width="9" style="27"/>
    <col min="5121" max="5121" width="3.26953125" style="27" customWidth="1"/>
    <col min="5122" max="5122" width="7.08984375" style="27" customWidth="1"/>
    <col min="5123" max="5123" width="3.08984375" style="27" customWidth="1"/>
    <col min="5124" max="5124" width="4.08984375" style="27" customWidth="1"/>
    <col min="5125" max="5127" width="9" style="27"/>
    <col min="5128" max="5128" width="8" style="27" customWidth="1"/>
    <col min="5129" max="5129" width="7.08984375" style="27" customWidth="1"/>
    <col min="5130" max="5130" width="41.26953125" style="27" customWidth="1"/>
    <col min="5131" max="5131" width="9" style="27"/>
    <col min="5132" max="5132" width="9.7265625" style="27" customWidth="1"/>
    <col min="5133" max="5134" width="10.26953125" style="27" customWidth="1"/>
    <col min="5135" max="5135" width="11.26953125" style="27" customWidth="1"/>
    <col min="5136" max="5136" width="8.6328125" style="27" customWidth="1"/>
    <col min="5137" max="5137" width="10.36328125" style="27" customWidth="1"/>
    <col min="5138" max="5138" width="9" style="27"/>
    <col min="5139" max="5139" width="8.08984375" style="27" customWidth="1"/>
    <col min="5140" max="5141" width="9.453125" style="27" bestFit="1" customWidth="1"/>
    <col min="5142" max="5142" width="9.6328125" style="27" customWidth="1"/>
    <col min="5143" max="5376" width="9" style="27"/>
    <col min="5377" max="5377" width="3.26953125" style="27" customWidth="1"/>
    <col min="5378" max="5378" width="7.08984375" style="27" customWidth="1"/>
    <col min="5379" max="5379" width="3.08984375" style="27" customWidth="1"/>
    <col min="5380" max="5380" width="4.08984375" style="27" customWidth="1"/>
    <col min="5381" max="5383" width="9" style="27"/>
    <col min="5384" max="5384" width="8" style="27" customWidth="1"/>
    <col min="5385" max="5385" width="7.08984375" style="27" customWidth="1"/>
    <col min="5386" max="5386" width="41.26953125" style="27" customWidth="1"/>
    <col min="5387" max="5387" width="9" style="27"/>
    <col min="5388" max="5388" width="9.7265625" style="27" customWidth="1"/>
    <col min="5389" max="5390" width="10.26953125" style="27" customWidth="1"/>
    <col min="5391" max="5391" width="11.26953125" style="27" customWidth="1"/>
    <col min="5392" max="5392" width="8.6328125" style="27" customWidth="1"/>
    <col min="5393" max="5393" width="10.36328125" style="27" customWidth="1"/>
    <col min="5394" max="5394" width="9" style="27"/>
    <col min="5395" max="5395" width="8.08984375" style="27" customWidth="1"/>
    <col min="5396" max="5397" width="9.453125" style="27" bestFit="1" customWidth="1"/>
    <col min="5398" max="5398" width="9.6328125" style="27" customWidth="1"/>
    <col min="5399" max="5632" width="9" style="27"/>
    <col min="5633" max="5633" width="3.26953125" style="27" customWidth="1"/>
    <col min="5634" max="5634" width="7.08984375" style="27" customWidth="1"/>
    <col min="5635" max="5635" width="3.08984375" style="27" customWidth="1"/>
    <col min="5636" max="5636" width="4.08984375" style="27" customWidth="1"/>
    <col min="5637" max="5639" width="9" style="27"/>
    <col min="5640" max="5640" width="8" style="27" customWidth="1"/>
    <col min="5641" max="5641" width="7.08984375" style="27" customWidth="1"/>
    <col min="5642" max="5642" width="41.26953125" style="27" customWidth="1"/>
    <col min="5643" max="5643" width="9" style="27"/>
    <col min="5644" max="5644" width="9.7265625" style="27" customWidth="1"/>
    <col min="5645" max="5646" width="10.26953125" style="27" customWidth="1"/>
    <col min="5647" max="5647" width="11.26953125" style="27" customWidth="1"/>
    <col min="5648" max="5648" width="8.6328125" style="27" customWidth="1"/>
    <col min="5649" max="5649" width="10.36328125" style="27" customWidth="1"/>
    <col min="5650" max="5650" width="9" style="27"/>
    <col min="5651" max="5651" width="8.08984375" style="27" customWidth="1"/>
    <col min="5652" max="5653" width="9.453125" style="27" bestFit="1" customWidth="1"/>
    <col min="5654" max="5654" width="9.6328125" style="27" customWidth="1"/>
    <col min="5655" max="5888" width="9" style="27"/>
    <col min="5889" max="5889" width="3.26953125" style="27" customWidth="1"/>
    <col min="5890" max="5890" width="7.08984375" style="27" customWidth="1"/>
    <col min="5891" max="5891" width="3.08984375" style="27" customWidth="1"/>
    <col min="5892" max="5892" width="4.08984375" style="27" customWidth="1"/>
    <col min="5893" max="5895" width="9" style="27"/>
    <col min="5896" max="5896" width="8" style="27" customWidth="1"/>
    <col min="5897" max="5897" width="7.08984375" style="27" customWidth="1"/>
    <col min="5898" max="5898" width="41.26953125" style="27" customWidth="1"/>
    <col min="5899" max="5899" width="9" style="27"/>
    <col min="5900" max="5900" width="9.7265625" style="27" customWidth="1"/>
    <col min="5901" max="5902" width="10.26953125" style="27" customWidth="1"/>
    <col min="5903" max="5903" width="11.26953125" style="27" customWidth="1"/>
    <col min="5904" max="5904" width="8.6328125" style="27" customWidth="1"/>
    <col min="5905" max="5905" width="10.36328125" style="27" customWidth="1"/>
    <col min="5906" max="5906" width="9" style="27"/>
    <col min="5907" max="5907" width="8.08984375" style="27" customWidth="1"/>
    <col min="5908" max="5909" width="9.453125" style="27" bestFit="1" customWidth="1"/>
    <col min="5910" max="5910" width="9.6328125" style="27" customWidth="1"/>
    <col min="5911" max="6144" width="9" style="27"/>
    <col min="6145" max="6145" width="3.26953125" style="27" customWidth="1"/>
    <col min="6146" max="6146" width="7.08984375" style="27" customWidth="1"/>
    <col min="6147" max="6147" width="3.08984375" style="27" customWidth="1"/>
    <col min="6148" max="6148" width="4.08984375" style="27" customWidth="1"/>
    <col min="6149" max="6151" width="9" style="27"/>
    <col min="6152" max="6152" width="8" style="27" customWidth="1"/>
    <col min="6153" max="6153" width="7.08984375" style="27" customWidth="1"/>
    <col min="6154" max="6154" width="41.26953125" style="27" customWidth="1"/>
    <col min="6155" max="6155" width="9" style="27"/>
    <col min="6156" max="6156" width="9.7265625" style="27" customWidth="1"/>
    <col min="6157" max="6158" width="10.26953125" style="27" customWidth="1"/>
    <col min="6159" max="6159" width="11.26953125" style="27" customWidth="1"/>
    <col min="6160" max="6160" width="8.6328125" style="27" customWidth="1"/>
    <col min="6161" max="6161" width="10.36328125" style="27" customWidth="1"/>
    <col min="6162" max="6162" width="9" style="27"/>
    <col min="6163" max="6163" width="8.08984375" style="27" customWidth="1"/>
    <col min="6164" max="6165" width="9.453125" style="27" bestFit="1" customWidth="1"/>
    <col min="6166" max="6166" width="9.6328125" style="27" customWidth="1"/>
    <col min="6167" max="6400" width="9" style="27"/>
    <col min="6401" max="6401" width="3.26953125" style="27" customWidth="1"/>
    <col min="6402" max="6402" width="7.08984375" style="27" customWidth="1"/>
    <col min="6403" max="6403" width="3.08984375" style="27" customWidth="1"/>
    <col min="6404" max="6404" width="4.08984375" style="27" customWidth="1"/>
    <col min="6405" max="6407" width="9" style="27"/>
    <col min="6408" max="6408" width="8" style="27" customWidth="1"/>
    <col min="6409" max="6409" width="7.08984375" style="27" customWidth="1"/>
    <col min="6410" max="6410" width="41.26953125" style="27" customWidth="1"/>
    <col min="6411" max="6411" width="9" style="27"/>
    <col min="6412" max="6412" width="9.7265625" style="27" customWidth="1"/>
    <col min="6413" max="6414" width="10.26953125" style="27" customWidth="1"/>
    <col min="6415" max="6415" width="11.26953125" style="27" customWidth="1"/>
    <col min="6416" max="6416" width="8.6328125" style="27" customWidth="1"/>
    <col min="6417" max="6417" width="10.36328125" style="27" customWidth="1"/>
    <col min="6418" max="6418" width="9" style="27"/>
    <col min="6419" max="6419" width="8.08984375" style="27" customWidth="1"/>
    <col min="6420" max="6421" width="9.453125" style="27" bestFit="1" customWidth="1"/>
    <col min="6422" max="6422" width="9.6328125" style="27" customWidth="1"/>
    <col min="6423" max="6656" width="9" style="27"/>
    <col min="6657" max="6657" width="3.26953125" style="27" customWidth="1"/>
    <col min="6658" max="6658" width="7.08984375" style="27" customWidth="1"/>
    <col min="6659" max="6659" width="3.08984375" style="27" customWidth="1"/>
    <col min="6660" max="6660" width="4.08984375" style="27" customWidth="1"/>
    <col min="6661" max="6663" width="9" style="27"/>
    <col min="6664" max="6664" width="8" style="27" customWidth="1"/>
    <col min="6665" max="6665" width="7.08984375" style="27" customWidth="1"/>
    <col min="6666" max="6666" width="41.26953125" style="27" customWidth="1"/>
    <col min="6667" max="6667" width="9" style="27"/>
    <col min="6668" max="6668" width="9.7265625" style="27" customWidth="1"/>
    <col min="6669" max="6670" width="10.26953125" style="27" customWidth="1"/>
    <col min="6671" max="6671" width="11.26953125" style="27" customWidth="1"/>
    <col min="6672" max="6672" width="8.6328125" style="27" customWidth="1"/>
    <col min="6673" max="6673" width="10.36328125" style="27" customWidth="1"/>
    <col min="6674" max="6674" width="9" style="27"/>
    <col min="6675" max="6675" width="8.08984375" style="27" customWidth="1"/>
    <col min="6676" max="6677" width="9.453125" style="27" bestFit="1" customWidth="1"/>
    <col min="6678" max="6678" width="9.6328125" style="27" customWidth="1"/>
    <col min="6679" max="6912" width="9" style="27"/>
    <col min="6913" max="6913" width="3.26953125" style="27" customWidth="1"/>
    <col min="6914" max="6914" width="7.08984375" style="27" customWidth="1"/>
    <col min="6915" max="6915" width="3.08984375" style="27" customWidth="1"/>
    <col min="6916" max="6916" width="4.08984375" style="27" customWidth="1"/>
    <col min="6917" max="6919" width="9" style="27"/>
    <col min="6920" max="6920" width="8" style="27" customWidth="1"/>
    <col min="6921" max="6921" width="7.08984375" style="27" customWidth="1"/>
    <col min="6922" max="6922" width="41.26953125" style="27" customWidth="1"/>
    <col min="6923" max="6923" width="9" style="27"/>
    <col min="6924" max="6924" width="9.7265625" style="27" customWidth="1"/>
    <col min="6925" max="6926" width="10.26953125" style="27" customWidth="1"/>
    <col min="6927" max="6927" width="11.26953125" style="27" customWidth="1"/>
    <col min="6928" max="6928" width="8.6328125" style="27" customWidth="1"/>
    <col min="6929" max="6929" width="10.36328125" style="27" customWidth="1"/>
    <col min="6930" max="6930" width="9" style="27"/>
    <col min="6931" max="6931" width="8.08984375" style="27" customWidth="1"/>
    <col min="6932" max="6933" width="9.453125" style="27" bestFit="1" customWidth="1"/>
    <col min="6934" max="6934" width="9.6328125" style="27" customWidth="1"/>
    <col min="6935" max="7168" width="9" style="27"/>
    <col min="7169" max="7169" width="3.26953125" style="27" customWidth="1"/>
    <col min="7170" max="7170" width="7.08984375" style="27" customWidth="1"/>
    <col min="7171" max="7171" width="3.08984375" style="27" customWidth="1"/>
    <col min="7172" max="7172" width="4.08984375" style="27" customWidth="1"/>
    <col min="7173" max="7175" width="9" style="27"/>
    <col min="7176" max="7176" width="8" style="27" customWidth="1"/>
    <col min="7177" max="7177" width="7.08984375" style="27" customWidth="1"/>
    <col min="7178" max="7178" width="41.26953125" style="27" customWidth="1"/>
    <col min="7179" max="7179" width="9" style="27"/>
    <col min="7180" max="7180" width="9.7265625" style="27" customWidth="1"/>
    <col min="7181" max="7182" width="10.26953125" style="27" customWidth="1"/>
    <col min="7183" max="7183" width="11.26953125" style="27" customWidth="1"/>
    <col min="7184" max="7184" width="8.6328125" style="27" customWidth="1"/>
    <col min="7185" max="7185" width="10.36328125" style="27" customWidth="1"/>
    <col min="7186" max="7186" width="9" style="27"/>
    <col min="7187" max="7187" width="8.08984375" style="27" customWidth="1"/>
    <col min="7188" max="7189" width="9.453125" style="27" bestFit="1" customWidth="1"/>
    <col min="7190" max="7190" width="9.6328125" style="27" customWidth="1"/>
    <col min="7191" max="7424" width="9" style="27"/>
    <col min="7425" max="7425" width="3.26953125" style="27" customWidth="1"/>
    <col min="7426" max="7426" width="7.08984375" style="27" customWidth="1"/>
    <col min="7427" max="7427" width="3.08984375" style="27" customWidth="1"/>
    <col min="7428" max="7428" width="4.08984375" style="27" customWidth="1"/>
    <col min="7429" max="7431" width="9" style="27"/>
    <col min="7432" max="7432" width="8" style="27" customWidth="1"/>
    <col min="7433" max="7433" width="7.08984375" style="27" customWidth="1"/>
    <col min="7434" max="7434" width="41.26953125" style="27" customWidth="1"/>
    <col min="7435" max="7435" width="9" style="27"/>
    <col min="7436" max="7436" width="9.7265625" style="27" customWidth="1"/>
    <col min="7437" max="7438" width="10.26953125" style="27" customWidth="1"/>
    <col min="7439" max="7439" width="11.26953125" style="27" customWidth="1"/>
    <col min="7440" max="7440" width="8.6328125" style="27" customWidth="1"/>
    <col min="7441" max="7441" width="10.36328125" style="27" customWidth="1"/>
    <col min="7442" max="7442" width="9" style="27"/>
    <col min="7443" max="7443" width="8.08984375" style="27" customWidth="1"/>
    <col min="7444" max="7445" width="9.453125" style="27" bestFit="1" customWidth="1"/>
    <col min="7446" max="7446" width="9.6328125" style="27" customWidth="1"/>
    <col min="7447" max="7680" width="9" style="27"/>
    <col min="7681" max="7681" width="3.26953125" style="27" customWidth="1"/>
    <col min="7682" max="7682" width="7.08984375" style="27" customWidth="1"/>
    <col min="7683" max="7683" width="3.08984375" style="27" customWidth="1"/>
    <col min="7684" max="7684" width="4.08984375" style="27" customWidth="1"/>
    <col min="7685" max="7687" width="9" style="27"/>
    <col min="7688" max="7688" width="8" style="27" customWidth="1"/>
    <col min="7689" max="7689" width="7.08984375" style="27" customWidth="1"/>
    <col min="7690" max="7690" width="41.26953125" style="27" customWidth="1"/>
    <col min="7691" max="7691" width="9" style="27"/>
    <col min="7692" max="7692" width="9.7265625" style="27" customWidth="1"/>
    <col min="7693" max="7694" width="10.26953125" style="27" customWidth="1"/>
    <col min="7695" max="7695" width="11.26953125" style="27" customWidth="1"/>
    <col min="7696" max="7696" width="8.6328125" style="27" customWidth="1"/>
    <col min="7697" max="7697" width="10.36328125" style="27" customWidth="1"/>
    <col min="7698" max="7698" width="9" style="27"/>
    <col min="7699" max="7699" width="8.08984375" style="27" customWidth="1"/>
    <col min="7700" max="7701" width="9.453125" style="27" bestFit="1" customWidth="1"/>
    <col min="7702" max="7702" width="9.6328125" style="27" customWidth="1"/>
    <col min="7703" max="7936" width="9" style="27"/>
    <col min="7937" max="7937" width="3.26953125" style="27" customWidth="1"/>
    <col min="7938" max="7938" width="7.08984375" style="27" customWidth="1"/>
    <col min="7939" max="7939" width="3.08984375" style="27" customWidth="1"/>
    <col min="7940" max="7940" width="4.08984375" style="27" customWidth="1"/>
    <col min="7941" max="7943" width="9" style="27"/>
    <col min="7944" max="7944" width="8" style="27" customWidth="1"/>
    <col min="7945" max="7945" width="7.08984375" style="27" customWidth="1"/>
    <col min="7946" max="7946" width="41.26953125" style="27" customWidth="1"/>
    <col min="7947" max="7947" width="9" style="27"/>
    <col min="7948" max="7948" width="9.7265625" style="27" customWidth="1"/>
    <col min="7949" max="7950" width="10.26953125" style="27" customWidth="1"/>
    <col min="7951" max="7951" width="11.26953125" style="27" customWidth="1"/>
    <col min="7952" max="7952" width="8.6328125" style="27" customWidth="1"/>
    <col min="7953" max="7953" width="10.36328125" style="27" customWidth="1"/>
    <col min="7954" max="7954" width="9" style="27"/>
    <col min="7955" max="7955" width="8.08984375" style="27" customWidth="1"/>
    <col min="7956" max="7957" width="9.453125" style="27" bestFit="1" customWidth="1"/>
    <col min="7958" max="7958" width="9.6328125" style="27" customWidth="1"/>
    <col min="7959" max="8192" width="9" style="27"/>
    <col min="8193" max="8193" width="3.26953125" style="27" customWidth="1"/>
    <col min="8194" max="8194" width="7.08984375" style="27" customWidth="1"/>
    <col min="8195" max="8195" width="3.08984375" style="27" customWidth="1"/>
    <col min="8196" max="8196" width="4.08984375" style="27" customWidth="1"/>
    <col min="8197" max="8199" width="9" style="27"/>
    <col min="8200" max="8200" width="8" style="27" customWidth="1"/>
    <col min="8201" max="8201" width="7.08984375" style="27" customWidth="1"/>
    <col min="8202" max="8202" width="41.26953125" style="27" customWidth="1"/>
    <col min="8203" max="8203" width="9" style="27"/>
    <col min="8204" max="8204" width="9.7265625" style="27" customWidth="1"/>
    <col min="8205" max="8206" width="10.26953125" style="27" customWidth="1"/>
    <col min="8207" max="8207" width="11.26953125" style="27" customWidth="1"/>
    <col min="8208" max="8208" width="8.6328125" style="27" customWidth="1"/>
    <col min="8209" max="8209" width="10.36328125" style="27" customWidth="1"/>
    <col min="8210" max="8210" width="9" style="27"/>
    <col min="8211" max="8211" width="8.08984375" style="27" customWidth="1"/>
    <col min="8212" max="8213" width="9.453125" style="27" bestFit="1" customWidth="1"/>
    <col min="8214" max="8214" width="9.6328125" style="27" customWidth="1"/>
    <col min="8215" max="8448" width="9" style="27"/>
    <col min="8449" max="8449" width="3.26953125" style="27" customWidth="1"/>
    <col min="8450" max="8450" width="7.08984375" style="27" customWidth="1"/>
    <col min="8451" max="8451" width="3.08984375" style="27" customWidth="1"/>
    <col min="8452" max="8452" width="4.08984375" style="27" customWidth="1"/>
    <col min="8453" max="8455" width="9" style="27"/>
    <col min="8456" max="8456" width="8" style="27" customWidth="1"/>
    <col min="8457" max="8457" width="7.08984375" style="27" customWidth="1"/>
    <col min="8458" max="8458" width="41.26953125" style="27" customWidth="1"/>
    <col min="8459" max="8459" width="9" style="27"/>
    <col min="8460" max="8460" width="9.7265625" style="27" customWidth="1"/>
    <col min="8461" max="8462" width="10.26953125" style="27" customWidth="1"/>
    <col min="8463" max="8463" width="11.26953125" style="27" customWidth="1"/>
    <col min="8464" max="8464" width="8.6328125" style="27" customWidth="1"/>
    <col min="8465" max="8465" width="10.36328125" style="27" customWidth="1"/>
    <col min="8466" max="8466" width="9" style="27"/>
    <col min="8467" max="8467" width="8.08984375" style="27" customWidth="1"/>
    <col min="8468" max="8469" width="9.453125" style="27" bestFit="1" customWidth="1"/>
    <col min="8470" max="8470" width="9.6328125" style="27" customWidth="1"/>
    <col min="8471" max="8704" width="9" style="27"/>
    <col min="8705" max="8705" width="3.26953125" style="27" customWidth="1"/>
    <col min="8706" max="8706" width="7.08984375" style="27" customWidth="1"/>
    <col min="8707" max="8707" width="3.08984375" style="27" customWidth="1"/>
    <col min="8708" max="8708" width="4.08984375" style="27" customWidth="1"/>
    <col min="8709" max="8711" width="9" style="27"/>
    <col min="8712" max="8712" width="8" style="27" customWidth="1"/>
    <col min="8713" max="8713" width="7.08984375" style="27" customWidth="1"/>
    <col min="8714" max="8714" width="41.26953125" style="27" customWidth="1"/>
    <col min="8715" max="8715" width="9" style="27"/>
    <col min="8716" max="8716" width="9.7265625" style="27" customWidth="1"/>
    <col min="8717" max="8718" width="10.26953125" style="27" customWidth="1"/>
    <col min="8719" max="8719" width="11.26953125" style="27" customWidth="1"/>
    <col min="8720" max="8720" width="8.6328125" style="27" customWidth="1"/>
    <col min="8721" max="8721" width="10.36328125" style="27" customWidth="1"/>
    <col min="8722" max="8722" width="9" style="27"/>
    <col min="8723" max="8723" width="8.08984375" style="27" customWidth="1"/>
    <col min="8724" max="8725" width="9.453125" style="27" bestFit="1" customWidth="1"/>
    <col min="8726" max="8726" width="9.6328125" style="27" customWidth="1"/>
    <col min="8727" max="8960" width="9" style="27"/>
    <col min="8961" max="8961" width="3.26953125" style="27" customWidth="1"/>
    <col min="8962" max="8962" width="7.08984375" style="27" customWidth="1"/>
    <col min="8963" max="8963" width="3.08984375" style="27" customWidth="1"/>
    <col min="8964" max="8964" width="4.08984375" style="27" customWidth="1"/>
    <col min="8965" max="8967" width="9" style="27"/>
    <col min="8968" max="8968" width="8" style="27" customWidth="1"/>
    <col min="8969" max="8969" width="7.08984375" style="27" customWidth="1"/>
    <col min="8970" max="8970" width="41.26953125" style="27" customWidth="1"/>
    <col min="8971" max="8971" width="9" style="27"/>
    <col min="8972" max="8972" width="9.7265625" style="27" customWidth="1"/>
    <col min="8973" max="8974" width="10.26953125" style="27" customWidth="1"/>
    <col min="8975" max="8975" width="11.26953125" style="27" customWidth="1"/>
    <col min="8976" max="8976" width="8.6328125" style="27" customWidth="1"/>
    <col min="8977" max="8977" width="10.36328125" style="27" customWidth="1"/>
    <col min="8978" max="8978" width="9" style="27"/>
    <col min="8979" max="8979" width="8.08984375" style="27" customWidth="1"/>
    <col min="8980" max="8981" width="9.453125" style="27" bestFit="1" customWidth="1"/>
    <col min="8982" max="8982" width="9.6328125" style="27" customWidth="1"/>
    <col min="8983" max="9216" width="9" style="27"/>
    <col min="9217" max="9217" width="3.26953125" style="27" customWidth="1"/>
    <col min="9218" max="9218" width="7.08984375" style="27" customWidth="1"/>
    <col min="9219" max="9219" width="3.08984375" style="27" customWidth="1"/>
    <col min="9220" max="9220" width="4.08984375" style="27" customWidth="1"/>
    <col min="9221" max="9223" width="9" style="27"/>
    <col min="9224" max="9224" width="8" style="27" customWidth="1"/>
    <col min="9225" max="9225" width="7.08984375" style="27" customWidth="1"/>
    <col min="9226" max="9226" width="41.26953125" style="27" customWidth="1"/>
    <col min="9227" max="9227" width="9" style="27"/>
    <col min="9228" max="9228" width="9.7265625" style="27" customWidth="1"/>
    <col min="9229" max="9230" width="10.26953125" style="27" customWidth="1"/>
    <col min="9231" max="9231" width="11.26953125" style="27" customWidth="1"/>
    <col min="9232" max="9232" width="8.6328125" style="27" customWidth="1"/>
    <col min="9233" max="9233" width="10.36328125" style="27" customWidth="1"/>
    <col min="9234" max="9234" width="9" style="27"/>
    <col min="9235" max="9235" width="8.08984375" style="27" customWidth="1"/>
    <col min="9236" max="9237" width="9.453125" style="27" bestFit="1" customWidth="1"/>
    <col min="9238" max="9238" width="9.6328125" style="27" customWidth="1"/>
    <col min="9239" max="9472" width="9" style="27"/>
    <col min="9473" max="9473" width="3.26953125" style="27" customWidth="1"/>
    <col min="9474" max="9474" width="7.08984375" style="27" customWidth="1"/>
    <col min="9475" max="9475" width="3.08984375" style="27" customWidth="1"/>
    <col min="9476" max="9476" width="4.08984375" style="27" customWidth="1"/>
    <col min="9477" max="9479" width="9" style="27"/>
    <col min="9480" max="9480" width="8" style="27" customWidth="1"/>
    <col min="9481" max="9481" width="7.08984375" style="27" customWidth="1"/>
    <col min="9482" max="9482" width="41.26953125" style="27" customWidth="1"/>
    <col min="9483" max="9483" width="9" style="27"/>
    <col min="9484" max="9484" width="9.7265625" style="27" customWidth="1"/>
    <col min="9485" max="9486" width="10.26953125" style="27" customWidth="1"/>
    <col min="9487" max="9487" width="11.26953125" style="27" customWidth="1"/>
    <col min="9488" max="9488" width="8.6328125" style="27" customWidth="1"/>
    <col min="9489" max="9489" width="10.36328125" style="27" customWidth="1"/>
    <col min="9490" max="9490" width="9" style="27"/>
    <col min="9491" max="9491" width="8.08984375" style="27" customWidth="1"/>
    <col min="9492" max="9493" width="9.453125" style="27" bestFit="1" customWidth="1"/>
    <col min="9494" max="9494" width="9.6328125" style="27" customWidth="1"/>
    <col min="9495" max="9728" width="9" style="27"/>
    <col min="9729" max="9729" width="3.26953125" style="27" customWidth="1"/>
    <col min="9730" max="9730" width="7.08984375" style="27" customWidth="1"/>
    <col min="9731" max="9731" width="3.08984375" style="27" customWidth="1"/>
    <col min="9732" max="9732" width="4.08984375" style="27" customWidth="1"/>
    <col min="9733" max="9735" width="9" style="27"/>
    <col min="9736" max="9736" width="8" style="27" customWidth="1"/>
    <col min="9737" max="9737" width="7.08984375" style="27" customWidth="1"/>
    <col min="9738" max="9738" width="41.26953125" style="27" customWidth="1"/>
    <col min="9739" max="9739" width="9" style="27"/>
    <col min="9740" max="9740" width="9.7265625" style="27" customWidth="1"/>
    <col min="9741" max="9742" width="10.26953125" style="27" customWidth="1"/>
    <col min="9743" max="9743" width="11.26953125" style="27" customWidth="1"/>
    <col min="9744" max="9744" width="8.6328125" style="27" customWidth="1"/>
    <col min="9745" max="9745" width="10.36328125" style="27" customWidth="1"/>
    <col min="9746" max="9746" width="9" style="27"/>
    <col min="9747" max="9747" width="8.08984375" style="27" customWidth="1"/>
    <col min="9748" max="9749" width="9.453125" style="27" bestFit="1" customWidth="1"/>
    <col min="9750" max="9750" width="9.6328125" style="27" customWidth="1"/>
    <col min="9751" max="9984" width="9" style="27"/>
    <col min="9985" max="9985" width="3.26953125" style="27" customWidth="1"/>
    <col min="9986" max="9986" width="7.08984375" style="27" customWidth="1"/>
    <col min="9987" max="9987" width="3.08984375" style="27" customWidth="1"/>
    <col min="9988" max="9988" width="4.08984375" style="27" customWidth="1"/>
    <col min="9989" max="9991" width="9" style="27"/>
    <col min="9992" max="9992" width="8" style="27" customWidth="1"/>
    <col min="9993" max="9993" width="7.08984375" style="27" customWidth="1"/>
    <col min="9994" max="9994" width="41.26953125" style="27" customWidth="1"/>
    <col min="9995" max="9995" width="9" style="27"/>
    <col min="9996" max="9996" width="9.7265625" style="27" customWidth="1"/>
    <col min="9997" max="9998" width="10.26953125" style="27" customWidth="1"/>
    <col min="9999" max="9999" width="11.26953125" style="27" customWidth="1"/>
    <col min="10000" max="10000" width="8.6328125" style="27" customWidth="1"/>
    <col min="10001" max="10001" width="10.36328125" style="27" customWidth="1"/>
    <col min="10002" max="10002" width="9" style="27"/>
    <col min="10003" max="10003" width="8.08984375" style="27" customWidth="1"/>
    <col min="10004" max="10005" width="9.453125" style="27" bestFit="1" customWidth="1"/>
    <col min="10006" max="10006" width="9.6328125" style="27" customWidth="1"/>
    <col min="10007" max="10240" width="9" style="27"/>
    <col min="10241" max="10241" width="3.26953125" style="27" customWidth="1"/>
    <col min="10242" max="10242" width="7.08984375" style="27" customWidth="1"/>
    <col min="10243" max="10243" width="3.08984375" style="27" customWidth="1"/>
    <col min="10244" max="10244" width="4.08984375" style="27" customWidth="1"/>
    <col min="10245" max="10247" width="9" style="27"/>
    <col min="10248" max="10248" width="8" style="27" customWidth="1"/>
    <col min="10249" max="10249" width="7.08984375" style="27" customWidth="1"/>
    <col min="10250" max="10250" width="41.26953125" style="27" customWidth="1"/>
    <col min="10251" max="10251" width="9" style="27"/>
    <col min="10252" max="10252" width="9.7265625" style="27" customWidth="1"/>
    <col min="10253" max="10254" width="10.26953125" style="27" customWidth="1"/>
    <col min="10255" max="10255" width="11.26953125" style="27" customWidth="1"/>
    <col min="10256" max="10256" width="8.6328125" style="27" customWidth="1"/>
    <col min="10257" max="10257" width="10.36328125" style="27" customWidth="1"/>
    <col min="10258" max="10258" width="9" style="27"/>
    <col min="10259" max="10259" width="8.08984375" style="27" customWidth="1"/>
    <col min="10260" max="10261" width="9.453125" style="27" bestFit="1" customWidth="1"/>
    <col min="10262" max="10262" width="9.6328125" style="27" customWidth="1"/>
    <col min="10263" max="10496" width="9" style="27"/>
    <col min="10497" max="10497" width="3.26953125" style="27" customWidth="1"/>
    <col min="10498" max="10498" width="7.08984375" style="27" customWidth="1"/>
    <col min="10499" max="10499" width="3.08984375" style="27" customWidth="1"/>
    <col min="10500" max="10500" width="4.08984375" style="27" customWidth="1"/>
    <col min="10501" max="10503" width="9" style="27"/>
    <col min="10504" max="10504" width="8" style="27" customWidth="1"/>
    <col min="10505" max="10505" width="7.08984375" style="27" customWidth="1"/>
    <col min="10506" max="10506" width="41.26953125" style="27" customWidth="1"/>
    <col min="10507" max="10507" width="9" style="27"/>
    <col min="10508" max="10508" width="9.7265625" style="27" customWidth="1"/>
    <col min="10509" max="10510" width="10.26953125" style="27" customWidth="1"/>
    <col min="10511" max="10511" width="11.26953125" style="27" customWidth="1"/>
    <col min="10512" max="10512" width="8.6328125" style="27" customWidth="1"/>
    <col min="10513" max="10513" width="10.36328125" style="27" customWidth="1"/>
    <col min="10514" max="10514" width="9" style="27"/>
    <col min="10515" max="10515" width="8.08984375" style="27" customWidth="1"/>
    <col min="10516" max="10517" width="9.453125" style="27" bestFit="1" customWidth="1"/>
    <col min="10518" max="10518" width="9.6328125" style="27" customWidth="1"/>
    <col min="10519" max="10752" width="9" style="27"/>
    <col min="10753" max="10753" width="3.26953125" style="27" customWidth="1"/>
    <col min="10754" max="10754" width="7.08984375" style="27" customWidth="1"/>
    <col min="10755" max="10755" width="3.08984375" style="27" customWidth="1"/>
    <col min="10756" max="10756" width="4.08984375" style="27" customWidth="1"/>
    <col min="10757" max="10759" width="9" style="27"/>
    <col min="10760" max="10760" width="8" style="27" customWidth="1"/>
    <col min="10761" max="10761" width="7.08984375" style="27" customWidth="1"/>
    <col min="10762" max="10762" width="41.26953125" style="27" customWidth="1"/>
    <col min="10763" max="10763" width="9" style="27"/>
    <col min="10764" max="10764" width="9.7265625" style="27" customWidth="1"/>
    <col min="10765" max="10766" width="10.26953125" style="27" customWidth="1"/>
    <col min="10767" max="10767" width="11.26953125" style="27" customWidth="1"/>
    <col min="10768" max="10768" width="8.6328125" style="27" customWidth="1"/>
    <col min="10769" max="10769" width="10.36328125" style="27" customWidth="1"/>
    <col min="10770" max="10770" width="9" style="27"/>
    <col min="10771" max="10771" width="8.08984375" style="27" customWidth="1"/>
    <col min="10772" max="10773" width="9.453125" style="27" bestFit="1" customWidth="1"/>
    <col min="10774" max="10774" width="9.6328125" style="27" customWidth="1"/>
    <col min="10775" max="11008" width="9" style="27"/>
    <col min="11009" max="11009" width="3.26953125" style="27" customWidth="1"/>
    <col min="11010" max="11010" width="7.08984375" style="27" customWidth="1"/>
    <col min="11011" max="11011" width="3.08984375" style="27" customWidth="1"/>
    <col min="11012" max="11012" width="4.08984375" style="27" customWidth="1"/>
    <col min="11013" max="11015" width="9" style="27"/>
    <col min="11016" max="11016" width="8" style="27" customWidth="1"/>
    <col min="11017" max="11017" width="7.08984375" style="27" customWidth="1"/>
    <col min="11018" max="11018" width="41.26953125" style="27" customWidth="1"/>
    <col min="11019" max="11019" width="9" style="27"/>
    <col min="11020" max="11020" width="9.7265625" style="27" customWidth="1"/>
    <col min="11021" max="11022" width="10.26953125" style="27" customWidth="1"/>
    <col min="11023" max="11023" width="11.26953125" style="27" customWidth="1"/>
    <col min="11024" max="11024" width="8.6328125" style="27" customWidth="1"/>
    <col min="11025" max="11025" width="10.36328125" style="27" customWidth="1"/>
    <col min="11026" max="11026" width="9" style="27"/>
    <col min="11027" max="11027" width="8.08984375" style="27" customWidth="1"/>
    <col min="11028" max="11029" width="9.453125" style="27" bestFit="1" customWidth="1"/>
    <col min="11030" max="11030" width="9.6328125" style="27" customWidth="1"/>
    <col min="11031" max="11264" width="9" style="27"/>
    <col min="11265" max="11265" width="3.26953125" style="27" customWidth="1"/>
    <col min="11266" max="11266" width="7.08984375" style="27" customWidth="1"/>
    <col min="11267" max="11267" width="3.08984375" style="27" customWidth="1"/>
    <col min="11268" max="11268" width="4.08984375" style="27" customWidth="1"/>
    <col min="11269" max="11271" width="9" style="27"/>
    <col min="11272" max="11272" width="8" style="27" customWidth="1"/>
    <col min="11273" max="11273" width="7.08984375" style="27" customWidth="1"/>
    <col min="11274" max="11274" width="41.26953125" style="27" customWidth="1"/>
    <col min="11275" max="11275" width="9" style="27"/>
    <col min="11276" max="11276" width="9.7265625" style="27" customWidth="1"/>
    <col min="11277" max="11278" width="10.26953125" style="27" customWidth="1"/>
    <col min="11279" max="11279" width="11.26953125" style="27" customWidth="1"/>
    <col min="11280" max="11280" width="8.6328125" style="27" customWidth="1"/>
    <col min="11281" max="11281" width="10.36328125" style="27" customWidth="1"/>
    <col min="11282" max="11282" width="9" style="27"/>
    <col min="11283" max="11283" width="8.08984375" style="27" customWidth="1"/>
    <col min="11284" max="11285" width="9.453125" style="27" bestFit="1" customWidth="1"/>
    <col min="11286" max="11286" width="9.6328125" style="27" customWidth="1"/>
    <col min="11287" max="11520" width="9" style="27"/>
    <col min="11521" max="11521" width="3.26953125" style="27" customWidth="1"/>
    <col min="11522" max="11522" width="7.08984375" style="27" customWidth="1"/>
    <col min="11523" max="11523" width="3.08984375" style="27" customWidth="1"/>
    <col min="11524" max="11524" width="4.08984375" style="27" customWidth="1"/>
    <col min="11525" max="11527" width="9" style="27"/>
    <col min="11528" max="11528" width="8" style="27" customWidth="1"/>
    <col min="11529" max="11529" width="7.08984375" style="27" customWidth="1"/>
    <col min="11530" max="11530" width="41.26953125" style="27" customWidth="1"/>
    <col min="11531" max="11531" width="9" style="27"/>
    <col min="11532" max="11532" width="9.7265625" style="27" customWidth="1"/>
    <col min="11533" max="11534" width="10.26953125" style="27" customWidth="1"/>
    <col min="11535" max="11535" width="11.26953125" style="27" customWidth="1"/>
    <col min="11536" max="11536" width="8.6328125" style="27" customWidth="1"/>
    <col min="11537" max="11537" width="10.36328125" style="27" customWidth="1"/>
    <col min="11538" max="11538" width="9" style="27"/>
    <col min="11539" max="11539" width="8.08984375" style="27" customWidth="1"/>
    <col min="11540" max="11541" width="9.453125" style="27" bestFit="1" customWidth="1"/>
    <col min="11542" max="11542" width="9.6328125" style="27" customWidth="1"/>
    <col min="11543" max="11776" width="9" style="27"/>
    <col min="11777" max="11777" width="3.26953125" style="27" customWidth="1"/>
    <col min="11778" max="11778" width="7.08984375" style="27" customWidth="1"/>
    <col min="11779" max="11779" width="3.08984375" style="27" customWidth="1"/>
    <col min="11780" max="11780" width="4.08984375" style="27" customWidth="1"/>
    <col min="11781" max="11783" width="9" style="27"/>
    <col min="11784" max="11784" width="8" style="27" customWidth="1"/>
    <col min="11785" max="11785" width="7.08984375" style="27" customWidth="1"/>
    <col min="11786" max="11786" width="41.26953125" style="27" customWidth="1"/>
    <col min="11787" max="11787" width="9" style="27"/>
    <col min="11788" max="11788" width="9.7265625" style="27" customWidth="1"/>
    <col min="11789" max="11790" width="10.26953125" style="27" customWidth="1"/>
    <col min="11791" max="11791" width="11.26953125" style="27" customWidth="1"/>
    <col min="11792" max="11792" width="8.6328125" style="27" customWidth="1"/>
    <col min="11793" max="11793" width="10.36328125" style="27" customWidth="1"/>
    <col min="11794" max="11794" width="9" style="27"/>
    <col min="11795" max="11795" width="8.08984375" style="27" customWidth="1"/>
    <col min="11796" max="11797" width="9.453125" style="27" bestFit="1" customWidth="1"/>
    <col min="11798" max="11798" width="9.6328125" style="27" customWidth="1"/>
    <col min="11799" max="12032" width="9" style="27"/>
    <col min="12033" max="12033" width="3.26953125" style="27" customWidth="1"/>
    <col min="12034" max="12034" width="7.08984375" style="27" customWidth="1"/>
    <col min="12035" max="12035" width="3.08984375" style="27" customWidth="1"/>
    <col min="12036" max="12036" width="4.08984375" style="27" customWidth="1"/>
    <col min="12037" max="12039" width="9" style="27"/>
    <col min="12040" max="12040" width="8" style="27" customWidth="1"/>
    <col min="12041" max="12041" width="7.08984375" style="27" customWidth="1"/>
    <col min="12042" max="12042" width="41.26953125" style="27" customWidth="1"/>
    <col min="12043" max="12043" width="9" style="27"/>
    <col min="12044" max="12044" width="9.7265625" style="27" customWidth="1"/>
    <col min="12045" max="12046" width="10.26953125" style="27" customWidth="1"/>
    <col min="12047" max="12047" width="11.26953125" style="27" customWidth="1"/>
    <col min="12048" max="12048" width="8.6328125" style="27" customWidth="1"/>
    <col min="12049" max="12049" width="10.36328125" style="27" customWidth="1"/>
    <col min="12050" max="12050" width="9" style="27"/>
    <col min="12051" max="12051" width="8.08984375" style="27" customWidth="1"/>
    <col min="12052" max="12053" width="9.453125" style="27" bestFit="1" customWidth="1"/>
    <col min="12054" max="12054" width="9.6328125" style="27" customWidth="1"/>
    <col min="12055" max="12288" width="9" style="27"/>
    <col min="12289" max="12289" width="3.26953125" style="27" customWidth="1"/>
    <col min="12290" max="12290" width="7.08984375" style="27" customWidth="1"/>
    <col min="12291" max="12291" width="3.08984375" style="27" customWidth="1"/>
    <col min="12292" max="12292" width="4.08984375" style="27" customWidth="1"/>
    <col min="12293" max="12295" width="9" style="27"/>
    <col min="12296" max="12296" width="8" style="27" customWidth="1"/>
    <col min="12297" max="12297" width="7.08984375" style="27" customWidth="1"/>
    <col min="12298" max="12298" width="41.26953125" style="27" customWidth="1"/>
    <col min="12299" max="12299" width="9" style="27"/>
    <col min="12300" max="12300" width="9.7265625" style="27" customWidth="1"/>
    <col min="12301" max="12302" width="10.26953125" style="27" customWidth="1"/>
    <col min="12303" max="12303" width="11.26953125" style="27" customWidth="1"/>
    <col min="12304" max="12304" width="8.6328125" style="27" customWidth="1"/>
    <col min="12305" max="12305" width="10.36328125" style="27" customWidth="1"/>
    <col min="12306" max="12306" width="9" style="27"/>
    <col min="12307" max="12307" width="8.08984375" style="27" customWidth="1"/>
    <col min="12308" max="12309" width="9.453125" style="27" bestFit="1" customWidth="1"/>
    <col min="12310" max="12310" width="9.6328125" style="27" customWidth="1"/>
    <col min="12311" max="12544" width="9" style="27"/>
    <col min="12545" max="12545" width="3.26953125" style="27" customWidth="1"/>
    <col min="12546" max="12546" width="7.08984375" style="27" customWidth="1"/>
    <col min="12547" max="12547" width="3.08984375" style="27" customWidth="1"/>
    <col min="12548" max="12548" width="4.08984375" style="27" customWidth="1"/>
    <col min="12549" max="12551" width="9" style="27"/>
    <col min="12552" max="12552" width="8" style="27" customWidth="1"/>
    <col min="12553" max="12553" width="7.08984375" style="27" customWidth="1"/>
    <col min="12554" max="12554" width="41.26953125" style="27" customWidth="1"/>
    <col min="12555" max="12555" width="9" style="27"/>
    <col min="12556" max="12556" width="9.7265625" style="27" customWidth="1"/>
    <col min="12557" max="12558" width="10.26953125" style="27" customWidth="1"/>
    <col min="12559" max="12559" width="11.26953125" style="27" customWidth="1"/>
    <col min="12560" max="12560" width="8.6328125" style="27" customWidth="1"/>
    <col min="12561" max="12561" width="10.36328125" style="27" customWidth="1"/>
    <col min="12562" max="12562" width="9" style="27"/>
    <col min="12563" max="12563" width="8.08984375" style="27" customWidth="1"/>
    <col min="12564" max="12565" width="9.453125" style="27" bestFit="1" customWidth="1"/>
    <col min="12566" max="12566" width="9.6328125" style="27" customWidth="1"/>
    <col min="12567" max="12800" width="9" style="27"/>
    <col min="12801" max="12801" width="3.26953125" style="27" customWidth="1"/>
    <col min="12802" max="12802" width="7.08984375" style="27" customWidth="1"/>
    <col min="12803" max="12803" width="3.08984375" style="27" customWidth="1"/>
    <col min="12804" max="12804" width="4.08984375" style="27" customWidth="1"/>
    <col min="12805" max="12807" width="9" style="27"/>
    <col min="12808" max="12808" width="8" style="27" customWidth="1"/>
    <col min="12809" max="12809" width="7.08984375" style="27" customWidth="1"/>
    <col min="12810" max="12810" width="41.26953125" style="27" customWidth="1"/>
    <col min="12811" max="12811" width="9" style="27"/>
    <col min="12812" max="12812" width="9.7265625" style="27" customWidth="1"/>
    <col min="12813" max="12814" width="10.26953125" style="27" customWidth="1"/>
    <col min="12815" max="12815" width="11.26953125" style="27" customWidth="1"/>
    <col min="12816" max="12816" width="8.6328125" style="27" customWidth="1"/>
    <col min="12817" max="12817" width="10.36328125" style="27" customWidth="1"/>
    <col min="12818" max="12818" width="9" style="27"/>
    <col min="12819" max="12819" width="8.08984375" style="27" customWidth="1"/>
    <col min="12820" max="12821" width="9.453125" style="27" bestFit="1" customWidth="1"/>
    <col min="12822" max="12822" width="9.6328125" style="27" customWidth="1"/>
    <col min="12823" max="13056" width="9" style="27"/>
    <col min="13057" max="13057" width="3.26953125" style="27" customWidth="1"/>
    <col min="13058" max="13058" width="7.08984375" style="27" customWidth="1"/>
    <col min="13059" max="13059" width="3.08984375" style="27" customWidth="1"/>
    <col min="13060" max="13060" width="4.08984375" style="27" customWidth="1"/>
    <col min="13061" max="13063" width="9" style="27"/>
    <col min="13064" max="13064" width="8" style="27" customWidth="1"/>
    <col min="13065" max="13065" width="7.08984375" style="27" customWidth="1"/>
    <col min="13066" max="13066" width="41.26953125" style="27" customWidth="1"/>
    <col min="13067" max="13067" width="9" style="27"/>
    <col min="13068" max="13068" width="9.7265625" style="27" customWidth="1"/>
    <col min="13069" max="13070" width="10.26953125" style="27" customWidth="1"/>
    <col min="13071" max="13071" width="11.26953125" style="27" customWidth="1"/>
    <col min="13072" max="13072" width="8.6328125" style="27" customWidth="1"/>
    <col min="13073" max="13073" width="10.36328125" style="27" customWidth="1"/>
    <col min="13074" max="13074" width="9" style="27"/>
    <col min="13075" max="13075" width="8.08984375" style="27" customWidth="1"/>
    <col min="13076" max="13077" width="9.453125" style="27" bestFit="1" customWidth="1"/>
    <col min="13078" max="13078" width="9.6328125" style="27" customWidth="1"/>
    <col min="13079" max="13312" width="9" style="27"/>
    <col min="13313" max="13313" width="3.26953125" style="27" customWidth="1"/>
    <col min="13314" max="13314" width="7.08984375" style="27" customWidth="1"/>
    <col min="13315" max="13315" width="3.08984375" style="27" customWidth="1"/>
    <col min="13316" max="13316" width="4.08984375" style="27" customWidth="1"/>
    <col min="13317" max="13319" width="9" style="27"/>
    <col min="13320" max="13320" width="8" style="27" customWidth="1"/>
    <col min="13321" max="13321" width="7.08984375" style="27" customWidth="1"/>
    <col min="13322" max="13322" width="41.26953125" style="27" customWidth="1"/>
    <col min="13323" max="13323" width="9" style="27"/>
    <col min="13324" max="13324" width="9.7265625" style="27" customWidth="1"/>
    <col min="13325" max="13326" width="10.26953125" style="27" customWidth="1"/>
    <col min="13327" max="13327" width="11.26953125" style="27" customWidth="1"/>
    <col min="13328" max="13328" width="8.6328125" style="27" customWidth="1"/>
    <col min="13329" max="13329" width="10.36328125" style="27" customWidth="1"/>
    <col min="13330" max="13330" width="9" style="27"/>
    <col min="13331" max="13331" width="8.08984375" style="27" customWidth="1"/>
    <col min="13332" max="13333" width="9.453125" style="27" bestFit="1" customWidth="1"/>
    <col min="13334" max="13334" width="9.6328125" style="27" customWidth="1"/>
    <col min="13335" max="13568" width="9" style="27"/>
    <col min="13569" max="13569" width="3.26953125" style="27" customWidth="1"/>
    <col min="13570" max="13570" width="7.08984375" style="27" customWidth="1"/>
    <col min="13571" max="13571" width="3.08984375" style="27" customWidth="1"/>
    <col min="13572" max="13572" width="4.08984375" style="27" customWidth="1"/>
    <col min="13573" max="13575" width="9" style="27"/>
    <col min="13576" max="13576" width="8" style="27" customWidth="1"/>
    <col min="13577" max="13577" width="7.08984375" style="27" customWidth="1"/>
    <col min="13578" max="13578" width="41.26953125" style="27" customWidth="1"/>
    <col min="13579" max="13579" width="9" style="27"/>
    <col min="13580" max="13580" width="9.7265625" style="27" customWidth="1"/>
    <col min="13581" max="13582" width="10.26953125" style="27" customWidth="1"/>
    <col min="13583" max="13583" width="11.26953125" style="27" customWidth="1"/>
    <col min="13584" max="13584" width="8.6328125" style="27" customWidth="1"/>
    <col min="13585" max="13585" width="10.36328125" style="27" customWidth="1"/>
    <col min="13586" max="13586" width="9" style="27"/>
    <col min="13587" max="13587" width="8.08984375" style="27" customWidth="1"/>
    <col min="13588" max="13589" width="9.453125" style="27" bestFit="1" customWidth="1"/>
    <col min="13590" max="13590" width="9.6328125" style="27" customWidth="1"/>
    <col min="13591" max="13824" width="9" style="27"/>
    <col min="13825" max="13825" width="3.26953125" style="27" customWidth="1"/>
    <col min="13826" max="13826" width="7.08984375" style="27" customWidth="1"/>
    <col min="13827" max="13827" width="3.08984375" style="27" customWidth="1"/>
    <col min="13828" max="13828" width="4.08984375" style="27" customWidth="1"/>
    <col min="13829" max="13831" width="9" style="27"/>
    <col min="13832" max="13832" width="8" style="27" customWidth="1"/>
    <col min="13833" max="13833" width="7.08984375" style="27" customWidth="1"/>
    <col min="13834" max="13834" width="41.26953125" style="27" customWidth="1"/>
    <col min="13835" max="13835" width="9" style="27"/>
    <col min="13836" max="13836" width="9.7265625" style="27" customWidth="1"/>
    <col min="13837" max="13838" width="10.26953125" style="27" customWidth="1"/>
    <col min="13839" max="13839" width="11.26953125" style="27" customWidth="1"/>
    <col min="13840" max="13840" width="8.6328125" style="27" customWidth="1"/>
    <col min="13841" max="13841" width="10.36328125" style="27" customWidth="1"/>
    <col min="13842" max="13842" width="9" style="27"/>
    <col min="13843" max="13843" width="8.08984375" style="27" customWidth="1"/>
    <col min="13844" max="13845" width="9.453125" style="27" bestFit="1" customWidth="1"/>
    <col min="13846" max="13846" width="9.6328125" style="27" customWidth="1"/>
    <col min="13847" max="14080" width="9" style="27"/>
    <col min="14081" max="14081" width="3.26953125" style="27" customWidth="1"/>
    <col min="14082" max="14082" width="7.08984375" style="27" customWidth="1"/>
    <col min="14083" max="14083" width="3.08984375" style="27" customWidth="1"/>
    <col min="14084" max="14084" width="4.08984375" style="27" customWidth="1"/>
    <col min="14085" max="14087" width="9" style="27"/>
    <col min="14088" max="14088" width="8" style="27" customWidth="1"/>
    <col min="14089" max="14089" width="7.08984375" style="27" customWidth="1"/>
    <col min="14090" max="14090" width="41.26953125" style="27" customWidth="1"/>
    <col min="14091" max="14091" width="9" style="27"/>
    <col min="14092" max="14092" width="9.7265625" style="27" customWidth="1"/>
    <col min="14093" max="14094" width="10.26953125" style="27" customWidth="1"/>
    <col min="14095" max="14095" width="11.26953125" style="27" customWidth="1"/>
    <col min="14096" max="14096" width="8.6328125" style="27" customWidth="1"/>
    <col min="14097" max="14097" width="10.36328125" style="27" customWidth="1"/>
    <col min="14098" max="14098" width="9" style="27"/>
    <col min="14099" max="14099" width="8.08984375" style="27" customWidth="1"/>
    <col min="14100" max="14101" width="9.453125" style="27" bestFit="1" customWidth="1"/>
    <col min="14102" max="14102" width="9.6328125" style="27" customWidth="1"/>
    <col min="14103" max="14336" width="9" style="27"/>
    <col min="14337" max="14337" width="3.26953125" style="27" customWidth="1"/>
    <col min="14338" max="14338" width="7.08984375" style="27" customWidth="1"/>
    <col min="14339" max="14339" width="3.08984375" style="27" customWidth="1"/>
    <col min="14340" max="14340" width="4.08984375" style="27" customWidth="1"/>
    <col min="14341" max="14343" width="9" style="27"/>
    <col min="14344" max="14344" width="8" style="27" customWidth="1"/>
    <col min="14345" max="14345" width="7.08984375" style="27" customWidth="1"/>
    <col min="14346" max="14346" width="41.26953125" style="27" customWidth="1"/>
    <col min="14347" max="14347" width="9" style="27"/>
    <col min="14348" max="14348" width="9.7265625" style="27" customWidth="1"/>
    <col min="14349" max="14350" width="10.26953125" style="27" customWidth="1"/>
    <col min="14351" max="14351" width="11.26953125" style="27" customWidth="1"/>
    <col min="14352" max="14352" width="8.6328125" style="27" customWidth="1"/>
    <col min="14353" max="14353" width="10.36328125" style="27" customWidth="1"/>
    <col min="14354" max="14354" width="9" style="27"/>
    <col min="14355" max="14355" width="8.08984375" style="27" customWidth="1"/>
    <col min="14356" max="14357" width="9.453125" style="27" bestFit="1" customWidth="1"/>
    <col min="14358" max="14358" width="9.6328125" style="27" customWidth="1"/>
    <col min="14359" max="14592" width="9" style="27"/>
    <col min="14593" max="14593" width="3.26953125" style="27" customWidth="1"/>
    <col min="14594" max="14594" width="7.08984375" style="27" customWidth="1"/>
    <col min="14595" max="14595" width="3.08984375" style="27" customWidth="1"/>
    <col min="14596" max="14596" width="4.08984375" style="27" customWidth="1"/>
    <col min="14597" max="14599" width="9" style="27"/>
    <col min="14600" max="14600" width="8" style="27" customWidth="1"/>
    <col min="14601" max="14601" width="7.08984375" style="27" customWidth="1"/>
    <col min="14602" max="14602" width="41.26953125" style="27" customWidth="1"/>
    <col min="14603" max="14603" width="9" style="27"/>
    <col min="14604" max="14604" width="9.7265625" style="27" customWidth="1"/>
    <col min="14605" max="14606" width="10.26953125" style="27" customWidth="1"/>
    <col min="14607" max="14607" width="11.26953125" style="27" customWidth="1"/>
    <col min="14608" max="14608" width="8.6328125" style="27" customWidth="1"/>
    <col min="14609" max="14609" width="10.36328125" style="27" customWidth="1"/>
    <col min="14610" max="14610" width="9" style="27"/>
    <col min="14611" max="14611" width="8.08984375" style="27" customWidth="1"/>
    <col min="14612" max="14613" width="9.453125" style="27" bestFit="1" customWidth="1"/>
    <col min="14614" max="14614" width="9.6328125" style="27" customWidth="1"/>
    <col min="14615" max="14848" width="9" style="27"/>
    <col min="14849" max="14849" width="3.26953125" style="27" customWidth="1"/>
    <col min="14850" max="14850" width="7.08984375" style="27" customWidth="1"/>
    <col min="14851" max="14851" width="3.08984375" style="27" customWidth="1"/>
    <col min="14852" max="14852" width="4.08984375" style="27" customWidth="1"/>
    <col min="14853" max="14855" width="9" style="27"/>
    <col min="14856" max="14856" width="8" style="27" customWidth="1"/>
    <col min="14857" max="14857" width="7.08984375" style="27" customWidth="1"/>
    <col min="14858" max="14858" width="41.26953125" style="27" customWidth="1"/>
    <col min="14859" max="14859" width="9" style="27"/>
    <col min="14860" max="14860" width="9.7265625" style="27" customWidth="1"/>
    <col min="14861" max="14862" width="10.26953125" style="27" customWidth="1"/>
    <col min="14863" max="14863" width="11.26953125" style="27" customWidth="1"/>
    <col min="14864" max="14864" width="8.6328125" style="27" customWidth="1"/>
    <col min="14865" max="14865" width="10.36328125" style="27" customWidth="1"/>
    <col min="14866" max="14866" width="9" style="27"/>
    <col min="14867" max="14867" width="8.08984375" style="27" customWidth="1"/>
    <col min="14868" max="14869" width="9.453125" style="27" bestFit="1" customWidth="1"/>
    <col min="14870" max="14870" width="9.6328125" style="27" customWidth="1"/>
    <col min="14871" max="15104" width="9" style="27"/>
    <col min="15105" max="15105" width="3.26953125" style="27" customWidth="1"/>
    <col min="15106" max="15106" width="7.08984375" style="27" customWidth="1"/>
    <col min="15107" max="15107" width="3.08984375" style="27" customWidth="1"/>
    <col min="15108" max="15108" width="4.08984375" style="27" customWidth="1"/>
    <col min="15109" max="15111" width="9" style="27"/>
    <col min="15112" max="15112" width="8" style="27" customWidth="1"/>
    <col min="15113" max="15113" width="7.08984375" style="27" customWidth="1"/>
    <col min="15114" max="15114" width="41.26953125" style="27" customWidth="1"/>
    <col min="15115" max="15115" width="9" style="27"/>
    <col min="15116" max="15116" width="9.7265625" style="27" customWidth="1"/>
    <col min="15117" max="15118" width="10.26953125" style="27" customWidth="1"/>
    <col min="15119" max="15119" width="11.26953125" style="27" customWidth="1"/>
    <col min="15120" max="15120" width="8.6328125" style="27" customWidth="1"/>
    <col min="15121" max="15121" width="10.36328125" style="27" customWidth="1"/>
    <col min="15122" max="15122" width="9" style="27"/>
    <col min="15123" max="15123" width="8.08984375" style="27" customWidth="1"/>
    <col min="15124" max="15125" width="9.453125" style="27" bestFit="1" customWidth="1"/>
    <col min="15126" max="15126" width="9.6328125" style="27" customWidth="1"/>
    <col min="15127" max="15360" width="9" style="27"/>
    <col min="15361" max="15361" width="3.26953125" style="27" customWidth="1"/>
    <col min="15362" max="15362" width="7.08984375" style="27" customWidth="1"/>
    <col min="15363" max="15363" width="3.08984375" style="27" customWidth="1"/>
    <col min="15364" max="15364" width="4.08984375" style="27" customWidth="1"/>
    <col min="15365" max="15367" width="9" style="27"/>
    <col min="15368" max="15368" width="8" style="27" customWidth="1"/>
    <col min="15369" max="15369" width="7.08984375" style="27" customWidth="1"/>
    <col min="15370" max="15370" width="41.26953125" style="27" customWidth="1"/>
    <col min="15371" max="15371" width="9" style="27"/>
    <col min="15372" max="15372" width="9.7265625" style="27" customWidth="1"/>
    <col min="15373" max="15374" width="10.26953125" style="27" customWidth="1"/>
    <col min="15375" max="15375" width="11.26953125" style="27" customWidth="1"/>
    <col min="15376" max="15376" width="8.6328125" style="27" customWidth="1"/>
    <col min="15377" max="15377" width="10.36328125" style="27" customWidth="1"/>
    <col min="15378" max="15378" width="9" style="27"/>
    <col min="15379" max="15379" width="8.08984375" style="27" customWidth="1"/>
    <col min="15380" max="15381" width="9.453125" style="27" bestFit="1" customWidth="1"/>
    <col min="15382" max="15382" width="9.6328125" style="27" customWidth="1"/>
    <col min="15383" max="15616" width="9" style="27"/>
    <col min="15617" max="15617" width="3.26953125" style="27" customWidth="1"/>
    <col min="15618" max="15618" width="7.08984375" style="27" customWidth="1"/>
    <col min="15619" max="15619" width="3.08984375" style="27" customWidth="1"/>
    <col min="15620" max="15620" width="4.08984375" style="27" customWidth="1"/>
    <col min="15621" max="15623" width="9" style="27"/>
    <col min="15624" max="15624" width="8" style="27" customWidth="1"/>
    <col min="15625" max="15625" width="7.08984375" style="27" customWidth="1"/>
    <col min="15626" max="15626" width="41.26953125" style="27" customWidth="1"/>
    <col min="15627" max="15627" width="9" style="27"/>
    <col min="15628" max="15628" width="9.7265625" style="27" customWidth="1"/>
    <col min="15629" max="15630" width="10.26953125" style="27" customWidth="1"/>
    <col min="15631" max="15631" width="11.26953125" style="27" customWidth="1"/>
    <col min="15632" max="15632" width="8.6328125" style="27" customWidth="1"/>
    <col min="15633" max="15633" width="10.36328125" style="27" customWidth="1"/>
    <col min="15634" max="15634" width="9" style="27"/>
    <col min="15635" max="15635" width="8.08984375" style="27" customWidth="1"/>
    <col min="15636" max="15637" width="9.453125" style="27" bestFit="1" customWidth="1"/>
    <col min="15638" max="15638" width="9.6328125" style="27" customWidth="1"/>
    <col min="15639" max="15872" width="9" style="27"/>
    <col min="15873" max="15873" width="3.26953125" style="27" customWidth="1"/>
    <col min="15874" max="15874" width="7.08984375" style="27" customWidth="1"/>
    <col min="15875" max="15875" width="3.08984375" style="27" customWidth="1"/>
    <col min="15876" max="15876" width="4.08984375" style="27" customWidth="1"/>
    <col min="15877" max="15879" width="9" style="27"/>
    <col min="15880" max="15880" width="8" style="27" customWidth="1"/>
    <col min="15881" max="15881" width="7.08984375" style="27" customWidth="1"/>
    <col min="15882" max="15882" width="41.26953125" style="27" customWidth="1"/>
    <col min="15883" max="15883" width="9" style="27"/>
    <col min="15884" max="15884" width="9.7265625" style="27" customWidth="1"/>
    <col min="15885" max="15886" width="10.26953125" style="27" customWidth="1"/>
    <col min="15887" max="15887" width="11.26953125" style="27" customWidth="1"/>
    <col min="15888" max="15888" width="8.6328125" style="27" customWidth="1"/>
    <col min="15889" max="15889" width="10.36328125" style="27" customWidth="1"/>
    <col min="15890" max="15890" width="9" style="27"/>
    <col min="15891" max="15891" width="8.08984375" style="27" customWidth="1"/>
    <col min="15892" max="15893" width="9.453125" style="27" bestFit="1" customWidth="1"/>
    <col min="15894" max="15894" width="9.6328125" style="27" customWidth="1"/>
    <col min="15895" max="16128" width="9" style="27"/>
    <col min="16129" max="16129" width="3.26953125" style="27" customWidth="1"/>
    <col min="16130" max="16130" width="7.08984375" style="27" customWidth="1"/>
    <col min="16131" max="16131" width="3.08984375" style="27" customWidth="1"/>
    <col min="16132" max="16132" width="4.08984375" style="27" customWidth="1"/>
    <col min="16133" max="16135" width="9" style="27"/>
    <col min="16136" max="16136" width="8" style="27" customWidth="1"/>
    <col min="16137" max="16137" width="7.08984375" style="27" customWidth="1"/>
    <col min="16138" max="16138" width="41.26953125" style="27" customWidth="1"/>
    <col min="16139" max="16139" width="9" style="27"/>
    <col min="16140" max="16140" width="9.7265625" style="27" customWidth="1"/>
    <col min="16141" max="16142" width="10.26953125" style="27" customWidth="1"/>
    <col min="16143" max="16143" width="11.26953125" style="27" customWidth="1"/>
    <col min="16144" max="16144" width="8.6328125" style="27" customWidth="1"/>
    <col min="16145" max="16145" width="10.36328125" style="27" customWidth="1"/>
    <col min="16146" max="16146" width="9" style="27"/>
    <col min="16147" max="16147" width="8.08984375" style="27" customWidth="1"/>
    <col min="16148" max="16149" width="9.453125" style="27" bestFit="1" customWidth="1"/>
    <col min="16150" max="16150" width="9.6328125" style="27" customWidth="1"/>
    <col min="16151" max="16384" width="9" style="27"/>
  </cols>
  <sheetData>
    <row r="1" spans="1:10">
      <c r="A1" s="28" t="s">
        <v>145</v>
      </c>
    </row>
    <row r="2" spans="1:10" s="52" customFormat="1" ht="24" customHeight="1" thickBot="1">
      <c r="A2" s="96"/>
      <c r="B2" s="468" t="s">
        <v>187</v>
      </c>
      <c r="C2" s="468"/>
      <c r="D2" s="468"/>
      <c r="E2" s="468"/>
      <c r="F2" s="468"/>
      <c r="G2" s="468"/>
      <c r="H2" s="468"/>
      <c r="I2" s="468"/>
      <c r="J2" s="468"/>
    </row>
    <row r="3" spans="1:10" s="52" customFormat="1" ht="13.5" customHeight="1" thickTop="1">
      <c r="A3" s="53"/>
      <c r="B3" s="55"/>
      <c r="C3" s="55"/>
      <c r="D3" s="55"/>
      <c r="E3" s="55"/>
      <c r="F3" s="55"/>
      <c r="G3" s="55"/>
      <c r="H3" s="55"/>
      <c r="I3" s="55"/>
      <c r="J3" s="55"/>
    </row>
    <row r="4" spans="1:10" s="52" customFormat="1" ht="13.5" customHeight="1">
      <c r="A4" s="53"/>
      <c r="B4" s="55"/>
      <c r="C4" s="55"/>
      <c r="D4" s="55"/>
      <c r="E4" s="55"/>
      <c r="F4" s="55"/>
      <c r="G4" s="55"/>
      <c r="H4" s="55"/>
      <c r="I4" s="55"/>
      <c r="J4" s="55"/>
    </row>
    <row r="5" spans="1:10" s="52" customFormat="1" ht="13.5" customHeight="1">
      <c r="A5" s="53"/>
      <c r="B5" s="55"/>
      <c r="C5" s="55"/>
      <c r="D5" s="55"/>
      <c r="E5" s="55"/>
      <c r="F5" s="55"/>
      <c r="G5" s="55"/>
      <c r="H5" s="55"/>
      <c r="I5" s="55"/>
      <c r="J5" s="55"/>
    </row>
    <row r="6" spans="1:10" s="52" customFormat="1" ht="13.5" customHeight="1">
      <c r="A6" s="53"/>
      <c r="B6" s="55"/>
      <c r="C6" s="55"/>
      <c r="D6" s="55"/>
      <c r="E6" s="55"/>
      <c r="F6" s="55"/>
      <c r="G6" s="55"/>
      <c r="H6" s="55"/>
      <c r="I6" s="55"/>
      <c r="J6" s="55"/>
    </row>
    <row r="7" spans="1:10" ht="14.25" customHeight="1" thickBot="1">
      <c r="B7" s="33" t="s">
        <v>147</v>
      </c>
      <c r="C7" s="33" t="s">
        <v>148</v>
      </c>
      <c r="D7" s="33"/>
      <c r="E7" s="34"/>
    </row>
    <row r="8" spans="1:10" ht="14.25" customHeight="1">
      <c r="B8" s="462" t="s">
        <v>188</v>
      </c>
      <c r="C8" s="97" t="s">
        <v>189</v>
      </c>
      <c r="D8" s="97"/>
      <c r="E8" s="97"/>
      <c r="F8" s="97"/>
      <c r="G8" s="97"/>
      <c r="H8" s="97"/>
      <c r="I8" s="97"/>
      <c r="J8" s="98"/>
    </row>
    <row r="9" spans="1:10" ht="14.25" customHeight="1" thickBot="1">
      <c r="B9" s="463">
        <v>4</v>
      </c>
      <c r="C9" s="464" t="s">
        <v>190</v>
      </c>
      <c r="D9" s="465"/>
      <c r="E9" s="466"/>
      <c r="F9" s="466"/>
      <c r="G9" s="466"/>
      <c r="H9" s="466"/>
      <c r="I9" s="466"/>
      <c r="J9" s="467"/>
    </row>
    <row r="10" spans="1:10">
      <c r="B10" s="99"/>
      <c r="C10" s="100"/>
      <c r="D10" s="100"/>
      <c r="E10" s="100"/>
      <c r="F10" s="100"/>
      <c r="G10" s="100"/>
      <c r="H10" s="100"/>
      <c r="I10" s="100"/>
      <c r="J10" s="101"/>
    </row>
    <row r="11" spans="1:10">
      <c r="B11" s="99"/>
      <c r="C11" s="100"/>
      <c r="D11" s="100"/>
      <c r="E11" s="100"/>
      <c r="F11" s="100"/>
      <c r="G11" s="100"/>
      <c r="H11" s="100"/>
      <c r="I11" s="100"/>
      <c r="J11" s="101"/>
    </row>
    <row r="12" spans="1:10">
      <c r="B12" s="99"/>
      <c r="C12" s="100"/>
      <c r="D12" s="100"/>
      <c r="E12" s="100"/>
      <c r="F12" s="100"/>
      <c r="G12" s="100"/>
      <c r="H12" s="100"/>
      <c r="I12" s="100"/>
      <c r="J12" s="101"/>
    </row>
    <row r="13" spans="1:10">
      <c r="B13" s="102"/>
      <c r="D13" s="44"/>
      <c r="E13" s="44"/>
      <c r="F13" s="44"/>
      <c r="G13" s="44"/>
      <c r="H13" s="44"/>
      <c r="I13" s="44"/>
      <c r="J13" s="41"/>
    </row>
    <row r="14" spans="1:10">
      <c r="B14" s="103"/>
      <c r="C14" s="104"/>
      <c r="D14" s="44"/>
      <c r="E14" s="44"/>
      <c r="F14" s="44"/>
      <c r="G14" s="44"/>
      <c r="H14" s="44"/>
      <c r="I14" s="44"/>
      <c r="J14" s="41"/>
    </row>
    <row r="15" spans="1:10">
      <c r="B15" s="102"/>
      <c r="D15" s="44"/>
      <c r="E15" s="44"/>
      <c r="F15" s="44"/>
      <c r="G15" s="44"/>
      <c r="H15" s="44"/>
      <c r="I15" s="44"/>
      <c r="J15" s="41"/>
    </row>
    <row r="16" spans="1:10">
      <c r="B16" s="102"/>
      <c r="D16" s="44"/>
      <c r="E16" s="44"/>
      <c r="F16" s="44"/>
      <c r="G16" s="44"/>
      <c r="H16" s="44"/>
      <c r="I16" s="44"/>
      <c r="J16" s="41"/>
    </row>
    <row r="17" spans="2:10">
      <c r="B17" s="102"/>
      <c r="D17" s="44"/>
      <c r="E17" s="44"/>
      <c r="F17" s="44"/>
      <c r="G17" s="44"/>
      <c r="H17" s="44"/>
      <c r="I17" s="44"/>
      <c r="J17" s="41"/>
    </row>
    <row r="18" spans="2:10">
      <c r="B18" s="102"/>
      <c r="D18" s="44"/>
      <c r="E18" s="44"/>
      <c r="F18" s="44"/>
      <c r="G18" s="44"/>
      <c r="H18" s="44"/>
      <c r="I18" s="44"/>
      <c r="J18" s="41"/>
    </row>
    <row r="19" spans="2:10">
      <c r="B19" s="102"/>
      <c r="D19" s="44"/>
      <c r="E19" s="44"/>
      <c r="F19" s="44"/>
      <c r="G19" s="44"/>
      <c r="H19" s="44"/>
      <c r="I19" s="44"/>
      <c r="J19" s="41"/>
    </row>
    <row r="20" spans="2:10">
      <c r="B20" s="102"/>
      <c r="D20" s="44"/>
      <c r="E20" s="44"/>
      <c r="F20" s="44"/>
      <c r="G20" s="44"/>
      <c r="H20" s="44"/>
      <c r="I20" s="44"/>
      <c r="J20" s="41"/>
    </row>
    <row r="21" spans="2:10">
      <c r="B21" s="102"/>
      <c r="D21" s="44"/>
      <c r="E21" s="44"/>
      <c r="F21" s="44"/>
      <c r="G21" s="44"/>
      <c r="H21" s="44"/>
      <c r="I21" s="44"/>
      <c r="J21" s="41"/>
    </row>
    <row r="22" spans="2:10">
      <c r="B22" s="102"/>
      <c r="D22" s="44"/>
      <c r="E22" s="44"/>
      <c r="F22" s="44"/>
      <c r="G22" s="44"/>
      <c r="H22" s="44"/>
      <c r="I22" s="44"/>
      <c r="J22" s="41"/>
    </row>
    <row r="23" spans="2:10">
      <c r="B23" s="99"/>
      <c r="D23" s="44"/>
      <c r="E23" s="44"/>
      <c r="F23" s="44"/>
      <c r="G23" s="44"/>
      <c r="H23" s="44"/>
      <c r="I23" s="44"/>
      <c r="J23" s="41"/>
    </row>
    <row r="24" spans="2:10">
      <c r="B24" s="99"/>
      <c r="D24" s="44"/>
      <c r="E24" s="44"/>
      <c r="F24" s="44"/>
      <c r="G24" s="44"/>
      <c r="H24" s="44"/>
      <c r="I24" s="44"/>
      <c r="J24" s="41"/>
    </row>
    <row r="25" spans="2:10">
      <c r="B25" s="99"/>
      <c r="D25" s="44"/>
      <c r="E25" s="44"/>
      <c r="F25" s="44"/>
      <c r="G25" s="44"/>
      <c r="H25" s="44"/>
      <c r="I25" s="44"/>
      <c r="J25" s="41"/>
    </row>
    <row r="26" spans="2:10">
      <c r="B26" s="99"/>
      <c r="D26" s="44"/>
      <c r="E26" s="44"/>
      <c r="F26" s="44"/>
      <c r="G26" s="44"/>
      <c r="H26" s="44"/>
      <c r="I26" s="44"/>
      <c r="J26" s="41"/>
    </row>
    <row r="27" spans="2:10">
      <c r="B27" s="99"/>
      <c r="D27" s="44"/>
      <c r="E27" s="44"/>
      <c r="F27" s="44"/>
      <c r="G27" s="44"/>
      <c r="H27" s="44"/>
      <c r="I27" s="44"/>
      <c r="J27" s="41"/>
    </row>
    <row r="28" spans="2:10">
      <c r="B28" s="99"/>
      <c r="D28" s="44"/>
      <c r="E28" s="44"/>
      <c r="F28" s="44"/>
      <c r="G28" s="44"/>
      <c r="H28" s="44"/>
      <c r="I28" s="44"/>
      <c r="J28" s="41"/>
    </row>
    <row r="29" spans="2:10">
      <c r="B29" s="99"/>
      <c r="D29" s="44"/>
      <c r="E29" s="44"/>
      <c r="F29" s="44"/>
      <c r="G29" s="44"/>
      <c r="H29" s="44"/>
      <c r="I29" s="44"/>
      <c r="J29" s="41"/>
    </row>
    <row r="30" spans="2:10">
      <c r="B30" s="99"/>
      <c r="D30" s="44"/>
      <c r="E30" s="44"/>
      <c r="F30" s="44"/>
      <c r="G30" s="44"/>
      <c r="H30" s="44"/>
      <c r="I30" s="44"/>
      <c r="J30" s="41"/>
    </row>
    <row r="31" spans="2:10">
      <c r="B31" s="99"/>
      <c r="D31" s="44"/>
      <c r="E31" s="44"/>
      <c r="F31" s="44"/>
      <c r="G31" s="44"/>
      <c r="H31" s="44"/>
      <c r="I31" s="44"/>
      <c r="J31" s="41"/>
    </row>
    <row r="32" spans="2:10">
      <c r="B32" s="99"/>
      <c r="D32" s="44"/>
      <c r="E32" s="44"/>
      <c r="F32" s="44"/>
      <c r="G32" s="44"/>
      <c r="H32" s="44"/>
      <c r="I32" s="44"/>
      <c r="J32" s="41"/>
    </row>
    <row r="33" spans="2:10">
      <c r="B33" s="99"/>
      <c r="D33" s="44"/>
      <c r="E33" s="44"/>
      <c r="F33" s="44"/>
      <c r="G33" s="44"/>
      <c r="H33" s="44"/>
      <c r="I33" s="44"/>
      <c r="J33" s="41"/>
    </row>
    <row r="34" spans="2:10" ht="15.75" customHeight="1">
      <c r="B34" s="99"/>
      <c r="C34" s="100"/>
      <c r="D34" s="100"/>
      <c r="E34" s="100"/>
      <c r="F34" s="100"/>
      <c r="G34" s="100"/>
      <c r="H34" s="100"/>
      <c r="I34" s="100"/>
      <c r="J34" s="101"/>
    </row>
    <row r="35" spans="2:10">
      <c r="B35" s="99"/>
      <c r="C35" s="100"/>
      <c r="D35" s="100"/>
      <c r="E35" s="100"/>
      <c r="F35" s="100"/>
      <c r="G35" s="100"/>
      <c r="H35" s="100"/>
      <c r="I35" s="100"/>
      <c r="J35" s="101"/>
    </row>
    <row r="36" spans="2:10">
      <c r="B36" s="102"/>
      <c r="D36" s="44"/>
      <c r="E36" s="44"/>
      <c r="F36" s="44"/>
      <c r="G36" s="44"/>
      <c r="H36" s="44"/>
      <c r="I36" s="44"/>
      <c r="J36" s="41"/>
    </row>
    <row r="37" spans="2:10">
      <c r="B37" s="102"/>
      <c r="D37" s="44"/>
      <c r="E37" s="44"/>
      <c r="F37" s="44"/>
      <c r="G37" s="44"/>
      <c r="H37" s="44"/>
      <c r="I37" s="44"/>
      <c r="J37" s="41"/>
    </row>
    <row r="38" spans="2:10">
      <c r="B38" s="102"/>
      <c r="D38" s="44"/>
      <c r="E38" s="44"/>
      <c r="F38" s="44"/>
      <c r="G38" s="44"/>
      <c r="H38" s="44"/>
      <c r="I38" s="44"/>
      <c r="J38" s="41"/>
    </row>
    <row r="39" spans="2:10">
      <c r="B39" s="102"/>
      <c r="D39" s="44"/>
      <c r="E39" s="44"/>
      <c r="F39" s="44"/>
      <c r="G39" s="44"/>
      <c r="H39" s="44"/>
      <c r="I39" s="44"/>
      <c r="J39" s="41"/>
    </row>
    <row r="40" spans="2:10" ht="15.75" customHeight="1">
      <c r="B40" s="99"/>
      <c r="C40" s="100"/>
      <c r="D40" s="100"/>
      <c r="E40" s="100"/>
      <c r="F40" s="100"/>
      <c r="G40" s="100"/>
      <c r="H40" s="100"/>
      <c r="I40" s="100"/>
      <c r="J40" s="101"/>
    </row>
    <row r="41" spans="2:10">
      <c r="B41" s="99"/>
      <c r="C41" s="100"/>
      <c r="D41" s="100"/>
      <c r="E41" s="100"/>
      <c r="F41" s="100"/>
      <c r="G41" s="100"/>
      <c r="H41" s="100"/>
      <c r="I41" s="100"/>
      <c r="J41" s="101"/>
    </row>
    <row r="42" spans="2:10">
      <c r="B42" s="99"/>
      <c r="C42" s="100"/>
      <c r="D42" s="100"/>
      <c r="E42" s="100"/>
      <c r="F42" s="100"/>
      <c r="G42" s="100"/>
      <c r="H42" s="100"/>
      <c r="I42" s="100"/>
      <c r="J42" s="101"/>
    </row>
    <row r="43" spans="2:10">
      <c r="B43" s="102"/>
      <c r="D43" s="44"/>
      <c r="E43" s="44"/>
      <c r="F43" s="44"/>
      <c r="G43" s="44"/>
      <c r="H43" s="44"/>
      <c r="I43" s="44"/>
      <c r="J43" s="41"/>
    </row>
    <row r="44" spans="2:10">
      <c r="B44" s="103"/>
      <c r="C44" s="104"/>
      <c r="D44" s="44"/>
      <c r="E44" s="44"/>
      <c r="F44" s="44"/>
      <c r="G44" s="44"/>
      <c r="H44" s="44"/>
      <c r="I44" s="44"/>
      <c r="J44" s="41"/>
    </row>
    <row r="45" spans="2:10">
      <c r="B45" s="102"/>
      <c r="D45" s="44"/>
      <c r="E45" s="44"/>
      <c r="F45" s="44"/>
      <c r="G45" s="44"/>
      <c r="H45" s="44"/>
      <c r="I45" s="44"/>
      <c r="J45" s="41"/>
    </row>
    <row r="46" spans="2:10" ht="15.5" thickBot="1">
      <c r="B46" s="102"/>
      <c r="D46" s="44"/>
      <c r="E46" s="44"/>
      <c r="F46" s="44"/>
      <c r="G46" s="44"/>
      <c r="H46" s="44"/>
      <c r="I46" s="44"/>
      <c r="J46" s="41"/>
    </row>
    <row r="47" spans="2:10" ht="14.25" customHeight="1">
      <c r="B47" s="462" t="s">
        <v>191</v>
      </c>
      <c r="C47" s="97" t="s">
        <v>192</v>
      </c>
      <c r="D47" s="97"/>
      <c r="E47" s="97"/>
      <c r="F47" s="97"/>
      <c r="G47" s="97"/>
      <c r="H47" s="97"/>
      <c r="I47" s="97"/>
      <c r="J47" s="98"/>
    </row>
    <row r="48" spans="2:10" ht="14.25" customHeight="1" thickBot="1">
      <c r="B48" s="463"/>
      <c r="C48" s="464" t="s">
        <v>190</v>
      </c>
      <c r="D48" s="465"/>
      <c r="E48" s="466"/>
      <c r="F48" s="466"/>
      <c r="G48" s="466"/>
      <c r="H48" s="466"/>
      <c r="I48" s="466"/>
      <c r="J48" s="467"/>
    </row>
    <row r="49" spans="2:10">
      <c r="B49" s="99"/>
      <c r="C49" s="100"/>
      <c r="D49" s="100"/>
      <c r="E49" s="100"/>
      <c r="F49" s="100"/>
      <c r="G49" s="100"/>
      <c r="H49" s="100"/>
      <c r="I49" s="100"/>
      <c r="J49" s="101"/>
    </row>
    <row r="50" spans="2:10">
      <c r="B50" s="99"/>
      <c r="C50" s="100"/>
      <c r="D50" s="100"/>
      <c r="E50" s="100"/>
      <c r="F50" s="100"/>
      <c r="G50" s="100"/>
      <c r="H50" s="100"/>
      <c r="I50" s="100"/>
      <c r="J50" s="101"/>
    </row>
    <row r="51" spans="2:10">
      <c r="B51" s="102"/>
      <c r="D51" s="44"/>
      <c r="E51" s="44"/>
      <c r="F51" s="44"/>
      <c r="G51" s="44"/>
      <c r="H51" s="44"/>
      <c r="I51" s="44"/>
      <c r="J51" s="41"/>
    </row>
    <row r="52" spans="2:10">
      <c r="B52" s="103"/>
      <c r="C52" s="104"/>
      <c r="D52" s="44"/>
      <c r="E52" s="44"/>
      <c r="F52" s="44"/>
      <c r="G52" s="44"/>
      <c r="H52" s="44"/>
      <c r="I52" s="44"/>
      <c r="J52" s="41"/>
    </row>
    <row r="53" spans="2:10">
      <c r="B53" s="102"/>
      <c r="D53" s="44"/>
      <c r="E53" s="44"/>
      <c r="F53" s="44"/>
      <c r="G53" s="44"/>
      <c r="H53" s="44"/>
      <c r="I53" s="44"/>
      <c r="J53" s="41"/>
    </row>
    <row r="54" spans="2:10">
      <c r="B54" s="102"/>
      <c r="D54" s="44"/>
      <c r="E54" s="44"/>
      <c r="F54" s="44"/>
      <c r="G54" s="44"/>
      <c r="H54" s="44"/>
      <c r="I54" s="44"/>
      <c r="J54" s="41"/>
    </row>
    <row r="55" spans="2:10">
      <c r="B55" s="102"/>
      <c r="D55" s="44"/>
      <c r="E55" s="44"/>
      <c r="F55" s="44"/>
      <c r="G55" s="44"/>
      <c r="H55" s="44"/>
      <c r="I55" s="44"/>
      <c r="J55" s="41"/>
    </row>
    <row r="56" spans="2:10">
      <c r="B56" s="102"/>
      <c r="D56" s="44"/>
      <c r="E56" s="44"/>
      <c r="F56" s="44"/>
      <c r="G56" s="44"/>
      <c r="H56" s="44"/>
      <c r="I56" s="44"/>
      <c r="J56" s="41"/>
    </row>
    <row r="57" spans="2:10">
      <c r="B57" s="102"/>
      <c r="D57" s="44"/>
      <c r="E57" s="44"/>
      <c r="F57" s="44"/>
      <c r="G57" s="44"/>
      <c r="H57" s="44"/>
      <c r="I57" s="44"/>
      <c r="J57" s="41"/>
    </row>
    <row r="58" spans="2:10">
      <c r="B58" s="102"/>
      <c r="D58" s="44"/>
      <c r="E58" s="44"/>
      <c r="F58" s="44"/>
      <c r="G58" s="44"/>
      <c r="H58" s="44"/>
      <c r="I58" s="44"/>
      <c r="J58" s="41"/>
    </row>
    <row r="59" spans="2:10">
      <c r="B59" s="102"/>
      <c r="D59" s="44"/>
      <c r="E59" s="44"/>
      <c r="F59" s="44"/>
      <c r="G59" s="44"/>
      <c r="H59" s="44"/>
      <c r="I59" s="44"/>
      <c r="J59" s="41"/>
    </row>
    <row r="60" spans="2:10">
      <c r="B60" s="102"/>
      <c r="D60" s="44"/>
      <c r="E60" s="44"/>
      <c r="F60" s="44"/>
      <c r="G60" s="44"/>
      <c r="H60" s="44"/>
      <c r="I60" s="44"/>
      <c r="J60" s="41"/>
    </row>
    <row r="61" spans="2:10">
      <c r="B61" s="99"/>
      <c r="D61" s="44"/>
      <c r="E61" s="44"/>
      <c r="F61" s="44"/>
      <c r="G61" s="44"/>
      <c r="H61" s="44"/>
      <c r="I61" s="44"/>
      <c r="J61" s="41"/>
    </row>
    <row r="62" spans="2:10">
      <c r="B62" s="99"/>
      <c r="C62" s="100"/>
      <c r="D62" s="100"/>
      <c r="E62" s="100"/>
      <c r="F62" s="100"/>
      <c r="G62" s="100"/>
      <c r="H62" s="100"/>
      <c r="I62" s="100"/>
      <c r="J62" s="101"/>
    </row>
    <row r="63" spans="2:10">
      <c r="B63" s="99"/>
      <c r="C63" s="100"/>
      <c r="D63" s="100"/>
      <c r="E63" s="100"/>
      <c r="F63" s="100"/>
      <c r="G63" s="100"/>
      <c r="H63" s="100"/>
      <c r="I63" s="100"/>
      <c r="J63" s="101"/>
    </row>
    <row r="64" spans="2:10">
      <c r="B64" s="99"/>
      <c r="C64" s="100"/>
      <c r="D64" s="100"/>
      <c r="E64" s="100"/>
      <c r="F64" s="100"/>
      <c r="G64" s="100"/>
      <c r="H64" s="100"/>
      <c r="I64" s="100"/>
      <c r="J64" s="101"/>
    </row>
    <row r="65" spans="2:10">
      <c r="B65" s="99"/>
      <c r="C65" s="100"/>
      <c r="D65" s="100"/>
      <c r="E65" s="100"/>
      <c r="F65" s="100"/>
      <c r="G65" s="100"/>
      <c r="H65" s="100"/>
      <c r="I65" s="100"/>
      <c r="J65" s="101"/>
    </row>
    <row r="66" spans="2:10">
      <c r="B66" s="99"/>
      <c r="C66" s="100"/>
      <c r="D66" s="100"/>
      <c r="E66" s="100"/>
      <c r="F66" s="100"/>
      <c r="G66" s="100"/>
      <c r="H66" s="100"/>
      <c r="I66" s="100"/>
      <c r="J66" s="101"/>
    </row>
    <row r="67" spans="2:10">
      <c r="B67" s="99"/>
      <c r="C67" s="100"/>
      <c r="D67" s="100"/>
      <c r="E67" s="100"/>
      <c r="F67" s="100"/>
      <c r="G67" s="100"/>
      <c r="H67" s="100"/>
      <c r="I67" s="100"/>
      <c r="J67" s="101"/>
    </row>
    <row r="68" spans="2:10">
      <c r="B68" s="99"/>
      <c r="C68" s="100"/>
      <c r="D68" s="100"/>
      <c r="E68" s="100"/>
      <c r="F68" s="100"/>
      <c r="G68" s="100"/>
      <c r="H68" s="100"/>
      <c r="I68" s="100"/>
      <c r="J68" s="101"/>
    </row>
    <row r="69" spans="2:10">
      <c r="B69" s="99"/>
      <c r="C69" s="100"/>
      <c r="D69" s="100"/>
      <c r="E69" s="100"/>
      <c r="F69" s="100"/>
      <c r="G69" s="100"/>
      <c r="H69" s="100"/>
      <c r="I69" s="100"/>
      <c r="J69" s="101"/>
    </row>
    <row r="70" spans="2:10">
      <c r="B70" s="99"/>
      <c r="C70" s="100"/>
      <c r="D70" s="100"/>
      <c r="E70" s="100"/>
      <c r="F70" s="100"/>
      <c r="G70" s="100"/>
      <c r="H70" s="100"/>
      <c r="I70" s="100"/>
      <c r="J70" s="101"/>
    </row>
    <row r="71" spans="2:10">
      <c r="B71" s="99"/>
      <c r="C71" s="100"/>
      <c r="D71" s="100"/>
      <c r="E71" s="100"/>
      <c r="F71" s="100"/>
      <c r="G71" s="100"/>
      <c r="H71" s="100"/>
      <c r="I71" s="100"/>
      <c r="J71" s="101"/>
    </row>
    <row r="72" spans="2:10">
      <c r="B72" s="99"/>
      <c r="C72" s="100"/>
      <c r="D72" s="100"/>
      <c r="E72" s="100"/>
      <c r="F72" s="100"/>
      <c r="G72" s="100"/>
      <c r="H72" s="100"/>
      <c r="I72" s="100"/>
      <c r="J72" s="101"/>
    </row>
    <row r="73" spans="2:10">
      <c r="B73" s="99"/>
      <c r="C73" s="100"/>
      <c r="D73" s="100"/>
      <c r="E73" s="100"/>
      <c r="F73" s="100"/>
      <c r="G73" s="100"/>
      <c r="H73" s="100"/>
      <c r="I73" s="100"/>
      <c r="J73" s="101"/>
    </row>
    <row r="74" spans="2:10">
      <c r="B74" s="99"/>
      <c r="C74" s="100"/>
      <c r="D74" s="100"/>
      <c r="E74" s="100"/>
      <c r="F74" s="100"/>
      <c r="G74" s="100"/>
      <c r="H74" s="100"/>
      <c r="I74" s="100"/>
      <c r="J74" s="101"/>
    </row>
    <row r="75" spans="2:10">
      <c r="B75" s="102"/>
      <c r="D75" s="44"/>
      <c r="E75" s="44"/>
      <c r="F75" s="44"/>
      <c r="G75" s="44"/>
      <c r="H75" s="44"/>
      <c r="I75" s="44"/>
      <c r="J75" s="41"/>
    </row>
    <row r="76" spans="2:10">
      <c r="B76" s="102"/>
      <c r="D76" s="44"/>
      <c r="E76" s="44"/>
      <c r="F76" s="44"/>
      <c r="G76" s="44"/>
      <c r="H76" s="44"/>
      <c r="I76" s="44"/>
      <c r="J76" s="41"/>
    </row>
    <row r="77" spans="2:10">
      <c r="B77" s="102"/>
      <c r="D77" s="44"/>
      <c r="E77" s="44"/>
      <c r="F77" s="44"/>
      <c r="G77" s="44"/>
      <c r="H77" s="44"/>
      <c r="I77" s="44"/>
      <c r="J77" s="41"/>
    </row>
    <row r="78" spans="2:10">
      <c r="B78" s="99"/>
      <c r="C78" s="100"/>
      <c r="D78" s="100"/>
      <c r="E78" s="100"/>
      <c r="F78" s="100"/>
      <c r="G78" s="100"/>
      <c r="H78" s="100"/>
      <c r="I78" s="100"/>
      <c r="J78" s="101"/>
    </row>
    <row r="79" spans="2:10">
      <c r="B79" s="99"/>
      <c r="C79" s="100"/>
      <c r="D79" s="100"/>
      <c r="E79" s="100"/>
      <c r="F79" s="100"/>
      <c r="G79" s="100"/>
      <c r="H79" s="100"/>
      <c r="I79" s="100"/>
      <c r="J79" s="101"/>
    </row>
    <row r="80" spans="2:10">
      <c r="B80" s="99"/>
      <c r="C80" s="100"/>
      <c r="D80" s="100"/>
      <c r="E80" s="100"/>
      <c r="F80" s="100"/>
      <c r="G80" s="100"/>
      <c r="H80" s="100"/>
      <c r="I80" s="100"/>
      <c r="J80" s="101"/>
    </row>
    <row r="81" spans="2:10" ht="15.5" thickBot="1">
      <c r="B81" s="102"/>
      <c r="D81" s="44"/>
      <c r="E81" s="44"/>
      <c r="F81" s="44"/>
      <c r="G81" s="44"/>
      <c r="H81" s="44"/>
      <c r="I81" s="44"/>
      <c r="J81" s="41"/>
    </row>
    <row r="82" spans="2:10" ht="14.25" customHeight="1">
      <c r="B82" s="462" t="s">
        <v>193</v>
      </c>
      <c r="C82" s="97" t="s">
        <v>194</v>
      </c>
      <c r="D82" s="97"/>
      <c r="E82" s="97"/>
      <c r="F82" s="97"/>
      <c r="G82" s="97"/>
      <c r="H82" s="97"/>
      <c r="I82" s="97"/>
      <c r="J82" s="98"/>
    </row>
    <row r="83" spans="2:10" ht="14.25" customHeight="1" thickBot="1">
      <c r="B83" s="463"/>
      <c r="C83" s="464" t="s">
        <v>190</v>
      </c>
      <c r="D83" s="465"/>
      <c r="E83" s="466"/>
      <c r="F83" s="466"/>
      <c r="G83" s="466"/>
      <c r="H83" s="466"/>
      <c r="I83" s="466"/>
      <c r="J83" s="467"/>
    </row>
    <row r="84" spans="2:10">
      <c r="B84" s="99"/>
      <c r="C84" s="100"/>
      <c r="D84" s="100"/>
      <c r="E84" s="100"/>
      <c r="F84" s="100"/>
      <c r="G84" s="100"/>
      <c r="H84" s="100"/>
      <c r="I84" s="100"/>
      <c r="J84" s="101"/>
    </row>
    <row r="85" spans="2:10">
      <c r="B85" s="99"/>
      <c r="C85" s="105" t="s">
        <v>195</v>
      </c>
      <c r="D85" s="100"/>
      <c r="E85" s="100"/>
      <c r="F85" s="100"/>
      <c r="G85" s="100"/>
      <c r="H85" s="100"/>
      <c r="I85" s="100"/>
      <c r="J85" s="101"/>
    </row>
    <row r="86" spans="2:10">
      <c r="B86" s="102"/>
      <c r="D86" s="44"/>
      <c r="E86" s="44"/>
      <c r="F86" s="44"/>
      <c r="G86" s="44"/>
      <c r="H86" s="44"/>
      <c r="I86" s="44"/>
      <c r="J86" s="41"/>
    </row>
    <row r="87" spans="2:10">
      <c r="B87" s="103"/>
      <c r="C87" s="104"/>
      <c r="D87" s="44"/>
      <c r="E87" s="44"/>
      <c r="F87" s="44"/>
      <c r="G87" s="44"/>
      <c r="H87" s="44"/>
      <c r="I87" s="44"/>
      <c r="J87" s="41"/>
    </row>
    <row r="88" spans="2:10">
      <c r="B88" s="102"/>
      <c r="D88" s="44"/>
      <c r="E88" s="44"/>
      <c r="F88" s="44"/>
      <c r="G88" s="44"/>
      <c r="H88" s="44"/>
      <c r="I88" s="44"/>
      <c r="J88" s="41"/>
    </row>
    <row r="89" spans="2:10">
      <c r="B89" s="102"/>
      <c r="D89" s="44"/>
      <c r="E89" s="44"/>
      <c r="F89" s="44"/>
      <c r="G89" s="44"/>
      <c r="H89" s="44"/>
      <c r="I89" s="44"/>
      <c r="J89" s="41"/>
    </row>
    <row r="90" spans="2:10">
      <c r="B90" s="102"/>
      <c r="D90" s="44"/>
      <c r="E90" s="44"/>
      <c r="F90" s="44"/>
      <c r="G90" s="44"/>
      <c r="H90" s="44"/>
      <c r="I90" s="44"/>
      <c r="J90" s="41"/>
    </row>
    <row r="91" spans="2:10">
      <c r="B91" s="102"/>
      <c r="D91" s="44"/>
      <c r="E91" s="44"/>
      <c r="F91" s="44"/>
      <c r="G91" s="44"/>
      <c r="H91" s="44"/>
      <c r="I91" s="44"/>
      <c r="J91" s="41"/>
    </row>
    <row r="92" spans="2:10">
      <c r="B92" s="102"/>
      <c r="D92" s="44"/>
      <c r="E92" s="44"/>
      <c r="F92" s="44"/>
      <c r="G92" s="44"/>
      <c r="H92" s="44"/>
      <c r="I92" s="44"/>
      <c r="J92" s="41"/>
    </row>
    <row r="93" spans="2:10">
      <c r="B93" s="102"/>
      <c r="D93" s="44"/>
      <c r="E93" s="44"/>
      <c r="F93" s="44"/>
      <c r="G93" s="44"/>
      <c r="H93" s="44"/>
      <c r="I93" s="44"/>
      <c r="J93" s="41"/>
    </row>
    <row r="94" spans="2:10">
      <c r="B94" s="102"/>
      <c r="D94" s="44"/>
      <c r="E94" s="44"/>
      <c r="F94" s="44"/>
      <c r="G94" s="44"/>
      <c r="H94" s="44"/>
      <c r="I94" s="44"/>
      <c r="J94" s="41"/>
    </row>
    <row r="95" spans="2:10">
      <c r="B95" s="102"/>
      <c r="D95" s="44"/>
      <c r="E95" s="44"/>
      <c r="F95" s="44"/>
      <c r="G95" s="44"/>
      <c r="H95" s="44"/>
      <c r="I95" s="44"/>
      <c r="J95" s="41"/>
    </row>
    <row r="96" spans="2:10">
      <c r="B96" s="99"/>
      <c r="D96" s="44"/>
      <c r="E96" s="44"/>
      <c r="F96" s="44"/>
      <c r="G96" s="44"/>
      <c r="H96" s="44"/>
      <c r="I96" s="44"/>
      <c r="J96" s="41"/>
    </row>
    <row r="97" spans="2:10">
      <c r="B97" s="99"/>
      <c r="D97" s="44"/>
      <c r="E97" s="44"/>
      <c r="F97" s="44"/>
      <c r="G97" s="44"/>
      <c r="H97" s="44"/>
      <c r="I97" s="44"/>
      <c r="J97" s="41"/>
    </row>
    <row r="98" spans="2:10">
      <c r="B98" s="99"/>
      <c r="D98" s="44"/>
      <c r="E98" s="44"/>
      <c r="F98" s="44"/>
      <c r="G98" s="44"/>
      <c r="H98" s="44"/>
      <c r="I98" s="44"/>
      <c r="J98" s="41"/>
    </row>
    <row r="99" spans="2:10">
      <c r="B99" s="99"/>
      <c r="D99" s="44"/>
      <c r="E99" s="44"/>
      <c r="F99" s="44"/>
      <c r="G99" s="44"/>
      <c r="H99" s="44"/>
      <c r="I99" s="44"/>
      <c r="J99" s="41"/>
    </row>
    <row r="100" spans="2:10">
      <c r="B100" s="99"/>
      <c r="D100" s="44"/>
      <c r="E100" s="44"/>
      <c r="F100" s="44"/>
      <c r="G100" s="44"/>
      <c r="H100" s="44"/>
      <c r="I100" s="44"/>
      <c r="J100" s="41"/>
    </row>
    <row r="101" spans="2:10">
      <c r="B101" s="99"/>
      <c r="D101" s="44"/>
      <c r="E101" s="44"/>
      <c r="F101" s="44"/>
      <c r="G101" s="44"/>
      <c r="H101" s="44"/>
      <c r="I101" s="44"/>
      <c r="J101" s="41"/>
    </row>
    <row r="102" spans="2:10">
      <c r="B102" s="99"/>
      <c r="D102" s="44"/>
      <c r="E102" s="44"/>
      <c r="F102" s="44"/>
      <c r="G102" s="44"/>
      <c r="H102" s="44"/>
      <c r="I102" s="44"/>
      <c r="J102" s="41"/>
    </row>
    <row r="103" spans="2:10">
      <c r="B103" s="99"/>
      <c r="D103" s="44"/>
      <c r="E103" s="44"/>
      <c r="F103" s="44"/>
      <c r="G103" s="44"/>
      <c r="H103" s="44"/>
      <c r="I103" s="44"/>
      <c r="J103" s="41"/>
    </row>
    <row r="104" spans="2:10">
      <c r="B104" s="99"/>
      <c r="D104" s="44"/>
      <c r="E104" s="44"/>
      <c r="F104" s="44"/>
      <c r="G104" s="44"/>
      <c r="H104" s="44"/>
      <c r="I104" s="44"/>
      <c r="J104" s="41"/>
    </row>
    <row r="105" spans="2:10">
      <c r="B105" s="99"/>
      <c r="D105" s="44"/>
      <c r="E105" s="44"/>
      <c r="F105" s="44"/>
      <c r="G105" s="44"/>
      <c r="H105" s="44"/>
      <c r="I105" s="44"/>
      <c r="J105" s="41"/>
    </row>
    <row r="106" spans="2:10">
      <c r="B106" s="99"/>
      <c r="D106" s="44"/>
      <c r="E106" s="44"/>
      <c r="F106" s="44"/>
      <c r="G106" s="44"/>
      <c r="H106" s="44"/>
      <c r="I106" s="44"/>
      <c r="J106" s="41"/>
    </row>
    <row r="107" spans="2:10">
      <c r="B107" s="99"/>
      <c r="D107" s="44"/>
      <c r="E107" s="44"/>
      <c r="F107" s="44"/>
      <c r="G107" s="44"/>
      <c r="H107" s="44"/>
      <c r="I107" s="44"/>
      <c r="J107" s="41"/>
    </row>
    <row r="108" spans="2:10">
      <c r="B108" s="99"/>
      <c r="D108" s="44"/>
      <c r="E108" s="44"/>
      <c r="F108" s="44"/>
      <c r="G108" s="44"/>
      <c r="H108" s="44"/>
      <c r="I108" s="44"/>
      <c r="J108" s="41"/>
    </row>
    <row r="109" spans="2:10">
      <c r="B109" s="99"/>
      <c r="C109" s="100"/>
      <c r="D109" s="100"/>
      <c r="E109" s="100"/>
      <c r="F109" s="100"/>
      <c r="G109" s="100"/>
      <c r="H109" s="100"/>
      <c r="I109" s="100"/>
      <c r="J109" s="101"/>
    </row>
    <row r="110" spans="2:10">
      <c r="B110" s="102"/>
      <c r="D110" s="44"/>
      <c r="E110" s="44"/>
      <c r="F110" s="44"/>
      <c r="G110" s="44"/>
      <c r="H110" s="44"/>
      <c r="I110" s="44"/>
      <c r="J110" s="41"/>
    </row>
    <row r="111" spans="2:10">
      <c r="B111" s="102"/>
      <c r="D111" s="44"/>
      <c r="E111" s="44"/>
      <c r="F111" s="44"/>
      <c r="G111" s="44"/>
      <c r="H111" s="44"/>
      <c r="I111" s="44"/>
      <c r="J111" s="41"/>
    </row>
    <row r="112" spans="2:10">
      <c r="B112" s="102"/>
      <c r="D112" s="44"/>
      <c r="E112" s="44"/>
      <c r="F112" s="44"/>
      <c r="G112" s="44"/>
      <c r="H112" s="44"/>
      <c r="I112" s="44"/>
      <c r="J112" s="41"/>
    </row>
    <row r="113" spans="2:10">
      <c r="B113" s="99"/>
      <c r="C113" s="100"/>
      <c r="D113" s="100"/>
      <c r="E113" s="100"/>
      <c r="F113" s="100"/>
      <c r="G113" s="100"/>
      <c r="H113" s="100"/>
      <c r="I113" s="100"/>
      <c r="J113" s="101"/>
    </row>
    <row r="114" spans="2:10">
      <c r="B114" s="99"/>
      <c r="C114" s="100"/>
      <c r="D114" s="100"/>
      <c r="E114" s="100"/>
      <c r="F114" s="100"/>
      <c r="G114" s="100"/>
      <c r="H114" s="100"/>
      <c r="I114" s="100"/>
      <c r="J114" s="101"/>
    </row>
    <row r="115" spans="2:10">
      <c r="B115" s="99"/>
      <c r="C115" s="100"/>
      <c r="D115" s="100"/>
      <c r="E115" s="100"/>
      <c r="F115" s="100"/>
      <c r="G115" s="100"/>
      <c r="H115" s="100"/>
      <c r="I115" s="100"/>
      <c r="J115" s="101"/>
    </row>
    <row r="116" spans="2:10">
      <c r="B116" s="102"/>
      <c r="D116" s="44"/>
      <c r="E116" s="44"/>
      <c r="F116" s="44"/>
      <c r="G116" s="44"/>
      <c r="H116" s="44"/>
      <c r="I116" s="44"/>
      <c r="J116" s="41"/>
    </row>
    <row r="117" spans="2:10" ht="15.5" thickBot="1">
      <c r="B117" s="102"/>
      <c r="D117" s="44"/>
      <c r="E117" s="44"/>
      <c r="F117" s="44"/>
      <c r="G117" s="44"/>
      <c r="H117" s="44"/>
      <c r="I117" s="44"/>
      <c r="J117" s="41"/>
    </row>
    <row r="118" spans="2:10">
      <c r="B118" s="106"/>
      <c r="C118" s="107"/>
      <c r="D118" s="107"/>
      <c r="E118" s="107"/>
      <c r="F118" s="107"/>
      <c r="G118" s="107"/>
      <c r="H118" s="107"/>
      <c r="I118" s="107"/>
      <c r="J118" s="108"/>
    </row>
    <row r="119" spans="2:10">
      <c r="B119" s="99"/>
      <c r="C119" s="105" t="s">
        <v>196</v>
      </c>
      <c r="D119" s="100"/>
      <c r="E119" s="100"/>
      <c r="F119" s="100"/>
      <c r="G119" s="100"/>
      <c r="H119" s="100"/>
      <c r="I119" s="100"/>
      <c r="J119" s="101"/>
    </row>
    <row r="120" spans="2:10">
      <c r="B120" s="102"/>
      <c r="D120" s="44"/>
      <c r="E120" s="44"/>
      <c r="F120" s="44"/>
      <c r="G120" s="44"/>
      <c r="H120" s="44"/>
      <c r="I120" s="44"/>
      <c r="J120" s="41"/>
    </row>
    <row r="121" spans="2:10">
      <c r="B121" s="103"/>
      <c r="C121" s="104"/>
      <c r="D121" s="44"/>
      <c r="E121" s="44"/>
      <c r="F121" s="44"/>
      <c r="G121" s="44"/>
      <c r="H121" s="44"/>
      <c r="I121" s="44"/>
      <c r="J121" s="41"/>
    </row>
    <row r="122" spans="2:10">
      <c r="B122" s="102"/>
      <c r="D122" s="44"/>
      <c r="E122" s="44"/>
      <c r="F122" s="44"/>
      <c r="G122" s="44"/>
      <c r="H122" s="44"/>
      <c r="I122" s="44"/>
      <c r="J122" s="41"/>
    </row>
    <row r="123" spans="2:10">
      <c r="B123" s="102"/>
      <c r="D123" s="44"/>
      <c r="E123" s="44"/>
      <c r="F123" s="44"/>
      <c r="G123" s="44"/>
      <c r="H123" s="44"/>
      <c r="I123" s="44"/>
      <c r="J123" s="41"/>
    </row>
    <row r="124" spans="2:10">
      <c r="B124" s="102"/>
      <c r="D124" s="44"/>
      <c r="E124" s="44"/>
      <c r="F124" s="44"/>
      <c r="G124" s="44"/>
      <c r="H124" s="44"/>
      <c r="I124" s="44"/>
      <c r="J124" s="41"/>
    </row>
    <row r="125" spans="2:10">
      <c r="B125" s="102"/>
      <c r="D125" s="44"/>
      <c r="E125" s="44"/>
      <c r="F125" s="44"/>
      <c r="G125" s="44"/>
      <c r="H125" s="44"/>
      <c r="I125" s="44"/>
      <c r="J125" s="41"/>
    </row>
    <row r="126" spans="2:10">
      <c r="B126" s="102"/>
      <c r="D126" s="44"/>
      <c r="E126" s="44"/>
      <c r="F126" s="44"/>
      <c r="G126" s="44"/>
      <c r="H126" s="44"/>
      <c r="I126" s="44"/>
      <c r="J126" s="41"/>
    </row>
    <row r="127" spans="2:10">
      <c r="B127" s="102"/>
      <c r="D127" s="44"/>
      <c r="E127" s="44"/>
      <c r="F127" s="44"/>
      <c r="G127" s="44"/>
      <c r="H127" s="44"/>
      <c r="I127" s="44"/>
      <c r="J127" s="41"/>
    </row>
    <row r="128" spans="2:10">
      <c r="B128" s="102"/>
      <c r="D128" s="44"/>
      <c r="E128" s="44"/>
      <c r="F128" s="44"/>
      <c r="G128" s="44"/>
      <c r="H128" s="44"/>
      <c r="I128" s="44"/>
      <c r="J128" s="41"/>
    </row>
    <row r="129" spans="2:10">
      <c r="B129" s="102"/>
      <c r="D129" s="44"/>
      <c r="E129" s="44"/>
      <c r="F129" s="44"/>
      <c r="G129" s="44"/>
      <c r="H129" s="44"/>
      <c r="I129" s="44"/>
      <c r="J129" s="41"/>
    </row>
    <row r="130" spans="2:10">
      <c r="B130" s="102"/>
      <c r="D130" s="44"/>
      <c r="E130" s="44"/>
      <c r="F130" s="44"/>
      <c r="G130" s="44"/>
      <c r="H130" s="44"/>
      <c r="I130" s="44"/>
      <c r="J130" s="41"/>
    </row>
    <row r="131" spans="2:10">
      <c r="B131" s="102"/>
      <c r="D131" s="44"/>
      <c r="E131" s="44"/>
      <c r="F131" s="44"/>
      <c r="G131" s="44"/>
      <c r="H131" s="44"/>
      <c r="I131" s="44"/>
      <c r="J131" s="41"/>
    </row>
    <row r="132" spans="2:10">
      <c r="B132" s="102"/>
      <c r="D132" s="44"/>
      <c r="E132" s="44"/>
      <c r="F132" s="44"/>
      <c r="G132" s="44"/>
      <c r="H132" s="44"/>
      <c r="I132" s="44"/>
      <c r="J132" s="41"/>
    </row>
    <row r="133" spans="2:10">
      <c r="B133" s="102"/>
      <c r="D133" s="44"/>
      <c r="E133" s="44"/>
      <c r="F133" s="44"/>
      <c r="G133" s="44"/>
      <c r="H133" s="44"/>
      <c r="I133" s="44"/>
      <c r="J133" s="41"/>
    </row>
    <row r="134" spans="2:10">
      <c r="B134" s="102"/>
      <c r="D134" s="44"/>
      <c r="E134" s="44"/>
      <c r="F134" s="44"/>
      <c r="G134" s="44"/>
      <c r="H134" s="44"/>
      <c r="I134" s="44"/>
      <c r="J134" s="41"/>
    </row>
    <row r="135" spans="2:10">
      <c r="B135" s="102"/>
      <c r="D135" s="44"/>
      <c r="E135" s="44"/>
      <c r="F135" s="44"/>
      <c r="G135" s="44"/>
      <c r="H135" s="44"/>
      <c r="I135" s="44"/>
      <c r="J135" s="41"/>
    </row>
    <row r="136" spans="2:10">
      <c r="B136" s="102"/>
      <c r="D136" s="44"/>
      <c r="E136" s="44"/>
      <c r="F136" s="44"/>
      <c r="G136" s="44"/>
      <c r="H136" s="44"/>
      <c r="I136" s="44"/>
      <c r="J136" s="41"/>
    </row>
    <row r="137" spans="2:10">
      <c r="B137" s="102"/>
      <c r="D137" s="44"/>
      <c r="E137" s="44"/>
      <c r="F137" s="44"/>
      <c r="G137" s="44"/>
      <c r="H137" s="44"/>
      <c r="I137" s="44"/>
      <c r="J137" s="41"/>
    </row>
    <row r="138" spans="2:10">
      <c r="B138" s="102"/>
      <c r="D138" s="44"/>
      <c r="E138" s="44"/>
      <c r="F138" s="44"/>
      <c r="G138" s="44"/>
      <c r="H138" s="44"/>
      <c r="I138" s="44"/>
      <c r="J138" s="41"/>
    </row>
    <row r="139" spans="2:10">
      <c r="B139" s="102"/>
      <c r="D139" s="44"/>
      <c r="E139" s="44"/>
      <c r="F139" s="44"/>
      <c r="G139" s="44"/>
      <c r="H139" s="44"/>
      <c r="I139" s="44"/>
      <c r="J139" s="41"/>
    </row>
    <row r="140" spans="2:10">
      <c r="B140" s="102"/>
      <c r="D140" s="44"/>
      <c r="E140" s="44"/>
      <c r="F140" s="44"/>
      <c r="G140" s="44"/>
      <c r="H140" s="44"/>
      <c r="I140" s="44"/>
      <c r="J140" s="41"/>
    </row>
    <row r="141" spans="2:10">
      <c r="B141" s="102"/>
      <c r="D141" s="44"/>
      <c r="E141" s="44"/>
      <c r="F141" s="44"/>
      <c r="G141" s="44"/>
      <c r="H141" s="44"/>
      <c r="I141" s="44"/>
      <c r="J141" s="41"/>
    </row>
    <row r="142" spans="2:10">
      <c r="B142" s="102"/>
      <c r="D142" s="44"/>
      <c r="E142" s="44"/>
      <c r="F142" s="44"/>
      <c r="G142" s="44"/>
      <c r="H142" s="44"/>
      <c r="I142" s="44"/>
      <c r="J142" s="41"/>
    </row>
    <row r="143" spans="2:10">
      <c r="B143" s="99"/>
      <c r="D143" s="44"/>
      <c r="E143" s="44"/>
      <c r="F143" s="44"/>
      <c r="G143" s="44"/>
      <c r="H143" s="44"/>
      <c r="I143" s="44"/>
      <c r="J143" s="41"/>
    </row>
    <row r="144" spans="2:10">
      <c r="B144" s="99"/>
      <c r="C144" s="100"/>
      <c r="D144" s="100"/>
      <c r="E144" s="100"/>
      <c r="F144" s="100"/>
      <c r="G144" s="100"/>
      <c r="H144" s="100"/>
      <c r="I144" s="100"/>
      <c r="J144" s="101"/>
    </row>
    <row r="145" spans="2:10">
      <c r="B145" s="99"/>
      <c r="C145" s="100"/>
      <c r="D145" s="100"/>
      <c r="E145" s="100"/>
      <c r="F145" s="100"/>
      <c r="G145" s="100"/>
      <c r="H145" s="100"/>
      <c r="I145" s="100"/>
      <c r="J145" s="101"/>
    </row>
    <row r="146" spans="2:10">
      <c r="B146" s="99"/>
      <c r="C146" s="100"/>
      <c r="D146" s="100"/>
      <c r="E146" s="100"/>
      <c r="F146" s="100"/>
      <c r="G146" s="100"/>
      <c r="H146" s="100"/>
      <c r="I146" s="100"/>
      <c r="J146" s="101"/>
    </row>
    <row r="147" spans="2:10">
      <c r="B147" s="102"/>
      <c r="D147" s="44"/>
      <c r="E147" s="44"/>
      <c r="F147" s="44"/>
      <c r="G147" s="44"/>
      <c r="H147" s="44"/>
      <c r="I147" s="44"/>
      <c r="J147" s="41"/>
    </row>
    <row r="148" spans="2:10">
      <c r="B148" s="103"/>
      <c r="C148" s="104"/>
      <c r="D148" s="44"/>
      <c r="E148" s="44"/>
      <c r="F148" s="44"/>
      <c r="G148" s="44"/>
      <c r="H148" s="44"/>
      <c r="I148" s="44"/>
      <c r="J148" s="41"/>
    </row>
    <row r="149" spans="2:10">
      <c r="B149" s="102"/>
      <c r="D149" s="44"/>
      <c r="E149" s="44"/>
      <c r="F149" s="44"/>
      <c r="G149" s="44"/>
      <c r="H149" s="44"/>
      <c r="I149" s="44"/>
      <c r="J149" s="41"/>
    </row>
    <row r="150" spans="2:10">
      <c r="B150" s="102"/>
      <c r="D150" s="44"/>
      <c r="E150" s="44"/>
      <c r="F150" s="44"/>
      <c r="G150" s="44"/>
      <c r="H150" s="44"/>
      <c r="I150" s="44"/>
      <c r="J150" s="41"/>
    </row>
    <row r="151" spans="2:10">
      <c r="B151" s="102"/>
      <c r="D151" s="44"/>
      <c r="E151" s="44"/>
      <c r="F151" s="44"/>
      <c r="G151" s="44"/>
      <c r="H151" s="44"/>
      <c r="I151" s="44"/>
      <c r="J151" s="41"/>
    </row>
    <row r="152" spans="2:10">
      <c r="B152" s="99"/>
      <c r="C152" s="100"/>
      <c r="D152" s="100"/>
      <c r="E152" s="100"/>
      <c r="F152" s="100"/>
      <c r="G152" s="100"/>
      <c r="H152" s="100"/>
      <c r="I152" s="100"/>
      <c r="J152" s="101"/>
    </row>
    <row r="153" spans="2:10">
      <c r="B153" s="99"/>
      <c r="C153" s="100"/>
      <c r="D153" s="100"/>
      <c r="E153" s="100"/>
      <c r="F153" s="100"/>
      <c r="G153" s="100"/>
      <c r="H153" s="100"/>
      <c r="I153" s="100"/>
      <c r="J153" s="101"/>
    </row>
    <row r="154" spans="2:10">
      <c r="B154" s="99"/>
      <c r="C154" s="100"/>
      <c r="D154" s="100"/>
      <c r="E154" s="100"/>
      <c r="F154" s="100"/>
      <c r="G154" s="100"/>
      <c r="H154" s="100"/>
      <c r="I154" s="100"/>
      <c r="J154" s="101"/>
    </row>
    <row r="155" spans="2:10">
      <c r="B155" s="102"/>
      <c r="D155" s="44"/>
      <c r="E155" s="44"/>
      <c r="F155" s="44"/>
      <c r="G155" s="44"/>
      <c r="H155" s="44"/>
      <c r="I155" s="44"/>
      <c r="J155" s="41"/>
    </row>
    <row r="156" spans="2:10">
      <c r="B156" s="103"/>
      <c r="C156" s="104"/>
      <c r="D156" s="44"/>
      <c r="E156" s="44"/>
      <c r="F156" s="44"/>
      <c r="G156" s="44"/>
      <c r="H156" s="44"/>
      <c r="I156" s="44"/>
      <c r="J156" s="41"/>
    </row>
    <row r="157" spans="2:10">
      <c r="B157" s="102"/>
      <c r="D157" s="44"/>
      <c r="E157" s="44"/>
      <c r="F157" s="44"/>
      <c r="G157" s="44"/>
      <c r="H157" s="44"/>
      <c r="I157" s="44"/>
      <c r="J157" s="41"/>
    </row>
    <row r="158" spans="2:10">
      <c r="B158" s="102"/>
      <c r="D158" s="44"/>
      <c r="E158" s="44"/>
      <c r="F158" s="44"/>
      <c r="G158" s="44"/>
      <c r="H158" s="44"/>
      <c r="I158" s="44"/>
      <c r="J158" s="41"/>
    </row>
    <row r="159" spans="2:10" ht="15.5" thickBot="1">
      <c r="B159" s="102"/>
      <c r="D159" s="44"/>
      <c r="E159" s="44"/>
      <c r="F159" s="44"/>
      <c r="G159" s="44"/>
      <c r="H159" s="44"/>
      <c r="I159" s="44"/>
      <c r="J159" s="41"/>
    </row>
    <row r="160" spans="2:10">
      <c r="B160" s="106"/>
      <c r="C160" s="107"/>
      <c r="D160" s="107"/>
      <c r="E160" s="107"/>
      <c r="F160" s="107"/>
      <c r="G160" s="107"/>
      <c r="H160" s="107"/>
      <c r="I160" s="107"/>
      <c r="J160" s="108"/>
    </row>
    <row r="161" spans="2:10">
      <c r="B161" s="99"/>
      <c r="C161" s="105" t="s">
        <v>197</v>
      </c>
      <c r="D161" s="100"/>
      <c r="E161" s="100"/>
      <c r="F161" s="100"/>
      <c r="G161" s="100"/>
      <c r="H161" s="100"/>
      <c r="I161" s="100"/>
      <c r="J161" s="101"/>
    </row>
    <row r="162" spans="2:10">
      <c r="B162" s="102"/>
      <c r="D162" s="44"/>
      <c r="E162" s="44"/>
      <c r="F162" s="44"/>
      <c r="G162" s="44"/>
      <c r="H162" s="44"/>
      <c r="I162" s="44"/>
      <c r="J162" s="41"/>
    </row>
    <row r="163" spans="2:10">
      <c r="B163" s="103"/>
      <c r="C163" s="104"/>
      <c r="D163" s="44"/>
      <c r="E163" s="44"/>
      <c r="F163" s="44"/>
      <c r="G163" s="44"/>
      <c r="H163" s="44"/>
      <c r="I163" s="44"/>
      <c r="J163" s="41"/>
    </row>
    <row r="164" spans="2:10">
      <c r="B164" s="102"/>
      <c r="D164" s="44"/>
      <c r="E164" s="44"/>
      <c r="F164" s="44"/>
      <c r="G164" s="44"/>
      <c r="H164" s="44"/>
      <c r="I164" s="44"/>
      <c r="J164" s="41"/>
    </row>
    <row r="165" spans="2:10">
      <c r="B165" s="102"/>
      <c r="D165" s="44"/>
      <c r="E165" s="44"/>
      <c r="F165" s="44"/>
      <c r="G165" s="44"/>
      <c r="H165" s="44"/>
      <c r="I165" s="44"/>
      <c r="J165" s="41"/>
    </row>
    <row r="166" spans="2:10">
      <c r="B166" s="102"/>
      <c r="D166" s="44"/>
      <c r="E166" s="44"/>
      <c r="F166" s="44"/>
      <c r="G166" s="44"/>
      <c r="H166" s="44"/>
      <c r="I166" s="44"/>
      <c r="J166" s="41"/>
    </row>
    <row r="167" spans="2:10">
      <c r="B167" s="102"/>
      <c r="D167" s="44"/>
      <c r="E167" s="44"/>
      <c r="F167" s="44"/>
      <c r="G167" s="44"/>
      <c r="H167" s="44"/>
      <c r="I167" s="44"/>
      <c r="J167" s="41"/>
    </row>
    <row r="168" spans="2:10">
      <c r="B168" s="102"/>
      <c r="D168" s="44"/>
      <c r="E168" s="44"/>
      <c r="F168" s="44"/>
      <c r="G168" s="44"/>
      <c r="H168" s="44"/>
      <c r="I168" s="44"/>
      <c r="J168" s="41"/>
    </row>
    <row r="169" spans="2:10">
      <c r="B169" s="102"/>
      <c r="D169" s="44"/>
      <c r="E169" s="44"/>
      <c r="F169" s="44"/>
      <c r="G169" s="44"/>
      <c r="H169" s="44"/>
      <c r="I169" s="44"/>
      <c r="J169" s="41"/>
    </row>
    <row r="170" spans="2:10">
      <c r="B170" s="102"/>
      <c r="D170" s="44"/>
      <c r="E170" s="44"/>
      <c r="F170" s="44"/>
      <c r="G170" s="44"/>
      <c r="H170" s="44"/>
      <c r="I170" s="44"/>
      <c r="J170" s="41"/>
    </row>
    <row r="171" spans="2:10">
      <c r="B171" s="103"/>
      <c r="C171" s="104"/>
      <c r="D171" s="44"/>
      <c r="E171" s="44"/>
      <c r="F171" s="44"/>
      <c r="G171" s="44"/>
      <c r="H171" s="44"/>
      <c r="I171" s="44"/>
      <c r="J171" s="41"/>
    </row>
    <row r="172" spans="2:10">
      <c r="B172" s="102"/>
      <c r="D172" s="44"/>
      <c r="E172" s="44"/>
      <c r="F172" s="44"/>
      <c r="G172" s="44"/>
      <c r="H172" s="44"/>
      <c r="I172" s="44"/>
      <c r="J172" s="41"/>
    </row>
    <row r="173" spans="2:10">
      <c r="B173" s="102"/>
      <c r="D173" s="44"/>
      <c r="E173" s="44"/>
      <c r="F173" s="44"/>
      <c r="G173" s="44"/>
      <c r="H173" s="44"/>
      <c r="I173" s="44"/>
      <c r="J173" s="41"/>
    </row>
    <row r="174" spans="2:10">
      <c r="B174" s="102"/>
      <c r="D174" s="44"/>
      <c r="E174" s="44"/>
      <c r="F174" s="44"/>
      <c r="G174" s="44"/>
      <c r="H174" s="44"/>
      <c r="I174" s="44"/>
      <c r="J174" s="41"/>
    </row>
    <row r="175" spans="2:10">
      <c r="B175" s="102"/>
      <c r="D175" s="44"/>
      <c r="E175" s="44"/>
      <c r="F175" s="44"/>
      <c r="G175" s="44"/>
      <c r="H175" s="44"/>
      <c r="I175" s="44"/>
      <c r="J175" s="41"/>
    </row>
    <row r="176" spans="2:10">
      <c r="B176" s="102"/>
      <c r="D176" s="44"/>
      <c r="E176" s="44"/>
      <c r="F176" s="44"/>
      <c r="G176" s="44"/>
      <c r="H176" s="44"/>
      <c r="I176" s="44"/>
      <c r="J176" s="41"/>
    </row>
    <row r="177" spans="2:10">
      <c r="B177" s="102"/>
      <c r="D177" s="44"/>
      <c r="E177" s="44"/>
      <c r="F177" s="44"/>
      <c r="G177" s="44"/>
      <c r="H177" s="44"/>
      <c r="I177" s="44"/>
      <c r="J177" s="41"/>
    </row>
    <row r="178" spans="2:10">
      <c r="B178" s="102"/>
      <c r="D178" s="44"/>
      <c r="E178" s="44"/>
      <c r="F178" s="44"/>
      <c r="G178" s="44"/>
      <c r="H178" s="44"/>
      <c r="I178" s="44"/>
      <c r="J178" s="41"/>
    </row>
    <row r="179" spans="2:10">
      <c r="B179" s="102"/>
      <c r="D179" s="44"/>
      <c r="E179" s="44"/>
      <c r="F179" s="44"/>
      <c r="G179" s="44"/>
      <c r="H179" s="44"/>
      <c r="I179" s="44"/>
      <c r="J179" s="41"/>
    </row>
    <row r="180" spans="2:10">
      <c r="B180" s="102"/>
      <c r="D180" s="44"/>
      <c r="E180" s="44"/>
      <c r="F180" s="44"/>
      <c r="G180" s="44"/>
      <c r="H180" s="44"/>
      <c r="I180" s="44"/>
      <c r="J180" s="41"/>
    </row>
    <row r="181" spans="2:10">
      <c r="B181" s="102"/>
      <c r="D181" s="44"/>
      <c r="E181" s="44"/>
      <c r="F181" s="44"/>
      <c r="G181" s="44"/>
      <c r="H181" s="44"/>
      <c r="I181" s="44"/>
      <c r="J181" s="41"/>
    </row>
    <row r="182" spans="2:10">
      <c r="B182" s="102"/>
      <c r="D182" s="44"/>
      <c r="E182" s="44"/>
      <c r="F182" s="44"/>
      <c r="G182" s="44"/>
      <c r="H182" s="44"/>
      <c r="I182" s="44"/>
      <c r="J182" s="41"/>
    </row>
    <row r="183" spans="2:10">
      <c r="B183" s="102"/>
      <c r="D183" s="44"/>
      <c r="E183" s="44"/>
      <c r="F183" s="44"/>
      <c r="G183" s="44"/>
      <c r="H183" s="44"/>
      <c r="I183" s="44"/>
      <c r="J183" s="41"/>
    </row>
    <row r="184" spans="2:10">
      <c r="B184" s="102"/>
      <c r="D184" s="44"/>
      <c r="E184" s="44"/>
      <c r="F184" s="44"/>
      <c r="G184" s="44"/>
      <c r="H184" s="44"/>
      <c r="I184" s="44"/>
      <c r="J184" s="41"/>
    </row>
    <row r="185" spans="2:10">
      <c r="B185" s="102"/>
      <c r="D185" s="44"/>
      <c r="E185" s="44"/>
      <c r="F185" s="44"/>
      <c r="G185" s="44"/>
      <c r="H185" s="44"/>
      <c r="I185" s="44"/>
      <c r="J185" s="41"/>
    </row>
    <row r="186" spans="2:10">
      <c r="B186" s="102"/>
      <c r="D186" s="44"/>
      <c r="E186" s="44"/>
      <c r="F186" s="44"/>
      <c r="G186" s="44"/>
      <c r="H186" s="44"/>
      <c r="I186" s="44"/>
      <c r="J186" s="41"/>
    </row>
    <row r="187" spans="2:10">
      <c r="B187" s="102"/>
      <c r="D187" s="44"/>
      <c r="E187" s="44"/>
      <c r="F187" s="44"/>
      <c r="G187" s="44"/>
      <c r="H187" s="44"/>
      <c r="I187" s="44"/>
      <c r="J187" s="41"/>
    </row>
    <row r="188" spans="2:10">
      <c r="B188" s="102"/>
      <c r="D188" s="44"/>
      <c r="E188" s="44"/>
      <c r="F188" s="44"/>
      <c r="G188" s="44"/>
      <c r="H188" s="44"/>
      <c r="I188" s="44"/>
      <c r="J188" s="41"/>
    </row>
    <row r="189" spans="2:10">
      <c r="B189" s="102"/>
      <c r="D189" s="44"/>
      <c r="E189" s="44"/>
      <c r="F189" s="44"/>
      <c r="G189" s="44"/>
      <c r="H189" s="44"/>
      <c r="I189" s="44"/>
      <c r="J189" s="41"/>
    </row>
    <row r="190" spans="2:10">
      <c r="B190" s="102"/>
      <c r="D190" s="44"/>
      <c r="E190" s="44"/>
      <c r="F190" s="44"/>
      <c r="G190" s="44"/>
      <c r="H190" s="44"/>
      <c r="I190" s="44"/>
      <c r="J190" s="41"/>
    </row>
    <row r="191" spans="2:10">
      <c r="B191" s="102"/>
      <c r="D191" s="44"/>
      <c r="E191" s="44"/>
      <c r="F191" s="44"/>
      <c r="G191" s="44"/>
      <c r="H191" s="44"/>
      <c r="I191" s="44"/>
      <c r="J191" s="41"/>
    </row>
    <row r="192" spans="2:10">
      <c r="B192" s="102"/>
      <c r="D192" s="44"/>
      <c r="E192" s="44"/>
      <c r="F192" s="44"/>
      <c r="G192" s="44"/>
      <c r="H192" s="44"/>
      <c r="I192" s="44"/>
      <c r="J192" s="41"/>
    </row>
    <row r="193" spans="2:10">
      <c r="B193" s="102"/>
      <c r="D193" s="44"/>
      <c r="E193" s="44"/>
      <c r="F193" s="44"/>
      <c r="G193" s="44"/>
      <c r="H193" s="44"/>
      <c r="I193" s="44"/>
      <c r="J193" s="41"/>
    </row>
    <row r="194" spans="2:10">
      <c r="B194" s="102"/>
      <c r="D194" s="44"/>
      <c r="E194" s="44"/>
      <c r="F194" s="44"/>
      <c r="G194" s="44"/>
      <c r="H194" s="44"/>
      <c r="I194" s="44"/>
      <c r="J194" s="41"/>
    </row>
    <row r="195" spans="2:10">
      <c r="B195" s="102"/>
      <c r="D195" s="44"/>
      <c r="E195" s="44"/>
      <c r="F195" s="44"/>
      <c r="G195" s="44"/>
      <c r="H195" s="44"/>
      <c r="I195" s="44"/>
      <c r="J195" s="41"/>
    </row>
    <row r="196" spans="2:10">
      <c r="B196" s="102"/>
      <c r="D196" s="44"/>
      <c r="E196" s="44"/>
      <c r="F196" s="44"/>
      <c r="G196" s="44"/>
      <c r="H196" s="44"/>
      <c r="I196" s="44"/>
      <c r="J196" s="41"/>
    </row>
    <row r="197" spans="2:10">
      <c r="B197" s="102"/>
      <c r="D197" s="44"/>
      <c r="E197" s="44"/>
      <c r="F197" s="44"/>
      <c r="G197" s="44"/>
      <c r="H197" s="44"/>
      <c r="I197" s="44"/>
      <c r="J197" s="41"/>
    </row>
    <row r="198" spans="2:10">
      <c r="B198" s="102"/>
      <c r="D198" s="44"/>
      <c r="E198" s="44"/>
      <c r="F198" s="44"/>
      <c r="G198" s="44"/>
      <c r="H198" s="44"/>
      <c r="I198" s="44"/>
      <c r="J198" s="41"/>
    </row>
    <row r="199" spans="2:10">
      <c r="B199" s="102"/>
      <c r="D199" s="44"/>
      <c r="E199" s="44"/>
      <c r="F199" s="44"/>
      <c r="G199" s="44"/>
      <c r="H199" s="44"/>
      <c r="I199" s="44"/>
      <c r="J199" s="41"/>
    </row>
    <row r="200" spans="2:10">
      <c r="B200" s="99"/>
      <c r="D200" s="44"/>
      <c r="E200" s="44"/>
      <c r="F200" s="44"/>
      <c r="G200" s="44"/>
      <c r="H200" s="44"/>
      <c r="I200" s="44"/>
      <c r="J200" s="41"/>
    </row>
    <row r="201" spans="2:10">
      <c r="B201" s="99"/>
      <c r="C201" s="100"/>
      <c r="D201" s="100"/>
      <c r="E201" s="100"/>
      <c r="F201" s="100"/>
      <c r="G201" s="100"/>
      <c r="H201" s="100"/>
      <c r="I201" s="100"/>
      <c r="J201" s="101"/>
    </row>
    <row r="202" spans="2:10">
      <c r="B202" s="99"/>
      <c r="C202" s="100"/>
      <c r="D202" s="100"/>
      <c r="E202" s="100"/>
      <c r="F202" s="100"/>
      <c r="G202" s="100"/>
      <c r="H202" s="100"/>
      <c r="I202" s="100"/>
      <c r="J202" s="101"/>
    </row>
    <row r="203" spans="2:10">
      <c r="B203" s="99"/>
      <c r="C203" s="100"/>
      <c r="D203" s="100"/>
      <c r="E203" s="100"/>
      <c r="F203" s="100"/>
      <c r="G203" s="100"/>
      <c r="H203" s="100"/>
      <c r="I203" s="100"/>
      <c r="J203" s="101"/>
    </row>
    <row r="204" spans="2:10">
      <c r="B204" s="102"/>
      <c r="D204" s="44"/>
      <c r="E204" s="44"/>
      <c r="F204" s="44"/>
      <c r="G204" s="44"/>
      <c r="H204" s="44"/>
      <c r="I204" s="44"/>
      <c r="J204" s="41"/>
    </row>
    <row r="205" spans="2:10">
      <c r="B205" s="102"/>
      <c r="D205" s="44"/>
      <c r="E205" s="44"/>
      <c r="F205" s="44"/>
      <c r="G205" s="44"/>
      <c r="H205" s="44"/>
      <c r="I205" s="44"/>
      <c r="J205" s="41"/>
    </row>
    <row r="206" spans="2:10">
      <c r="B206" s="102"/>
      <c r="D206" s="44"/>
      <c r="E206" s="44"/>
      <c r="F206" s="44"/>
      <c r="G206" s="44"/>
      <c r="H206" s="44"/>
      <c r="I206" s="44"/>
      <c r="J206" s="41"/>
    </row>
    <row r="207" spans="2:10">
      <c r="B207" s="99"/>
      <c r="C207" s="100"/>
      <c r="D207" s="100"/>
      <c r="E207" s="100"/>
      <c r="F207" s="100"/>
      <c r="G207" s="100"/>
      <c r="H207" s="100"/>
      <c r="I207" s="100"/>
      <c r="J207" s="101"/>
    </row>
    <row r="208" spans="2:10">
      <c r="B208" s="99"/>
      <c r="C208" s="100"/>
      <c r="D208" s="100"/>
      <c r="E208" s="100"/>
      <c r="F208" s="100"/>
      <c r="G208" s="100"/>
      <c r="H208" s="100"/>
      <c r="I208" s="100"/>
      <c r="J208" s="101"/>
    </row>
    <row r="209" spans="2:10">
      <c r="B209" s="99"/>
      <c r="C209" s="100"/>
      <c r="D209" s="100"/>
      <c r="E209" s="100"/>
      <c r="F209" s="100"/>
      <c r="G209" s="100"/>
      <c r="H209" s="100"/>
      <c r="I209" s="100"/>
      <c r="J209" s="101"/>
    </row>
    <row r="210" spans="2:10">
      <c r="B210" s="102"/>
      <c r="D210" s="44"/>
      <c r="E210" s="44"/>
      <c r="F210" s="44"/>
      <c r="G210" s="44"/>
      <c r="H210" s="44"/>
      <c r="I210" s="44"/>
      <c r="J210" s="41"/>
    </row>
    <row r="211" spans="2:10">
      <c r="B211" s="103"/>
      <c r="C211" s="104"/>
      <c r="D211" s="44"/>
      <c r="E211" s="44"/>
      <c r="F211" s="44"/>
      <c r="G211" s="44"/>
      <c r="H211" s="44"/>
      <c r="I211" s="44"/>
      <c r="J211" s="41"/>
    </row>
    <row r="212" spans="2:10">
      <c r="B212" s="102"/>
      <c r="D212" s="44"/>
      <c r="E212" s="44"/>
      <c r="F212" s="44"/>
      <c r="G212" s="44"/>
      <c r="H212" s="44"/>
      <c r="I212" s="44"/>
      <c r="J212" s="41"/>
    </row>
    <row r="213" spans="2:10">
      <c r="B213" s="102"/>
      <c r="D213" s="44"/>
      <c r="E213" s="44"/>
      <c r="F213" s="44"/>
      <c r="G213" s="44"/>
      <c r="H213" s="44"/>
      <c r="I213" s="44"/>
      <c r="J213" s="41"/>
    </row>
    <row r="214" spans="2:10">
      <c r="B214" s="102"/>
      <c r="D214" s="44"/>
      <c r="E214" s="44"/>
      <c r="F214" s="44"/>
      <c r="G214" s="44"/>
      <c r="H214" s="44"/>
      <c r="I214" s="44"/>
      <c r="J214" s="41"/>
    </row>
    <row r="215" spans="2:10" ht="15.5" thickBot="1">
      <c r="B215" s="109"/>
      <c r="C215" s="110"/>
      <c r="D215" s="111"/>
      <c r="E215" s="111"/>
      <c r="F215" s="111"/>
      <c r="G215" s="111"/>
      <c r="H215" s="111"/>
      <c r="I215" s="111"/>
      <c r="J215" s="112"/>
    </row>
    <row r="216" spans="2:10" ht="14.25" customHeight="1">
      <c r="B216" s="462" t="s">
        <v>198</v>
      </c>
      <c r="C216" s="97" t="s">
        <v>199</v>
      </c>
      <c r="D216" s="97"/>
      <c r="E216" s="97"/>
      <c r="F216" s="97"/>
      <c r="G216" s="97"/>
      <c r="H216" s="97"/>
      <c r="I216" s="97"/>
      <c r="J216" s="98"/>
    </row>
    <row r="217" spans="2:10" ht="14.25" customHeight="1" thickBot="1">
      <c r="B217" s="463"/>
      <c r="C217" s="464" t="s">
        <v>190</v>
      </c>
      <c r="D217" s="465"/>
      <c r="E217" s="466"/>
      <c r="F217" s="466"/>
      <c r="G217" s="466"/>
      <c r="H217" s="466"/>
      <c r="I217" s="466"/>
      <c r="J217" s="467"/>
    </row>
    <row r="218" spans="2:10">
      <c r="B218" s="113" t="s">
        <v>200</v>
      </c>
      <c r="C218" s="114"/>
      <c r="D218" s="114"/>
      <c r="E218" s="114"/>
      <c r="F218" s="114"/>
      <c r="G218" s="114"/>
      <c r="H218" s="114"/>
      <c r="I218" s="114"/>
      <c r="J218" s="115"/>
    </row>
    <row r="219" spans="2:10">
      <c r="B219" s="99"/>
      <c r="C219" s="100"/>
      <c r="D219" s="100"/>
      <c r="E219" s="100"/>
      <c r="F219" s="100"/>
      <c r="G219" s="100"/>
      <c r="H219" s="100"/>
      <c r="I219" s="100"/>
      <c r="J219" s="101"/>
    </row>
    <row r="220" spans="2:10">
      <c r="B220" s="102"/>
      <c r="D220" s="44"/>
      <c r="E220" s="44"/>
      <c r="F220" s="44"/>
      <c r="G220" s="44"/>
      <c r="H220" s="44"/>
      <c r="I220" s="44"/>
      <c r="J220" s="41"/>
    </row>
    <row r="221" spans="2:10">
      <c r="B221" s="102"/>
      <c r="D221" s="44"/>
      <c r="E221" s="44"/>
      <c r="F221" s="44"/>
      <c r="G221" s="44"/>
      <c r="H221" s="44"/>
      <c r="I221" s="44"/>
      <c r="J221" s="41"/>
    </row>
    <row r="222" spans="2:10">
      <c r="B222" s="102"/>
      <c r="D222" s="44"/>
      <c r="E222" s="44"/>
      <c r="F222" s="44"/>
      <c r="G222" s="44"/>
      <c r="H222" s="44"/>
      <c r="I222" s="44"/>
      <c r="J222" s="41"/>
    </row>
    <row r="223" spans="2:10">
      <c r="B223" s="102"/>
      <c r="D223" s="44"/>
      <c r="E223" s="44"/>
      <c r="F223" s="44"/>
      <c r="G223" s="44"/>
      <c r="H223" s="44"/>
      <c r="I223" s="44"/>
      <c r="J223" s="41"/>
    </row>
    <row r="224" spans="2:10">
      <c r="B224" s="102"/>
      <c r="D224" s="44"/>
      <c r="E224" s="44"/>
      <c r="F224" s="44"/>
      <c r="G224" s="44"/>
      <c r="H224" s="44"/>
      <c r="I224" s="44"/>
      <c r="J224" s="41"/>
    </row>
    <row r="225" spans="2:10">
      <c r="B225" s="102"/>
      <c r="C225" s="116" t="s">
        <v>201</v>
      </c>
      <c r="D225" s="44"/>
      <c r="E225" s="44"/>
      <c r="F225" s="44"/>
      <c r="G225" s="44"/>
      <c r="H225" s="44"/>
      <c r="I225" s="44"/>
      <c r="J225" s="41"/>
    </row>
    <row r="226" spans="2:10" ht="15.5" thickBot="1">
      <c r="B226" s="109"/>
      <c r="C226" s="110"/>
      <c r="D226" s="111"/>
      <c r="E226" s="111"/>
      <c r="F226" s="111"/>
      <c r="G226" s="111"/>
      <c r="H226" s="111"/>
      <c r="I226" s="111"/>
      <c r="J226" s="112"/>
    </row>
    <row r="227" spans="2:10" ht="14.25" customHeight="1">
      <c r="B227" s="462" t="s">
        <v>202</v>
      </c>
      <c r="C227" s="97" t="s">
        <v>203</v>
      </c>
      <c r="D227" s="97"/>
      <c r="E227" s="97"/>
      <c r="F227" s="97"/>
      <c r="G227" s="97"/>
      <c r="H227" s="97"/>
      <c r="I227" s="97"/>
      <c r="J227" s="98"/>
    </row>
    <row r="228" spans="2:10" ht="14.25" customHeight="1" thickBot="1">
      <c r="B228" s="463"/>
      <c r="C228" s="464" t="s">
        <v>190</v>
      </c>
      <c r="D228" s="465"/>
      <c r="E228" s="466"/>
      <c r="F228" s="466"/>
      <c r="G228" s="466"/>
      <c r="H228" s="466"/>
      <c r="I228" s="466"/>
      <c r="J228" s="467"/>
    </row>
    <row r="229" spans="2:10">
      <c r="B229" s="102"/>
      <c r="D229" s="44"/>
      <c r="E229" s="44"/>
      <c r="F229" s="44"/>
      <c r="G229" s="44"/>
      <c r="H229" s="44"/>
      <c r="I229" s="44"/>
      <c r="J229" s="41"/>
    </row>
    <row r="230" spans="2:10">
      <c r="B230" s="103"/>
      <c r="C230" s="104"/>
      <c r="D230" s="44"/>
      <c r="E230" s="44"/>
      <c r="F230" s="44"/>
      <c r="G230" s="44"/>
      <c r="H230" s="44"/>
      <c r="I230" s="44"/>
      <c r="J230" s="41"/>
    </row>
    <row r="231" spans="2:10">
      <c r="B231" s="102"/>
      <c r="D231" s="44"/>
      <c r="E231" s="44"/>
      <c r="F231" s="44"/>
      <c r="G231" s="44"/>
      <c r="H231" s="44"/>
      <c r="I231" s="44"/>
      <c r="J231" s="41"/>
    </row>
    <row r="232" spans="2:10">
      <c r="B232" s="102"/>
      <c r="D232" s="44"/>
      <c r="E232" s="44"/>
      <c r="F232" s="44"/>
      <c r="G232" s="44"/>
      <c r="H232" s="44"/>
      <c r="I232" s="44"/>
      <c r="J232" s="41"/>
    </row>
    <row r="233" spans="2:10">
      <c r="B233" s="102"/>
      <c r="D233" s="44"/>
      <c r="E233" s="44"/>
      <c r="F233" s="44"/>
      <c r="G233" s="44"/>
      <c r="H233" s="44"/>
      <c r="I233" s="44"/>
      <c r="J233" s="41"/>
    </row>
    <row r="234" spans="2:10">
      <c r="B234" s="102"/>
      <c r="C234" s="116" t="s">
        <v>204</v>
      </c>
      <c r="D234" s="44"/>
      <c r="E234" s="44"/>
      <c r="F234" s="44"/>
      <c r="G234" s="44"/>
      <c r="H234" s="44"/>
      <c r="I234" s="44"/>
      <c r="J234" s="41"/>
    </row>
    <row r="235" spans="2:10" ht="15.5" thickBot="1">
      <c r="B235" s="109"/>
      <c r="C235" s="110"/>
      <c r="D235" s="111"/>
      <c r="E235" s="111"/>
      <c r="F235" s="111"/>
      <c r="G235" s="111"/>
      <c r="H235" s="111"/>
      <c r="I235" s="111"/>
      <c r="J235" s="112"/>
    </row>
    <row r="236" spans="2:10" ht="14.25" customHeight="1">
      <c r="B236" s="462" t="s">
        <v>205</v>
      </c>
      <c r="C236" s="97" t="s">
        <v>206</v>
      </c>
      <c r="D236" s="97"/>
      <c r="E236" s="97"/>
      <c r="F236" s="97"/>
      <c r="G236" s="97"/>
      <c r="H236" s="97"/>
      <c r="I236" s="97"/>
      <c r="J236" s="98"/>
    </row>
    <row r="237" spans="2:10" ht="14.25" customHeight="1" thickBot="1">
      <c r="B237" s="463"/>
      <c r="C237" s="464" t="s">
        <v>190</v>
      </c>
      <c r="D237" s="465"/>
      <c r="E237" s="466"/>
      <c r="F237" s="466"/>
      <c r="G237" s="466"/>
      <c r="H237" s="466"/>
      <c r="I237" s="466"/>
      <c r="J237" s="467"/>
    </row>
    <row r="238" spans="2:10">
      <c r="B238" s="102"/>
      <c r="D238" s="44"/>
      <c r="E238" s="44"/>
      <c r="F238" s="44"/>
      <c r="G238" s="44"/>
      <c r="H238" s="44"/>
      <c r="I238" s="44"/>
      <c r="J238" s="41"/>
    </row>
    <row r="239" spans="2:10">
      <c r="B239" s="103"/>
      <c r="C239" s="104"/>
      <c r="D239" s="44"/>
      <c r="E239" s="44"/>
      <c r="F239" s="44"/>
      <c r="G239" s="44"/>
      <c r="H239" s="44"/>
      <c r="I239" s="44"/>
      <c r="J239" s="41"/>
    </row>
    <row r="240" spans="2:10">
      <c r="B240" s="102"/>
      <c r="D240" s="44"/>
      <c r="E240" s="44"/>
      <c r="F240" s="44"/>
      <c r="G240" s="44"/>
      <c r="H240" s="44"/>
      <c r="I240" s="44"/>
      <c r="J240" s="41"/>
    </row>
    <row r="241" spans="2:10">
      <c r="B241" s="102"/>
      <c r="D241" s="44"/>
      <c r="E241" s="44"/>
      <c r="F241" s="44"/>
      <c r="G241" s="44"/>
      <c r="H241" s="44"/>
      <c r="I241" s="44"/>
      <c r="J241" s="41"/>
    </row>
    <row r="242" spans="2:10">
      <c r="B242" s="102"/>
      <c r="D242" s="44"/>
      <c r="E242" s="44"/>
      <c r="F242" s="44"/>
      <c r="G242" s="44"/>
      <c r="H242" s="44"/>
      <c r="I242" s="44"/>
      <c r="J242" s="41"/>
    </row>
    <row r="243" spans="2:10">
      <c r="B243" s="102"/>
      <c r="C243" s="116" t="s">
        <v>204</v>
      </c>
      <c r="D243" s="44"/>
      <c r="E243" s="44"/>
      <c r="F243" s="44"/>
      <c r="G243" s="44"/>
      <c r="H243" s="44"/>
      <c r="I243" s="44"/>
      <c r="J243" s="41"/>
    </row>
    <row r="244" spans="2:10" ht="15.5" thickBot="1">
      <c r="B244" s="109"/>
      <c r="C244" s="110"/>
      <c r="D244" s="111"/>
      <c r="E244" s="111"/>
      <c r="F244" s="111"/>
      <c r="G244" s="111"/>
      <c r="H244" s="111"/>
      <c r="I244" s="111"/>
      <c r="J244" s="112"/>
    </row>
    <row r="245" spans="2:10" ht="14.25" customHeight="1">
      <c r="B245" s="462" t="s">
        <v>207</v>
      </c>
      <c r="C245" s="97" t="s">
        <v>208</v>
      </c>
      <c r="D245" s="97"/>
      <c r="E245" s="97"/>
      <c r="F245" s="97"/>
      <c r="G245" s="97"/>
      <c r="H245" s="97"/>
      <c r="I245" s="97"/>
      <c r="J245" s="98"/>
    </row>
    <row r="246" spans="2:10" ht="14.25" customHeight="1" thickBot="1">
      <c r="B246" s="463"/>
      <c r="C246" s="464" t="s">
        <v>190</v>
      </c>
      <c r="D246" s="465"/>
      <c r="E246" s="466"/>
      <c r="F246" s="466"/>
      <c r="G246" s="466"/>
      <c r="H246" s="466"/>
      <c r="I246" s="466"/>
      <c r="J246" s="467"/>
    </row>
    <row r="247" spans="2:10">
      <c r="B247" s="102"/>
      <c r="D247" s="44"/>
      <c r="E247" s="44"/>
      <c r="F247" s="44"/>
      <c r="G247" s="44"/>
      <c r="H247" s="44"/>
      <c r="I247" s="44"/>
      <c r="J247" s="41"/>
    </row>
    <row r="248" spans="2:10">
      <c r="B248" s="103"/>
      <c r="C248" s="104"/>
      <c r="D248" s="44"/>
      <c r="E248" s="44"/>
      <c r="F248" s="44"/>
      <c r="G248" s="44"/>
      <c r="H248" s="44"/>
      <c r="I248" s="44"/>
      <c r="J248" s="41"/>
    </row>
    <row r="249" spans="2:10">
      <c r="B249" s="103"/>
      <c r="C249" s="104"/>
      <c r="D249" s="44"/>
      <c r="E249" s="44"/>
      <c r="F249" s="44"/>
      <c r="G249" s="44"/>
      <c r="H249" s="44"/>
      <c r="I249" s="44"/>
      <c r="J249" s="41"/>
    </row>
    <row r="250" spans="2:10">
      <c r="B250" s="102"/>
      <c r="D250" s="44"/>
      <c r="E250" s="44"/>
      <c r="F250" s="44"/>
      <c r="G250" s="44"/>
      <c r="H250" s="44"/>
      <c r="I250" s="44"/>
      <c r="J250" s="41"/>
    </row>
    <row r="251" spans="2:10">
      <c r="B251" s="102"/>
      <c r="D251" s="44"/>
      <c r="E251" s="44"/>
      <c r="F251" s="44"/>
      <c r="G251" s="44"/>
      <c r="H251" s="44"/>
      <c r="I251" s="44"/>
      <c r="J251" s="41"/>
    </row>
    <row r="252" spans="2:10">
      <c r="B252" s="102"/>
      <c r="D252" s="44"/>
      <c r="E252" s="44"/>
      <c r="F252" s="44"/>
      <c r="G252" s="44"/>
      <c r="H252" s="44"/>
      <c r="I252" s="44"/>
      <c r="J252" s="41"/>
    </row>
    <row r="253" spans="2:10">
      <c r="B253" s="102"/>
      <c r="C253" s="116" t="s">
        <v>204</v>
      </c>
      <c r="D253" s="116"/>
      <c r="E253" s="44"/>
      <c r="F253" s="44"/>
      <c r="G253" s="44"/>
      <c r="H253" s="44"/>
      <c r="I253" s="44"/>
      <c r="J253" s="41"/>
    </row>
    <row r="254" spans="2:10" ht="15.5" thickBot="1">
      <c r="B254" s="117"/>
      <c r="C254" s="118"/>
      <c r="D254" s="49"/>
      <c r="E254" s="49"/>
      <c r="F254" s="49"/>
      <c r="G254" s="49"/>
      <c r="H254" s="49"/>
      <c r="I254" s="49"/>
      <c r="J254" s="50"/>
    </row>
  </sheetData>
  <mergeCells count="22">
    <mergeCell ref="B2:J2"/>
    <mergeCell ref="B8:B9"/>
    <mergeCell ref="C9:D9"/>
    <mergeCell ref="E9:J9"/>
    <mergeCell ref="B47:B48"/>
    <mergeCell ref="C48:D48"/>
    <mergeCell ref="E48:J48"/>
    <mergeCell ref="B82:B83"/>
    <mergeCell ref="C83:D83"/>
    <mergeCell ref="E83:J83"/>
    <mergeCell ref="B216:B217"/>
    <mergeCell ref="C217:D217"/>
    <mergeCell ref="E217:J217"/>
    <mergeCell ref="B245:B246"/>
    <mergeCell ref="C246:D246"/>
    <mergeCell ref="E246:J246"/>
    <mergeCell ref="B227:B228"/>
    <mergeCell ref="C228:D228"/>
    <mergeCell ref="E228:J228"/>
    <mergeCell ref="B236:B237"/>
    <mergeCell ref="C237:D237"/>
    <mergeCell ref="E237:J237"/>
  </mergeCells>
  <phoneticPr fontId="24" type="noConversion"/>
  <hyperlinks>
    <hyperlink ref="A1" location="【TCS】!A1" display="戻る" xr:uid="{B923E791-5E82-49AE-B8B6-46B30E590FD2}"/>
  </hyperlinks>
  <pageMargins left="0.75" right="0.75" top="1" bottom="1" header="0.51200000000000001" footer="0.51200000000000001"/>
  <pageSetup paperSize="9" orientation="portrait" verticalDpi="0" r:id="rId1"/>
  <headerFooter alignWithMargins="0"/>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F72AD-CB3F-43D0-8EF8-D6D8575C5824}">
  <dimension ref="A1:K95"/>
  <sheetViews>
    <sheetView showGridLines="0" workbookViewId="0">
      <pane ySplit="3" topLeftCell="A4" activePane="bottomLeft" state="frozen"/>
      <selection activeCell="G18" sqref="G18"/>
      <selection pane="bottomLeft" activeCell="G18" sqref="G18"/>
    </sheetView>
  </sheetViews>
  <sheetFormatPr defaultRowHeight="15"/>
  <cols>
    <col min="1" max="1" width="3.26953125" style="27" customWidth="1"/>
    <col min="2" max="2" width="7.7265625" style="27" customWidth="1"/>
    <col min="3" max="3" width="10" style="27" customWidth="1"/>
    <col min="4" max="4" width="12.36328125" style="29" customWidth="1"/>
    <col min="5" max="5" width="14.90625" style="29" customWidth="1"/>
    <col min="6" max="6" width="16.36328125" style="29" bestFit="1" customWidth="1"/>
    <col min="7" max="7" width="7" style="27" bestFit="1" customWidth="1"/>
    <col min="8" max="8" width="16.36328125" style="27" bestFit="1" customWidth="1"/>
    <col min="9" max="9" width="7" style="27" bestFit="1" customWidth="1"/>
    <col min="10" max="10" width="16.26953125" style="27" customWidth="1"/>
    <col min="11" max="256" width="9" style="27"/>
    <col min="257" max="257" width="3.26953125" style="27" customWidth="1"/>
    <col min="258" max="258" width="7.7265625" style="27" customWidth="1"/>
    <col min="259" max="259" width="10" style="27" customWidth="1"/>
    <col min="260" max="260" width="12.36328125" style="27" customWidth="1"/>
    <col min="261" max="261" width="14.90625" style="27" customWidth="1"/>
    <col min="262" max="262" width="16.36328125" style="27" bestFit="1" customWidth="1"/>
    <col min="263" max="263" width="7" style="27" bestFit="1" customWidth="1"/>
    <col min="264" max="264" width="16.36328125" style="27" bestFit="1" customWidth="1"/>
    <col min="265" max="265" width="7" style="27" bestFit="1" customWidth="1"/>
    <col min="266" max="266" width="16.26953125" style="27" customWidth="1"/>
    <col min="267" max="512" width="9" style="27"/>
    <col min="513" max="513" width="3.26953125" style="27" customWidth="1"/>
    <col min="514" max="514" width="7.7265625" style="27" customWidth="1"/>
    <col min="515" max="515" width="10" style="27" customWidth="1"/>
    <col min="516" max="516" width="12.36328125" style="27" customWidth="1"/>
    <col min="517" max="517" width="14.90625" style="27" customWidth="1"/>
    <col min="518" max="518" width="16.36328125" style="27" bestFit="1" customWidth="1"/>
    <col min="519" max="519" width="7" style="27" bestFit="1" customWidth="1"/>
    <col min="520" max="520" width="16.36328125" style="27" bestFit="1" customWidth="1"/>
    <col min="521" max="521" width="7" style="27" bestFit="1" customWidth="1"/>
    <col min="522" max="522" width="16.26953125" style="27" customWidth="1"/>
    <col min="523" max="768" width="9" style="27"/>
    <col min="769" max="769" width="3.26953125" style="27" customWidth="1"/>
    <col min="770" max="770" width="7.7265625" style="27" customWidth="1"/>
    <col min="771" max="771" width="10" style="27" customWidth="1"/>
    <col min="772" max="772" width="12.36328125" style="27" customWidth="1"/>
    <col min="773" max="773" width="14.90625" style="27" customWidth="1"/>
    <col min="774" max="774" width="16.36328125" style="27" bestFit="1" customWidth="1"/>
    <col min="775" max="775" width="7" style="27" bestFit="1" customWidth="1"/>
    <col min="776" max="776" width="16.36328125" style="27" bestFit="1" customWidth="1"/>
    <col min="777" max="777" width="7" style="27" bestFit="1" customWidth="1"/>
    <col min="778" max="778" width="16.26953125" style="27" customWidth="1"/>
    <col min="779" max="1024" width="9" style="27"/>
    <col min="1025" max="1025" width="3.26953125" style="27" customWidth="1"/>
    <col min="1026" max="1026" width="7.7265625" style="27" customWidth="1"/>
    <col min="1027" max="1027" width="10" style="27" customWidth="1"/>
    <col min="1028" max="1028" width="12.36328125" style="27" customWidth="1"/>
    <col min="1029" max="1029" width="14.90625" style="27" customWidth="1"/>
    <col min="1030" max="1030" width="16.36328125" style="27" bestFit="1" customWidth="1"/>
    <col min="1031" max="1031" width="7" style="27" bestFit="1" customWidth="1"/>
    <col min="1032" max="1032" width="16.36328125" style="27" bestFit="1" customWidth="1"/>
    <col min="1033" max="1033" width="7" style="27" bestFit="1" customWidth="1"/>
    <col min="1034" max="1034" width="16.26953125" style="27" customWidth="1"/>
    <col min="1035" max="1280" width="9" style="27"/>
    <col min="1281" max="1281" width="3.26953125" style="27" customWidth="1"/>
    <col min="1282" max="1282" width="7.7265625" style="27" customWidth="1"/>
    <col min="1283" max="1283" width="10" style="27" customWidth="1"/>
    <col min="1284" max="1284" width="12.36328125" style="27" customWidth="1"/>
    <col min="1285" max="1285" width="14.90625" style="27" customWidth="1"/>
    <col min="1286" max="1286" width="16.36328125" style="27" bestFit="1" customWidth="1"/>
    <col min="1287" max="1287" width="7" style="27" bestFit="1" customWidth="1"/>
    <col min="1288" max="1288" width="16.36328125" style="27" bestFit="1" customWidth="1"/>
    <col min="1289" max="1289" width="7" style="27" bestFit="1" customWidth="1"/>
    <col min="1290" max="1290" width="16.26953125" style="27" customWidth="1"/>
    <col min="1291" max="1536" width="9" style="27"/>
    <col min="1537" max="1537" width="3.26953125" style="27" customWidth="1"/>
    <col min="1538" max="1538" width="7.7265625" style="27" customWidth="1"/>
    <col min="1539" max="1539" width="10" style="27" customWidth="1"/>
    <col min="1540" max="1540" width="12.36328125" style="27" customWidth="1"/>
    <col min="1541" max="1541" width="14.90625" style="27" customWidth="1"/>
    <col min="1542" max="1542" width="16.36328125" style="27" bestFit="1" customWidth="1"/>
    <col min="1543" max="1543" width="7" style="27" bestFit="1" customWidth="1"/>
    <col min="1544" max="1544" width="16.36328125" style="27" bestFit="1" customWidth="1"/>
    <col min="1545" max="1545" width="7" style="27" bestFit="1" customWidth="1"/>
    <col min="1546" max="1546" width="16.26953125" style="27" customWidth="1"/>
    <col min="1547" max="1792" width="9" style="27"/>
    <col min="1793" max="1793" width="3.26953125" style="27" customWidth="1"/>
    <col min="1794" max="1794" width="7.7265625" style="27" customWidth="1"/>
    <col min="1795" max="1795" width="10" style="27" customWidth="1"/>
    <col min="1796" max="1796" width="12.36328125" style="27" customWidth="1"/>
    <col min="1797" max="1797" width="14.90625" style="27" customWidth="1"/>
    <col min="1798" max="1798" width="16.36328125" style="27" bestFit="1" customWidth="1"/>
    <col min="1799" max="1799" width="7" style="27" bestFit="1" customWidth="1"/>
    <col min="1800" max="1800" width="16.36328125" style="27" bestFit="1" customWidth="1"/>
    <col min="1801" max="1801" width="7" style="27" bestFit="1" customWidth="1"/>
    <col min="1802" max="1802" width="16.26953125" style="27" customWidth="1"/>
    <col min="1803" max="2048" width="9" style="27"/>
    <col min="2049" max="2049" width="3.26953125" style="27" customWidth="1"/>
    <col min="2050" max="2050" width="7.7265625" style="27" customWidth="1"/>
    <col min="2051" max="2051" width="10" style="27" customWidth="1"/>
    <col min="2052" max="2052" width="12.36328125" style="27" customWidth="1"/>
    <col min="2053" max="2053" width="14.90625" style="27" customWidth="1"/>
    <col min="2054" max="2054" width="16.36328125" style="27" bestFit="1" customWidth="1"/>
    <col min="2055" max="2055" width="7" style="27" bestFit="1" customWidth="1"/>
    <col min="2056" max="2056" width="16.36328125" style="27" bestFit="1" customWidth="1"/>
    <col min="2057" max="2057" width="7" style="27" bestFit="1" customWidth="1"/>
    <col min="2058" max="2058" width="16.26953125" style="27" customWidth="1"/>
    <col min="2059" max="2304" width="9" style="27"/>
    <col min="2305" max="2305" width="3.26953125" style="27" customWidth="1"/>
    <col min="2306" max="2306" width="7.7265625" style="27" customWidth="1"/>
    <col min="2307" max="2307" width="10" style="27" customWidth="1"/>
    <col min="2308" max="2308" width="12.36328125" style="27" customWidth="1"/>
    <col min="2309" max="2309" width="14.90625" style="27" customWidth="1"/>
    <col min="2310" max="2310" width="16.36328125" style="27" bestFit="1" customWidth="1"/>
    <col min="2311" max="2311" width="7" style="27" bestFit="1" customWidth="1"/>
    <col min="2312" max="2312" width="16.36328125" style="27" bestFit="1" customWidth="1"/>
    <col min="2313" max="2313" width="7" style="27" bestFit="1" customWidth="1"/>
    <col min="2314" max="2314" width="16.26953125" style="27" customWidth="1"/>
    <col min="2315" max="2560" width="9" style="27"/>
    <col min="2561" max="2561" width="3.26953125" style="27" customWidth="1"/>
    <col min="2562" max="2562" width="7.7265625" style="27" customWidth="1"/>
    <col min="2563" max="2563" width="10" style="27" customWidth="1"/>
    <col min="2564" max="2564" width="12.36328125" style="27" customWidth="1"/>
    <col min="2565" max="2565" width="14.90625" style="27" customWidth="1"/>
    <col min="2566" max="2566" width="16.36328125" style="27" bestFit="1" customWidth="1"/>
    <col min="2567" max="2567" width="7" style="27" bestFit="1" customWidth="1"/>
    <col min="2568" max="2568" width="16.36328125" style="27" bestFit="1" customWidth="1"/>
    <col min="2569" max="2569" width="7" style="27" bestFit="1" customWidth="1"/>
    <col min="2570" max="2570" width="16.26953125" style="27" customWidth="1"/>
    <col min="2571" max="2816" width="9" style="27"/>
    <col min="2817" max="2817" width="3.26953125" style="27" customWidth="1"/>
    <col min="2818" max="2818" width="7.7265625" style="27" customWidth="1"/>
    <col min="2819" max="2819" width="10" style="27" customWidth="1"/>
    <col min="2820" max="2820" width="12.36328125" style="27" customWidth="1"/>
    <col min="2821" max="2821" width="14.90625" style="27" customWidth="1"/>
    <col min="2822" max="2822" width="16.36328125" style="27" bestFit="1" customWidth="1"/>
    <col min="2823" max="2823" width="7" style="27" bestFit="1" customWidth="1"/>
    <col min="2824" max="2824" width="16.36328125" style="27" bestFit="1" customWidth="1"/>
    <col min="2825" max="2825" width="7" style="27" bestFit="1" customWidth="1"/>
    <col min="2826" max="2826" width="16.26953125" style="27" customWidth="1"/>
    <col min="2827" max="3072" width="9" style="27"/>
    <col min="3073" max="3073" width="3.26953125" style="27" customWidth="1"/>
    <col min="3074" max="3074" width="7.7265625" style="27" customWidth="1"/>
    <col min="3075" max="3075" width="10" style="27" customWidth="1"/>
    <col min="3076" max="3076" width="12.36328125" style="27" customWidth="1"/>
    <col min="3077" max="3077" width="14.90625" style="27" customWidth="1"/>
    <col min="3078" max="3078" width="16.36328125" style="27" bestFit="1" customWidth="1"/>
    <col min="3079" max="3079" width="7" style="27" bestFit="1" customWidth="1"/>
    <col min="3080" max="3080" width="16.36328125" style="27" bestFit="1" customWidth="1"/>
    <col min="3081" max="3081" width="7" style="27" bestFit="1" customWidth="1"/>
    <col min="3082" max="3082" width="16.26953125" style="27" customWidth="1"/>
    <col min="3083" max="3328" width="9" style="27"/>
    <col min="3329" max="3329" width="3.26953125" style="27" customWidth="1"/>
    <col min="3330" max="3330" width="7.7265625" style="27" customWidth="1"/>
    <col min="3331" max="3331" width="10" style="27" customWidth="1"/>
    <col min="3332" max="3332" width="12.36328125" style="27" customWidth="1"/>
    <col min="3333" max="3333" width="14.90625" style="27" customWidth="1"/>
    <col min="3334" max="3334" width="16.36328125" style="27" bestFit="1" customWidth="1"/>
    <col min="3335" max="3335" width="7" style="27" bestFit="1" customWidth="1"/>
    <col min="3336" max="3336" width="16.36328125" style="27" bestFit="1" customWidth="1"/>
    <col min="3337" max="3337" width="7" style="27" bestFit="1" customWidth="1"/>
    <col min="3338" max="3338" width="16.26953125" style="27" customWidth="1"/>
    <col min="3339" max="3584" width="9" style="27"/>
    <col min="3585" max="3585" width="3.26953125" style="27" customWidth="1"/>
    <col min="3586" max="3586" width="7.7265625" style="27" customWidth="1"/>
    <col min="3587" max="3587" width="10" style="27" customWidth="1"/>
    <col min="3588" max="3588" width="12.36328125" style="27" customWidth="1"/>
    <col min="3589" max="3589" width="14.90625" style="27" customWidth="1"/>
    <col min="3590" max="3590" width="16.36328125" style="27" bestFit="1" customWidth="1"/>
    <col min="3591" max="3591" width="7" style="27" bestFit="1" customWidth="1"/>
    <col min="3592" max="3592" width="16.36328125" style="27" bestFit="1" customWidth="1"/>
    <col min="3593" max="3593" width="7" style="27" bestFit="1" customWidth="1"/>
    <col min="3594" max="3594" width="16.26953125" style="27" customWidth="1"/>
    <col min="3595" max="3840" width="9" style="27"/>
    <col min="3841" max="3841" width="3.26953125" style="27" customWidth="1"/>
    <col min="3842" max="3842" width="7.7265625" style="27" customWidth="1"/>
    <col min="3843" max="3843" width="10" style="27" customWidth="1"/>
    <col min="3844" max="3844" width="12.36328125" style="27" customWidth="1"/>
    <col min="3845" max="3845" width="14.90625" style="27" customWidth="1"/>
    <col min="3846" max="3846" width="16.36328125" style="27" bestFit="1" customWidth="1"/>
    <col min="3847" max="3847" width="7" style="27" bestFit="1" customWidth="1"/>
    <col min="3848" max="3848" width="16.36328125" style="27" bestFit="1" customWidth="1"/>
    <col min="3849" max="3849" width="7" style="27" bestFit="1" customWidth="1"/>
    <col min="3850" max="3850" width="16.26953125" style="27" customWidth="1"/>
    <col min="3851" max="4096" width="9" style="27"/>
    <col min="4097" max="4097" width="3.26953125" style="27" customWidth="1"/>
    <col min="4098" max="4098" width="7.7265625" style="27" customWidth="1"/>
    <col min="4099" max="4099" width="10" style="27" customWidth="1"/>
    <col min="4100" max="4100" width="12.36328125" style="27" customWidth="1"/>
    <col min="4101" max="4101" width="14.90625" style="27" customWidth="1"/>
    <col min="4102" max="4102" width="16.36328125" style="27" bestFit="1" customWidth="1"/>
    <col min="4103" max="4103" width="7" style="27" bestFit="1" customWidth="1"/>
    <col min="4104" max="4104" width="16.36328125" style="27" bestFit="1" customWidth="1"/>
    <col min="4105" max="4105" width="7" style="27" bestFit="1" customWidth="1"/>
    <col min="4106" max="4106" width="16.26953125" style="27" customWidth="1"/>
    <col min="4107" max="4352" width="9" style="27"/>
    <col min="4353" max="4353" width="3.26953125" style="27" customWidth="1"/>
    <col min="4354" max="4354" width="7.7265625" style="27" customWidth="1"/>
    <col min="4355" max="4355" width="10" style="27" customWidth="1"/>
    <col min="4356" max="4356" width="12.36328125" style="27" customWidth="1"/>
    <col min="4357" max="4357" width="14.90625" style="27" customWidth="1"/>
    <col min="4358" max="4358" width="16.36328125" style="27" bestFit="1" customWidth="1"/>
    <col min="4359" max="4359" width="7" style="27" bestFit="1" customWidth="1"/>
    <col min="4360" max="4360" width="16.36328125" style="27" bestFit="1" customWidth="1"/>
    <col min="4361" max="4361" width="7" style="27" bestFit="1" customWidth="1"/>
    <col min="4362" max="4362" width="16.26953125" style="27" customWidth="1"/>
    <col min="4363" max="4608" width="9" style="27"/>
    <col min="4609" max="4609" width="3.26953125" style="27" customWidth="1"/>
    <col min="4610" max="4610" width="7.7265625" style="27" customWidth="1"/>
    <col min="4611" max="4611" width="10" style="27" customWidth="1"/>
    <col min="4612" max="4612" width="12.36328125" style="27" customWidth="1"/>
    <col min="4613" max="4613" width="14.90625" style="27" customWidth="1"/>
    <col min="4614" max="4614" width="16.36328125" style="27" bestFit="1" customWidth="1"/>
    <col min="4615" max="4615" width="7" style="27" bestFit="1" customWidth="1"/>
    <col min="4616" max="4616" width="16.36328125" style="27" bestFit="1" customWidth="1"/>
    <col min="4617" max="4617" width="7" style="27" bestFit="1" customWidth="1"/>
    <col min="4618" max="4618" width="16.26953125" style="27" customWidth="1"/>
    <col min="4619" max="4864" width="9" style="27"/>
    <col min="4865" max="4865" width="3.26953125" style="27" customWidth="1"/>
    <col min="4866" max="4866" width="7.7265625" style="27" customWidth="1"/>
    <col min="4867" max="4867" width="10" style="27" customWidth="1"/>
    <col min="4868" max="4868" width="12.36328125" style="27" customWidth="1"/>
    <col min="4869" max="4869" width="14.90625" style="27" customWidth="1"/>
    <col min="4870" max="4870" width="16.36328125" style="27" bestFit="1" customWidth="1"/>
    <col min="4871" max="4871" width="7" style="27" bestFit="1" customWidth="1"/>
    <col min="4872" max="4872" width="16.36328125" style="27" bestFit="1" customWidth="1"/>
    <col min="4873" max="4873" width="7" style="27" bestFit="1" customWidth="1"/>
    <col min="4874" max="4874" width="16.26953125" style="27" customWidth="1"/>
    <col min="4875" max="5120" width="9" style="27"/>
    <col min="5121" max="5121" width="3.26953125" style="27" customWidth="1"/>
    <col min="5122" max="5122" width="7.7265625" style="27" customWidth="1"/>
    <col min="5123" max="5123" width="10" style="27" customWidth="1"/>
    <col min="5124" max="5124" width="12.36328125" style="27" customWidth="1"/>
    <col min="5125" max="5125" width="14.90625" style="27" customWidth="1"/>
    <col min="5126" max="5126" width="16.36328125" style="27" bestFit="1" customWidth="1"/>
    <col min="5127" max="5127" width="7" style="27" bestFit="1" customWidth="1"/>
    <col min="5128" max="5128" width="16.36328125" style="27" bestFit="1" customWidth="1"/>
    <col min="5129" max="5129" width="7" style="27" bestFit="1" customWidth="1"/>
    <col min="5130" max="5130" width="16.26953125" style="27" customWidth="1"/>
    <col min="5131" max="5376" width="9" style="27"/>
    <col min="5377" max="5377" width="3.26953125" style="27" customWidth="1"/>
    <col min="5378" max="5378" width="7.7265625" style="27" customWidth="1"/>
    <col min="5379" max="5379" width="10" style="27" customWidth="1"/>
    <col min="5380" max="5380" width="12.36328125" style="27" customWidth="1"/>
    <col min="5381" max="5381" width="14.90625" style="27" customWidth="1"/>
    <col min="5382" max="5382" width="16.36328125" style="27" bestFit="1" customWidth="1"/>
    <col min="5383" max="5383" width="7" style="27" bestFit="1" customWidth="1"/>
    <col min="5384" max="5384" width="16.36328125" style="27" bestFit="1" customWidth="1"/>
    <col min="5385" max="5385" width="7" style="27" bestFit="1" customWidth="1"/>
    <col min="5386" max="5386" width="16.26953125" style="27" customWidth="1"/>
    <col min="5387" max="5632" width="9" style="27"/>
    <col min="5633" max="5633" width="3.26953125" style="27" customWidth="1"/>
    <col min="5634" max="5634" width="7.7265625" style="27" customWidth="1"/>
    <col min="5635" max="5635" width="10" style="27" customWidth="1"/>
    <col min="5636" max="5636" width="12.36328125" style="27" customWidth="1"/>
    <col min="5637" max="5637" width="14.90625" style="27" customWidth="1"/>
    <col min="5638" max="5638" width="16.36328125" style="27" bestFit="1" customWidth="1"/>
    <col min="5639" max="5639" width="7" style="27" bestFit="1" customWidth="1"/>
    <col min="5640" max="5640" width="16.36328125" style="27" bestFit="1" customWidth="1"/>
    <col min="5641" max="5641" width="7" style="27" bestFit="1" customWidth="1"/>
    <col min="5642" max="5642" width="16.26953125" style="27" customWidth="1"/>
    <col min="5643" max="5888" width="9" style="27"/>
    <col min="5889" max="5889" width="3.26953125" style="27" customWidth="1"/>
    <col min="5890" max="5890" width="7.7265625" style="27" customWidth="1"/>
    <col min="5891" max="5891" width="10" style="27" customWidth="1"/>
    <col min="5892" max="5892" width="12.36328125" style="27" customWidth="1"/>
    <col min="5893" max="5893" width="14.90625" style="27" customWidth="1"/>
    <col min="5894" max="5894" width="16.36328125" style="27" bestFit="1" customWidth="1"/>
    <col min="5895" max="5895" width="7" style="27" bestFit="1" customWidth="1"/>
    <col min="5896" max="5896" width="16.36328125" style="27" bestFit="1" customWidth="1"/>
    <col min="5897" max="5897" width="7" style="27" bestFit="1" customWidth="1"/>
    <col min="5898" max="5898" width="16.26953125" style="27" customWidth="1"/>
    <col min="5899" max="6144" width="9" style="27"/>
    <col min="6145" max="6145" width="3.26953125" style="27" customWidth="1"/>
    <col min="6146" max="6146" width="7.7265625" style="27" customWidth="1"/>
    <col min="6147" max="6147" width="10" style="27" customWidth="1"/>
    <col min="6148" max="6148" width="12.36328125" style="27" customWidth="1"/>
    <col min="6149" max="6149" width="14.90625" style="27" customWidth="1"/>
    <col min="6150" max="6150" width="16.36328125" style="27" bestFit="1" customWidth="1"/>
    <col min="6151" max="6151" width="7" style="27" bestFit="1" customWidth="1"/>
    <col min="6152" max="6152" width="16.36328125" style="27" bestFit="1" customWidth="1"/>
    <col min="6153" max="6153" width="7" style="27" bestFit="1" customWidth="1"/>
    <col min="6154" max="6154" width="16.26953125" style="27" customWidth="1"/>
    <col min="6155" max="6400" width="9" style="27"/>
    <col min="6401" max="6401" width="3.26953125" style="27" customWidth="1"/>
    <col min="6402" max="6402" width="7.7265625" style="27" customWidth="1"/>
    <col min="6403" max="6403" width="10" style="27" customWidth="1"/>
    <col min="6404" max="6404" width="12.36328125" style="27" customWidth="1"/>
    <col min="6405" max="6405" width="14.90625" style="27" customWidth="1"/>
    <col min="6406" max="6406" width="16.36328125" style="27" bestFit="1" customWidth="1"/>
    <col min="6407" max="6407" width="7" style="27" bestFit="1" customWidth="1"/>
    <col min="6408" max="6408" width="16.36328125" style="27" bestFit="1" customWidth="1"/>
    <col min="6409" max="6409" width="7" style="27" bestFit="1" customWidth="1"/>
    <col min="6410" max="6410" width="16.26953125" style="27" customWidth="1"/>
    <col min="6411" max="6656" width="9" style="27"/>
    <col min="6657" max="6657" width="3.26953125" style="27" customWidth="1"/>
    <col min="6658" max="6658" width="7.7265625" style="27" customWidth="1"/>
    <col min="6659" max="6659" width="10" style="27" customWidth="1"/>
    <col min="6660" max="6660" width="12.36328125" style="27" customWidth="1"/>
    <col min="6661" max="6661" width="14.90625" style="27" customWidth="1"/>
    <col min="6662" max="6662" width="16.36328125" style="27" bestFit="1" customWidth="1"/>
    <col min="6663" max="6663" width="7" style="27" bestFit="1" customWidth="1"/>
    <col min="6664" max="6664" width="16.36328125" style="27" bestFit="1" customWidth="1"/>
    <col min="6665" max="6665" width="7" style="27" bestFit="1" customWidth="1"/>
    <col min="6666" max="6666" width="16.26953125" style="27" customWidth="1"/>
    <col min="6667" max="6912" width="9" style="27"/>
    <col min="6913" max="6913" width="3.26953125" style="27" customWidth="1"/>
    <col min="6914" max="6914" width="7.7265625" style="27" customWidth="1"/>
    <col min="6915" max="6915" width="10" style="27" customWidth="1"/>
    <col min="6916" max="6916" width="12.36328125" style="27" customWidth="1"/>
    <col min="6917" max="6917" width="14.90625" style="27" customWidth="1"/>
    <col min="6918" max="6918" width="16.36328125" style="27" bestFit="1" customWidth="1"/>
    <col min="6919" max="6919" width="7" style="27" bestFit="1" customWidth="1"/>
    <col min="6920" max="6920" width="16.36328125" style="27" bestFit="1" customWidth="1"/>
    <col min="6921" max="6921" width="7" style="27" bestFit="1" customWidth="1"/>
    <col min="6922" max="6922" width="16.26953125" style="27" customWidth="1"/>
    <col min="6923" max="7168" width="9" style="27"/>
    <col min="7169" max="7169" width="3.26953125" style="27" customWidth="1"/>
    <col min="7170" max="7170" width="7.7265625" style="27" customWidth="1"/>
    <col min="7171" max="7171" width="10" style="27" customWidth="1"/>
    <col min="7172" max="7172" width="12.36328125" style="27" customWidth="1"/>
    <col min="7173" max="7173" width="14.90625" style="27" customWidth="1"/>
    <col min="7174" max="7174" width="16.36328125" style="27" bestFit="1" customWidth="1"/>
    <col min="7175" max="7175" width="7" style="27" bestFit="1" customWidth="1"/>
    <col min="7176" max="7176" width="16.36328125" style="27" bestFit="1" customWidth="1"/>
    <col min="7177" max="7177" width="7" style="27" bestFit="1" customWidth="1"/>
    <col min="7178" max="7178" width="16.26953125" style="27" customWidth="1"/>
    <col min="7179" max="7424" width="9" style="27"/>
    <col min="7425" max="7425" width="3.26953125" style="27" customWidth="1"/>
    <col min="7426" max="7426" width="7.7265625" style="27" customWidth="1"/>
    <col min="7427" max="7427" width="10" style="27" customWidth="1"/>
    <col min="7428" max="7428" width="12.36328125" style="27" customWidth="1"/>
    <col min="7429" max="7429" width="14.90625" style="27" customWidth="1"/>
    <col min="7430" max="7430" width="16.36328125" style="27" bestFit="1" customWidth="1"/>
    <col min="7431" max="7431" width="7" style="27" bestFit="1" customWidth="1"/>
    <col min="7432" max="7432" width="16.36328125" style="27" bestFit="1" customWidth="1"/>
    <col min="7433" max="7433" width="7" style="27" bestFit="1" customWidth="1"/>
    <col min="7434" max="7434" width="16.26953125" style="27" customWidth="1"/>
    <col min="7435" max="7680" width="9" style="27"/>
    <col min="7681" max="7681" width="3.26953125" style="27" customWidth="1"/>
    <col min="7682" max="7682" width="7.7265625" style="27" customWidth="1"/>
    <col min="7683" max="7683" width="10" style="27" customWidth="1"/>
    <col min="7684" max="7684" width="12.36328125" style="27" customWidth="1"/>
    <col min="7685" max="7685" width="14.90625" style="27" customWidth="1"/>
    <col min="7686" max="7686" width="16.36328125" style="27" bestFit="1" customWidth="1"/>
    <col min="7687" max="7687" width="7" style="27" bestFit="1" customWidth="1"/>
    <col min="7688" max="7688" width="16.36328125" style="27" bestFit="1" customWidth="1"/>
    <col min="7689" max="7689" width="7" style="27" bestFit="1" customWidth="1"/>
    <col min="7690" max="7690" width="16.26953125" style="27" customWidth="1"/>
    <col min="7691" max="7936" width="9" style="27"/>
    <col min="7937" max="7937" width="3.26953125" style="27" customWidth="1"/>
    <col min="7938" max="7938" width="7.7265625" style="27" customWidth="1"/>
    <col min="7939" max="7939" width="10" style="27" customWidth="1"/>
    <col min="7940" max="7940" width="12.36328125" style="27" customWidth="1"/>
    <col min="7941" max="7941" width="14.90625" style="27" customWidth="1"/>
    <col min="7942" max="7942" width="16.36328125" style="27" bestFit="1" customWidth="1"/>
    <col min="7943" max="7943" width="7" style="27" bestFit="1" customWidth="1"/>
    <col min="7944" max="7944" width="16.36328125" style="27" bestFit="1" customWidth="1"/>
    <col min="7945" max="7945" width="7" style="27" bestFit="1" customWidth="1"/>
    <col min="7946" max="7946" width="16.26953125" style="27" customWidth="1"/>
    <col min="7947" max="8192" width="9" style="27"/>
    <col min="8193" max="8193" width="3.26953125" style="27" customWidth="1"/>
    <col min="8194" max="8194" width="7.7265625" style="27" customWidth="1"/>
    <col min="8195" max="8195" width="10" style="27" customWidth="1"/>
    <col min="8196" max="8196" width="12.36328125" style="27" customWidth="1"/>
    <col min="8197" max="8197" width="14.90625" style="27" customWidth="1"/>
    <col min="8198" max="8198" width="16.36328125" style="27" bestFit="1" customWidth="1"/>
    <col min="8199" max="8199" width="7" style="27" bestFit="1" customWidth="1"/>
    <col min="8200" max="8200" width="16.36328125" style="27" bestFit="1" customWidth="1"/>
    <col min="8201" max="8201" width="7" style="27" bestFit="1" customWidth="1"/>
    <col min="8202" max="8202" width="16.26953125" style="27" customWidth="1"/>
    <col min="8203" max="8448" width="9" style="27"/>
    <col min="8449" max="8449" width="3.26953125" style="27" customWidth="1"/>
    <col min="8450" max="8450" width="7.7265625" style="27" customWidth="1"/>
    <col min="8451" max="8451" width="10" style="27" customWidth="1"/>
    <col min="8452" max="8452" width="12.36328125" style="27" customWidth="1"/>
    <col min="8453" max="8453" width="14.90625" style="27" customWidth="1"/>
    <col min="8454" max="8454" width="16.36328125" style="27" bestFit="1" customWidth="1"/>
    <col min="8455" max="8455" width="7" style="27" bestFit="1" customWidth="1"/>
    <col min="8456" max="8456" width="16.36328125" style="27" bestFit="1" customWidth="1"/>
    <col min="8457" max="8457" width="7" style="27" bestFit="1" customWidth="1"/>
    <col min="8458" max="8458" width="16.26953125" style="27" customWidth="1"/>
    <col min="8459" max="8704" width="9" style="27"/>
    <col min="8705" max="8705" width="3.26953125" style="27" customWidth="1"/>
    <col min="8706" max="8706" width="7.7265625" style="27" customWidth="1"/>
    <col min="8707" max="8707" width="10" style="27" customWidth="1"/>
    <col min="8708" max="8708" width="12.36328125" style="27" customWidth="1"/>
    <col min="8709" max="8709" width="14.90625" style="27" customWidth="1"/>
    <col min="8710" max="8710" width="16.36328125" style="27" bestFit="1" customWidth="1"/>
    <col min="8711" max="8711" width="7" style="27" bestFit="1" customWidth="1"/>
    <col min="8712" max="8712" width="16.36328125" style="27" bestFit="1" customWidth="1"/>
    <col min="8713" max="8713" width="7" style="27" bestFit="1" customWidth="1"/>
    <col min="8714" max="8714" width="16.26953125" style="27" customWidth="1"/>
    <col min="8715" max="8960" width="9" style="27"/>
    <col min="8961" max="8961" width="3.26953125" style="27" customWidth="1"/>
    <col min="8962" max="8962" width="7.7265625" style="27" customWidth="1"/>
    <col min="8963" max="8963" width="10" style="27" customWidth="1"/>
    <col min="8964" max="8964" width="12.36328125" style="27" customWidth="1"/>
    <col min="8965" max="8965" width="14.90625" style="27" customWidth="1"/>
    <col min="8966" max="8966" width="16.36328125" style="27" bestFit="1" customWidth="1"/>
    <col min="8967" max="8967" width="7" style="27" bestFit="1" customWidth="1"/>
    <col min="8968" max="8968" width="16.36328125" style="27" bestFit="1" customWidth="1"/>
    <col min="8969" max="8969" width="7" style="27" bestFit="1" customWidth="1"/>
    <col min="8970" max="8970" width="16.26953125" style="27" customWidth="1"/>
    <col min="8971" max="9216" width="9" style="27"/>
    <col min="9217" max="9217" width="3.26953125" style="27" customWidth="1"/>
    <col min="9218" max="9218" width="7.7265625" style="27" customWidth="1"/>
    <col min="9219" max="9219" width="10" style="27" customWidth="1"/>
    <col min="9220" max="9220" width="12.36328125" style="27" customWidth="1"/>
    <col min="9221" max="9221" width="14.90625" style="27" customWidth="1"/>
    <col min="9222" max="9222" width="16.36328125" style="27" bestFit="1" customWidth="1"/>
    <col min="9223" max="9223" width="7" style="27" bestFit="1" customWidth="1"/>
    <col min="9224" max="9224" width="16.36328125" style="27" bestFit="1" customWidth="1"/>
    <col min="9225" max="9225" width="7" style="27" bestFit="1" customWidth="1"/>
    <col min="9226" max="9226" width="16.26953125" style="27" customWidth="1"/>
    <col min="9227" max="9472" width="9" style="27"/>
    <col min="9473" max="9473" width="3.26953125" style="27" customWidth="1"/>
    <col min="9474" max="9474" width="7.7265625" style="27" customWidth="1"/>
    <col min="9475" max="9475" width="10" style="27" customWidth="1"/>
    <col min="9476" max="9476" width="12.36328125" style="27" customWidth="1"/>
    <col min="9477" max="9477" width="14.90625" style="27" customWidth="1"/>
    <col min="9478" max="9478" width="16.36328125" style="27" bestFit="1" customWidth="1"/>
    <col min="9479" max="9479" width="7" style="27" bestFit="1" customWidth="1"/>
    <col min="9480" max="9480" width="16.36328125" style="27" bestFit="1" customWidth="1"/>
    <col min="9481" max="9481" width="7" style="27" bestFit="1" customWidth="1"/>
    <col min="9482" max="9482" width="16.26953125" style="27" customWidth="1"/>
    <col min="9483" max="9728" width="9" style="27"/>
    <col min="9729" max="9729" width="3.26953125" style="27" customWidth="1"/>
    <col min="9730" max="9730" width="7.7265625" style="27" customWidth="1"/>
    <col min="9731" max="9731" width="10" style="27" customWidth="1"/>
    <col min="9732" max="9732" width="12.36328125" style="27" customWidth="1"/>
    <col min="9733" max="9733" width="14.90625" style="27" customWidth="1"/>
    <col min="9734" max="9734" width="16.36328125" style="27" bestFit="1" customWidth="1"/>
    <col min="9735" max="9735" width="7" style="27" bestFit="1" customWidth="1"/>
    <col min="9736" max="9736" width="16.36328125" style="27" bestFit="1" customWidth="1"/>
    <col min="9737" max="9737" width="7" style="27" bestFit="1" customWidth="1"/>
    <col min="9738" max="9738" width="16.26953125" style="27" customWidth="1"/>
    <col min="9739" max="9984" width="9" style="27"/>
    <col min="9985" max="9985" width="3.26953125" style="27" customWidth="1"/>
    <col min="9986" max="9986" width="7.7265625" style="27" customWidth="1"/>
    <col min="9987" max="9987" width="10" style="27" customWidth="1"/>
    <col min="9988" max="9988" width="12.36328125" style="27" customWidth="1"/>
    <col min="9989" max="9989" width="14.90625" style="27" customWidth="1"/>
    <col min="9990" max="9990" width="16.36328125" style="27" bestFit="1" customWidth="1"/>
    <col min="9991" max="9991" width="7" style="27" bestFit="1" customWidth="1"/>
    <col min="9992" max="9992" width="16.36328125" style="27" bestFit="1" customWidth="1"/>
    <col min="9993" max="9993" width="7" style="27" bestFit="1" customWidth="1"/>
    <col min="9994" max="9994" width="16.26953125" style="27" customWidth="1"/>
    <col min="9995" max="10240" width="9" style="27"/>
    <col min="10241" max="10241" width="3.26953125" style="27" customWidth="1"/>
    <col min="10242" max="10242" width="7.7265625" style="27" customWidth="1"/>
    <col min="10243" max="10243" width="10" style="27" customWidth="1"/>
    <col min="10244" max="10244" width="12.36328125" style="27" customWidth="1"/>
    <col min="10245" max="10245" width="14.90625" style="27" customWidth="1"/>
    <col min="10246" max="10246" width="16.36328125" style="27" bestFit="1" customWidth="1"/>
    <col min="10247" max="10247" width="7" style="27" bestFit="1" customWidth="1"/>
    <col min="10248" max="10248" width="16.36328125" style="27" bestFit="1" customWidth="1"/>
    <col min="10249" max="10249" width="7" style="27" bestFit="1" customWidth="1"/>
    <col min="10250" max="10250" width="16.26953125" style="27" customWidth="1"/>
    <col min="10251" max="10496" width="9" style="27"/>
    <col min="10497" max="10497" width="3.26953125" style="27" customWidth="1"/>
    <col min="10498" max="10498" width="7.7265625" style="27" customWidth="1"/>
    <col min="10499" max="10499" width="10" style="27" customWidth="1"/>
    <col min="10500" max="10500" width="12.36328125" style="27" customWidth="1"/>
    <col min="10501" max="10501" width="14.90625" style="27" customWidth="1"/>
    <col min="10502" max="10502" width="16.36328125" style="27" bestFit="1" customWidth="1"/>
    <col min="10503" max="10503" width="7" style="27" bestFit="1" customWidth="1"/>
    <col min="10504" max="10504" width="16.36328125" style="27" bestFit="1" customWidth="1"/>
    <col min="10505" max="10505" width="7" style="27" bestFit="1" customWidth="1"/>
    <col min="10506" max="10506" width="16.26953125" style="27" customWidth="1"/>
    <col min="10507" max="10752" width="9" style="27"/>
    <col min="10753" max="10753" width="3.26953125" style="27" customWidth="1"/>
    <col min="10754" max="10754" width="7.7265625" style="27" customWidth="1"/>
    <col min="10755" max="10755" width="10" style="27" customWidth="1"/>
    <col min="10756" max="10756" width="12.36328125" style="27" customWidth="1"/>
    <col min="10757" max="10757" width="14.90625" style="27" customWidth="1"/>
    <col min="10758" max="10758" width="16.36328125" style="27" bestFit="1" customWidth="1"/>
    <col min="10759" max="10759" width="7" style="27" bestFit="1" customWidth="1"/>
    <col min="10760" max="10760" width="16.36328125" style="27" bestFit="1" customWidth="1"/>
    <col min="10761" max="10761" width="7" style="27" bestFit="1" customWidth="1"/>
    <col min="10762" max="10762" width="16.26953125" style="27" customWidth="1"/>
    <col min="10763" max="11008" width="9" style="27"/>
    <col min="11009" max="11009" width="3.26953125" style="27" customWidth="1"/>
    <col min="11010" max="11010" width="7.7265625" style="27" customWidth="1"/>
    <col min="11011" max="11011" width="10" style="27" customWidth="1"/>
    <col min="11012" max="11012" width="12.36328125" style="27" customWidth="1"/>
    <col min="11013" max="11013" width="14.90625" style="27" customWidth="1"/>
    <col min="11014" max="11014" width="16.36328125" style="27" bestFit="1" customWidth="1"/>
    <col min="11015" max="11015" width="7" style="27" bestFit="1" customWidth="1"/>
    <col min="11016" max="11016" width="16.36328125" style="27" bestFit="1" customWidth="1"/>
    <col min="11017" max="11017" width="7" style="27" bestFit="1" customWidth="1"/>
    <col min="11018" max="11018" width="16.26953125" style="27" customWidth="1"/>
    <col min="11019" max="11264" width="9" style="27"/>
    <col min="11265" max="11265" width="3.26953125" style="27" customWidth="1"/>
    <col min="11266" max="11266" width="7.7265625" style="27" customWidth="1"/>
    <col min="11267" max="11267" width="10" style="27" customWidth="1"/>
    <col min="11268" max="11268" width="12.36328125" style="27" customWidth="1"/>
    <col min="11269" max="11269" width="14.90625" style="27" customWidth="1"/>
    <col min="11270" max="11270" width="16.36328125" style="27" bestFit="1" customWidth="1"/>
    <col min="11271" max="11271" width="7" style="27" bestFit="1" customWidth="1"/>
    <col min="11272" max="11272" width="16.36328125" style="27" bestFit="1" customWidth="1"/>
    <col min="11273" max="11273" width="7" style="27" bestFit="1" customWidth="1"/>
    <col min="11274" max="11274" width="16.26953125" style="27" customWidth="1"/>
    <col min="11275" max="11520" width="9" style="27"/>
    <col min="11521" max="11521" width="3.26953125" style="27" customWidth="1"/>
    <col min="11522" max="11522" width="7.7265625" style="27" customWidth="1"/>
    <col min="11523" max="11523" width="10" style="27" customWidth="1"/>
    <col min="11524" max="11524" width="12.36328125" style="27" customWidth="1"/>
    <col min="11525" max="11525" width="14.90625" style="27" customWidth="1"/>
    <col min="11526" max="11526" width="16.36328125" style="27" bestFit="1" customWidth="1"/>
    <col min="11527" max="11527" width="7" style="27" bestFit="1" customWidth="1"/>
    <col min="11528" max="11528" width="16.36328125" style="27" bestFit="1" customWidth="1"/>
    <col min="11529" max="11529" width="7" style="27" bestFit="1" customWidth="1"/>
    <col min="11530" max="11530" width="16.26953125" style="27" customWidth="1"/>
    <col min="11531" max="11776" width="9" style="27"/>
    <col min="11777" max="11777" width="3.26953125" style="27" customWidth="1"/>
    <col min="11778" max="11778" width="7.7265625" style="27" customWidth="1"/>
    <col min="11779" max="11779" width="10" style="27" customWidth="1"/>
    <col min="11780" max="11780" width="12.36328125" style="27" customWidth="1"/>
    <col min="11781" max="11781" width="14.90625" style="27" customWidth="1"/>
    <col min="11782" max="11782" width="16.36328125" style="27" bestFit="1" customWidth="1"/>
    <col min="11783" max="11783" width="7" style="27" bestFit="1" customWidth="1"/>
    <col min="11784" max="11784" width="16.36328125" style="27" bestFit="1" customWidth="1"/>
    <col min="11785" max="11785" width="7" style="27" bestFit="1" customWidth="1"/>
    <col min="11786" max="11786" width="16.26953125" style="27" customWidth="1"/>
    <col min="11787" max="12032" width="9" style="27"/>
    <col min="12033" max="12033" width="3.26953125" style="27" customWidth="1"/>
    <col min="12034" max="12034" width="7.7265625" style="27" customWidth="1"/>
    <col min="12035" max="12035" width="10" style="27" customWidth="1"/>
    <col min="12036" max="12036" width="12.36328125" style="27" customWidth="1"/>
    <col min="12037" max="12037" width="14.90625" style="27" customWidth="1"/>
    <col min="12038" max="12038" width="16.36328125" style="27" bestFit="1" customWidth="1"/>
    <col min="12039" max="12039" width="7" style="27" bestFit="1" customWidth="1"/>
    <col min="12040" max="12040" width="16.36328125" style="27" bestFit="1" customWidth="1"/>
    <col min="12041" max="12041" width="7" style="27" bestFit="1" customWidth="1"/>
    <col min="12042" max="12042" width="16.26953125" style="27" customWidth="1"/>
    <col min="12043" max="12288" width="9" style="27"/>
    <col min="12289" max="12289" width="3.26953125" style="27" customWidth="1"/>
    <col min="12290" max="12290" width="7.7265625" style="27" customWidth="1"/>
    <col min="12291" max="12291" width="10" style="27" customWidth="1"/>
    <col min="12292" max="12292" width="12.36328125" style="27" customWidth="1"/>
    <col min="12293" max="12293" width="14.90625" style="27" customWidth="1"/>
    <col min="12294" max="12294" width="16.36328125" style="27" bestFit="1" customWidth="1"/>
    <col min="12295" max="12295" width="7" style="27" bestFit="1" customWidth="1"/>
    <col min="12296" max="12296" width="16.36328125" style="27" bestFit="1" customWidth="1"/>
    <col min="12297" max="12297" width="7" style="27" bestFit="1" customWidth="1"/>
    <col min="12298" max="12298" width="16.26953125" style="27" customWidth="1"/>
    <col min="12299" max="12544" width="9" style="27"/>
    <col min="12545" max="12545" width="3.26953125" style="27" customWidth="1"/>
    <col min="12546" max="12546" width="7.7265625" style="27" customWidth="1"/>
    <col min="12547" max="12547" width="10" style="27" customWidth="1"/>
    <col min="12548" max="12548" width="12.36328125" style="27" customWidth="1"/>
    <col min="12549" max="12549" width="14.90625" style="27" customWidth="1"/>
    <col min="12550" max="12550" width="16.36328125" style="27" bestFit="1" customWidth="1"/>
    <col min="12551" max="12551" width="7" style="27" bestFit="1" customWidth="1"/>
    <col min="12552" max="12552" width="16.36328125" style="27" bestFit="1" customWidth="1"/>
    <col min="12553" max="12553" width="7" style="27" bestFit="1" customWidth="1"/>
    <col min="12554" max="12554" width="16.26953125" style="27" customWidth="1"/>
    <col min="12555" max="12800" width="9" style="27"/>
    <col min="12801" max="12801" width="3.26953125" style="27" customWidth="1"/>
    <col min="12802" max="12802" width="7.7265625" style="27" customWidth="1"/>
    <col min="12803" max="12803" width="10" style="27" customWidth="1"/>
    <col min="12804" max="12804" width="12.36328125" style="27" customWidth="1"/>
    <col min="12805" max="12805" width="14.90625" style="27" customWidth="1"/>
    <col min="12806" max="12806" width="16.36328125" style="27" bestFit="1" customWidth="1"/>
    <col min="12807" max="12807" width="7" style="27" bestFit="1" customWidth="1"/>
    <col min="12808" max="12808" width="16.36328125" style="27" bestFit="1" customWidth="1"/>
    <col min="12809" max="12809" width="7" style="27" bestFit="1" customWidth="1"/>
    <col min="12810" max="12810" width="16.26953125" style="27" customWidth="1"/>
    <col min="12811" max="13056" width="9" style="27"/>
    <col min="13057" max="13057" width="3.26953125" style="27" customWidth="1"/>
    <col min="13058" max="13058" width="7.7265625" style="27" customWidth="1"/>
    <col min="13059" max="13059" width="10" style="27" customWidth="1"/>
    <col min="13060" max="13060" width="12.36328125" style="27" customWidth="1"/>
    <col min="13061" max="13061" width="14.90625" style="27" customWidth="1"/>
    <col min="13062" max="13062" width="16.36328125" style="27" bestFit="1" customWidth="1"/>
    <col min="13063" max="13063" width="7" style="27" bestFit="1" customWidth="1"/>
    <col min="13064" max="13064" width="16.36328125" style="27" bestFit="1" customWidth="1"/>
    <col min="13065" max="13065" width="7" style="27" bestFit="1" customWidth="1"/>
    <col min="13066" max="13066" width="16.26953125" style="27" customWidth="1"/>
    <col min="13067" max="13312" width="9" style="27"/>
    <col min="13313" max="13313" width="3.26953125" style="27" customWidth="1"/>
    <col min="13314" max="13314" width="7.7265625" style="27" customWidth="1"/>
    <col min="13315" max="13315" width="10" style="27" customWidth="1"/>
    <col min="13316" max="13316" width="12.36328125" style="27" customWidth="1"/>
    <col min="13317" max="13317" width="14.90625" style="27" customWidth="1"/>
    <col min="13318" max="13318" width="16.36328125" style="27" bestFit="1" customWidth="1"/>
    <col min="13319" max="13319" width="7" style="27" bestFit="1" customWidth="1"/>
    <col min="13320" max="13320" width="16.36328125" style="27" bestFit="1" customWidth="1"/>
    <col min="13321" max="13321" width="7" style="27" bestFit="1" customWidth="1"/>
    <col min="13322" max="13322" width="16.26953125" style="27" customWidth="1"/>
    <col min="13323" max="13568" width="9" style="27"/>
    <col min="13569" max="13569" width="3.26953125" style="27" customWidth="1"/>
    <col min="13570" max="13570" width="7.7265625" style="27" customWidth="1"/>
    <col min="13571" max="13571" width="10" style="27" customWidth="1"/>
    <col min="13572" max="13572" width="12.36328125" style="27" customWidth="1"/>
    <col min="13573" max="13573" width="14.90625" style="27" customWidth="1"/>
    <col min="13574" max="13574" width="16.36328125" style="27" bestFit="1" customWidth="1"/>
    <col min="13575" max="13575" width="7" style="27" bestFit="1" customWidth="1"/>
    <col min="13576" max="13576" width="16.36328125" style="27" bestFit="1" customWidth="1"/>
    <col min="13577" max="13577" width="7" style="27" bestFit="1" customWidth="1"/>
    <col min="13578" max="13578" width="16.26953125" style="27" customWidth="1"/>
    <col min="13579" max="13824" width="9" style="27"/>
    <col min="13825" max="13825" width="3.26953125" style="27" customWidth="1"/>
    <col min="13826" max="13826" width="7.7265625" style="27" customWidth="1"/>
    <col min="13827" max="13827" width="10" style="27" customWidth="1"/>
    <col min="13828" max="13828" width="12.36328125" style="27" customWidth="1"/>
    <col min="13829" max="13829" width="14.90625" style="27" customWidth="1"/>
    <col min="13830" max="13830" width="16.36328125" style="27" bestFit="1" customWidth="1"/>
    <col min="13831" max="13831" width="7" style="27" bestFit="1" customWidth="1"/>
    <col min="13832" max="13832" width="16.36328125" style="27" bestFit="1" customWidth="1"/>
    <col min="13833" max="13833" width="7" style="27" bestFit="1" customWidth="1"/>
    <col min="13834" max="13834" width="16.26953125" style="27" customWidth="1"/>
    <col min="13835" max="14080" width="9" style="27"/>
    <col min="14081" max="14081" width="3.26953125" style="27" customWidth="1"/>
    <col min="14082" max="14082" width="7.7265625" style="27" customWidth="1"/>
    <col min="14083" max="14083" width="10" style="27" customWidth="1"/>
    <col min="14084" max="14084" width="12.36328125" style="27" customWidth="1"/>
    <col min="14085" max="14085" width="14.90625" style="27" customWidth="1"/>
    <col min="14086" max="14086" width="16.36328125" style="27" bestFit="1" customWidth="1"/>
    <col min="14087" max="14087" width="7" style="27" bestFit="1" customWidth="1"/>
    <col min="14088" max="14088" width="16.36328125" style="27" bestFit="1" customWidth="1"/>
    <col min="14089" max="14089" width="7" style="27" bestFit="1" customWidth="1"/>
    <col min="14090" max="14090" width="16.26953125" style="27" customWidth="1"/>
    <col min="14091" max="14336" width="9" style="27"/>
    <col min="14337" max="14337" width="3.26953125" style="27" customWidth="1"/>
    <col min="14338" max="14338" width="7.7265625" style="27" customWidth="1"/>
    <col min="14339" max="14339" width="10" style="27" customWidth="1"/>
    <col min="14340" max="14340" width="12.36328125" style="27" customWidth="1"/>
    <col min="14341" max="14341" width="14.90625" style="27" customWidth="1"/>
    <col min="14342" max="14342" width="16.36328125" style="27" bestFit="1" customWidth="1"/>
    <col min="14343" max="14343" width="7" style="27" bestFit="1" customWidth="1"/>
    <col min="14344" max="14344" width="16.36328125" style="27" bestFit="1" customWidth="1"/>
    <col min="14345" max="14345" width="7" style="27" bestFit="1" customWidth="1"/>
    <col min="14346" max="14346" width="16.26953125" style="27" customWidth="1"/>
    <col min="14347" max="14592" width="9" style="27"/>
    <col min="14593" max="14593" width="3.26953125" style="27" customWidth="1"/>
    <col min="14594" max="14594" width="7.7265625" style="27" customWidth="1"/>
    <col min="14595" max="14595" width="10" style="27" customWidth="1"/>
    <col min="14596" max="14596" width="12.36328125" style="27" customWidth="1"/>
    <col min="14597" max="14597" width="14.90625" style="27" customWidth="1"/>
    <col min="14598" max="14598" width="16.36328125" style="27" bestFit="1" customWidth="1"/>
    <col min="14599" max="14599" width="7" style="27" bestFit="1" customWidth="1"/>
    <col min="14600" max="14600" width="16.36328125" style="27" bestFit="1" customWidth="1"/>
    <col min="14601" max="14601" width="7" style="27" bestFit="1" customWidth="1"/>
    <col min="14602" max="14602" width="16.26953125" style="27" customWidth="1"/>
    <col min="14603" max="14848" width="9" style="27"/>
    <col min="14849" max="14849" width="3.26953125" style="27" customWidth="1"/>
    <col min="14850" max="14850" width="7.7265625" style="27" customWidth="1"/>
    <col min="14851" max="14851" width="10" style="27" customWidth="1"/>
    <col min="14852" max="14852" width="12.36328125" style="27" customWidth="1"/>
    <col min="14853" max="14853" width="14.90625" style="27" customWidth="1"/>
    <col min="14854" max="14854" width="16.36328125" style="27" bestFit="1" customWidth="1"/>
    <col min="14855" max="14855" width="7" style="27" bestFit="1" customWidth="1"/>
    <col min="14856" max="14856" width="16.36328125" style="27" bestFit="1" customWidth="1"/>
    <col min="14857" max="14857" width="7" style="27" bestFit="1" customWidth="1"/>
    <col min="14858" max="14858" width="16.26953125" style="27" customWidth="1"/>
    <col min="14859" max="15104" width="9" style="27"/>
    <col min="15105" max="15105" width="3.26953125" style="27" customWidth="1"/>
    <col min="15106" max="15106" width="7.7265625" style="27" customWidth="1"/>
    <col min="15107" max="15107" width="10" style="27" customWidth="1"/>
    <col min="15108" max="15108" width="12.36328125" style="27" customWidth="1"/>
    <col min="15109" max="15109" width="14.90625" style="27" customWidth="1"/>
    <col min="15110" max="15110" width="16.36328125" style="27" bestFit="1" customWidth="1"/>
    <col min="15111" max="15111" width="7" style="27" bestFit="1" customWidth="1"/>
    <col min="15112" max="15112" width="16.36328125" style="27" bestFit="1" customWidth="1"/>
    <col min="15113" max="15113" width="7" style="27" bestFit="1" customWidth="1"/>
    <col min="15114" max="15114" width="16.26953125" style="27" customWidth="1"/>
    <col min="15115" max="15360" width="9" style="27"/>
    <col min="15361" max="15361" width="3.26953125" style="27" customWidth="1"/>
    <col min="15362" max="15362" width="7.7265625" style="27" customWidth="1"/>
    <col min="15363" max="15363" width="10" style="27" customWidth="1"/>
    <col min="15364" max="15364" width="12.36328125" style="27" customWidth="1"/>
    <col min="15365" max="15365" width="14.90625" style="27" customWidth="1"/>
    <col min="15366" max="15366" width="16.36328125" style="27" bestFit="1" customWidth="1"/>
    <col min="15367" max="15367" width="7" style="27" bestFit="1" customWidth="1"/>
    <col min="15368" max="15368" width="16.36328125" style="27" bestFit="1" customWidth="1"/>
    <col min="15369" max="15369" width="7" style="27" bestFit="1" customWidth="1"/>
    <col min="15370" max="15370" width="16.26953125" style="27" customWidth="1"/>
    <col min="15371" max="15616" width="9" style="27"/>
    <col min="15617" max="15617" width="3.26953125" style="27" customWidth="1"/>
    <col min="15618" max="15618" width="7.7265625" style="27" customWidth="1"/>
    <col min="15619" max="15619" width="10" style="27" customWidth="1"/>
    <col min="15620" max="15620" width="12.36328125" style="27" customWidth="1"/>
    <col min="15621" max="15621" width="14.90625" style="27" customWidth="1"/>
    <col min="15622" max="15622" width="16.36328125" style="27" bestFit="1" customWidth="1"/>
    <col min="15623" max="15623" width="7" style="27" bestFit="1" customWidth="1"/>
    <col min="15624" max="15624" width="16.36328125" style="27" bestFit="1" customWidth="1"/>
    <col min="15625" max="15625" width="7" style="27" bestFit="1" customWidth="1"/>
    <col min="15626" max="15626" width="16.26953125" style="27" customWidth="1"/>
    <col min="15627" max="15872" width="9" style="27"/>
    <col min="15873" max="15873" width="3.26953125" style="27" customWidth="1"/>
    <col min="15874" max="15874" width="7.7265625" style="27" customWidth="1"/>
    <col min="15875" max="15875" width="10" style="27" customWidth="1"/>
    <col min="15876" max="15876" width="12.36328125" style="27" customWidth="1"/>
    <col min="15877" max="15877" width="14.90625" style="27" customWidth="1"/>
    <col min="15878" max="15878" width="16.36328125" style="27" bestFit="1" customWidth="1"/>
    <col min="15879" max="15879" width="7" style="27" bestFit="1" customWidth="1"/>
    <col min="15880" max="15880" width="16.36328125" style="27" bestFit="1" customWidth="1"/>
    <col min="15881" max="15881" width="7" style="27" bestFit="1" customWidth="1"/>
    <col min="15882" max="15882" width="16.26953125" style="27" customWidth="1"/>
    <col min="15883" max="16128" width="9" style="27"/>
    <col min="16129" max="16129" width="3.26953125" style="27" customWidth="1"/>
    <col min="16130" max="16130" width="7.7265625" style="27" customWidth="1"/>
    <col min="16131" max="16131" width="10" style="27" customWidth="1"/>
    <col min="16132" max="16132" width="12.36328125" style="27" customWidth="1"/>
    <col min="16133" max="16133" width="14.90625" style="27" customWidth="1"/>
    <col min="16134" max="16134" width="16.36328125" style="27" bestFit="1" customWidth="1"/>
    <col min="16135" max="16135" width="7" style="27" bestFit="1" customWidth="1"/>
    <col min="16136" max="16136" width="16.36328125" style="27" bestFit="1" customWidth="1"/>
    <col min="16137" max="16137" width="7" style="27" bestFit="1" customWidth="1"/>
    <col min="16138" max="16138" width="16.26953125" style="27" customWidth="1"/>
    <col min="16139" max="16384" width="9" style="27"/>
  </cols>
  <sheetData>
    <row r="1" spans="1:11">
      <c r="A1" s="28" t="s">
        <v>145</v>
      </c>
    </row>
    <row r="2" spans="1:11" s="52" customFormat="1" ht="24" customHeight="1" thickBot="1">
      <c r="A2" s="96"/>
      <c r="B2" s="468" t="s">
        <v>209</v>
      </c>
      <c r="C2" s="468"/>
      <c r="D2" s="468"/>
      <c r="E2" s="468"/>
      <c r="F2" s="468"/>
      <c r="G2" s="468"/>
      <c r="H2" s="468"/>
      <c r="I2" s="468"/>
      <c r="J2" s="468"/>
      <c r="K2" s="119"/>
    </row>
    <row r="3" spans="1:11" ht="14.25" customHeight="1" thickTop="1" thickBot="1">
      <c r="B3" s="33" t="s">
        <v>147</v>
      </c>
      <c r="C3" s="33" t="s">
        <v>148</v>
      </c>
      <c r="D3" s="33"/>
      <c r="E3" s="34"/>
      <c r="G3" s="29"/>
      <c r="H3" s="29"/>
      <c r="I3" s="29"/>
      <c r="J3" s="29"/>
    </row>
    <row r="4" spans="1:11" ht="14.25" customHeight="1">
      <c r="B4" s="462" t="s">
        <v>210</v>
      </c>
      <c r="C4" s="97" t="s">
        <v>211</v>
      </c>
      <c r="D4" s="97" t="s">
        <v>212</v>
      </c>
      <c r="E4" s="97"/>
      <c r="F4" s="97"/>
      <c r="G4" s="97"/>
      <c r="H4" s="97"/>
      <c r="I4" s="97"/>
      <c r="J4" s="98"/>
    </row>
    <row r="5" spans="1:11" ht="14.25" customHeight="1" thickBot="1">
      <c r="B5" s="463"/>
      <c r="C5" s="464"/>
      <c r="D5" s="465"/>
      <c r="E5" s="466"/>
      <c r="F5" s="466"/>
      <c r="G5" s="466"/>
      <c r="H5" s="466"/>
      <c r="I5" s="466"/>
      <c r="J5" s="467"/>
    </row>
    <row r="6" spans="1:11">
      <c r="B6" s="120"/>
      <c r="C6" s="121"/>
      <c r="D6" s="44"/>
      <c r="E6" s="44"/>
      <c r="F6" s="44"/>
      <c r="J6" s="122"/>
    </row>
    <row r="7" spans="1:11" ht="17.25" customHeight="1">
      <c r="B7" s="102"/>
      <c r="C7" s="123" t="s">
        <v>213</v>
      </c>
      <c r="D7" s="469" t="s">
        <v>214</v>
      </c>
      <c r="E7" s="470"/>
      <c r="F7" s="470"/>
      <c r="G7" s="470"/>
      <c r="H7" s="470"/>
      <c r="I7" s="471"/>
      <c r="J7" s="124"/>
      <c r="K7" s="125"/>
    </row>
    <row r="8" spans="1:11" ht="15" customHeight="1">
      <c r="B8" s="126"/>
      <c r="C8" s="127" t="s">
        <v>215</v>
      </c>
      <c r="D8" s="128" t="s">
        <v>216</v>
      </c>
      <c r="E8" s="128" t="s">
        <v>217</v>
      </c>
      <c r="F8" s="129" t="s">
        <v>218</v>
      </c>
      <c r="G8" s="129" t="s">
        <v>219</v>
      </c>
      <c r="H8" s="129" t="s">
        <v>220</v>
      </c>
      <c r="I8" s="130" t="s">
        <v>221</v>
      </c>
      <c r="J8" s="131"/>
      <c r="K8" s="132"/>
    </row>
    <row r="9" spans="1:11" ht="12" customHeight="1">
      <c r="B9" s="133"/>
      <c r="C9" s="134" t="s">
        <v>222</v>
      </c>
      <c r="D9" s="135" t="s">
        <v>223</v>
      </c>
      <c r="E9" s="135" t="s">
        <v>224</v>
      </c>
      <c r="F9" s="136" t="s">
        <v>225</v>
      </c>
      <c r="G9" s="136" t="s">
        <v>226</v>
      </c>
      <c r="H9" s="136" t="s">
        <v>227</v>
      </c>
      <c r="I9" s="137" t="s">
        <v>228</v>
      </c>
      <c r="J9" s="138"/>
      <c r="K9" s="139"/>
    </row>
    <row r="10" spans="1:11" ht="12" customHeight="1">
      <c r="B10" s="133"/>
      <c r="C10" s="140" t="s">
        <v>229</v>
      </c>
      <c r="D10" s="141" t="s">
        <v>230</v>
      </c>
      <c r="E10" s="142">
        <v>66666</v>
      </c>
      <c r="F10" s="143" t="s">
        <v>231</v>
      </c>
      <c r="G10" s="143" t="s">
        <v>232</v>
      </c>
      <c r="H10" s="143" t="s">
        <v>231</v>
      </c>
      <c r="I10" s="144" t="s">
        <v>232</v>
      </c>
      <c r="J10" s="145"/>
      <c r="K10" s="146"/>
    </row>
    <row r="11" spans="1:11" ht="12" customHeight="1">
      <c r="B11" s="133"/>
      <c r="C11" s="140" t="s">
        <v>229</v>
      </c>
      <c r="D11" s="141" t="s">
        <v>233</v>
      </c>
      <c r="E11" s="142">
        <v>3500</v>
      </c>
      <c r="F11" s="143" t="s">
        <v>231</v>
      </c>
      <c r="G11" s="143" t="s">
        <v>232</v>
      </c>
      <c r="H11" s="143" t="s">
        <v>231</v>
      </c>
      <c r="I11" s="144" t="s">
        <v>232</v>
      </c>
      <c r="J11" s="145"/>
      <c r="K11" s="146"/>
    </row>
    <row r="12" spans="1:11" ht="12" customHeight="1">
      <c r="B12" s="133"/>
      <c r="C12" s="140" t="s">
        <v>234</v>
      </c>
      <c r="D12" s="141" t="s">
        <v>235</v>
      </c>
      <c r="E12" s="142">
        <v>12000</v>
      </c>
      <c r="F12" s="143" t="s">
        <v>231</v>
      </c>
      <c r="G12" s="143" t="s">
        <v>232</v>
      </c>
      <c r="H12" s="143" t="s">
        <v>231</v>
      </c>
      <c r="I12" s="144" t="s">
        <v>232</v>
      </c>
      <c r="J12" s="145"/>
      <c r="K12" s="146"/>
    </row>
    <row r="13" spans="1:11" ht="12" customHeight="1">
      <c r="B13" s="133"/>
      <c r="C13" s="140" t="s">
        <v>234</v>
      </c>
      <c r="D13" s="141" t="s">
        <v>236</v>
      </c>
      <c r="E13" s="142">
        <v>300</v>
      </c>
      <c r="F13" s="143" t="s">
        <v>231</v>
      </c>
      <c r="G13" s="143" t="s">
        <v>232</v>
      </c>
      <c r="H13" s="143" t="s">
        <v>231</v>
      </c>
      <c r="I13" s="144" t="s">
        <v>232</v>
      </c>
      <c r="J13" s="145"/>
      <c r="K13" s="146"/>
    </row>
    <row r="14" spans="1:11" ht="12" customHeight="1">
      <c r="B14" s="133"/>
      <c r="C14" s="140" t="s">
        <v>234</v>
      </c>
      <c r="D14" s="141" t="s">
        <v>233</v>
      </c>
      <c r="E14" s="142">
        <v>100</v>
      </c>
      <c r="F14" s="143" t="s">
        <v>231</v>
      </c>
      <c r="G14" s="143" t="s">
        <v>232</v>
      </c>
      <c r="H14" s="143" t="s">
        <v>231</v>
      </c>
      <c r="I14" s="144" t="s">
        <v>232</v>
      </c>
      <c r="J14" s="145"/>
      <c r="K14" s="146"/>
    </row>
    <row r="15" spans="1:11" ht="12" customHeight="1">
      <c r="B15" s="133"/>
      <c r="C15" s="140" t="s">
        <v>234</v>
      </c>
      <c r="D15" s="141" t="s">
        <v>237</v>
      </c>
      <c r="E15" s="142">
        <v>50</v>
      </c>
      <c r="F15" s="143" t="s">
        <v>231</v>
      </c>
      <c r="G15" s="143" t="s">
        <v>232</v>
      </c>
      <c r="H15" s="143" t="s">
        <v>231</v>
      </c>
      <c r="I15" s="144" t="s">
        <v>232</v>
      </c>
      <c r="J15" s="145"/>
      <c r="K15" s="146"/>
    </row>
    <row r="16" spans="1:11" ht="12" customHeight="1">
      <c r="B16" s="133"/>
      <c r="C16" s="147" t="s">
        <v>238</v>
      </c>
      <c r="D16" s="148" t="s">
        <v>237</v>
      </c>
      <c r="E16" s="149">
        <v>3000</v>
      </c>
      <c r="F16" s="150" t="s">
        <v>231</v>
      </c>
      <c r="G16" s="150" t="s">
        <v>239</v>
      </c>
      <c r="H16" s="150" t="s">
        <v>231</v>
      </c>
      <c r="I16" s="151" t="s">
        <v>239</v>
      </c>
      <c r="J16" s="145"/>
      <c r="K16" s="152"/>
    </row>
    <row r="17" spans="2:11" ht="12" customHeight="1">
      <c r="B17" s="133"/>
      <c r="C17" s="147" t="s">
        <v>240</v>
      </c>
      <c r="D17" s="148" t="s">
        <v>237</v>
      </c>
      <c r="E17" s="149">
        <v>200</v>
      </c>
      <c r="F17" s="150" t="s">
        <v>231</v>
      </c>
      <c r="G17" s="150" t="s">
        <v>239</v>
      </c>
      <c r="H17" s="150" t="s">
        <v>231</v>
      </c>
      <c r="I17" s="151" t="s">
        <v>239</v>
      </c>
      <c r="J17" s="145"/>
      <c r="K17" s="152"/>
    </row>
    <row r="18" spans="2:11" ht="12" customHeight="1">
      <c r="B18" s="133"/>
      <c r="C18" s="147" t="s">
        <v>241</v>
      </c>
      <c r="D18" s="148" t="s">
        <v>242</v>
      </c>
      <c r="E18" s="149">
        <v>999999999999999</v>
      </c>
      <c r="F18" s="150" t="s">
        <v>231</v>
      </c>
      <c r="G18" s="150" t="s">
        <v>239</v>
      </c>
      <c r="H18" s="150" t="s">
        <v>231</v>
      </c>
      <c r="I18" s="151" t="s">
        <v>239</v>
      </c>
      <c r="J18" s="145"/>
      <c r="K18" s="153"/>
    </row>
    <row r="19" spans="2:11" ht="12" customHeight="1">
      <c r="B19" s="133"/>
      <c r="C19" s="140" t="s">
        <v>241</v>
      </c>
      <c r="D19" s="141" t="s">
        <v>237</v>
      </c>
      <c r="E19" s="142">
        <v>200000</v>
      </c>
      <c r="F19" s="143" t="s">
        <v>231</v>
      </c>
      <c r="G19" s="143" t="s">
        <v>232</v>
      </c>
      <c r="H19" s="143" t="s">
        <v>231</v>
      </c>
      <c r="I19" s="144" t="s">
        <v>232</v>
      </c>
      <c r="J19" s="145"/>
      <c r="K19" s="153"/>
    </row>
    <row r="20" spans="2:11" ht="12" customHeight="1">
      <c r="B20" s="133"/>
      <c r="C20" s="140" t="s">
        <v>241</v>
      </c>
      <c r="D20" s="141" t="s">
        <v>243</v>
      </c>
      <c r="E20" s="142">
        <v>0</v>
      </c>
      <c r="F20" s="143" t="s">
        <v>231</v>
      </c>
      <c r="G20" s="143" t="s">
        <v>232</v>
      </c>
      <c r="H20" s="143" t="s">
        <v>231</v>
      </c>
      <c r="I20" s="144" t="s">
        <v>232</v>
      </c>
      <c r="J20" s="145"/>
      <c r="K20" s="153"/>
    </row>
    <row r="21" spans="2:11" ht="12" customHeight="1">
      <c r="B21" s="133"/>
      <c r="C21" s="154" t="s">
        <v>241</v>
      </c>
      <c r="D21" s="155" t="s">
        <v>244</v>
      </c>
      <c r="E21" s="156">
        <v>333333333</v>
      </c>
      <c r="F21" s="157" t="s">
        <v>231</v>
      </c>
      <c r="G21" s="157" t="s">
        <v>232</v>
      </c>
      <c r="H21" s="157" t="s">
        <v>231</v>
      </c>
      <c r="I21" s="158" t="s">
        <v>232</v>
      </c>
      <c r="J21" s="145"/>
      <c r="K21" s="153"/>
    </row>
    <row r="22" spans="2:11" ht="12" customHeight="1">
      <c r="B22" s="133"/>
      <c r="C22" s="159" t="s">
        <v>241</v>
      </c>
      <c r="D22" s="159" t="s">
        <v>245</v>
      </c>
      <c r="E22" s="160">
        <v>999999999999999</v>
      </c>
      <c r="F22" s="161"/>
      <c r="G22" s="161"/>
      <c r="H22" s="161"/>
      <c r="I22" s="161"/>
      <c r="J22" s="145"/>
      <c r="K22" s="153"/>
    </row>
    <row r="23" spans="2:11" ht="12" customHeight="1">
      <c r="B23" s="133"/>
      <c r="C23" s="159" t="s">
        <v>241</v>
      </c>
      <c r="D23" s="159" t="s">
        <v>246</v>
      </c>
      <c r="E23" s="162">
        <v>300</v>
      </c>
      <c r="F23" s="161"/>
      <c r="G23" s="161"/>
      <c r="H23" s="161"/>
      <c r="I23" s="161"/>
      <c r="J23" s="145"/>
      <c r="K23" s="153"/>
    </row>
    <row r="24" spans="2:11" ht="11.25" customHeight="1">
      <c r="B24" s="133"/>
      <c r="C24" s="159" t="s">
        <v>241</v>
      </c>
      <c r="D24" s="159" t="s">
        <v>247</v>
      </c>
      <c r="E24" s="162">
        <v>20</v>
      </c>
      <c r="F24" s="161"/>
      <c r="G24" s="161"/>
      <c r="H24" s="161"/>
      <c r="I24" s="161"/>
      <c r="J24" s="145"/>
      <c r="K24" s="163"/>
    </row>
    <row r="25" spans="2:11">
      <c r="B25" s="133"/>
      <c r="C25" s="159" t="s">
        <v>248</v>
      </c>
      <c r="D25" s="159" t="s">
        <v>249</v>
      </c>
      <c r="E25" s="162">
        <v>6000</v>
      </c>
      <c r="F25" s="161"/>
      <c r="G25" s="161"/>
      <c r="H25" s="161"/>
      <c r="I25" s="161"/>
      <c r="J25" s="145"/>
      <c r="K25" s="164"/>
    </row>
    <row r="26" spans="2:11">
      <c r="B26" s="102"/>
      <c r="C26" s="161"/>
      <c r="D26" s="161"/>
      <c r="E26" s="161"/>
      <c r="F26" s="161"/>
      <c r="G26" s="161"/>
      <c r="H26" s="161"/>
      <c r="I26" s="161"/>
      <c r="J26" s="145"/>
      <c r="K26" s="153"/>
    </row>
    <row r="27" spans="2:11">
      <c r="B27" s="102"/>
      <c r="C27" s="165"/>
      <c r="D27" s="165"/>
      <c r="E27" s="165"/>
      <c r="F27" s="165"/>
      <c r="G27" s="165"/>
      <c r="H27" s="165"/>
      <c r="I27" s="165"/>
      <c r="J27" s="145"/>
      <c r="K27" s="153"/>
    </row>
    <row r="28" spans="2:11">
      <c r="B28" s="102"/>
      <c r="C28" s="165"/>
      <c r="D28" s="165"/>
      <c r="E28" s="165"/>
      <c r="F28" s="165"/>
      <c r="G28" s="165"/>
      <c r="H28" s="165"/>
      <c r="I28" s="165"/>
      <c r="J28" s="145"/>
      <c r="K28" s="166"/>
    </row>
    <row r="29" spans="2:11">
      <c r="B29" s="102"/>
      <c r="C29" s="146"/>
      <c r="D29" s="146"/>
      <c r="E29" s="146"/>
      <c r="F29" s="146"/>
      <c r="G29" s="146"/>
      <c r="H29" s="146"/>
      <c r="I29" s="146"/>
      <c r="J29" s="167"/>
      <c r="K29" s="146"/>
    </row>
    <row r="30" spans="2:11" ht="17.25" customHeight="1">
      <c r="B30" s="102"/>
      <c r="C30" s="123" t="s">
        <v>250</v>
      </c>
      <c r="D30" s="469" t="s">
        <v>214</v>
      </c>
      <c r="E30" s="470"/>
      <c r="F30" s="470"/>
      <c r="G30" s="470"/>
      <c r="H30" s="470"/>
      <c r="I30" s="471"/>
      <c r="J30" s="124"/>
      <c r="K30" s="125"/>
    </row>
    <row r="31" spans="2:11" ht="15" customHeight="1">
      <c r="B31" s="126"/>
      <c r="C31" s="127" t="s">
        <v>215</v>
      </c>
      <c r="D31" s="128" t="s">
        <v>216</v>
      </c>
      <c r="E31" s="128" t="s">
        <v>217</v>
      </c>
      <c r="F31" s="129" t="s">
        <v>218</v>
      </c>
      <c r="G31" s="129" t="s">
        <v>219</v>
      </c>
      <c r="H31" s="129" t="s">
        <v>220</v>
      </c>
      <c r="I31" s="130" t="s">
        <v>221</v>
      </c>
      <c r="J31" s="131"/>
      <c r="K31" s="132"/>
    </row>
    <row r="32" spans="2:11" ht="12" customHeight="1">
      <c r="B32" s="133"/>
      <c r="C32" s="134" t="s">
        <v>222</v>
      </c>
      <c r="D32" s="135" t="s">
        <v>223</v>
      </c>
      <c r="E32" s="135" t="s">
        <v>224</v>
      </c>
      <c r="F32" s="136" t="s">
        <v>225</v>
      </c>
      <c r="G32" s="136" t="s">
        <v>226</v>
      </c>
      <c r="H32" s="136" t="s">
        <v>227</v>
      </c>
      <c r="I32" s="137" t="s">
        <v>228</v>
      </c>
      <c r="J32" s="138"/>
      <c r="K32" s="139"/>
    </row>
    <row r="33" spans="2:11" ht="12" customHeight="1">
      <c r="B33" s="133"/>
      <c r="C33" s="168"/>
      <c r="D33" s="169"/>
      <c r="E33" s="170"/>
      <c r="F33" s="171"/>
      <c r="G33" s="171"/>
      <c r="H33" s="171"/>
      <c r="I33" s="172"/>
      <c r="J33" s="145"/>
      <c r="K33" s="146"/>
    </row>
    <row r="34" spans="2:11" ht="12" customHeight="1">
      <c r="B34" s="133"/>
      <c r="C34" s="173"/>
      <c r="D34" s="174"/>
      <c r="E34" s="175"/>
      <c r="F34" s="176"/>
      <c r="G34" s="176"/>
      <c r="H34" s="176"/>
      <c r="I34" s="177"/>
      <c r="J34" s="145"/>
      <c r="K34" s="146"/>
    </row>
    <row r="35" spans="2:11" ht="12" customHeight="1">
      <c r="B35" s="133"/>
      <c r="C35" s="173"/>
      <c r="D35" s="174"/>
      <c r="E35" s="175"/>
      <c r="F35" s="176"/>
      <c r="G35" s="176"/>
      <c r="H35" s="176"/>
      <c r="I35" s="177"/>
      <c r="J35" s="145"/>
      <c r="K35" s="146"/>
    </row>
    <row r="36" spans="2:11" ht="12" customHeight="1">
      <c r="B36" s="133"/>
      <c r="C36" s="178"/>
      <c r="D36" s="179"/>
      <c r="E36" s="180"/>
      <c r="F36" s="181"/>
      <c r="G36" s="181"/>
      <c r="H36" s="181"/>
      <c r="I36" s="182"/>
      <c r="J36" s="145"/>
      <c r="K36" s="146"/>
    </row>
    <row r="37" spans="2:11" ht="12" customHeight="1">
      <c r="B37" s="133"/>
      <c r="C37" s="183" t="s">
        <v>234</v>
      </c>
      <c r="D37" s="184" t="s">
        <v>233</v>
      </c>
      <c r="E37" s="185">
        <v>100</v>
      </c>
      <c r="F37" s="186" t="s">
        <v>231</v>
      </c>
      <c r="G37" s="143" t="s">
        <v>232</v>
      </c>
      <c r="H37" s="186" t="s">
        <v>231</v>
      </c>
      <c r="I37" s="144" t="s">
        <v>232</v>
      </c>
      <c r="J37" s="145"/>
      <c r="K37" s="146"/>
    </row>
    <row r="38" spans="2:11" ht="12" customHeight="1">
      <c r="B38" s="133"/>
      <c r="C38" s="187" t="s">
        <v>234</v>
      </c>
      <c r="D38" s="188" t="s">
        <v>237</v>
      </c>
      <c r="E38" s="189">
        <v>50</v>
      </c>
      <c r="F38" s="190" t="s">
        <v>231</v>
      </c>
      <c r="G38" s="143" t="s">
        <v>232</v>
      </c>
      <c r="H38" s="190" t="s">
        <v>231</v>
      </c>
      <c r="I38" s="144" t="s">
        <v>232</v>
      </c>
      <c r="J38" s="145"/>
      <c r="K38" s="146"/>
    </row>
    <row r="39" spans="2:11" ht="12" customHeight="1">
      <c r="B39" s="133"/>
      <c r="C39" s="187" t="s">
        <v>238</v>
      </c>
      <c r="D39" s="188" t="s">
        <v>237</v>
      </c>
      <c r="E39" s="191">
        <v>3000</v>
      </c>
      <c r="F39" s="192" t="s">
        <v>231</v>
      </c>
      <c r="G39" s="193" t="s">
        <v>232</v>
      </c>
      <c r="H39" s="194" t="s">
        <v>251</v>
      </c>
      <c r="I39" s="195" t="s">
        <v>252</v>
      </c>
      <c r="J39" s="145"/>
      <c r="K39" s="152"/>
    </row>
    <row r="40" spans="2:11" ht="12" customHeight="1">
      <c r="B40" s="133"/>
      <c r="C40" s="187" t="s">
        <v>240</v>
      </c>
      <c r="D40" s="188" t="s">
        <v>237</v>
      </c>
      <c r="E40" s="191">
        <v>200</v>
      </c>
      <c r="F40" s="192" t="s">
        <v>231</v>
      </c>
      <c r="G40" s="193" t="s">
        <v>232</v>
      </c>
      <c r="H40" s="194" t="s">
        <v>251</v>
      </c>
      <c r="I40" s="195" t="s">
        <v>252</v>
      </c>
      <c r="J40" s="145"/>
      <c r="K40" s="152"/>
    </row>
    <row r="41" spans="2:11" ht="12" customHeight="1">
      <c r="B41" s="133"/>
      <c r="C41" s="187" t="s">
        <v>241</v>
      </c>
      <c r="D41" s="188" t="s">
        <v>242</v>
      </c>
      <c r="E41" s="191">
        <v>999999999999999</v>
      </c>
      <c r="F41" s="192" t="s">
        <v>231</v>
      </c>
      <c r="G41" s="193" t="s">
        <v>232</v>
      </c>
      <c r="H41" s="194" t="s">
        <v>251</v>
      </c>
      <c r="I41" s="195" t="s">
        <v>252</v>
      </c>
      <c r="J41" s="145"/>
      <c r="K41" s="153"/>
    </row>
    <row r="42" spans="2:11" ht="12" customHeight="1">
      <c r="B42" s="133"/>
      <c r="C42" s="187" t="s">
        <v>241</v>
      </c>
      <c r="D42" s="188" t="s">
        <v>237</v>
      </c>
      <c r="E42" s="189">
        <v>200000</v>
      </c>
      <c r="F42" s="190" t="s">
        <v>231</v>
      </c>
      <c r="G42" s="143" t="s">
        <v>232</v>
      </c>
      <c r="H42" s="190" t="s">
        <v>231</v>
      </c>
      <c r="I42" s="144" t="s">
        <v>232</v>
      </c>
      <c r="J42" s="145"/>
      <c r="K42" s="153"/>
    </row>
    <row r="43" spans="2:11" ht="12" customHeight="1">
      <c r="B43" s="133"/>
      <c r="C43" s="187" t="s">
        <v>241</v>
      </c>
      <c r="D43" s="188" t="s">
        <v>243</v>
      </c>
      <c r="E43" s="189">
        <v>0</v>
      </c>
      <c r="F43" s="190" t="s">
        <v>231</v>
      </c>
      <c r="G43" s="143" t="s">
        <v>232</v>
      </c>
      <c r="H43" s="190" t="s">
        <v>231</v>
      </c>
      <c r="I43" s="144" t="s">
        <v>232</v>
      </c>
      <c r="J43" s="145"/>
      <c r="K43" s="153"/>
    </row>
    <row r="44" spans="2:11" ht="12" customHeight="1">
      <c r="B44" s="133"/>
      <c r="C44" s="187" t="s">
        <v>241</v>
      </c>
      <c r="D44" s="188" t="s">
        <v>244</v>
      </c>
      <c r="E44" s="196">
        <v>333333333</v>
      </c>
      <c r="F44" s="190" t="s">
        <v>231</v>
      </c>
      <c r="G44" s="143" t="s">
        <v>232</v>
      </c>
      <c r="H44" s="190" t="s">
        <v>231</v>
      </c>
      <c r="I44" s="144" t="s">
        <v>232</v>
      </c>
      <c r="J44" s="145"/>
      <c r="K44" s="153"/>
    </row>
    <row r="45" spans="2:11" ht="12" customHeight="1">
      <c r="B45" s="133"/>
      <c r="C45" s="187" t="s">
        <v>241</v>
      </c>
      <c r="D45" s="188" t="s">
        <v>245</v>
      </c>
      <c r="E45" s="196">
        <v>999999999999999</v>
      </c>
      <c r="F45" s="190" t="s">
        <v>253</v>
      </c>
      <c r="G45" s="190" t="s">
        <v>252</v>
      </c>
      <c r="H45" s="190" t="s">
        <v>253</v>
      </c>
      <c r="I45" s="197" t="s">
        <v>252</v>
      </c>
      <c r="J45" s="145"/>
      <c r="K45" s="153"/>
    </row>
    <row r="46" spans="2:11" ht="12" customHeight="1">
      <c r="B46" s="133"/>
      <c r="C46" s="187" t="s">
        <v>241</v>
      </c>
      <c r="D46" s="188" t="s">
        <v>246</v>
      </c>
      <c r="E46" s="189">
        <v>300</v>
      </c>
      <c r="F46" s="190" t="s">
        <v>253</v>
      </c>
      <c r="G46" s="190" t="s">
        <v>252</v>
      </c>
      <c r="H46" s="190" t="s">
        <v>253</v>
      </c>
      <c r="I46" s="197" t="s">
        <v>252</v>
      </c>
      <c r="J46" s="145"/>
      <c r="K46" s="153"/>
    </row>
    <row r="47" spans="2:11" ht="11.25" customHeight="1">
      <c r="B47" s="133"/>
      <c r="C47" s="198" t="s">
        <v>241</v>
      </c>
      <c r="D47" s="199" t="s">
        <v>247</v>
      </c>
      <c r="E47" s="200">
        <v>20</v>
      </c>
      <c r="F47" s="201" t="s">
        <v>253</v>
      </c>
      <c r="G47" s="201" t="s">
        <v>252</v>
      </c>
      <c r="H47" s="201" t="s">
        <v>253</v>
      </c>
      <c r="I47" s="202" t="s">
        <v>252</v>
      </c>
      <c r="J47" s="145"/>
      <c r="K47" s="163"/>
    </row>
    <row r="48" spans="2:11">
      <c r="B48" s="133"/>
      <c r="C48" s="203"/>
      <c r="D48" s="203"/>
      <c r="E48" s="204"/>
      <c r="F48" s="165"/>
      <c r="G48" s="165"/>
      <c r="H48" s="165"/>
      <c r="I48" s="165"/>
      <c r="J48" s="145"/>
      <c r="K48" s="164"/>
    </row>
    <row r="49" spans="2:10">
      <c r="B49" s="205"/>
      <c r="C49" s="121"/>
      <c r="D49" s="44"/>
      <c r="E49" s="44"/>
      <c r="F49" s="44"/>
      <c r="J49" s="122"/>
    </row>
    <row r="50" spans="2:10">
      <c r="B50" s="205"/>
      <c r="C50" s="121"/>
      <c r="D50" s="44"/>
      <c r="E50" s="44"/>
      <c r="F50" s="44"/>
      <c r="J50" s="122"/>
    </row>
    <row r="51" spans="2:10" ht="15.5" thickBot="1">
      <c r="B51" s="206"/>
      <c r="C51" s="207"/>
      <c r="D51" s="111"/>
      <c r="E51" s="111"/>
      <c r="F51" s="111"/>
      <c r="G51" s="110"/>
      <c r="H51" s="110"/>
      <c r="I51" s="110"/>
      <c r="J51" s="208"/>
    </row>
    <row r="52" spans="2:10" ht="14.25" customHeight="1">
      <c r="B52" s="462" t="s">
        <v>254</v>
      </c>
      <c r="C52" s="97" t="s">
        <v>255</v>
      </c>
      <c r="D52" s="97"/>
      <c r="E52" s="97"/>
      <c r="F52" s="97"/>
      <c r="G52" s="97"/>
      <c r="H52" s="97"/>
      <c r="I52" s="97"/>
      <c r="J52" s="98"/>
    </row>
    <row r="53" spans="2:10" ht="14.25" customHeight="1" thickBot="1">
      <c r="B53" s="463"/>
      <c r="C53" s="464"/>
      <c r="D53" s="465"/>
      <c r="E53" s="466"/>
      <c r="F53" s="466"/>
      <c r="G53" s="466"/>
      <c r="H53" s="466"/>
      <c r="I53" s="466"/>
      <c r="J53" s="467"/>
    </row>
    <row r="54" spans="2:10">
      <c r="B54" s="113" t="s">
        <v>256</v>
      </c>
      <c r="D54" s="44"/>
      <c r="E54" s="44"/>
      <c r="F54" s="44"/>
      <c r="J54" s="122"/>
    </row>
    <row r="55" spans="2:10">
      <c r="B55" s="209"/>
      <c r="C55" s="104"/>
      <c r="D55" s="44"/>
      <c r="E55" s="44"/>
      <c r="F55" s="44"/>
      <c r="J55" s="122"/>
    </row>
    <row r="56" spans="2:10">
      <c r="B56" s="102"/>
      <c r="D56" s="44"/>
      <c r="E56" s="44"/>
      <c r="F56" s="44"/>
      <c r="J56" s="122"/>
    </row>
    <row r="57" spans="2:10">
      <c r="B57" s="102"/>
      <c r="D57" s="44"/>
      <c r="E57" s="44"/>
      <c r="F57" s="44"/>
      <c r="J57" s="122"/>
    </row>
    <row r="58" spans="2:10">
      <c r="B58" s="102"/>
      <c r="D58" s="44"/>
      <c r="E58" s="44"/>
      <c r="F58" s="44"/>
      <c r="J58" s="122"/>
    </row>
    <row r="59" spans="2:10">
      <c r="B59" s="102"/>
      <c r="D59" s="44"/>
      <c r="E59" s="44"/>
      <c r="F59" s="44"/>
      <c r="J59" s="122"/>
    </row>
    <row r="60" spans="2:10">
      <c r="B60" s="102"/>
      <c r="D60" s="44"/>
      <c r="E60" s="44"/>
      <c r="F60" s="44"/>
      <c r="J60" s="122"/>
    </row>
    <row r="61" spans="2:10">
      <c r="B61" s="102"/>
      <c r="D61" s="44"/>
      <c r="E61" s="44"/>
      <c r="F61" s="44"/>
      <c r="J61" s="122"/>
    </row>
    <row r="62" spans="2:10">
      <c r="B62" s="102"/>
      <c r="C62" s="164"/>
      <c r="D62" s="44"/>
      <c r="E62" s="44"/>
      <c r="F62" s="44"/>
      <c r="H62" s="164" t="s">
        <v>201</v>
      </c>
      <c r="J62" s="122"/>
    </row>
    <row r="63" spans="2:10">
      <c r="B63" s="102"/>
      <c r="D63" s="44"/>
      <c r="E63" s="44"/>
      <c r="F63" s="44"/>
      <c r="J63" s="122"/>
    </row>
    <row r="64" spans="2:10" ht="15.5" thickBot="1">
      <c r="B64" s="117"/>
      <c r="C64" s="118"/>
      <c r="D64" s="49"/>
      <c r="E64" s="49"/>
      <c r="F64" s="49"/>
      <c r="G64" s="118"/>
      <c r="H64" s="118"/>
      <c r="I64" s="118"/>
      <c r="J64" s="210"/>
    </row>
    <row r="65" spans="2:10" ht="14.25" customHeight="1">
      <c r="B65" s="462" t="s">
        <v>257</v>
      </c>
      <c r="C65" s="97" t="s">
        <v>258</v>
      </c>
      <c r="D65" s="97"/>
      <c r="E65" s="97"/>
      <c r="F65" s="97"/>
      <c r="G65" s="97"/>
      <c r="H65" s="97"/>
      <c r="I65" s="97"/>
      <c r="J65" s="98"/>
    </row>
    <row r="66" spans="2:10" ht="14.25" customHeight="1" thickBot="1">
      <c r="B66" s="463"/>
      <c r="C66" s="464"/>
      <c r="D66" s="465"/>
      <c r="E66" s="466"/>
      <c r="F66" s="466"/>
      <c r="G66" s="466"/>
      <c r="H66" s="466"/>
      <c r="I66" s="466"/>
      <c r="J66" s="467"/>
    </row>
    <row r="67" spans="2:10">
      <c r="B67" s="113" t="s">
        <v>259</v>
      </c>
      <c r="D67" s="44"/>
      <c r="E67" s="44"/>
      <c r="F67" s="44"/>
      <c r="J67" s="122"/>
    </row>
    <row r="68" spans="2:10">
      <c r="B68" s="209"/>
      <c r="C68" s="104"/>
      <c r="D68" s="44"/>
      <c r="E68" s="44"/>
      <c r="F68" s="44"/>
      <c r="J68" s="122"/>
    </row>
    <row r="69" spans="2:10">
      <c r="B69" s="102"/>
      <c r="D69" s="44"/>
      <c r="E69" s="44"/>
      <c r="F69" s="44"/>
      <c r="J69" s="122"/>
    </row>
    <row r="70" spans="2:10">
      <c r="B70" s="102"/>
      <c r="D70" s="44"/>
      <c r="E70" s="44"/>
      <c r="F70" s="44"/>
      <c r="J70" s="122"/>
    </row>
    <row r="71" spans="2:10">
      <c r="B71" s="102"/>
      <c r="D71" s="44"/>
      <c r="E71" s="44"/>
      <c r="F71" s="44"/>
      <c r="J71" s="122"/>
    </row>
    <row r="72" spans="2:10">
      <c r="B72" s="102"/>
      <c r="D72" s="44"/>
      <c r="E72" s="44"/>
      <c r="F72" s="44"/>
      <c r="J72" s="122"/>
    </row>
    <row r="73" spans="2:10">
      <c r="B73" s="102"/>
      <c r="D73" s="44"/>
      <c r="E73" s="44"/>
      <c r="F73" s="44"/>
      <c r="J73" s="122"/>
    </row>
    <row r="74" spans="2:10">
      <c r="B74" s="102"/>
      <c r="C74" s="164"/>
      <c r="D74" s="44"/>
      <c r="E74" s="44"/>
      <c r="F74" s="44"/>
      <c r="H74" s="164" t="s">
        <v>201</v>
      </c>
      <c r="J74" s="122"/>
    </row>
    <row r="75" spans="2:10" ht="15.5" thickBot="1">
      <c r="B75" s="109"/>
      <c r="C75" s="110"/>
      <c r="D75" s="111"/>
      <c r="E75" s="111"/>
      <c r="F75" s="111"/>
      <c r="G75" s="110"/>
      <c r="H75" s="110"/>
      <c r="I75" s="110"/>
      <c r="J75" s="208"/>
    </row>
    <row r="76" spans="2:10" ht="14.25" customHeight="1">
      <c r="B76" s="462" t="s">
        <v>260</v>
      </c>
      <c r="C76" s="97" t="s">
        <v>261</v>
      </c>
      <c r="D76" s="97"/>
      <c r="E76" s="97"/>
      <c r="F76" s="97"/>
      <c r="G76" s="97"/>
      <c r="H76" s="97"/>
      <c r="I76" s="97"/>
      <c r="J76" s="98"/>
    </row>
    <row r="77" spans="2:10" ht="14.25" customHeight="1" thickBot="1">
      <c r="B77" s="463"/>
      <c r="C77" s="464"/>
      <c r="D77" s="465"/>
      <c r="E77" s="466"/>
      <c r="F77" s="466"/>
      <c r="G77" s="466"/>
      <c r="H77" s="466"/>
      <c r="I77" s="466"/>
      <c r="J77" s="467"/>
    </row>
    <row r="78" spans="2:10">
      <c r="B78" s="102"/>
      <c r="D78" s="44"/>
      <c r="E78" s="44"/>
      <c r="F78" s="44"/>
      <c r="J78" s="122"/>
    </row>
    <row r="79" spans="2:10">
      <c r="B79" s="209"/>
      <c r="C79" s="104"/>
      <c r="D79" s="44"/>
      <c r="E79" s="44"/>
      <c r="F79" s="44"/>
      <c r="J79" s="122"/>
    </row>
    <row r="80" spans="2:10">
      <c r="B80" s="102"/>
      <c r="D80" s="44"/>
      <c r="E80" s="44"/>
      <c r="F80" s="44"/>
      <c r="J80" s="122"/>
    </row>
    <row r="81" spans="2:10">
      <c r="B81" s="102"/>
      <c r="D81" s="44"/>
      <c r="E81" s="44"/>
      <c r="F81" s="44"/>
      <c r="J81" s="122"/>
    </row>
    <row r="82" spans="2:10">
      <c r="B82" s="102"/>
      <c r="D82" s="44"/>
      <c r="E82" s="44"/>
      <c r="F82" s="44"/>
      <c r="J82" s="122"/>
    </row>
    <row r="83" spans="2:10">
      <c r="B83" s="102"/>
      <c r="D83" s="44"/>
      <c r="E83" s="44"/>
      <c r="F83" s="44"/>
      <c r="J83" s="122"/>
    </row>
    <row r="84" spans="2:10">
      <c r="B84" s="102"/>
      <c r="C84" s="164"/>
      <c r="D84" s="44"/>
      <c r="E84" s="44"/>
      <c r="F84" s="44"/>
      <c r="H84" s="164" t="s">
        <v>204</v>
      </c>
      <c r="J84" s="122"/>
    </row>
    <row r="85" spans="2:10" ht="15.5" thickBot="1">
      <c r="B85" s="109"/>
      <c r="C85" s="110"/>
      <c r="D85" s="111"/>
      <c r="E85" s="111"/>
      <c r="F85" s="111"/>
      <c r="G85" s="110"/>
      <c r="H85" s="110"/>
      <c r="I85" s="110"/>
      <c r="J85" s="208"/>
    </row>
    <row r="86" spans="2:10" ht="14.25" customHeight="1">
      <c r="B86" s="462" t="s">
        <v>262</v>
      </c>
      <c r="C86" s="97" t="s">
        <v>263</v>
      </c>
      <c r="D86" s="97"/>
      <c r="E86" s="97"/>
      <c r="F86" s="97"/>
      <c r="G86" s="97"/>
      <c r="H86" s="97"/>
      <c r="I86" s="97"/>
      <c r="J86" s="98"/>
    </row>
    <row r="87" spans="2:10" ht="14.25" customHeight="1" thickBot="1">
      <c r="B87" s="463"/>
      <c r="C87" s="464"/>
      <c r="D87" s="465"/>
      <c r="E87" s="466"/>
      <c r="F87" s="466"/>
      <c r="G87" s="466"/>
      <c r="H87" s="466"/>
      <c r="I87" s="466"/>
      <c r="J87" s="467"/>
    </row>
    <row r="88" spans="2:10">
      <c r="B88" s="102"/>
      <c r="D88" s="44"/>
      <c r="E88" s="44"/>
      <c r="F88" s="44"/>
      <c r="J88" s="122"/>
    </row>
    <row r="89" spans="2:10">
      <c r="B89" s="209"/>
      <c r="C89" s="104"/>
      <c r="D89" s="44"/>
      <c r="E89" s="44"/>
      <c r="F89" s="44"/>
      <c r="J89" s="122"/>
    </row>
    <row r="90" spans="2:10">
      <c r="B90" s="102"/>
      <c r="D90" s="44"/>
      <c r="E90" s="44"/>
      <c r="F90" s="44"/>
      <c r="J90" s="122"/>
    </row>
    <row r="91" spans="2:10">
      <c r="B91" s="102"/>
      <c r="D91" s="44"/>
      <c r="E91" s="44"/>
      <c r="F91" s="44"/>
      <c r="J91" s="122"/>
    </row>
    <row r="92" spans="2:10">
      <c r="B92" s="102"/>
      <c r="D92" s="44"/>
      <c r="E92" s="44"/>
      <c r="F92" s="44"/>
      <c r="J92" s="122"/>
    </row>
    <row r="93" spans="2:10">
      <c r="B93" s="102"/>
      <c r="D93" s="44"/>
      <c r="E93" s="44"/>
      <c r="F93" s="44"/>
      <c r="J93" s="122"/>
    </row>
    <row r="94" spans="2:10">
      <c r="B94" s="102"/>
      <c r="C94" s="164"/>
      <c r="D94" s="44"/>
      <c r="E94" s="44"/>
      <c r="F94" s="44"/>
      <c r="H94" s="164" t="s">
        <v>204</v>
      </c>
      <c r="J94" s="122"/>
    </row>
    <row r="95" spans="2:10" ht="15.5" thickBot="1">
      <c r="B95" s="117"/>
      <c r="C95" s="118"/>
      <c r="D95" s="49"/>
      <c r="E95" s="49"/>
      <c r="F95" s="49"/>
      <c r="G95" s="118"/>
      <c r="H95" s="118"/>
      <c r="I95" s="118"/>
      <c r="J95" s="210"/>
    </row>
  </sheetData>
  <mergeCells count="18">
    <mergeCell ref="D30:I30"/>
    <mergeCell ref="B2:J2"/>
    <mergeCell ref="B4:B5"/>
    <mergeCell ref="C5:D5"/>
    <mergeCell ref="E5:J5"/>
    <mergeCell ref="D7:I7"/>
    <mergeCell ref="B52:B53"/>
    <mergeCell ref="C53:D53"/>
    <mergeCell ref="E53:J53"/>
    <mergeCell ref="B65:B66"/>
    <mergeCell ref="C66:D66"/>
    <mergeCell ref="E66:J66"/>
    <mergeCell ref="B76:B77"/>
    <mergeCell ref="C77:D77"/>
    <mergeCell ref="E77:J77"/>
    <mergeCell ref="B86:B87"/>
    <mergeCell ref="C87:D87"/>
    <mergeCell ref="E87:J87"/>
  </mergeCells>
  <phoneticPr fontId="24" type="noConversion"/>
  <hyperlinks>
    <hyperlink ref="A1" location="【TCS】!A1" display="戻る" xr:uid="{C3910C44-9AD9-4E33-9D30-4865600289B9}"/>
  </hyperlinks>
  <pageMargins left="0.75" right="0.75" top="1" bottom="1" header="0.51200000000000001" footer="0.51200000000000001"/>
  <pageSetup paperSize="9" orientation="portrait" verticalDpi="0" r:id="rId1"/>
  <headerFooter alignWithMargins="0"/>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2B165-50CD-4CE5-82D2-601F8D501170}">
  <dimension ref="A1:J309"/>
  <sheetViews>
    <sheetView showGridLines="0" workbookViewId="0">
      <pane ySplit="3" topLeftCell="A4" activePane="bottomLeft" state="frozen"/>
      <selection activeCell="G18" sqref="G18"/>
      <selection pane="bottomLeft" activeCell="G18" sqref="G18"/>
    </sheetView>
  </sheetViews>
  <sheetFormatPr defaultRowHeight="15"/>
  <cols>
    <col min="1" max="1" width="3.6328125" style="27" customWidth="1"/>
    <col min="2" max="2" width="8.08984375" style="27" customWidth="1"/>
    <col min="3" max="3" width="7.26953125" style="27" customWidth="1"/>
    <col min="4" max="4" width="0.453125" style="27" hidden="1" customWidth="1"/>
    <col min="5" max="5" width="9" style="27" hidden="1" customWidth="1"/>
    <col min="6" max="9" width="9" style="27"/>
    <col min="10" max="10" width="62" style="27" customWidth="1"/>
    <col min="11" max="11" width="8.6328125" style="27" bestFit="1" customWidth="1"/>
    <col min="12" max="12" width="11.26953125" style="27" customWidth="1"/>
    <col min="13" max="13" width="14.6328125" style="27" customWidth="1"/>
    <col min="14" max="14" width="8.7265625" style="27" customWidth="1"/>
    <col min="15" max="16" width="9.7265625" style="27" customWidth="1"/>
    <col min="17" max="17" width="20" style="27" bestFit="1" customWidth="1"/>
    <col min="18" max="18" width="8" style="27" bestFit="1" customWidth="1"/>
    <col min="19" max="19" width="8.6328125" style="27" bestFit="1" customWidth="1"/>
    <col min="20" max="20" width="7.08984375" style="27" customWidth="1"/>
    <col min="21" max="21" width="17.453125" style="27" bestFit="1" customWidth="1"/>
    <col min="22" max="22" width="10.36328125" style="27" customWidth="1"/>
    <col min="23" max="23" width="7.453125" style="27" customWidth="1"/>
    <col min="24" max="24" width="9" style="27"/>
    <col min="25" max="25" width="10.36328125" style="27" customWidth="1"/>
    <col min="26" max="256" width="9" style="27"/>
    <col min="257" max="257" width="3.6328125" style="27" customWidth="1"/>
    <col min="258" max="258" width="8.08984375" style="27" customWidth="1"/>
    <col min="259" max="259" width="7.26953125" style="27" customWidth="1"/>
    <col min="260" max="261" width="0" style="27" hidden="1" customWidth="1"/>
    <col min="262" max="265" width="9" style="27"/>
    <col min="266" max="266" width="62" style="27" customWidth="1"/>
    <col min="267" max="267" width="8.6328125" style="27" bestFit="1" customWidth="1"/>
    <col min="268" max="268" width="11.26953125" style="27" customWidth="1"/>
    <col min="269" max="269" width="14.6328125" style="27" customWidth="1"/>
    <col min="270" max="270" width="8.7265625" style="27" customWidth="1"/>
    <col min="271" max="272" width="9.7265625" style="27" customWidth="1"/>
    <col min="273" max="273" width="20" style="27" bestFit="1" customWidth="1"/>
    <col min="274" max="274" width="8" style="27" bestFit="1" customWidth="1"/>
    <col min="275" max="275" width="8.6328125" style="27" bestFit="1" customWidth="1"/>
    <col min="276" max="276" width="7.08984375" style="27" customWidth="1"/>
    <col min="277" max="277" width="17.453125" style="27" bestFit="1" customWidth="1"/>
    <col min="278" max="278" width="10.36328125" style="27" customWidth="1"/>
    <col min="279" max="279" width="7.453125" style="27" customWidth="1"/>
    <col min="280" max="280" width="9" style="27"/>
    <col min="281" max="281" width="10.36328125" style="27" customWidth="1"/>
    <col min="282" max="512" width="9" style="27"/>
    <col min="513" max="513" width="3.6328125" style="27" customWidth="1"/>
    <col min="514" max="514" width="8.08984375" style="27" customWidth="1"/>
    <col min="515" max="515" width="7.26953125" style="27" customWidth="1"/>
    <col min="516" max="517" width="0" style="27" hidden="1" customWidth="1"/>
    <col min="518" max="521" width="9" style="27"/>
    <col min="522" max="522" width="62" style="27" customWidth="1"/>
    <col min="523" max="523" width="8.6328125" style="27" bestFit="1" customWidth="1"/>
    <col min="524" max="524" width="11.26953125" style="27" customWidth="1"/>
    <col min="525" max="525" width="14.6328125" style="27" customWidth="1"/>
    <col min="526" max="526" width="8.7265625" style="27" customWidth="1"/>
    <col min="527" max="528" width="9.7265625" style="27" customWidth="1"/>
    <col min="529" max="529" width="20" style="27" bestFit="1" customWidth="1"/>
    <col min="530" max="530" width="8" style="27" bestFit="1" customWidth="1"/>
    <col min="531" max="531" width="8.6328125" style="27" bestFit="1" customWidth="1"/>
    <col min="532" max="532" width="7.08984375" style="27" customWidth="1"/>
    <col min="533" max="533" width="17.453125" style="27" bestFit="1" customWidth="1"/>
    <col min="534" max="534" width="10.36328125" style="27" customWidth="1"/>
    <col min="535" max="535" width="7.453125" style="27" customWidth="1"/>
    <col min="536" max="536" width="9" style="27"/>
    <col min="537" max="537" width="10.36328125" style="27" customWidth="1"/>
    <col min="538" max="768" width="9" style="27"/>
    <col min="769" max="769" width="3.6328125" style="27" customWidth="1"/>
    <col min="770" max="770" width="8.08984375" style="27" customWidth="1"/>
    <col min="771" max="771" width="7.26953125" style="27" customWidth="1"/>
    <col min="772" max="773" width="0" style="27" hidden="1" customWidth="1"/>
    <col min="774" max="777" width="9" style="27"/>
    <col min="778" max="778" width="62" style="27" customWidth="1"/>
    <col min="779" max="779" width="8.6328125" style="27" bestFit="1" customWidth="1"/>
    <col min="780" max="780" width="11.26953125" style="27" customWidth="1"/>
    <col min="781" max="781" width="14.6328125" style="27" customWidth="1"/>
    <col min="782" max="782" width="8.7265625" style="27" customWidth="1"/>
    <col min="783" max="784" width="9.7265625" style="27" customWidth="1"/>
    <col min="785" max="785" width="20" style="27" bestFit="1" customWidth="1"/>
    <col min="786" max="786" width="8" style="27" bestFit="1" customWidth="1"/>
    <col min="787" max="787" width="8.6328125" style="27" bestFit="1" customWidth="1"/>
    <col min="788" max="788" width="7.08984375" style="27" customWidth="1"/>
    <col min="789" max="789" width="17.453125" style="27" bestFit="1" customWidth="1"/>
    <col min="790" max="790" width="10.36328125" style="27" customWidth="1"/>
    <col min="791" max="791" width="7.453125" style="27" customWidth="1"/>
    <col min="792" max="792" width="9" style="27"/>
    <col min="793" max="793" width="10.36328125" style="27" customWidth="1"/>
    <col min="794" max="1024" width="9" style="27"/>
    <col min="1025" max="1025" width="3.6328125" style="27" customWidth="1"/>
    <col min="1026" max="1026" width="8.08984375" style="27" customWidth="1"/>
    <col min="1027" max="1027" width="7.26953125" style="27" customWidth="1"/>
    <col min="1028" max="1029" width="0" style="27" hidden="1" customWidth="1"/>
    <col min="1030" max="1033" width="9" style="27"/>
    <col min="1034" max="1034" width="62" style="27" customWidth="1"/>
    <col min="1035" max="1035" width="8.6328125" style="27" bestFit="1" customWidth="1"/>
    <col min="1036" max="1036" width="11.26953125" style="27" customWidth="1"/>
    <col min="1037" max="1037" width="14.6328125" style="27" customWidth="1"/>
    <col min="1038" max="1038" width="8.7265625" style="27" customWidth="1"/>
    <col min="1039" max="1040" width="9.7265625" style="27" customWidth="1"/>
    <col min="1041" max="1041" width="20" style="27" bestFit="1" customWidth="1"/>
    <col min="1042" max="1042" width="8" style="27" bestFit="1" customWidth="1"/>
    <col min="1043" max="1043" width="8.6328125" style="27" bestFit="1" customWidth="1"/>
    <col min="1044" max="1044" width="7.08984375" style="27" customWidth="1"/>
    <col min="1045" max="1045" width="17.453125" style="27" bestFit="1" customWidth="1"/>
    <col min="1046" max="1046" width="10.36328125" style="27" customWidth="1"/>
    <col min="1047" max="1047" width="7.453125" style="27" customWidth="1"/>
    <col min="1048" max="1048" width="9" style="27"/>
    <col min="1049" max="1049" width="10.36328125" style="27" customWidth="1"/>
    <col min="1050" max="1280" width="9" style="27"/>
    <col min="1281" max="1281" width="3.6328125" style="27" customWidth="1"/>
    <col min="1282" max="1282" width="8.08984375" style="27" customWidth="1"/>
    <col min="1283" max="1283" width="7.26953125" style="27" customWidth="1"/>
    <col min="1284" max="1285" width="0" style="27" hidden="1" customWidth="1"/>
    <col min="1286" max="1289" width="9" style="27"/>
    <col min="1290" max="1290" width="62" style="27" customWidth="1"/>
    <col min="1291" max="1291" width="8.6328125" style="27" bestFit="1" customWidth="1"/>
    <col min="1292" max="1292" width="11.26953125" style="27" customWidth="1"/>
    <col min="1293" max="1293" width="14.6328125" style="27" customWidth="1"/>
    <col min="1294" max="1294" width="8.7265625" style="27" customWidth="1"/>
    <col min="1295" max="1296" width="9.7265625" style="27" customWidth="1"/>
    <col min="1297" max="1297" width="20" style="27" bestFit="1" customWidth="1"/>
    <col min="1298" max="1298" width="8" style="27" bestFit="1" customWidth="1"/>
    <col min="1299" max="1299" width="8.6328125" style="27" bestFit="1" customWidth="1"/>
    <col min="1300" max="1300" width="7.08984375" style="27" customWidth="1"/>
    <col min="1301" max="1301" width="17.453125" style="27" bestFit="1" customWidth="1"/>
    <col min="1302" max="1302" width="10.36328125" style="27" customWidth="1"/>
    <col min="1303" max="1303" width="7.453125" style="27" customWidth="1"/>
    <col min="1304" max="1304" width="9" style="27"/>
    <col min="1305" max="1305" width="10.36328125" style="27" customWidth="1"/>
    <col min="1306" max="1536" width="9" style="27"/>
    <col min="1537" max="1537" width="3.6328125" style="27" customWidth="1"/>
    <col min="1538" max="1538" width="8.08984375" style="27" customWidth="1"/>
    <col min="1539" max="1539" width="7.26953125" style="27" customWidth="1"/>
    <col min="1540" max="1541" width="0" style="27" hidden="1" customWidth="1"/>
    <col min="1542" max="1545" width="9" style="27"/>
    <col min="1546" max="1546" width="62" style="27" customWidth="1"/>
    <col min="1547" max="1547" width="8.6328125" style="27" bestFit="1" customWidth="1"/>
    <col min="1548" max="1548" width="11.26953125" style="27" customWidth="1"/>
    <col min="1549" max="1549" width="14.6328125" style="27" customWidth="1"/>
    <col min="1550" max="1550" width="8.7265625" style="27" customWidth="1"/>
    <col min="1551" max="1552" width="9.7265625" style="27" customWidth="1"/>
    <col min="1553" max="1553" width="20" style="27" bestFit="1" customWidth="1"/>
    <col min="1554" max="1554" width="8" style="27" bestFit="1" customWidth="1"/>
    <col min="1555" max="1555" width="8.6328125" style="27" bestFit="1" customWidth="1"/>
    <col min="1556" max="1556" width="7.08984375" style="27" customWidth="1"/>
    <col min="1557" max="1557" width="17.453125" style="27" bestFit="1" customWidth="1"/>
    <col min="1558" max="1558" width="10.36328125" style="27" customWidth="1"/>
    <col min="1559" max="1559" width="7.453125" style="27" customWidth="1"/>
    <col min="1560" max="1560" width="9" style="27"/>
    <col min="1561" max="1561" width="10.36328125" style="27" customWidth="1"/>
    <col min="1562" max="1792" width="9" style="27"/>
    <col min="1793" max="1793" width="3.6328125" style="27" customWidth="1"/>
    <col min="1794" max="1794" width="8.08984375" style="27" customWidth="1"/>
    <col min="1795" max="1795" width="7.26953125" style="27" customWidth="1"/>
    <col min="1796" max="1797" width="0" style="27" hidden="1" customWidth="1"/>
    <col min="1798" max="1801" width="9" style="27"/>
    <col min="1802" max="1802" width="62" style="27" customWidth="1"/>
    <col min="1803" max="1803" width="8.6328125" style="27" bestFit="1" customWidth="1"/>
    <col min="1804" max="1804" width="11.26953125" style="27" customWidth="1"/>
    <col min="1805" max="1805" width="14.6328125" style="27" customWidth="1"/>
    <col min="1806" max="1806" width="8.7265625" style="27" customWidth="1"/>
    <col min="1807" max="1808" width="9.7265625" style="27" customWidth="1"/>
    <col min="1809" max="1809" width="20" style="27" bestFit="1" customWidth="1"/>
    <col min="1810" max="1810" width="8" style="27" bestFit="1" customWidth="1"/>
    <col min="1811" max="1811" width="8.6328125" style="27" bestFit="1" customWidth="1"/>
    <col min="1812" max="1812" width="7.08984375" style="27" customWidth="1"/>
    <col min="1813" max="1813" width="17.453125" style="27" bestFit="1" customWidth="1"/>
    <col min="1814" max="1814" width="10.36328125" style="27" customWidth="1"/>
    <col min="1815" max="1815" width="7.453125" style="27" customWidth="1"/>
    <col min="1816" max="1816" width="9" style="27"/>
    <col min="1817" max="1817" width="10.36328125" style="27" customWidth="1"/>
    <col min="1818" max="2048" width="9" style="27"/>
    <col min="2049" max="2049" width="3.6328125" style="27" customWidth="1"/>
    <col min="2050" max="2050" width="8.08984375" style="27" customWidth="1"/>
    <col min="2051" max="2051" width="7.26953125" style="27" customWidth="1"/>
    <col min="2052" max="2053" width="0" style="27" hidden="1" customWidth="1"/>
    <col min="2054" max="2057" width="9" style="27"/>
    <col min="2058" max="2058" width="62" style="27" customWidth="1"/>
    <col min="2059" max="2059" width="8.6328125" style="27" bestFit="1" customWidth="1"/>
    <col min="2060" max="2060" width="11.26953125" style="27" customWidth="1"/>
    <col min="2061" max="2061" width="14.6328125" style="27" customWidth="1"/>
    <col min="2062" max="2062" width="8.7265625" style="27" customWidth="1"/>
    <col min="2063" max="2064" width="9.7265625" style="27" customWidth="1"/>
    <col min="2065" max="2065" width="20" style="27" bestFit="1" customWidth="1"/>
    <col min="2066" max="2066" width="8" style="27" bestFit="1" customWidth="1"/>
    <col min="2067" max="2067" width="8.6328125" style="27" bestFit="1" customWidth="1"/>
    <col min="2068" max="2068" width="7.08984375" style="27" customWidth="1"/>
    <col min="2069" max="2069" width="17.453125" style="27" bestFit="1" customWidth="1"/>
    <col min="2070" max="2070" width="10.36328125" style="27" customWidth="1"/>
    <col min="2071" max="2071" width="7.453125" style="27" customWidth="1"/>
    <col min="2072" max="2072" width="9" style="27"/>
    <col min="2073" max="2073" width="10.36328125" style="27" customWidth="1"/>
    <col min="2074" max="2304" width="9" style="27"/>
    <col min="2305" max="2305" width="3.6328125" style="27" customWidth="1"/>
    <col min="2306" max="2306" width="8.08984375" style="27" customWidth="1"/>
    <col min="2307" max="2307" width="7.26953125" style="27" customWidth="1"/>
    <col min="2308" max="2309" width="0" style="27" hidden="1" customWidth="1"/>
    <col min="2310" max="2313" width="9" style="27"/>
    <col min="2314" max="2314" width="62" style="27" customWidth="1"/>
    <col min="2315" max="2315" width="8.6328125" style="27" bestFit="1" customWidth="1"/>
    <col min="2316" max="2316" width="11.26953125" style="27" customWidth="1"/>
    <col min="2317" max="2317" width="14.6328125" style="27" customWidth="1"/>
    <col min="2318" max="2318" width="8.7265625" style="27" customWidth="1"/>
    <col min="2319" max="2320" width="9.7265625" style="27" customWidth="1"/>
    <col min="2321" max="2321" width="20" style="27" bestFit="1" customWidth="1"/>
    <col min="2322" max="2322" width="8" style="27" bestFit="1" customWidth="1"/>
    <col min="2323" max="2323" width="8.6328125" style="27" bestFit="1" customWidth="1"/>
    <col min="2324" max="2324" width="7.08984375" style="27" customWidth="1"/>
    <col min="2325" max="2325" width="17.453125" style="27" bestFit="1" customWidth="1"/>
    <col min="2326" max="2326" width="10.36328125" style="27" customWidth="1"/>
    <col min="2327" max="2327" width="7.453125" style="27" customWidth="1"/>
    <col min="2328" max="2328" width="9" style="27"/>
    <col min="2329" max="2329" width="10.36328125" style="27" customWidth="1"/>
    <col min="2330" max="2560" width="9" style="27"/>
    <col min="2561" max="2561" width="3.6328125" style="27" customWidth="1"/>
    <col min="2562" max="2562" width="8.08984375" style="27" customWidth="1"/>
    <col min="2563" max="2563" width="7.26953125" style="27" customWidth="1"/>
    <col min="2564" max="2565" width="0" style="27" hidden="1" customWidth="1"/>
    <col min="2566" max="2569" width="9" style="27"/>
    <col min="2570" max="2570" width="62" style="27" customWidth="1"/>
    <col min="2571" max="2571" width="8.6328125" style="27" bestFit="1" customWidth="1"/>
    <col min="2572" max="2572" width="11.26953125" style="27" customWidth="1"/>
    <col min="2573" max="2573" width="14.6328125" style="27" customWidth="1"/>
    <col min="2574" max="2574" width="8.7265625" style="27" customWidth="1"/>
    <col min="2575" max="2576" width="9.7265625" style="27" customWidth="1"/>
    <col min="2577" max="2577" width="20" style="27" bestFit="1" customWidth="1"/>
    <col min="2578" max="2578" width="8" style="27" bestFit="1" customWidth="1"/>
    <col min="2579" max="2579" width="8.6328125" style="27" bestFit="1" customWidth="1"/>
    <col min="2580" max="2580" width="7.08984375" style="27" customWidth="1"/>
    <col min="2581" max="2581" width="17.453125" style="27" bestFit="1" customWidth="1"/>
    <col min="2582" max="2582" width="10.36328125" style="27" customWidth="1"/>
    <col min="2583" max="2583" width="7.453125" style="27" customWidth="1"/>
    <col min="2584" max="2584" width="9" style="27"/>
    <col min="2585" max="2585" width="10.36328125" style="27" customWidth="1"/>
    <col min="2586" max="2816" width="9" style="27"/>
    <col min="2817" max="2817" width="3.6328125" style="27" customWidth="1"/>
    <col min="2818" max="2818" width="8.08984375" style="27" customWidth="1"/>
    <col min="2819" max="2819" width="7.26953125" style="27" customWidth="1"/>
    <col min="2820" max="2821" width="0" style="27" hidden="1" customWidth="1"/>
    <col min="2822" max="2825" width="9" style="27"/>
    <col min="2826" max="2826" width="62" style="27" customWidth="1"/>
    <col min="2827" max="2827" width="8.6328125" style="27" bestFit="1" customWidth="1"/>
    <col min="2828" max="2828" width="11.26953125" style="27" customWidth="1"/>
    <col min="2829" max="2829" width="14.6328125" style="27" customWidth="1"/>
    <col min="2830" max="2830" width="8.7265625" style="27" customWidth="1"/>
    <col min="2831" max="2832" width="9.7265625" style="27" customWidth="1"/>
    <col min="2833" max="2833" width="20" style="27" bestFit="1" customWidth="1"/>
    <col min="2834" max="2834" width="8" style="27" bestFit="1" customWidth="1"/>
    <col min="2835" max="2835" width="8.6328125" style="27" bestFit="1" customWidth="1"/>
    <col min="2836" max="2836" width="7.08984375" style="27" customWidth="1"/>
    <col min="2837" max="2837" width="17.453125" style="27" bestFit="1" customWidth="1"/>
    <col min="2838" max="2838" width="10.36328125" style="27" customWidth="1"/>
    <col min="2839" max="2839" width="7.453125" style="27" customWidth="1"/>
    <col min="2840" max="2840" width="9" style="27"/>
    <col min="2841" max="2841" width="10.36328125" style="27" customWidth="1"/>
    <col min="2842" max="3072" width="9" style="27"/>
    <col min="3073" max="3073" width="3.6328125" style="27" customWidth="1"/>
    <col min="3074" max="3074" width="8.08984375" style="27" customWidth="1"/>
    <col min="3075" max="3075" width="7.26953125" style="27" customWidth="1"/>
    <col min="3076" max="3077" width="0" style="27" hidden="1" customWidth="1"/>
    <col min="3078" max="3081" width="9" style="27"/>
    <col min="3082" max="3082" width="62" style="27" customWidth="1"/>
    <col min="3083" max="3083" width="8.6328125" style="27" bestFit="1" customWidth="1"/>
    <col min="3084" max="3084" width="11.26953125" style="27" customWidth="1"/>
    <col min="3085" max="3085" width="14.6328125" style="27" customWidth="1"/>
    <col min="3086" max="3086" width="8.7265625" style="27" customWidth="1"/>
    <col min="3087" max="3088" width="9.7265625" style="27" customWidth="1"/>
    <col min="3089" max="3089" width="20" style="27" bestFit="1" customWidth="1"/>
    <col min="3090" max="3090" width="8" style="27" bestFit="1" customWidth="1"/>
    <col min="3091" max="3091" width="8.6328125" style="27" bestFit="1" customWidth="1"/>
    <col min="3092" max="3092" width="7.08984375" style="27" customWidth="1"/>
    <col min="3093" max="3093" width="17.453125" style="27" bestFit="1" customWidth="1"/>
    <col min="3094" max="3094" width="10.36328125" style="27" customWidth="1"/>
    <col min="3095" max="3095" width="7.453125" style="27" customWidth="1"/>
    <col min="3096" max="3096" width="9" style="27"/>
    <col min="3097" max="3097" width="10.36328125" style="27" customWidth="1"/>
    <col min="3098" max="3328" width="9" style="27"/>
    <col min="3329" max="3329" width="3.6328125" style="27" customWidth="1"/>
    <col min="3330" max="3330" width="8.08984375" style="27" customWidth="1"/>
    <col min="3331" max="3331" width="7.26953125" style="27" customWidth="1"/>
    <col min="3332" max="3333" width="0" style="27" hidden="1" customWidth="1"/>
    <col min="3334" max="3337" width="9" style="27"/>
    <col min="3338" max="3338" width="62" style="27" customWidth="1"/>
    <col min="3339" max="3339" width="8.6328125" style="27" bestFit="1" customWidth="1"/>
    <col min="3340" max="3340" width="11.26953125" style="27" customWidth="1"/>
    <col min="3341" max="3341" width="14.6328125" style="27" customWidth="1"/>
    <col min="3342" max="3342" width="8.7265625" style="27" customWidth="1"/>
    <col min="3343" max="3344" width="9.7265625" style="27" customWidth="1"/>
    <col min="3345" max="3345" width="20" style="27" bestFit="1" customWidth="1"/>
    <col min="3346" max="3346" width="8" style="27" bestFit="1" customWidth="1"/>
    <col min="3347" max="3347" width="8.6328125" style="27" bestFit="1" customWidth="1"/>
    <col min="3348" max="3348" width="7.08984375" style="27" customWidth="1"/>
    <col min="3349" max="3349" width="17.453125" style="27" bestFit="1" customWidth="1"/>
    <col min="3350" max="3350" width="10.36328125" style="27" customWidth="1"/>
    <col min="3351" max="3351" width="7.453125" style="27" customWidth="1"/>
    <col min="3352" max="3352" width="9" style="27"/>
    <col min="3353" max="3353" width="10.36328125" style="27" customWidth="1"/>
    <col min="3354" max="3584" width="9" style="27"/>
    <col min="3585" max="3585" width="3.6328125" style="27" customWidth="1"/>
    <col min="3586" max="3586" width="8.08984375" style="27" customWidth="1"/>
    <col min="3587" max="3587" width="7.26953125" style="27" customWidth="1"/>
    <col min="3588" max="3589" width="0" style="27" hidden="1" customWidth="1"/>
    <col min="3590" max="3593" width="9" style="27"/>
    <col min="3594" max="3594" width="62" style="27" customWidth="1"/>
    <col min="3595" max="3595" width="8.6328125" style="27" bestFit="1" customWidth="1"/>
    <col min="3596" max="3596" width="11.26953125" style="27" customWidth="1"/>
    <col min="3597" max="3597" width="14.6328125" style="27" customWidth="1"/>
    <col min="3598" max="3598" width="8.7265625" style="27" customWidth="1"/>
    <col min="3599" max="3600" width="9.7265625" style="27" customWidth="1"/>
    <col min="3601" max="3601" width="20" style="27" bestFit="1" customWidth="1"/>
    <col min="3602" max="3602" width="8" style="27" bestFit="1" customWidth="1"/>
    <col min="3603" max="3603" width="8.6328125" style="27" bestFit="1" customWidth="1"/>
    <col min="3604" max="3604" width="7.08984375" style="27" customWidth="1"/>
    <col min="3605" max="3605" width="17.453125" style="27" bestFit="1" customWidth="1"/>
    <col min="3606" max="3606" width="10.36328125" style="27" customWidth="1"/>
    <col min="3607" max="3607" width="7.453125" style="27" customWidth="1"/>
    <col min="3608" max="3608" width="9" style="27"/>
    <col min="3609" max="3609" width="10.36328125" style="27" customWidth="1"/>
    <col min="3610" max="3840" width="9" style="27"/>
    <col min="3841" max="3841" width="3.6328125" style="27" customWidth="1"/>
    <col min="3842" max="3842" width="8.08984375" style="27" customWidth="1"/>
    <col min="3843" max="3843" width="7.26953125" style="27" customWidth="1"/>
    <col min="3844" max="3845" width="0" style="27" hidden="1" customWidth="1"/>
    <col min="3846" max="3849" width="9" style="27"/>
    <col min="3850" max="3850" width="62" style="27" customWidth="1"/>
    <col min="3851" max="3851" width="8.6328125" style="27" bestFit="1" customWidth="1"/>
    <col min="3852" max="3852" width="11.26953125" style="27" customWidth="1"/>
    <col min="3853" max="3853" width="14.6328125" style="27" customWidth="1"/>
    <col min="3854" max="3854" width="8.7265625" style="27" customWidth="1"/>
    <col min="3855" max="3856" width="9.7265625" style="27" customWidth="1"/>
    <col min="3857" max="3857" width="20" style="27" bestFit="1" customWidth="1"/>
    <col min="3858" max="3858" width="8" style="27" bestFit="1" customWidth="1"/>
    <col min="3859" max="3859" width="8.6328125" style="27" bestFit="1" customWidth="1"/>
    <col min="3860" max="3860" width="7.08984375" style="27" customWidth="1"/>
    <col min="3861" max="3861" width="17.453125" style="27" bestFit="1" customWidth="1"/>
    <col min="3862" max="3862" width="10.36328125" style="27" customWidth="1"/>
    <col min="3863" max="3863" width="7.453125" style="27" customWidth="1"/>
    <col min="3864" max="3864" width="9" style="27"/>
    <col min="3865" max="3865" width="10.36328125" style="27" customWidth="1"/>
    <col min="3866" max="4096" width="9" style="27"/>
    <col min="4097" max="4097" width="3.6328125" style="27" customWidth="1"/>
    <col min="4098" max="4098" width="8.08984375" style="27" customWidth="1"/>
    <col min="4099" max="4099" width="7.26953125" style="27" customWidth="1"/>
    <col min="4100" max="4101" width="0" style="27" hidden="1" customWidth="1"/>
    <col min="4102" max="4105" width="9" style="27"/>
    <col min="4106" max="4106" width="62" style="27" customWidth="1"/>
    <col min="4107" max="4107" width="8.6328125" style="27" bestFit="1" customWidth="1"/>
    <col min="4108" max="4108" width="11.26953125" style="27" customWidth="1"/>
    <col min="4109" max="4109" width="14.6328125" style="27" customWidth="1"/>
    <col min="4110" max="4110" width="8.7265625" style="27" customWidth="1"/>
    <col min="4111" max="4112" width="9.7265625" style="27" customWidth="1"/>
    <col min="4113" max="4113" width="20" style="27" bestFit="1" customWidth="1"/>
    <col min="4114" max="4114" width="8" style="27" bestFit="1" customWidth="1"/>
    <col min="4115" max="4115" width="8.6328125" style="27" bestFit="1" customWidth="1"/>
    <col min="4116" max="4116" width="7.08984375" style="27" customWidth="1"/>
    <col min="4117" max="4117" width="17.453125" style="27" bestFit="1" customWidth="1"/>
    <col min="4118" max="4118" width="10.36328125" style="27" customWidth="1"/>
    <col min="4119" max="4119" width="7.453125" style="27" customWidth="1"/>
    <col min="4120" max="4120" width="9" style="27"/>
    <col min="4121" max="4121" width="10.36328125" style="27" customWidth="1"/>
    <col min="4122" max="4352" width="9" style="27"/>
    <col min="4353" max="4353" width="3.6328125" style="27" customWidth="1"/>
    <col min="4354" max="4354" width="8.08984375" style="27" customWidth="1"/>
    <col min="4355" max="4355" width="7.26953125" style="27" customWidth="1"/>
    <col min="4356" max="4357" width="0" style="27" hidden="1" customWidth="1"/>
    <col min="4358" max="4361" width="9" style="27"/>
    <col min="4362" max="4362" width="62" style="27" customWidth="1"/>
    <col min="4363" max="4363" width="8.6328125" style="27" bestFit="1" customWidth="1"/>
    <col min="4364" max="4364" width="11.26953125" style="27" customWidth="1"/>
    <col min="4365" max="4365" width="14.6328125" style="27" customWidth="1"/>
    <col min="4366" max="4366" width="8.7265625" style="27" customWidth="1"/>
    <col min="4367" max="4368" width="9.7265625" style="27" customWidth="1"/>
    <col min="4369" max="4369" width="20" style="27" bestFit="1" customWidth="1"/>
    <col min="4370" max="4370" width="8" style="27" bestFit="1" customWidth="1"/>
    <col min="4371" max="4371" width="8.6328125" style="27" bestFit="1" customWidth="1"/>
    <col min="4372" max="4372" width="7.08984375" style="27" customWidth="1"/>
    <col min="4373" max="4373" width="17.453125" style="27" bestFit="1" customWidth="1"/>
    <col min="4374" max="4374" width="10.36328125" style="27" customWidth="1"/>
    <col min="4375" max="4375" width="7.453125" style="27" customWidth="1"/>
    <col min="4376" max="4376" width="9" style="27"/>
    <col min="4377" max="4377" width="10.36328125" style="27" customWidth="1"/>
    <col min="4378" max="4608" width="9" style="27"/>
    <col min="4609" max="4609" width="3.6328125" style="27" customWidth="1"/>
    <col min="4610" max="4610" width="8.08984375" style="27" customWidth="1"/>
    <col min="4611" max="4611" width="7.26953125" style="27" customWidth="1"/>
    <col min="4612" max="4613" width="0" style="27" hidden="1" customWidth="1"/>
    <col min="4614" max="4617" width="9" style="27"/>
    <col min="4618" max="4618" width="62" style="27" customWidth="1"/>
    <col min="4619" max="4619" width="8.6328125" style="27" bestFit="1" customWidth="1"/>
    <col min="4620" max="4620" width="11.26953125" style="27" customWidth="1"/>
    <col min="4621" max="4621" width="14.6328125" style="27" customWidth="1"/>
    <col min="4622" max="4622" width="8.7265625" style="27" customWidth="1"/>
    <col min="4623" max="4624" width="9.7265625" style="27" customWidth="1"/>
    <col min="4625" max="4625" width="20" style="27" bestFit="1" customWidth="1"/>
    <col min="4626" max="4626" width="8" style="27" bestFit="1" customWidth="1"/>
    <col min="4627" max="4627" width="8.6328125" style="27" bestFit="1" customWidth="1"/>
    <col min="4628" max="4628" width="7.08984375" style="27" customWidth="1"/>
    <col min="4629" max="4629" width="17.453125" style="27" bestFit="1" customWidth="1"/>
    <col min="4630" max="4630" width="10.36328125" style="27" customWidth="1"/>
    <col min="4631" max="4631" width="7.453125" style="27" customWidth="1"/>
    <col min="4632" max="4632" width="9" style="27"/>
    <col min="4633" max="4633" width="10.36328125" style="27" customWidth="1"/>
    <col min="4634" max="4864" width="9" style="27"/>
    <col min="4865" max="4865" width="3.6328125" style="27" customWidth="1"/>
    <col min="4866" max="4866" width="8.08984375" style="27" customWidth="1"/>
    <col min="4867" max="4867" width="7.26953125" style="27" customWidth="1"/>
    <col min="4868" max="4869" width="0" style="27" hidden="1" customWidth="1"/>
    <col min="4870" max="4873" width="9" style="27"/>
    <col min="4874" max="4874" width="62" style="27" customWidth="1"/>
    <col min="4875" max="4875" width="8.6328125" style="27" bestFit="1" customWidth="1"/>
    <col min="4876" max="4876" width="11.26953125" style="27" customWidth="1"/>
    <col min="4877" max="4877" width="14.6328125" style="27" customWidth="1"/>
    <col min="4878" max="4878" width="8.7265625" style="27" customWidth="1"/>
    <col min="4879" max="4880" width="9.7265625" style="27" customWidth="1"/>
    <col min="4881" max="4881" width="20" style="27" bestFit="1" customWidth="1"/>
    <col min="4882" max="4882" width="8" style="27" bestFit="1" customWidth="1"/>
    <col min="4883" max="4883" width="8.6328125" style="27" bestFit="1" customWidth="1"/>
    <col min="4884" max="4884" width="7.08984375" style="27" customWidth="1"/>
    <col min="4885" max="4885" width="17.453125" style="27" bestFit="1" customWidth="1"/>
    <col min="4886" max="4886" width="10.36328125" style="27" customWidth="1"/>
    <col min="4887" max="4887" width="7.453125" style="27" customWidth="1"/>
    <col min="4888" max="4888" width="9" style="27"/>
    <col min="4889" max="4889" width="10.36328125" style="27" customWidth="1"/>
    <col min="4890" max="5120" width="9" style="27"/>
    <col min="5121" max="5121" width="3.6328125" style="27" customWidth="1"/>
    <col min="5122" max="5122" width="8.08984375" style="27" customWidth="1"/>
    <col min="5123" max="5123" width="7.26953125" style="27" customWidth="1"/>
    <col min="5124" max="5125" width="0" style="27" hidden="1" customWidth="1"/>
    <col min="5126" max="5129" width="9" style="27"/>
    <col min="5130" max="5130" width="62" style="27" customWidth="1"/>
    <col min="5131" max="5131" width="8.6328125" style="27" bestFit="1" customWidth="1"/>
    <col min="5132" max="5132" width="11.26953125" style="27" customWidth="1"/>
    <col min="5133" max="5133" width="14.6328125" style="27" customWidth="1"/>
    <col min="5134" max="5134" width="8.7265625" style="27" customWidth="1"/>
    <col min="5135" max="5136" width="9.7265625" style="27" customWidth="1"/>
    <col min="5137" max="5137" width="20" style="27" bestFit="1" customWidth="1"/>
    <col min="5138" max="5138" width="8" style="27" bestFit="1" customWidth="1"/>
    <col min="5139" max="5139" width="8.6328125" style="27" bestFit="1" customWidth="1"/>
    <col min="5140" max="5140" width="7.08984375" style="27" customWidth="1"/>
    <col min="5141" max="5141" width="17.453125" style="27" bestFit="1" customWidth="1"/>
    <col min="5142" max="5142" width="10.36328125" style="27" customWidth="1"/>
    <col min="5143" max="5143" width="7.453125" style="27" customWidth="1"/>
    <col min="5144" max="5144" width="9" style="27"/>
    <col min="5145" max="5145" width="10.36328125" style="27" customWidth="1"/>
    <col min="5146" max="5376" width="9" style="27"/>
    <col min="5377" max="5377" width="3.6328125" style="27" customWidth="1"/>
    <col min="5378" max="5378" width="8.08984375" style="27" customWidth="1"/>
    <col min="5379" max="5379" width="7.26953125" style="27" customWidth="1"/>
    <col min="5380" max="5381" width="0" style="27" hidden="1" customWidth="1"/>
    <col min="5382" max="5385" width="9" style="27"/>
    <col min="5386" max="5386" width="62" style="27" customWidth="1"/>
    <col min="5387" max="5387" width="8.6328125" style="27" bestFit="1" customWidth="1"/>
    <col min="5388" max="5388" width="11.26953125" style="27" customWidth="1"/>
    <col min="5389" max="5389" width="14.6328125" style="27" customWidth="1"/>
    <col min="5390" max="5390" width="8.7265625" style="27" customWidth="1"/>
    <col min="5391" max="5392" width="9.7265625" style="27" customWidth="1"/>
    <col min="5393" max="5393" width="20" style="27" bestFit="1" customWidth="1"/>
    <col min="5394" max="5394" width="8" style="27" bestFit="1" customWidth="1"/>
    <col min="5395" max="5395" width="8.6328125" style="27" bestFit="1" customWidth="1"/>
    <col min="5396" max="5396" width="7.08984375" style="27" customWidth="1"/>
    <col min="5397" max="5397" width="17.453125" style="27" bestFit="1" customWidth="1"/>
    <col min="5398" max="5398" width="10.36328125" style="27" customWidth="1"/>
    <col min="5399" max="5399" width="7.453125" style="27" customWidth="1"/>
    <col min="5400" max="5400" width="9" style="27"/>
    <col min="5401" max="5401" width="10.36328125" style="27" customWidth="1"/>
    <col min="5402" max="5632" width="9" style="27"/>
    <col min="5633" max="5633" width="3.6328125" style="27" customWidth="1"/>
    <col min="5634" max="5634" width="8.08984375" style="27" customWidth="1"/>
    <col min="5635" max="5635" width="7.26953125" style="27" customWidth="1"/>
    <col min="5636" max="5637" width="0" style="27" hidden="1" customWidth="1"/>
    <col min="5638" max="5641" width="9" style="27"/>
    <col min="5642" max="5642" width="62" style="27" customWidth="1"/>
    <col min="5643" max="5643" width="8.6328125" style="27" bestFit="1" customWidth="1"/>
    <col min="5644" max="5644" width="11.26953125" style="27" customWidth="1"/>
    <col min="5645" max="5645" width="14.6328125" style="27" customWidth="1"/>
    <col min="5646" max="5646" width="8.7265625" style="27" customWidth="1"/>
    <col min="5647" max="5648" width="9.7265625" style="27" customWidth="1"/>
    <col min="5649" max="5649" width="20" style="27" bestFit="1" customWidth="1"/>
    <col min="5650" max="5650" width="8" style="27" bestFit="1" customWidth="1"/>
    <col min="5651" max="5651" width="8.6328125" style="27" bestFit="1" customWidth="1"/>
    <col min="5652" max="5652" width="7.08984375" style="27" customWidth="1"/>
    <col min="5653" max="5653" width="17.453125" style="27" bestFit="1" customWidth="1"/>
    <col min="5654" max="5654" width="10.36328125" style="27" customWidth="1"/>
    <col min="5655" max="5655" width="7.453125" style="27" customWidth="1"/>
    <col min="5656" max="5656" width="9" style="27"/>
    <col min="5657" max="5657" width="10.36328125" style="27" customWidth="1"/>
    <col min="5658" max="5888" width="9" style="27"/>
    <col min="5889" max="5889" width="3.6328125" style="27" customWidth="1"/>
    <col min="5890" max="5890" width="8.08984375" style="27" customWidth="1"/>
    <col min="5891" max="5891" width="7.26953125" style="27" customWidth="1"/>
    <col min="5892" max="5893" width="0" style="27" hidden="1" customWidth="1"/>
    <col min="5894" max="5897" width="9" style="27"/>
    <col min="5898" max="5898" width="62" style="27" customWidth="1"/>
    <col min="5899" max="5899" width="8.6328125" style="27" bestFit="1" customWidth="1"/>
    <col min="5900" max="5900" width="11.26953125" style="27" customWidth="1"/>
    <col min="5901" max="5901" width="14.6328125" style="27" customWidth="1"/>
    <col min="5902" max="5902" width="8.7265625" style="27" customWidth="1"/>
    <col min="5903" max="5904" width="9.7265625" style="27" customWidth="1"/>
    <col min="5905" max="5905" width="20" style="27" bestFit="1" customWidth="1"/>
    <col min="5906" max="5906" width="8" style="27" bestFit="1" customWidth="1"/>
    <col min="5907" max="5907" width="8.6328125" style="27" bestFit="1" customWidth="1"/>
    <col min="5908" max="5908" width="7.08984375" style="27" customWidth="1"/>
    <col min="5909" max="5909" width="17.453125" style="27" bestFit="1" customWidth="1"/>
    <col min="5910" max="5910" width="10.36328125" style="27" customWidth="1"/>
    <col min="5911" max="5911" width="7.453125" style="27" customWidth="1"/>
    <col min="5912" max="5912" width="9" style="27"/>
    <col min="5913" max="5913" width="10.36328125" style="27" customWidth="1"/>
    <col min="5914" max="6144" width="9" style="27"/>
    <col min="6145" max="6145" width="3.6328125" style="27" customWidth="1"/>
    <col min="6146" max="6146" width="8.08984375" style="27" customWidth="1"/>
    <col min="6147" max="6147" width="7.26953125" style="27" customWidth="1"/>
    <col min="6148" max="6149" width="0" style="27" hidden="1" customWidth="1"/>
    <col min="6150" max="6153" width="9" style="27"/>
    <col min="6154" max="6154" width="62" style="27" customWidth="1"/>
    <col min="6155" max="6155" width="8.6328125" style="27" bestFit="1" customWidth="1"/>
    <col min="6156" max="6156" width="11.26953125" style="27" customWidth="1"/>
    <col min="6157" max="6157" width="14.6328125" style="27" customWidth="1"/>
    <col min="6158" max="6158" width="8.7265625" style="27" customWidth="1"/>
    <col min="6159" max="6160" width="9.7265625" style="27" customWidth="1"/>
    <col min="6161" max="6161" width="20" style="27" bestFit="1" customWidth="1"/>
    <col min="6162" max="6162" width="8" style="27" bestFit="1" customWidth="1"/>
    <col min="6163" max="6163" width="8.6328125" style="27" bestFit="1" customWidth="1"/>
    <col min="6164" max="6164" width="7.08984375" style="27" customWidth="1"/>
    <col min="6165" max="6165" width="17.453125" style="27" bestFit="1" customWidth="1"/>
    <col min="6166" max="6166" width="10.36328125" style="27" customWidth="1"/>
    <col min="6167" max="6167" width="7.453125" style="27" customWidth="1"/>
    <col min="6168" max="6168" width="9" style="27"/>
    <col min="6169" max="6169" width="10.36328125" style="27" customWidth="1"/>
    <col min="6170" max="6400" width="9" style="27"/>
    <col min="6401" max="6401" width="3.6328125" style="27" customWidth="1"/>
    <col min="6402" max="6402" width="8.08984375" style="27" customWidth="1"/>
    <col min="6403" max="6403" width="7.26953125" style="27" customWidth="1"/>
    <col min="6404" max="6405" width="0" style="27" hidden="1" customWidth="1"/>
    <col min="6406" max="6409" width="9" style="27"/>
    <col min="6410" max="6410" width="62" style="27" customWidth="1"/>
    <col min="6411" max="6411" width="8.6328125" style="27" bestFit="1" customWidth="1"/>
    <col min="6412" max="6412" width="11.26953125" style="27" customWidth="1"/>
    <col min="6413" max="6413" width="14.6328125" style="27" customWidth="1"/>
    <col min="6414" max="6414" width="8.7265625" style="27" customWidth="1"/>
    <col min="6415" max="6416" width="9.7265625" style="27" customWidth="1"/>
    <col min="6417" max="6417" width="20" style="27" bestFit="1" customWidth="1"/>
    <col min="6418" max="6418" width="8" style="27" bestFit="1" customWidth="1"/>
    <col min="6419" max="6419" width="8.6328125" style="27" bestFit="1" customWidth="1"/>
    <col min="6420" max="6420" width="7.08984375" style="27" customWidth="1"/>
    <col min="6421" max="6421" width="17.453125" style="27" bestFit="1" customWidth="1"/>
    <col min="6422" max="6422" width="10.36328125" style="27" customWidth="1"/>
    <col min="6423" max="6423" width="7.453125" style="27" customWidth="1"/>
    <col min="6424" max="6424" width="9" style="27"/>
    <col min="6425" max="6425" width="10.36328125" style="27" customWidth="1"/>
    <col min="6426" max="6656" width="9" style="27"/>
    <col min="6657" max="6657" width="3.6328125" style="27" customWidth="1"/>
    <col min="6658" max="6658" width="8.08984375" style="27" customWidth="1"/>
    <col min="6659" max="6659" width="7.26953125" style="27" customWidth="1"/>
    <col min="6660" max="6661" width="0" style="27" hidden="1" customWidth="1"/>
    <col min="6662" max="6665" width="9" style="27"/>
    <col min="6666" max="6666" width="62" style="27" customWidth="1"/>
    <col min="6667" max="6667" width="8.6328125" style="27" bestFit="1" customWidth="1"/>
    <col min="6668" max="6668" width="11.26953125" style="27" customWidth="1"/>
    <col min="6669" max="6669" width="14.6328125" style="27" customWidth="1"/>
    <col min="6670" max="6670" width="8.7265625" style="27" customWidth="1"/>
    <col min="6671" max="6672" width="9.7265625" style="27" customWidth="1"/>
    <col min="6673" max="6673" width="20" style="27" bestFit="1" customWidth="1"/>
    <col min="6674" max="6674" width="8" style="27" bestFit="1" customWidth="1"/>
    <col min="6675" max="6675" width="8.6328125" style="27" bestFit="1" customWidth="1"/>
    <col min="6676" max="6676" width="7.08984375" style="27" customWidth="1"/>
    <col min="6677" max="6677" width="17.453125" style="27" bestFit="1" customWidth="1"/>
    <col min="6678" max="6678" width="10.36328125" style="27" customWidth="1"/>
    <col min="6679" max="6679" width="7.453125" style="27" customWidth="1"/>
    <col min="6680" max="6680" width="9" style="27"/>
    <col min="6681" max="6681" width="10.36328125" style="27" customWidth="1"/>
    <col min="6682" max="6912" width="9" style="27"/>
    <col min="6913" max="6913" width="3.6328125" style="27" customWidth="1"/>
    <col min="6914" max="6914" width="8.08984375" style="27" customWidth="1"/>
    <col min="6915" max="6915" width="7.26953125" style="27" customWidth="1"/>
    <col min="6916" max="6917" width="0" style="27" hidden="1" customWidth="1"/>
    <col min="6918" max="6921" width="9" style="27"/>
    <col min="6922" max="6922" width="62" style="27" customWidth="1"/>
    <col min="6923" max="6923" width="8.6328125" style="27" bestFit="1" customWidth="1"/>
    <col min="6924" max="6924" width="11.26953125" style="27" customWidth="1"/>
    <col min="6925" max="6925" width="14.6328125" style="27" customWidth="1"/>
    <col min="6926" max="6926" width="8.7265625" style="27" customWidth="1"/>
    <col min="6927" max="6928" width="9.7265625" style="27" customWidth="1"/>
    <col min="6929" max="6929" width="20" style="27" bestFit="1" customWidth="1"/>
    <col min="6930" max="6930" width="8" style="27" bestFit="1" customWidth="1"/>
    <col min="6931" max="6931" width="8.6328125" style="27" bestFit="1" customWidth="1"/>
    <col min="6932" max="6932" width="7.08984375" style="27" customWidth="1"/>
    <col min="6933" max="6933" width="17.453125" style="27" bestFit="1" customWidth="1"/>
    <col min="6934" max="6934" width="10.36328125" style="27" customWidth="1"/>
    <col min="6935" max="6935" width="7.453125" style="27" customWidth="1"/>
    <col min="6936" max="6936" width="9" style="27"/>
    <col min="6937" max="6937" width="10.36328125" style="27" customWidth="1"/>
    <col min="6938" max="7168" width="9" style="27"/>
    <col min="7169" max="7169" width="3.6328125" style="27" customWidth="1"/>
    <col min="7170" max="7170" width="8.08984375" style="27" customWidth="1"/>
    <col min="7171" max="7171" width="7.26953125" style="27" customWidth="1"/>
    <col min="7172" max="7173" width="0" style="27" hidden="1" customWidth="1"/>
    <col min="7174" max="7177" width="9" style="27"/>
    <col min="7178" max="7178" width="62" style="27" customWidth="1"/>
    <col min="7179" max="7179" width="8.6328125" style="27" bestFit="1" customWidth="1"/>
    <col min="7180" max="7180" width="11.26953125" style="27" customWidth="1"/>
    <col min="7181" max="7181" width="14.6328125" style="27" customWidth="1"/>
    <col min="7182" max="7182" width="8.7265625" style="27" customWidth="1"/>
    <col min="7183" max="7184" width="9.7265625" style="27" customWidth="1"/>
    <col min="7185" max="7185" width="20" style="27" bestFit="1" customWidth="1"/>
    <col min="7186" max="7186" width="8" style="27" bestFit="1" customWidth="1"/>
    <col min="7187" max="7187" width="8.6328125" style="27" bestFit="1" customWidth="1"/>
    <col min="7188" max="7188" width="7.08984375" style="27" customWidth="1"/>
    <col min="7189" max="7189" width="17.453125" style="27" bestFit="1" customWidth="1"/>
    <col min="7190" max="7190" width="10.36328125" style="27" customWidth="1"/>
    <col min="7191" max="7191" width="7.453125" style="27" customWidth="1"/>
    <col min="7192" max="7192" width="9" style="27"/>
    <col min="7193" max="7193" width="10.36328125" style="27" customWidth="1"/>
    <col min="7194" max="7424" width="9" style="27"/>
    <col min="7425" max="7425" width="3.6328125" style="27" customWidth="1"/>
    <col min="7426" max="7426" width="8.08984375" style="27" customWidth="1"/>
    <col min="7427" max="7427" width="7.26953125" style="27" customWidth="1"/>
    <col min="7428" max="7429" width="0" style="27" hidden="1" customWidth="1"/>
    <col min="7430" max="7433" width="9" style="27"/>
    <col min="7434" max="7434" width="62" style="27" customWidth="1"/>
    <col min="7435" max="7435" width="8.6328125" style="27" bestFit="1" customWidth="1"/>
    <col min="7436" max="7436" width="11.26953125" style="27" customWidth="1"/>
    <col min="7437" max="7437" width="14.6328125" style="27" customWidth="1"/>
    <col min="7438" max="7438" width="8.7265625" style="27" customWidth="1"/>
    <col min="7439" max="7440" width="9.7265625" style="27" customWidth="1"/>
    <col min="7441" max="7441" width="20" style="27" bestFit="1" customWidth="1"/>
    <col min="7442" max="7442" width="8" style="27" bestFit="1" customWidth="1"/>
    <col min="7443" max="7443" width="8.6328125" style="27" bestFit="1" customWidth="1"/>
    <col min="7444" max="7444" width="7.08984375" style="27" customWidth="1"/>
    <col min="7445" max="7445" width="17.453125" style="27" bestFit="1" customWidth="1"/>
    <col min="7446" max="7446" width="10.36328125" style="27" customWidth="1"/>
    <col min="7447" max="7447" width="7.453125" style="27" customWidth="1"/>
    <col min="7448" max="7448" width="9" style="27"/>
    <col min="7449" max="7449" width="10.36328125" style="27" customWidth="1"/>
    <col min="7450" max="7680" width="9" style="27"/>
    <col min="7681" max="7681" width="3.6328125" style="27" customWidth="1"/>
    <col min="7682" max="7682" width="8.08984375" style="27" customWidth="1"/>
    <col min="7683" max="7683" width="7.26953125" style="27" customWidth="1"/>
    <col min="7684" max="7685" width="0" style="27" hidden="1" customWidth="1"/>
    <col min="7686" max="7689" width="9" style="27"/>
    <col min="7690" max="7690" width="62" style="27" customWidth="1"/>
    <col min="7691" max="7691" width="8.6328125" style="27" bestFit="1" customWidth="1"/>
    <col min="7692" max="7692" width="11.26953125" style="27" customWidth="1"/>
    <col min="7693" max="7693" width="14.6328125" style="27" customWidth="1"/>
    <col min="7694" max="7694" width="8.7265625" style="27" customWidth="1"/>
    <col min="7695" max="7696" width="9.7265625" style="27" customWidth="1"/>
    <col min="7697" max="7697" width="20" style="27" bestFit="1" customWidth="1"/>
    <col min="7698" max="7698" width="8" style="27" bestFit="1" customWidth="1"/>
    <col min="7699" max="7699" width="8.6328125" style="27" bestFit="1" customWidth="1"/>
    <col min="7700" max="7700" width="7.08984375" style="27" customWidth="1"/>
    <col min="7701" max="7701" width="17.453125" style="27" bestFit="1" customWidth="1"/>
    <col min="7702" max="7702" width="10.36328125" style="27" customWidth="1"/>
    <col min="7703" max="7703" width="7.453125" style="27" customWidth="1"/>
    <col min="7704" max="7704" width="9" style="27"/>
    <col min="7705" max="7705" width="10.36328125" style="27" customWidth="1"/>
    <col min="7706" max="7936" width="9" style="27"/>
    <col min="7937" max="7937" width="3.6328125" style="27" customWidth="1"/>
    <col min="7938" max="7938" width="8.08984375" style="27" customWidth="1"/>
    <col min="7939" max="7939" width="7.26953125" style="27" customWidth="1"/>
    <col min="7940" max="7941" width="0" style="27" hidden="1" customWidth="1"/>
    <col min="7942" max="7945" width="9" style="27"/>
    <col min="7946" max="7946" width="62" style="27" customWidth="1"/>
    <col min="7947" max="7947" width="8.6328125" style="27" bestFit="1" customWidth="1"/>
    <col min="7948" max="7948" width="11.26953125" style="27" customWidth="1"/>
    <col min="7949" max="7949" width="14.6328125" style="27" customWidth="1"/>
    <col min="7950" max="7950" width="8.7265625" style="27" customWidth="1"/>
    <col min="7951" max="7952" width="9.7265625" style="27" customWidth="1"/>
    <col min="7953" max="7953" width="20" style="27" bestFit="1" customWidth="1"/>
    <col min="7954" max="7954" width="8" style="27" bestFit="1" customWidth="1"/>
    <col min="7955" max="7955" width="8.6328125" style="27" bestFit="1" customWidth="1"/>
    <col min="7956" max="7956" width="7.08984375" style="27" customWidth="1"/>
    <col min="7957" max="7957" width="17.453125" style="27" bestFit="1" customWidth="1"/>
    <col min="7958" max="7958" width="10.36328125" style="27" customWidth="1"/>
    <col min="7959" max="7959" width="7.453125" style="27" customWidth="1"/>
    <col min="7960" max="7960" width="9" style="27"/>
    <col min="7961" max="7961" width="10.36328125" style="27" customWidth="1"/>
    <col min="7962" max="8192" width="9" style="27"/>
    <col min="8193" max="8193" width="3.6328125" style="27" customWidth="1"/>
    <col min="8194" max="8194" width="8.08984375" style="27" customWidth="1"/>
    <col min="8195" max="8195" width="7.26953125" style="27" customWidth="1"/>
    <col min="8196" max="8197" width="0" style="27" hidden="1" customWidth="1"/>
    <col min="8198" max="8201" width="9" style="27"/>
    <col min="8202" max="8202" width="62" style="27" customWidth="1"/>
    <col min="8203" max="8203" width="8.6328125" style="27" bestFit="1" customWidth="1"/>
    <col min="8204" max="8204" width="11.26953125" style="27" customWidth="1"/>
    <col min="8205" max="8205" width="14.6328125" style="27" customWidth="1"/>
    <col min="8206" max="8206" width="8.7265625" style="27" customWidth="1"/>
    <col min="8207" max="8208" width="9.7265625" style="27" customWidth="1"/>
    <col min="8209" max="8209" width="20" style="27" bestFit="1" customWidth="1"/>
    <col min="8210" max="8210" width="8" style="27" bestFit="1" customWidth="1"/>
    <col min="8211" max="8211" width="8.6328125" style="27" bestFit="1" customWidth="1"/>
    <col min="8212" max="8212" width="7.08984375" style="27" customWidth="1"/>
    <col min="8213" max="8213" width="17.453125" style="27" bestFit="1" customWidth="1"/>
    <col min="8214" max="8214" width="10.36328125" style="27" customWidth="1"/>
    <col min="8215" max="8215" width="7.453125" style="27" customWidth="1"/>
    <col min="8216" max="8216" width="9" style="27"/>
    <col min="8217" max="8217" width="10.36328125" style="27" customWidth="1"/>
    <col min="8218" max="8448" width="9" style="27"/>
    <col min="8449" max="8449" width="3.6328125" style="27" customWidth="1"/>
    <col min="8450" max="8450" width="8.08984375" style="27" customWidth="1"/>
    <col min="8451" max="8451" width="7.26953125" style="27" customWidth="1"/>
    <col min="8452" max="8453" width="0" style="27" hidden="1" customWidth="1"/>
    <col min="8454" max="8457" width="9" style="27"/>
    <col min="8458" max="8458" width="62" style="27" customWidth="1"/>
    <col min="8459" max="8459" width="8.6328125" style="27" bestFit="1" customWidth="1"/>
    <col min="8460" max="8460" width="11.26953125" style="27" customWidth="1"/>
    <col min="8461" max="8461" width="14.6328125" style="27" customWidth="1"/>
    <col min="8462" max="8462" width="8.7265625" style="27" customWidth="1"/>
    <col min="8463" max="8464" width="9.7265625" style="27" customWidth="1"/>
    <col min="8465" max="8465" width="20" style="27" bestFit="1" customWidth="1"/>
    <col min="8466" max="8466" width="8" style="27" bestFit="1" customWidth="1"/>
    <col min="8467" max="8467" width="8.6328125" style="27" bestFit="1" customWidth="1"/>
    <col min="8468" max="8468" width="7.08984375" style="27" customWidth="1"/>
    <col min="8469" max="8469" width="17.453125" style="27" bestFit="1" customWidth="1"/>
    <col min="8470" max="8470" width="10.36328125" style="27" customWidth="1"/>
    <col min="8471" max="8471" width="7.453125" style="27" customWidth="1"/>
    <col min="8472" max="8472" width="9" style="27"/>
    <col min="8473" max="8473" width="10.36328125" style="27" customWidth="1"/>
    <col min="8474" max="8704" width="9" style="27"/>
    <col min="8705" max="8705" width="3.6328125" style="27" customWidth="1"/>
    <col min="8706" max="8706" width="8.08984375" style="27" customWidth="1"/>
    <col min="8707" max="8707" width="7.26953125" style="27" customWidth="1"/>
    <col min="8708" max="8709" width="0" style="27" hidden="1" customWidth="1"/>
    <col min="8710" max="8713" width="9" style="27"/>
    <col min="8714" max="8714" width="62" style="27" customWidth="1"/>
    <col min="8715" max="8715" width="8.6328125" style="27" bestFit="1" customWidth="1"/>
    <col min="8716" max="8716" width="11.26953125" style="27" customWidth="1"/>
    <col min="8717" max="8717" width="14.6328125" style="27" customWidth="1"/>
    <col min="8718" max="8718" width="8.7265625" style="27" customWidth="1"/>
    <col min="8719" max="8720" width="9.7265625" style="27" customWidth="1"/>
    <col min="8721" max="8721" width="20" style="27" bestFit="1" customWidth="1"/>
    <col min="8722" max="8722" width="8" style="27" bestFit="1" customWidth="1"/>
    <col min="8723" max="8723" width="8.6328125" style="27" bestFit="1" customWidth="1"/>
    <col min="8724" max="8724" width="7.08984375" style="27" customWidth="1"/>
    <col min="8725" max="8725" width="17.453125" style="27" bestFit="1" customWidth="1"/>
    <col min="8726" max="8726" width="10.36328125" style="27" customWidth="1"/>
    <col min="8727" max="8727" width="7.453125" style="27" customWidth="1"/>
    <col min="8728" max="8728" width="9" style="27"/>
    <col min="8729" max="8729" width="10.36328125" style="27" customWidth="1"/>
    <col min="8730" max="8960" width="9" style="27"/>
    <col min="8961" max="8961" width="3.6328125" style="27" customWidth="1"/>
    <col min="8962" max="8962" width="8.08984375" style="27" customWidth="1"/>
    <col min="8963" max="8963" width="7.26953125" style="27" customWidth="1"/>
    <col min="8964" max="8965" width="0" style="27" hidden="1" customWidth="1"/>
    <col min="8966" max="8969" width="9" style="27"/>
    <col min="8970" max="8970" width="62" style="27" customWidth="1"/>
    <col min="8971" max="8971" width="8.6328125" style="27" bestFit="1" customWidth="1"/>
    <col min="8972" max="8972" width="11.26953125" style="27" customWidth="1"/>
    <col min="8973" max="8973" width="14.6328125" style="27" customWidth="1"/>
    <col min="8974" max="8974" width="8.7265625" style="27" customWidth="1"/>
    <col min="8975" max="8976" width="9.7265625" style="27" customWidth="1"/>
    <col min="8977" max="8977" width="20" style="27" bestFit="1" customWidth="1"/>
    <col min="8978" max="8978" width="8" style="27" bestFit="1" customWidth="1"/>
    <col min="8979" max="8979" width="8.6328125" style="27" bestFit="1" customWidth="1"/>
    <col min="8980" max="8980" width="7.08984375" style="27" customWidth="1"/>
    <col min="8981" max="8981" width="17.453125" style="27" bestFit="1" customWidth="1"/>
    <col min="8982" max="8982" width="10.36328125" style="27" customWidth="1"/>
    <col min="8983" max="8983" width="7.453125" style="27" customWidth="1"/>
    <col min="8984" max="8984" width="9" style="27"/>
    <col min="8985" max="8985" width="10.36328125" style="27" customWidth="1"/>
    <col min="8986" max="9216" width="9" style="27"/>
    <col min="9217" max="9217" width="3.6328125" style="27" customWidth="1"/>
    <col min="9218" max="9218" width="8.08984375" style="27" customWidth="1"/>
    <col min="9219" max="9219" width="7.26953125" style="27" customWidth="1"/>
    <col min="9220" max="9221" width="0" style="27" hidden="1" customWidth="1"/>
    <col min="9222" max="9225" width="9" style="27"/>
    <col min="9226" max="9226" width="62" style="27" customWidth="1"/>
    <col min="9227" max="9227" width="8.6328125" style="27" bestFit="1" customWidth="1"/>
    <col min="9228" max="9228" width="11.26953125" style="27" customWidth="1"/>
    <col min="9229" max="9229" width="14.6328125" style="27" customWidth="1"/>
    <col min="9230" max="9230" width="8.7265625" style="27" customWidth="1"/>
    <col min="9231" max="9232" width="9.7265625" style="27" customWidth="1"/>
    <col min="9233" max="9233" width="20" style="27" bestFit="1" customWidth="1"/>
    <col min="9234" max="9234" width="8" style="27" bestFit="1" customWidth="1"/>
    <col min="9235" max="9235" width="8.6328125" style="27" bestFit="1" customWidth="1"/>
    <col min="9236" max="9236" width="7.08984375" style="27" customWidth="1"/>
    <col min="9237" max="9237" width="17.453125" style="27" bestFit="1" customWidth="1"/>
    <col min="9238" max="9238" width="10.36328125" style="27" customWidth="1"/>
    <col min="9239" max="9239" width="7.453125" style="27" customWidth="1"/>
    <col min="9240" max="9240" width="9" style="27"/>
    <col min="9241" max="9241" width="10.36328125" style="27" customWidth="1"/>
    <col min="9242" max="9472" width="9" style="27"/>
    <col min="9473" max="9473" width="3.6328125" style="27" customWidth="1"/>
    <col min="9474" max="9474" width="8.08984375" style="27" customWidth="1"/>
    <col min="9475" max="9475" width="7.26953125" style="27" customWidth="1"/>
    <col min="9476" max="9477" width="0" style="27" hidden="1" customWidth="1"/>
    <col min="9478" max="9481" width="9" style="27"/>
    <col min="9482" max="9482" width="62" style="27" customWidth="1"/>
    <col min="9483" max="9483" width="8.6328125" style="27" bestFit="1" customWidth="1"/>
    <col min="9484" max="9484" width="11.26953125" style="27" customWidth="1"/>
    <col min="9485" max="9485" width="14.6328125" style="27" customWidth="1"/>
    <col min="9486" max="9486" width="8.7265625" style="27" customWidth="1"/>
    <col min="9487" max="9488" width="9.7265625" style="27" customWidth="1"/>
    <col min="9489" max="9489" width="20" style="27" bestFit="1" customWidth="1"/>
    <col min="9490" max="9490" width="8" style="27" bestFit="1" customWidth="1"/>
    <col min="9491" max="9491" width="8.6328125" style="27" bestFit="1" customWidth="1"/>
    <col min="9492" max="9492" width="7.08984375" style="27" customWidth="1"/>
    <col min="9493" max="9493" width="17.453125" style="27" bestFit="1" customWidth="1"/>
    <col min="9494" max="9494" width="10.36328125" style="27" customWidth="1"/>
    <col min="9495" max="9495" width="7.453125" style="27" customWidth="1"/>
    <col min="9496" max="9496" width="9" style="27"/>
    <col min="9497" max="9497" width="10.36328125" style="27" customWidth="1"/>
    <col min="9498" max="9728" width="9" style="27"/>
    <col min="9729" max="9729" width="3.6328125" style="27" customWidth="1"/>
    <col min="9730" max="9730" width="8.08984375" style="27" customWidth="1"/>
    <col min="9731" max="9731" width="7.26953125" style="27" customWidth="1"/>
    <col min="9732" max="9733" width="0" style="27" hidden="1" customWidth="1"/>
    <col min="9734" max="9737" width="9" style="27"/>
    <col min="9738" max="9738" width="62" style="27" customWidth="1"/>
    <col min="9739" max="9739" width="8.6328125" style="27" bestFit="1" customWidth="1"/>
    <col min="9740" max="9740" width="11.26953125" style="27" customWidth="1"/>
    <col min="9741" max="9741" width="14.6328125" style="27" customWidth="1"/>
    <col min="9742" max="9742" width="8.7265625" style="27" customWidth="1"/>
    <col min="9743" max="9744" width="9.7265625" style="27" customWidth="1"/>
    <col min="9745" max="9745" width="20" style="27" bestFit="1" customWidth="1"/>
    <col min="9746" max="9746" width="8" style="27" bestFit="1" customWidth="1"/>
    <col min="9747" max="9747" width="8.6328125" style="27" bestFit="1" customWidth="1"/>
    <col min="9748" max="9748" width="7.08984375" style="27" customWidth="1"/>
    <col min="9749" max="9749" width="17.453125" style="27" bestFit="1" customWidth="1"/>
    <col min="9750" max="9750" width="10.36328125" style="27" customWidth="1"/>
    <col min="9751" max="9751" width="7.453125" style="27" customWidth="1"/>
    <col min="9752" max="9752" width="9" style="27"/>
    <col min="9753" max="9753" width="10.36328125" style="27" customWidth="1"/>
    <col min="9754" max="9984" width="9" style="27"/>
    <col min="9985" max="9985" width="3.6328125" style="27" customWidth="1"/>
    <col min="9986" max="9986" width="8.08984375" style="27" customWidth="1"/>
    <col min="9987" max="9987" width="7.26953125" style="27" customWidth="1"/>
    <col min="9988" max="9989" width="0" style="27" hidden="1" customWidth="1"/>
    <col min="9990" max="9993" width="9" style="27"/>
    <col min="9994" max="9994" width="62" style="27" customWidth="1"/>
    <col min="9995" max="9995" width="8.6328125" style="27" bestFit="1" customWidth="1"/>
    <col min="9996" max="9996" width="11.26953125" style="27" customWidth="1"/>
    <col min="9997" max="9997" width="14.6328125" style="27" customWidth="1"/>
    <col min="9998" max="9998" width="8.7265625" style="27" customWidth="1"/>
    <col min="9999" max="10000" width="9.7265625" style="27" customWidth="1"/>
    <col min="10001" max="10001" width="20" style="27" bestFit="1" customWidth="1"/>
    <col min="10002" max="10002" width="8" style="27" bestFit="1" customWidth="1"/>
    <col min="10003" max="10003" width="8.6328125" style="27" bestFit="1" customWidth="1"/>
    <col min="10004" max="10004" width="7.08984375" style="27" customWidth="1"/>
    <col min="10005" max="10005" width="17.453125" style="27" bestFit="1" customWidth="1"/>
    <col min="10006" max="10006" width="10.36328125" style="27" customWidth="1"/>
    <col min="10007" max="10007" width="7.453125" style="27" customWidth="1"/>
    <col min="10008" max="10008" width="9" style="27"/>
    <col min="10009" max="10009" width="10.36328125" style="27" customWidth="1"/>
    <col min="10010" max="10240" width="9" style="27"/>
    <col min="10241" max="10241" width="3.6328125" style="27" customWidth="1"/>
    <col min="10242" max="10242" width="8.08984375" style="27" customWidth="1"/>
    <col min="10243" max="10243" width="7.26953125" style="27" customWidth="1"/>
    <col min="10244" max="10245" width="0" style="27" hidden="1" customWidth="1"/>
    <col min="10246" max="10249" width="9" style="27"/>
    <col min="10250" max="10250" width="62" style="27" customWidth="1"/>
    <col min="10251" max="10251" width="8.6328125" style="27" bestFit="1" customWidth="1"/>
    <col min="10252" max="10252" width="11.26953125" style="27" customWidth="1"/>
    <col min="10253" max="10253" width="14.6328125" style="27" customWidth="1"/>
    <col min="10254" max="10254" width="8.7265625" style="27" customWidth="1"/>
    <col min="10255" max="10256" width="9.7265625" style="27" customWidth="1"/>
    <col min="10257" max="10257" width="20" style="27" bestFit="1" customWidth="1"/>
    <col min="10258" max="10258" width="8" style="27" bestFit="1" customWidth="1"/>
    <col min="10259" max="10259" width="8.6328125" style="27" bestFit="1" customWidth="1"/>
    <col min="10260" max="10260" width="7.08984375" style="27" customWidth="1"/>
    <col min="10261" max="10261" width="17.453125" style="27" bestFit="1" customWidth="1"/>
    <col min="10262" max="10262" width="10.36328125" style="27" customWidth="1"/>
    <col min="10263" max="10263" width="7.453125" style="27" customWidth="1"/>
    <col min="10264" max="10264" width="9" style="27"/>
    <col min="10265" max="10265" width="10.36328125" style="27" customWidth="1"/>
    <col min="10266" max="10496" width="9" style="27"/>
    <col min="10497" max="10497" width="3.6328125" style="27" customWidth="1"/>
    <col min="10498" max="10498" width="8.08984375" style="27" customWidth="1"/>
    <col min="10499" max="10499" width="7.26953125" style="27" customWidth="1"/>
    <col min="10500" max="10501" width="0" style="27" hidden="1" customWidth="1"/>
    <col min="10502" max="10505" width="9" style="27"/>
    <col min="10506" max="10506" width="62" style="27" customWidth="1"/>
    <col min="10507" max="10507" width="8.6328125" style="27" bestFit="1" customWidth="1"/>
    <col min="10508" max="10508" width="11.26953125" style="27" customWidth="1"/>
    <col min="10509" max="10509" width="14.6328125" style="27" customWidth="1"/>
    <col min="10510" max="10510" width="8.7265625" style="27" customWidth="1"/>
    <col min="10511" max="10512" width="9.7265625" style="27" customWidth="1"/>
    <col min="10513" max="10513" width="20" style="27" bestFit="1" customWidth="1"/>
    <col min="10514" max="10514" width="8" style="27" bestFit="1" customWidth="1"/>
    <col min="10515" max="10515" width="8.6328125" style="27" bestFit="1" customWidth="1"/>
    <col min="10516" max="10516" width="7.08984375" style="27" customWidth="1"/>
    <col min="10517" max="10517" width="17.453125" style="27" bestFit="1" customWidth="1"/>
    <col min="10518" max="10518" width="10.36328125" style="27" customWidth="1"/>
    <col min="10519" max="10519" width="7.453125" style="27" customWidth="1"/>
    <col min="10520" max="10520" width="9" style="27"/>
    <col min="10521" max="10521" width="10.36328125" style="27" customWidth="1"/>
    <col min="10522" max="10752" width="9" style="27"/>
    <col min="10753" max="10753" width="3.6328125" style="27" customWidth="1"/>
    <col min="10754" max="10754" width="8.08984375" style="27" customWidth="1"/>
    <col min="10755" max="10755" width="7.26953125" style="27" customWidth="1"/>
    <col min="10756" max="10757" width="0" style="27" hidden="1" customWidth="1"/>
    <col min="10758" max="10761" width="9" style="27"/>
    <col min="10762" max="10762" width="62" style="27" customWidth="1"/>
    <col min="10763" max="10763" width="8.6328125" style="27" bestFit="1" customWidth="1"/>
    <col min="10764" max="10764" width="11.26953125" style="27" customWidth="1"/>
    <col min="10765" max="10765" width="14.6328125" style="27" customWidth="1"/>
    <col min="10766" max="10766" width="8.7265625" style="27" customWidth="1"/>
    <col min="10767" max="10768" width="9.7265625" style="27" customWidth="1"/>
    <col min="10769" max="10769" width="20" style="27" bestFit="1" customWidth="1"/>
    <col min="10770" max="10770" width="8" style="27" bestFit="1" customWidth="1"/>
    <col min="10771" max="10771" width="8.6328125" style="27" bestFit="1" customWidth="1"/>
    <col min="10772" max="10772" width="7.08984375" style="27" customWidth="1"/>
    <col min="10773" max="10773" width="17.453125" style="27" bestFit="1" customWidth="1"/>
    <col min="10774" max="10774" width="10.36328125" style="27" customWidth="1"/>
    <col min="10775" max="10775" width="7.453125" style="27" customWidth="1"/>
    <col min="10776" max="10776" width="9" style="27"/>
    <col min="10777" max="10777" width="10.36328125" style="27" customWidth="1"/>
    <col min="10778" max="11008" width="9" style="27"/>
    <col min="11009" max="11009" width="3.6328125" style="27" customWidth="1"/>
    <col min="11010" max="11010" width="8.08984375" style="27" customWidth="1"/>
    <col min="11011" max="11011" width="7.26953125" style="27" customWidth="1"/>
    <col min="11012" max="11013" width="0" style="27" hidden="1" customWidth="1"/>
    <col min="11014" max="11017" width="9" style="27"/>
    <col min="11018" max="11018" width="62" style="27" customWidth="1"/>
    <col min="11019" max="11019" width="8.6328125" style="27" bestFit="1" customWidth="1"/>
    <col min="11020" max="11020" width="11.26953125" style="27" customWidth="1"/>
    <col min="11021" max="11021" width="14.6328125" style="27" customWidth="1"/>
    <col min="11022" max="11022" width="8.7265625" style="27" customWidth="1"/>
    <col min="11023" max="11024" width="9.7265625" style="27" customWidth="1"/>
    <col min="11025" max="11025" width="20" style="27" bestFit="1" customWidth="1"/>
    <col min="11026" max="11026" width="8" style="27" bestFit="1" customWidth="1"/>
    <col min="11027" max="11027" width="8.6328125" style="27" bestFit="1" customWidth="1"/>
    <col min="11028" max="11028" width="7.08984375" style="27" customWidth="1"/>
    <col min="11029" max="11029" width="17.453125" style="27" bestFit="1" customWidth="1"/>
    <col min="11030" max="11030" width="10.36328125" style="27" customWidth="1"/>
    <col min="11031" max="11031" width="7.453125" style="27" customWidth="1"/>
    <col min="11032" max="11032" width="9" style="27"/>
    <col min="11033" max="11033" width="10.36328125" style="27" customWidth="1"/>
    <col min="11034" max="11264" width="9" style="27"/>
    <col min="11265" max="11265" width="3.6328125" style="27" customWidth="1"/>
    <col min="11266" max="11266" width="8.08984375" style="27" customWidth="1"/>
    <col min="11267" max="11267" width="7.26953125" style="27" customWidth="1"/>
    <col min="11268" max="11269" width="0" style="27" hidden="1" customWidth="1"/>
    <col min="11270" max="11273" width="9" style="27"/>
    <col min="11274" max="11274" width="62" style="27" customWidth="1"/>
    <col min="11275" max="11275" width="8.6328125" style="27" bestFit="1" customWidth="1"/>
    <col min="11276" max="11276" width="11.26953125" style="27" customWidth="1"/>
    <col min="11277" max="11277" width="14.6328125" style="27" customWidth="1"/>
    <col min="11278" max="11278" width="8.7265625" style="27" customWidth="1"/>
    <col min="11279" max="11280" width="9.7265625" style="27" customWidth="1"/>
    <col min="11281" max="11281" width="20" style="27" bestFit="1" customWidth="1"/>
    <col min="11282" max="11282" width="8" style="27" bestFit="1" customWidth="1"/>
    <col min="11283" max="11283" width="8.6328125" style="27" bestFit="1" customWidth="1"/>
    <col min="11284" max="11284" width="7.08984375" style="27" customWidth="1"/>
    <col min="11285" max="11285" width="17.453125" style="27" bestFit="1" customWidth="1"/>
    <col min="11286" max="11286" width="10.36328125" style="27" customWidth="1"/>
    <col min="11287" max="11287" width="7.453125" style="27" customWidth="1"/>
    <col min="11288" max="11288" width="9" style="27"/>
    <col min="11289" max="11289" width="10.36328125" style="27" customWidth="1"/>
    <col min="11290" max="11520" width="9" style="27"/>
    <col min="11521" max="11521" width="3.6328125" style="27" customWidth="1"/>
    <col min="11522" max="11522" width="8.08984375" style="27" customWidth="1"/>
    <col min="11523" max="11523" width="7.26953125" style="27" customWidth="1"/>
    <col min="11524" max="11525" width="0" style="27" hidden="1" customWidth="1"/>
    <col min="11526" max="11529" width="9" style="27"/>
    <col min="11530" max="11530" width="62" style="27" customWidth="1"/>
    <col min="11531" max="11531" width="8.6328125" style="27" bestFit="1" customWidth="1"/>
    <col min="11532" max="11532" width="11.26953125" style="27" customWidth="1"/>
    <col min="11533" max="11533" width="14.6328125" style="27" customWidth="1"/>
    <col min="11534" max="11534" width="8.7265625" style="27" customWidth="1"/>
    <col min="11535" max="11536" width="9.7265625" style="27" customWidth="1"/>
    <col min="11537" max="11537" width="20" style="27" bestFit="1" customWidth="1"/>
    <col min="11538" max="11538" width="8" style="27" bestFit="1" customWidth="1"/>
    <col min="11539" max="11539" width="8.6328125" style="27" bestFit="1" customWidth="1"/>
    <col min="11540" max="11540" width="7.08984375" style="27" customWidth="1"/>
    <col min="11541" max="11541" width="17.453125" style="27" bestFit="1" customWidth="1"/>
    <col min="11542" max="11542" width="10.36328125" style="27" customWidth="1"/>
    <col min="11543" max="11543" width="7.453125" style="27" customWidth="1"/>
    <col min="11544" max="11544" width="9" style="27"/>
    <col min="11545" max="11545" width="10.36328125" style="27" customWidth="1"/>
    <col min="11546" max="11776" width="9" style="27"/>
    <col min="11777" max="11777" width="3.6328125" style="27" customWidth="1"/>
    <col min="11778" max="11778" width="8.08984375" style="27" customWidth="1"/>
    <col min="11779" max="11779" width="7.26953125" style="27" customWidth="1"/>
    <col min="11780" max="11781" width="0" style="27" hidden="1" customWidth="1"/>
    <col min="11782" max="11785" width="9" style="27"/>
    <col min="11786" max="11786" width="62" style="27" customWidth="1"/>
    <col min="11787" max="11787" width="8.6328125" style="27" bestFit="1" customWidth="1"/>
    <col min="11788" max="11788" width="11.26953125" style="27" customWidth="1"/>
    <col min="11789" max="11789" width="14.6328125" style="27" customWidth="1"/>
    <col min="11790" max="11790" width="8.7265625" style="27" customWidth="1"/>
    <col min="11791" max="11792" width="9.7265625" style="27" customWidth="1"/>
    <col min="11793" max="11793" width="20" style="27" bestFit="1" customWidth="1"/>
    <col min="11794" max="11794" width="8" style="27" bestFit="1" customWidth="1"/>
    <col min="11795" max="11795" width="8.6328125" style="27" bestFit="1" customWidth="1"/>
    <col min="11796" max="11796" width="7.08984375" style="27" customWidth="1"/>
    <col min="11797" max="11797" width="17.453125" style="27" bestFit="1" customWidth="1"/>
    <col min="11798" max="11798" width="10.36328125" style="27" customWidth="1"/>
    <col min="11799" max="11799" width="7.453125" style="27" customWidth="1"/>
    <col min="11800" max="11800" width="9" style="27"/>
    <col min="11801" max="11801" width="10.36328125" style="27" customWidth="1"/>
    <col min="11802" max="12032" width="9" style="27"/>
    <col min="12033" max="12033" width="3.6328125" style="27" customWidth="1"/>
    <col min="12034" max="12034" width="8.08984375" style="27" customWidth="1"/>
    <col min="12035" max="12035" width="7.26953125" style="27" customWidth="1"/>
    <col min="12036" max="12037" width="0" style="27" hidden="1" customWidth="1"/>
    <col min="12038" max="12041" width="9" style="27"/>
    <col min="12042" max="12042" width="62" style="27" customWidth="1"/>
    <col min="12043" max="12043" width="8.6328125" style="27" bestFit="1" customWidth="1"/>
    <col min="12044" max="12044" width="11.26953125" style="27" customWidth="1"/>
    <col min="12045" max="12045" width="14.6328125" style="27" customWidth="1"/>
    <col min="12046" max="12046" width="8.7265625" style="27" customWidth="1"/>
    <col min="12047" max="12048" width="9.7265625" style="27" customWidth="1"/>
    <col min="12049" max="12049" width="20" style="27" bestFit="1" customWidth="1"/>
    <col min="12050" max="12050" width="8" style="27" bestFit="1" customWidth="1"/>
    <col min="12051" max="12051" width="8.6328125" style="27" bestFit="1" customWidth="1"/>
    <col min="12052" max="12052" width="7.08984375" style="27" customWidth="1"/>
    <col min="12053" max="12053" width="17.453125" style="27" bestFit="1" customWidth="1"/>
    <col min="12054" max="12054" width="10.36328125" style="27" customWidth="1"/>
    <col min="12055" max="12055" width="7.453125" style="27" customWidth="1"/>
    <col min="12056" max="12056" width="9" style="27"/>
    <col min="12057" max="12057" width="10.36328125" style="27" customWidth="1"/>
    <col min="12058" max="12288" width="9" style="27"/>
    <col min="12289" max="12289" width="3.6328125" style="27" customWidth="1"/>
    <col min="12290" max="12290" width="8.08984375" style="27" customWidth="1"/>
    <col min="12291" max="12291" width="7.26953125" style="27" customWidth="1"/>
    <col min="12292" max="12293" width="0" style="27" hidden="1" customWidth="1"/>
    <col min="12294" max="12297" width="9" style="27"/>
    <col min="12298" max="12298" width="62" style="27" customWidth="1"/>
    <col min="12299" max="12299" width="8.6328125" style="27" bestFit="1" customWidth="1"/>
    <col min="12300" max="12300" width="11.26953125" style="27" customWidth="1"/>
    <col min="12301" max="12301" width="14.6328125" style="27" customWidth="1"/>
    <col min="12302" max="12302" width="8.7265625" style="27" customWidth="1"/>
    <col min="12303" max="12304" width="9.7265625" style="27" customWidth="1"/>
    <col min="12305" max="12305" width="20" style="27" bestFit="1" customWidth="1"/>
    <col min="12306" max="12306" width="8" style="27" bestFit="1" customWidth="1"/>
    <col min="12307" max="12307" width="8.6328125" style="27" bestFit="1" customWidth="1"/>
    <col min="12308" max="12308" width="7.08984375" style="27" customWidth="1"/>
    <col min="12309" max="12309" width="17.453125" style="27" bestFit="1" customWidth="1"/>
    <col min="12310" max="12310" width="10.36328125" style="27" customWidth="1"/>
    <col min="12311" max="12311" width="7.453125" style="27" customWidth="1"/>
    <col min="12312" max="12312" width="9" style="27"/>
    <col min="12313" max="12313" width="10.36328125" style="27" customWidth="1"/>
    <col min="12314" max="12544" width="9" style="27"/>
    <col min="12545" max="12545" width="3.6328125" style="27" customWidth="1"/>
    <col min="12546" max="12546" width="8.08984375" style="27" customWidth="1"/>
    <col min="12547" max="12547" width="7.26953125" style="27" customWidth="1"/>
    <col min="12548" max="12549" width="0" style="27" hidden="1" customWidth="1"/>
    <col min="12550" max="12553" width="9" style="27"/>
    <col min="12554" max="12554" width="62" style="27" customWidth="1"/>
    <col min="12555" max="12555" width="8.6328125" style="27" bestFit="1" customWidth="1"/>
    <col min="12556" max="12556" width="11.26953125" style="27" customWidth="1"/>
    <col min="12557" max="12557" width="14.6328125" style="27" customWidth="1"/>
    <col min="12558" max="12558" width="8.7265625" style="27" customWidth="1"/>
    <col min="12559" max="12560" width="9.7265625" style="27" customWidth="1"/>
    <col min="12561" max="12561" width="20" style="27" bestFit="1" customWidth="1"/>
    <col min="12562" max="12562" width="8" style="27" bestFit="1" customWidth="1"/>
    <col min="12563" max="12563" width="8.6328125" style="27" bestFit="1" customWidth="1"/>
    <col min="12564" max="12564" width="7.08984375" style="27" customWidth="1"/>
    <col min="12565" max="12565" width="17.453125" style="27" bestFit="1" customWidth="1"/>
    <col min="12566" max="12566" width="10.36328125" style="27" customWidth="1"/>
    <col min="12567" max="12567" width="7.453125" style="27" customWidth="1"/>
    <col min="12568" max="12568" width="9" style="27"/>
    <col min="12569" max="12569" width="10.36328125" style="27" customWidth="1"/>
    <col min="12570" max="12800" width="9" style="27"/>
    <col min="12801" max="12801" width="3.6328125" style="27" customWidth="1"/>
    <col min="12802" max="12802" width="8.08984375" style="27" customWidth="1"/>
    <col min="12803" max="12803" width="7.26953125" style="27" customWidth="1"/>
    <col min="12804" max="12805" width="0" style="27" hidden="1" customWidth="1"/>
    <col min="12806" max="12809" width="9" style="27"/>
    <col min="12810" max="12810" width="62" style="27" customWidth="1"/>
    <col min="12811" max="12811" width="8.6328125" style="27" bestFit="1" customWidth="1"/>
    <col min="12812" max="12812" width="11.26953125" style="27" customWidth="1"/>
    <col min="12813" max="12813" width="14.6328125" style="27" customWidth="1"/>
    <col min="12814" max="12814" width="8.7265625" style="27" customWidth="1"/>
    <col min="12815" max="12816" width="9.7265625" style="27" customWidth="1"/>
    <col min="12817" max="12817" width="20" style="27" bestFit="1" customWidth="1"/>
    <col min="12818" max="12818" width="8" style="27" bestFit="1" customWidth="1"/>
    <col min="12819" max="12819" width="8.6328125" style="27" bestFit="1" customWidth="1"/>
    <col min="12820" max="12820" width="7.08984375" style="27" customWidth="1"/>
    <col min="12821" max="12821" width="17.453125" style="27" bestFit="1" customWidth="1"/>
    <col min="12822" max="12822" width="10.36328125" style="27" customWidth="1"/>
    <col min="12823" max="12823" width="7.453125" style="27" customWidth="1"/>
    <col min="12824" max="12824" width="9" style="27"/>
    <col min="12825" max="12825" width="10.36328125" style="27" customWidth="1"/>
    <col min="12826" max="13056" width="9" style="27"/>
    <col min="13057" max="13057" width="3.6328125" style="27" customWidth="1"/>
    <col min="13058" max="13058" width="8.08984375" style="27" customWidth="1"/>
    <col min="13059" max="13059" width="7.26953125" style="27" customWidth="1"/>
    <col min="13060" max="13061" width="0" style="27" hidden="1" customWidth="1"/>
    <col min="13062" max="13065" width="9" style="27"/>
    <col min="13066" max="13066" width="62" style="27" customWidth="1"/>
    <col min="13067" max="13067" width="8.6328125" style="27" bestFit="1" customWidth="1"/>
    <col min="13068" max="13068" width="11.26953125" style="27" customWidth="1"/>
    <col min="13069" max="13069" width="14.6328125" style="27" customWidth="1"/>
    <col min="13070" max="13070" width="8.7265625" style="27" customWidth="1"/>
    <col min="13071" max="13072" width="9.7265625" style="27" customWidth="1"/>
    <col min="13073" max="13073" width="20" style="27" bestFit="1" customWidth="1"/>
    <col min="13074" max="13074" width="8" style="27" bestFit="1" customWidth="1"/>
    <col min="13075" max="13075" width="8.6328125" style="27" bestFit="1" customWidth="1"/>
    <col min="13076" max="13076" width="7.08984375" style="27" customWidth="1"/>
    <col min="13077" max="13077" width="17.453125" style="27" bestFit="1" customWidth="1"/>
    <col min="13078" max="13078" width="10.36328125" style="27" customWidth="1"/>
    <col min="13079" max="13079" width="7.453125" style="27" customWidth="1"/>
    <col min="13080" max="13080" width="9" style="27"/>
    <col min="13081" max="13081" width="10.36328125" style="27" customWidth="1"/>
    <col min="13082" max="13312" width="9" style="27"/>
    <col min="13313" max="13313" width="3.6328125" style="27" customWidth="1"/>
    <col min="13314" max="13314" width="8.08984375" style="27" customWidth="1"/>
    <col min="13315" max="13315" width="7.26953125" style="27" customWidth="1"/>
    <col min="13316" max="13317" width="0" style="27" hidden="1" customWidth="1"/>
    <col min="13318" max="13321" width="9" style="27"/>
    <col min="13322" max="13322" width="62" style="27" customWidth="1"/>
    <col min="13323" max="13323" width="8.6328125" style="27" bestFit="1" customWidth="1"/>
    <col min="13324" max="13324" width="11.26953125" style="27" customWidth="1"/>
    <col min="13325" max="13325" width="14.6328125" style="27" customWidth="1"/>
    <col min="13326" max="13326" width="8.7265625" style="27" customWidth="1"/>
    <col min="13327" max="13328" width="9.7265625" style="27" customWidth="1"/>
    <col min="13329" max="13329" width="20" style="27" bestFit="1" customWidth="1"/>
    <col min="13330" max="13330" width="8" style="27" bestFit="1" customWidth="1"/>
    <col min="13331" max="13331" width="8.6328125" style="27" bestFit="1" customWidth="1"/>
    <col min="13332" max="13332" width="7.08984375" style="27" customWidth="1"/>
    <col min="13333" max="13333" width="17.453125" style="27" bestFit="1" customWidth="1"/>
    <col min="13334" max="13334" width="10.36328125" style="27" customWidth="1"/>
    <col min="13335" max="13335" width="7.453125" style="27" customWidth="1"/>
    <col min="13336" max="13336" width="9" style="27"/>
    <col min="13337" max="13337" width="10.36328125" style="27" customWidth="1"/>
    <col min="13338" max="13568" width="9" style="27"/>
    <col min="13569" max="13569" width="3.6328125" style="27" customWidth="1"/>
    <col min="13570" max="13570" width="8.08984375" style="27" customWidth="1"/>
    <col min="13571" max="13571" width="7.26953125" style="27" customWidth="1"/>
    <col min="13572" max="13573" width="0" style="27" hidden="1" customWidth="1"/>
    <col min="13574" max="13577" width="9" style="27"/>
    <col min="13578" max="13578" width="62" style="27" customWidth="1"/>
    <col min="13579" max="13579" width="8.6328125" style="27" bestFit="1" customWidth="1"/>
    <col min="13580" max="13580" width="11.26953125" style="27" customWidth="1"/>
    <col min="13581" max="13581" width="14.6328125" style="27" customWidth="1"/>
    <col min="13582" max="13582" width="8.7265625" style="27" customWidth="1"/>
    <col min="13583" max="13584" width="9.7265625" style="27" customWidth="1"/>
    <col min="13585" max="13585" width="20" style="27" bestFit="1" customWidth="1"/>
    <col min="13586" max="13586" width="8" style="27" bestFit="1" customWidth="1"/>
    <col min="13587" max="13587" width="8.6328125" style="27" bestFit="1" customWidth="1"/>
    <col min="13588" max="13588" width="7.08984375" style="27" customWidth="1"/>
    <col min="13589" max="13589" width="17.453125" style="27" bestFit="1" customWidth="1"/>
    <col min="13590" max="13590" width="10.36328125" style="27" customWidth="1"/>
    <col min="13591" max="13591" width="7.453125" style="27" customWidth="1"/>
    <col min="13592" max="13592" width="9" style="27"/>
    <col min="13593" max="13593" width="10.36328125" style="27" customWidth="1"/>
    <col min="13594" max="13824" width="9" style="27"/>
    <col min="13825" max="13825" width="3.6328125" style="27" customWidth="1"/>
    <col min="13826" max="13826" width="8.08984375" style="27" customWidth="1"/>
    <col min="13827" max="13827" width="7.26953125" style="27" customWidth="1"/>
    <col min="13828" max="13829" width="0" style="27" hidden="1" customWidth="1"/>
    <col min="13830" max="13833" width="9" style="27"/>
    <col min="13834" max="13834" width="62" style="27" customWidth="1"/>
    <col min="13835" max="13835" width="8.6328125" style="27" bestFit="1" customWidth="1"/>
    <col min="13836" max="13836" width="11.26953125" style="27" customWidth="1"/>
    <col min="13837" max="13837" width="14.6328125" style="27" customWidth="1"/>
    <col min="13838" max="13838" width="8.7265625" style="27" customWidth="1"/>
    <col min="13839" max="13840" width="9.7265625" style="27" customWidth="1"/>
    <col min="13841" max="13841" width="20" style="27" bestFit="1" customWidth="1"/>
    <col min="13842" max="13842" width="8" style="27" bestFit="1" customWidth="1"/>
    <col min="13843" max="13843" width="8.6328125" style="27" bestFit="1" customWidth="1"/>
    <col min="13844" max="13844" width="7.08984375" style="27" customWidth="1"/>
    <col min="13845" max="13845" width="17.453125" style="27" bestFit="1" customWidth="1"/>
    <col min="13846" max="13846" width="10.36328125" style="27" customWidth="1"/>
    <col min="13847" max="13847" width="7.453125" style="27" customWidth="1"/>
    <col min="13848" max="13848" width="9" style="27"/>
    <col min="13849" max="13849" width="10.36328125" style="27" customWidth="1"/>
    <col min="13850" max="14080" width="9" style="27"/>
    <col min="14081" max="14081" width="3.6328125" style="27" customWidth="1"/>
    <col min="14082" max="14082" width="8.08984375" style="27" customWidth="1"/>
    <col min="14083" max="14083" width="7.26953125" style="27" customWidth="1"/>
    <col min="14084" max="14085" width="0" style="27" hidden="1" customWidth="1"/>
    <col min="14086" max="14089" width="9" style="27"/>
    <col min="14090" max="14090" width="62" style="27" customWidth="1"/>
    <col min="14091" max="14091" width="8.6328125" style="27" bestFit="1" customWidth="1"/>
    <col min="14092" max="14092" width="11.26953125" style="27" customWidth="1"/>
    <col min="14093" max="14093" width="14.6328125" style="27" customWidth="1"/>
    <col min="14094" max="14094" width="8.7265625" style="27" customWidth="1"/>
    <col min="14095" max="14096" width="9.7265625" style="27" customWidth="1"/>
    <col min="14097" max="14097" width="20" style="27" bestFit="1" customWidth="1"/>
    <col min="14098" max="14098" width="8" style="27" bestFit="1" customWidth="1"/>
    <col min="14099" max="14099" width="8.6328125" style="27" bestFit="1" customWidth="1"/>
    <col min="14100" max="14100" width="7.08984375" style="27" customWidth="1"/>
    <col min="14101" max="14101" width="17.453125" style="27" bestFit="1" customWidth="1"/>
    <col min="14102" max="14102" width="10.36328125" style="27" customWidth="1"/>
    <col min="14103" max="14103" width="7.453125" style="27" customWidth="1"/>
    <col min="14104" max="14104" width="9" style="27"/>
    <col min="14105" max="14105" width="10.36328125" style="27" customWidth="1"/>
    <col min="14106" max="14336" width="9" style="27"/>
    <col min="14337" max="14337" width="3.6328125" style="27" customWidth="1"/>
    <col min="14338" max="14338" width="8.08984375" style="27" customWidth="1"/>
    <col min="14339" max="14339" width="7.26953125" style="27" customWidth="1"/>
    <col min="14340" max="14341" width="0" style="27" hidden="1" customWidth="1"/>
    <col min="14342" max="14345" width="9" style="27"/>
    <col min="14346" max="14346" width="62" style="27" customWidth="1"/>
    <col min="14347" max="14347" width="8.6328125" style="27" bestFit="1" customWidth="1"/>
    <col min="14348" max="14348" width="11.26953125" style="27" customWidth="1"/>
    <col min="14349" max="14349" width="14.6328125" style="27" customWidth="1"/>
    <col min="14350" max="14350" width="8.7265625" style="27" customWidth="1"/>
    <col min="14351" max="14352" width="9.7265625" style="27" customWidth="1"/>
    <col min="14353" max="14353" width="20" style="27" bestFit="1" customWidth="1"/>
    <col min="14354" max="14354" width="8" style="27" bestFit="1" customWidth="1"/>
    <col min="14355" max="14355" width="8.6328125" style="27" bestFit="1" customWidth="1"/>
    <col min="14356" max="14356" width="7.08984375" style="27" customWidth="1"/>
    <col min="14357" max="14357" width="17.453125" style="27" bestFit="1" customWidth="1"/>
    <col min="14358" max="14358" width="10.36328125" style="27" customWidth="1"/>
    <col min="14359" max="14359" width="7.453125" style="27" customWidth="1"/>
    <col min="14360" max="14360" width="9" style="27"/>
    <col min="14361" max="14361" width="10.36328125" style="27" customWidth="1"/>
    <col min="14362" max="14592" width="9" style="27"/>
    <col min="14593" max="14593" width="3.6328125" style="27" customWidth="1"/>
    <col min="14594" max="14594" width="8.08984375" style="27" customWidth="1"/>
    <col min="14595" max="14595" width="7.26953125" style="27" customWidth="1"/>
    <col min="14596" max="14597" width="0" style="27" hidden="1" customWidth="1"/>
    <col min="14598" max="14601" width="9" style="27"/>
    <col min="14602" max="14602" width="62" style="27" customWidth="1"/>
    <col min="14603" max="14603" width="8.6328125" style="27" bestFit="1" customWidth="1"/>
    <col min="14604" max="14604" width="11.26953125" style="27" customWidth="1"/>
    <col min="14605" max="14605" width="14.6328125" style="27" customWidth="1"/>
    <col min="14606" max="14606" width="8.7265625" style="27" customWidth="1"/>
    <col min="14607" max="14608" width="9.7265625" style="27" customWidth="1"/>
    <col min="14609" max="14609" width="20" style="27" bestFit="1" customWidth="1"/>
    <col min="14610" max="14610" width="8" style="27" bestFit="1" customWidth="1"/>
    <col min="14611" max="14611" width="8.6328125" style="27" bestFit="1" customWidth="1"/>
    <col min="14612" max="14612" width="7.08984375" style="27" customWidth="1"/>
    <col min="14613" max="14613" width="17.453125" style="27" bestFit="1" customWidth="1"/>
    <col min="14614" max="14614" width="10.36328125" style="27" customWidth="1"/>
    <col min="14615" max="14615" width="7.453125" style="27" customWidth="1"/>
    <col min="14616" max="14616" width="9" style="27"/>
    <col min="14617" max="14617" width="10.36328125" style="27" customWidth="1"/>
    <col min="14618" max="14848" width="9" style="27"/>
    <col min="14849" max="14849" width="3.6328125" style="27" customWidth="1"/>
    <col min="14850" max="14850" width="8.08984375" style="27" customWidth="1"/>
    <col min="14851" max="14851" width="7.26953125" style="27" customWidth="1"/>
    <col min="14852" max="14853" width="0" style="27" hidden="1" customWidth="1"/>
    <col min="14854" max="14857" width="9" style="27"/>
    <col min="14858" max="14858" width="62" style="27" customWidth="1"/>
    <col min="14859" max="14859" width="8.6328125" style="27" bestFit="1" customWidth="1"/>
    <col min="14860" max="14860" width="11.26953125" style="27" customWidth="1"/>
    <col min="14861" max="14861" width="14.6328125" style="27" customWidth="1"/>
    <col min="14862" max="14862" width="8.7265625" style="27" customWidth="1"/>
    <col min="14863" max="14864" width="9.7265625" style="27" customWidth="1"/>
    <col min="14865" max="14865" width="20" style="27" bestFit="1" customWidth="1"/>
    <col min="14866" max="14866" width="8" style="27" bestFit="1" customWidth="1"/>
    <col min="14867" max="14867" width="8.6328125" style="27" bestFit="1" customWidth="1"/>
    <col min="14868" max="14868" width="7.08984375" style="27" customWidth="1"/>
    <col min="14869" max="14869" width="17.453125" style="27" bestFit="1" customWidth="1"/>
    <col min="14870" max="14870" width="10.36328125" style="27" customWidth="1"/>
    <col min="14871" max="14871" width="7.453125" style="27" customWidth="1"/>
    <col min="14872" max="14872" width="9" style="27"/>
    <col min="14873" max="14873" width="10.36328125" style="27" customWidth="1"/>
    <col min="14874" max="15104" width="9" style="27"/>
    <col min="15105" max="15105" width="3.6328125" style="27" customWidth="1"/>
    <col min="15106" max="15106" width="8.08984375" style="27" customWidth="1"/>
    <col min="15107" max="15107" width="7.26953125" style="27" customWidth="1"/>
    <col min="15108" max="15109" width="0" style="27" hidden="1" customWidth="1"/>
    <col min="15110" max="15113" width="9" style="27"/>
    <col min="15114" max="15114" width="62" style="27" customWidth="1"/>
    <col min="15115" max="15115" width="8.6328125" style="27" bestFit="1" customWidth="1"/>
    <col min="15116" max="15116" width="11.26953125" style="27" customWidth="1"/>
    <col min="15117" max="15117" width="14.6328125" style="27" customWidth="1"/>
    <col min="15118" max="15118" width="8.7265625" style="27" customWidth="1"/>
    <col min="15119" max="15120" width="9.7265625" style="27" customWidth="1"/>
    <col min="15121" max="15121" width="20" style="27" bestFit="1" customWidth="1"/>
    <col min="15122" max="15122" width="8" style="27" bestFit="1" customWidth="1"/>
    <col min="15123" max="15123" width="8.6328125" style="27" bestFit="1" customWidth="1"/>
    <col min="15124" max="15124" width="7.08984375" style="27" customWidth="1"/>
    <col min="15125" max="15125" width="17.453125" style="27" bestFit="1" customWidth="1"/>
    <col min="15126" max="15126" width="10.36328125" style="27" customWidth="1"/>
    <col min="15127" max="15127" width="7.453125" style="27" customWidth="1"/>
    <col min="15128" max="15128" width="9" style="27"/>
    <col min="15129" max="15129" width="10.36328125" style="27" customWidth="1"/>
    <col min="15130" max="15360" width="9" style="27"/>
    <col min="15361" max="15361" width="3.6328125" style="27" customWidth="1"/>
    <col min="15362" max="15362" width="8.08984375" style="27" customWidth="1"/>
    <col min="15363" max="15363" width="7.26953125" style="27" customWidth="1"/>
    <col min="15364" max="15365" width="0" style="27" hidden="1" customWidth="1"/>
    <col min="15366" max="15369" width="9" style="27"/>
    <col min="15370" max="15370" width="62" style="27" customWidth="1"/>
    <col min="15371" max="15371" width="8.6328125" style="27" bestFit="1" customWidth="1"/>
    <col min="15372" max="15372" width="11.26953125" style="27" customWidth="1"/>
    <col min="15373" max="15373" width="14.6328125" style="27" customWidth="1"/>
    <col min="15374" max="15374" width="8.7265625" style="27" customWidth="1"/>
    <col min="15375" max="15376" width="9.7265625" style="27" customWidth="1"/>
    <col min="15377" max="15377" width="20" style="27" bestFit="1" customWidth="1"/>
    <col min="15378" max="15378" width="8" style="27" bestFit="1" customWidth="1"/>
    <col min="15379" max="15379" width="8.6328125" style="27" bestFit="1" customWidth="1"/>
    <col min="15380" max="15380" width="7.08984375" style="27" customWidth="1"/>
    <col min="15381" max="15381" width="17.453125" style="27" bestFit="1" customWidth="1"/>
    <col min="15382" max="15382" width="10.36328125" style="27" customWidth="1"/>
    <col min="15383" max="15383" width="7.453125" style="27" customWidth="1"/>
    <col min="15384" max="15384" width="9" style="27"/>
    <col min="15385" max="15385" width="10.36328125" style="27" customWidth="1"/>
    <col min="15386" max="15616" width="9" style="27"/>
    <col min="15617" max="15617" width="3.6328125" style="27" customWidth="1"/>
    <col min="15618" max="15618" width="8.08984375" style="27" customWidth="1"/>
    <col min="15619" max="15619" width="7.26953125" style="27" customWidth="1"/>
    <col min="15620" max="15621" width="0" style="27" hidden="1" customWidth="1"/>
    <col min="15622" max="15625" width="9" style="27"/>
    <col min="15626" max="15626" width="62" style="27" customWidth="1"/>
    <col min="15627" max="15627" width="8.6328125" style="27" bestFit="1" customWidth="1"/>
    <col min="15628" max="15628" width="11.26953125" style="27" customWidth="1"/>
    <col min="15629" max="15629" width="14.6328125" style="27" customWidth="1"/>
    <col min="15630" max="15630" width="8.7265625" style="27" customWidth="1"/>
    <col min="15631" max="15632" width="9.7265625" style="27" customWidth="1"/>
    <col min="15633" max="15633" width="20" style="27" bestFit="1" customWidth="1"/>
    <col min="15634" max="15634" width="8" style="27" bestFit="1" customWidth="1"/>
    <col min="15635" max="15635" width="8.6328125" style="27" bestFit="1" customWidth="1"/>
    <col min="15636" max="15636" width="7.08984375" style="27" customWidth="1"/>
    <col min="15637" max="15637" width="17.453125" style="27" bestFit="1" customWidth="1"/>
    <col min="15638" max="15638" width="10.36328125" style="27" customWidth="1"/>
    <col min="15639" max="15639" width="7.453125" style="27" customWidth="1"/>
    <col min="15640" max="15640" width="9" style="27"/>
    <col min="15641" max="15641" width="10.36328125" style="27" customWidth="1"/>
    <col min="15642" max="15872" width="9" style="27"/>
    <col min="15873" max="15873" width="3.6328125" style="27" customWidth="1"/>
    <col min="15874" max="15874" width="8.08984375" style="27" customWidth="1"/>
    <col min="15875" max="15875" width="7.26953125" style="27" customWidth="1"/>
    <col min="15876" max="15877" width="0" style="27" hidden="1" customWidth="1"/>
    <col min="15878" max="15881" width="9" style="27"/>
    <col min="15882" max="15882" width="62" style="27" customWidth="1"/>
    <col min="15883" max="15883" width="8.6328125" style="27" bestFit="1" customWidth="1"/>
    <col min="15884" max="15884" width="11.26953125" style="27" customWidth="1"/>
    <col min="15885" max="15885" width="14.6328125" style="27" customWidth="1"/>
    <col min="15886" max="15886" width="8.7265625" style="27" customWidth="1"/>
    <col min="15887" max="15888" width="9.7265625" style="27" customWidth="1"/>
    <col min="15889" max="15889" width="20" style="27" bestFit="1" customWidth="1"/>
    <col min="15890" max="15890" width="8" style="27" bestFit="1" customWidth="1"/>
    <col min="15891" max="15891" width="8.6328125" style="27" bestFit="1" customWidth="1"/>
    <col min="15892" max="15892" width="7.08984375" style="27" customWidth="1"/>
    <col min="15893" max="15893" width="17.453125" style="27" bestFit="1" customWidth="1"/>
    <col min="15894" max="15894" width="10.36328125" style="27" customWidth="1"/>
    <col min="15895" max="15895" width="7.453125" style="27" customWidth="1"/>
    <col min="15896" max="15896" width="9" style="27"/>
    <col min="15897" max="15897" width="10.36328125" style="27" customWidth="1"/>
    <col min="15898" max="16128" width="9" style="27"/>
    <col min="16129" max="16129" width="3.6328125" style="27" customWidth="1"/>
    <col min="16130" max="16130" width="8.08984375" style="27" customWidth="1"/>
    <col min="16131" max="16131" width="7.26953125" style="27" customWidth="1"/>
    <col min="16132" max="16133" width="0" style="27" hidden="1" customWidth="1"/>
    <col min="16134" max="16137" width="9" style="27"/>
    <col min="16138" max="16138" width="62" style="27" customWidth="1"/>
    <col min="16139" max="16139" width="8.6328125" style="27" bestFit="1" customWidth="1"/>
    <col min="16140" max="16140" width="11.26953125" style="27" customWidth="1"/>
    <col min="16141" max="16141" width="14.6328125" style="27" customWidth="1"/>
    <col min="16142" max="16142" width="8.7265625" style="27" customWidth="1"/>
    <col min="16143" max="16144" width="9.7265625" style="27" customWidth="1"/>
    <col min="16145" max="16145" width="20" style="27" bestFit="1" customWidth="1"/>
    <col min="16146" max="16146" width="8" style="27" bestFit="1" customWidth="1"/>
    <col min="16147" max="16147" width="8.6328125" style="27" bestFit="1" customWidth="1"/>
    <col min="16148" max="16148" width="7.08984375" style="27" customWidth="1"/>
    <col min="16149" max="16149" width="17.453125" style="27" bestFit="1" customWidth="1"/>
    <col min="16150" max="16150" width="10.36328125" style="27" customWidth="1"/>
    <col min="16151" max="16151" width="7.453125" style="27" customWidth="1"/>
    <col min="16152" max="16152" width="9" style="27"/>
    <col min="16153" max="16153" width="10.36328125" style="27" customWidth="1"/>
    <col min="16154" max="16384" width="9" style="27"/>
  </cols>
  <sheetData>
    <row r="1" spans="1:10">
      <c r="A1" s="28" t="s">
        <v>145</v>
      </c>
    </row>
    <row r="2" spans="1:10" s="52" customFormat="1" ht="24" customHeight="1" thickBot="1">
      <c r="A2" s="96"/>
      <c r="B2" s="468" t="s">
        <v>264</v>
      </c>
      <c r="C2" s="468"/>
      <c r="D2" s="468"/>
      <c r="E2" s="468"/>
      <c r="F2" s="468"/>
      <c r="G2" s="468"/>
      <c r="H2" s="468"/>
      <c r="I2" s="468"/>
      <c r="J2" s="468"/>
    </row>
    <row r="3" spans="1:10" ht="14.25" customHeight="1" thickTop="1" thickBot="1">
      <c r="B3" s="33" t="s">
        <v>147</v>
      </c>
      <c r="C3" s="33" t="s">
        <v>148</v>
      </c>
      <c r="D3" s="33"/>
      <c r="E3" s="34"/>
      <c r="F3" s="29"/>
      <c r="G3" s="29"/>
      <c r="H3" s="29"/>
      <c r="I3" s="29"/>
      <c r="J3" s="29"/>
    </row>
    <row r="4" spans="1:10" ht="14.25" customHeight="1">
      <c r="B4" s="462" t="s">
        <v>265</v>
      </c>
      <c r="C4" s="97" t="s">
        <v>266</v>
      </c>
      <c r="D4" s="97" t="s">
        <v>267</v>
      </c>
      <c r="E4" s="97"/>
      <c r="F4" s="97"/>
      <c r="G4" s="97"/>
      <c r="H4" s="97"/>
      <c r="I4" s="97"/>
      <c r="J4" s="98"/>
    </row>
    <row r="5" spans="1:10" ht="14.25" customHeight="1" thickBot="1">
      <c r="B5" s="463"/>
      <c r="C5" s="464"/>
      <c r="D5" s="465"/>
      <c r="E5" s="466"/>
      <c r="F5" s="466"/>
      <c r="G5" s="466"/>
      <c r="H5" s="466"/>
      <c r="I5" s="466"/>
      <c r="J5" s="467"/>
    </row>
    <row r="6" spans="1:10" ht="14.25" customHeight="1">
      <c r="B6" s="102"/>
      <c r="D6" s="44"/>
      <c r="E6" s="44"/>
      <c r="F6" s="44"/>
      <c r="G6" s="44"/>
      <c r="H6" s="44"/>
      <c r="I6" s="44"/>
      <c r="J6" s="41"/>
    </row>
    <row r="7" spans="1:10" ht="14.25" customHeight="1">
      <c r="B7" s="211" t="s">
        <v>268</v>
      </c>
      <c r="C7" s="44"/>
      <c r="D7" s="212"/>
      <c r="E7" s="213"/>
      <c r="F7" s="213"/>
      <c r="G7" s="212"/>
      <c r="H7" s="212"/>
      <c r="I7" s="212"/>
      <c r="J7" s="41"/>
    </row>
    <row r="8" spans="1:10" ht="14.25" customHeight="1">
      <c r="B8" s="214"/>
      <c r="C8" s="105"/>
      <c r="D8" s="38" t="s">
        <v>269</v>
      </c>
      <c r="E8" s="38"/>
      <c r="F8" s="38"/>
      <c r="G8" s="38"/>
      <c r="H8" s="38"/>
      <c r="I8" s="38"/>
      <c r="J8" s="215" t="s">
        <v>270</v>
      </c>
    </row>
    <row r="9" spans="1:10" ht="14.25" customHeight="1">
      <c r="B9" s="102"/>
      <c r="D9" s="44"/>
      <c r="E9" s="44"/>
      <c r="F9" s="44"/>
      <c r="G9" s="44"/>
      <c r="H9" s="44"/>
      <c r="I9" s="44"/>
      <c r="J9" s="41"/>
    </row>
    <row r="10" spans="1:10" ht="14.25" customHeight="1">
      <c r="B10" s="102"/>
      <c r="D10" s="44"/>
      <c r="E10" s="44"/>
      <c r="F10" s="44"/>
      <c r="G10" s="44"/>
      <c r="H10" s="44"/>
      <c r="I10" s="44"/>
      <c r="J10" s="41"/>
    </row>
    <row r="11" spans="1:10" ht="14.25" customHeight="1">
      <c r="B11" s="102"/>
      <c r="D11" s="44"/>
      <c r="E11" s="44"/>
      <c r="F11" s="44"/>
      <c r="G11" s="44"/>
      <c r="H11" s="44"/>
      <c r="I11" s="44"/>
      <c r="J11" s="41"/>
    </row>
    <row r="12" spans="1:10" ht="14.25" customHeight="1">
      <c r="B12" s="102"/>
      <c r="D12" s="44"/>
      <c r="E12" s="44"/>
      <c r="F12" s="44"/>
      <c r="G12" s="44"/>
      <c r="H12" s="44"/>
      <c r="I12" s="44"/>
      <c r="J12" s="41"/>
    </row>
    <row r="13" spans="1:10" ht="14.25" customHeight="1">
      <c r="B13" s="102"/>
      <c r="D13" s="44"/>
      <c r="E13" s="44"/>
      <c r="F13" s="44"/>
      <c r="G13" s="44"/>
      <c r="H13" s="44"/>
      <c r="I13" s="44"/>
      <c r="J13" s="41"/>
    </row>
    <row r="14" spans="1:10" ht="14.25" customHeight="1">
      <c r="B14" s="102"/>
      <c r="D14" s="44"/>
      <c r="E14" s="44"/>
      <c r="F14" s="44"/>
      <c r="G14" s="44"/>
      <c r="H14" s="44"/>
      <c r="I14" s="44"/>
      <c r="J14" s="41"/>
    </row>
    <row r="15" spans="1:10" ht="14.25" customHeight="1">
      <c r="B15" s="102"/>
      <c r="D15" s="44"/>
      <c r="E15" s="44"/>
      <c r="F15" s="44"/>
      <c r="G15" s="44"/>
      <c r="H15" s="44"/>
      <c r="I15" s="44"/>
      <c r="J15" s="41"/>
    </row>
    <row r="16" spans="1:10" ht="14.25" customHeight="1">
      <c r="B16" s="102"/>
      <c r="D16" s="44"/>
      <c r="E16" s="44"/>
      <c r="F16" s="44"/>
      <c r="G16" s="44"/>
      <c r="H16" s="44"/>
      <c r="I16" s="44"/>
      <c r="J16" s="41"/>
    </row>
    <row r="17" spans="2:10" ht="14.25" customHeight="1">
      <c r="B17" s="102"/>
      <c r="D17" s="44"/>
      <c r="E17" s="44"/>
      <c r="F17" s="44"/>
      <c r="G17" s="44"/>
      <c r="H17" s="44"/>
      <c r="I17" s="44"/>
      <c r="J17" s="41"/>
    </row>
    <row r="18" spans="2:10" ht="14.25" customHeight="1">
      <c r="B18" s="37"/>
      <c r="C18" s="38"/>
      <c r="D18" s="38"/>
      <c r="E18" s="38"/>
      <c r="F18" s="38"/>
      <c r="G18" s="38"/>
      <c r="H18" s="38"/>
      <c r="I18" s="38"/>
      <c r="J18" s="39"/>
    </row>
    <row r="19" spans="2:10" ht="14.25" customHeight="1">
      <c r="B19" s="216" t="s">
        <v>271</v>
      </c>
      <c r="C19" s="44" t="s">
        <v>272</v>
      </c>
      <c r="D19" s="45" t="s">
        <v>273</v>
      </c>
      <c r="E19" s="44"/>
      <c r="F19" s="44"/>
      <c r="G19" s="44"/>
      <c r="H19" s="44"/>
      <c r="I19" s="44"/>
      <c r="J19" s="41"/>
    </row>
    <row r="20" spans="2:10" ht="14.25" customHeight="1">
      <c r="B20" s="103"/>
      <c r="C20" s="104"/>
      <c r="D20" s="44"/>
      <c r="E20" s="44"/>
      <c r="F20" s="44"/>
      <c r="G20" s="44"/>
      <c r="H20" s="44"/>
      <c r="I20" s="44"/>
      <c r="J20" s="41"/>
    </row>
    <row r="21" spans="2:10" ht="14.25" customHeight="1">
      <c r="B21" s="102"/>
      <c r="D21" s="44"/>
      <c r="E21" s="44"/>
      <c r="F21" s="44"/>
      <c r="G21" s="44"/>
      <c r="H21" s="44"/>
      <c r="I21" s="44"/>
      <c r="J21" s="41"/>
    </row>
    <row r="22" spans="2:10" ht="14.25" customHeight="1">
      <c r="B22" s="102"/>
      <c r="D22" s="44"/>
      <c r="E22" s="44"/>
      <c r="F22" s="44"/>
      <c r="G22" s="44"/>
      <c r="H22" s="44"/>
      <c r="I22" s="44"/>
      <c r="J22" s="41"/>
    </row>
    <row r="23" spans="2:10" ht="14.25" customHeight="1">
      <c r="B23" s="102"/>
      <c r="D23" s="44"/>
      <c r="E23" s="44"/>
      <c r="F23" s="44"/>
      <c r="G23" s="44"/>
      <c r="H23" s="44"/>
      <c r="I23" s="44"/>
      <c r="J23" s="41"/>
    </row>
    <row r="24" spans="2:10" ht="14.25" customHeight="1">
      <c r="B24" s="102"/>
      <c r="D24" s="44"/>
      <c r="E24" s="44"/>
      <c r="F24" s="44"/>
      <c r="G24" s="44"/>
      <c r="H24" s="44"/>
      <c r="I24" s="44"/>
      <c r="J24" s="41"/>
    </row>
    <row r="25" spans="2:10" ht="14.25" customHeight="1">
      <c r="B25" s="102"/>
      <c r="D25" s="44"/>
      <c r="E25" s="44"/>
      <c r="F25" s="44"/>
      <c r="G25" s="44"/>
      <c r="H25" s="44"/>
      <c r="I25" s="44"/>
      <c r="J25" s="41"/>
    </row>
    <row r="26" spans="2:10" ht="14.25" customHeight="1">
      <c r="B26" s="102"/>
      <c r="D26" s="44"/>
      <c r="E26" s="44"/>
      <c r="F26" s="44"/>
      <c r="G26" s="44"/>
      <c r="H26" s="44"/>
      <c r="I26" s="44"/>
      <c r="J26" s="41"/>
    </row>
    <row r="27" spans="2:10" ht="14.25" customHeight="1">
      <c r="B27" s="102"/>
      <c r="D27" s="44"/>
      <c r="E27" s="44"/>
      <c r="F27" s="44"/>
      <c r="G27" s="44"/>
      <c r="H27" s="44"/>
      <c r="I27" s="44"/>
      <c r="J27" s="41"/>
    </row>
    <row r="28" spans="2:10" ht="14.25" customHeight="1">
      <c r="B28" s="102"/>
      <c r="D28" s="44"/>
      <c r="E28" s="44"/>
      <c r="F28" s="44"/>
      <c r="G28" s="44"/>
      <c r="H28" s="44"/>
      <c r="I28" s="44"/>
      <c r="J28" s="41"/>
    </row>
    <row r="29" spans="2:10" ht="14.25" customHeight="1">
      <c r="B29" s="102"/>
      <c r="D29" s="44"/>
      <c r="E29" s="44"/>
      <c r="F29" s="44"/>
      <c r="G29" s="44"/>
      <c r="H29" s="44"/>
      <c r="I29" s="44"/>
      <c r="J29" s="41"/>
    </row>
    <row r="30" spans="2:10" ht="14.25" customHeight="1">
      <c r="B30" s="102"/>
      <c r="D30" s="44"/>
      <c r="E30" s="44"/>
      <c r="F30" s="44"/>
      <c r="G30" s="44"/>
      <c r="H30" s="44"/>
      <c r="I30" s="44"/>
      <c r="J30" s="41"/>
    </row>
    <row r="31" spans="2:10" ht="14.25" customHeight="1">
      <c r="B31" s="102"/>
      <c r="D31" s="44"/>
      <c r="E31" s="44"/>
      <c r="F31" s="44"/>
      <c r="G31" s="44"/>
      <c r="H31" s="44"/>
      <c r="I31" s="44"/>
      <c r="J31" s="41"/>
    </row>
    <row r="32" spans="2:10" ht="14.25" customHeight="1">
      <c r="B32" s="102"/>
      <c r="D32" s="44"/>
      <c r="E32" s="44"/>
      <c r="F32" s="44"/>
      <c r="G32" s="44"/>
      <c r="H32" s="44"/>
      <c r="I32" s="44"/>
      <c r="J32" s="41"/>
    </row>
    <row r="33" spans="2:10" ht="14.25" customHeight="1">
      <c r="B33" s="216" t="s">
        <v>274</v>
      </c>
      <c r="C33" s="44" t="s">
        <v>275</v>
      </c>
      <c r="D33" s="45" t="s">
        <v>275</v>
      </c>
      <c r="E33" s="44"/>
      <c r="F33" s="44"/>
      <c r="G33" s="44"/>
      <c r="H33" s="44"/>
      <c r="I33" s="44"/>
      <c r="J33" s="41"/>
    </row>
    <row r="34" spans="2:10" ht="14.25" customHeight="1">
      <c r="B34" s="102"/>
      <c r="D34" s="44"/>
      <c r="E34" s="44"/>
      <c r="F34" s="44"/>
      <c r="G34" s="44"/>
      <c r="H34" s="44"/>
      <c r="I34" s="44"/>
      <c r="J34" s="41"/>
    </row>
    <row r="35" spans="2:10" ht="14.25" customHeight="1">
      <c r="B35" s="102"/>
      <c r="D35" s="44"/>
      <c r="E35" s="44"/>
      <c r="F35" s="44"/>
      <c r="G35" s="44"/>
      <c r="H35" s="44"/>
      <c r="I35" s="44"/>
      <c r="J35" s="41"/>
    </row>
    <row r="36" spans="2:10" ht="14.25" customHeight="1">
      <c r="B36" s="102"/>
      <c r="D36" s="44"/>
      <c r="E36" s="44"/>
      <c r="F36" s="44"/>
      <c r="G36" s="44"/>
      <c r="H36" s="44"/>
      <c r="I36" s="44"/>
      <c r="J36" s="41"/>
    </row>
    <row r="37" spans="2:10" ht="14.25" customHeight="1">
      <c r="B37" s="102"/>
      <c r="D37" s="44"/>
      <c r="E37" s="44"/>
      <c r="F37" s="44"/>
      <c r="G37" s="44"/>
      <c r="H37" s="44"/>
      <c r="I37" s="44"/>
      <c r="J37" s="41"/>
    </row>
    <row r="38" spans="2:10" ht="14.25" customHeight="1">
      <c r="B38" s="102"/>
      <c r="D38" s="44"/>
      <c r="E38" s="44"/>
      <c r="F38" s="44"/>
      <c r="G38" s="44"/>
      <c r="H38" s="44"/>
      <c r="I38" s="44"/>
      <c r="J38" s="41"/>
    </row>
    <row r="39" spans="2:10" ht="14.25" customHeight="1">
      <c r="B39" s="102"/>
      <c r="D39" s="44"/>
      <c r="E39" s="44"/>
      <c r="F39" s="44"/>
      <c r="G39" s="44"/>
      <c r="H39" s="44"/>
      <c r="I39" s="44"/>
      <c r="J39" s="41"/>
    </row>
    <row r="40" spans="2:10" ht="14.25" customHeight="1">
      <c r="B40" s="102"/>
      <c r="D40" s="44"/>
      <c r="E40" s="44"/>
      <c r="F40" s="44"/>
      <c r="G40" s="44"/>
      <c r="H40" s="44"/>
      <c r="I40" s="44"/>
      <c r="J40" s="41"/>
    </row>
    <row r="41" spans="2:10" ht="14.25" customHeight="1">
      <c r="B41" s="102"/>
      <c r="D41" s="44"/>
      <c r="E41" s="44"/>
      <c r="F41" s="44"/>
      <c r="G41" s="44"/>
      <c r="H41" s="44"/>
      <c r="I41" s="44"/>
      <c r="J41" s="41"/>
    </row>
    <row r="42" spans="2:10" ht="14.25" customHeight="1">
      <c r="B42" s="102"/>
      <c r="D42" s="44"/>
      <c r="E42" s="44"/>
      <c r="F42" s="44"/>
      <c r="G42" s="44"/>
      <c r="H42" s="44"/>
      <c r="I42" s="44"/>
      <c r="J42" s="41"/>
    </row>
    <row r="43" spans="2:10" ht="14.25" customHeight="1">
      <c r="B43" s="102"/>
      <c r="D43" s="44"/>
      <c r="E43" s="44"/>
      <c r="F43" s="44"/>
      <c r="G43" s="44"/>
      <c r="H43" s="44"/>
      <c r="I43" s="44"/>
      <c r="J43" s="41"/>
    </row>
    <row r="44" spans="2:10" ht="14.25" customHeight="1">
      <c r="B44" s="99"/>
      <c r="C44" s="217"/>
      <c r="D44" s="100"/>
      <c r="E44" s="38"/>
      <c r="F44" s="38"/>
      <c r="G44" s="38"/>
      <c r="H44" s="38"/>
      <c r="I44" s="38"/>
      <c r="J44" s="39"/>
    </row>
    <row r="45" spans="2:10" ht="14.25" customHeight="1" thickBot="1">
      <c r="B45" s="117"/>
      <c r="C45" s="118"/>
      <c r="D45" s="49"/>
      <c r="E45" s="49"/>
      <c r="F45" s="49"/>
      <c r="G45" s="49"/>
      <c r="H45" s="49"/>
      <c r="I45" s="49"/>
      <c r="J45" s="50"/>
    </row>
    <row r="46" spans="2:10" ht="14.25" customHeight="1">
      <c r="B46" s="462" t="s">
        <v>276</v>
      </c>
      <c r="C46" s="97" t="s">
        <v>267</v>
      </c>
      <c r="D46" s="97" t="s">
        <v>267</v>
      </c>
      <c r="E46" s="97"/>
      <c r="F46" s="97"/>
      <c r="G46" s="97"/>
      <c r="H46" s="97"/>
      <c r="I46" s="97"/>
      <c r="J46" s="98"/>
    </row>
    <row r="47" spans="2:10" ht="14.25" customHeight="1" thickBot="1">
      <c r="B47" s="463"/>
      <c r="C47" s="464"/>
      <c r="D47" s="465"/>
      <c r="E47" s="466"/>
      <c r="F47" s="466"/>
      <c r="G47" s="466"/>
      <c r="H47" s="466"/>
      <c r="I47" s="466"/>
      <c r="J47" s="467"/>
    </row>
    <row r="48" spans="2:10" ht="17.25" customHeight="1">
      <c r="B48" s="218"/>
      <c r="C48" s="219" t="s">
        <v>277</v>
      </c>
      <c r="D48" s="219"/>
      <c r="E48" s="219"/>
      <c r="F48" s="219"/>
      <c r="G48" s="219"/>
      <c r="H48" s="219"/>
      <c r="I48" s="219"/>
      <c r="J48" s="220"/>
    </row>
    <row r="49" spans="2:10" ht="17.25" customHeight="1">
      <c r="B49" s="221"/>
      <c r="C49" s="46" t="s">
        <v>278</v>
      </c>
      <c r="D49" s="45"/>
      <c r="E49" s="45"/>
      <c r="F49" s="45"/>
      <c r="G49" s="45"/>
      <c r="H49" s="45"/>
      <c r="I49" s="45"/>
      <c r="J49" s="222"/>
    </row>
    <row r="50" spans="2:10" ht="17.25" customHeight="1">
      <c r="B50" s="223"/>
      <c r="C50" s="153"/>
      <c r="D50" s="45"/>
      <c r="E50" s="45"/>
      <c r="F50" s="45"/>
      <c r="G50" s="45"/>
      <c r="H50" s="45"/>
      <c r="I50" s="45"/>
      <c r="J50" s="222"/>
    </row>
    <row r="51" spans="2:10" ht="17.25" customHeight="1">
      <c r="B51" s="223"/>
      <c r="C51" s="153"/>
      <c r="D51" s="45"/>
      <c r="E51" s="45"/>
      <c r="F51" s="45"/>
      <c r="G51" s="45"/>
      <c r="H51" s="45"/>
      <c r="I51" s="45"/>
      <c r="J51" s="222"/>
    </row>
    <row r="52" spans="2:10" ht="17.25" customHeight="1">
      <c r="B52" s="223"/>
      <c r="C52" s="153"/>
      <c r="D52" s="45"/>
      <c r="E52" s="45"/>
      <c r="F52" s="45"/>
      <c r="G52" s="45"/>
      <c r="H52" s="45"/>
      <c r="I52" s="45"/>
      <c r="J52" s="222"/>
    </row>
    <row r="53" spans="2:10" ht="17.25" customHeight="1">
      <c r="B53" s="223"/>
      <c r="C53" s="153"/>
      <c r="D53" s="45"/>
      <c r="E53" s="45"/>
      <c r="F53" s="45"/>
      <c r="G53" s="45"/>
      <c r="H53" s="45"/>
      <c r="I53" s="45"/>
      <c r="J53" s="222"/>
    </row>
    <row r="54" spans="2:10" ht="17.25" customHeight="1">
      <c r="B54" s="223"/>
      <c r="C54" s="153"/>
      <c r="D54" s="45"/>
      <c r="E54" s="45"/>
      <c r="F54" s="45"/>
      <c r="G54" s="45"/>
      <c r="H54" s="45"/>
      <c r="I54" s="45"/>
      <c r="J54" s="222"/>
    </row>
    <row r="55" spans="2:10" ht="17.25" customHeight="1">
      <c r="B55" s="221"/>
      <c r="C55" s="153"/>
      <c r="D55" s="45"/>
      <c r="E55" s="45"/>
      <c r="F55" s="45"/>
      <c r="G55" s="45"/>
      <c r="H55" s="45"/>
      <c r="I55" s="45"/>
      <c r="J55" s="222"/>
    </row>
    <row r="56" spans="2:10" ht="17.25" customHeight="1">
      <c r="B56" s="221"/>
      <c r="D56" s="44"/>
      <c r="E56" s="44"/>
      <c r="F56" s="44"/>
      <c r="G56" s="44"/>
      <c r="H56" s="44"/>
      <c r="I56" s="44"/>
      <c r="J56" s="41"/>
    </row>
    <row r="57" spans="2:10" ht="17.25" customHeight="1">
      <c r="B57" s="103"/>
      <c r="C57" s="104"/>
      <c r="D57" s="44"/>
      <c r="E57" s="44"/>
      <c r="F57" s="44"/>
      <c r="G57" s="44"/>
      <c r="H57" s="44"/>
      <c r="I57" s="44"/>
      <c r="J57" s="41"/>
    </row>
    <row r="58" spans="2:10" ht="17.25" customHeight="1">
      <c r="B58" s="102"/>
      <c r="D58" s="44"/>
      <c r="E58" s="44"/>
      <c r="F58" s="44"/>
      <c r="G58" s="44"/>
      <c r="H58" s="44"/>
      <c r="I58" s="44"/>
      <c r="J58" s="41"/>
    </row>
    <row r="59" spans="2:10" ht="17.25" customHeight="1">
      <c r="B59" s="102"/>
      <c r="D59" s="44"/>
      <c r="E59" s="44"/>
      <c r="F59" s="44"/>
      <c r="G59" s="44"/>
      <c r="H59" s="44"/>
      <c r="I59" s="44"/>
      <c r="J59" s="41"/>
    </row>
    <row r="60" spans="2:10" ht="17.25" customHeight="1">
      <c r="B60" s="102"/>
      <c r="D60" s="44"/>
      <c r="E60" s="44"/>
      <c r="F60" s="44"/>
      <c r="G60" s="44"/>
      <c r="H60" s="44"/>
      <c r="I60" s="44"/>
      <c r="J60" s="41"/>
    </row>
    <row r="61" spans="2:10" ht="17.25" customHeight="1">
      <c r="B61" s="102"/>
      <c r="D61" s="44"/>
      <c r="E61" s="44"/>
      <c r="F61" s="44"/>
      <c r="G61" s="44"/>
      <c r="H61" s="44"/>
      <c r="I61" s="44"/>
      <c r="J61" s="41"/>
    </row>
    <row r="62" spans="2:10" ht="17.25" customHeight="1" thickBot="1">
      <c r="B62" s="109"/>
      <c r="C62" s="110"/>
      <c r="D62" s="111"/>
      <c r="E62" s="111"/>
      <c r="F62" s="111"/>
      <c r="G62" s="111"/>
      <c r="H62" s="111"/>
      <c r="I62" s="111"/>
      <c r="J62" s="112"/>
    </row>
    <row r="63" spans="2:10" ht="14.25" customHeight="1">
      <c r="B63" s="462" t="s">
        <v>279</v>
      </c>
      <c r="C63" s="97" t="s">
        <v>280</v>
      </c>
      <c r="D63" s="97" t="s">
        <v>281</v>
      </c>
      <c r="E63" s="97"/>
      <c r="F63" s="97"/>
      <c r="G63" s="97"/>
      <c r="H63" s="97"/>
      <c r="I63" s="97"/>
      <c r="J63" s="98"/>
    </row>
    <row r="64" spans="2:10" ht="14.25" customHeight="1" thickBot="1">
      <c r="B64" s="463"/>
      <c r="C64" s="464"/>
      <c r="D64" s="465"/>
      <c r="E64" s="466"/>
      <c r="F64" s="466"/>
      <c r="G64" s="466"/>
      <c r="H64" s="466"/>
      <c r="I64" s="466"/>
      <c r="J64" s="467"/>
    </row>
    <row r="65" spans="2:10" ht="17.25" customHeight="1">
      <c r="B65" s="218"/>
      <c r="C65" s="219" t="s">
        <v>277</v>
      </c>
      <c r="D65" s="219"/>
      <c r="E65" s="219"/>
      <c r="F65" s="219"/>
      <c r="G65" s="219"/>
      <c r="H65" s="219"/>
      <c r="I65" s="219"/>
      <c r="J65" s="220"/>
    </row>
    <row r="66" spans="2:10" ht="17.25" customHeight="1">
      <c r="B66" s="221"/>
      <c r="C66" s="46" t="s">
        <v>282</v>
      </c>
      <c r="D66" s="45"/>
      <c r="E66" s="45"/>
      <c r="F66" s="45"/>
      <c r="G66" s="45"/>
      <c r="H66" s="45"/>
      <c r="I66" s="45"/>
      <c r="J66" s="222"/>
    </row>
    <row r="67" spans="2:10" ht="17.25" customHeight="1">
      <c r="B67" s="221"/>
      <c r="C67" s="46"/>
      <c r="D67" s="45"/>
      <c r="E67" s="45"/>
      <c r="F67" s="45"/>
      <c r="G67" s="45"/>
      <c r="H67" s="45"/>
      <c r="I67" s="45"/>
      <c r="J67" s="222"/>
    </row>
    <row r="68" spans="2:10" ht="17.25" customHeight="1">
      <c r="B68" s="102"/>
      <c r="D68" s="44"/>
      <c r="E68" s="44"/>
      <c r="F68" s="44"/>
      <c r="G68" s="44"/>
      <c r="H68" s="44"/>
      <c r="I68" s="44"/>
      <c r="J68" s="41"/>
    </row>
    <row r="69" spans="2:10" ht="17.25" customHeight="1">
      <c r="B69" s="103"/>
      <c r="C69" s="104"/>
      <c r="D69" s="44"/>
      <c r="E69" s="44"/>
      <c r="F69" s="44"/>
      <c r="G69" s="44"/>
      <c r="H69" s="44"/>
      <c r="I69" s="44"/>
      <c r="J69" s="41"/>
    </row>
    <row r="70" spans="2:10" ht="17.25" customHeight="1">
      <c r="B70" s="102"/>
      <c r="D70" s="44"/>
      <c r="E70" s="44"/>
      <c r="F70" s="44"/>
      <c r="G70" s="44"/>
      <c r="H70" s="44"/>
      <c r="I70" s="44"/>
      <c r="J70" s="41"/>
    </row>
    <row r="71" spans="2:10" ht="17.25" customHeight="1">
      <c r="B71" s="102"/>
      <c r="D71" s="44"/>
      <c r="E71" s="44"/>
      <c r="F71" s="44"/>
      <c r="G71" s="44"/>
      <c r="H71" s="44"/>
      <c r="I71" s="44"/>
      <c r="J71" s="41"/>
    </row>
    <row r="72" spans="2:10" ht="17.25" customHeight="1">
      <c r="B72" s="221"/>
      <c r="D72" s="44"/>
      <c r="E72" s="44"/>
      <c r="F72" s="44"/>
      <c r="G72" s="44"/>
      <c r="H72" s="44"/>
      <c r="I72" s="44"/>
      <c r="J72" s="41"/>
    </row>
    <row r="73" spans="2:10" ht="17.25" customHeight="1">
      <c r="B73" s="102"/>
      <c r="D73" s="44"/>
      <c r="E73" s="44"/>
      <c r="F73" s="44"/>
      <c r="G73" s="44"/>
      <c r="H73" s="44"/>
      <c r="I73" s="44"/>
      <c r="J73" s="41"/>
    </row>
    <row r="74" spans="2:10" ht="17.25" customHeight="1">
      <c r="B74" s="102"/>
      <c r="D74" s="44"/>
      <c r="E74" s="44"/>
      <c r="F74" s="44"/>
      <c r="G74" s="44"/>
      <c r="H74" s="44"/>
      <c r="I74" s="44"/>
      <c r="J74" s="41"/>
    </row>
    <row r="75" spans="2:10" ht="17.25" customHeight="1">
      <c r="B75" s="102"/>
      <c r="D75" s="44"/>
      <c r="E75" s="44"/>
      <c r="F75" s="44"/>
      <c r="G75" s="44"/>
      <c r="H75" s="44"/>
      <c r="I75" s="44"/>
      <c r="J75" s="41"/>
    </row>
    <row r="76" spans="2:10" ht="17.25" customHeight="1">
      <c r="B76" s="102"/>
      <c r="D76" s="44"/>
      <c r="E76" s="44"/>
      <c r="F76" s="44"/>
      <c r="G76" s="44"/>
      <c r="H76" s="44"/>
      <c r="I76" s="44"/>
      <c r="J76" s="41"/>
    </row>
    <row r="77" spans="2:10" ht="17.25" customHeight="1">
      <c r="B77" s="102"/>
      <c r="D77" s="44"/>
      <c r="E77" s="44"/>
      <c r="F77" s="44"/>
      <c r="G77" s="44"/>
      <c r="H77" s="44"/>
      <c r="I77" s="44"/>
      <c r="J77" s="41"/>
    </row>
    <row r="78" spans="2:10" ht="17.25" customHeight="1" thickBot="1">
      <c r="B78" s="109"/>
      <c r="C78" s="110"/>
      <c r="D78" s="111"/>
      <c r="E78" s="111"/>
      <c r="F78" s="111"/>
      <c r="G78" s="111"/>
      <c r="H78" s="111"/>
      <c r="I78" s="111"/>
      <c r="J78" s="112"/>
    </row>
    <row r="79" spans="2:10" ht="14.25" customHeight="1">
      <c r="B79" s="462" t="s">
        <v>283</v>
      </c>
      <c r="C79" s="97" t="s">
        <v>284</v>
      </c>
      <c r="D79" s="97" t="s">
        <v>285</v>
      </c>
      <c r="E79" s="97"/>
      <c r="F79" s="97"/>
      <c r="G79" s="97"/>
      <c r="H79" s="97"/>
      <c r="I79" s="97"/>
      <c r="J79" s="98"/>
    </row>
    <row r="80" spans="2:10" ht="14.25" customHeight="1" thickBot="1">
      <c r="B80" s="463"/>
      <c r="C80" s="464"/>
      <c r="D80" s="465"/>
      <c r="E80" s="466"/>
      <c r="F80" s="466"/>
      <c r="G80" s="466"/>
      <c r="H80" s="466"/>
      <c r="I80" s="466"/>
      <c r="J80" s="467"/>
    </row>
    <row r="81" spans="2:10" ht="17.25" customHeight="1">
      <c r="B81" s="37"/>
      <c r="C81" s="219" t="s">
        <v>286</v>
      </c>
      <c r="D81" s="45"/>
      <c r="E81" s="45"/>
      <c r="F81" s="45"/>
      <c r="G81" s="45"/>
      <c r="H81" s="45"/>
      <c r="I81" s="45"/>
      <c r="J81" s="222"/>
    </row>
    <row r="82" spans="2:10" ht="17.25" customHeight="1">
      <c r="B82" s="43"/>
      <c r="C82" s="153"/>
      <c r="D82" s="45"/>
      <c r="E82" s="45"/>
      <c r="F82" s="45"/>
      <c r="G82" s="45"/>
      <c r="H82" s="45"/>
      <c r="I82" s="45"/>
      <c r="J82" s="222"/>
    </row>
    <row r="83" spans="2:10" ht="17.25" customHeight="1">
      <c r="B83" s="43"/>
      <c r="C83" s="153"/>
      <c r="D83" s="45"/>
      <c r="E83" s="45"/>
      <c r="F83" s="45"/>
      <c r="G83" s="45"/>
      <c r="H83" s="45"/>
      <c r="I83" s="45"/>
      <c r="J83" s="222"/>
    </row>
    <row r="84" spans="2:10" ht="17.25" customHeight="1">
      <c r="B84" s="43"/>
      <c r="C84" s="153"/>
      <c r="D84" s="45"/>
      <c r="E84" s="45"/>
      <c r="F84" s="45"/>
      <c r="G84" s="45"/>
      <c r="H84" s="45"/>
      <c r="I84" s="45"/>
      <c r="J84" s="222"/>
    </row>
    <row r="85" spans="2:10" ht="17.25" customHeight="1">
      <c r="B85" s="43"/>
      <c r="C85" s="153"/>
      <c r="D85" s="45"/>
      <c r="E85" s="45"/>
      <c r="F85" s="45"/>
      <c r="G85" s="45"/>
      <c r="H85" s="45"/>
      <c r="I85" s="45"/>
      <c r="J85" s="222"/>
    </row>
    <row r="86" spans="2:10" ht="17.25" customHeight="1">
      <c r="B86" s="43"/>
      <c r="C86" s="153"/>
      <c r="D86" s="45"/>
      <c r="E86" s="45"/>
      <c r="F86" s="45"/>
      <c r="G86" s="45"/>
      <c r="H86" s="45"/>
      <c r="I86" s="45"/>
      <c r="J86" s="222"/>
    </row>
    <row r="87" spans="2:10" ht="17.25" customHeight="1">
      <c r="B87" s="43"/>
      <c r="C87" s="153"/>
      <c r="D87" s="45"/>
      <c r="E87" s="45"/>
      <c r="F87" s="45"/>
      <c r="G87" s="45"/>
      <c r="H87" s="45"/>
      <c r="I87" s="45"/>
      <c r="J87" s="222"/>
    </row>
    <row r="88" spans="2:10" ht="17.25" customHeight="1">
      <c r="B88" s="43"/>
      <c r="C88" s="153"/>
      <c r="D88" s="45"/>
      <c r="E88" s="45"/>
      <c r="F88" s="45"/>
      <c r="G88" s="45"/>
      <c r="H88" s="45"/>
      <c r="I88" s="45"/>
      <c r="J88" s="222"/>
    </row>
    <row r="89" spans="2:10" ht="17.25" customHeight="1">
      <c r="B89" s="221"/>
      <c r="D89" s="44"/>
      <c r="E89" s="44"/>
      <c r="F89" s="44"/>
      <c r="G89" s="44"/>
      <c r="H89" s="44"/>
      <c r="I89" s="44"/>
      <c r="J89" s="41"/>
    </row>
    <row r="90" spans="2:10" ht="17.25" customHeight="1">
      <c r="B90" s="224"/>
      <c r="D90" s="44"/>
      <c r="E90" s="44"/>
      <c r="F90" s="44"/>
      <c r="G90" s="44"/>
      <c r="H90" s="44"/>
      <c r="I90" s="44"/>
      <c r="J90" s="41"/>
    </row>
    <row r="91" spans="2:10" ht="17.25" customHeight="1">
      <c r="B91" s="224"/>
      <c r="D91" s="44"/>
      <c r="E91" s="44"/>
      <c r="F91" s="44"/>
      <c r="G91" s="44"/>
      <c r="H91" s="44"/>
      <c r="I91" s="44"/>
      <c r="J91" s="41"/>
    </row>
    <row r="92" spans="2:10" ht="17.25" customHeight="1">
      <c r="B92" s="224"/>
      <c r="D92" s="44"/>
      <c r="E92" s="44"/>
      <c r="F92" s="44"/>
      <c r="G92" s="44"/>
      <c r="H92" s="44"/>
      <c r="I92" s="44"/>
      <c r="J92" s="41"/>
    </row>
    <row r="93" spans="2:10" ht="17.25" customHeight="1">
      <c r="B93" s="102"/>
      <c r="D93" s="44"/>
      <c r="E93" s="44"/>
      <c r="F93" s="44"/>
      <c r="G93" s="44"/>
      <c r="H93" s="44"/>
      <c r="I93" s="44"/>
      <c r="J93" s="41"/>
    </row>
    <row r="94" spans="2:10" ht="17.25" customHeight="1">
      <c r="B94" s="103"/>
      <c r="C94" s="104"/>
      <c r="D94" s="44"/>
      <c r="E94" s="44"/>
      <c r="F94" s="44"/>
      <c r="G94" s="44"/>
      <c r="H94" s="44"/>
      <c r="I94" s="44"/>
      <c r="J94" s="41"/>
    </row>
    <row r="95" spans="2:10" ht="17.25" customHeight="1" thickBot="1">
      <c r="B95" s="225"/>
      <c r="C95" s="226"/>
      <c r="D95" s="227"/>
      <c r="E95" s="227"/>
      <c r="F95" s="227"/>
      <c r="G95" s="227"/>
      <c r="H95" s="227"/>
      <c r="I95" s="227"/>
      <c r="J95" s="228"/>
    </row>
    <row r="96" spans="2:10" ht="17.25" customHeight="1">
      <c r="B96" s="102"/>
      <c r="D96" s="44"/>
      <c r="E96" s="44"/>
      <c r="F96" s="44"/>
      <c r="G96" s="44"/>
      <c r="H96" s="44"/>
      <c r="I96" s="44"/>
      <c r="J96" s="41"/>
    </row>
    <row r="97" spans="2:10" ht="17.25" customHeight="1">
      <c r="B97" s="37"/>
      <c r="C97" s="219" t="s">
        <v>287</v>
      </c>
      <c r="D97" s="45"/>
      <c r="E97" s="45"/>
      <c r="F97" s="45"/>
      <c r="G97" s="45"/>
      <c r="H97" s="45"/>
      <c r="I97" s="45"/>
      <c r="J97" s="222"/>
    </row>
    <row r="98" spans="2:10" ht="17.25" customHeight="1">
      <c r="B98" s="223"/>
      <c r="C98" s="153"/>
      <c r="D98" s="45"/>
      <c r="E98" s="45"/>
      <c r="F98" s="45"/>
      <c r="G98" s="45"/>
      <c r="H98" s="45"/>
      <c r="I98" s="45"/>
      <c r="J98" s="222"/>
    </row>
    <row r="99" spans="2:10" ht="17.25" customHeight="1">
      <c r="B99" s="43"/>
      <c r="D99" s="44"/>
      <c r="E99" s="44"/>
      <c r="F99" s="44"/>
      <c r="G99" s="44"/>
      <c r="H99" s="44"/>
      <c r="I99" s="44"/>
      <c r="J99" s="41"/>
    </row>
    <row r="100" spans="2:10" ht="17.25" customHeight="1">
      <c r="B100" s="43"/>
      <c r="D100" s="44"/>
      <c r="E100" s="44"/>
      <c r="F100" s="44"/>
      <c r="G100" s="44"/>
      <c r="H100" s="44"/>
      <c r="I100" s="44"/>
      <c r="J100" s="41"/>
    </row>
    <row r="101" spans="2:10" ht="17.25" customHeight="1">
      <c r="B101" s="43"/>
      <c r="D101" s="44"/>
      <c r="E101" s="44"/>
      <c r="F101" s="44"/>
      <c r="G101" s="44"/>
      <c r="H101" s="44"/>
      <c r="I101" s="44"/>
      <c r="J101" s="41"/>
    </row>
    <row r="102" spans="2:10" ht="17.25" customHeight="1">
      <c r="B102" s="43"/>
      <c r="D102" s="44"/>
      <c r="E102" s="44"/>
      <c r="F102" s="44"/>
      <c r="G102" s="44"/>
      <c r="H102" s="44"/>
      <c r="I102" s="44"/>
      <c r="J102" s="41"/>
    </row>
    <row r="103" spans="2:10" ht="17.25" customHeight="1">
      <c r="B103" s="43"/>
      <c r="D103" s="44"/>
      <c r="E103" s="44"/>
      <c r="F103" s="44"/>
      <c r="G103" s="44"/>
      <c r="H103" s="44"/>
      <c r="I103" s="44"/>
      <c r="J103" s="41"/>
    </row>
    <row r="104" spans="2:10" ht="17.25" customHeight="1">
      <c r="B104" s="43"/>
      <c r="D104" s="44"/>
      <c r="E104" s="44"/>
      <c r="F104" s="44"/>
      <c r="G104" s="44"/>
      <c r="H104" s="44"/>
      <c r="I104" s="44"/>
      <c r="J104" s="41"/>
    </row>
    <row r="105" spans="2:10" ht="17.25" customHeight="1">
      <c r="B105" s="221"/>
      <c r="C105" s="229"/>
      <c r="D105" s="229"/>
      <c r="E105" s="229"/>
      <c r="F105" s="229"/>
      <c r="G105" s="44"/>
      <c r="H105" s="44"/>
      <c r="I105" s="44"/>
      <c r="J105" s="41"/>
    </row>
    <row r="106" spans="2:10" ht="17.25" customHeight="1">
      <c r="B106" s="102"/>
      <c r="D106" s="44"/>
      <c r="E106" s="44"/>
      <c r="F106" s="44"/>
      <c r="G106" s="44"/>
      <c r="H106" s="44"/>
      <c r="I106" s="44"/>
      <c r="J106" s="41"/>
    </row>
    <row r="107" spans="2:10" ht="17.25" customHeight="1">
      <c r="B107" s="102"/>
      <c r="D107" s="44"/>
      <c r="E107" s="44"/>
      <c r="F107" s="44"/>
      <c r="G107" s="44"/>
      <c r="H107" s="44"/>
      <c r="I107" s="44"/>
      <c r="J107" s="41"/>
    </row>
    <row r="108" spans="2:10" ht="17.25" customHeight="1">
      <c r="B108" s="102"/>
      <c r="D108" s="44"/>
      <c r="E108" s="44"/>
      <c r="F108" s="44"/>
      <c r="G108" s="44"/>
      <c r="H108" s="44"/>
      <c r="I108" s="44"/>
      <c r="J108" s="41"/>
    </row>
    <row r="109" spans="2:10" ht="17.25" customHeight="1">
      <c r="B109" s="102"/>
      <c r="D109" s="44"/>
      <c r="E109" s="44"/>
      <c r="F109" s="44"/>
      <c r="G109" s="44"/>
      <c r="H109" s="44"/>
      <c r="I109" s="44"/>
      <c r="J109" s="41"/>
    </row>
    <row r="110" spans="2:10" ht="17.25" customHeight="1">
      <c r="B110" s="102"/>
      <c r="D110" s="44"/>
      <c r="E110" s="44"/>
      <c r="F110" s="44"/>
      <c r="G110" s="44"/>
      <c r="H110" s="44"/>
      <c r="I110" s="44"/>
      <c r="J110" s="41"/>
    </row>
    <row r="111" spans="2:10" ht="17.25" customHeight="1" thickBot="1">
      <c r="B111" s="225"/>
      <c r="C111" s="226"/>
      <c r="D111" s="227"/>
      <c r="E111" s="227"/>
      <c r="F111" s="227"/>
      <c r="G111" s="227"/>
      <c r="H111" s="227"/>
      <c r="I111" s="227"/>
      <c r="J111" s="228"/>
    </row>
    <row r="112" spans="2:10" ht="17.25" customHeight="1">
      <c r="B112" s="102"/>
      <c r="D112" s="44"/>
      <c r="E112" s="44"/>
      <c r="F112" s="44"/>
      <c r="G112" s="44"/>
      <c r="H112" s="44"/>
      <c r="I112" s="44"/>
      <c r="J112" s="41"/>
    </row>
    <row r="113" spans="2:10" ht="17.25" customHeight="1">
      <c r="B113" s="230"/>
      <c r="C113" s="219" t="s">
        <v>288</v>
      </c>
      <c r="D113" s="231"/>
      <c r="E113" s="231"/>
      <c r="F113" s="231"/>
      <c r="G113" s="231"/>
      <c r="H113" s="231"/>
      <c r="I113" s="231"/>
      <c r="J113" s="232"/>
    </row>
    <row r="114" spans="2:10" ht="17.25" customHeight="1">
      <c r="B114" s="43"/>
      <c r="C114" s="153"/>
      <c r="D114" s="45"/>
      <c r="E114" s="45"/>
      <c r="F114" s="45"/>
      <c r="G114" s="45"/>
      <c r="H114" s="45"/>
      <c r="I114" s="45"/>
      <c r="J114" s="222"/>
    </row>
    <row r="115" spans="2:10" ht="17.25" customHeight="1">
      <c r="B115" s="43"/>
      <c r="D115" s="44"/>
      <c r="E115" s="44"/>
      <c r="F115" s="44"/>
      <c r="G115" s="44"/>
      <c r="H115" s="44"/>
      <c r="I115" s="44"/>
      <c r="J115" s="41"/>
    </row>
    <row r="116" spans="2:10" ht="17.25" customHeight="1">
      <c r="B116" s="43"/>
      <c r="D116" s="44"/>
      <c r="E116" s="44"/>
      <c r="F116" s="44"/>
      <c r="G116" s="44"/>
      <c r="H116" s="44"/>
      <c r="I116" s="44"/>
      <c r="J116" s="41"/>
    </row>
    <row r="117" spans="2:10" ht="17.25" customHeight="1">
      <c r="B117" s="43"/>
      <c r="D117" s="44"/>
      <c r="E117" s="44"/>
      <c r="F117" s="44"/>
      <c r="G117" s="44"/>
      <c r="H117" s="44"/>
      <c r="I117" s="44"/>
      <c r="J117" s="41"/>
    </row>
    <row r="118" spans="2:10" ht="17.25" customHeight="1">
      <c r="B118" s="43"/>
      <c r="D118" s="44"/>
      <c r="E118" s="44"/>
      <c r="F118" s="44"/>
      <c r="G118" s="44"/>
      <c r="H118" s="44"/>
      <c r="I118" s="44"/>
      <c r="J118" s="41"/>
    </row>
    <row r="119" spans="2:10" ht="17.25" customHeight="1">
      <c r="B119" s="43"/>
      <c r="D119" s="44"/>
      <c r="E119" s="44"/>
      <c r="F119" s="44"/>
      <c r="G119" s="44"/>
      <c r="H119" s="44"/>
      <c r="I119" s="44"/>
      <c r="J119" s="41"/>
    </row>
    <row r="120" spans="2:10" ht="17.25" customHeight="1">
      <c r="B120" s="43"/>
      <c r="D120" s="44"/>
      <c r="E120" s="44"/>
      <c r="F120" s="44"/>
      <c r="G120" s="44"/>
      <c r="H120" s="44"/>
      <c r="I120" s="44"/>
      <c r="J120" s="41"/>
    </row>
    <row r="121" spans="2:10" ht="17.25" customHeight="1">
      <c r="B121" s="221"/>
      <c r="D121" s="44"/>
      <c r="E121" s="44"/>
      <c r="F121" s="44"/>
      <c r="G121" s="44"/>
      <c r="H121" s="44"/>
      <c r="I121" s="44"/>
      <c r="J121" s="41"/>
    </row>
    <row r="122" spans="2:10" ht="17.25" customHeight="1">
      <c r="B122" s="102"/>
      <c r="D122" s="44"/>
      <c r="E122" s="44"/>
      <c r="F122" s="44"/>
      <c r="G122" s="44"/>
      <c r="H122" s="44"/>
      <c r="I122" s="44"/>
      <c r="J122" s="41"/>
    </row>
    <row r="123" spans="2:10" ht="17.25" customHeight="1">
      <c r="B123" s="102"/>
      <c r="D123" s="44"/>
      <c r="E123" s="44"/>
      <c r="F123" s="44"/>
      <c r="G123" s="44"/>
      <c r="H123" s="44"/>
      <c r="I123" s="44"/>
      <c r="J123" s="41"/>
    </row>
    <row r="124" spans="2:10" ht="17.25" customHeight="1">
      <c r="B124" s="102"/>
      <c r="D124" s="44"/>
      <c r="E124" s="44"/>
      <c r="F124" s="44"/>
      <c r="G124" s="44"/>
      <c r="H124" s="44"/>
      <c r="I124" s="44"/>
      <c r="J124" s="41"/>
    </row>
    <row r="125" spans="2:10" ht="17.25" customHeight="1">
      <c r="B125" s="102"/>
      <c r="D125" s="44"/>
      <c r="E125" s="44"/>
      <c r="F125" s="44"/>
      <c r="G125" s="44"/>
      <c r="H125" s="44"/>
      <c r="I125" s="44"/>
      <c r="J125" s="41"/>
    </row>
    <row r="126" spans="2:10" ht="17.25" customHeight="1" thickBot="1">
      <c r="B126" s="109"/>
      <c r="C126" s="110"/>
      <c r="D126" s="111"/>
      <c r="E126" s="111"/>
      <c r="F126" s="111"/>
      <c r="G126" s="111"/>
      <c r="H126" s="111"/>
      <c r="I126" s="111"/>
      <c r="J126" s="112"/>
    </row>
    <row r="127" spans="2:10" ht="14.25" customHeight="1">
      <c r="B127" s="462" t="s">
        <v>289</v>
      </c>
      <c r="C127" s="97" t="s">
        <v>290</v>
      </c>
      <c r="D127" s="97" t="s">
        <v>291</v>
      </c>
      <c r="E127" s="97"/>
      <c r="F127" s="97"/>
      <c r="G127" s="97"/>
      <c r="H127" s="97"/>
      <c r="I127" s="97"/>
      <c r="J127" s="98"/>
    </row>
    <row r="128" spans="2:10" ht="14.25" customHeight="1" thickBot="1">
      <c r="B128" s="463"/>
      <c r="C128" s="464"/>
      <c r="D128" s="465"/>
      <c r="E128" s="466"/>
      <c r="F128" s="466"/>
      <c r="G128" s="466"/>
      <c r="H128" s="466"/>
      <c r="I128" s="466"/>
      <c r="J128" s="467"/>
    </row>
    <row r="129" spans="2:10" ht="17.25" customHeight="1">
      <c r="B129" s="223"/>
      <c r="C129" s="219" t="s">
        <v>292</v>
      </c>
      <c r="J129" s="122"/>
    </row>
    <row r="130" spans="2:10" ht="17.25" customHeight="1">
      <c r="B130" s="223"/>
      <c r="C130" s="219"/>
      <c r="J130" s="122"/>
    </row>
    <row r="131" spans="2:10" ht="17.25" customHeight="1">
      <c r="B131" s="221"/>
      <c r="J131" s="122"/>
    </row>
    <row r="132" spans="2:10" ht="17.25" customHeight="1">
      <c r="B132" s="221"/>
      <c r="J132" s="122"/>
    </row>
    <row r="133" spans="2:10" ht="17.25" customHeight="1">
      <c r="B133" s="221"/>
      <c r="J133" s="122"/>
    </row>
    <row r="134" spans="2:10" ht="17.25" customHeight="1">
      <c r="B134" s="221"/>
      <c r="J134" s="122"/>
    </row>
    <row r="135" spans="2:10" ht="17.25" customHeight="1">
      <c r="B135" s="43"/>
      <c r="J135" s="122"/>
    </row>
    <row r="136" spans="2:10" ht="17.25" customHeight="1">
      <c r="B136" s="43"/>
      <c r="J136" s="122"/>
    </row>
    <row r="137" spans="2:10" ht="17.25" customHeight="1">
      <c r="B137" s="43"/>
      <c r="J137" s="122"/>
    </row>
    <row r="138" spans="2:10" ht="17.25" customHeight="1">
      <c r="B138" s="43"/>
      <c r="J138" s="122"/>
    </row>
    <row r="139" spans="2:10" ht="17.25" customHeight="1">
      <c r="B139" s="221"/>
      <c r="C139" s="153"/>
      <c r="D139" s="45"/>
      <c r="E139" s="45"/>
      <c r="F139" s="45"/>
      <c r="G139" s="45"/>
      <c r="H139" s="45"/>
      <c r="I139" s="45"/>
      <c r="J139" s="222"/>
    </row>
    <row r="140" spans="2:10" ht="17.25" customHeight="1">
      <c r="B140" s="223"/>
      <c r="C140" s="153"/>
      <c r="D140" s="45"/>
      <c r="E140" s="45"/>
      <c r="F140" s="45"/>
      <c r="G140" s="45"/>
      <c r="H140" s="45"/>
      <c r="I140" s="45"/>
      <c r="J140" s="222"/>
    </row>
    <row r="141" spans="2:10" ht="17.25" customHeight="1">
      <c r="B141" s="223"/>
      <c r="C141" s="153"/>
      <c r="D141" s="45"/>
      <c r="E141" s="45"/>
      <c r="F141" s="45"/>
      <c r="G141" s="45"/>
      <c r="H141" s="45"/>
      <c r="I141" s="45"/>
      <c r="J141" s="222"/>
    </row>
    <row r="142" spans="2:10" ht="17.25" customHeight="1">
      <c r="B142" s="223"/>
      <c r="C142" s="153"/>
      <c r="D142" s="45"/>
      <c r="E142" s="45"/>
      <c r="F142" s="45"/>
      <c r="G142" s="45"/>
      <c r="H142" s="45"/>
      <c r="I142" s="45"/>
      <c r="J142" s="222"/>
    </row>
    <row r="143" spans="2:10" ht="17.25" customHeight="1">
      <c r="B143" s="223"/>
      <c r="C143" s="153"/>
      <c r="D143" s="45"/>
      <c r="E143" s="45"/>
      <c r="F143" s="45"/>
      <c r="G143" s="45"/>
      <c r="H143" s="45"/>
      <c r="I143" s="45"/>
      <c r="J143" s="222"/>
    </row>
    <row r="144" spans="2:10" ht="17.25" customHeight="1">
      <c r="B144" s="223"/>
      <c r="C144" s="153"/>
      <c r="D144" s="45"/>
      <c r="E144" s="45"/>
      <c r="F144" s="45"/>
      <c r="G144" s="45"/>
      <c r="H144" s="45"/>
      <c r="I144" s="45"/>
      <c r="J144" s="222"/>
    </row>
    <row r="145" spans="2:10" ht="17.25" customHeight="1">
      <c r="B145" s="223"/>
      <c r="C145" s="153"/>
      <c r="D145" s="45"/>
      <c r="E145" s="45"/>
      <c r="F145" s="45"/>
      <c r="G145" s="45"/>
      <c r="H145" s="45"/>
      <c r="I145" s="45"/>
      <c r="J145" s="222"/>
    </row>
    <row r="146" spans="2:10" ht="17.25" customHeight="1" thickBot="1">
      <c r="B146" s="109"/>
      <c r="C146" s="110"/>
      <c r="D146" s="111"/>
      <c r="E146" s="111"/>
      <c r="F146" s="111"/>
      <c r="G146" s="111"/>
      <c r="H146" s="111"/>
      <c r="I146" s="111"/>
      <c r="J146" s="112"/>
    </row>
    <row r="147" spans="2:10" ht="14.25" customHeight="1">
      <c r="B147" s="462" t="s">
        <v>293</v>
      </c>
      <c r="C147" s="97" t="s">
        <v>294</v>
      </c>
      <c r="D147" s="97" t="s">
        <v>295</v>
      </c>
      <c r="E147" s="97"/>
      <c r="F147" s="97"/>
      <c r="G147" s="97"/>
      <c r="H147" s="97"/>
      <c r="I147" s="97"/>
      <c r="J147" s="98"/>
    </row>
    <row r="148" spans="2:10" ht="14.25" customHeight="1" thickBot="1">
      <c r="B148" s="463"/>
      <c r="C148" s="464"/>
      <c r="D148" s="465"/>
      <c r="E148" s="466"/>
      <c r="F148" s="466"/>
      <c r="G148" s="466"/>
      <c r="H148" s="466"/>
      <c r="I148" s="466"/>
      <c r="J148" s="467"/>
    </row>
    <row r="149" spans="2:10">
      <c r="B149" s="37"/>
      <c r="C149" s="219" t="s">
        <v>296</v>
      </c>
      <c r="D149" s="100"/>
      <c r="E149" s="100"/>
      <c r="F149" s="100"/>
      <c r="G149" s="100"/>
      <c r="H149" s="45"/>
      <c r="I149" s="45"/>
      <c r="J149" s="222"/>
    </row>
    <row r="150" spans="2:10">
      <c r="B150" s="99"/>
      <c r="C150" s="46" t="s">
        <v>297</v>
      </c>
      <c r="D150" s="100"/>
      <c r="E150" s="100"/>
      <c r="F150" s="100"/>
      <c r="G150" s="100"/>
      <c r="H150" s="45"/>
      <c r="I150" s="45"/>
      <c r="J150" s="222"/>
    </row>
    <row r="151" spans="2:10">
      <c r="B151" s="221"/>
      <c r="C151" s="45"/>
      <c r="D151" s="45"/>
      <c r="E151" s="45"/>
      <c r="F151" s="45"/>
      <c r="G151" s="45"/>
      <c r="H151" s="45"/>
      <c r="I151" s="45"/>
      <c r="J151" s="222"/>
    </row>
    <row r="152" spans="2:10">
      <c r="B152" s="223"/>
      <c r="C152" s="153"/>
      <c r="D152" s="45"/>
      <c r="E152" s="45"/>
      <c r="F152" s="45"/>
      <c r="G152" s="45"/>
      <c r="H152" s="45"/>
      <c r="I152" s="45"/>
      <c r="J152" s="222"/>
    </row>
    <row r="153" spans="2:10">
      <c r="B153" s="223"/>
      <c r="C153" s="45"/>
      <c r="D153" s="45"/>
      <c r="E153" s="45"/>
      <c r="F153" s="45"/>
      <c r="G153" s="45"/>
      <c r="H153" s="45"/>
      <c r="I153" s="45"/>
      <c r="J153" s="222"/>
    </row>
    <row r="154" spans="2:10">
      <c r="B154" s="102"/>
      <c r="D154" s="44"/>
      <c r="E154" s="44"/>
      <c r="F154" s="44"/>
      <c r="G154" s="44"/>
      <c r="H154" s="44"/>
      <c r="I154" s="44"/>
      <c r="J154" s="41"/>
    </row>
    <row r="155" spans="2:10">
      <c r="B155" s="103"/>
      <c r="C155" s="104"/>
      <c r="D155" s="233"/>
      <c r="E155" s="44"/>
      <c r="F155" s="44"/>
      <c r="G155" s="44"/>
      <c r="H155" s="44"/>
      <c r="I155" s="44"/>
      <c r="J155" s="41"/>
    </row>
    <row r="156" spans="2:10">
      <c r="B156" s="102"/>
      <c r="D156" s="44"/>
      <c r="E156" s="44"/>
      <c r="F156" s="44"/>
      <c r="G156" s="44"/>
      <c r="H156" s="44"/>
      <c r="I156" s="44"/>
      <c r="J156" s="41"/>
    </row>
    <row r="157" spans="2:10">
      <c r="B157" s="102"/>
      <c r="D157" s="44"/>
      <c r="E157" s="44"/>
      <c r="F157" s="44"/>
      <c r="G157" s="44"/>
      <c r="H157" s="44"/>
      <c r="I157" s="44"/>
      <c r="J157" s="41"/>
    </row>
    <row r="158" spans="2:10">
      <c r="B158" s="102"/>
      <c r="D158" s="44"/>
      <c r="E158" s="44"/>
      <c r="F158" s="44"/>
      <c r="G158" s="44"/>
      <c r="H158" s="44"/>
      <c r="I158" s="44"/>
      <c r="J158" s="41"/>
    </row>
    <row r="159" spans="2:10">
      <c r="B159" s="102"/>
      <c r="D159" s="44"/>
      <c r="E159" s="44"/>
      <c r="F159" s="44"/>
      <c r="G159" s="44"/>
      <c r="H159" s="44"/>
      <c r="I159" s="44"/>
      <c r="J159" s="41"/>
    </row>
    <row r="160" spans="2:10">
      <c r="B160" s="102"/>
      <c r="D160" s="44"/>
      <c r="E160" s="44"/>
      <c r="F160" s="44"/>
      <c r="G160" s="44"/>
      <c r="H160" s="44"/>
      <c r="I160" s="44"/>
      <c r="J160" s="41"/>
    </row>
    <row r="161" spans="2:10">
      <c r="B161" s="102"/>
      <c r="D161" s="44"/>
      <c r="E161" s="44"/>
      <c r="F161" s="44"/>
      <c r="G161" s="44"/>
      <c r="H161" s="44"/>
      <c r="I161" s="44"/>
      <c r="J161" s="41"/>
    </row>
    <row r="162" spans="2:10">
      <c r="B162" s="102"/>
      <c r="D162" s="44"/>
      <c r="E162" s="44"/>
      <c r="F162" s="44"/>
      <c r="G162" s="44"/>
      <c r="H162" s="44"/>
      <c r="I162" s="44"/>
      <c r="J162" s="41"/>
    </row>
    <row r="163" spans="2:10">
      <c r="B163" s="102"/>
      <c r="D163" s="44"/>
      <c r="E163" s="44"/>
      <c r="F163" s="44"/>
      <c r="G163" s="44"/>
      <c r="H163" s="44"/>
      <c r="I163" s="44"/>
      <c r="J163" s="41"/>
    </row>
    <row r="164" spans="2:10">
      <c r="B164" s="102"/>
      <c r="D164" s="44"/>
      <c r="E164" s="44"/>
      <c r="F164" s="44"/>
      <c r="G164" s="44"/>
      <c r="H164" s="44"/>
      <c r="I164" s="44"/>
      <c r="J164" s="41"/>
    </row>
    <row r="165" spans="2:10">
      <c r="B165" s="102"/>
      <c r="D165" s="44"/>
      <c r="E165" s="44"/>
      <c r="F165" s="44"/>
      <c r="G165" s="44"/>
      <c r="H165" s="44"/>
      <c r="I165" s="44"/>
      <c r="J165" s="41"/>
    </row>
    <row r="166" spans="2:10" ht="15.5" thickBot="1">
      <c r="B166" s="109"/>
      <c r="C166" s="110"/>
      <c r="D166" s="111"/>
      <c r="E166" s="111"/>
      <c r="F166" s="111"/>
      <c r="G166" s="111"/>
      <c r="H166" s="111"/>
      <c r="I166" s="111"/>
      <c r="J166" s="112"/>
    </row>
    <row r="167" spans="2:10" ht="14.25" customHeight="1">
      <c r="B167" s="462" t="s">
        <v>298</v>
      </c>
      <c r="C167" s="97" t="s">
        <v>299</v>
      </c>
      <c r="D167" s="97" t="s">
        <v>281</v>
      </c>
      <c r="E167" s="97"/>
      <c r="F167" s="97"/>
      <c r="G167" s="97"/>
      <c r="H167" s="97"/>
      <c r="I167" s="97"/>
      <c r="J167" s="98"/>
    </row>
    <row r="168" spans="2:10" ht="14.25" customHeight="1" thickBot="1">
      <c r="B168" s="463"/>
      <c r="C168" s="464"/>
      <c r="D168" s="465"/>
      <c r="E168" s="466"/>
      <c r="F168" s="466"/>
      <c r="G168" s="466"/>
      <c r="H168" s="466"/>
      <c r="I168" s="466"/>
      <c r="J168" s="467"/>
    </row>
    <row r="169" spans="2:10">
      <c r="B169" s="223"/>
      <c r="C169" s="153"/>
      <c r="D169" s="45"/>
      <c r="E169" s="45"/>
      <c r="F169" s="45"/>
      <c r="G169" s="45"/>
      <c r="H169" s="45"/>
      <c r="I169" s="45"/>
      <c r="J169" s="222"/>
    </row>
    <row r="170" spans="2:10">
      <c r="B170" s="221" t="s">
        <v>300</v>
      </c>
      <c r="C170" s="153"/>
      <c r="D170" s="45"/>
      <c r="E170" s="45"/>
      <c r="F170" s="45"/>
      <c r="G170" s="45"/>
      <c r="H170" s="45"/>
      <c r="I170" s="45"/>
      <c r="J170" s="222"/>
    </row>
    <row r="171" spans="2:10">
      <c r="B171" s="223"/>
      <c r="C171" s="153"/>
      <c r="D171" s="45"/>
      <c r="E171" s="45"/>
      <c r="F171" s="45"/>
      <c r="G171" s="45"/>
      <c r="H171" s="45"/>
      <c r="I171" s="45"/>
      <c r="J171" s="222"/>
    </row>
    <row r="172" spans="2:10">
      <c r="B172" s="223"/>
      <c r="I172" s="45"/>
      <c r="J172" s="222"/>
    </row>
    <row r="173" spans="2:10">
      <c r="B173" s="223"/>
      <c r="C173" s="70"/>
      <c r="D173" s="70"/>
      <c r="E173" s="70"/>
      <c r="F173" s="70"/>
      <c r="G173" s="70"/>
      <c r="H173" s="70"/>
      <c r="I173" s="45"/>
      <c r="J173" s="222"/>
    </row>
    <row r="174" spans="2:10">
      <c r="B174" s="223"/>
      <c r="C174" s="70"/>
      <c r="D174" s="70"/>
      <c r="E174" s="70"/>
      <c r="F174" s="70"/>
      <c r="G174" s="234"/>
      <c r="H174" s="234"/>
      <c r="I174" s="45"/>
      <c r="J174" s="222"/>
    </row>
    <row r="175" spans="2:10">
      <c r="B175" s="102"/>
      <c r="C175" s="70"/>
      <c r="D175" s="70"/>
      <c r="E175" s="70"/>
      <c r="F175" s="70"/>
      <c r="G175" s="234"/>
      <c r="H175" s="234"/>
      <c r="I175" s="44"/>
      <c r="J175" s="41"/>
    </row>
    <row r="176" spans="2:10">
      <c r="B176" s="102"/>
      <c r="C176" s="70"/>
      <c r="D176" s="70"/>
      <c r="E176" s="70"/>
      <c r="F176" s="70"/>
      <c r="G176" s="234"/>
      <c r="H176" s="234"/>
      <c r="I176" s="44"/>
      <c r="J176" s="41"/>
    </row>
    <row r="177" spans="2:10">
      <c r="B177" s="103"/>
      <c r="C177" s="104"/>
      <c r="D177" s="44"/>
      <c r="E177" s="44"/>
      <c r="F177" s="44"/>
      <c r="G177" s="44"/>
      <c r="H177" s="44"/>
      <c r="I177" s="44"/>
      <c r="J177" s="41"/>
    </row>
    <row r="178" spans="2:10">
      <c r="B178" s="221" t="s">
        <v>301</v>
      </c>
      <c r="D178" s="44"/>
      <c r="E178" s="44"/>
      <c r="F178" s="44"/>
      <c r="G178" s="44"/>
      <c r="H178" s="44"/>
      <c r="I178" s="44"/>
      <c r="J178" s="41"/>
    </row>
    <row r="179" spans="2:10">
      <c r="B179" s="102"/>
      <c r="D179" s="44"/>
      <c r="E179" s="44"/>
      <c r="F179" s="44"/>
      <c r="G179" s="44"/>
      <c r="H179" s="44"/>
      <c r="I179" s="44"/>
      <c r="J179" s="41"/>
    </row>
    <row r="180" spans="2:10">
      <c r="B180" s="102"/>
      <c r="D180" s="44"/>
      <c r="E180" s="44"/>
      <c r="F180" s="44"/>
      <c r="G180" s="44"/>
      <c r="H180" s="44"/>
      <c r="I180" s="44"/>
      <c r="J180" s="41"/>
    </row>
    <row r="181" spans="2:10">
      <c r="B181" s="102"/>
      <c r="D181" s="44"/>
      <c r="E181" s="44"/>
      <c r="F181" s="44"/>
      <c r="G181" s="44"/>
      <c r="H181" s="44"/>
      <c r="I181" s="44"/>
      <c r="J181" s="41"/>
    </row>
    <row r="182" spans="2:10">
      <c r="B182" s="102"/>
      <c r="D182" s="44"/>
      <c r="E182" s="44"/>
      <c r="F182" s="44"/>
      <c r="G182" s="44"/>
      <c r="H182" s="44"/>
      <c r="I182" s="44"/>
      <c r="J182" s="41"/>
    </row>
    <row r="183" spans="2:10">
      <c r="B183" s="102"/>
      <c r="D183" s="44"/>
      <c r="E183" s="44"/>
      <c r="F183" s="44"/>
      <c r="G183" s="44"/>
      <c r="H183" s="44"/>
      <c r="I183" s="44"/>
      <c r="J183" s="41"/>
    </row>
    <row r="184" spans="2:10">
      <c r="B184" s="102"/>
      <c r="D184" s="44"/>
      <c r="E184" s="44"/>
      <c r="F184" s="44"/>
      <c r="G184" s="44"/>
      <c r="H184" s="44"/>
      <c r="I184" s="44"/>
      <c r="J184" s="41"/>
    </row>
    <row r="185" spans="2:10">
      <c r="B185" s="102"/>
      <c r="D185" s="44"/>
      <c r="E185" s="44"/>
      <c r="F185" s="44"/>
      <c r="G185" s="44"/>
      <c r="H185" s="44"/>
      <c r="I185" s="44"/>
      <c r="J185" s="41"/>
    </row>
    <row r="186" spans="2:10">
      <c r="B186" s="102"/>
      <c r="D186" s="44"/>
      <c r="E186" s="44"/>
      <c r="F186" s="44"/>
      <c r="G186" s="44"/>
      <c r="H186" s="44"/>
      <c r="I186" s="44"/>
      <c r="J186" s="41"/>
    </row>
    <row r="187" spans="2:10">
      <c r="B187" s="102"/>
      <c r="D187" s="44"/>
      <c r="E187" s="44"/>
      <c r="F187" s="44"/>
      <c r="G187" s="44"/>
      <c r="H187" s="44"/>
      <c r="I187" s="44"/>
      <c r="J187" s="41"/>
    </row>
    <row r="188" spans="2:10">
      <c r="B188" s="102"/>
      <c r="D188" s="44"/>
      <c r="E188" s="44"/>
      <c r="F188" s="44"/>
      <c r="G188" s="44"/>
      <c r="H188" s="44"/>
      <c r="I188" s="44"/>
      <c r="J188" s="41"/>
    </row>
    <row r="189" spans="2:10">
      <c r="B189" s="102"/>
      <c r="C189" s="27" t="s">
        <v>302</v>
      </c>
      <c r="D189" s="44"/>
      <c r="E189" s="44"/>
      <c r="F189" s="44"/>
      <c r="G189" s="44"/>
      <c r="H189" s="44"/>
      <c r="I189" s="44"/>
      <c r="J189" s="41"/>
    </row>
    <row r="190" spans="2:10">
      <c r="B190" s="102"/>
      <c r="D190" s="44"/>
      <c r="E190" s="44"/>
      <c r="F190" s="44"/>
      <c r="G190" s="44"/>
      <c r="H190" s="44"/>
      <c r="I190" s="44"/>
      <c r="J190" s="41"/>
    </row>
    <row r="191" spans="2:10">
      <c r="B191" s="221" t="s">
        <v>303</v>
      </c>
      <c r="D191" s="44"/>
      <c r="E191" s="44"/>
      <c r="F191" s="44"/>
      <c r="G191" s="44"/>
      <c r="H191" s="44"/>
      <c r="I191" s="44"/>
      <c r="J191" s="41"/>
    </row>
    <row r="192" spans="2:10">
      <c r="B192" s="102"/>
      <c r="D192" s="44"/>
      <c r="E192" s="44"/>
      <c r="F192" s="44"/>
      <c r="G192" s="44"/>
      <c r="H192" s="44"/>
      <c r="I192" s="44"/>
      <c r="J192" s="41"/>
    </row>
    <row r="193" spans="2:10">
      <c r="B193" s="102"/>
      <c r="D193" s="44"/>
      <c r="E193" s="44"/>
      <c r="F193" s="44"/>
      <c r="G193" s="44"/>
      <c r="H193" s="44"/>
      <c r="I193" s="44"/>
      <c r="J193" s="41"/>
    </row>
    <row r="194" spans="2:10">
      <c r="B194" s="102"/>
      <c r="D194" s="44"/>
      <c r="E194" s="44"/>
      <c r="F194" s="44"/>
      <c r="G194" s="44"/>
      <c r="H194" s="44"/>
      <c r="I194" s="44"/>
      <c r="J194" s="41"/>
    </row>
    <row r="195" spans="2:10">
      <c r="B195" s="102"/>
      <c r="D195" s="44"/>
      <c r="E195" s="44"/>
      <c r="F195" s="44"/>
      <c r="G195" s="44"/>
      <c r="H195" s="44"/>
      <c r="I195" s="44"/>
      <c r="J195" s="41"/>
    </row>
    <row r="196" spans="2:10">
      <c r="B196" s="102"/>
      <c r="D196" s="44"/>
      <c r="E196" s="44"/>
      <c r="F196" s="44"/>
      <c r="G196" s="44"/>
      <c r="H196" s="44"/>
      <c r="I196" s="44"/>
      <c r="J196" s="41"/>
    </row>
    <row r="197" spans="2:10">
      <c r="B197" s="102"/>
      <c r="D197" s="44"/>
      <c r="E197" s="44"/>
      <c r="F197" s="44"/>
      <c r="G197" s="44"/>
      <c r="H197" s="44"/>
      <c r="I197" s="44"/>
      <c r="J197" s="41"/>
    </row>
    <row r="198" spans="2:10">
      <c r="B198" s="102"/>
      <c r="D198" s="44"/>
      <c r="E198" s="44"/>
      <c r="F198" s="44"/>
      <c r="G198" s="44"/>
      <c r="H198" s="44"/>
      <c r="I198" s="44"/>
      <c r="J198" s="41"/>
    </row>
    <row r="199" spans="2:10">
      <c r="B199" s="221"/>
      <c r="D199" s="44"/>
      <c r="E199" s="44"/>
      <c r="F199" s="44"/>
      <c r="G199" s="44"/>
      <c r="H199" s="44"/>
      <c r="I199" s="44"/>
      <c r="J199" s="41"/>
    </row>
    <row r="200" spans="2:10">
      <c r="B200" s="221"/>
      <c r="D200" s="44"/>
      <c r="E200" s="44"/>
      <c r="F200" s="44"/>
      <c r="G200" s="44"/>
      <c r="H200" s="44"/>
      <c r="I200" s="44"/>
      <c r="J200" s="41"/>
    </row>
    <row r="201" spans="2:10">
      <c r="B201" s="102"/>
      <c r="D201" s="44"/>
      <c r="E201" s="44"/>
      <c r="F201" s="44"/>
      <c r="G201" s="44"/>
      <c r="H201" s="44"/>
      <c r="I201" s="44"/>
      <c r="J201" s="41"/>
    </row>
    <row r="202" spans="2:10">
      <c r="B202" s="102"/>
      <c r="D202" s="44"/>
      <c r="E202" s="44"/>
      <c r="F202" s="44"/>
      <c r="G202" s="44"/>
      <c r="H202" s="44"/>
      <c r="I202" s="44"/>
      <c r="J202" s="41"/>
    </row>
    <row r="203" spans="2:10">
      <c r="B203" s="102"/>
      <c r="D203" s="44"/>
      <c r="E203" s="44"/>
      <c r="F203" s="44"/>
      <c r="G203" s="44"/>
      <c r="H203" s="44"/>
      <c r="I203" s="44"/>
      <c r="J203" s="41"/>
    </row>
    <row r="204" spans="2:10" ht="15.5" thickBot="1">
      <c r="B204" s="109"/>
      <c r="C204" s="110"/>
      <c r="D204" s="111"/>
      <c r="E204" s="111"/>
      <c r="F204" s="111"/>
      <c r="G204" s="111"/>
      <c r="H204" s="111"/>
      <c r="I204" s="111"/>
      <c r="J204" s="112"/>
    </row>
    <row r="205" spans="2:10" ht="18" customHeight="1">
      <c r="B205" s="462" t="s">
        <v>304</v>
      </c>
      <c r="C205" s="472" t="s">
        <v>305</v>
      </c>
      <c r="D205" s="473"/>
      <c r="E205" s="473"/>
      <c r="F205" s="473"/>
      <c r="G205" s="97"/>
      <c r="H205" s="97"/>
      <c r="I205" s="97"/>
      <c r="J205" s="98"/>
    </row>
    <row r="206" spans="2:10" ht="14.25" customHeight="1" thickBot="1">
      <c r="B206" s="463"/>
      <c r="C206" s="464"/>
      <c r="D206" s="465"/>
      <c r="E206" s="466"/>
      <c r="F206" s="466"/>
      <c r="G206" s="466"/>
      <c r="H206" s="466"/>
      <c r="I206" s="466"/>
      <c r="J206" s="467"/>
    </row>
    <row r="207" spans="2:10">
      <c r="B207" s="103"/>
      <c r="C207" s="104"/>
      <c r="D207" s="233"/>
      <c r="E207" s="44"/>
      <c r="F207" s="44"/>
      <c r="G207" s="44"/>
      <c r="H207" s="44"/>
      <c r="I207" s="44"/>
      <c r="J207" s="41"/>
    </row>
    <row r="208" spans="2:10">
      <c r="B208" s="103"/>
      <c r="C208" s="104"/>
      <c r="D208" s="233"/>
      <c r="E208" s="44"/>
      <c r="F208" s="44"/>
      <c r="G208" s="44"/>
      <c r="H208" s="44"/>
      <c r="I208" s="44"/>
      <c r="J208" s="41"/>
    </row>
    <row r="209" spans="2:10">
      <c r="B209" s="103"/>
      <c r="C209" s="104"/>
      <c r="D209" s="233"/>
      <c r="E209" s="44"/>
      <c r="F209" s="44"/>
      <c r="G209" s="44"/>
      <c r="H209" s="44"/>
      <c r="I209" s="44"/>
      <c r="J209" s="41"/>
    </row>
    <row r="210" spans="2:10" ht="16">
      <c r="B210" s="103"/>
      <c r="C210" s="235" t="s">
        <v>306</v>
      </c>
      <c r="D210" s="235"/>
      <c r="E210" s="235"/>
      <c r="F210" s="235"/>
      <c r="G210" s="235"/>
      <c r="H210" s="236"/>
      <c r="I210" s="236"/>
      <c r="J210" s="237"/>
    </row>
    <row r="211" spans="2:10" ht="16">
      <c r="B211" s="103"/>
      <c r="C211" s="235" t="s">
        <v>307</v>
      </c>
      <c r="D211" s="235"/>
      <c r="E211" s="235"/>
      <c r="F211" s="235"/>
      <c r="G211" s="235"/>
      <c r="H211" s="236"/>
      <c r="I211" s="236"/>
      <c r="J211" s="237"/>
    </row>
    <row r="212" spans="2:10">
      <c r="B212" s="103"/>
      <c r="C212" s="44" t="s">
        <v>308</v>
      </c>
      <c r="D212" s="44"/>
      <c r="E212" s="44"/>
      <c r="F212" s="44"/>
      <c r="G212" s="44"/>
      <c r="J212" s="122"/>
    </row>
    <row r="213" spans="2:10">
      <c r="B213" s="103"/>
      <c r="C213" s="44" t="s">
        <v>309</v>
      </c>
      <c r="D213" s="44"/>
      <c r="E213" s="44"/>
      <c r="F213" s="44"/>
      <c r="G213" s="44"/>
      <c r="J213" s="122"/>
    </row>
    <row r="214" spans="2:10">
      <c r="B214" s="103"/>
      <c r="C214" s="44" t="s">
        <v>310</v>
      </c>
      <c r="D214" s="44"/>
      <c r="E214" s="44"/>
      <c r="F214" s="44"/>
      <c r="G214" s="44"/>
      <c r="J214" s="122"/>
    </row>
    <row r="215" spans="2:10">
      <c r="B215" s="103"/>
      <c r="C215" s="44"/>
      <c r="D215" s="44"/>
      <c r="E215" s="44"/>
      <c r="F215" s="44"/>
      <c r="G215" s="44"/>
      <c r="J215" s="122"/>
    </row>
    <row r="216" spans="2:10">
      <c r="B216" s="103"/>
      <c r="C216" s="44" t="s">
        <v>311</v>
      </c>
      <c r="D216" s="44"/>
      <c r="E216" s="44"/>
      <c r="F216" s="44"/>
      <c r="G216" s="44"/>
      <c r="J216" s="122"/>
    </row>
    <row r="217" spans="2:10">
      <c r="B217" s="103"/>
      <c r="C217" s="104"/>
      <c r="D217" s="233"/>
      <c r="E217" s="44"/>
      <c r="F217" s="44"/>
      <c r="G217" s="44"/>
      <c r="H217" s="44"/>
      <c r="I217" s="44"/>
      <c r="J217" s="41"/>
    </row>
    <row r="218" spans="2:10">
      <c r="B218" s="238" t="s">
        <v>312</v>
      </c>
      <c r="C218" s="239" t="s">
        <v>313</v>
      </c>
      <c r="D218" s="239"/>
      <c r="E218" s="239"/>
      <c r="F218" s="239"/>
      <c r="G218" s="239"/>
      <c r="H218" s="239"/>
      <c r="I218" s="239"/>
      <c r="J218" s="240"/>
    </row>
    <row r="219" spans="2:10">
      <c r="B219" s="218"/>
      <c r="C219" s="219"/>
      <c r="D219" s="219"/>
      <c r="E219" s="219"/>
      <c r="F219" s="219"/>
      <c r="G219" s="219"/>
      <c r="H219" s="219"/>
      <c r="I219" s="219"/>
      <c r="J219" s="220"/>
    </row>
    <row r="220" spans="2:10">
      <c r="B220" s="102"/>
      <c r="C220" s="44" t="s">
        <v>314</v>
      </c>
      <c r="D220" s="44"/>
      <c r="E220" s="44"/>
      <c r="F220" s="44"/>
      <c r="G220" s="44"/>
      <c r="H220" s="44"/>
      <c r="I220" s="44"/>
      <c r="J220" s="41"/>
    </row>
    <row r="221" spans="2:10">
      <c r="B221" s="102"/>
      <c r="D221" s="44"/>
      <c r="E221" s="44"/>
      <c r="F221" s="44"/>
      <c r="G221" s="44"/>
      <c r="H221" s="44"/>
      <c r="I221" s="44"/>
      <c r="J221" s="41"/>
    </row>
    <row r="222" spans="2:10">
      <c r="B222" s="102"/>
      <c r="D222" s="44"/>
      <c r="E222" s="44"/>
      <c r="F222" s="44"/>
      <c r="G222" s="44"/>
      <c r="H222" s="44"/>
      <c r="I222" s="44"/>
      <c r="J222" s="41"/>
    </row>
    <row r="223" spans="2:10">
      <c r="B223" s="102"/>
      <c r="D223" s="44"/>
      <c r="E223" s="44"/>
      <c r="F223" s="44"/>
      <c r="G223" s="44"/>
      <c r="H223" s="44"/>
      <c r="I223" s="44"/>
      <c r="J223" s="41"/>
    </row>
    <row r="224" spans="2:10">
      <c r="B224" s="102"/>
      <c r="D224" s="44"/>
      <c r="E224" s="44"/>
      <c r="F224" s="44"/>
      <c r="G224" s="44"/>
      <c r="H224" s="44"/>
      <c r="I224" s="44"/>
      <c r="J224" s="41"/>
    </row>
    <row r="225" spans="2:10">
      <c r="B225" s="102"/>
      <c r="D225" s="44"/>
      <c r="E225" s="44"/>
      <c r="F225" s="44"/>
      <c r="G225" s="44"/>
      <c r="H225" s="44"/>
      <c r="I225" s="44"/>
      <c r="J225" s="41"/>
    </row>
    <row r="226" spans="2:10">
      <c r="B226" s="102"/>
      <c r="D226" s="44"/>
      <c r="E226" s="44"/>
      <c r="F226" s="44"/>
      <c r="G226" s="44"/>
      <c r="H226" s="44"/>
      <c r="I226" s="44"/>
      <c r="J226" s="41"/>
    </row>
    <row r="227" spans="2:10">
      <c r="B227" s="102"/>
      <c r="D227" s="44"/>
      <c r="E227" s="44"/>
      <c r="F227" s="44"/>
      <c r="G227" s="44"/>
      <c r="H227" s="44"/>
      <c r="I227" s="44"/>
      <c r="J227" s="41"/>
    </row>
    <row r="228" spans="2:10">
      <c r="B228" s="102"/>
      <c r="D228" s="44"/>
      <c r="E228" s="44"/>
      <c r="F228" s="44"/>
      <c r="G228" s="44"/>
      <c r="H228" s="44"/>
      <c r="I228" s="44"/>
      <c r="J228" s="41"/>
    </row>
    <row r="229" spans="2:10">
      <c r="B229" s="102"/>
      <c r="D229" s="44"/>
      <c r="E229" s="44"/>
      <c r="F229" s="44"/>
      <c r="G229" s="44"/>
      <c r="H229" s="44"/>
      <c r="I229" s="44"/>
      <c r="J229" s="41"/>
    </row>
    <row r="230" spans="2:10">
      <c r="B230" s="102"/>
      <c r="C230" s="29" t="s">
        <v>315</v>
      </c>
      <c r="D230" s="44"/>
      <c r="E230" s="44"/>
      <c r="F230" s="44"/>
      <c r="G230" s="44"/>
      <c r="H230" s="44"/>
      <c r="I230" s="44"/>
      <c r="J230" s="41"/>
    </row>
    <row r="231" spans="2:10">
      <c r="B231" s="102"/>
      <c r="D231" s="44"/>
      <c r="E231" s="44"/>
      <c r="F231" s="44"/>
      <c r="G231" s="44"/>
      <c r="H231" s="44"/>
      <c r="I231" s="44"/>
      <c r="J231" s="41"/>
    </row>
    <row r="232" spans="2:10">
      <c r="B232" s="102"/>
      <c r="D232" s="44"/>
      <c r="E232" s="44"/>
      <c r="F232" s="44"/>
      <c r="G232" s="44"/>
      <c r="H232" s="44"/>
      <c r="I232" s="44"/>
      <c r="J232" s="41"/>
    </row>
    <row r="233" spans="2:10">
      <c r="B233" s="102"/>
      <c r="D233" s="44"/>
      <c r="E233" s="44"/>
      <c r="F233" s="44"/>
      <c r="G233" s="44"/>
      <c r="H233" s="44"/>
      <c r="I233" s="44"/>
      <c r="J233" s="41"/>
    </row>
    <row r="234" spans="2:10">
      <c r="B234" s="102"/>
      <c r="D234" s="44"/>
      <c r="E234" s="44"/>
      <c r="F234" s="44"/>
      <c r="G234" s="44"/>
      <c r="H234" s="44"/>
      <c r="I234" s="44"/>
      <c r="J234" s="41"/>
    </row>
    <row r="235" spans="2:10">
      <c r="B235" s="102"/>
      <c r="D235" s="44"/>
      <c r="E235" s="44"/>
      <c r="F235" s="44"/>
      <c r="G235" s="44"/>
      <c r="H235" s="44"/>
      <c r="I235" s="44"/>
      <c r="J235" s="241"/>
    </row>
    <row r="236" spans="2:10">
      <c r="B236" s="238" t="s">
        <v>316</v>
      </c>
      <c r="C236" s="239" t="s">
        <v>317</v>
      </c>
      <c r="D236" s="239"/>
      <c r="E236" s="239"/>
      <c r="F236" s="239"/>
      <c r="G236" s="239"/>
      <c r="H236" s="239"/>
      <c r="I236" s="239"/>
      <c r="J236" s="240"/>
    </row>
    <row r="237" spans="2:10">
      <c r="B237" s="102"/>
      <c r="D237" s="44"/>
      <c r="E237" s="44"/>
      <c r="F237" s="44"/>
      <c r="G237" s="44"/>
      <c r="H237" s="44"/>
      <c r="I237" s="44"/>
      <c r="J237" s="242"/>
    </row>
    <row r="238" spans="2:10">
      <c r="B238" s="102"/>
      <c r="C238" s="29" t="s">
        <v>314</v>
      </c>
      <c r="D238" s="44"/>
      <c r="E238" s="44"/>
      <c r="F238" s="44"/>
      <c r="G238" s="44"/>
      <c r="H238" s="44"/>
      <c r="I238" s="44"/>
      <c r="J238" s="41"/>
    </row>
    <row r="239" spans="2:10">
      <c r="B239" s="102"/>
      <c r="D239" s="44"/>
      <c r="E239" s="44"/>
      <c r="F239" s="44"/>
      <c r="G239" s="44"/>
      <c r="H239" s="44"/>
      <c r="I239" s="44"/>
      <c r="J239" s="41"/>
    </row>
    <row r="240" spans="2:10">
      <c r="B240" s="102"/>
      <c r="D240" s="44"/>
      <c r="E240" s="44"/>
      <c r="F240" s="44"/>
      <c r="G240" s="44"/>
      <c r="H240" s="44"/>
      <c r="I240" s="44"/>
      <c r="J240" s="41"/>
    </row>
    <row r="241" spans="2:10">
      <c r="B241" s="102"/>
      <c r="J241" s="122"/>
    </row>
    <row r="242" spans="2:10">
      <c r="B242" s="102"/>
      <c r="J242" s="122"/>
    </row>
    <row r="243" spans="2:10">
      <c r="B243" s="102"/>
      <c r="J243" s="122"/>
    </row>
    <row r="244" spans="2:10">
      <c r="B244" s="102"/>
      <c r="J244" s="122"/>
    </row>
    <row r="245" spans="2:10">
      <c r="B245" s="102"/>
      <c r="J245" s="122"/>
    </row>
    <row r="246" spans="2:10">
      <c r="B246" s="102"/>
      <c r="J246" s="122"/>
    </row>
    <row r="247" spans="2:10">
      <c r="B247" s="102"/>
      <c r="J247" s="122"/>
    </row>
    <row r="248" spans="2:10">
      <c r="B248" s="102"/>
      <c r="J248" s="122"/>
    </row>
    <row r="249" spans="2:10">
      <c r="B249" s="102"/>
      <c r="C249" s="29"/>
      <c r="J249" s="122"/>
    </row>
    <row r="250" spans="2:10">
      <c r="B250" s="102"/>
      <c r="J250" s="122"/>
    </row>
    <row r="251" spans="2:10">
      <c r="B251" s="102"/>
      <c r="J251" s="122"/>
    </row>
    <row r="252" spans="2:10">
      <c r="B252" s="102"/>
      <c r="J252" s="122"/>
    </row>
    <row r="253" spans="2:10">
      <c r="B253" s="102"/>
      <c r="J253" s="122"/>
    </row>
    <row r="254" spans="2:10">
      <c r="B254" s="102"/>
      <c r="J254" s="122"/>
    </row>
    <row r="255" spans="2:10">
      <c r="B255" s="102"/>
      <c r="J255" s="122"/>
    </row>
    <row r="256" spans="2:10">
      <c r="B256" s="102"/>
      <c r="J256" s="122"/>
    </row>
    <row r="257" spans="2:10">
      <c r="B257" s="102"/>
      <c r="C257" s="29" t="s">
        <v>318</v>
      </c>
      <c r="J257" s="122"/>
    </row>
    <row r="258" spans="2:10">
      <c r="B258" s="102"/>
      <c r="J258" s="122"/>
    </row>
    <row r="259" spans="2:10">
      <c r="B259" s="102"/>
      <c r="J259" s="122"/>
    </row>
    <row r="260" spans="2:10">
      <c r="B260" s="102"/>
      <c r="J260" s="122"/>
    </row>
    <row r="261" spans="2:10">
      <c r="B261" s="102"/>
      <c r="J261" s="122"/>
    </row>
    <row r="262" spans="2:10">
      <c r="B262" s="102"/>
      <c r="J262" s="122"/>
    </row>
    <row r="263" spans="2:10">
      <c r="B263" s="102"/>
      <c r="J263" s="122"/>
    </row>
    <row r="264" spans="2:10">
      <c r="B264" s="102"/>
      <c r="J264" s="122"/>
    </row>
    <row r="265" spans="2:10">
      <c r="B265" s="102"/>
      <c r="J265" s="122"/>
    </row>
    <row r="266" spans="2:10">
      <c r="B266" s="102"/>
      <c r="J266" s="122"/>
    </row>
    <row r="267" spans="2:10">
      <c r="B267" s="102"/>
      <c r="J267" s="122"/>
    </row>
    <row r="268" spans="2:10">
      <c r="B268" s="102"/>
      <c r="J268" s="122"/>
    </row>
    <row r="269" spans="2:10">
      <c r="B269" s="102"/>
      <c r="J269" s="122"/>
    </row>
    <row r="270" spans="2:10">
      <c r="B270" s="102"/>
      <c r="J270" s="122"/>
    </row>
    <row r="271" spans="2:10">
      <c r="B271" s="102"/>
      <c r="J271" s="122"/>
    </row>
    <row r="272" spans="2:10">
      <c r="B272" s="238" t="s">
        <v>319</v>
      </c>
      <c r="C272" s="239" t="s">
        <v>320</v>
      </c>
      <c r="D272" s="239"/>
      <c r="E272" s="239"/>
      <c r="F272" s="239"/>
      <c r="G272" s="239"/>
      <c r="H272" s="239"/>
      <c r="I272" s="239"/>
      <c r="J272" s="240"/>
    </row>
    <row r="273" spans="2:10">
      <c r="B273" s="102"/>
      <c r="J273" s="122"/>
    </row>
    <row r="274" spans="2:10">
      <c r="B274" s="102"/>
      <c r="C274" s="29" t="s">
        <v>321</v>
      </c>
      <c r="J274" s="122"/>
    </row>
    <row r="275" spans="2:10">
      <c r="B275" s="102"/>
      <c r="J275" s="122"/>
    </row>
    <row r="276" spans="2:10">
      <c r="B276" s="102"/>
      <c r="J276" s="122"/>
    </row>
    <row r="277" spans="2:10">
      <c r="B277" s="102"/>
      <c r="J277" s="122"/>
    </row>
    <row r="278" spans="2:10">
      <c r="B278" s="102"/>
      <c r="J278" s="122"/>
    </row>
    <row r="279" spans="2:10">
      <c r="B279" s="102"/>
      <c r="J279" s="122"/>
    </row>
    <row r="280" spans="2:10">
      <c r="B280" s="102"/>
      <c r="J280" s="122"/>
    </row>
    <row r="281" spans="2:10">
      <c r="B281" s="102"/>
      <c r="J281" s="122"/>
    </row>
    <row r="282" spans="2:10">
      <c r="B282" s="102"/>
      <c r="J282" s="122"/>
    </row>
    <row r="283" spans="2:10">
      <c r="B283" s="102"/>
      <c r="J283" s="122"/>
    </row>
    <row r="284" spans="2:10">
      <c r="B284" s="102"/>
      <c r="J284" s="122"/>
    </row>
    <row r="285" spans="2:10">
      <c r="B285" s="102"/>
      <c r="J285" s="122"/>
    </row>
    <row r="286" spans="2:10">
      <c r="B286" s="102"/>
      <c r="J286" s="122"/>
    </row>
    <row r="287" spans="2:10">
      <c r="B287" s="102"/>
      <c r="J287" s="122"/>
    </row>
    <row r="288" spans="2:10">
      <c r="B288" s="102"/>
      <c r="J288" s="122"/>
    </row>
    <row r="289" spans="2:10">
      <c r="B289" s="102"/>
      <c r="J289" s="122"/>
    </row>
    <row r="290" spans="2:10">
      <c r="B290" s="102"/>
      <c r="J290" s="122"/>
    </row>
    <row r="291" spans="2:10">
      <c r="B291" s="102"/>
      <c r="J291" s="122"/>
    </row>
    <row r="292" spans="2:10">
      <c r="B292" s="102"/>
      <c r="J292" s="122"/>
    </row>
    <row r="293" spans="2:10">
      <c r="B293" s="102"/>
      <c r="J293" s="122"/>
    </row>
    <row r="294" spans="2:10">
      <c r="B294" s="102"/>
      <c r="J294" s="122"/>
    </row>
    <row r="295" spans="2:10">
      <c r="B295" s="102"/>
      <c r="C295" s="27" t="s">
        <v>315</v>
      </c>
      <c r="J295" s="122"/>
    </row>
    <row r="296" spans="2:10">
      <c r="B296" s="102"/>
      <c r="J296" s="122"/>
    </row>
    <row r="297" spans="2:10">
      <c r="B297" s="102"/>
      <c r="J297" s="122"/>
    </row>
    <row r="298" spans="2:10">
      <c r="B298" s="102"/>
      <c r="J298" s="122"/>
    </row>
    <row r="299" spans="2:10">
      <c r="B299" s="102"/>
      <c r="J299" s="122"/>
    </row>
    <row r="300" spans="2:10">
      <c r="B300" s="102"/>
      <c r="J300" s="122"/>
    </row>
    <row r="301" spans="2:10">
      <c r="B301" s="102"/>
      <c r="J301" s="122"/>
    </row>
    <row r="302" spans="2:10">
      <c r="B302" s="102"/>
      <c r="J302" s="122"/>
    </row>
    <row r="303" spans="2:10">
      <c r="B303" s="102"/>
      <c r="J303" s="122"/>
    </row>
    <row r="304" spans="2:10">
      <c r="B304" s="102"/>
      <c r="J304" s="122"/>
    </row>
    <row r="305" spans="2:10">
      <c r="B305" s="102"/>
      <c r="J305" s="122"/>
    </row>
    <row r="306" spans="2:10">
      <c r="B306" s="102"/>
      <c r="J306" s="122"/>
    </row>
    <row r="307" spans="2:10">
      <c r="B307" s="102"/>
      <c r="J307" s="122"/>
    </row>
    <row r="308" spans="2:10">
      <c r="B308" s="102"/>
      <c r="J308" s="122"/>
    </row>
    <row r="309" spans="2:10" ht="15.5" thickBot="1">
      <c r="B309" s="117"/>
      <c r="C309" s="118"/>
      <c r="D309" s="118"/>
      <c r="E309" s="118"/>
      <c r="F309" s="118"/>
      <c r="G309" s="118"/>
      <c r="H309" s="118"/>
      <c r="I309" s="118"/>
      <c r="J309" s="210"/>
    </row>
  </sheetData>
  <mergeCells count="26">
    <mergeCell ref="B2:J2"/>
    <mergeCell ref="B4:B5"/>
    <mergeCell ref="C5:D5"/>
    <mergeCell ref="E5:J5"/>
    <mergeCell ref="B46:B47"/>
    <mergeCell ref="C47:D47"/>
    <mergeCell ref="E47:J47"/>
    <mergeCell ref="B63:B64"/>
    <mergeCell ref="C64:D64"/>
    <mergeCell ref="E64:J64"/>
    <mergeCell ref="B79:B80"/>
    <mergeCell ref="C80:D80"/>
    <mergeCell ref="E80:J80"/>
    <mergeCell ref="B127:B128"/>
    <mergeCell ref="C128:D128"/>
    <mergeCell ref="E128:J128"/>
    <mergeCell ref="B147:B148"/>
    <mergeCell ref="C148:D148"/>
    <mergeCell ref="E148:J148"/>
    <mergeCell ref="B167:B168"/>
    <mergeCell ref="C168:D168"/>
    <mergeCell ref="E168:J168"/>
    <mergeCell ref="B205:B206"/>
    <mergeCell ref="C205:F205"/>
    <mergeCell ref="C206:D206"/>
    <mergeCell ref="E206:J206"/>
  </mergeCells>
  <phoneticPr fontId="24" type="noConversion"/>
  <hyperlinks>
    <hyperlink ref="A1" location="【TCS】!A1" display="戻る" xr:uid="{2D24C2B8-F713-4394-A2B2-6A2BE9899588}"/>
  </hyperlinks>
  <pageMargins left="0.75" right="0.75" top="1" bottom="1" header="0.51200000000000001" footer="0.51200000000000001"/>
  <pageSetup paperSize="9" orientation="portrait" verticalDpi="0" r:id="rId1"/>
  <headerFooter alignWithMargins="0"/>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9156B7-59E4-451F-94D2-6691F7AA5087}">
  <dimension ref="A1:K96"/>
  <sheetViews>
    <sheetView showGridLines="0" workbookViewId="0">
      <pane ySplit="3" topLeftCell="A50" activePane="bottomLeft" state="frozen"/>
      <selection activeCell="G18" sqref="G18"/>
      <selection pane="bottomLeft" activeCell="G18" sqref="G18"/>
    </sheetView>
  </sheetViews>
  <sheetFormatPr defaultRowHeight="15"/>
  <cols>
    <col min="1" max="1" width="3.26953125" style="27" customWidth="1"/>
    <col min="2" max="2" width="8.36328125" style="27" customWidth="1"/>
    <col min="3" max="3" width="10" style="27" customWidth="1"/>
    <col min="4" max="4" width="12.36328125" style="29" customWidth="1"/>
    <col min="5" max="5" width="14.90625" style="29" customWidth="1"/>
    <col min="6" max="6" width="16.36328125" style="29" bestFit="1" customWidth="1"/>
    <col min="7" max="7" width="7" style="29" bestFit="1" customWidth="1"/>
    <col min="8" max="8" width="16.36328125" style="29" bestFit="1" customWidth="1"/>
    <col min="9" max="9" width="7" style="29" bestFit="1" customWidth="1"/>
    <col min="10" max="10" width="16.08984375" style="29" customWidth="1"/>
    <col min="11" max="256" width="9" style="27"/>
    <col min="257" max="257" width="3.26953125" style="27" customWidth="1"/>
    <col min="258" max="258" width="8.36328125" style="27" customWidth="1"/>
    <col min="259" max="259" width="10" style="27" customWidth="1"/>
    <col min="260" max="260" width="12.36328125" style="27" customWidth="1"/>
    <col min="261" max="261" width="14.90625" style="27" customWidth="1"/>
    <col min="262" max="262" width="16.36328125" style="27" bestFit="1" customWidth="1"/>
    <col min="263" max="263" width="7" style="27" bestFit="1" customWidth="1"/>
    <col min="264" max="264" width="16.36328125" style="27" bestFit="1" customWidth="1"/>
    <col min="265" max="265" width="7" style="27" bestFit="1" customWidth="1"/>
    <col min="266" max="266" width="16.08984375" style="27" customWidth="1"/>
    <col min="267" max="512" width="9" style="27"/>
    <col min="513" max="513" width="3.26953125" style="27" customWidth="1"/>
    <col min="514" max="514" width="8.36328125" style="27" customWidth="1"/>
    <col min="515" max="515" width="10" style="27" customWidth="1"/>
    <col min="516" max="516" width="12.36328125" style="27" customWidth="1"/>
    <col min="517" max="517" width="14.90625" style="27" customWidth="1"/>
    <col min="518" max="518" width="16.36328125" style="27" bestFit="1" customWidth="1"/>
    <col min="519" max="519" width="7" style="27" bestFit="1" customWidth="1"/>
    <col min="520" max="520" width="16.36328125" style="27" bestFit="1" customWidth="1"/>
    <col min="521" max="521" width="7" style="27" bestFit="1" customWidth="1"/>
    <col min="522" max="522" width="16.08984375" style="27" customWidth="1"/>
    <col min="523" max="768" width="9" style="27"/>
    <col min="769" max="769" width="3.26953125" style="27" customWidth="1"/>
    <col min="770" max="770" width="8.36328125" style="27" customWidth="1"/>
    <col min="771" max="771" width="10" style="27" customWidth="1"/>
    <col min="772" max="772" width="12.36328125" style="27" customWidth="1"/>
    <col min="773" max="773" width="14.90625" style="27" customWidth="1"/>
    <col min="774" max="774" width="16.36328125" style="27" bestFit="1" customWidth="1"/>
    <col min="775" max="775" width="7" style="27" bestFit="1" customWidth="1"/>
    <col min="776" max="776" width="16.36328125" style="27" bestFit="1" customWidth="1"/>
    <col min="777" max="777" width="7" style="27" bestFit="1" customWidth="1"/>
    <col min="778" max="778" width="16.08984375" style="27" customWidth="1"/>
    <col min="779" max="1024" width="9" style="27"/>
    <col min="1025" max="1025" width="3.26953125" style="27" customWidth="1"/>
    <col min="1026" max="1026" width="8.36328125" style="27" customWidth="1"/>
    <col min="1027" max="1027" width="10" style="27" customWidth="1"/>
    <col min="1028" max="1028" width="12.36328125" style="27" customWidth="1"/>
    <col min="1029" max="1029" width="14.90625" style="27" customWidth="1"/>
    <col min="1030" max="1030" width="16.36328125" style="27" bestFit="1" customWidth="1"/>
    <col min="1031" max="1031" width="7" style="27" bestFit="1" customWidth="1"/>
    <col min="1032" max="1032" width="16.36328125" style="27" bestFit="1" customWidth="1"/>
    <col min="1033" max="1033" width="7" style="27" bestFit="1" customWidth="1"/>
    <col min="1034" max="1034" width="16.08984375" style="27" customWidth="1"/>
    <col min="1035" max="1280" width="9" style="27"/>
    <col min="1281" max="1281" width="3.26953125" style="27" customWidth="1"/>
    <col min="1282" max="1282" width="8.36328125" style="27" customWidth="1"/>
    <col min="1283" max="1283" width="10" style="27" customWidth="1"/>
    <col min="1284" max="1284" width="12.36328125" style="27" customWidth="1"/>
    <col min="1285" max="1285" width="14.90625" style="27" customWidth="1"/>
    <col min="1286" max="1286" width="16.36328125" style="27" bestFit="1" customWidth="1"/>
    <col min="1287" max="1287" width="7" style="27" bestFit="1" customWidth="1"/>
    <col min="1288" max="1288" width="16.36328125" style="27" bestFit="1" customWidth="1"/>
    <col min="1289" max="1289" width="7" style="27" bestFit="1" customWidth="1"/>
    <col min="1290" max="1290" width="16.08984375" style="27" customWidth="1"/>
    <col min="1291" max="1536" width="9" style="27"/>
    <col min="1537" max="1537" width="3.26953125" style="27" customWidth="1"/>
    <col min="1538" max="1538" width="8.36328125" style="27" customWidth="1"/>
    <col min="1539" max="1539" width="10" style="27" customWidth="1"/>
    <col min="1540" max="1540" width="12.36328125" style="27" customWidth="1"/>
    <col min="1541" max="1541" width="14.90625" style="27" customWidth="1"/>
    <col min="1542" max="1542" width="16.36328125" style="27" bestFit="1" customWidth="1"/>
    <col min="1543" max="1543" width="7" style="27" bestFit="1" customWidth="1"/>
    <col min="1544" max="1544" width="16.36328125" style="27" bestFit="1" customWidth="1"/>
    <col min="1545" max="1545" width="7" style="27" bestFit="1" customWidth="1"/>
    <col min="1546" max="1546" width="16.08984375" style="27" customWidth="1"/>
    <col min="1547" max="1792" width="9" style="27"/>
    <col min="1793" max="1793" width="3.26953125" style="27" customWidth="1"/>
    <col min="1794" max="1794" width="8.36328125" style="27" customWidth="1"/>
    <col min="1795" max="1795" width="10" style="27" customWidth="1"/>
    <col min="1796" max="1796" width="12.36328125" style="27" customWidth="1"/>
    <col min="1797" max="1797" width="14.90625" style="27" customWidth="1"/>
    <col min="1798" max="1798" width="16.36328125" style="27" bestFit="1" customWidth="1"/>
    <col min="1799" max="1799" width="7" style="27" bestFit="1" customWidth="1"/>
    <col min="1800" max="1800" width="16.36328125" style="27" bestFit="1" customWidth="1"/>
    <col min="1801" max="1801" width="7" style="27" bestFit="1" customWidth="1"/>
    <col min="1802" max="1802" width="16.08984375" style="27" customWidth="1"/>
    <col min="1803" max="2048" width="9" style="27"/>
    <col min="2049" max="2049" width="3.26953125" style="27" customWidth="1"/>
    <col min="2050" max="2050" width="8.36328125" style="27" customWidth="1"/>
    <col min="2051" max="2051" width="10" style="27" customWidth="1"/>
    <col min="2052" max="2052" width="12.36328125" style="27" customWidth="1"/>
    <col min="2053" max="2053" width="14.90625" style="27" customWidth="1"/>
    <col min="2054" max="2054" width="16.36328125" style="27" bestFit="1" customWidth="1"/>
    <col min="2055" max="2055" width="7" style="27" bestFit="1" customWidth="1"/>
    <col min="2056" max="2056" width="16.36328125" style="27" bestFit="1" customWidth="1"/>
    <col min="2057" max="2057" width="7" style="27" bestFit="1" customWidth="1"/>
    <col min="2058" max="2058" width="16.08984375" style="27" customWidth="1"/>
    <col min="2059" max="2304" width="9" style="27"/>
    <col min="2305" max="2305" width="3.26953125" style="27" customWidth="1"/>
    <col min="2306" max="2306" width="8.36328125" style="27" customWidth="1"/>
    <col min="2307" max="2307" width="10" style="27" customWidth="1"/>
    <col min="2308" max="2308" width="12.36328125" style="27" customWidth="1"/>
    <col min="2309" max="2309" width="14.90625" style="27" customWidth="1"/>
    <col min="2310" max="2310" width="16.36328125" style="27" bestFit="1" customWidth="1"/>
    <col min="2311" max="2311" width="7" style="27" bestFit="1" customWidth="1"/>
    <col min="2312" max="2312" width="16.36328125" style="27" bestFit="1" customWidth="1"/>
    <col min="2313" max="2313" width="7" style="27" bestFit="1" customWidth="1"/>
    <col min="2314" max="2314" width="16.08984375" style="27" customWidth="1"/>
    <col min="2315" max="2560" width="9" style="27"/>
    <col min="2561" max="2561" width="3.26953125" style="27" customWidth="1"/>
    <col min="2562" max="2562" width="8.36328125" style="27" customWidth="1"/>
    <col min="2563" max="2563" width="10" style="27" customWidth="1"/>
    <col min="2564" max="2564" width="12.36328125" style="27" customWidth="1"/>
    <col min="2565" max="2565" width="14.90625" style="27" customWidth="1"/>
    <col min="2566" max="2566" width="16.36328125" style="27" bestFit="1" customWidth="1"/>
    <col min="2567" max="2567" width="7" style="27" bestFit="1" customWidth="1"/>
    <col min="2568" max="2568" width="16.36328125" style="27" bestFit="1" customWidth="1"/>
    <col min="2569" max="2569" width="7" style="27" bestFit="1" customWidth="1"/>
    <col min="2570" max="2570" width="16.08984375" style="27" customWidth="1"/>
    <col min="2571" max="2816" width="9" style="27"/>
    <col min="2817" max="2817" width="3.26953125" style="27" customWidth="1"/>
    <col min="2818" max="2818" width="8.36328125" style="27" customWidth="1"/>
    <col min="2819" max="2819" width="10" style="27" customWidth="1"/>
    <col min="2820" max="2820" width="12.36328125" style="27" customWidth="1"/>
    <col min="2821" max="2821" width="14.90625" style="27" customWidth="1"/>
    <col min="2822" max="2822" width="16.36328125" style="27" bestFit="1" customWidth="1"/>
    <col min="2823" max="2823" width="7" style="27" bestFit="1" customWidth="1"/>
    <col min="2824" max="2824" width="16.36328125" style="27" bestFit="1" customWidth="1"/>
    <col min="2825" max="2825" width="7" style="27" bestFit="1" customWidth="1"/>
    <col min="2826" max="2826" width="16.08984375" style="27" customWidth="1"/>
    <col min="2827" max="3072" width="9" style="27"/>
    <col min="3073" max="3073" width="3.26953125" style="27" customWidth="1"/>
    <col min="3074" max="3074" width="8.36328125" style="27" customWidth="1"/>
    <col min="3075" max="3075" width="10" style="27" customWidth="1"/>
    <col min="3076" max="3076" width="12.36328125" style="27" customWidth="1"/>
    <col min="3077" max="3077" width="14.90625" style="27" customWidth="1"/>
    <col min="3078" max="3078" width="16.36328125" style="27" bestFit="1" customWidth="1"/>
    <col min="3079" max="3079" width="7" style="27" bestFit="1" customWidth="1"/>
    <col min="3080" max="3080" width="16.36328125" style="27" bestFit="1" customWidth="1"/>
    <col min="3081" max="3081" width="7" style="27" bestFit="1" customWidth="1"/>
    <col min="3082" max="3082" width="16.08984375" style="27" customWidth="1"/>
    <col min="3083" max="3328" width="9" style="27"/>
    <col min="3329" max="3329" width="3.26953125" style="27" customWidth="1"/>
    <col min="3330" max="3330" width="8.36328125" style="27" customWidth="1"/>
    <col min="3331" max="3331" width="10" style="27" customWidth="1"/>
    <col min="3332" max="3332" width="12.36328125" style="27" customWidth="1"/>
    <col min="3333" max="3333" width="14.90625" style="27" customWidth="1"/>
    <col min="3334" max="3334" width="16.36328125" style="27" bestFit="1" customWidth="1"/>
    <col min="3335" max="3335" width="7" style="27" bestFit="1" customWidth="1"/>
    <col min="3336" max="3336" width="16.36328125" style="27" bestFit="1" customWidth="1"/>
    <col min="3337" max="3337" width="7" style="27" bestFit="1" customWidth="1"/>
    <col min="3338" max="3338" width="16.08984375" style="27" customWidth="1"/>
    <col min="3339" max="3584" width="9" style="27"/>
    <col min="3585" max="3585" width="3.26953125" style="27" customWidth="1"/>
    <col min="3586" max="3586" width="8.36328125" style="27" customWidth="1"/>
    <col min="3587" max="3587" width="10" style="27" customWidth="1"/>
    <col min="3588" max="3588" width="12.36328125" style="27" customWidth="1"/>
    <col min="3589" max="3589" width="14.90625" style="27" customWidth="1"/>
    <col min="3590" max="3590" width="16.36328125" style="27" bestFit="1" customWidth="1"/>
    <col min="3591" max="3591" width="7" style="27" bestFit="1" customWidth="1"/>
    <col min="3592" max="3592" width="16.36328125" style="27" bestFit="1" customWidth="1"/>
    <col min="3593" max="3593" width="7" style="27" bestFit="1" customWidth="1"/>
    <col min="3594" max="3594" width="16.08984375" style="27" customWidth="1"/>
    <col min="3595" max="3840" width="9" style="27"/>
    <col min="3841" max="3841" width="3.26953125" style="27" customWidth="1"/>
    <col min="3842" max="3842" width="8.36328125" style="27" customWidth="1"/>
    <col min="3843" max="3843" width="10" style="27" customWidth="1"/>
    <col min="3844" max="3844" width="12.36328125" style="27" customWidth="1"/>
    <col min="3845" max="3845" width="14.90625" style="27" customWidth="1"/>
    <col min="3846" max="3846" width="16.36328125" style="27" bestFit="1" customWidth="1"/>
    <col min="3847" max="3847" width="7" style="27" bestFit="1" customWidth="1"/>
    <col min="3848" max="3848" width="16.36328125" style="27" bestFit="1" customWidth="1"/>
    <col min="3849" max="3849" width="7" style="27" bestFit="1" customWidth="1"/>
    <col min="3850" max="3850" width="16.08984375" style="27" customWidth="1"/>
    <col min="3851" max="4096" width="9" style="27"/>
    <col min="4097" max="4097" width="3.26953125" style="27" customWidth="1"/>
    <col min="4098" max="4098" width="8.36328125" style="27" customWidth="1"/>
    <col min="4099" max="4099" width="10" style="27" customWidth="1"/>
    <col min="4100" max="4100" width="12.36328125" style="27" customWidth="1"/>
    <col min="4101" max="4101" width="14.90625" style="27" customWidth="1"/>
    <col min="4102" max="4102" width="16.36328125" style="27" bestFit="1" customWidth="1"/>
    <col min="4103" max="4103" width="7" style="27" bestFit="1" customWidth="1"/>
    <col min="4104" max="4104" width="16.36328125" style="27" bestFit="1" customWidth="1"/>
    <col min="4105" max="4105" width="7" style="27" bestFit="1" customWidth="1"/>
    <col min="4106" max="4106" width="16.08984375" style="27" customWidth="1"/>
    <col min="4107" max="4352" width="9" style="27"/>
    <col min="4353" max="4353" width="3.26953125" style="27" customWidth="1"/>
    <col min="4354" max="4354" width="8.36328125" style="27" customWidth="1"/>
    <col min="4355" max="4355" width="10" style="27" customWidth="1"/>
    <col min="4356" max="4356" width="12.36328125" style="27" customWidth="1"/>
    <col min="4357" max="4357" width="14.90625" style="27" customWidth="1"/>
    <col min="4358" max="4358" width="16.36328125" style="27" bestFit="1" customWidth="1"/>
    <col min="4359" max="4359" width="7" style="27" bestFit="1" customWidth="1"/>
    <col min="4360" max="4360" width="16.36328125" style="27" bestFit="1" customWidth="1"/>
    <col min="4361" max="4361" width="7" style="27" bestFit="1" customWidth="1"/>
    <col min="4362" max="4362" width="16.08984375" style="27" customWidth="1"/>
    <col min="4363" max="4608" width="9" style="27"/>
    <col min="4609" max="4609" width="3.26953125" style="27" customWidth="1"/>
    <col min="4610" max="4610" width="8.36328125" style="27" customWidth="1"/>
    <col min="4611" max="4611" width="10" style="27" customWidth="1"/>
    <col min="4612" max="4612" width="12.36328125" style="27" customWidth="1"/>
    <col min="4613" max="4613" width="14.90625" style="27" customWidth="1"/>
    <col min="4614" max="4614" width="16.36328125" style="27" bestFit="1" customWidth="1"/>
    <col min="4615" max="4615" width="7" style="27" bestFit="1" customWidth="1"/>
    <col min="4616" max="4616" width="16.36328125" style="27" bestFit="1" customWidth="1"/>
    <col min="4617" max="4617" width="7" style="27" bestFit="1" customWidth="1"/>
    <col min="4618" max="4618" width="16.08984375" style="27" customWidth="1"/>
    <col min="4619" max="4864" width="9" style="27"/>
    <col min="4865" max="4865" width="3.26953125" style="27" customWidth="1"/>
    <col min="4866" max="4866" width="8.36328125" style="27" customWidth="1"/>
    <col min="4867" max="4867" width="10" style="27" customWidth="1"/>
    <col min="4868" max="4868" width="12.36328125" style="27" customWidth="1"/>
    <col min="4869" max="4869" width="14.90625" style="27" customWidth="1"/>
    <col min="4870" max="4870" width="16.36328125" style="27" bestFit="1" customWidth="1"/>
    <col min="4871" max="4871" width="7" style="27" bestFit="1" customWidth="1"/>
    <col min="4872" max="4872" width="16.36328125" style="27" bestFit="1" customWidth="1"/>
    <col min="4873" max="4873" width="7" style="27" bestFit="1" customWidth="1"/>
    <col min="4874" max="4874" width="16.08984375" style="27" customWidth="1"/>
    <col min="4875" max="5120" width="9" style="27"/>
    <col min="5121" max="5121" width="3.26953125" style="27" customWidth="1"/>
    <col min="5122" max="5122" width="8.36328125" style="27" customWidth="1"/>
    <col min="5123" max="5123" width="10" style="27" customWidth="1"/>
    <col min="5124" max="5124" width="12.36328125" style="27" customWidth="1"/>
    <col min="5125" max="5125" width="14.90625" style="27" customWidth="1"/>
    <col min="5126" max="5126" width="16.36328125" style="27" bestFit="1" customWidth="1"/>
    <col min="5127" max="5127" width="7" style="27" bestFit="1" customWidth="1"/>
    <col min="5128" max="5128" width="16.36328125" style="27" bestFit="1" customWidth="1"/>
    <col min="5129" max="5129" width="7" style="27" bestFit="1" customWidth="1"/>
    <col min="5130" max="5130" width="16.08984375" style="27" customWidth="1"/>
    <col min="5131" max="5376" width="9" style="27"/>
    <col min="5377" max="5377" width="3.26953125" style="27" customWidth="1"/>
    <col min="5378" max="5378" width="8.36328125" style="27" customWidth="1"/>
    <col min="5379" max="5379" width="10" style="27" customWidth="1"/>
    <col min="5380" max="5380" width="12.36328125" style="27" customWidth="1"/>
    <col min="5381" max="5381" width="14.90625" style="27" customWidth="1"/>
    <col min="5382" max="5382" width="16.36328125" style="27" bestFit="1" customWidth="1"/>
    <col min="5383" max="5383" width="7" style="27" bestFit="1" customWidth="1"/>
    <col min="5384" max="5384" width="16.36328125" style="27" bestFit="1" customWidth="1"/>
    <col min="5385" max="5385" width="7" style="27" bestFit="1" customWidth="1"/>
    <col min="5386" max="5386" width="16.08984375" style="27" customWidth="1"/>
    <col min="5387" max="5632" width="9" style="27"/>
    <col min="5633" max="5633" width="3.26953125" style="27" customWidth="1"/>
    <col min="5634" max="5634" width="8.36328125" style="27" customWidth="1"/>
    <col min="5635" max="5635" width="10" style="27" customWidth="1"/>
    <col min="5636" max="5636" width="12.36328125" style="27" customWidth="1"/>
    <col min="5637" max="5637" width="14.90625" style="27" customWidth="1"/>
    <col min="5638" max="5638" width="16.36328125" style="27" bestFit="1" customWidth="1"/>
    <col min="5639" max="5639" width="7" style="27" bestFit="1" customWidth="1"/>
    <col min="5640" max="5640" width="16.36328125" style="27" bestFit="1" customWidth="1"/>
    <col min="5641" max="5641" width="7" style="27" bestFit="1" customWidth="1"/>
    <col min="5642" max="5642" width="16.08984375" style="27" customWidth="1"/>
    <col min="5643" max="5888" width="9" style="27"/>
    <col min="5889" max="5889" width="3.26953125" style="27" customWidth="1"/>
    <col min="5890" max="5890" width="8.36328125" style="27" customWidth="1"/>
    <col min="5891" max="5891" width="10" style="27" customWidth="1"/>
    <col min="5892" max="5892" width="12.36328125" style="27" customWidth="1"/>
    <col min="5893" max="5893" width="14.90625" style="27" customWidth="1"/>
    <col min="5894" max="5894" width="16.36328125" style="27" bestFit="1" customWidth="1"/>
    <col min="5895" max="5895" width="7" style="27" bestFit="1" customWidth="1"/>
    <col min="5896" max="5896" width="16.36328125" style="27" bestFit="1" customWidth="1"/>
    <col min="5897" max="5897" width="7" style="27" bestFit="1" customWidth="1"/>
    <col min="5898" max="5898" width="16.08984375" style="27" customWidth="1"/>
    <col min="5899" max="6144" width="9" style="27"/>
    <col min="6145" max="6145" width="3.26953125" style="27" customWidth="1"/>
    <col min="6146" max="6146" width="8.36328125" style="27" customWidth="1"/>
    <col min="6147" max="6147" width="10" style="27" customWidth="1"/>
    <col min="6148" max="6148" width="12.36328125" style="27" customWidth="1"/>
    <col min="6149" max="6149" width="14.90625" style="27" customWidth="1"/>
    <col min="6150" max="6150" width="16.36328125" style="27" bestFit="1" customWidth="1"/>
    <col min="6151" max="6151" width="7" style="27" bestFit="1" customWidth="1"/>
    <col min="6152" max="6152" width="16.36328125" style="27" bestFit="1" customWidth="1"/>
    <col min="6153" max="6153" width="7" style="27" bestFit="1" customWidth="1"/>
    <col min="6154" max="6154" width="16.08984375" style="27" customWidth="1"/>
    <col min="6155" max="6400" width="9" style="27"/>
    <col min="6401" max="6401" width="3.26953125" style="27" customWidth="1"/>
    <col min="6402" max="6402" width="8.36328125" style="27" customWidth="1"/>
    <col min="6403" max="6403" width="10" style="27" customWidth="1"/>
    <col min="6404" max="6404" width="12.36328125" style="27" customWidth="1"/>
    <col min="6405" max="6405" width="14.90625" style="27" customWidth="1"/>
    <col min="6406" max="6406" width="16.36328125" style="27" bestFit="1" customWidth="1"/>
    <col min="6407" max="6407" width="7" style="27" bestFit="1" customWidth="1"/>
    <col min="6408" max="6408" width="16.36328125" style="27" bestFit="1" customWidth="1"/>
    <col min="6409" max="6409" width="7" style="27" bestFit="1" customWidth="1"/>
    <col min="6410" max="6410" width="16.08984375" style="27" customWidth="1"/>
    <col min="6411" max="6656" width="9" style="27"/>
    <col min="6657" max="6657" width="3.26953125" style="27" customWidth="1"/>
    <col min="6658" max="6658" width="8.36328125" style="27" customWidth="1"/>
    <col min="6659" max="6659" width="10" style="27" customWidth="1"/>
    <col min="6660" max="6660" width="12.36328125" style="27" customWidth="1"/>
    <col min="6661" max="6661" width="14.90625" style="27" customWidth="1"/>
    <col min="6662" max="6662" width="16.36328125" style="27" bestFit="1" customWidth="1"/>
    <col min="6663" max="6663" width="7" style="27" bestFit="1" customWidth="1"/>
    <col min="6664" max="6664" width="16.36328125" style="27" bestFit="1" customWidth="1"/>
    <col min="6665" max="6665" width="7" style="27" bestFit="1" customWidth="1"/>
    <col min="6666" max="6666" width="16.08984375" style="27" customWidth="1"/>
    <col min="6667" max="6912" width="9" style="27"/>
    <col min="6913" max="6913" width="3.26953125" style="27" customWidth="1"/>
    <col min="6914" max="6914" width="8.36328125" style="27" customWidth="1"/>
    <col min="6915" max="6915" width="10" style="27" customWidth="1"/>
    <col min="6916" max="6916" width="12.36328125" style="27" customWidth="1"/>
    <col min="6917" max="6917" width="14.90625" style="27" customWidth="1"/>
    <col min="6918" max="6918" width="16.36328125" style="27" bestFit="1" customWidth="1"/>
    <col min="6919" max="6919" width="7" style="27" bestFit="1" customWidth="1"/>
    <col min="6920" max="6920" width="16.36328125" style="27" bestFit="1" customWidth="1"/>
    <col min="6921" max="6921" width="7" style="27" bestFit="1" customWidth="1"/>
    <col min="6922" max="6922" width="16.08984375" style="27" customWidth="1"/>
    <col min="6923" max="7168" width="9" style="27"/>
    <col min="7169" max="7169" width="3.26953125" style="27" customWidth="1"/>
    <col min="7170" max="7170" width="8.36328125" style="27" customWidth="1"/>
    <col min="7171" max="7171" width="10" style="27" customWidth="1"/>
    <col min="7172" max="7172" width="12.36328125" style="27" customWidth="1"/>
    <col min="7173" max="7173" width="14.90625" style="27" customWidth="1"/>
    <col min="7174" max="7174" width="16.36328125" style="27" bestFit="1" customWidth="1"/>
    <col min="7175" max="7175" width="7" style="27" bestFit="1" customWidth="1"/>
    <col min="7176" max="7176" width="16.36328125" style="27" bestFit="1" customWidth="1"/>
    <col min="7177" max="7177" width="7" style="27" bestFit="1" customWidth="1"/>
    <col min="7178" max="7178" width="16.08984375" style="27" customWidth="1"/>
    <col min="7179" max="7424" width="9" style="27"/>
    <col min="7425" max="7425" width="3.26953125" style="27" customWidth="1"/>
    <col min="7426" max="7426" width="8.36328125" style="27" customWidth="1"/>
    <col min="7427" max="7427" width="10" style="27" customWidth="1"/>
    <col min="7428" max="7428" width="12.36328125" style="27" customWidth="1"/>
    <col min="7429" max="7429" width="14.90625" style="27" customWidth="1"/>
    <col min="7430" max="7430" width="16.36328125" style="27" bestFit="1" customWidth="1"/>
    <col min="7431" max="7431" width="7" style="27" bestFit="1" customWidth="1"/>
    <col min="7432" max="7432" width="16.36328125" style="27" bestFit="1" customWidth="1"/>
    <col min="7433" max="7433" width="7" style="27" bestFit="1" customWidth="1"/>
    <col min="7434" max="7434" width="16.08984375" style="27" customWidth="1"/>
    <col min="7435" max="7680" width="9" style="27"/>
    <col min="7681" max="7681" width="3.26953125" style="27" customWidth="1"/>
    <col min="7682" max="7682" width="8.36328125" style="27" customWidth="1"/>
    <col min="7683" max="7683" width="10" style="27" customWidth="1"/>
    <col min="7684" max="7684" width="12.36328125" style="27" customWidth="1"/>
    <col min="7685" max="7685" width="14.90625" style="27" customWidth="1"/>
    <col min="7686" max="7686" width="16.36328125" style="27" bestFit="1" customWidth="1"/>
    <col min="7687" max="7687" width="7" style="27" bestFit="1" customWidth="1"/>
    <col min="7688" max="7688" width="16.36328125" style="27" bestFit="1" customWidth="1"/>
    <col min="7689" max="7689" width="7" style="27" bestFit="1" customWidth="1"/>
    <col min="7690" max="7690" width="16.08984375" style="27" customWidth="1"/>
    <col min="7691" max="7936" width="9" style="27"/>
    <col min="7937" max="7937" width="3.26953125" style="27" customWidth="1"/>
    <col min="7938" max="7938" width="8.36328125" style="27" customWidth="1"/>
    <col min="7939" max="7939" width="10" style="27" customWidth="1"/>
    <col min="7940" max="7940" width="12.36328125" style="27" customWidth="1"/>
    <col min="7941" max="7941" width="14.90625" style="27" customWidth="1"/>
    <col min="7942" max="7942" width="16.36328125" style="27" bestFit="1" customWidth="1"/>
    <col min="7943" max="7943" width="7" style="27" bestFit="1" customWidth="1"/>
    <col min="7944" max="7944" width="16.36328125" style="27" bestFit="1" customWidth="1"/>
    <col min="7945" max="7945" width="7" style="27" bestFit="1" customWidth="1"/>
    <col min="7946" max="7946" width="16.08984375" style="27" customWidth="1"/>
    <col min="7947" max="8192" width="9" style="27"/>
    <col min="8193" max="8193" width="3.26953125" style="27" customWidth="1"/>
    <col min="8194" max="8194" width="8.36328125" style="27" customWidth="1"/>
    <col min="8195" max="8195" width="10" style="27" customWidth="1"/>
    <col min="8196" max="8196" width="12.36328125" style="27" customWidth="1"/>
    <col min="8197" max="8197" width="14.90625" style="27" customWidth="1"/>
    <col min="8198" max="8198" width="16.36328125" style="27" bestFit="1" customWidth="1"/>
    <col min="8199" max="8199" width="7" style="27" bestFit="1" customWidth="1"/>
    <col min="8200" max="8200" width="16.36328125" style="27" bestFit="1" customWidth="1"/>
    <col min="8201" max="8201" width="7" style="27" bestFit="1" customWidth="1"/>
    <col min="8202" max="8202" width="16.08984375" style="27" customWidth="1"/>
    <col min="8203" max="8448" width="9" style="27"/>
    <col min="8449" max="8449" width="3.26953125" style="27" customWidth="1"/>
    <col min="8450" max="8450" width="8.36328125" style="27" customWidth="1"/>
    <col min="8451" max="8451" width="10" style="27" customWidth="1"/>
    <col min="8452" max="8452" width="12.36328125" style="27" customWidth="1"/>
    <col min="8453" max="8453" width="14.90625" style="27" customWidth="1"/>
    <col min="8454" max="8454" width="16.36328125" style="27" bestFit="1" customWidth="1"/>
    <col min="8455" max="8455" width="7" style="27" bestFit="1" customWidth="1"/>
    <col min="8456" max="8456" width="16.36328125" style="27" bestFit="1" customWidth="1"/>
    <col min="8457" max="8457" width="7" style="27" bestFit="1" customWidth="1"/>
    <col min="8458" max="8458" width="16.08984375" style="27" customWidth="1"/>
    <col min="8459" max="8704" width="9" style="27"/>
    <col min="8705" max="8705" width="3.26953125" style="27" customWidth="1"/>
    <col min="8706" max="8706" width="8.36328125" style="27" customWidth="1"/>
    <col min="8707" max="8707" width="10" style="27" customWidth="1"/>
    <col min="8708" max="8708" width="12.36328125" style="27" customWidth="1"/>
    <col min="8709" max="8709" width="14.90625" style="27" customWidth="1"/>
    <col min="8710" max="8710" width="16.36328125" style="27" bestFit="1" customWidth="1"/>
    <col min="8711" max="8711" width="7" style="27" bestFit="1" customWidth="1"/>
    <col min="8712" max="8712" width="16.36328125" style="27" bestFit="1" customWidth="1"/>
    <col min="8713" max="8713" width="7" style="27" bestFit="1" customWidth="1"/>
    <col min="8714" max="8714" width="16.08984375" style="27" customWidth="1"/>
    <col min="8715" max="8960" width="9" style="27"/>
    <col min="8961" max="8961" width="3.26953125" style="27" customWidth="1"/>
    <col min="8962" max="8962" width="8.36328125" style="27" customWidth="1"/>
    <col min="8963" max="8963" width="10" style="27" customWidth="1"/>
    <col min="8964" max="8964" width="12.36328125" style="27" customWidth="1"/>
    <col min="8965" max="8965" width="14.90625" style="27" customWidth="1"/>
    <col min="8966" max="8966" width="16.36328125" style="27" bestFit="1" customWidth="1"/>
    <col min="8967" max="8967" width="7" style="27" bestFit="1" customWidth="1"/>
    <col min="8968" max="8968" width="16.36328125" style="27" bestFit="1" customWidth="1"/>
    <col min="8969" max="8969" width="7" style="27" bestFit="1" customWidth="1"/>
    <col min="8970" max="8970" width="16.08984375" style="27" customWidth="1"/>
    <col min="8971" max="9216" width="9" style="27"/>
    <col min="9217" max="9217" width="3.26953125" style="27" customWidth="1"/>
    <col min="9218" max="9218" width="8.36328125" style="27" customWidth="1"/>
    <col min="9219" max="9219" width="10" style="27" customWidth="1"/>
    <col min="9220" max="9220" width="12.36328125" style="27" customWidth="1"/>
    <col min="9221" max="9221" width="14.90625" style="27" customWidth="1"/>
    <col min="9222" max="9222" width="16.36328125" style="27" bestFit="1" customWidth="1"/>
    <col min="9223" max="9223" width="7" style="27" bestFit="1" customWidth="1"/>
    <col min="9224" max="9224" width="16.36328125" style="27" bestFit="1" customWidth="1"/>
    <col min="9225" max="9225" width="7" style="27" bestFit="1" customWidth="1"/>
    <col min="9226" max="9226" width="16.08984375" style="27" customWidth="1"/>
    <col min="9227" max="9472" width="9" style="27"/>
    <col min="9473" max="9473" width="3.26953125" style="27" customWidth="1"/>
    <col min="9474" max="9474" width="8.36328125" style="27" customWidth="1"/>
    <col min="9475" max="9475" width="10" style="27" customWidth="1"/>
    <col min="9476" max="9476" width="12.36328125" style="27" customWidth="1"/>
    <col min="9477" max="9477" width="14.90625" style="27" customWidth="1"/>
    <col min="9478" max="9478" width="16.36328125" style="27" bestFit="1" customWidth="1"/>
    <col min="9479" max="9479" width="7" style="27" bestFit="1" customWidth="1"/>
    <col min="9480" max="9480" width="16.36328125" style="27" bestFit="1" customWidth="1"/>
    <col min="9481" max="9481" width="7" style="27" bestFit="1" customWidth="1"/>
    <col min="9482" max="9482" width="16.08984375" style="27" customWidth="1"/>
    <col min="9483" max="9728" width="9" style="27"/>
    <col min="9729" max="9729" width="3.26953125" style="27" customWidth="1"/>
    <col min="9730" max="9730" width="8.36328125" style="27" customWidth="1"/>
    <col min="9731" max="9731" width="10" style="27" customWidth="1"/>
    <col min="9732" max="9732" width="12.36328125" style="27" customWidth="1"/>
    <col min="9733" max="9733" width="14.90625" style="27" customWidth="1"/>
    <col min="9734" max="9734" width="16.36328125" style="27" bestFit="1" customWidth="1"/>
    <col min="9735" max="9735" width="7" style="27" bestFit="1" customWidth="1"/>
    <col min="9736" max="9736" width="16.36328125" style="27" bestFit="1" customWidth="1"/>
    <col min="9737" max="9737" width="7" style="27" bestFit="1" customWidth="1"/>
    <col min="9738" max="9738" width="16.08984375" style="27" customWidth="1"/>
    <col min="9739" max="9984" width="9" style="27"/>
    <col min="9985" max="9985" width="3.26953125" style="27" customWidth="1"/>
    <col min="9986" max="9986" width="8.36328125" style="27" customWidth="1"/>
    <col min="9987" max="9987" width="10" style="27" customWidth="1"/>
    <col min="9988" max="9988" width="12.36328125" style="27" customWidth="1"/>
    <col min="9989" max="9989" width="14.90625" style="27" customWidth="1"/>
    <col min="9990" max="9990" width="16.36328125" style="27" bestFit="1" customWidth="1"/>
    <col min="9991" max="9991" width="7" style="27" bestFit="1" customWidth="1"/>
    <col min="9992" max="9992" width="16.36328125" style="27" bestFit="1" customWidth="1"/>
    <col min="9993" max="9993" width="7" style="27" bestFit="1" customWidth="1"/>
    <col min="9994" max="9994" width="16.08984375" style="27" customWidth="1"/>
    <col min="9995" max="10240" width="9" style="27"/>
    <col min="10241" max="10241" width="3.26953125" style="27" customWidth="1"/>
    <col min="10242" max="10242" width="8.36328125" style="27" customWidth="1"/>
    <col min="10243" max="10243" width="10" style="27" customWidth="1"/>
    <col min="10244" max="10244" width="12.36328125" style="27" customWidth="1"/>
    <col min="10245" max="10245" width="14.90625" style="27" customWidth="1"/>
    <col min="10246" max="10246" width="16.36328125" style="27" bestFit="1" customWidth="1"/>
    <col min="10247" max="10247" width="7" style="27" bestFit="1" customWidth="1"/>
    <col min="10248" max="10248" width="16.36328125" style="27" bestFit="1" customWidth="1"/>
    <col min="10249" max="10249" width="7" style="27" bestFit="1" customWidth="1"/>
    <col min="10250" max="10250" width="16.08984375" style="27" customWidth="1"/>
    <col min="10251" max="10496" width="9" style="27"/>
    <col min="10497" max="10497" width="3.26953125" style="27" customWidth="1"/>
    <col min="10498" max="10498" width="8.36328125" style="27" customWidth="1"/>
    <col min="10499" max="10499" width="10" style="27" customWidth="1"/>
    <col min="10500" max="10500" width="12.36328125" style="27" customWidth="1"/>
    <col min="10501" max="10501" width="14.90625" style="27" customWidth="1"/>
    <col min="10502" max="10502" width="16.36328125" style="27" bestFit="1" customWidth="1"/>
    <col min="10503" max="10503" width="7" style="27" bestFit="1" customWidth="1"/>
    <col min="10504" max="10504" width="16.36328125" style="27" bestFit="1" customWidth="1"/>
    <col min="10505" max="10505" width="7" style="27" bestFit="1" customWidth="1"/>
    <col min="10506" max="10506" width="16.08984375" style="27" customWidth="1"/>
    <col min="10507" max="10752" width="9" style="27"/>
    <col min="10753" max="10753" width="3.26953125" style="27" customWidth="1"/>
    <col min="10754" max="10754" width="8.36328125" style="27" customWidth="1"/>
    <col min="10755" max="10755" width="10" style="27" customWidth="1"/>
    <col min="10756" max="10756" width="12.36328125" style="27" customWidth="1"/>
    <col min="10757" max="10757" width="14.90625" style="27" customWidth="1"/>
    <col min="10758" max="10758" width="16.36328125" style="27" bestFit="1" customWidth="1"/>
    <col min="10759" max="10759" width="7" style="27" bestFit="1" customWidth="1"/>
    <col min="10760" max="10760" width="16.36328125" style="27" bestFit="1" customWidth="1"/>
    <col min="10761" max="10761" width="7" style="27" bestFit="1" customWidth="1"/>
    <col min="10762" max="10762" width="16.08984375" style="27" customWidth="1"/>
    <col min="10763" max="11008" width="9" style="27"/>
    <col min="11009" max="11009" width="3.26953125" style="27" customWidth="1"/>
    <col min="11010" max="11010" width="8.36328125" style="27" customWidth="1"/>
    <col min="11011" max="11011" width="10" style="27" customWidth="1"/>
    <col min="11012" max="11012" width="12.36328125" style="27" customWidth="1"/>
    <col min="11013" max="11013" width="14.90625" style="27" customWidth="1"/>
    <col min="11014" max="11014" width="16.36328125" style="27" bestFit="1" customWidth="1"/>
    <col min="11015" max="11015" width="7" style="27" bestFit="1" customWidth="1"/>
    <col min="11016" max="11016" width="16.36328125" style="27" bestFit="1" customWidth="1"/>
    <col min="11017" max="11017" width="7" style="27" bestFit="1" customWidth="1"/>
    <col min="11018" max="11018" width="16.08984375" style="27" customWidth="1"/>
    <col min="11019" max="11264" width="9" style="27"/>
    <col min="11265" max="11265" width="3.26953125" style="27" customWidth="1"/>
    <col min="11266" max="11266" width="8.36328125" style="27" customWidth="1"/>
    <col min="11267" max="11267" width="10" style="27" customWidth="1"/>
    <col min="11268" max="11268" width="12.36328125" style="27" customWidth="1"/>
    <col min="11269" max="11269" width="14.90625" style="27" customWidth="1"/>
    <col min="11270" max="11270" width="16.36328125" style="27" bestFit="1" customWidth="1"/>
    <col min="11271" max="11271" width="7" style="27" bestFit="1" customWidth="1"/>
    <col min="11272" max="11272" width="16.36328125" style="27" bestFit="1" customWidth="1"/>
    <col min="11273" max="11273" width="7" style="27" bestFit="1" customWidth="1"/>
    <col min="11274" max="11274" width="16.08984375" style="27" customWidth="1"/>
    <col min="11275" max="11520" width="9" style="27"/>
    <col min="11521" max="11521" width="3.26953125" style="27" customWidth="1"/>
    <col min="11522" max="11522" width="8.36328125" style="27" customWidth="1"/>
    <col min="11523" max="11523" width="10" style="27" customWidth="1"/>
    <col min="11524" max="11524" width="12.36328125" style="27" customWidth="1"/>
    <col min="11525" max="11525" width="14.90625" style="27" customWidth="1"/>
    <col min="11526" max="11526" width="16.36328125" style="27" bestFit="1" customWidth="1"/>
    <col min="11527" max="11527" width="7" style="27" bestFit="1" customWidth="1"/>
    <col min="11528" max="11528" width="16.36328125" style="27" bestFit="1" customWidth="1"/>
    <col min="11529" max="11529" width="7" style="27" bestFit="1" customWidth="1"/>
    <col min="11530" max="11530" width="16.08984375" style="27" customWidth="1"/>
    <col min="11531" max="11776" width="9" style="27"/>
    <col min="11777" max="11777" width="3.26953125" style="27" customWidth="1"/>
    <col min="11778" max="11778" width="8.36328125" style="27" customWidth="1"/>
    <col min="11779" max="11779" width="10" style="27" customWidth="1"/>
    <col min="11780" max="11780" width="12.36328125" style="27" customWidth="1"/>
    <col min="11781" max="11781" width="14.90625" style="27" customWidth="1"/>
    <col min="11782" max="11782" width="16.36328125" style="27" bestFit="1" customWidth="1"/>
    <col min="11783" max="11783" width="7" style="27" bestFit="1" customWidth="1"/>
    <col min="11784" max="11784" width="16.36328125" style="27" bestFit="1" customWidth="1"/>
    <col min="11785" max="11785" width="7" style="27" bestFit="1" customWidth="1"/>
    <col min="11786" max="11786" width="16.08984375" style="27" customWidth="1"/>
    <col min="11787" max="12032" width="9" style="27"/>
    <col min="12033" max="12033" width="3.26953125" style="27" customWidth="1"/>
    <col min="12034" max="12034" width="8.36328125" style="27" customWidth="1"/>
    <col min="12035" max="12035" width="10" style="27" customWidth="1"/>
    <col min="12036" max="12036" width="12.36328125" style="27" customWidth="1"/>
    <col min="12037" max="12037" width="14.90625" style="27" customWidth="1"/>
    <col min="12038" max="12038" width="16.36328125" style="27" bestFit="1" customWidth="1"/>
    <col min="12039" max="12039" width="7" style="27" bestFit="1" customWidth="1"/>
    <col min="12040" max="12040" width="16.36328125" style="27" bestFit="1" customWidth="1"/>
    <col min="12041" max="12041" width="7" style="27" bestFit="1" customWidth="1"/>
    <col min="12042" max="12042" width="16.08984375" style="27" customWidth="1"/>
    <col min="12043" max="12288" width="9" style="27"/>
    <col min="12289" max="12289" width="3.26953125" style="27" customWidth="1"/>
    <col min="12290" max="12290" width="8.36328125" style="27" customWidth="1"/>
    <col min="12291" max="12291" width="10" style="27" customWidth="1"/>
    <col min="12292" max="12292" width="12.36328125" style="27" customWidth="1"/>
    <col min="12293" max="12293" width="14.90625" style="27" customWidth="1"/>
    <col min="12294" max="12294" width="16.36328125" style="27" bestFit="1" customWidth="1"/>
    <col min="12295" max="12295" width="7" style="27" bestFit="1" customWidth="1"/>
    <col min="12296" max="12296" width="16.36328125" style="27" bestFit="1" customWidth="1"/>
    <col min="12297" max="12297" width="7" style="27" bestFit="1" customWidth="1"/>
    <col min="12298" max="12298" width="16.08984375" style="27" customWidth="1"/>
    <col min="12299" max="12544" width="9" style="27"/>
    <col min="12545" max="12545" width="3.26953125" style="27" customWidth="1"/>
    <col min="12546" max="12546" width="8.36328125" style="27" customWidth="1"/>
    <col min="12547" max="12547" width="10" style="27" customWidth="1"/>
    <col min="12548" max="12548" width="12.36328125" style="27" customWidth="1"/>
    <col min="12549" max="12549" width="14.90625" style="27" customWidth="1"/>
    <col min="12550" max="12550" width="16.36328125" style="27" bestFit="1" customWidth="1"/>
    <col min="12551" max="12551" width="7" style="27" bestFit="1" customWidth="1"/>
    <col min="12552" max="12552" width="16.36328125" style="27" bestFit="1" customWidth="1"/>
    <col min="12553" max="12553" width="7" style="27" bestFit="1" customWidth="1"/>
    <col min="12554" max="12554" width="16.08984375" style="27" customWidth="1"/>
    <col min="12555" max="12800" width="9" style="27"/>
    <col min="12801" max="12801" width="3.26953125" style="27" customWidth="1"/>
    <col min="12802" max="12802" width="8.36328125" style="27" customWidth="1"/>
    <col min="12803" max="12803" width="10" style="27" customWidth="1"/>
    <col min="12804" max="12804" width="12.36328125" style="27" customWidth="1"/>
    <col min="12805" max="12805" width="14.90625" style="27" customWidth="1"/>
    <col min="12806" max="12806" width="16.36328125" style="27" bestFit="1" customWidth="1"/>
    <col min="12807" max="12807" width="7" style="27" bestFit="1" customWidth="1"/>
    <col min="12808" max="12808" width="16.36328125" style="27" bestFit="1" customWidth="1"/>
    <col min="12809" max="12809" width="7" style="27" bestFit="1" customWidth="1"/>
    <col min="12810" max="12810" width="16.08984375" style="27" customWidth="1"/>
    <col min="12811" max="13056" width="9" style="27"/>
    <col min="13057" max="13057" width="3.26953125" style="27" customWidth="1"/>
    <col min="13058" max="13058" width="8.36328125" style="27" customWidth="1"/>
    <col min="13059" max="13059" width="10" style="27" customWidth="1"/>
    <col min="13060" max="13060" width="12.36328125" style="27" customWidth="1"/>
    <col min="13061" max="13061" width="14.90625" style="27" customWidth="1"/>
    <col min="13062" max="13062" width="16.36328125" style="27" bestFit="1" customWidth="1"/>
    <col min="13063" max="13063" width="7" style="27" bestFit="1" customWidth="1"/>
    <col min="13064" max="13064" width="16.36328125" style="27" bestFit="1" customWidth="1"/>
    <col min="13065" max="13065" width="7" style="27" bestFit="1" customWidth="1"/>
    <col min="13066" max="13066" width="16.08984375" style="27" customWidth="1"/>
    <col min="13067" max="13312" width="9" style="27"/>
    <col min="13313" max="13313" width="3.26953125" style="27" customWidth="1"/>
    <col min="13314" max="13314" width="8.36328125" style="27" customWidth="1"/>
    <col min="13315" max="13315" width="10" style="27" customWidth="1"/>
    <col min="13316" max="13316" width="12.36328125" style="27" customWidth="1"/>
    <col min="13317" max="13317" width="14.90625" style="27" customWidth="1"/>
    <col min="13318" max="13318" width="16.36328125" style="27" bestFit="1" customWidth="1"/>
    <col min="13319" max="13319" width="7" style="27" bestFit="1" customWidth="1"/>
    <col min="13320" max="13320" width="16.36328125" style="27" bestFit="1" customWidth="1"/>
    <col min="13321" max="13321" width="7" style="27" bestFit="1" customWidth="1"/>
    <col min="13322" max="13322" width="16.08984375" style="27" customWidth="1"/>
    <col min="13323" max="13568" width="9" style="27"/>
    <col min="13569" max="13569" width="3.26953125" style="27" customWidth="1"/>
    <col min="13570" max="13570" width="8.36328125" style="27" customWidth="1"/>
    <col min="13571" max="13571" width="10" style="27" customWidth="1"/>
    <col min="13572" max="13572" width="12.36328125" style="27" customWidth="1"/>
    <col min="13573" max="13573" width="14.90625" style="27" customWidth="1"/>
    <col min="13574" max="13574" width="16.36328125" style="27" bestFit="1" customWidth="1"/>
    <col min="13575" max="13575" width="7" style="27" bestFit="1" customWidth="1"/>
    <col min="13576" max="13576" width="16.36328125" style="27" bestFit="1" customWidth="1"/>
    <col min="13577" max="13577" width="7" style="27" bestFit="1" customWidth="1"/>
    <col min="13578" max="13578" width="16.08984375" style="27" customWidth="1"/>
    <col min="13579" max="13824" width="9" style="27"/>
    <col min="13825" max="13825" width="3.26953125" style="27" customWidth="1"/>
    <col min="13826" max="13826" width="8.36328125" style="27" customWidth="1"/>
    <col min="13827" max="13827" width="10" style="27" customWidth="1"/>
    <col min="13828" max="13828" width="12.36328125" style="27" customWidth="1"/>
    <col min="13829" max="13829" width="14.90625" style="27" customWidth="1"/>
    <col min="13830" max="13830" width="16.36328125" style="27" bestFit="1" customWidth="1"/>
    <col min="13831" max="13831" width="7" style="27" bestFit="1" customWidth="1"/>
    <col min="13832" max="13832" width="16.36328125" style="27" bestFit="1" customWidth="1"/>
    <col min="13833" max="13833" width="7" style="27" bestFit="1" customWidth="1"/>
    <col min="13834" max="13834" width="16.08984375" style="27" customWidth="1"/>
    <col min="13835" max="14080" width="9" style="27"/>
    <col min="14081" max="14081" width="3.26953125" style="27" customWidth="1"/>
    <col min="14082" max="14082" width="8.36328125" style="27" customWidth="1"/>
    <col min="14083" max="14083" width="10" style="27" customWidth="1"/>
    <col min="14084" max="14084" width="12.36328125" style="27" customWidth="1"/>
    <col min="14085" max="14085" width="14.90625" style="27" customWidth="1"/>
    <col min="14086" max="14086" width="16.36328125" style="27" bestFit="1" customWidth="1"/>
    <col min="14087" max="14087" width="7" style="27" bestFit="1" customWidth="1"/>
    <col min="14088" max="14088" width="16.36328125" style="27" bestFit="1" customWidth="1"/>
    <col min="14089" max="14089" width="7" style="27" bestFit="1" customWidth="1"/>
    <col min="14090" max="14090" width="16.08984375" style="27" customWidth="1"/>
    <col min="14091" max="14336" width="9" style="27"/>
    <col min="14337" max="14337" width="3.26953125" style="27" customWidth="1"/>
    <col min="14338" max="14338" width="8.36328125" style="27" customWidth="1"/>
    <col min="14339" max="14339" width="10" style="27" customWidth="1"/>
    <col min="14340" max="14340" width="12.36328125" style="27" customWidth="1"/>
    <col min="14341" max="14341" width="14.90625" style="27" customWidth="1"/>
    <col min="14342" max="14342" width="16.36328125" style="27" bestFit="1" customWidth="1"/>
    <col min="14343" max="14343" width="7" style="27" bestFit="1" customWidth="1"/>
    <col min="14344" max="14344" width="16.36328125" style="27" bestFit="1" customWidth="1"/>
    <col min="14345" max="14345" width="7" style="27" bestFit="1" customWidth="1"/>
    <col min="14346" max="14346" width="16.08984375" style="27" customWidth="1"/>
    <col min="14347" max="14592" width="9" style="27"/>
    <col min="14593" max="14593" width="3.26953125" style="27" customWidth="1"/>
    <col min="14594" max="14594" width="8.36328125" style="27" customWidth="1"/>
    <col min="14595" max="14595" width="10" style="27" customWidth="1"/>
    <col min="14596" max="14596" width="12.36328125" style="27" customWidth="1"/>
    <col min="14597" max="14597" width="14.90625" style="27" customWidth="1"/>
    <col min="14598" max="14598" width="16.36328125" style="27" bestFit="1" customWidth="1"/>
    <col min="14599" max="14599" width="7" style="27" bestFit="1" customWidth="1"/>
    <col min="14600" max="14600" width="16.36328125" style="27" bestFit="1" customWidth="1"/>
    <col min="14601" max="14601" width="7" style="27" bestFit="1" customWidth="1"/>
    <col min="14602" max="14602" width="16.08984375" style="27" customWidth="1"/>
    <col min="14603" max="14848" width="9" style="27"/>
    <col min="14849" max="14849" width="3.26953125" style="27" customWidth="1"/>
    <col min="14850" max="14850" width="8.36328125" style="27" customWidth="1"/>
    <col min="14851" max="14851" width="10" style="27" customWidth="1"/>
    <col min="14852" max="14852" width="12.36328125" style="27" customWidth="1"/>
    <col min="14853" max="14853" width="14.90625" style="27" customWidth="1"/>
    <col min="14854" max="14854" width="16.36328125" style="27" bestFit="1" customWidth="1"/>
    <col min="14855" max="14855" width="7" style="27" bestFit="1" customWidth="1"/>
    <col min="14856" max="14856" width="16.36328125" style="27" bestFit="1" customWidth="1"/>
    <col min="14857" max="14857" width="7" style="27" bestFit="1" customWidth="1"/>
    <col min="14858" max="14858" width="16.08984375" style="27" customWidth="1"/>
    <col min="14859" max="15104" width="9" style="27"/>
    <col min="15105" max="15105" width="3.26953125" style="27" customWidth="1"/>
    <col min="15106" max="15106" width="8.36328125" style="27" customWidth="1"/>
    <col min="15107" max="15107" width="10" style="27" customWidth="1"/>
    <col min="15108" max="15108" width="12.36328125" style="27" customWidth="1"/>
    <col min="15109" max="15109" width="14.90625" style="27" customWidth="1"/>
    <col min="15110" max="15110" width="16.36328125" style="27" bestFit="1" customWidth="1"/>
    <col min="15111" max="15111" width="7" style="27" bestFit="1" customWidth="1"/>
    <col min="15112" max="15112" width="16.36328125" style="27" bestFit="1" customWidth="1"/>
    <col min="15113" max="15113" width="7" style="27" bestFit="1" customWidth="1"/>
    <col min="15114" max="15114" width="16.08984375" style="27" customWidth="1"/>
    <col min="15115" max="15360" width="9" style="27"/>
    <col min="15361" max="15361" width="3.26953125" style="27" customWidth="1"/>
    <col min="15362" max="15362" width="8.36328125" style="27" customWidth="1"/>
    <col min="15363" max="15363" width="10" style="27" customWidth="1"/>
    <col min="15364" max="15364" width="12.36328125" style="27" customWidth="1"/>
    <col min="15365" max="15365" width="14.90625" style="27" customWidth="1"/>
    <col min="15366" max="15366" width="16.36328125" style="27" bestFit="1" customWidth="1"/>
    <col min="15367" max="15367" width="7" style="27" bestFit="1" customWidth="1"/>
    <col min="15368" max="15368" width="16.36328125" style="27" bestFit="1" customWidth="1"/>
    <col min="15369" max="15369" width="7" style="27" bestFit="1" customWidth="1"/>
    <col min="15370" max="15370" width="16.08984375" style="27" customWidth="1"/>
    <col min="15371" max="15616" width="9" style="27"/>
    <col min="15617" max="15617" width="3.26953125" style="27" customWidth="1"/>
    <col min="15618" max="15618" width="8.36328125" style="27" customWidth="1"/>
    <col min="15619" max="15619" width="10" style="27" customWidth="1"/>
    <col min="15620" max="15620" width="12.36328125" style="27" customWidth="1"/>
    <col min="15621" max="15621" width="14.90625" style="27" customWidth="1"/>
    <col min="15622" max="15622" width="16.36328125" style="27" bestFit="1" customWidth="1"/>
    <col min="15623" max="15623" width="7" style="27" bestFit="1" customWidth="1"/>
    <col min="15624" max="15624" width="16.36328125" style="27" bestFit="1" customWidth="1"/>
    <col min="15625" max="15625" width="7" style="27" bestFit="1" customWidth="1"/>
    <col min="15626" max="15626" width="16.08984375" style="27" customWidth="1"/>
    <col min="15627" max="15872" width="9" style="27"/>
    <col min="15873" max="15873" width="3.26953125" style="27" customWidth="1"/>
    <col min="15874" max="15874" width="8.36328125" style="27" customWidth="1"/>
    <col min="15875" max="15875" width="10" style="27" customWidth="1"/>
    <col min="15876" max="15876" width="12.36328125" style="27" customWidth="1"/>
    <col min="15877" max="15877" width="14.90625" style="27" customWidth="1"/>
    <col min="15878" max="15878" width="16.36328125" style="27" bestFit="1" customWidth="1"/>
    <col min="15879" max="15879" width="7" style="27" bestFit="1" customWidth="1"/>
    <col min="15880" max="15880" width="16.36328125" style="27" bestFit="1" customWidth="1"/>
    <col min="15881" max="15881" width="7" style="27" bestFit="1" customWidth="1"/>
    <col min="15882" max="15882" width="16.08984375" style="27" customWidth="1"/>
    <col min="15883" max="16128" width="9" style="27"/>
    <col min="16129" max="16129" width="3.26953125" style="27" customWidth="1"/>
    <col min="16130" max="16130" width="8.36328125" style="27" customWidth="1"/>
    <col min="16131" max="16131" width="10" style="27" customWidth="1"/>
    <col min="16132" max="16132" width="12.36328125" style="27" customWidth="1"/>
    <col min="16133" max="16133" width="14.90625" style="27" customWidth="1"/>
    <col min="16134" max="16134" width="16.36328125" style="27" bestFit="1" customWidth="1"/>
    <col min="16135" max="16135" width="7" style="27" bestFit="1" customWidth="1"/>
    <col min="16136" max="16136" width="16.36328125" style="27" bestFit="1" customWidth="1"/>
    <col min="16137" max="16137" width="7" style="27" bestFit="1" customWidth="1"/>
    <col min="16138" max="16138" width="16.08984375" style="27" customWidth="1"/>
    <col min="16139" max="16384" width="9" style="27"/>
  </cols>
  <sheetData>
    <row r="1" spans="1:11">
      <c r="A1" s="28" t="s">
        <v>145</v>
      </c>
    </row>
    <row r="2" spans="1:11" s="52" customFormat="1" ht="24" customHeight="1" thickBot="1">
      <c r="A2" s="96"/>
      <c r="B2" s="468" t="s">
        <v>322</v>
      </c>
      <c r="C2" s="468"/>
      <c r="D2" s="468"/>
      <c r="E2" s="468"/>
      <c r="F2" s="468"/>
      <c r="G2" s="468"/>
      <c r="H2" s="468"/>
      <c r="I2" s="468"/>
      <c r="J2" s="468"/>
    </row>
    <row r="3" spans="1:11" ht="14.25" customHeight="1" thickTop="1" thickBot="1">
      <c r="B3" s="33" t="s">
        <v>147</v>
      </c>
      <c r="C3" s="33" t="s">
        <v>148</v>
      </c>
      <c r="D3" s="33"/>
      <c r="E3" s="34"/>
    </row>
    <row r="4" spans="1:11" ht="14.25" customHeight="1">
      <c r="B4" s="462" t="s">
        <v>323</v>
      </c>
      <c r="C4" s="97" t="s">
        <v>324</v>
      </c>
      <c r="D4" s="97" t="s">
        <v>212</v>
      </c>
      <c r="E4" s="97"/>
      <c r="F4" s="97"/>
      <c r="G4" s="97"/>
      <c r="H4" s="97"/>
      <c r="I4" s="97"/>
      <c r="J4" s="98"/>
    </row>
    <row r="5" spans="1:11" ht="14.25" customHeight="1" thickBot="1">
      <c r="B5" s="463"/>
      <c r="C5" s="464"/>
      <c r="D5" s="465"/>
      <c r="E5" s="466"/>
      <c r="F5" s="466"/>
      <c r="G5" s="466"/>
      <c r="H5" s="466"/>
      <c r="I5" s="466"/>
      <c r="J5" s="467"/>
    </row>
    <row r="6" spans="1:11">
      <c r="B6" s="120"/>
      <c r="C6" s="121"/>
      <c r="D6" s="44"/>
      <c r="E6" s="44"/>
      <c r="F6" s="44"/>
      <c r="G6" s="27"/>
      <c r="H6" s="27"/>
      <c r="I6" s="27"/>
      <c r="J6" s="122"/>
    </row>
    <row r="7" spans="1:11" ht="17.25" customHeight="1">
      <c r="B7" s="102"/>
      <c r="C7" s="123" t="s">
        <v>213</v>
      </c>
      <c r="D7" s="469" t="s">
        <v>214</v>
      </c>
      <c r="E7" s="470"/>
      <c r="F7" s="470"/>
      <c r="G7" s="470"/>
      <c r="H7" s="470"/>
      <c r="I7" s="471"/>
      <c r="J7" s="124"/>
      <c r="K7" s="125"/>
    </row>
    <row r="8" spans="1:11" ht="15" customHeight="1">
      <c r="B8" s="126"/>
      <c r="C8" s="127" t="s">
        <v>215</v>
      </c>
      <c r="D8" s="128" t="s">
        <v>216</v>
      </c>
      <c r="E8" s="128" t="s">
        <v>217</v>
      </c>
      <c r="F8" s="129" t="s">
        <v>218</v>
      </c>
      <c r="G8" s="129" t="s">
        <v>219</v>
      </c>
      <c r="H8" s="129" t="s">
        <v>220</v>
      </c>
      <c r="I8" s="130" t="s">
        <v>221</v>
      </c>
      <c r="J8" s="131"/>
      <c r="K8" s="132"/>
    </row>
    <row r="9" spans="1:11" ht="12" customHeight="1">
      <c r="B9" s="133"/>
      <c r="C9" s="134" t="s">
        <v>222</v>
      </c>
      <c r="D9" s="135" t="s">
        <v>223</v>
      </c>
      <c r="E9" s="135" t="s">
        <v>224</v>
      </c>
      <c r="F9" s="136" t="s">
        <v>225</v>
      </c>
      <c r="G9" s="136" t="s">
        <v>226</v>
      </c>
      <c r="H9" s="136" t="s">
        <v>227</v>
      </c>
      <c r="I9" s="137" t="s">
        <v>228</v>
      </c>
      <c r="J9" s="138"/>
      <c r="K9" s="139"/>
    </row>
    <row r="10" spans="1:11" ht="12" customHeight="1">
      <c r="B10" s="133"/>
      <c r="C10" s="140" t="s">
        <v>229</v>
      </c>
      <c r="D10" s="141" t="s">
        <v>230</v>
      </c>
      <c r="E10" s="142">
        <v>66666</v>
      </c>
      <c r="F10" s="143" t="s">
        <v>231</v>
      </c>
      <c r="G10" s="143" t="s">
        <v>239</v>
      </c>
      <c r="H10" s="143" t="s">
        <v>231</v>
      </c>
      <c r="I10" s="144" t="s">
        <v>239</v>
      </c>
      <c r="J10" s="145"/>
      <c r="K10" s="146"/>
    </row>
    <row r="11" spans="1:11" ht="12" customHeight="1">
      <c r="B11" s="133"/>
      <c r="C11" s="140" t="s">
        <v>229</v>
      </c>
      <c r="D11" s="141" t="s">
        <v>233</v>
      </c>
      <c r="E11" s="142">
        <v>3500</v>
      </c>
      <c r="F11" s="143" t="s">
        <v>231</v>
      </c>
      <c r="G11" s="143" t="s">
        <v>239</v>
      </c>
      <c r="H11" s="143" t="s">
        <v>231</v>
      </c>
      <c r="I11" s="144" t="s">
        <v>239</v>
      </c>
      <c r="J11" s="145"/>
      <c r="K11" s="146"/>
    </row>
    <row r="12" spans="1:11" ht="12" customHeight="1">
      <c r="B12" s="133"/>
      <c r="C12" s="140" t="s">
        <v>234</v>
      </c>
      <c r="D12" s="141" t="s">
        <v>235</v>
      </c>
      <c r="E12" s="142">
        <v>12000</v>
      </c>
      <c r="F12" s="143" t="s">
        <v>231</v>
      </c>
      <c r="G12" s="143" t="s">
        <v>239</v>
      </c>
      <c r="H12" s="143" t="s">
        <v>231</v>
      </c>
      <c r="I12" s="144" t="s">
        <v>239</v>
      </c>
      <c r="J12" s="145"/>
      <c r="K12" s="146"/>
    </row>
    <row r="13" spans="1:11" ht="12" customHeight="1">
      <c r="B13" s="133"/>
      <c r="C13" s="140" t="s">
        <v>234</v>
      </c>
      <c r="D13" s="141" t="s">
        <v>236</v>
      </c>
      <c r="E13" s="142">
        <v>300</v>
      </c>
      <c r="F13" s="143" t="s">
        <v>231</v>
      </c>
      <c r="G13" s="143" t="s">
        <v>239</v>
      </c>
      <c r="H13" s="143" t="s">
        <v>231</v>
      </c>
      <c r="I13" s="144" t="s">
        <v>239</v>
      </c>
      <c r="J13" s="145"/>
      <c r="K13" s="146"/>
    </row>
    <row r="14" spans="1:11" ht="12" customHeight="1">
      <c r="B14" s="133"/>
      <c r="C14" s="140" t="s">
        <v>234</v>
      </c>
      <c r="D14" s="141" t="s">
        <v>233</v>
      </c>
      <c r="E14" s="142">
        <v>100</v>
      </c>
      <c r="F14" s="143" t="s">
        <v>231</v>
      </c>
      <c r="G14" s="143" t="s">
        <v>239</v>
      </c>
      <c r="H14" s="143" t="s">
        <v>231</v>
      </c>
      <c r="I14" s="144" t="s">
        <v>239</v>
      </c>
      <c r="J14" s="145"/>
      <c r="K14" s="146"/>
    </row>
    <row r="15" spans="1:11" ht="12" customHeight="1">
      <c r="B15" s="133"/>
      <c r="C15" s="140" t="s">
        <v>234</v>
      </c>
      <c r="D15" s="141" t="s">
        <v>237</v>
      </c>
      <c r="E15" s="142">
        <v>50</v>
      </c>
      <c r="F15" s="143" t="s">
        <v>231</v>
      </c>
      <c r="G15" s="143" t="s">
        <v>239</v>
      </c>
      <c r="H15" s="143" t="s">
        <v>231</v>
      </c>
      <c r="I15" s="144" t="s">
        <v>239</v>
      </c>
      <c r="J15" s="145"/>
      <c r="K15" s="146"/>
    </row>
    <row r="16" spans="1:11" ht="12" customHeight="1">
      <c r="B16" s="133"/>
      <c r="C16" s="140" t="s">
        <v>238</v>
      </c>
      <c r="D16" s="141" t="s">
        <v>237</v>
      </c>
      <c r="E16" s="142">
        <v>3000</v>
      </c>
      <c r="F16" s="143" t="s">
        <v>231</v>
      </c>
      <c r="G16" s="143" t="s">
        <v>239</v>
      </c>
      <c r="H16" s="143" t="s">
        <v>231</v>
      </c>
      <c r="I16" s="144" t="s">
        <v>239</v>
      </c>
      <c r="J16" s="145"/>
      <c r="K16" s="152"/>
    </row>
    <row r="17" spans="2:11" ht="12" customHeight="1">
      <c r="B17" s="133"/>
      <c r="C17" s="140" t="s">
        <v>240</v>
      </c>
      <c r="D17" s="141" t="s">
        <v>237</v>
      </c>
      <c r="E17" s="142">
        <v>200</v>
      </c>
      <c r="F17" s="143" t="s">
        <v>231</v>
      </c>
      <c r="G17" s="143" t="s">
        <v>239</v>
      </c>
      <c r="H17" s="143" t="s">
        <v>231</v>
      </c>
      <c r="I17" s="144" t="s">
        <v>239</v>
      </c>
      <c r="J17" s="145"/>
      <c r="K17" s="152"/>
    </row>
    <row r="18" spans="2:11" ht="12" customHeight="1">
      <c r="B18" s="133"/>
      <c r="C18" s="140" t="s">
        <v>241</v>
      </c>
      <c r="D18" s="141" t="s">
        <v>242</v>
      </c>
      <c r="E18" s="142">
        <v>999999999999999</v>
      </c>
      <c r="F18" s="143" t="s">
        <v>231</v>
      </c>
      <c r="G18" s="143" t="s">
        <v>239</v>
      </c>
      <c r="H18" s="143" t="s">
        <v>231</v>
      </c>
      <c r="I18" s="144" t="s">
        <v>239</v>
      </c>
      <c r="J18" s="145"/>
      <c r="K18" s="153"/>
    </row>
    <row r="19" spans="2:11" ht="12" customHeight="1">
      <c r="B19" s="133"/>
      <c r="C19" s="140" t="s">
        <v>241</v>
      </c>
      <c r="D19" s="141" t="s">
        <v>237</v>
      </c>
      <c r="E19" s="142">
        <v>200000</v>
      </c>
      <c r="F19" s="143" t="s">
        <v>231</v>
      </c>
      <c r="G19" s="143" t="s">
        <v>239</v>
      </c>
      <c r="H19" s="143" t="s">
        <v>231</v>
      </c>
      <c r="I19" s="144" t="s">
        <v>239</v>
      </c>
      <c r="J19" s="145"/>
      <c r="K19" s="153"/>
    </row>
    <row r="20" spans="2:11" ht="12" customHeight="1">
      <c r="B20" s="133"/>
      <c r="C20" s="140" t="s">
        <v>241</v>
      </c>
      <c r="D20" s="141" t="s">
        <v>243</v>
      </c>
      <c r="E20" s="142">
        <v>0</v>
      </c>
      <c r="F20" s="143" t="s">
        <v>231</v>
      </c>
      <c r="G20" s="143" t="s">
        <v>239</v>
      </c>
      <c r="H20" s="143" t="s">
        <v>231</v>
      </c>
      <c r="I20" s="144" t="s">
        <v>239</v>
      </c>
      <c r="J20" s="145"/>
      <c r="K20" s="153"/>
    </row>
    <row r="21" spans="2:11" ht="12" customHeight="1">
      <c r="B21" s="133"/>
      <c r="C21" s="154" t="s">
        <v>241</v>
      </c>
      <c r="D21" s="155" t="s">
        <v>244</v>
      </c>
      <c r="E21" s="156">
        <v>333333333</v>
      </c>
      <c r="F21" s="157" t="s">
        <v>231</v>
      </c>
      <c r="G21" s="157" t="s">
        <v>239</v>
      </c>
      <c r="H21" s="157" t="s">
        <v>231</v>
      </c>
      <c r="I21" s="158" t="s">
        <v>239</v>
      </c>
      <c r="J21" s="145"/>
      <c r="K21" s="153"/>
    </row>
    <row r="22" spans="2:11" ht="12" customHeight="1">
      <c r="B22" s="133"/>
      <c r="C22" s="243" t="s">
        <v>241</v>
      </c>
      <c r="D22" s="243" t="s">
        <v>245</v>
      </c>
      <c r="E22" s="244">
        <v>999999999999999</v>
      </c>
      <c r="F22" s="245"/>
      <c r="G22" s="245"/>
      <c r="H22" s="245"/>
      <c r="I22" s="245"/>
      <c r="J22" s="145"/>
      <c r="K22" s="153"/>
    </row>
    <row r="23" spans="2:11" ht="12" customHeight="1">
      <c r="B23" s="133"/>
      <c r="C23" s="243" t="s">
        <v>241</v>
      </c>
      <c r="D23" s="243" t="s">
        <v>246</v>
      </c>
      <c r="E23" s="246">
        <v>300</v>
      </c>
      <c r="F23" s="245"/>
      <c r="G23" s="245"/>
      <c r="H23" s="245"/>
      <c r="I23" s="245"/>
      <c r="J23" s="145"/>
      <c r="K23" s="153"/>
    </row>
    <row r="24" spans="2:11" ht="11.25" customHeight="1">
      <c r="B24" s="133"/>
      <c r="C24" s="243" t="s">
        <v>241</v>
      </c>
      <c r="D24" s="243" t="s">
        <v>247</v>
      </c>
      <c r="E24" s="246">
        <v>20</v>
      </c>
      <c r="F24" s="245"/>
      <c r="G24" s="245"/>
      <c r="H24" s="245"/>
      <c r="I24" s="245"/>
      <c r="J24" s="145"/>
      <c r="K24" s="163"/>
    </row>
    <row r="25" spans="2:11">
      <c r="B25" s="133"/>
      <c r="C25" s="243" t="s">
        <v>248</v>
      </c>
      <c r="D25" s="243" t="s">
        <v>249</v>
      </c>
      <c r="E25" s="246">
        <v>6000</v>
      </c>
      <c r="F25" s="245"/>
      <c r="G25" s="245"/>
      <c r="H25" s="245"/>
      <c r="I25" s="245"/>
      <c r="J25" s="145"/>
      <c r="K25" s="164"/>
    </row>
    <row r="26" spans="2:11">
      <c r="B26" s="102"/>
      <c r="C26" s="245"/>
      <c r="D26" s="245"/>
      <c r="E26" s="245"/>
      <c r="F26" s="245"/>
      <c r="G26" s="245"/>
      <c r="H26" s="245"/>
      <c r="I26" s="245"/>
      <c r="J26" s="145"/>
      <c r="K26" s="153"/>
    </row>
    <row r="27" spans="2:11">
      <c r="B27" s="102"/>
      <c r="C27" s="165"/>
      <c r="D27" s="165"/>
      <c r="E27" s="165"/>
      <c r="F27" s="165"/>
      <c r="G27" s="165"/>
      <c r="H27" s="165"/>
      <c r="I27" s="165"/>
      <c r="J27" s="145"/>
      <c r="K27" s="153"/>
    </row>
    <row r="28" spans="2:11">
      <c r="B28" s="102"/>
      <c r="C28" s="165"/>
      <c r="D28" s="165"/>
      <c r="E28" s="165"/>
      <c r="F28" s="165"/>
      <c r="G28" s="165"/>
      <c r="H28" s="165"/>
      <c r="I28" s="165"/>
      <c r="J28" s="145"/>
      <c r="K28" s="166"/>
    </row>
    <row r="29" spans="2:11">
      <c r="B29" s="102"/>
      <c r="C29" s="146"/>
      <c r="D29" s="146"/>
      <c r="E29" s="146"/>
      <c r="F29" s="146"/>
      <c r="G29" s="146"/>
      <c r="H29" s="146"/>
      <c r="I29" s="146"/>
      <c r="J29" s="167"/>
      <c r="K29" s="146"/>
    </row>
    <row r="30" spans="2:11" ht="17.25" customHeight="1">
      <c r="B30" s="102"/>
      <c r="C30" s="123" t="s">
        <v>250</v>
      </c>
      <c r="D30" s="469" t="s">
        <v>214</v>
      </c>
      <c r="E30" s="470"/>
      <c r="F30" s="470"/>
      <c r="G30" s="470"/>
      <c r="H30" s="470"/>
      <c r="I30" s="471"/>
      <c r="J30" s="124"/>
      <c r="K30" s="125"/>
    </row>
    <row r="31" spans="2:11" ht="15" customHeight="1">
      <c r="B31" s="126"/>
      <c r="C31" s="127" t="s">
        <v>215</v>
      </c>
      <c r="D31" s="128" t="s">
        <v>216</v>
      </c>
      <c r="E31" s="128" t="s">
        <v>217</v>
      </c>
      <c r="F31" s="129" t="s">
        <v>218</v>
      </c>
      <c r="G31" s="129" t="s">
        <v>219</v>
      </c>
      <c r="H31" s="129" t="s">
        <v>220</v>
      </c>
      <c r="I31" s="130" t="s">
        <v>221</v>
      </c>
      <c r="J31" s="131"/>
      <c r="K31" s="132"/>
    </row>
    <row r="32" spans="2:11" ht="12" customHeight="1">
      <c r="B32" s="133"/>
      <c r="C32" s="134" t="s">
        <v>222</v>
      </c>
      <c r="D32" s="135" t="s">
        <v>223</v>
      </c>
      <c r="E32" s="135" t="s">
        <v>224</v>
      </c>
      <c r="F32" s="136" t="s">
        <v>225</v>
      </c>
      <c r="G32" s="136" t="s">
        <v>226</v>
      </c>
      <c r="H32" s="136" t="s">
        <v>227</v>
      </c>
      <c r="I32" s="137" t="s">
        <v>228</v>
      </c>
      <c r="J32" s="138"/>
      <c r="K32" s="139"/>
    </row>
    <row r="33" spans="2:11" ht="12" customHeight="1">
      <c r="B33" s="133"/>
      <c r="C33" s="168"/>
      <c r="D33" s="169"/>
      <c r="E33" s="170"/>
      <c r="F33" s="171"/>
      <c r="G33" s="171"/>
      <c r="H33" s="171"/>
      <c r="I33" s="172"/>
      <c r="J33" s="145"/>
      <c r="K33" s="146"/>
    </row>
    <row r="34" spans="2:11" ht="12" customHeight="1">
      <c r="B34" s="133"/>
      <c r="C34" s="173"/>
      <c r="D34" s="174"/>
      <c r="E34" s="175"/>
      <c r="F34" s="176"/>
      <c r="G34" s="176"/>
      <c r="H34" s="176"/>
      <c r="I34" s="177"/>
      <c r="J34" s="145"/>
      <c r="K34" s="146"/>
    </row>
    <row r="35" spans="2:11" ht="12" customHeight="1">
      <c r="B35" s="133"/>
      <c r="C35" s="173"/>
      <c r="D35" s="174"/>
      <c r="E35" s="175"/>
      <c r="F35" s="176"/>
      <c r="G35" s="176"/>
      <c r="H35" s="176"/>
      <c r="I35" s="177"/>
      <c r="J35" s="145"/>
      <c r="K35" s="146"/>
    </row>
    <row r="36" spans="2:11" ht="12" customHeight="1">
      <c r="B36" s="133"/>
      <c r="C36" s="178"/>
      <c r="D36" s="179"/>
      <c r="E36" s="180"/>
      <c r="F36" s="181"/>
      <c r="G36" s="181"/>
      <c r="H36" s="181"/>
      <c r="I36" s="182"/>
      <c r="J36" s="145"/>
      <c r="K36" s="146"/>
    </row>
    <row r="37" spans="2:11" ht="12" customHeight="1">
      <c r="B37" s="133"/>
      <c r="C37" s="183" t="s">
        <v>234</v>
      </c>
      <c r="D37" s="184" t="s">
        <v>233</v>
      </c>
      <c r="E37" s="185">
        <v>100</v>
      </c>
      <c r="F37" s="186" t="s">
        <v>231</v>
      </c>
      <c r="G37" s="186" t="s">
        <v>239</v>
      </c>
      <c r="H37" s="186" t="s">
        <v>231</v>
      </c>
      <c r="I37" s="247" t="s">
        <v>239</v>
      </c>
      <c r="J37" s="145"/>
      <c r="K37" s="146"/>
    </row>
    <row r="38" spans="2:11" ht="12" customHeight="1">
      <c r="B38" s="133"/>
      <c r="C38" s="187" t="s">
        <v>234</v>
      </c>
      <c r="D38" s="188" t="s">
        <v>237</v>
      </c>
      <c r="E38" s="189">
        <v>50</v>
      </c>
      <c r="F38" s="190" t="s">
        <v>231</v>
      </c>
      <c r="G38" s="190" t="s">
        <v>239</v>
      </c>
      <c r="H38" s="190" t="s">
        <v>231</v>
      </c>
      <c r="I38" s="197" t="s">
        <v>239</v>
      </c>
      <c r="J38" s="145"/>
      <c r="K38" s="146"/>
    </row>
    <row r="39" spans="2:11" ht="12" customHeight="1">
      <c r="B39" s="133"/>
      <c r="C39" s="187" t="s">
        <v>238</v>
      </c>
      <c r="D39" s="188" t="s">
        <v>237</v>
      </c>
      <c r="E39" s="189">
        <v>3000</v>
      </c>
      <c r="F39" s="190" t="s">
        <v>231</v>
      </c>
      <c r="G39" s="190" t="s">
        <v>239</v>
      </c>
      <c r="H39" s="190" t="s">
        <v>253</v>
      </c>
      <c r="I39" s="197" t="s">
        <v>252</v>
      </c>
      <c r="J39" s="145"/>
      <c r="K39" s="152"/>
    </row>
    <row r="40" spans="2:11" ht="12" customHeight="1">
      <c r="B40" s="133"/>
      <c r="C40" s="187" t="s">
        <v>240</v>
      </c>
      <c r="D40" s="188" t="s">
        <v>237</v>
      </c>
      <c r="E40" s="189">
        <v>200</v>
      </c>
      <c r="F40" s="190" t="s">
        <v>231</v>
      </c>
      <c r="G40" s="190" t="s">
        <v>239</v>
      </c>
      <c r="H40" s="190" t="s">
        <v>253</v>
      </c>
      <c r="I40" s="197" t="s">
        <v>252</v>
      </c>
      <c r="J40" s="145"/>
      <c r="K40" s="152"/>
    </row>
    <row r="41" spans="2:11" ht="12" customHeight="1">
      <c r="B41" s="133"/>
      <c r="C41" s="187" t="s">
        <v>241</v>
      </c>
      <c r="D41" s="188" t="s">
        <v>242</v>
      </c>
      <c r="E41" s="189">
        <v>999999999999999</v>
      </c>
      <c r="F41" s="190" t="s">
        <v>231</v>
      </c>
      <c r="G41" s="190" t="s">
        <v>239</v>
      </c>
      <c r="H41" s="190" t="s">
        <v>253</v>
      </c>
      <c r="I41" s="197" t="s">
        <v>252</v>
      </c>
      <c r="J41" s="145"/>
      <c r="K41" s="153"/>
    </row>
    <row r="42" spans="2:11" ht="12" customHeight="1">
      <c r="B42" s="133"/>
      <c r="C42" s="187" t="s">
        <v>241</v>
      </c>
      <c r="D42" s="188" t="s">
        <v>237</v>
      </c>
      <c r="E42" s="189">
        <v>200000</v>
      </c>
      <c r="F42" s="190" t="s">
        <v>231</v>
      </c>
      <c r="G42" s="190" t="s">
        <v>239</v>
      </c>
      <c r="H42" s="190" t="s">
        <v>231</v>
      </c>
      <c r="I42" s="197" t="s">
        <v>239</v>
      </c>
      <c r="J42" s="145"/>
      <c r="K42" s="153"/>
    </row>
    <row r="43" spans="2:11" ht="12" customHeight="1">
      <c r="B43" s="133"/>
      <c r="C43" s="187" t="s">
        <v>241</v>
      </c>
      <c r="D43" s="188" t="s">
        <v>243</v>
      </c>
      <c r="E43" s="189">
        <v>0</v>
      </c>
      <c r="F43" s="190" t="s">
        <v>231</v>
      </c>
      <c r="G43" s="190" t="s">
        <v>239</v>
      </c>
      <c r="H43" s="190" t="s">
        <v>231</v>
      </c>
      <c r="I43" s="197" t="s">
        <v>239</v>
      </c>
      <c r="J43" s="145"/>
      <c r="K43" s="153"/>
    </row>
    <row r="44" spans="2:11" ht="12" customHeight="1">
      <c r="B44" s="133"/>
      <c r="C44" s="187" t="s">
        <v>241</v>
      </c>
      <c r="D44" s="188" t="s">
        <v>244</v>
      </c>
      <c r="E44" s="196">
        <v>333333333</v>
      </c>
      <c r="F44" s="190" t="s">
        <v>231</v>
      </c>
      <c r="G44" s="190" t="s">
        <v>239</v>
      </c>
      <c r="H44" s="190" t="s">
        <v>231</v>
      </c>
      <c r="I44" s="197" t="s">
        <v>239</v>
      </c>
      <c r="J44" s="145"/>
      <c r="K44" s="153"/>
    </row>
    <row r="45" spans="2:11" ht="12" customHeight="1">
      <c r="B45" s="133"/>
      <c r="C45" s="248" t="s">
        <v>241</v>
      </c>
      <c r="D45" s="249" t="s">
        <v>245</v>
      </c>
      <c r="E45" s="250">
        <v>999999999999999</v>
      </c>
      <c r="F45" s="194" t="s">
        <v>253</v>
      </c>
      <c r="G45" s="194" t="s">
        <v>252</v>
      </c>
      <c r="H45" s="194" t="s">
        <v>253</v>
      </c>
      <c r="I45" s="195" t="s">
        <v>252</v>
      </c>
      <c r="J45" s="145"/>
      <c r="K45" s="153"/>
    </row>
    <row r="46" spans="2:11" ht="12" customHeight="1">
      <c r="B46" s="133"/>
      <c r="C46" s="248" t="s">
        <v>241</v>
      </c>
      <c r="D46" s="249" t="s">
        <v>246</v>
      </c>
      <c r="E46" s="191">
        <v>300</v>
      </c>
      <c r="F46" s="194" t="s">
        <v>253</v>
      </c>
      <c r="G46" s="194" t="s">
        <v>252</v>
      </c>
      <c r="H46" s="194" t="s">
        <v>253</v>
      </c>
      <c r="I46" s="195" t="s">
        <v>252</v>
      </c>
      <c r="J46" s="145"/>
      <c r="K46" s="153"/>
    </row>
    <row r="47" spans="2:11" ht="11.25" customHeight="1">
      <c r="B47" s="133"/>
      <c r="C47" s="248" t="s">
        <v>241</v>
      </c>
      <c r="D47" s="249" t="s">
        <v>247</v>
      </c>
      <c r="E47" s="191">
        <v>20</v>
      </c>
      <c r="F47" s="194" t="s">
        <v>253</v>
      </c>
      <c r="G47" s="194" t="s">
        <v>252</v>
      </c>
      <c r="H47" s="194" t="s">
        <v>253</v>
      </c>
      <c r="I47" s="195" t="s">
        <v>252</v>
      </c>
      <c r="J47" s="145"/>
      <c r="K47" s="163"/>
    </row>
    <row r="48" spans="2:11">
      <c r="B48" s="133"/>
      <c r="C48" s="251" t="s">
        <v>248</v>
      </c>
      <c r="D48" s="252" t="s">
        <v>249</v>
      </c>
      <c r="E48" s="253">
        <v>6000</v>
      </c>
      <c r="F48" s="254" t="s">
        <v>253</v>
      </c>
      <c r="G48" s="254" t="s">
        <v>252</v>
      </c>
      <c r="H48" s="254" t="s">
        <v>253</v>
      </c>
      <c r="I48" s="255" t="s">
        <v>252</v>
      </c>
      <c r="J48" s="145"/>
      <c r="K48" s="164"/>
    </row>
    <row r="49" spans="2:10">
      <c r="B49" s="205"/>
      <c r="C49" s="121"/>
      <c r="D49" s="44"/>
      <c r="E49" s="44"/>
      <c r="F49" s="44"/>
      <c r="G49" s="27"/>
      <c r="H49" s="27"/>
      <c r="I49" s="27"/>
      <c r="J49" s="122"/>
    </row>
    <row r="50" spans="2:10">
      <c r="B50" s="205"/>
      <c r="C50" s="121"/>
      <c r="D50" s="44"/>
      <c r="E50" s="44"/>
      <c r="F50" s="44"/>
      <c r="G50" s="27"/>
      <c r="H50" s="27"/>
      <c r="I50" s="27"/>
      <c r="J50" s="122"/>
    </row>
    <row r="51" spans="2:10">
      <c r="B51" s="205"/>
      <c r="C51" s="121"/>
      <c r="D51" s="44"/>
      <c r="E51" s="44"/>
      <c r="F51" s="44"/>
      <c r="G51" s="27"/>
      <c r="H51" s="27"/>
      <c r="I51" s="27"/>
      <c r="J51" s="122"/>
    </row>
    <row r="52" spans="2:10">
      <c r="B52" s="205"/>
      <c r="C52" s="121"/>
      <c r="D52" s="44"/>
      <c r="E52" s="44"/>
      <c r="F52" s="44"/>
      <c r="G52" s="27"/>
      <c r="H52" s="27"/>
      <c r="I52" s="27"/>
      <c r="J52" s="122"/>
    </row>
    <row r="53" spans="2:10" ht="15.5" thickBot="1">
      <c r="B53" s="205"/>
      <c r="C53" s="121"/>
      <c r="D53" s="44"/>
      <c r="E53" s="44"/>
      <c r="F53" s="44"/>
      <c r="G53" s="27"/>
      <c r="H53" s="27"/>
      <c r="I53" s="27"/>
      <c r="J53" s="122"/>
    </row>
    <row r="54" spans="2:10" ht="14.25" customHeight="1">
      <c r="B54" s="462" t="s">
        <v>325</v>
      </c>
      <c r="C54" s="97" t="s">
        <v>255</v>
      </c>
      <c r="D54" s="97"/>
      <c r="E54" s="97"/>
      <c r="F54" s="97"/>
      <c r="G54" s="97"/>
      <c r="H54" s="97"/>
      <c r="I54" s="97"/>
      <c r="J54" s="98"/>
    </row>
    <row r="55" spans="2:10" ht="14.25" customHeight="1" thickBot="1">
      <c r="B55" s="463"/>
      <c r="C55" s="464"/>
      <c r="D55" s="465"/>
      <c r="E55" s="466"/>
      <c r="F55" s="466"/>
      <c r="G55" s="466"/>
      <c r="H55" s="466"/>
      <c r="I55" s="466"/>
      <c r="J55" s="467"/>
    </row>
    <row r="56" spans="2:10">
      <c r="B56" s="113" t="s">
        <v>256</v>
      </c>
      <c r="D56" s="44"/>
      <c r="E56" s="44"/>
      <c r="F56" s="44"/>
      <c r="G56" s="27"/>
      <c r="H56" s="27"/>
      <c r="I56" s="27"/>
      <c r="J56" s="122"/>
    </row>
    <row r="57" spans="2:10">
      <c r="B57" s="209"/>
      <c r="C57" s="104"/>
      <c r="D57" s="44"/>
      <c r="E57" s="44"/>
      <c r="F57" s="44"/>
      <c r="G57" s="27"/>
      <c r="H57" s="27"/>
      <c r="I57" s="27"/>
      <c r="J57" s="122"/>
    </row>
    <row r="58" spans="2:10">
      <c r="B58" s="102"/>
      <c r="D58" s="44"/>
      <c r="E58" s="44"/>
      <c r="F58" s="44"/>
      <c r="G58" s="27"/>
      <c r="H58" s="27"/>
      <c r="I58" s="27"/>
      <c r="J58" s="122"/>
    </row>
    <row r="59" spans="2:10">
      <c r="B59" s="102"/>
      <c r="D59" s="44"/>
      <c r="E59" s="44"/>
      <c r="F59" s="44"/>
      <c r="G59" s="27"/>
      <c r="H59" s="27"/>
      <c r="I59" s="27"/>
      <c r="J59" s="122"/>
    </row>
    <row r="60" spans="2:10">
      <c r="B60" s="102"/>
      <c r="D60" s="44"/>
      <c r="E60" s="44"/>
      <c r="F60" s="44"/>
      <c r="G60" s="27"/>
      <c r="H60" s="27"/>
      <c r="I60" s="27"/>
      <c r="J60" s="122"/>
    </row>
    <row r="61" spans="2:10">
      <c r="B61" s="102"/>
      <c r="D61" s="44"/>
      <c r="E61" s="44"/>
      <c r="F61" s="44"/>
      <c r="G61" s="27"/>
      <c r="H61" s="27"/>
      <c r="I61" s="27"/>
      <c r="J61" s="122"/>
    </row>
    <row r="62" spans="2:10">
      <c r="B62" s="102"/>
      <c r="D62" s="44"/>
      <c r="E62" s="44"/>
      <c r="F62" s="44"/>
      <c r="G62" s="27"/>
      <c r="H62" s="27"/>
      <c r="I62" s="27"/>
      <c r="J62" s="122"/>
    </row>
    <row r="63" spans="2:10">
      <c r="B63" s="102"/>
      <c r="C63" s="164"/>
      <c r="D63" s="44"/>
      <c r="E63" s="44"/>
      <c r="F63" s="44"/>
      <c r="G63" s="27"/>
      <c r="H63" s="164" t="s">
        <v>201</v>
      </c>
      <c r="I63" s="27"/>
      <c r="J63" s="122"/>
    </row>
    <row r="64" spans="2:10" ht="15.5" thickBot="1">
      <c r="B64" s="102"/>
      <c r="D64" s="44"/>
      <c r="E64" s="44"/>
      <c r="F64" s="44"/>
      <c r="G64" s="27"/>
      <c r="H64" s="27"/>
      <c r="I64" s="27"/>
      <c r="J64" s="122"/>
    </row>
    <row r="65" spans="2:10" ht="14.25" customHeight="1">
      <c r="B65" s="462" t="s">
        <v>326</v>
      </c>
      <c r="C65" s="97" t="s">
        <v>327</v>
      </c>
      <c r="D65" s="97"/>
      <c r="E65" s="97"/>
      <c r="F65" s="97"/>
      <c r="G65" s="97"/>
      <c r="H65" s="97"/>
      <c r="I65" s="97"/>
      <c r="J65" s="98"/>
    </row>
    <row r="66" spans="2:10" ht="14.25" customHeight="1" thickBot="1">
      <c r="B66" s="463"/>
      <c r="C66" s="464"/>
      <c r="D66" s="465"/>
      <c r="E66" s="466"/>
      <c r="F66" s="466"/>
      <c r="G66" s="466"/>
      <c r="H66" s="466"/>
      <c r="I66" s="466"/>
      <c r="J66" s="467"/>
    </row>
    <row r="67" spans="2:10">
      <c r="B67" s="113" t="s">
        <v>259</v>
      </c>
      <c r="D67" s="44"/>
      <c r="E67" s="44"/>
      <c r="F67" s="44"/>
      <c r="G67" s="27"/>
      <c r="H67" s="27"/>
      <c r="I67" s="27"/>
      <c r="J67" s="122"/>
    </row>
    <row r="68" spans="2:10">
      <c r="B68" s="209"/>
      <c r="C68" s="104"/>
      <c r="D68" s="44"/>
      <c r="E68" s="44"/>
      <c r="F68" s="44"/>
      <c r="G68" s="27"/>
      <c r="H68" s="27"/>
      <c r="I68" s="27"/>
      <c r="J68" s="122"/>
    </row>
    <row r="69" spans="2:10">
      <c r="B69" s="102"/>
      <c r="D69" s="44"/>
      <c r="E69" s="44"/>
      <c r="F69" s="44"/>
      <c r="G69" s="27"/>
      <c r="H69" s="27"/>
      <c r="I69" s="27"/>
      <c r="J69" s="122"/>
    </row>
    <row r="70" spans="2:10">
      <c r="B70" s="102"/>
      <c r="D70" s="44"/>
      <c r="E70" s="44"/>
      <c r="F70" s="44"/>
      <c r="G70" s="27"/>
      <c r="H70" s="27"/>
      <c r="I70" s="27"/>
      <c r="J70" s="122"/>
    </row>
    <row r="71" spans="2:10">
      <c r="B71" s="102"/>
      <c r="D71" s="44"/>
      <c r="E71" s="44"/>
      <c r="F71" s="44"/>
      <c r="G71" s="27"/>
      <c r="H71" s="27"/>
      <c r="I71" s="27"/>
      <c r="J71" s="122"/>
    </row>
    <row r="72" spans="2:10">
      <c r="B72" s="102"/>
      <c r="D72" s="44"/>
      <c r="E72" s="44"/>
      <c r="F72" s="44"/>
      <c r="G72" s="27"/>
      <c r="H72" s="27"/>
      <c r="I72" s="27"/>
      <c r="J72" s="122"/>
    </row>
    <row r="73" spans="2:10">
      <c r="B73" s="102"/>
      <c r="D73" s="44"/>
      <c r="E73" s="44"/>
      <c r="F73" s="44"/>
      <c r="G73" s="27"/>
      <c r="H73" s="27"/>
      <c r="I73" s="27"/>
      <c r="J73" s="122"/>
    </row>
    <row r="74" spans="2:10">
      <c r="B74" s="102"/>
      <c r="C74" s="164"/>
      <c r="D74" s="44"/>
      <c r="E74" s="44"/>
      <c r="F74" s="44"/>
      <c r="G74" s="27"/>
      <c r="H74" s="164" t="s">
        <v>201</v>
      </c>
      <c r="I74" s="27"/>
      <c r="J74" s="122"/>
    </row>
    <row r="75" spans="2:10" ht="15.5" thickBot="1">
      <c r="B75" s="109"/>
      <c r="C75" s="110"/>
      <c r="D75" s="111"/>
      <c r="E75" s="111"/>
      <c r="F75" s="111"/>
      <c r="G75" s="110"/>
      <c r="H75" s="110"/>
      <c r="I75" s="110"/>
      <c r="J75" s="208"/>
    </row>
    <row r="76" spans="2:10" ht="14.25" customHeight="1">
      <c r="B76" s="462" t="s">
        <v>328</v>
      </c>
      <c r="C76" s="97" t="s">
        <v>329</v>
      </c>
      <c r="D76" s="97"/>
      <c r="E76" s="97"/>
      <c r="F76" s="97"/>
      <c r="G76" s="97"/>
      <c r="H76" s="97"/>
      <c r="I76" s="97"/>
      <c r="J76" s="98"/>
    </row>
    <row r="77" spans="2:10" ht="14.25" customHeight="1" thickBot="1">
      <c r="B77" s="463"/>
      <c r="C77" s="464"/>
      <c r="D77" s="465"/>
      <c r="E77" s="466"/>
      <c r="F77" s="466"/>
      <c r="G77" s="466"/>
      <c r="H77" s="466"/>
      <c r="I77" s="466"/>
      <c r="J77" s="467"/>
    </row>
    <row r="78" spans="2:10">
      <c r="B78" s="102"/>
      <c r="D78" s="44"/>
      <c r="E78" s="44"/>
      <c r="F78" s="44"/>
      <c r="G78" s="44"/>
      <c r="H78" s="44"/>
      <c r="I78" s="44"/>
      <c r="J78" s="41"/>
    </row>
    <row r="79" spans="2:10">
      <c r="B79" s="209"/>
      <c r="C79" s="104"/>
      <c r="D79" s="44"/>
      <c r="E79" s="44"/>
      <c r="F79" s="44"/>
      <c r="G79" s="44"/>
      <c r="H79" s="44"/>
      <c r="I79" s="44"/>
      <c r="J79" s="41"/>
    </row>
    <row r="80" spans="2:10">
      <c r="B80" s="102"/>
      <c r="D80" s="44"/>
      <c r="E80" s="44"/>
      <c r="F80" s="44"/>
      <c r="G80" s="44"/>
      <c r="H80" s="44"/>
      <c r="I80" s="44"/>
      <c r="J80" s="41"/>
    </row>
    <row r="81" spans="2:10">
      <c r="B81" s="102"/>
      <c r="D81" s="44"/>
      <c r="E81" s="44"/>
      <c r="F81" s="44"/>
      <c r="G81" s="44"/>
      <c r="H81" s="44"/>
      <c r="I81" s="44"/>
      <c r="J81" s="41"/>
    </row>
    <row r="82" spans="2:10">
      <c r="B82" s="102"/>
      <c r="D82" s="44"/>
      <c r="E82" s="44"/>
      <c r="F82" s="44"/>
      <c r="G82" s="44"/>
      <c r="H82" s="44"/>
      <c r="I82" s="44"/>
      <c r="J82" s="41"/>
    </row>
    <row r="83" spans="2:10">
      <c r="B83" s="102"/>
      <c r="D83" s="44"/>
      <c r="E83" s="44"/>
      <c r="F83" s="44"/>
      <c r="G83" s="44"/>
      <c r="H83" s="44"/>
      <c r="I83" s="44"/>
      <c r="J83" s="41"/>
    </row>
    <row r="84" spans="2:10">
      <c r="B84" s="102"/>
      <c r="C84" s="164"/>
      <c r="D84" s="44"/>
      <c r="E84" s="44"/>
      <c r="F84" s="44"/>
      <c r="G84" s="44"/>
      <c r="H84" s="164" t="s">
        <v>204</v>
      </c>
      <c r="I84" s="44"/>
      <c r="J84" s="41"/>
    </row>
    <row r="85" spans="2:10" ht="15.5" thickBot="1">
      <c r="B85" s="109"/>
      <c r="C85" s="110"/>
      <c r="D85" s="111"/>
      <c r="E85" s="111"/>
      <c r="F85" s="111"/>
      <c r="G85" s="111"/>
      <c r="H85" s="111"/>
      <c r="I85" s="111"/>
      <c r="J85" s="112"/>
    </row>
    <row r="86" spans="2:10" ht="14.25" customHeight="1">
      <c r="B86" s="462" t="s">
        <v>330</v>
      </c>
      <c r="C86" s="97" t="s">
        <v>331</v>
      </c>
      <c r="D86" s="97"/>
      <c r="E86" s="97"/>
      <c r="F86" s="97"/>
      <c r="G86" s="97"/>
      <c r="H86" s="97"/>
      <c r="I86" s="97"/>
      <c r="J86" s="98"/>
    </row>
    <row r="87" spans="2:10" ht="14.25" customHeight="1" thickBot="1">
      <c r="B87" s="463"/>
      <c r="C87" s="464"/>
      <c r="D87" s="465"/>
      <c r="E87" s="466"/>
      <c r="F87" s="466"/>
      <c r="G87" s="466"/>
      <c r="H87" s="466"/>
      <c r="I87" s="466"/>
      <c r="J87" s="467"/>
    </row>
    <row r="88" spans="2:10">
      <c r="B88" s="102"/>
      <c r="D88" s="44"/>
      <c r="E88" s="44"/>
      <c r="F88" s="44"/>
      <c r="G88" s="44"/>
      <c r="H88" s="44"/>
      <c r="I88" s="44"/>
      <c r="J88" s="41"/>
    </row>
    <row r="89" spans="2:10">
      <c r="B89" s="209"/>
      <c r="C89" s="104"/>
      <c r="D89" s="44"/>
      <c r="E89" s="44"/>
      <c r="F89" s="44"/>
      <c r="G89" s="44"/>
      <c r="H89" s="44"/>
      <c r="I89" s="44"/>
      <c r="J89" s="41"/>
    </row>
    <row r="90" spans="2:10">
      <c r="B90" s="102"/>
      <c r="D90" s="44"/>
      <c r="E90" s="44"/>
      <c r="F90" s="44"/>
      <c r="G90" s="44"/>
      <c r="H90" s="44"/>
      <c r="I90" s="44"/>
      <c r="J90" s="41"/>
    </row>
    <row r="91" spans="2:10">
      <c r="B91" s="102"/>
      <c r="D91" s="44"/>
      <c r="E91" s="44"/>
      <c r="F91" s="44"/>
      <c r="G91" s="44"/>
      <c r="H91" s="44"/>
      <c r="I91" s="44"/>
      <c r="J91" s="41"/>
    </row>
    <row r="92" spans="2:10">
      <c r="B92" s="102"/>
      <c r="D92" s="44"/>
      <c r="E92" s="44"/>
      <c r="F92" s="44"/>
      <c r="G92" s="44"/>
      <c r="H92" s="44"/>
      <c r="I92" s="44"/>
      <c r="J92" s="41"/>
    </row>
    <row r="93" spans="2:10">
      <c r="B93" s="102"/>
      <c r="D93" s="44"/>
      <c r="E93" s="44"/>
      <c r="F93" s="44"/>
      <c r="G93" s="44"/>
      <c r="H93" s="44"/>
      <c r="I93" s="44"/>
      <c r="J93" s="41"/>
    </row>
    <row r="94" spans="2:10">
      <c r="B94" s="102"/>
      <c r="D94" s="44"/>
      <c r="E94" s="44"/>
      <c r="F94" s="44"/>
      <c r="G94" s="44"/>
      <c r="H94" s="44"/>
      <c r="I94" s="44"/>
      <c r="J94" s="41"/>
    </row>
    <row r="95" spans="2:10">
      <c r="B95" s="102"/>
      <c r="C95" s="164"/>
      <c r="D95" s="44"/>
      <c r="E95" s="44"/>
      <c r="F95" s="44"/>
      <c r="G95" s="44"/>
      <c r="H95" s="164" t="s">
        <v>204</v>
      </c>
      <c r="I95" s="44"/>
      <c r="J95" s="41"/>
    </row>
    <row r="96" spans="2:10" ht="15.5" thickBot="1">
      <c r="B96" s="117"/>
      <c r="C96" s="118"/>
      <c r="D96" s="49"/>
      <c r="E96" s="49"/>
      <c r="F96" s="49"/>
      <c r="G96" s="49"/>
      <c r="H96" s="49"/>
      <c r="I96" s="49"/>
      <c r="J96" s="50"/>
    </row>
  </sheetData>
  <mergeCells count="18">
    <mergeCell ref="D30:I30"/>
    <mergeCell ref="B2:J2"/>
    <mergeCell ref="B4:B5"/>
    <mergeCell ref="C5:D5"/>
    <mergeCell ref="E5:J5"/>
    <mergeCell ref="D7:I7"/>
    <mergeCell ref="B54:B55"/>
    <mergeCell ref="C55:D55"/>
    <mergeCell ref="E55:J55"/>
    <mergeCell ref="B65:B66"/>
    <mergeCell ref="C66:D66"/>
    <mergeCell ref="E66:J66"/>
    <mergeCell ref="B76:B77"/>
    <mergeCell ref="C77:D77"/>
    <mergeCell ref="E77:J77"/>
    <mergeCell ref="B86:B87"/>
    <mergeCell ref="C87:D87"/>
    <mergeCell ref="E87:J87"/>
  </mergeCells>
  <phoneticPr fontId="24" type="noConversion"/>
  <hyperlinks>
    <hyperlink ref="A1" location="【TCS】!A1" display="戻る" xr:uid="{2AC55BA4-EEE6-4363-81F9-28B58D9BB2A2}"/>
  </hyperlinks>
  <pageMargins left="0.75" right="0.75" top="1" bottom="1" header="0.51200000000000001" footer="0.51200000000000001"/>
  <pageSetup paperSize="9" orientation="portrait" verticalDpi="0" r:id="rId1"/>
  <headerFooter alignWithMargins="0"/>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651E7-EB2F-4786-958A-C6BD453E29C9}">
  <dimension ref="A1:L91"/>
  <sheetViews>
    <sheetView showGridLines="0" workbookViewId="0">
      <pane ySplit="3" topLeftCell="A35" activePane="bottomLeft" state="frozen"/>
      <selection activeCell="G18" sqref="G18"/>
      <selection pane="bottomLeft" activeCell="G18" sqref="G18"/>
    </sheetView>
  </sheetViews>
  <sheetFormatPr defaultRowHeight="15"/>
  <cols>
    <col min="1" max="1" width="3.26953125" style="27" customWidth="1"/>
    <col min="2" max="2" width="5.08984375" style="27" customWidth="1"/>
    <col min="3" max="3" width="10" style="27" customWidth="1"/>
    <col min="4" max="4" width="12.36328125" style="29" customWidth="1"/>
    <col min="5" max="5" width="14.90625" style="29" customWidth="1"/>
    <col min="6" max="6" width="16.36328125" style="29" bestFit="1" customWidth="1"/>
    <col min="7" max="7" width="7" style="29" bestFit="1" customWidth="1"/>
    <col min="8" max="8" width="16.36328125" style="29" bestFit="1" customWidth="1"/>
    <col min="9" max="9" width="7" style="29" bestFit="1" customWidth="1"/>
    <col min="10" max="10" width="16.08984375" style="29" customWidth="1"/>
    <col min="11" max="11" width="7" style="29" bestFit="1" customWidth="1"/>
    <col min="12" max="256" width="9" style="27"/>
    <col min="257" max="257" width="3.26953125" style="27" customWidth="1"/>
    <col min="258" max="258" width="5.08984375" style="27" customWidth="1"/>
    <col min="259" max="259" width="10" style="27" customWidth="1"/>
    <col min="260" max="260" width="12.36328125" style="27" customWidth="1"/>
    <col min="261" max="261" width="14.90625" style="27" customWidth="1"/>
    <col min="262" max="262" width="16.36328125" style="27" bestFit="1" customWidth="1"/>
    <col min="263" max="263" width="7" style="27" bestFit="1" customWidth="1"/>
    <col min="264" max="264" width="16.36328125" style="27" bestFit="1" customWidth="1"/>
    <col min="265" max="265" width="7" style="27" bestFit="1" customWidth="1"/>
    <col min="266" max="266" width="16.08984375" style="27" customWidth="1"/>
    <col min="267" max="267" width="7" style="27" bestFit="1" customWidth="1"/>
    <col min="268" max="512" width="9" style="27"/>
    <col min="513" max="513" width="3.26953125" style="27" customWidth="1"/>
    <col min="514" max="514" width="5.08984375" style="27" customWidth="1"/>
    <col min="515" max="515" width="10" style="27" customWidth="1"/>
    <col min="516" max="516" width="12.36328125" style="27" customWidth="1"/>
    <col min="517" max="517" width="14.90625" style="27" customWidth="1"/>
    <col min="518" max="518" width="16.36328125" style="27" bestFit="1" customWidth="1"/>
    <col min="519" max="519" width="7" style="27" bestFit="1" customWidth="1"/>
    <col min="520" max="520" width="16.36328125" style="27" bestFit="1" customWidth="1"/>
    <col min="521" max="521" width="7" style="27" bestFit="1" customWidth="1"/>
    <col min="522" max="522" width="16.08984375" style="27" customWidth="1"/>
    <col min="523" max="523" width="7" style="27" bestFit="1" customWidth="1"/>
    <col min="524" max="768" width="9" style="27"/>
    <col min="769" max="769" width="3.26953125" style="27" customWidth="1"/>
    <col min="770" max="770" width="5.08984375" style="27" customWidth="1"/>
    <col min="771" max="771" width="10" style="27" customWidth="1"/>
    <col min="772" max="772" width="12.36328125" style="27" customWidth="1"/>
    <col min="773" max="773" width="14.90625" style="27" customWidth="1"/>
    <col min="774" max="774" width="16.36328125" style="27" bestFit="1" customWidth="1"/>
    <col min="775" max="775" width="7" style="27" bestFit="1" customWidth="1"/>
    <col min="776" max="776" width="16.36328125" style="27" bestFit="1" customWidth="1"/>
    <col min="777" max="777" width="7" style="27" bestFit="1" customWidth="1"/>
    <col min="778" max="778" width="16.08984375" style="27" customWidth="1"/>
    <col min="779" max="779" width="7" style="27" bestFit="1" customWidth="1"/>
    <col min="780" max="1024" width="9" style="27"/>
    <col min="1025" max="1025" width="3.26953125" style="27" customWidth="1"/>
    <col min="1026" max="1026" width="5.08984375" style="27" customWidth="1"/>
    <col min="1027" max="1027" width="10" style="27" customWidth="1"/>
    <col min="1028" max="1028" width="12.36328125" style="27" customWidth="1"/>
    <col min="1029" max="1029" width="14.90625" style="27" customWidth="1"/>
    <col min="1030" max="1030" width="16.36328125" style="27" bestFit="1" customWidth="1"/>
    <col min="1031" max="1031" width="7" style="27" bestFit="1" customWidth="1"/>
    <col min="1032" max="1032" width="16.36328125" style="27" bestFit="1" customWidth="1"/>
    <col min="1033" max="1033" width="7" style="27" bestFit="1" customWidth="1"/>
    <col min="1034" max="1034" width="16.08984375" style="27" customWidth="1"/>
    <col min="1035" max="1035" width="7" style="27" bestFit="1" customWidth="1"/>
    <col min="1036" max="1280" width="9" style="27"/>
    <col min="1281" max="1281" width="3.26953125" style="27" customWidth="1"/>
    <col min="1282" max="1282" width="5.08984375" style="27" customWidth="1"/>
    <col min="1283" max="1283" width="10" style="27" customWidth="1"/>
    <col min="1284" max="1284" width="12.36328125" style="27" customWidth="1"/>
    <col min="1285" max="1285" width="14.90625" style="27" customWidth="1"/>
    <col min="1286" max="1286" width="16.36328125" style="27" bestFit="1" customWidth="1"/>
    <col min="1287" max="1287" width="7" style="27" bestFit="1" customWidth="1"/>
    <col min="1288" max="1288" width="16.36328125" style="27" bestFit="1" customWidth="1"/>
    <col min="1289" max="1289" width="7" style="27" bestFit="1" customWidth="1"/>
    <col min="1290" max="1290" width="16.08984375" style="27" customWidth="1"/>
    <col min="1291" max="1291" width="7" style="27" bestFit="1" customWidth="1"/>
    <col min="1292" max="1536" width="9" style="27"/>
    <col min="1537" max="1537" width="3.26953125" style="27" customWidth="1"/>
    <col min="1538" max="1538" width="5.08984375" style="27" customWidth="1"/>
    <col min="1539" max="1539" width="10" style="27" customWidth="1"/>
    <col min="1540" max="1540" width="12.36328125" style="27" customWidth="1"/>
    <col min="1541" max="1541" width="14.90625" style="27" customWidth="1"/>
    <col min="1542" max="1542" width="16.36328125" style="27" bestFit="1" customWidth="1"/>
    <col min="1543" max="1543" width="7" style="27" bestFit="1" customWidth="1"/>
    <col min="1544" max="1544" width="16.36328125" style="27" bestFit="1" customWidth="1"/>
    <col min="1545" max="1545" width="7" style="27" bestFit="1" customWidth="1"/>
    <col min="1546" max="1546" width="16.08984375" style="27" customWidth="1"/>
    <col min="1547" max="1547" width="7" style="27" bestFit="1" customWidth="1"/>
    <col min="1548" max="1792" width="9" style="27"/>
    <col min="1793" max="1793" width="3.26953125" style="27" customWidth="1"/>
    <col min="1794" max="1794" width="5.08984375" style="27" customWidth="1"/>
    <col min="1795" max="1795" width="10" style="27" customWidth="1"/>
    <col min="1796" max="1796" width="12.36328125" style="27" customWidth="1"/>
    <col min="1797" max="1797" width="14.90625" style="27" customWidth="1"/>
    <col min="1798" max="1798" width="16.36328125" style="27" bestFit="1" customWidth="1"/>
    <col min="1799" max="1799" width="7" style="27" bestFit="1" customWidth="1"/>
    <col min="1800" max="1800" width="16.36328125" style="27" bestFit="1" customWidth="1"/>
    <col min="1801" max="1801" width="7" style="27" bestFit="1" customWidth="1"/>
    <col min="1802" max="1802" width="16.08984375" style="27" customWidth="1"/>
    <col min="1803" max="1803" width="7" style="27" bestFit="1" customWidth="1"/>
    <col min="1804" max="2048" width="9" style="27"/>
    <col min="2049" max="2049" width="3.26953125" style="27" customWidth="1"/>
    <col min="2050" max="2050" width="5.08984375" style="27" customWidth="1"/>
    <col min="2051" max="2051" width="10" style="27" customWidth="1"/>
    <col min="2052" max="2052" width="12.36328125" style="27" customWidth="1"/>
    <col min="2053" max="2053" width="14.90625" style="27" customWidth="1"/>
    <col min="2054" max="2054" width="16.36328125" style="27" bestFit="1" customWidth="1"/>
    <col min="2055" max="2055" width="7" style="27" bestFit="1" customWidth="1"/>
    <col min="2056" max="2056" width="16.36328125" style="27" bestFit="1" customWidth="1"/>
    <col min="2057" max="2057" width="7" style="27" bestFit="1" customWidth="1"/>
    <col min="2058" max="2058" width="16.08984375" style="27" customWidth="1"/>
    <col min="2059" max="2059" width="7" style="27" bestFit="1" customWidth="1"/>
    <col min="2060" max="2304" width="9" style="27"/>
    <col min="2305" max="2305" width="3.26953125" style="27" customWidth="1"/>
    <col min="2306" max="2306" width="5.08984375" style="27" customWidth="1"/>
    <col min="2307" max="2307" width="10" style="27" customWidth="1"/>
    <col min="2308" max="2308" width="12.36328125" style="27" customWidth="1"/>
    <col min="2309" max="2309" width="14.90625" style="27" customWidth="1"/>
    <col min="2310" max="2310" width="16.36328125" style="27" bestFit="1" customWidth="1"/>
    <col min="2311" max="2311" width="7" style="27" bestFit="1" customWidth="1"/>
    <col min="2312" max="2312" width="16.36328125" style="27" bestFit="1" customWidth="1"/>
    <col min="2313" max="2313" width="7" style="27" bestFit="1" customWidth="1"/>
    <col min="2314" max="2314" width="16.08984375" style="27" customWidth="1"/>
    <col min="2315" max="2315" width="7" style="27" bestFit="1" customWidth="1"/>
    <col min="2316" max="2560" width="9" style="27"/>
    <col min="2561" max="2561" width="3.26953125" style="27" customWidth="1"/>
    <col min="2562" max="2562" width="5.08984375" style="27" customWidth="1"/>
    <col min="2563" max="2563" width="10" style="27" customWidth="1"/>
    <col min="2564" max="2564" width="12.36328125" style="27" customWidth="1"/>
    <col min="2565" max="2565" width="14.90625" style="27" customWidth="1"/>
    <col min="2566" max="2566" width="16.36328125" style="27" bestFit="1" customWidth="1"/>
    <col min="2567" max="2567" width="7" style="27" bestFit="1" customWidth="1"/>
    <col min="2568" max="2568" width="16.36328125" style="27" bestFit="1" customWidth="1"/>
    <col min="2569" max="2569" width="7" style="27" bestFit="1" customWidth="1"/>
    <col min="2570" max="2570" width="16.08984375" style="27" customWidth="1"/>
    <col min="2571" max="2571" width="7" style="27" bestFit="1" customWidth="1"/>
    <col min="2572" max="2816" width="9" style="27"/>
    <col min="2817" max="2817" width="3.26953125" style="27" customWidth="1"/>
    <col min="2818" max="2818" width="5.08984375" style="27" customWidth="1"/>
    <col min="2819" max="2819" width="10" style="27" customWidth="1"/>
    <col min="2820" max="2820" width="12.36328125" style="27" customWidth="1"/>
    <col min="2821" max="2821" width="14.90625" style="27" customWidth="1"/>
    <col min="2822" max="2822" width="16.36328125" style="27" bestFit="1" customWidth="1"/>
    <col min="2823" max="2823" width="7" style="27" bestFit="1" customWidth="1"/>
    <col min="2824" max="2824" width="16.36328125" style="27" bestFit="1" customWidth="1"/>
    <col min="2825" max="2825" width="7" style="27" bestFit="1" customWidth="1"/>
    <col min="2826" max="2826" width="16.08984375" style="27" customWidth="1"/>
    <col min="2827" max="2827" width="7" style="27" bestFit="1" customWidth="1"/>
    <col min="2828" max="3072" width="9" style="27"/>
    <col min="3073" max="3073" width="3.26953125" style="27" customWidth="1"/>
    <col min="3074" max="3074" width="5.08984375" style="27" customWidth="1"/>
    <col min="3075" max="3075" width="10" style="27" customWidth="1"/>
    <col min="3076" max="3076" width="12.36328125" style="27" customWidth="1"/>
    <col min="3077" max="3077" width="14.90625" style="27" customWidth="1"/>
    <col min="3078" max="3078" width="16.36328125" style="27" bestFit="1" customWidth="1"/>
    <col min="3079" max="3079" width="7" style="27" bestFit="1" customWidth="1"/>
    <col min="3080" max="3080" width="16.36328125" style="27" bestFit="1" customWidth="1"/>
    <col min="3081" max="3081" width="7" style="27" bestFit="1" customWidth="1"/>
    <col min="3082" max="3082" width="16.08984375" style="27" customWidth="1"/>
    <col min="3083" max="3083" width="7" style="27" bestFit="1" customWidth="1"/>
    <col min="3084" max="3328" width="9" style="27"/>
    <col min="3329" max="3329" width="3.26953125" style="27" customWidth="1"/>
    <col min="3330" max="3330" width="5.08984375" style="27" customWidth="1"/>
    <col min="3331" max="3331" width="10" style="27" customWidth="1"/>
    <col min="3332" max="3332" width="12.36328125" style="27" customWidth="1"/>
    <col min="3333" max="3333" width="14.90625" style="27" customWidth="1"/>
    <col min="3334" max="3334" width="16.36328125" style="27" bestFit="1" customWidth="1"/>
    <col min="3335" max="3335" width="7" style="27" bestFit="1" customWidth="1"/>
    <col min="3336" max="3336" width="16.36328125" style="27" bestFit="1" customWidth="1"/>
    <col min="3337" max="3337" width="7" style="27" bestFit="1" customWidth="1"/>
    <col min="3338" max="3338" width="16.08984375" style="27" customWidth="1"/>
    <col min="3339" max="3339" width="7" style="27" bestFit="1" customWidth="1"/>
    <col min="3340" max="3584" width="9" style="27"/>
    <col min="3585" max="3585" width="3.26953125" style="27" customWidth="1"/>
    <col min="3586" max="3586" width="5.08984375" style="27" customWidth="1"/>
    <col min="3587" max="3587" width="10" style="27" customWidth="1"/>
    <col min="3588" max="3588" width="12.36328125" style="27" customWidth="1"/>
    <col min="3589" max="3589" width="14.90625" style="27" customWidth="1"/>
    <col min="3590" max="3590" width="16.36328125" style="27" bestFit="1" customWidth="1"/>
    <col min="3591" max="3591" width="7" style="27" bestFit="1" customWidth="1"/>
    <col min="3592" max="3592" width="16.36328125" style="27" bestFit="1" customWidth="1"/>
    <col min="3593" max="3593" width="7" style="27" bestFit="1" customWidth="1"/>
    <col min="3594" max="3594" width="16.08984375" style="27" customWidth="1"/>
    <col min="3595" max="3595" width="7" style="27" bestFit="1" customWidth="1"/>
    <col min="3596" max="3840" width="9" style="27"/>
    <col min="3841" max="3841" width="3.26953125" style="27" customWidth="1"/>
    <col min="3842" max="3842" width="5.08984375" style="27" customWidth="1"/>
    <col min="3843" max="3843" width="10" style="27" customWidth="1"/>
    <col min="3844" max="3844" width="12.36328125" style="27" customWidth="1"/>
    <col min="3845" max="3845" width="14.90625" style="27" customWidth="1"/>
    <col min="3846" max="3846" width="16.36328125" style="27" bestFit="1" customWidth="1"/>
    <col min="3847" max="3847" width="7" style="27" bestFit="1" customWidth="1"/>
    <col min="3848" max="3848" width="16.36328125" style="27" bestFit="1" customWidth="1"/>
    <col min="3849" max="3849" width="7" style="27" bestFit="1" customWidth="1"/>
    <col min="3850" max="3850" width="16.08984375" style="27" customWidth="1"/>
    <col min="3851" max="3851" width="7" style="27" bestFit="1" customWidth="1"/>
    <col min="3852" max="4096" width="9" style="27"/>
    <col min="4097" max="4097" width="3.26953125" style="27" customWidth="1"/>
    <col min="4098" max="4098" width="5.08984375" style="27" customWidth="1"/>
    <col min="4099" max="4099" width="10" style="27" customWidth="1"/>
    <col min="4100" max="4100" width="12.36328125" style="27" customWidth="1"/>
    <col min="4101" max="4101" width="14.90625" style="27" customWidth="1"/>
    <col min="4102" max="4102" width="16.36328125" style="27" bestFit="1" customWidth="1"/>
    <col min="4103" max="4103" width="7" style="27" bestFit="1" customWidth="1"/>
    <col min="4104" max="4104" width="16.36328125" style="27" bestFit="1" customWidth="1"/>
    <col min="4105" max="4105" width="7" style="27" bestFit="1" customWidth="1"/>
    <col min="4106" max="4106" width="16.08984375" style="27" customWidth="1"/>
    <col min="4107" max="4107" width="7" style="27" bestFit="1" customWidth="1"/>
    <col min="4108" max="4352" width="9" style="27"/>
    <col min="4353" max="4353" width="3.26953125" style="27" customWidth="1"/>
    <col min="4354" max="4354" width="5.08984375" style="27" customWidth="1"/>
    <col min="4355" max="4355" width="10" style="27" customWidth="1"/>
    <col min="4356" max="4356" width="12.36328125" style="27" customWidth="1"/>
    <col min="4357" max="4357" width="14.90625" style="27" customWidth="1"/>
    <col min="4358" max="4358" width="16.36328125" style="27" bestFit="1" customWidth="1"/>
    <col min="4359" max="4359" width="7" style="27" bestFit="1" customWidth="1"/>
    <col min="4360" max="4360" width="16.36328125" style="27" bestFit="1" customWidth="1"/>
    <col min="4361" max="4361" width="7" style="27" bestFit="1" customWidth="1"/>
    <col min="4362" max="4362" width="16.08984375" style="27" customWidth="1"/>
    <col min="4363" max="4363" width="7" style="27" bestFit="1" customWidth="1"/>
    <col min="4364" max="4608" width="9" style="27"/>
    <col min="4609" max="4609" width="3.26953125" style="27" customWidth="1"/>
    <col min="4610" max="4610" width="5.08984375" style="27" customWidth="1"/>
    <col min="4611" max="4611" width="10" style="27" customWidth="1"/>
    <col min="4612" max="4612" width="12.36328125" style="27" customWidth="1"/>
    <col min="4613" max="4613" width="14.90625" style="27" customWidth="1"/>
    <col min="4614" max="4614" width="16.36328125" style="27" bestFit="1" customWidth="1"/>
    <col min="4615" max="4615" width="7" style="27" bestFit="1" customWidth="1"/>
    <col min="4616" max="4616" width="16.36328125" style="27" bestFit="1" customWidth="1"/>
    <col min="4617" max="4617" width="7" style="27" bestFit="1" customWidth="1"/>
    <col min="4618" max="4618" width="16.08984375" style="27" customWidth="1"/>
    <col min="4619" max="4619" width="7" style="27" bestFit="1" customWidth="1"/>
    <col min="4620" max="4864" width="9" style="27"/>
    <col min="4865" max="4865" width="3.26953125" style="27" customWidth="1"/>
    <col min="4866" max="4866" width="5.08984375" style="27" customWidth="1"/>
    <col min="4867" max="4867" width="10" style="27" customWidth="1"/>
    <col min="4868" max="4868" width="12.36328125" style="27" customWidth="1"/>
    <col min="4869" max="4869" width="14.90625" style="27" customWidth="1"/>
    <col min="4870" max="4870" width="16.36328125" style="27" bestFit="1" customWidth="1"/>
    <col min="4871" max="4871" width="7" style="27" bestFit="1" customWidth="1"/>
    <col min="4872" max="4872" width="16.36328125" style="27" bestFit="1" customWidth="1"/>
    <col min="4873" max="4873" width="7" style="27" bestFit="1" customWidth="1"/>
    <col min="4874" max="4874" width="16.08984375" style="27" customWidth="1"/>
    <col min="4875" max="4875" width="7" style="27" bestFit="1" customWidth="1"/>
    <col min="4876" max="5120" width="9" style="27"/>
    <col min="5121" max="5121" width="3.26953125" style="27" customWidth="1"/>
    <col min="5122" max="5122" width="5.08984375" style="27" customWidth="1"/>
    <col min="5123" max="5123" width="10" style="27" customWidth="1"/>
    <col min="5124" max="5124" width="12.36328125" style="27" customWidth="1"/>
    <col min="5125" max="5125" width="14.90625" style="27" customWidth="1"/>
    <col min="5126" max="5126" width="16.36328125" style="27" bestFit="1" customWidth="1"/>
    <col min="5127" max="5127" width="7" style="27" bestFit="1" customWidth="1"/>
    <col min="5128" max="5128" width="16.36328125" style="27" bestFit="1" customWidth="1"/>
    <col min="5129" max="5129" width="7" style="27" bestFit="1" customWidth="1"/>
    <col min="5130" max="5130" width="16.08984375" style="27" customWidth="1"/>
    <col min="5131" max="5131" width="7" style="27" bestFit="1" customWidth="1"/>
    <col min="5132" max="5376" width="9" style="27"/>
    <col min="5377" max="5377" width="3.26953125" style="27" customWidth="1"/>
    <col min="5378" max="5378" width="5.08984375" style="27" customWidth="1"/>
    <col min="5379" max="5379" width="10" style="27" customWidth="1"/>
    <col min="5380" max="5380" width="12.36328125" style="27" customWidth="1"/>
    <col min="5381" max="5381" width="14.90625" style="27" customWidth="1"/>
    <col min="5382" max="5382" width="16.36328125" style="27" bestFit="1" customWidth="1"/>
    <col min="5383" max="5383" width="7" style="27" bestFit="1" customWidth="1"/>
    <col min="5384" max="5384" width="16.36328125" style="27" bestFit="1" customWidth="1"/>
    <col min="5385" max="5385" width="7" style="27" bestFit="1" customWidth="1"/>
    <col min="5386" max="5386" width="16.08984375" style="27" customWidth="1"/>
    <col min="5387" max="5387" width="7" style="27" bestFit="1" customWidth="1"/>
    <col min="5388" max="5632" width="9" style="27"/>
    <col min="5633" max="5633" width="3.26953125" style="27" customWidth="1"/>
    <col min="5634" max="5634" width="5.08984375" style="27" customWidth="1"/>
    <col min="5635" max="5635" width="10" style="27" customWidth="1"/>
    <col min="5636" max="5636" width="12.36328125" style="27" customWidth="1"/>
    <col min="5637" max="5637" width="14.90625" style="27" customWidth="1"/>
    <col min="5638" max="5638" width="16.36328125" style="27" bestFit="1" customWidth="1"/>
    <col min="5639" max="5639" width="7" style="27" bestFit="1" customWidth="1"/>
    <col min="5640" max="5640" width="16.36328125" style="27" bestFit="1" customWidth="1"/>
    <col min="5641" max="5641" width="7" style="27" bestFit="1" customWidth="1"/>
    <col min="5642" max="5642" width="16.08984375" style="27" customWidth="1"/>
    <col min="5643" max="5643" width="7" style="27" bestFit="1" customWidth="1"/>
    <col min="5644" max="5888" width="9" style="27"/>
    <col min="5889" max="5889" width="3.26953125" style="27" customWidth="1"/>
    <col min="5890" max="5890" width="5.08984375" style="27" customWidth="1"/>
    <col min="5891" max="5891" width="10" style="27" customWidth="1"/>
    <col min="5892" max="5892" width="12.36328125" style="27" customWidth="1"/>
    <col min="5893" max="5893" width="14.90625" style="27" customWidth="1"/>
    <col min="5894" max="5894" width="16.36328125" style="27" bestFit="1" customWidth="1"/>
    <col min="5895" max="5895" width="7" style="27" bestFit="1" customWidth="1"/>
    <col min="5896" max="5896" width="16.36328125" style="27" bestFit="1" customWidth="1"/>
    <col min="5897" max="5897" width="7" style="27" bestFit="1" customWidth="1"/>
    <col min="5898" max="5898" width="16.08984375" style="27" customWidth="1"/>
    <col min="5899" max="5899" width="7" style="27" bestFit="1" customWidth="1"/>
    <col min="5900" max="6144" width="9" style="27"/>
    <col min="6145" max="6145" width="3.26953125" style="27" customWidth="1"/>
    <col min="6146" max="6146" width="5.08984375" style="27" customWidth="1"/>
    <col min="6147" max="6147" width="10" style="27" customWidth="1"/>
    <col min="6148" max="6148" width="12.36328125" style="27" customWidth="1"/>
    <col min="6149" max="6149" width="14.90625" style="27" customWidth="1"/>
    <col min="6150" max="6150" width="16.36328125" style="27" bestFit="1" customWidth="1"/>
    <col min="6151" max="6151" width="7" style="27" bestFit="1" customWidth="1"/>
    <col min="6152" max="6152" width="16.36328125" style="27" bestFit="1" customWidth="1"/>
    <col min="6153" max="6153" width="7" style="27" bestFit="1" customWidth="1"/>
    <col min="6154" max="6154" width="16.08984375" style="27" customWidth="1"/>
    <col min="6155" max="6155" width="7" style="27" bestFit="1" customWidth="1"/>
    <col min="6156" max="6400" width="9" style="27"/>
    <col min="6401" max="6401" width="3.26953125" style="27" customWidth="1"/>
    <col min="6402" max="6402" width="5.08984375" style="27" customWidth="1"/>
    <col min="6403" max="6403" width="10" style="27" customWidth="1"/>
    <col min="6404" max="6404" width="12.36328125" style="27" customWidth="1"/>
    <col min="6405" max="6405" width="14.90625" style="27" customWidth="1"/>
    <col min="6406" max="6406" width="16.36328125" style="27" bestFit="1" customWidth="1"/>
    <col min="6407" max="6407" width="7" style="27" bestFit="1" customWidth="1"/>
    <col min="6408" max="6408" width="16.36328125" style="27" bestFit="1" customWidth="1"/>
    <col min="6409" max="6409" width="7" style="27" bestFit="1" customWidth="1"/>
    <col min="6410" max="6410" width="16.08984375" style="27" customWidth="1"/>
    <col min="6411" max="6411" width="7" style="27" bestFit="1" customWidth="1"/>
    <col min="6412" max="6656" width="9" style="27"/>
    <col min="6657" max="6657" width="3.26953125" style="27" customWidth="1"/>
    <col min="6658" max="6658" width="5.08984375" style="27" customWidth="1"/>
    <col min="6659" max="6659" width="10" style="27" customWidth="1"/>
    <col min="6660" max="6660" width="12.36328125" style="27" customWidth="1"/>
    <col min="6661" max="6661" width="14.90625" style="27" customWidth="1"/>
    <col min="6662" max="6662" width="16.36328125" style="27" bestFit="1" customWidth="1"/>
    <col min="6663" max="6663" width="7" style="27" bestFit="1" customWidth="1"/>
    <col min="6664" max="6664" width="16.36328125" style="27" bestFit="1" customWidth="1"/>
    <col min="6665" max="6665" width="7" style="27" bestFit="1" customWidth="1"/>
    <col min="6666" max="6666" width="16.08984375" style="27" customWidth="1"/>
    <col min="6667" max="6667" width="7" style="27" bestFit="1" customWidth="1"/>
    <col min="6668" max="6912" width="9" style="27"/>
    <col min="6913" max="6913" width="3.26953125" style="27" customWidth="1"/>
    <col min="6914" max="6914" width="5.08984375" style="27" customWidth="1"/>
    <col min="6915" max="6915" width="10" style="27" customWidth="1"/>
    <col min="6916" max="6916" width="12.36328125" style="27" customWidth="1"/>
    <col min="6917" max="6917" width="14.90625" style="27" customWidth="1"/>
    <col min="6918" max="6918" width="16.36328125" style="27" bestFit="1" customWidth="1"/>
    <col min="6919" max="6919" width="7" style="27" bestFit="1" customWidth="1"/>
    <col min="6920" max="6920" width="16.36328125" style="27" bestFit="1" customWidth="1"/>
    <col min="6921" max="6921" width="7" style="27" bestFit="1" customWidth="1"/>
    <col min="6922" max="6922" width="16.08984375" style="27" customWidth="1"/>
    <col min="6923" max="6923" width="7" style="27" bestFit="1" customWidth="1"/>
    <col min="6924" max="7168" width="9" style="27"/>
    <col min="7169" max="7169" width="3.26953125" style="27" customWidth="1"/>
    <col min="7170" max="7170" width="5.08984375" style="27" customWidth="1"/>
    <col min="7171" max="7171" width="10" style="27" customWidth="1"/>
    <col min="7172" max="7172" width="12.36328125" style="27" customWidth="1"/>
    <col min="7173" max="7173" width="14.90625" style="27" customWidth="1"/>
    <col min="7174" max="7174" width="16.36328125" style="27" bestFit="1" customWidth="1"/>
    <col min="7175" max="7175" width="7" style="27" bestFit="1" customWidth="1"/>
    <col min="7176" max="7176" width="16.36328125" style="27" bestFit="1" customWidth="1"/>
    <col min="7177" max="7177" width="7" style="27" bestFit="1" customWidth="1"/>
    <col min="7178" max="7178" width="16.08984375" style="27" customWidth="1"/>
    <col min="7179" max="7179" width="7" style="27" bestFit="1" customWidth="1"/>
    <col min="7180" max="7424" width="9" style="27"/>
    <col min="7425" max="7425" width="3.26953125" style="27" customWidth="1"/>
    <col min="7426" max="7426" width="5.08984375" style="27" customWidth="1"/>
    <col min="7427" max="7427" width="10" style="27" customWidth="1"/>
    <col min="7428" max="7428" width="12.36328125" style="27" customWidth="1"/>
    <col min="7429" max="7429" width="14.90625" style="27" customWidth="1"/>
    <col min="7430" max="7430" width="16.36328125" style="27" bestFit="1" customWidth="1"/>
    <col min="7431" max="7431" width="7" style="27" bestFit="1" customWidth="1"/>
    <col min="7432" max="7432" width="16.36328125" style="27" bestFit="1" customWidth="1"/>
    <col min="7433" max="7433" width="7" style="27" bestFit="1" customWidth="1"/>
    <col min="7434" max="7434" width="16.08984375" style="27" customWidth="1"/>
    <col min="7435" max="7435" width="7" style="27" bestFit="1" customWidth="1"/>
    <col min="7436" max="7680" width="9" style="27"/>
    <col min="7681" max="7681" width="3.26953125" style="27" customWidth="1"/>
    <col min="7682" max="7682" width="5.08984375" style="27" customWidth="1"/>
    <col min="7683" max="7683" width="10" style="27" customWidth="1"/>
    <col min="7684" max="7684" width="12.36328125" style="27" customWidth="1"/>
    <col min="7685" max="7685" width="14.90625" style="27" customWidth="1"/>
    <col min="7686" max="7686" width="16.36328125" style="27" bestFit="1" customWidth="1"/>
    <col min="7687" max="7687" width="7" style="27" bestFit="1" customWidth="1"/>
    <col min="7688" max="7688" width="16.36328125" style="27" bestFit="1" customWidth="1"/>
    <col min="7689" max="7689" width="7" style="27" bestFit="1" customWidth="1"/>
    <col min="7690" max="7690" width="16.08984375" style="27" customWidth="1"/>
    <col min="7691" max="7691" width="7" style="27" bestFit="1" customWidth="1"/>
    <col min="7692" max="7936" width="9" style="27"/>
    <col min="7937" max="7937" width="3.26953125" style="27" customWidth="1"/>
    <col min="7938" max="7938" width="5.08984375" style="27" customWidth="1"/>
    <col min="7939" max="7939" width="10" style="27" customWidth="1"/>
    <col min="7940" max="7940" width="12.36328125" style="27" customWidth="1"/>
    <col min="7941" max="7941" width="14.90625" style="27" customWidth="1"/>
    <col min="7942" max="7942" width="16.36328125" style="27" bestFit="1" customWidth="1"/>
    <col min="7943" max="7943" width="7" style="27" bestFit="1" customWidth="1"/>
    <col min="7944" max="7944" width="16.36328125" style="27" bestFit="1" customWidth="1"/>
    <col min="7945" max="7945" width="7" style="27" bestFit="1" customWidth="1"/>
    <col min="7946" max="7946" width="16.08984375" style="27" customWidth="1"/>
    <col min="7947" max="7947" width="7" style="27" bestFit="1" customWidth="1"/>
    <col min="7948" max="8192" width="9" style="27"/>
    <col min="8193" max="8193" width="3.26953125" style="27" customWidth="1"/>
    <col min="8194" max="8194" width="5.08984375" style="27" customWidth="1"/>
    <col min="8195" max="8195" width="10" style="27" customWidth="1"/>
    <col min="8196" max="8196" width="12.36328125" style="27" customWidth="1"/>
    <col min="8197" max="8197" width="14.90625" style="27" customWidth="1"/>
    <col min="8198" max="8198" width="16.36328125" style="27" bestFit="1" customWidth="1"/>
    <col min="8199" max="8199" width="7" style="27" bestFit="1" customWidth="1"/>
    <col min="8200" max="8200" width="16.36328125" style="27" bestFit="1" customWidth="1"/>
    <col min="8201" max="8201" width="7" style="27" bestFit="1" customWidth="1"/>
    <col min="8202" max="8202" width="16.08984375" style="27" customWidth="1"/>
    <col min="8203" max="8203" width="7" style="27" bestFit="1" customWidth="1"/>
    <col min="8204" max="8448" width="9" style="27"/>
    <col min="8449" max="8449" width="3.26953125" style="27" customWidth="1"/>
    <col min="8450" max="8450" width="5.08984375" style="27" customWidth="1"/>
    <col min="8451" max="8451" width="10" style="27" customWidth="1"/>
    <col min="8452" max="8452" width="12.36328125" style="27" customWidth="1"/>
    <col min="8453" max="8453" width="14.90625" style="27" customWidth="1"/>
    <col min="8454" max="8454" width="16.36328125" style="27" bestFit="1" customWidth="1"/>
    <col min="8455" max="8455" width="7" style="27" bestFit="1" customWidth="1"/>
    <col min="8456" max="8456" width="16.36328125" style="27" bestFit="1" customWidth="1"/>
    <col min="8457" max="8457" width="7" style="27" bestFit="1" customWidth="1"/>
    <col min="8458" max="8458" width="16.08984375" style="27" customWidth="1"/>
    <col min="8459" max="8459" width="7" style="27" bestFit="1" customWidth="1"/>
    <col min="8460" max="8704" width="9" style="27"/>
    <col min="8705" max="8705" width="3.26953125" style="27" customWidth="1"/>
    <col min="8706" max="8706" width="5.08984375" style="27" customWidth="1"/>
    <col min="8707" max="8707" width="10" style="27" customWidth="1"/>
    <col min="8708" max="8708" width="12.36328125" style="27" customWidth="1"/>
    <col min="8709" max="8709" width="14.90625" style="27" customWidth="1"/>
    <col min="8710" max="8710" width="16.36328125" style="27" bestFit="1" customWidth="1"/>
    <col min="8711" max="8711" width="7" style="27" bestFit="1" customWidth="1"/>
    <col min="8712" max="8712" width="16.36328125" style="27" bestFit="1" customWidth="1"/>
    <col min="8713" max="8713" width="7" style="27" bestFit="1" customWidth="1"/>
    <col min="8714" max="8714" width="16.08984375" style="27" customWidth="1"/>
    <col min="8715" max="8715" width="7" style="27" bestFit="1" customWidth="1"/>
    <col min="8716" max="8960" width="9" style="27"/>
    <col min="8961" max="8961" width="3.26953125" style="27" customWidth="1"/>
    <col min="8962" max="8962" width="5.08984375" style="27" customWidth="1"/>
    <col min="8963" max="8963" width="10" style="27" customWidth="1"/>
    <col min="8964" max="8964" width="12.36328125" style="27" customWidth="1"/>
    <col min="8965" max="8965" width="14.90625" style="27" customWidth="1"/>
    <col min="8966" max="8966" width="16.36328125" style="27" bestFit="1" customWidth="1"/>
    <col min="8967" max="8967" width="7" style="27" bestFit="1" customWidth="1"/>
    <col min="8968" max="8968" width="16.36328125" style="27" bestFit="1" customWidth="1"/>
    <col min="8969" max="8969" width="7" style="27" bestFit="1" customWidth="1"/>
    <col min="8970" max="8970" width="16.08984375" style="27" customWidth="1"/>
    <col min="8971" max="8971" width="7" style="27" bestFit="1" customWidth="1"/>
    <col min="8972" max="9216" width="9" style="27"/>
    <col min="9217" max="9217" width="3.26953125" style="27" customWidth="1"/>
    <col min="9218" max="9218" width="5.08984375" style="27" customWidth="1"/>
    <col min="9219" max="9219" width="10" style="27" customWidth="1"/>
    <col min="9220" max="9220" width="12.36328125" style="27" customWidth="1"/>
    <col min="9221" max="9221" width="14.90625" style="27" customWidth="1"/>
    <col min="9222" max="9222" width="16.36328125" style="27" bestFit="1" customWidth="1"/>
    <col min="9223" max="9223" width="7" style="27" bestFit="1" customWidth="1"/>
    <col min="9224" max="9224" width="16.36328125" style="27" bestFit="1" customWidth="1"/>
    <col min="9225" max="9225" width="7" style="27" bestFit="1" customWidth="1"/>
    <col min="9226" max="9226" width="16.08984375" style="27" customWidth="1"/>
    <col min="9227" max="9227" width="7" style="27" bestFit="1" customWidth="1"/>
    <col min="9228" max="9472" width="9" style="27"/>
    <col min="9473" max="9473" width="3.26953125" style="27" customWidth="1"/>
    <col min="9474" max="9474" width="5.08984375" style="27" customWidth="1"/>
    <col min="9475" max="9475" width="10" style="27" customWidth="1"/>
    <col min="9476" max="9476" width="12.36328125" style="27" customWidth="1"/>
    <col min="9477" max="9477" width="14.90625" style="27" customWidth="1"/>
    <col min="9478" max="9478" width="16.36328125" style="27" bestFit="1" customWidth="1"/>
    <col min="9479" max="9479" width="7" style="27" bestFit="1" customWidth="1"/>
    <col min="9480" max="9480" width="16.36328125" style="27" bestFit="1" customWidth="1"/>
    <col min="9481" max="9481" width="7" style="27" bestFit="1" customWidth="1"/>
    <col min="9482" max="9482" width="16.08984375" style="27" customWidth="1"/>
    <col min="9483" max="9483" width="7" style="27" bestFit="1" customWidth="1"/>
    <col min="9484" max="9728" width="9" style="27"/>
    <col min="9729" max="9729" width="3.26953125" style="27" customWidth="1"/>
    <col min="9730" max="9730" width="5.08984375" style="27" customWidth="1"/>
    <col min="9731" max="9731" width="10" style="27" customWidth="1"/>
    <col min="9732" max="9732" width="12.36328125" style="27" customWidth="1"/>
    <col min="9733" max="9733" width="14.90625" style="27" customWidth="1"/>
    <col min="9734" max="9734" width="16.36328125" style="27" bestFit="1" customWidth="1"/>
    <col min="9735" max="9735" width="7" style="27" bestFit="1" customWidth="1"/>
    <col min="9736" max="9736" width="16.36328125" style="27" bestFit="1" customWidth="1"/>
    <col min="9737" max="9737" width="7" style="27" bestFit="1" customWidth="1"/>
    <col min="9738" max="9738" width="16.08984375" style="27" customWidth="1"/>
    <col min="9739" max="9739" width="7" style="27" bestFit="1" customWidth="1"/>
    <col min="9740" max="9984" width="9" style="27"/>
    <col min="9985" max="9985" width="3.26953125" style="27" customWidth="1"/>
    <col min="9986" max="9986" width="5.08984375" style="27" customWidth="1"/>
    <col min="9987" max="9987" width="10" style="27" customWidth="1"/>
    <col min="9988" max="9988" width="12.36328125" style="27" customWidth="1"/>
    <col min="9989" max="9989" width="14.90625" style="27" customWidth="1"/>
    <col min="9990" max="9990" width="16.36328125" style="27" bestFit="1" customWidth="1"/>
    <col min="9991" max="9991" width="7" style="27" bestFit="1" customWidth="1"/>
    <col min="9992" max="9992" width="16.36328125" style="27" bestFit="1" customWidth="1"/>
    <col min="9993" max="9993" width="7" style="27" bestFit="1" customWidth="1"/>
    <col min="9994" max="9994" width="16.08984375" style="27" customWidth="1"/>
    <col min="9995" max="9995" width="7" style="27" bestFit="1" customWidth="1"/>
    <col min="9996" max="10240" width="9" style="27"/>
    <col min="10241" max="10241" width="3.26953125" style="27" customWidth="1"/>
    <col min="10242" max="10242" width="5.08984375" style="27" customWidth="1"/>
    <col min="10243" max="10243" width="10" style="27" customWidth="1"/>
    <col min="10244" max="10244" width="12.36328125" style="27" customWidth="1"/>
    <col min="10245" max="10245" width="14.90625" style="27" customWidth="1"/>
    <col min="10246" max="10246" width="16.36328125" style="27" bestFit="1" customWidth="1"/>
    <col min="10247" max="10247" width="7" style="27" bestFit="1" customWidth="1"/>
    <col min="10248" max="10248" width="16.36328125" style="27" bestFit="1" customWidth="1"/>
    <col min="10249" max="10249" width="7" style="27" bestFit="1" customWidth="1"/>
    <col min="10250" max="10250" width="16.08984375" style="27" customWidth="1"/>
    <col min="10251" max="10251" width="7" style="27" bestFit="1" customWidth="1"/>
    <col min="10252" max="10496" width="9" style="27"/>
    <col min="10497" max="10497" width="3.26953125" style="27" customWidth="1"/>
    <col min="10498" max="10498" width="5.08984375" style="27" customWidth="1"/>
    <col min="10499" max="10499" width="10" style="27" customWidth="1"/>
    <col min="10500" max="10500" width="12.36328125" style="27" customWidth="1"/>
    <col min="10501" max="10501" width="14.90625" style="27" customWidth="1"/>
    <col min="10502" max="10502" width="16.36328125" style="27" bestFit="1" customWidth="1"/>
    <col min="10503" max="10503" width="7" style="27" bestFit="1" customWidth="1"/>
    <col min="10504" max="10504" width="16.36328125" style="27" bestFit="1" customWidth="1"/>
    <col min="10505" max="10505" width="7" style="27" bestFit="1" customWidth="1"/>
    <col min="10506" max="10506" width="16.08984375" style="27" customWidth="1"/>
    <col min="10507" max="10507" width="7" style="27" bestFit="1" customWidth="1"/>
    <col min="10508" max="10752" width="9" style="27"/>
    <col min="10753" max="10753" width="3.26953125" style="27" customWidth="1"/>
    <col min="10754" max="10754" width="5.08984375" style="27" customWidth="1"/>
    <col min="10755" max="10755" width="10" style="27" customWidth="1"/>
    <col min="10756" max="10756" width="12.36328125" style="27" customWidth="1"/>
    <col min="10757" max="10757" width="14.90625" style="27" customWidth="1"/>
    <col min="10758" max="10758" width="16.36328125" style="27" bestFit="1" customWidth="1"/>
    <col min="10759" max="10759" width="7" style="27" bestFit="1" customWidth="1"/>
    <col min="10760" max="10760" width="16.36328125" style="27" bestFit="1" customWidth="1"/>
    <col min="10761" max="10761" width="7" style="27" bestFit="1" customWidth="1"/>
    <col min="10762" max="10762" width="16.08984375" style="27" customWidth="1"/>
    <col min="10763" max="10763" width="7" style="27" bestFit="1" customWidth="1"/>
    <col min="10764" max="11008" width="9" style="27"/>
    <col min="11009" max="11009" width="3.26953125" style="27" customWidth="1"/>
    <col min="11010" max="11010" width="5.08984375" style="27" customWidth="1"/>
    <col min="11011" max="11011" width="10" style="27" customWidth="1"/>
    <col min="11012" max="11012" width="12.36328125" style="27" customWidth="1"/>
    <col min="11013" max="11013" width="14.90625" style="27" customWidth="1"/>
    <col min="11014" max="11014" width="16.36328125" style="27" bestFit="1" customWidth="1"/>
    <col min="11015" max="11015" width="7" style="27" bestFit="1" customWidth="1"/>
    <col min="11016" max="11016" width="16.36328125" style="27" bestFit="1" customWidth="1"/>
    <col min="11017" max="11017" width="7" style="27" bestFit="1" customWidth="1"/>
    <col min="11018" max="11018" width="16.08984375" style="27" customWidth="1"/>
    <col min="11019" max="11019" width="7" style="27" bestFit="1" customWidth="1"/>
    <col min="11020" max="11264" width="9" style="27"/>
    <col min="11265" max="11265" width="3.26953125" style="27" customWidth="1"/>
    <col min="11266" max="11266" width="5.08984375" style="27" customWidth="1"/>
    <col min="11267" max="11267" width="10" style="27" customWidth="1"/>
    <col min="11268" max="11268" width="12.36328125" style="27" customWidth="1"/>
    <col min="11269" max="11269" width="14.90625" style="27" customWidth="1"/>
    <col min="11270" max="11270" width="16.36328125" style="27" bestFit="1" customWidth="1"/>
    <col min="11271" max="11271" width="7" style="27" bestFit="1" customWidth="1"/>
    <col min="11272" max="11272" width="16.36328125" style="27" bestFit="1" customWidth="1"/>
    <col min="11273" max="11273" width="7" style="27" bestFit="1" customWidth="1"/>
    <col min="11274" max="11274" width="16.08984375" style="27" customWidth="1"/>
    <col min="11275" max="11275" width="7" style="27" bestFit="1" customWidth="1"/>
    <col min="11276" max="11520" width="9" style="27"/>
    <col min="11521" max="11521" width="3.26953125" style="27" customWidth="1"/>
    <col min="11522" max="11522" width="5.08984375" style="27" customWidth="1"/>
    <col min="11523" max="11523" width="10" style="27" customWidth="1"/>
    <col min="11524" max="11524" width="12.36328125" style="27" customWidth="1"/>
    <col min="11525" max="11525" width="14.90625" style="27" customWidth="1"/>
    <col min="11526" max="11526" width="16.36328125" style="27" bestFit="1" customWidth="1"/>
    <col min="11527" max="11527" width="7" style="27" bestFit="1" customWidth="1"/>
    <col min="11528" max="11528" width="16.36328125" style="27" bestFit="1" customWidth="1"/>
    <col min="11529" max="11529" width="7" style="27" bestFit="1" customWidth="1"/>
    <col min="11530" max="11530" width="16.08984375" style="27" customWidth="1"/>
    <col min="11531" max="11531" width="7" style="27" bestFit="1" customWidth="1"/>
    <col min="11532" max="11776" width="9" style="27"/>
    <col min="11777" max="11777" width="3.26953125" style="27" customWidth="1"/>
    <col min="11778" max="11778" width="5.08984375" style="27" customWidth="1"/>
    <col min="11779" max="11779" width="10" style="27" customWidth="1"/>
    <col min="11780" max="11780" width="12.36328125" style="27" customWidth="1"/>
    <col min="11781" max="11781" width="14.90625" style="27" customWidth="1"/>
    <col min="11782" max="11782" width="16.36328125" style="27" bestFit="1" customWidth="1"/>
    <col min="11783" max="11783" width="7" style="27" bestFit="1" customWidth="1"/>
    <col min="11784" max="11784" width="16.36328125" style="27" bestFit="1" customWidth="1"/>
    <col min="11785" max="11785" width="7" style="27" bestFit="1" customWidth="1"/>
    <col min="11786" max="11786" width="16.08984375" style="27" customWidth="1"/>
    <col min="11787" max="11787" width="7" style="27" bestFit="1" customWidth="1"/>
    <col min="11788" max="12032" width="9" style="27"/>
    <col min="12033" max="12033" width="3.26953125" style="27" customWidth="1"/>
    <col min="12034" max="12034" width="5.08984375" style="27" customWidth="1"/>
    <col min="12035" max="12035" width="10" style="27" customWidth="1"/>
    <col min="12036" max="12036" width="12.36328125" style="27" customWidth="1"/>
    <col min="12037" max="12037" width="14.90625" style="27" customWidth="1"/>
    <col min="12038" max="12038" width="16.36328125" style="27" bestFit="1" customWidth="1"/>
    <col min="12039" max="12039" width="7" style="27" bestFit="1" customWidth="1"/>
    <col min="12040" max="12040" width="16.36328125" style="27" bestFit="1" customWidth="1"/>
    <col min="12041" max="12041" width="7" style="27" bestFit="1" customWidth="1"/>
    <col min="12042" max="12042" width="16.08984375" style="27" customWidth="1"/>
    <col min="12043" max="12043" width="7" style="27" bestFit="1" customWidth="1"/>
    <col min="12044" max="12288" width="9" style="27"/>
    <col min="12289" max="12289" width="3.26953125" style="27" customWidth="1"/>
    <col min="12290" max="12290" width="5.08984375" style="27" customWidth="1"/>
    <col min="12291" max="12291" width="10" style="27" customWidth="1"/>
    <col min="12292" max="12292" width="12.36328125" style="27" customWidth="1"/>
    <col min="12293" max="12293" width="14.90625" style="27" customWidth="1"/>
    <col min="12294" max="12294" width="16.36328125" style="27" bestFit="1" customWidth="1"/>
    <col min="12295" max="12295" width="7" style="27" bestFit="1" customWidth="1"/>
    <col min="12296" max="12296" width="16.36328125" style="27" bestFit="1" customWidth="1"/>
    <col min="12297" max="12297" width="7" style="27" bestFit="1" customWidth="1"/>
    <col min="12298" max="12298" width="16.08984375" style="27" customWidth="1"/>
    <col min="12299" max="12299" width="7" style="27" bestFit="1" customWidth="1"/>
    <col min="12300" max="12544" width="9" style="27"/>
    <col min="12545" max="12545" width="3.26953125" style="27" customWidth="1"/>
    <col min="12546" max="12546" width="5.08984375" style="27" customWidth="1"/>
    <col min="12547" max="12547" width="10" style="27" customWidth="1"/>
    <col min="12548" max="12548" width="12.36328125" style="27" customWidth="1"/>
    <col min="12549" max="12549" width="14.90625" style="27" customWidth="1"/>
    <col min="12550" max="12550" width="16.36328125" style="27" bestFit="1" customWidth="1"/>
    <col min="12551" max="12551" width="7" style="27" bestFit="1" customWidth="1"/>
    <col min="12552" max="12552" width="16.36328125" style="27" bestFit="1" customWidth="1"/>
    <col min="12553" max="12553" width="7" style="27" bestFit="1" customWidth="1"/>
    <col min="12554" max="12554" width="16.08984375" style="27" customWidth="1"/>
    <col min="12555" max="12555" width="7" style="27" bestFit="1" customWidth="1"/>
    <col min="12556" max="12800" width="9" style="27"/>
    <col min="12801" max="12801" width="3.26953125" style="27" customWidth="1"/>
    <col min="12802" max="12802" width="5.08984375" style="27" customWidth="1"/>
    <col min="12803" max="12803" width="10" style="27" customWidth="1"/>
    <col min="12804" max="12804" width="12.36328125" style="27" customWidth="1"/>
    <col min="12805" max="12805" width="14.90625" style="27" customWidth="1"/>
    <col min="12806" max="12806" width="16.36328125" style="27" bestFit="1" customWidth="1"/>
    <col min="12807" max="12807" width="7" style="27" bestFit="1" customWidth="1"/>
    <col min="12808" max="12808" width="16.36328125" style="27" bestFit="1" customWidth="1"/>
    <col min="12809" max="12809" width="7" style="27" bestFit="1" customWidth="1"/>
    <col min="12810" max="12810" width="16.08984375" style="27" customWidth="1"/>
    <col min="12811" max="12811" width="7" style="27" bestFit="1" customWidth="1"/>
    <col min="12812" max="13056" width="9" style="27"/>
    <col min="13057" max="13057" width="3.26953125" style="27" customWidth="1"/>
    <col min="13058" max="13058" width="5.08984375" style="27" customWidth="1"/>
    <col min="13059" max="13059" width="10" style="27" customWidth="1"/>
    <col min="13060" max="13060" width="12.36328125" style="27" customWidth="1"/>
    <col min="13061" max="13061" width="14.90625" style="27" customWidth="1"/>
    <col min="13062" max="13062" width="16.36328125" style="27" bestFit="1" customWidth="1"/>
    <col min="13063" max="13063" width="7" style="27" bestFit="1" customWidth="1"/>
    <col min="13064" max="13064" width="16.36328125" style="27" bestFit="1" customWidth="1"/>
    <col min="13065" max="13065" width="7" style="27" bestFit="1" customWidth="1"/>
    <col min="13066" max="13066" width="16.08984375" style="27" customWidth="1"/>
    <col min="13067" max="13067" width="7" style="27" bestFit="1" customWidth="1"/>
    <col min="13068" max="13312" width="9" style="27"/>
    <col min="13313" max="13313" width="3.26953125" style="27" customWidth="1"/>
    <col min="13314" max="13314" width="5.08984375" style="27" customWidth="1"/>
    <col min="13315" max="13315" width="10" style="27" customWidth="1"/>
    <col min="13316" max="13316" width="12.36328125" style="27" customWidth="1"/>
    <col min="13317" max="13317" width="14.90625" style="27" customWidth="1"/>
    <col min="13318" max="13318" width="16.36328125" style="27" bestFit="1" customWidth="1"/>
    <col min="13319" max="13319" width="7" style="27" bestFit="1" customWidth="1"/>
    <col min="13320" max="13320" width="16.36328125" style="27" bestFit="1" customWidth="1"/>
    <col min="13321" max="13321" width="7" style="27" bestFit="1" customWidth="1"/>
    <col min="13322" max="13322" width="16.08984375" style="27" customWidth="1"/>
    <col min="13323" max="13323" width="7" style="27" bestFit="1" customWidth="1"/>
    <col min="13324" max="13568" width="9" style="27"/>
    <col min="13569" max="13569" width="3.26953125" style="27" customWidth="1"/>
    <col min="13570" max="13570" width="5.08984375" style="27" customWidth="1"/>
    <col min="13571" max="13571" width="10" style="27" customWidth="1"/>
    <col min="13572" max="13572" width="12.36328125" style="27" customWidth="1"/>
    <col min="13573" max="13573" width="14.90625" style="27" customWidth="1"/>
    <col min="13574" max="13574" width="16.36328125" style="27" bestFit="1" customWidth="1"/>
    <col min="13575" max="13575" width="7" style="27" bestFit="1" customWidth="1"/>
    <col min="13576" max="13576" width="16.36328125" style="27" bestFit="1" customWidth="1"/>
    <col min="13577" max="13577" width="7" style="27" bestFit="1" customWidth="1"/>
    <col min="13578" max="13578" width="16.08984375" style="27" customWidth="1"/>
    <col min="13579" max="13579" width="7" style="27" bestFit="1" customWidth="1"/>
    <col min="13580" max="13824" width="9" style="27"/>
    <col min="13825" max="13825" width="3.26953125" style="27" customWidth="1"/>
    <col min="13826" max="13826" width="5.08984375" style="27" customWidth="1"/>
    <col min="13827" max="13827" width="10" style="27" customWidth="1"/>
    <col min="13828" max="13828" width="12.36328125" style="27" customWidth="1"/>
    <col min="13829" max="13829" width="14.90625" style="27" customWidth="1"/>
    <col min="13830" max="13830" width="16.36328125" style="27" bestFit="1" customWidth="1"/>
    <col min="13831" max="13831" width="7" style="27" bestFit="1" customWidth="1"/>
    <col min="13832" max="13832" width="16.36328125" style="27" bestFit="1" customWidth="1"/>
    <col min="13833" max="13833" width="7" style="27" bestFit="1" customWidth="1"/>
    <col min="13834" max="13834" width="16.08984375" style="27" customWidth="1"/>
    <col min="13835" max="13835" width="7" style="27" bestFit="1" customWidth="1"/>
    <col min="13836" max="14080" width="9" style="27"/>
    <col min="14081" max="14081" width="3.26953125" style="27" customWidth="1"/>
    <col min="14082" max="14082" width="5.08984375" style="27" customWidth="1"/>
    <col min="14083" max="14083" width="10" style="27" customWidth="1"/>
    <col min="14084" max="14084" width="12.36328125" style="27" customWidth="1"/>
    <col min="14085" max="14085" width="14.90625" style="27" customWidth="1"/>
    <col min="14086" max="14086" width="16.36328125" style="27" bestFit="1" customWidth="1"/>
    <col min="14087" max="14087" width="7" style="27" bestFit="1" customWidth="1"/>
    <col min="14088" max="14088" width="16.36328125" style="27" bestFit="1" customWidth="1"/>
    <col min="14089" max="14089" width="7" style="27" bestFit="1" customWidth="1"/>
    <col min="14090" max="14090" width="16.08984375" style="27" customWidth="1"/>
    <col min="14091" max="14091" width="7" style="27" bestFit="1" customWidth="1"/>
    <col min="14092" max="14336" width="9" style="27"/>
    <col min="14337" max="14337" width="3.26953125" style="27" customWidth="1"/>
    <col min="14338" max="14338" width="5.08984375" style="27" customWidth="1"/>
    <col min="14339" max="14339" width="10" style="27" customWidth="1"/>
    <col min="14340" max="14340" width="12.36328125" style="27" customWidth="1"/>
    <col min="14341" max="14341" width="14.90625" style="27" customWidth="1"/>
    <col min="14342" max="14342" width="16.36328125" style="27" bestFit="1" customWidth="1"/>
    <col min="14343" max="14343" width="7" style="27" bestFit="1" customWidth="1"/>
    <col min="14344" max="14344" width="16.36328125" style="27" bestFit="1" customWidth="1"/>
    <col min="14345" max="14345" width="7" style="27" bestFit="1" customWidth="1"/>
    <col min="14346" max="14346" width="16.08984375" style="27" customWidth="1"/>
    <col min="14347" max="14347" width="7" style="27" bestFit="1" customWidth="1"/>
    <col min="14348" max="14592" width="9" style="27"/>
    <col min="14593" max="14593" width="3.26953125" style="27" customWidth="1"/>
    <col min="14594" max="14594" width="5.08984375" style="27" customWidth="1"/>
    <col min="14595" max="14595" width="10" style="27" customWidth="1"/>
    <col min="14596" max="14596" width="12.36328125" style="27" customWidth="1"/>
    <col min="14597" max="14597" width="14.90625" style="27" customWidth="1"/>
    <col min="14598" max="14598" width="16.36328125" style="27" bestFit="1" customWidth="1"/>
    <col min="14599" max="14599" width="7" style="27" bestFit="1" customWidth="1"/>
    <col min="14600" max="14600" width="16.36328125" style="27" bestFit="1" customWidth="1"/>
    <col min="14601" max="14601" width="7" style="27" bestFit="1" customWidth="1"/>
    <col min="14602" max="14602" width="16.08984375" style="27" customWidth="1"/>
    <col min="14603" max="14603" width="7" style="27" bestFit="1" customWidth="1"/>
    <col min="14604" max="14848" width="9" style="27"/>
    <col min="14849" max="14849" width="3.26953125" style="27" customWidth="1"/>
    <col min="14850" max="14850" width="5.08984375" style="27" customWidth="1"/>
    <col min="14851" max="14851" width="10" style="27" customWidth="1"/>
    <col min="14852" max="14852" width="12.36328125" style="27" customWidth="1"/>
    <col min="14853" max="14853" width="14.90625" style="27" customWidth="1"/>
    <col min="14854" max="14854" width="16.36328125" style="27" bestFit="1" customWidth="1"/>
    <col min="14855" max="14855" width="7" style="27" bestFit="1" customWidth="1"/>
    <col min="14856" max="14856" width="16.36328125" style="27" bestFit="1" customWidth="1"/>
    <col min="14857" max="14857" width="7" style="27" bestFit="1" customWidth="1"/>
    <col min="14858" max="14858" width="16.08984375" style="27" customWidth="1"/>
    <col min="14859" max="14859" width="7" style="27" bestFit="1" customWidth="1"/>
    <col min="14860" max="15104" width="9" style="27"/>
    <col min="15105" max="15105" width="3.26953125" style="27" customWidth="1"/>
    <col min="15106" max="15106" width="5.08984375" style="27" customWidth="1"/>
    <col min="15107" max="15107" width="10" style="27" customWidth="1"/>
    <col min="15108" max="15108" width="12.36328125" style="27" customWidth="1"/>
    <col min="15109" max="15109" width="14.90625" style="27" customWidth="1"/>
    <col min="15110" max="15110" width="16.36328125" style="27" bestFit="1" customWidth="1"/>
    <col min="15111" max="15111" width="7" style="27" bestFit="1" customWidth="1"/>
    <col min="15112" max="15112" width="16.36328125" style="27" bestFit="1" customWidth="1"/>
    <col min="15113" max="15113" width="7" style="27" bestFit="1" customWidth="1"/>
    <col min="15114" max="15114" width="16.08984375" style="27" customWidth="1"/>
    <col min="15115" max="15115" width="7" style="27" bestFit="1" customWidth="1"/>
    <col min="15116" max="15360" width="9" style="27"/>
    <col min="15361" max="15361" width="3.26953125" style="27" customWidth="1"/>
    <col min="15362" max="15362" width="5.08984375" style="27" customWidth="1"/>
    <col min="15363" max="15363" width="10" style="27" customWidth="1"/>
    <col min="15364" max="15364" width="12.36328125" style="27" customWidth="1"/>
    <col min="15365" max="15365" width="14.90625" style="27" customWidth="1"/>
    <col min="15366" max="15366" width="16.36328125" style="27" bestFit="1" customWidth="1"/>
    <col min="15367" max="15367" width="7" style="27" bestFit="1" customWidth="1"/>
    <col min="15368" max="15368" width="16.36328125" style="27" bestFit="1" customWidth="1"/>
    <col min="15369" max="15369" width="7" style="27" bestFit="1" customWidth="1"/>
    <col min="15370" max="15370" width="16.08984375" style="27" customWidth="1"/>
    <col min="15371" max="15371" width="7" style="27" bestFit="1" customWidth="1"/>
    <col min="15372" max="15616" width="9" style="27"/>
    <col min="15617" max="15617" width="3.26953125" style="27" customWidth="1"/>
    <col min="15618" max="15618" width="5.08984375" style="27" customWidth="1"/>
    <col min="15619" max="15619" width="10" style="27" customWidth="1"/>
    <col min="15620" max="15620" width="12.36328125" style="27" customWidth="1"/>
    <col min="15621" max="15621" width="14.90625" style="27" customWidth="1"/>
    <col min="15622" max="15622" width="16.36328125" style="27" bestFit="1" customWidth="1"/>
    <col min="15623" max="15623" width="7" style="27" bestFit="1" customWidth="1"/>
    <col min="15624" max="15624" width="16.36328125" style="27" bestFit="1" customWidth="1"/>
    <col min="15625" max="15625" width="7" style="27" bestFit="1" customWidth="1"/>
    <col min="15626" max="15626" width="16.08984375" style="27" customWidth="1"/>
    <col min="15627" max="15627" width="7" style="27" bestFit="1" customWidth="1"/>
    <col min="15628" max="15872" width="9" style="27"/>
    <col min="15873" max="15873" width="3.26953125" style="27" customWidth="1"/>
    <col min="15874" max="15874" width="5.08984375" style="27" customWidth="1"/>
    <col min="15875" max="15875" width="10" style="27" customWidth="1"/>
    <col min="15876" max="15876" width="12.36328125" style="27" customWidth="1"/>
    <col min="15877" max="15877" width="14.90625" style="27" customWidth="1"/>
    <col min="15878" max="15878" width="16.36328125" style="27" bestFit="1" customWidth="1"/>
    <col min="15879" max="15879" width="7" style="27" bestFit="1" customWidth="1"/>
    <col min="15880" max="15880" width="16.36328125" style="27" bestFit="1" customWidth="1"/>
    <col min="15881" max="15881" width="7" style="27" bestFit="1" customWidth="1"/>
    <col min="15882" max="15882" width="16.08984375" style="27" customWidth="1"/>
    <col min="15883" max="15883" width="7" style="27" bestFit="1" customWidth="1"/>
    <col min="15884" max="16128" width="9" style="27"/>
    <col min="16129" max="16129" width="3.26953125" style="27" customWidth="1"/>
    <col min="16130" max="16130" width="5.08984375" style="27" customWidth="1"/>
    <col min="16131" max="16131" width="10" style="27" customWidth="1"/>
    <col min="16132" max="16132" width="12.36328125" style="27" customWidth="1"/>
    <col min="16133" max="16133" width="14.90625" style="27" customWidth="1"/>
    <col min="16134" max="16134" width="16.36328125" style="27" bestFit="1" customWidth="1"/>
    <col min="16135" max="16135" width="7" style="27" bestFit="1" customWidth="1"/>
    <col min="16136" max="16136" width="16.36328125" style="27" bestFit="1" customWidth="1"/>
    <col min="16137" max="16137" width="7" style="27" bestFit="1" customWidth="1"/>
    <col min="16138" max="16138" width="16.08984375" style="27" customWidth="1"/>
    <col min="16139" max="16139" width="7" style="27" bestFit="1" customWidth="1"/>
    <col min="16140" max="16384" width="9" style="27"/>
  </cols>
  <sheetData>
    <row r="1" spans="1:12">
      <c r="A1" s="28" t="s">
        <v>145</v>
      </c>
    </row>
    <row r="2" spans="1:12" s="52" customFormat="1" ht="24" customHeight="1" thickBot="1">
      <c r="A2" s="96"/>
      <c r="B2" s="468" t="s">
        <v>332</v>
      </c>
      <c r="C2" s="468"/>
      <c r="D2" s="468"/>
      <c r="E2" s="468"/>
      <c r="F2" s="468"/>
      <c r="G2" s="468"/>
      <c r="H2" s="468"/>
      <c r="I2" s="468"/>
      <c r="J2" s="468"/>
    </row>
    <row r="3" spans="1:12" ht="14.25" customHeight="1" thickTop="1" thickBot="1">
      <c r="B3" s="33" t="s">
        <v>147</v>
      </c>
      <c r="C3" s="33" t="s">
        <v>148</v>
      </c>
      <c r="D3" s="33"/>
      <c r="E3" s="34"/>
      <c r="K3" s="27"/>
    </row>
    <row r="4" spans="1:12" ht="14.25" customHeight="1">
      <c r="B4" s="462" t="s">
        <v>333</v>
      </c>
      <c r="C4" s="97" t="s">
        <v>334</v>
      </c>
      <c r="D4" s="97"/>
      <c r="E4" s="97"/>
      <c r="F4" s="97"/>
      <c r="G4" s="97"/>
      <c r="H4" s="97"/>
      <c r="I4" s="97"/>
      <c r="J4" s="98"/>
      <c r="K4" s="27"/>
    </row>
    <row r="5" spans="1:12" ht="14.25" customHeight="1" thickBot="1">
      <c r="B5" s="463"/>
      <c r="C5" s="464"/>
      <c r="D5" s="465"/>
      <c r="E5" s="466"/>
      <c r="F5" s="466"/>
      <c r="G5" s="466"/>
      <c r="H5" s="466"/>
      <c r="I5" s="466"/>
      <c r="J5" s="467"/>
      <c r="K5" s="27"/>
    </row>
    <row r="6" spans="1:12">
      <c r="B6" s="102"/>
      <c r="C6" s="165"/>
      <c r="D6" s="165"/>
      <c r="E6" s="165"/>
      <c r="F6" s="165"/>
      <c r="G6" s="165"/>
      <c r="H6" s="165"/>
      <c r="I6" s="165"/>
      <c r="J6" s="145"/>
      <c r="K6" s="165"/>
      <c r="L6" s="153"/>
    </row>
    <row r="7" spans="1:12" ht="17.25" customHeight="1">
      <c r="B7" s="102"/>
      <c r="C7" s="256" t="s">
        <v>213</v>
      </c>
      <c r="D7" s="474" t="s">
        <v>214</v>
      </c>
      <c r="E7" s="476"/>
      <c r="F7" s="476"/>
      <c r="G7" s="476"/>
      <c r="H7" s="476"/>
      <c r="I7" s="477"/>
      <c r="J7" s="257"/>
      <c r="K7" s="258"/>
      <c r="L7" s="125"/>
    </row>
    <row r="8" spans="1:12" ht="15" customHeight="1">
      <c r="B8" s="126"/>
      <c r="C8" s="259" t="s">
        <v>215</v>
      </c>
      <c r="D8" s="260" t="s">
        <v>216</v>
      </c>
      <c r="E8" s="260" t="s">
        <v>217</v>
      </c>
      <c r="F8" s="261" t="s">
        <v>218</v>
      </c>
      <c r="G8" s="261" t="s">
        <v>219</v>
      </c>
      <c r="H8" s="261" t="s">
        <v>220</v>
      </c>
      <c r="I8" s="262" t="s">
        <v>221</v>
      </c>
      <c r="J8" s="131"/>
      <c r="K8" s="263"/>
      <c r="L8" s="132"/>
    </row>
    <row r="9" spans="1:12" ht="12" customHeight="1">
      <c r="B9" s="133"/>
      <c r="C9" s="264" t="s">
        <v>222</v>
      </c>
      <c r="D9" s="265" t="s">
        <v>223</v>
      </c>
      <c r="E9" s="265" t="s">
        <v>224</v>
      </c>
      <c r="F9" s="266" t="s">
        <v>225</v>
      </c>
      <c r="G9" s="266" t="s">
        <v>226</v>
      </c>
      <c r="H9" s="266" t="s">
        <v>227</v>
      </c>
      <c r="I9" s="267" t="s">
        <v>228</v>
      </c>
      <c r="J9" s="138"/>
      <c r="K9" s="268"/>
      <c r="L9" s="139"/>
    </row>
    <row r="10" spans="1:12" ht="12" customHeight="1">
      <c r="B10" s="133"/>
      <c r="C10" s="269" t="s">
        <v>229</v>
      </c>
      <c r="D10" s="270" t="s">
        <v>230</v>
      </c>
      <c r="E10" s="271">
        <v>66666</v>
      </c>
      <c r="F10" s="272" t="s">
        <v>231</v>
      </c>
      <c r="G10" s="272" t="s">
        <v>239</v>
      </c>
      <c r="H10" s="272" t="s">
        <v>231</v>
      </c>
      <c r="I10" s="273" t="s">
        <v>239</v>
      </c>
      <c r="J10" s="274"/>
      <c r="K10" s="165"/>
      <c r="L10" s="146"/>
    </row>
    <row r="11" spans="1:12" ht="12" customHeight="1">
      <c r="B11" s="133"/>
      <c r="C11" s="269" t="s">
        <v>229</v>
      </c>
      <c r="D11" s="270" t="s">
        <v>233</v>
      </c>
      <c r="E11" s="271">
        <v>3500</v>
      </c>
      <c r="F11" s="272" t="s">
        <v>231</v>
      </c>
      <c r="G11" s="272" t="s">
        <v>239</v>
      </c>
      <c r="H11" s="272" t="s">
        <v>231</v>
      </c>
      <c r="I11" s="273" t="s">
        <v>239</v>
      </c>
      <c r="J11" s="274"/>
      <c r="K11" s="165"/>
      <c r="L11" s="146"/>
    </row>
    <row r="12" spans="1:12" ht="12" customHeight="1">
      <c r="B12" s="133"/>
      <c r="C12" s="275" t="s">
        <v>234</v>
      </c>
      <c r="D12" s="276" t="s">
        <v>235</v>
      </c>
      <c r="E12" s="277">
        <v>12000</v>
      </c>
      <c r="F12" s="278" t="s">
        <v>231</v>
      </c>
      <c r="G12" s="278" t="s">
        <v>239</v>
      </c>
      <c r="H12" s="278" t="s">
        <v>231</v>
      </c>
      <c r="I12" s="279" t="s">
        <v>239</v>
      </c>
      <c r="J12" s="274"/>
      <c r="K12" s="165"/>
      <c r="L12" s="146"/>
    </row>
    <row r="13" spans="1:12" ht="12" customHeight="1">
      <c r="B13" s="133"/>
      <c r="C13" s="275" t="s">
        <v>234</v>
      </c>
      <c r="D13" s="276" t="s">
        <v>236</v>
      </c>
      <c r="E13" s="277">
        <v>300</v>
      </c>
      <c r="F13" s="278" t="s">
        <v>231</v>
      </c>
      <c r="G13" s="278" t="s">
        <v>239</v>
      </c>
      <c r="H13" s="278" t="s">
        <v>231</v>
      </c>
      <c r="I13" s="279" t="s">
        <v>239</v>
      </c>
      <c r="J13" s="274"/>
      <c r="K13" s="165"/>
      <c r="L13" s="146"/>
    </row>
    <row r="14" spans="1:12" ht="12" customHeight="1">
      <c r="B14" s="133"/>
      <c r="C14" s="187" t="s">
        <v>234</v>
      </c>
      <c r="D14" s="188" t="s">
        <v>233</v>
      </c>
      <c r="E14" s="189">
        <v>100</v>
      </c>
      <c r="F14" s="190" t="s">
        <v>231</v>
      </c>
      <c r="G14" s="190" t="s">
        <v>239</v>
      </c>
      <c r="H14" s="190" t="s">
        <v>231</v>
      </c>
      <c r="I14" s="197" t="s">
        <v>239</v>
      </c>
      <c r="J14" s="145"/>
      <c r="K14" s="165"/>
      <c r="L14" s="146"/>
    </row>
    <row r="15" spans="1:12" ht="12" customHeight="1">
      <c r="B15" s="133"/>
      <c r="C15" s="187" t="s">
        <v>234</v>
      </c>
      <c r="D15" s="188" t="s">
        <v>237</v>
      </c>
      <c r="E15" s="189">
        <v>50</v>
      </c>
      <c r="F15" s="190" t="s">
        <v>231</v>
      </c>
      <c r="G15" s="190" t="s">
        <v>239</v>
      </c>
      <c r="H15" s="190" t="s">
        <v>231</v>
      </c>
      <c r="I15" s="197" t="s">
        <v>239</v>
      </c>
      <c r="J15" s="145"/>
      <c r="K15" s="165"/>
      <c r="L15" s="146"/>
    </row>
    <row r="16" spans="1:12" ht="12" customHeight="1">
      <c r="B16" s="133"/>
      <c r="C16" s="187" t="s">
        <v>238</v>
      </c>
      <c r="D16" s="188" t="s">
        <v>237</v>
      </c>
      <c r="E16" s="189">
        <v>3000</v>
      </c>
      <c r="F16" s="190" t="s">
        <v>231</v>
      </c>
      <c r="G16" s="190" t="s">
        <v>239</v>
      </c>
      <c r="H16" s="190" t="s">
        <v>231</v>
      </c>
      <c r="I16" s="197" t="s">
        <v>239</v>
      </c>
      <c r="J16" s="145"/>
      <c r="K16" s="165"/>
      <c r="L16" s="152"/>
    </row>
    <row r="17" spans="2:12" ht="12" customHeight="1">
      <c r="B17" s="133"/>
      <c r="C17" s="187" t="s">
        <v>240</v>
      </c>
      <c r="D17" s="188" t="s">
        <v>237</v>
      </c>
      <c r="E17" s="189">
        <v>200</v>
      </c>
      <c r="F17" s="190" t="s">
        <v>231</v>
      </c>
      <c r="G17" s="190" t="s">
        <v>239</v>
      </c>
      <c r="H17" s="190" t="s">
        <v>231</v>
      </c>
      <c r="I17" s="197" t="s">
        <v>239</v>
      </c>
      <c r="J17" s="145"/>
      <c r="K17" s="165"/>
      <c r="L17" s="152"/>
    </row>
    <row r="18" spans="2:12" ht="12" customHeight="1">
      <c r="B18" s="133"/>
      <c r="C18" s="187" t="s">
        <v>241</v>
      </c>
      <c r="D18" s="188" t="s">
        <v>242</v>
      </c>
      <c r="E18" s="189">
        <v>999999999999999</v>
      </c>
      <c r="F18" s="190" t="s">
        <v>231</v>
      </c>
      <c r="G18" s="190" t="s">
        <v>239</v>
      </c>
      <c r="H18" s="190" t="s">
        <v>231</v>
      </c>
      <c r="I18" s="197" t="s">
        <v>239</v>
      </c>
      <c r="J18" s="145"/>
      <c r="K18" s="165"/>
      <c r="L18" s="153"/>
    </row>
    <row r="19" spans="2:12" ht="12" customHeight="1">
      <c r="B19" s="133"/>
      <c r="C19" s="187" t="s">
        <v>241</v>
      </c>
      <c r="D19" s="188" t="s">
        <v>237</v>
      </c>
      <c r="E19" s="189">
        <v>200000</v>
      </c>
      <c r="F19" s="190" t="s">
        <v>231</v>
      </c>
      <c r="G19" s="190" t="s">
        <v>239</v>
      </c>
      <c r="H19" s="190" t="s">
        <v>231</v>
      </c>
      <c r="I19" s="197" t="s">
        <v>239</v>
      </c>
      <c r="J19" s="145"/>
      <c r="K19" s="165"/>
      <c r="L19" s="153"/>
    </row>
    <row r="20" spans="2:12" ht="12" customHeight="1">
      <c r="B20" s="133"/>
      <c r="C20" s="187" t="s">
        <v>241</v>
      </c>
      <c r="D20" s="188" t="s">
        <v>243</v>
      </c>
      <c r="E20" s="189">
        <v>0</v>
      </c>
      <c r="F20" s="190" t="s">
        <v>231</v>
      </c>
      <c r="G20" s="190" t="s">
        <v>239</v>
      </c>
      <c r="H20" s="190" t="s">
        <v>231</v>
      </c>
      <c r="I20" s="197" t="s">
        <v>239</v>
      </c>
      <c r="J20" s="145"/>
      <c r="K20" s="165"/>
      <c r="L20" s="153"/>
    </row>
    <row r="21" spans="2:12" ht="12" customHeight="1">
      <c r="B21" s="133"/>
      <c r="C21" s="198" t="s">
        <v>241</v>
      </c>
      <c r="D21" s="199" t="s">
        <v>244</v>
      </c>
      <c r="E21" s="280">
        <v>333333333</v>
      </c>
      <c r="F21" s="201" t="s">
        <v>231</v>
      </c>
      <c r="G21" s="201" t="s">
        <v>239</v>
      </c>
      <c r="H21" s="201" t="s">
        <v>231</v>
      </c>
      <c r="I21" s="202" t="s">
        <v>239</v>
      </c>
      <c r="J21" s="145"/>
      <c r="K21" s="165"/>
      <c r="L21" s="153"/>
    </row>
    <row r="22" spans="2:12" ht="12" customHeight="1">
      <c r="B22" s="133"/>
      <c r="C22" s="159" t="s">
        <v>241</v>
      </c>
      <c r="D22" s="159" t="s">
        <v>245</v>
      </c>
      <c r="E22" s="160">
        <v>999999999999999</v>
      </c>
      <c r="F22" s="161"/>
      <c r="G22" s="161"/>
      <c r="H22" s="161"/>
      <c r="I22" s="161"/>
      <c r="J22" s="281"/>
      <c r="K22" s="165"/>
      <c r="L22" s="153"/>
    </row>
    <row r="23" spans="2:12" ht="12" customHeight="1">
      <c r="B23" s="133"/>
      <c r="C23" s="159" t="s">
        <v>241</v>
      </c>
      <c r="D23" s="159" t="s">
        <v>246</v>
      </c>
      <c r="E23" s="162">
        <v>300</v>
      </c>
      <c r="F23" s="161"/>
      <c r="G23" s="161"/>
      <c r="H23" s="161"/>
      <c r="I23" s="161"/>
      <c r="J23" s="281"/>
      <c r="K23" s="165"/>
      <c r="L23" s="153"/>
    </row>
    <row r="24" spans="2:12" ht="11.25" customHeight="1">
      <c r="B24" s="133"/>
      <c r="C24" s="159" t="s">
        <v>241</v>
      </c>
      <c r="D24" s="159" t="s">
        <v>247</v>
      </c>
      <c r="E24" s="162">
        <v>20</v>
      </c>
      <c r="F24" s="161"/>
      <c r="G24" s="161"/>
      <c r="H24" s="161"/>
      <c r="I24" s="161"/>
      <c r="J24" s="281"/>
      <c r="K24" s="165"/>
      <c r="L24" s="163"/>
    </row>
    <row r="25" spans="2:12">
      <c r="B25" s="133"/>
      <c r="C25" s="159" t="s">
        <v>248</v>
      </c>
      <c r="D25" s="159" t="s">
        <v>249</v>
      </c>
      <c r="E25" s="162">
        <v>6000</v>
      </c>
      <c r="F25" s="161"/>
      <c r="G25" s="161"/>
      <c r="H25" s="161"/>
      <c r="I25" s="161"/>
      <c r="J25" s="281"/>
      <c r="K25" s="165"/>
      <c r="L25" s="164"/>
    </row>
    <row r="26" spans="2:12">
      <c r="B26" s="102"/>
      <c r="C26" s="161"/>
      <c r="D26" s="161"/>
      <c r="E26" s="161"/>
      <c r="F26" s="161"/>
      <c r="G26" s="161"/>
      <c r="H26" s="161"/>
      <c r="I26" s="161"/>
      <c r="J26" s="281"/>
      <c r="K26" s="165"/>
      <c r="L26" s="153"/>
    </row>
    <row r="27" spans="2:12">
      <c r="B27" s="102"/>
      <c r="C27" s="165"/>
      <c r="D27" s="165"/>
      <c r="E27" s="165"/>
      <c r="F27" s="165"/>
      <c r="G27" s="165"/>
      <c r="H27" s="165"/>
      <c r="I27" s="165"/>
      <c r="J27" s="145"/>
      <c r="K27" s="165"/>
      <c r="L27" s="153"/>
    </row>
    <row r="28" spans="2:12">
      <c r="B28" s="102"/>
      <c r="C28" s="165"/>
      <c r="D28" s="165"/>
      <c r="E28" s="165"/>
      <c r="F28" s="165"/>
      <c r="G28" s="165"/>
      <c r="H28" s="165"/>
      <c r="I28" s="165"/>
      <c r="J28" s="145"/>
      <c r="K28" s="165"/>
      <c r="L28" s="166"/>
    </row>
    <row r="29" spans="2:12">
      <c r="B29" s="102"/>
      <c r="C29" s="146"/>
      <c r="D29" s="146"/>
      <c r="E29" s="146"/>
      <c r="F29" s="146"/>
      <c r="G29" s="146"/>
      <c r="H29" s="146"/>
      <c r="I29" s="146"/>
      <c r="J29" s="167"/>
      <c r="K29" s="146"/>
      <c r="L29" s="146"/>
    </row>
    <row r="30" spans="2:12" ht="17.25" customHeight="1">
      <c r="B30" s="102"/>
      <c r="C30" s="256" t="s">
        <v>250</v>
      </c>
      <c r="D30" s="474" t="s">
        <v>214</v>
      </c>
      <c r="E30" s="475"/>
      <c r="F30" s="475"/>
      <c r="G30" s="475"/>
      <c r="H30" s="475"/>
      <c r="I30" s="475"/>
      <c r="J30" s="282"/>
      <c r="K30" s="258"/>
      <c r="L30" s="125"/>
    </row>
    <row r="31" spans="2:12" ht="15" customHeight="1">
      <c r="B31" s="126"/>
      <c r="C31" s="259" t="s">
        <v>215</v>
      </c>
      <c r="D31" s="260" t="s">
        <v>216</v>
      </c>
      <c r="E31" s="260" t="s">
        <v>217</v>
      </c>
      <c r="F31" s="261" t="s">
        <v>218</v>
      </c>
      <c r="G31" s="261" t="s">
        <v>219</v>
      </c>
      <c r="H31" s="261" t="s">
        <v>220</v>
      </c>
      <c r="I31" s="283" t="s">
        <v>221</v>
      </c>
      <c r="J31" s="284"/>
      <c r="K31" s="263"/>
      <c r="L31" s="132"/>
    </row>
    <row r="32" spans="2:12" ht="12" customHeight="1">
      <c r="B32" s="133"/>
      <c r="C32" s="264" t="s">
        <v>222</v>
      </c>
      <c r="D32" s="265" t="s">
        <v>223</v>
      </c>
      <c r="E32" s="265" t="s">
        <v>224</v>
      </c>
      <c r="F32" s="266" t="s">
        <v>225</v>
      </c>
      <c r="G32" s="266" t="s">
        <v>226</v>
      </c>
      <c r="H32" s="266" t="s">
        <v>227</v>
      </c>
      <c r="I32" s="285" t="s">
        <v>228</v>
      </c>
      <c r="J32" s="286"/>
      <c r="K32" s="268"/>
      <c r="L32" s="139"/>
    </row>
    <row r="33" spans="2:12" ht="12" customHeight="1">
      <c r="B33" s="133"/>
      <c r="C33" s="187"/>
      <c r="D33" s="188"/>
      <c r="E33" s="189"/>
      <c r="F33" s="190"/>
      <c r="G33" s="190"/>
      <c r="H33" s="190"/>
      <c r="I33" s="287"/>
      <c r="J33" s="288"/>
      <c r="K33" s="165"/>
      <c r="L33" s="146"/>
    </row>
    <row r="34" spans="2:12" ht="12" customHeight="1">
      <c r="B34" s="133"/>
      <c r="C34" s="187"/>
      <c r="D34" s="188"/>
      <c r="E34" s="189"/>
      <c r="F34" s="190"/>
      <c r="G34" s="190"/>
      <c r="H34" s="190"/>
      <c r="I34" s="287"/>
      <c r="J34" s="288"/>
      <c r="K34" s="165"/>
      <c r="L34" s="146"/>
    </row>
    <row r="35" spans="2:12" ht="12" customHeight="1">
      <c r="B35" s="133"/>
      <c r="C35" s="187" t="s">
        <v>234</v>
      </c>
      <c r="D35" s="188" t="s">
        <v>233</v>
      </c>
      <c r="E35" s="189">
        <v>100</v>
      </c>
      <c r="F35" s="190" t="s">
        <v>231</v>
      </c>
      <c r="G35" s="190" t="s">
        <v>239</v>
      </c>
      <c r="H35" s="190" t="s">
        <v>231</v>
      </c>
      <c r="I35" s="287" t="s">
        <v>239</v>
      </c>
      <c r="J35" s="288"/>
      <c r="K35" s="165"/>
      <c r="L35" s="146"/>
    </row>
    <row r="36" spans="2:12" ht="12" customHeight="1">
      <c r="B36" s="133"/>
      <c r="C36" s="187" t="s">
        <v>234</v>
      </c>
      <c r="D36" s="188" t="s">
        <v>237</v>
      </c>
      <c r="E36" s="189">
        <v>50</v>
      </c>
      <c r="F36" s="190" t="s">
        <v>231</v>
      </c>
      <c r="G36" s="190" t="s">
        <v>239</v>
      </c>
      <c r="H36" s="190" t="s">
        <v>231</v>
      </c>
      <c r="I36" s="287" t="s">
        <v>239</v>
      </c>
      <c r="J36" s="288"/>
      <c r="K36" s="165"/>
      <c r="L36" s="146"/>
    </row>
    <row r="37" spans="2:12" ht="12" customHeight="1">
      <c r="B37" s="133"/>
      <c r="C37" s="187" t="s">
        <v>238</v>
      </c>
      <c r="D37" s="188" t="s">
        <v>237</v>
      </c>
      <c r="E37" s="189">
        <v>3000</v>
      </c>
      <c r="F37" s="190" t="s">
        <v>231</v>
      </c>
      <c r="G37" s="190" t="s">
        <v>239</v>
      </c>
      <c r="H37" s="190" t="s">
        <v>253</v>
      </c>
      <c r="I37" s="287" t="s">
        <v>252</v>
      </c>
      <c r="J37" s="288"/>
      <c r="K37" s="165"/>
      <c r="L37" s="152"/>
    </row>
    <row r="38" spans="2:12" ht="12" customHeight="1">
      <c r="B38" s="133"/>
      <c r="C38" s="187" t="s">
        <v>240</v>
      </c>
      <c r="D38" s="188" t="s">
        <v>237</v>
      </c>
      <c r="E38" s="189">
        <v>200</v>
      </c>
      <c r="F38" s="190" t="s">
        <v>231</v>
      </c>
      <c r="G38" s="190" t="s">
        <v>239</v>
      </c>
      <c r="H38" s="190" t="s">
        <v>253</v>
      </c>
      <c r="I38" s="287" t="s">
        <v>252</v>
      </c>
      <c r="J38" s="288"/>
      <c r="K38" s="165"/>
      <c r="L38" s="152"/>
    </row>
    <row r="39" spans="2:12" ht="12" customHeight="1">
      <c r="B39" s="133"/>
      <c r="C39" s="187" t="s">
        <v>241</v>
      </c>
      <c r="D39" s="188" t="s">
        <v>242</v>
      </c>
      <c r="E39" s="189">
        <v>999999999999999</v>
      </c>
      <c r="F39" s="190" t="s">
        <v>231</v>
      </c>
      <c r="G39" s="190" t="s">
        <v>239</v>
      </c>
      <c r="H39" s="190" t="s">
        <v>253</v>
      </c>
      <c r="I39" s="287" t="s">
        <v>252</v>
      </c>
      <c r="J39" s="288"/>
      <c r="K39" s="165"/>
      <c r="L39" s="153"/>
    </row>
    <row r="40" spans="2:12" ht="12" customHeight="1">
      <c r="B40" s="133"/>
      <c r="C40" s="187" t="s">
        <v>241</v>
      </c>
      <c r="D40" s="188" t="s">
        <v>237</v>
      </c>
      <c r="E40" s="189">
        <v>200000</v>
      </c>
      <c r="F40" s="190" t="s">
        <v>231</v>
      </c>
      <c r="G40" s="190" t="s">
        <v>239</v>
      </c>
      <c r="H40" s="190" t="s">
        <v>231</v>
      </c>
      <c r="I40" s="287" t="s">
        <v>239</v>
      </c>
      <c r="J40" s="288"/>
      <c r="K40" s="165"/>
      <c r="L40" s="153"/>
    </row>
    <row r="41" spans="2:12" ht="12" customHeight="1">
      <c r="B41" s="133"/>
      <c r="C41" s="187" t="s">
        <v>241</v>
      </c>
      <c r="D41" s="188" t="s">
        <v>243</v>
      </c>
      <c r="E41" s="189">
        <v>0</v>
      </c>
      <c r="F41" s="190" t="s">
        <v>231</v>
      </c>
      <c r="G41" s="190" t="s">
        <v>239</v>
      </c>
      <c r="H41" s="190" t="s">
        <v>231</v>
      </c>
      <c r="I41" s="287" t="s">
        <v>239</v>
      </c>
      <c r="J41" s="288"/>
      <c r="K41" s="165"/>
      <c r="L41" s="153"/>
    </row>
    <row r="42" spans="2:12" ht="12" customHeight="1">
      <c r="B42" s="133"/>
      <c r="C42" s="187" t="s">
        <v>241</v>
      </c>
      <c r="D42" s="188" t="s">
        <v>244</v>
      </c>
      <c r="E42" s="196">
        <v>333333333</v>
      </c>
      <c r="F42" s="190" t="s">
        <v>231</v>
      </c>
      <c r="G42" s="190" t="s">
        <v>239</v>
      </c>
      <c r="H42" s="190" t="s">
        <v>231</v>
      </c>
      <c r="I42" s="287" t="s">
        <v>239</v>
      </c>
      <c r="J42" s="288"/>
      <c r="K42" s="165"/>
      <c r="L42" s="153"/>
    </row>
    <row r="43" spans="2:12" ht="12" customHeight="1">
      <c r="B43" s="133"/>
      <c r="C43" s="187" t="s">
        <v>241</v>
      </c>
      <c r="D43" s="188" t="s">
        <v>245</v>
      </c>
      <c r="E43" s="196">
        <v>999999999999999</v>
      </c>
      <c r="F43" s="190" t="s">
        <v>253</v>
      </c>
      <c r="G43" s="190" t="s">
        <v>252</v>
      </c>
      <c r="H43" s="190" t="s">
        <v>253</v>
      </c>
      <c r="I43" s="287" t="s">
        <v>252</v>
      </c>
      <c r="J43" s="288"/>
      <c r="K43" s="165"/>
      <c r="L43" s="153"/>
    </row>
    <row r="44" spans="2:12" ht="12" customHeight="1">
      <c r="B44" s="133"/>
      <c r="C44" s="187" t="s">
        <v>241</v>
      </c>
      <c r="D44" s="188" t="s">
        <v>246</v>
      </c>
      <c r="E44" s="189">
        <v>300</v>
      </c>
      <c r="F44" s="190" t="s">
        <v>253</v>
      </c>
      <c r="G44" s="190" t="s">
        <v>252</v>
      </c>
      <c r="H44" s="190" t="s">
        <v>253</v>
      </c>
      <c r="I44" s="287" t="s">
        <v>252</v>
      </c>
      <c r="J44" s="288"/>
      <c r="K44" s="165"/>
      <c r="L44" s="153"/>
    </row>
    <row r="45" spans="2:12" ht="11.25" customHeight="1">
      <c r="B45" s="133"/>
      <c r="C45" s="187" t="s">
        <v>241</v>
      </c>
      <c r="D45" s="188" t="s">
        <v>247</v>
      </c>
      <c r="E45" s="189">
        <v>20</v>
      </c>
      <c r="F45" s="190" t="s">
        <v>253</v>
      </c>
      <c r="G45" s="190" t="s">
        <v>252</v>
      </c>
      <c r="H45" s="190" t="s">
        <v>253</v>
      </c>
      <c r="I45" s="287" t="s">
        <v>252</v>
      </c>
      <c r="J45" s="288"/>
      <c r="K45" s="165"/>
      <c r="L45" s="163"/>
    </row>
    <row r="46" spans="2:12">
      <c r="B46" s="133"/>
      <c r="C46" s="198" t="s">
        <v>248</v>
      </c>
      <c r="D46" s="199" t="s">
        <v>249</v>
      </c>
      <c r="E46" s="200">
        <v>6000</v>
      </c>
      <c r="F46" s="201" t="s">
        <v>253</v>
      </c>
      <c r="G46" s="201" t="s">
        <v>252</v>
      </c>
      <c r="H46" s="201" t="s">
        <v>253</v>
      </c>
      <c r="I46" s="289" t="s">
        <v>252</v>
      </c>
      <c r="J46" s="288"/>
      <c r="K46" s="165"/>
      <c r="L46" s="164"/>
    </row>
    <row r="47" spans="2:12">
      <c r="B47" s="205"/>
      <c r="C47" s="121"/>
      <c r="D47" s="44"/>
      <c r="E47" s="44"/>
      <c r="F47" s="44"/>
      <c r="G47" s="27"/>
      <c r="H47" s="27"/>
      <c r="I47" s="27"/>
      <c r="J47" s="122"/>
      <c r="K47" s="27"/>
    </row>
    <row r="48" spans="2:12" ht="15.5" thickBot="1">
      <c r="B48" s="206"/>
      <c r="C48" s="207"/>
      <c r="D48" s="111"/>
      <c r="E48" s="111"/>
      <c r="F48" s="111"/>
      <c r="G48" s="110"/>
      <c r="H48" s="110"/>
      <c r="I48" s="110"/>
      <c r="J48" s="208"/>
      <c r="K48" s="27"/>
    </row>
    <row r="49" spans="2:10" s="27" customFormat="1" ht="14.25" customHeight="1">
      <c r="B49" s="462" t="s">
        <v>335</v>
      </c>
      <c r="C49" s="97" t="s">
        <v>255</v>
      </c>
      <c r="D49" s="97"/>
      <c r="E49" s="97"/>
      <c r="F49" s="97"/>
      <c r="G49" s="97"/>
      <c r="H49" s="97"/>
      <c r="I49" s="97"/>
      <c r="J49" s="98"/>
    </row>
    <row r="50" spans="2:10" s="27" customFormat="1" ht="14.25" customHeight="1" thickBot="1">
      <c r="B50" s="463"/>
      <c r="C50" s="464"/>
      <c r="D50" s="465"/>
      <c r="E50" s="466"/>
      <c r="F50" s="466"/>
      <c r="G50" s="466"/>
      <c r="H50" s="466"/>
      <c r="I50" s="466"/>
      <c r="J50" s="467"/>
    </row>
    <row r="51" spans="2:10" s="27" customFormat="1">
      <c r="B51" s="113" t="s">
        <v>256</v>
      </c>
      <c r="D51" s="44"/>
      <c r="E51" s="44"/>
      <c r="F51" s="44"/>
      <c r="J51" s="122"/>
    </row>
    <row r="52" spans="2:10" s="27" customFormat="1">
      <c r="B52" s="209"/>
      <c r="C52" s="104"/>
      <c r="D52" s="44"/>
      <c r="E52" s="44"/>
      <c r="F52" s="44"/>
      <c r="J52" s="122"/>
    </row>
    <row r="53" spans="2:10" s="27" customFormat="1">
      <c r="B53" s="102"/>
      <c r="D53" s="44"/>
      <c r="E53" s="44"/>
      <c r="F53" s="44"/>
      <c r="J53" s="122"/>
    </row>
    <row r="54" spans="2:10" s="27" customFormat="1">
      <c r="B54" s="102"/>
      <c r="D54" s="44"/>
      <c r="E54" s="44"/>
      <c r="F54" s="44"/>
      <c r="J54" s="122"/>
    </row>
    <row r="55" spans="2:10" s="27" customFormat="1">
      <c r="B55" s="102"/>
      <c r="D55" s="44"/>
      <c r="E55" s="44"/>
      <c r="F55" s="44"/>
      <c r="J55" s="122"/>
    </row>
    <row r="56" spans="2:10" s="27" customFormat="1">
      <c r="B56" s="102"/>
      <c r="D56" s="44"/>
      <c r="E56" s="44"/>
      <c r="F56" s="44"/>
      <c r="J56" s="122"/>
    </row>
    <row r="57" spans="2:10" s="27" customFormat="1">
      <c r="B57" s="102"/>
      <c r="D57" s="44"/>
      <c r="E57" s="44"/>
      <c r="F57" s="44"/>
      <c r="J57" s="122"/>
    </row>
    <row r="58" spans="2:10" s="27" customFormat="1">
      <c r="B58" s="102"/>
      <c r="C58" s="164"/>
      <c r="D58" s="44"/>
      <c r="E58" s="44"/>
      <c r="F58" s="44"/>
      <c r="H58" s="164" t="s">
        <v>201</v>
      </c>
      <c r="J58" s="122"/>
    </row>
    <row r="59" spans="2:10" s="27" customFormat="1" ht="15.5" thickBot="1">
      <c r="B59" s="102"/>
      <c r="D59" s="44"/>
      <c r="E59" s="44"/>
      <c r="F59" s="44"/>
      <c r="J59" s="122"/>
    </row>
    <row r="60" spans="2:10" s="27" customFormat="1" ht="14.25" customHeight="1">
      <c r="B60" s="462" t="s">
        <v>336</v>
      </c>
      <c r="C60" s="97" t="s">
        <v>337</v>
      </c>
      <c r="D60" s="97"/>
      <c r="E60" s="97"/>
      <c r="F60" s="97"/>
      <c r="G60" s="97"/>
      <c r="H60" s="97"/>
      <c r="I60" s="97"/>
      <c r="J60" s="98"/>
    </row>
    <row r="61" spans="2:10" s="27" customFormat="1" ht="14.25" customHeight="1" thickBot="1">
      <c r="B61" s="463"/>
      <c r="C61" s="464"/>
      <c r="D61" s="465"/>
      <c r="E61" s="466"/>
      <c r="F61" s="466"/>
      <c r="G61" s="466"/>
      <c r="H61" s="466"/>
      <c r="I61" s="466"/>
      <c r="J61" s="467"/>
    </row>
    <row r="62" spans="2:10" s="27" customFormat="1">
      <c r="B62" s="113" t="s">
        <v>338</v>
      </c>
      <c r="D62" s="44"/>
      <c r="E62" s="44"/>
      <c r="F62" s="44"/>
      <c r="J62" s="122"/>
    </row>
    <row r="63" spans="2:10" s="27" customFormat="1">
      <c r="B63" s="209"/>
      <c r="C63" s="104"/>
      <c r="D63" s="44"/>
      <c r="E63" s="44"/>
      <c r="F63" s="44"/>
      <c r="J63" s="122"/>
    </row>
    <row r="64" spans="2:10" s="27" customFormat="1">
      <c r="B64" s="102"/>
      <c r="D64" s="44"/>
      <c r="E64" s="44"/>
      <c r="F64" s="44"/>
      <c r="J64" s="122"/>
    </row>
    <row r="65" spans="2:11">
      <c r="B65" s="102"/>
      <c r="D65" s="44"/>
      <c r="E65" s="44"/>
      <c r="F65" s="44"/>
      <c r="G65" s="27"/>
      <c r="H65" s="27"/>
      <c r="I65" s="27"/>
      <c r="J65" s="122"/>
      <c r="K65" s="27"/>
    </row>
    <row r="66" spans="2:11">
      <c r="B66" s="102"/>
      <c r="D66" s="44"/>
      <c r="E66" s="44"/>
      <c r="F66" s="44"/>
      <c r="G66" s="27"/>
      <c r="H66" s="27"/>
      <c r="I66" s="27"/>
      <c r="J66" s="122"/>
      <c r="K66" s="27"/>
    </row>
    <row r="67" spans="2:11">
      <c r="B67" s="102"/>
      <c r="D67" s="44"/>
      <c r="E67" s="44"/>
      <c r="F67" s="44"/>
      <c r="G67" s="27"/>
      <c r="H67" s="27"/>
      <c r="I67" s="27"/>
      <c r="J67" s="122"/>
      <c r="K67" s="27"/>
    </row>
    <row r="68" spans="2:11">
      <c r="B68" s="102"/>
      <c r="D68" s="44"/>
      <c r="E68" s="44"/>
      <c r="F68" s="44"/>
      <c r="G68" s="27"/>
      <c r="H68" s="27"/>
      <c r="I68" s="27"/>
      <c r="J68" s="122"/>
      <c r="K68" s="27"/>
    </row>
    <row r="69" spans="2:11">
      <c r="B69" s="102"/>
      <c r="C69" s="164"/>
      <c r="D69" s="44"/>
      <c r="E69" s="44"/>
      <c r="F69" s="44"/>
      <c r="G69" s="27"/>
      <c r="H69" s="164" t="s">
        <v>201</v>
      </c>
      <c r="I69" s="27"/>
      <c r="J69" s="122"/>
      <c r="K69" s="27"/>
    </row>
    <row r="70" spans="2:11" ht="15.5" thickBot="1">
      <c r="B70" s="109"/>
      <c r="C70" s="110"/>
      <c r="D70" s="111"/>
      <c r="E70" s="111"/>
      <c r="F70" s="111"/>
      <c r="G70" s="110"/>
      <c r="H70" s="110"/>
      <c r="I70" s="110"/>
      <c r="J70" s="208"/>
      <c r="K70" s="27"/>
    </row>
    <row r="71" spans="2:11" ht="14.25" customHeight="1">
      <c r="B71" s="462" t="s">
        <v>339</v>
      </c>
      <c r="C71" s="97" t="s">
        <v>340</v>
      </c>
      <c r="D71" s="97"/>
      <c r="E71" s="97"/>
      <c r="F71" s="97"/>
      <c r="G71" s="97"/>
      <c r="H71" s="97"/>
      <c r="I71" s="97"/>
      <c r="J71" s="98"/>
      <c r="K71" s="27"/>
    </row>
    <row r="72" spans="2:11" ht="14.25" customHeight="1" thickBot="1">
      <c r="B72" s="463"/>
      <c r="C72" s="464"/>
      <c r="D72" s="465"/>
      <c r="E72" s="466"/>
      <c r="F72" s="466"/>
      <c r="G72" s="466"/>
      <c r="H72" s="466"/>
      <c r="I72" s="466"/>
      <c r="J72" s="467"/>
      <c r="K72" s="27"/>
    </row>
    <row r="73" spans="2:11">
      <c r="B73" s="102"/>
      <c r="D73" s="44"/>
      <c r="E73" s="44"/>
      <c r="F73" s="44"/>
      <c r="G73" s="44"/>
      <c r="H73" s="44"/>
      <c r="I73" s="44"/>
      <c r="J73" s="41"/>
      <c r="K73" s="44"/>
    </row>
    <row r="74" spans="2:11">
      <c r="B74" s="209"/>
      <c r="C74" s="104"/>
      <c r="D74" s="44"/>
      <c r="E74" s="44"/>
      <c r="F74" s="44"/>
      <c r="G74" s="44"/>
      <c r="H74" s="44"/>
      <c r="I74" s="44"/>
      <c r="J74" s="41"/>
      <c r="K74" s="44"/>
    </row>
    <row r="75" spans="2:11">
      <c r="B75" s="102"/>
      <c r="D75" s="44"/>
      <c r="E75" s="44"/>
      <c r="F75" s="44"/>
      <c r="G75" s="44"/>
      <c r="H75" s="44"/>
      <c r="I75" s="44"/>
      <c r="J75" s="41"/>
      <c r="K75" s="44"/>
    </row>
    <row r="76" spans="2:11">
      <c r="B76" s="102"/>
      <c r="D76" s="44"/>
      <c r="E76" s="44"/>
      <c r="F76" s="44"/>
      <c r="G76" s="44"/>
      <c r="H76" s="44"/>
      <c r="I76" s="44"/>
      <c r="J76" s="41"/>
      <c r="K76" s="44"/>
    </row>
    <row r="77" spans="2:11">
      <c r="B77" s="102"/>
      <c r="D77" s="44"/>
      <c r="E77" s="44"/>
      <c r="F77" s="44"/>
      <c r="G77" s="44"/>
      <c r="H77" s="44"/>
      <c r="I77" s="44"/>
      <c r="J77" s="41"/>
      <c r="K77" s="44"/>
    </row>
    <row r="78" spans="2:11">
      <c r="B78" s="102"/>
      <c r="D78" s="44"/>
      <c r="E78" s="44"/>
      <c r="F78" s="44"/>
      <c r="G78" s="44"/>
      <c r="H78" s="44"/>
      <c r="I78" s="44"/>
      <c r="J78" s="41"/>
      <c r="K78" s="44"/>
    </row>
    <row r="79" spans="2:11">
      <c r="B79" s="102"/>
      <c r="C79" s="164"/>
      <c r="D79" s="44"/>
      <c r="E79" s="44"/>
      <c r="F79" s="44"/>
      <c r="G79" s="44"/>
      <c r="H79" s="164" t="s">
        <v>204</v>
      </c>
      <c r="I79" s="44"/>
      <c r="J79" s="41"/>
      <c r="K79" s="44"/>
    </row>
    <row r="80" spans="2:11">
      <c r="B80" s="109"/>
      <c r="C80" s="110"/>
      <c r="D80" s="111"/>
      <c r="E80" s="111"/>
      <c r="F80" s="111"/>
      <c r="G80" s="111"/>
      <c r="H80" s="111"/>
      <c r="I80" s="111"/>
      <c r="J80" s="112"/>
      <c r="K80" s="44"/>
    </row>
    <row r="81" spans="2:11" ht="15.5" thickBot="1">
      <c r="B81" s="102"/>
      <c r="J81" s="290"/>
    </row>
    <row r="82" spans="2:11" ht="14.25" customHeight="1">
      <c r="B82" s="462" t="s">
        <v>341</v>
      </c>
      <c r="C82" s="97" t="s">
        <v>342</v>
      </c>
      <c r="D82" s="97"/>
      <c r="E82" s="97"/>
      <c r="F82" s="97"/>
      <c r="G82" s="97"/>
      <c r="H82" s="97"/>
      <c r="I82" s="97"/>
      <c r="J82" s="98"/>
      <c r="K82" s="27"/>
    </row>
    <row r="83" spans="2:11" ht="14.25" customHeight="1" thickBot="1">
      <c r="B83" s="463"/>
      <c r="C83" s="464"/>
      <c r="D83" s="465"/>
      <c r="E83" s="466"/>
      <c r="F83" s="466"/>
      <c r="G83" s="466"/>
      <c r="H83" s="466"/>
      <c r="I83" s="466"/>
      <c r="J83" s="467"/>
      <c r="K83" s="27"/>
    </row>
    <row r="84" spans="2:11">
      <c r="B84" s="102"/>
      <c r="D84" s="44"/>
      <c r="E84" s="44"/>
      <c r="F84" s="44"/>
      <c r="G84" s="44"/>
      <c r="H84" s="44"/>
      <c r="I84" s="44"/>
      <c r="J84" s="41"/>
      <c r="K84" s="44"/>
    </row>
    <row r="85" spans="2:11">
      <c r="B85" s="209"/>
      <c r="C85" s="104"/>
      <c r="D85" s="44"/>
      <c r="E85" s="44"/>
      <c r="F85" s="44"/>
      <c r="G85" s="44"/>
      <c r="H85" s="44"/>
      <c r="I85" s="44"/>
      <c r="J85" s="41"/>
      <c r="K85" s="44"/>
    </row>
    <row r="86" spans="2:11">
      <c r="B86" s="102"/>
      <c r="D86" s="44"/>
      <c r="E86" s="44"/>
      <c r="F86" s="44"/>
      <c r="G86" s="44"/>
      <c r="H86" s="44"/>
      <c r="I86" s="44"/>
      <c r="J86" s="41"/>
      <c r="K86" s="44"/>
    </row>
    <row r="87" spans="2:11">
      <c r="B87" s="102"/>
      <c r="D87" s="44"/>
      <c r="E87" s="44"/>
      <c r="F87" s="44"/>
      <c r="G87" s="44"/>
      <c r="H87" s="44"/>
      <c r="I87" s="44"/>
      <c r="J87" s="41"/>
      <c r="K87" s="44"/>
    </row>
    <row r="88" spans="2:11">
      <c r="B88" s="102"/>
      <c r="D88" s="44"/>
      <c r="E88" s="44"/>
      <c r="F88" s="44"/>
      <c r="G88" s="44"/>
      <c r="H88" s="44"/>
      <c r="I88" s="44"/>
      <c r="J88" s="41"/>
      <c r="K88" s="44"/>
    </row>
    <row r="89" spans="2:11">
      <c r="B89" s="102"/>
      <c r="D89" s="44"/>
      <c r="E89" s="44"/>
      <c r="F89" s="44"/>
      <c r="G89" s="44"/>
      <c r="H89" s="44"/>
      <c r="I89" s="44"/>
      <c r="J89" s="41"/>
      <c r="K89" s="44"/>
    </row>
    <row r="90" spans="2:11">
      <c r="B90" s="102"/>
      <c r="C90" s="164"/>
      <c r="D90" s="44"/>
      <c r="E90" s="44"/>
      <c r="F90" s="44"/>
      <c r="G90" s="44"/>
      <c r="H90" s="164" t="s">
        <v>204</v>
      </c>
      <c r="I90" s="44"/>
      <c r="J90" s="41"/>
      <c r="K90" s="44"/>
    </row>
    <row r="91" spans="2:11" ht="15.5" thickBot="1">
      <c r="B91" s="117"/>
      <c r="C91" s="118"/>
      <c r="D91" s="49"/>
      <c r="E91" s="49"/>
      <c r="F91" s="49"/>
      <c r="G91" s="49"/>
      <c r="H91" s="49"/>
      <c r="I91" s="49"/>
      <c r="J91" s="50"/>
      <c r="K91" s="44"/>
    </row>
  </sheetData>
  <mergeCells count="18">
    <mergeCell ref="D30:I30"/>
    <mergeCell ref="B2:J2"/>
    <mergeCell ref="B4:B5"/>
    <mergeCell ref="C5:D5"/>
    <mergeCell ref="E5:J5"/>
    <mergeCell ref="D7:I7"/>
    <mergeCell ref="B49:B50"/>
    <mergeCell ref="C50:D50"/>
    <mergeCell ref="E50:J50"/>
    <mergeCell ref="B60:B61"/>
    <mergeCell ref="C61:D61"/>
    <mergeCell ref="E61:J61"/>
    <mergeCell ref="B71:B72"/>
    <mergeCell ref="C72:D72"/>
    <mergeCell ref="E72:J72"/>
    <mergeCell ref="B82:B83"/>
    <mergeCell ref="C83:D83"/>
    <mergeCell ref="E83:J83"/>
  </mergeCells>
  <phoneticPr fontId="24" type="noConversion"/>
  <hyperlinks>
    <hyperlink ref="A1" location="【TCS】!A1" display="戻る" xr:uid="{6E9EEC4C-CBAE-4FC0-AFEF-2281A0573567}"/>
  </hyperlinks>
  <pageMargins left="0.75" right="0.75" top="1" bottom="1" header="0.51200000000000001" footer="0.51200000000000001"/>
  <pageSetup paperSize="9" orientation="portrait" verticalDpi="0" r:id="rId1"/>
  <headerFooter alignWithMargins="0"/>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4C3D0-51B9-4E95-9ECC-7C770D87C1C0}">
  <dimension ref="A1:J31"/>
  <sheetViews>
    <sheetView showGridLines="0" workbookViewId="0">
      <pane ySplit="3" topLeftCell="A4" activePane="bottomLeft" state="frozen"/>
      <selection activeCell="G18" sqref="G18"/>
      <selection pane="bottomLeft" activeCell="G18" sqref="G18"/>
    </sheetView>
  </sheetViews>
  <sheetFormatPr defaultRowHeight="15"/>
  <cols>
    <col min="1" max="1" width="3.26953125" style="27" customWidth="1"/>
    <col min="2" max="2" width="4.6328125" style="27" customWidth="1"/>
    <col min="3" max="3" width="3.08984375" style="27" customWidth="1"/>
    <col min="4" max="7" width="9" style="29"/>
    <col min="8" max="8" width="8" style="29" customWidth="1"/>
    <col min="9" max="9" width="7.08984375" style="29" customWidth="1"/>
    <col min="10" max="10" width="27.7265625" style="29" customWidth="1"/>
    <col min="11" max="256" width="9" style="27"/>
    <col min="257" max="257" width="3.26953125" style="27" customWidth="1"/>
    <col min="258" max="258" width="4.6328125" style="27" customWidth="1"/>
    <col min="259" max="259" width="3.08984375" style="27" customWidth="1"/>
    <col min="260" max="263" width="9" style="27"/>
    <col min="264" max="264" width="8" style="27" customWidth="1"/>
    <col min="265" max="265" width="7.08984375" style="27" customWidth="1"/>
    <col min="266" max="266" width="27.7265625" style="27" customWidth="1"/>
    <col min="267" max="512" width="9" style="27"/>
    <col min="513" max="513" width="3.26953125" style="27" customWidth="1"/>
    <col min="514" max="514" width="4.6328125" style="27" customWidth="1"/>
    <col min="515" max="515" width="3.08984375" style="27" customWidth="1"/>
    <col min="516" max="519" width="9" style="27"/>
    <col min="520" max="520" width="8" style="27" customWidth="1"/>
    <col min="521" max="521" width="7.08984375" style="27" customWidth="1"/>
    <col min="522" max="522" width="27.7265625" style="27" customWidth="1"/>
    <col min="523" max="768" width="9" style="27"/>
    <col min="769" max="769" width="3.26953125" style="27" customWidth="1"/>
    <col min="770" max="770" width="4.6328125" style="27" customWidth="1"/>
    <col min="771" max="771" width="3.08984375" style="27" customWidth="1"/>
    <col min="772" max="775" width="9" style="27"/>
    <col min="776" max="776" width="8" style="27" customWidth="1"/>
    <col min="777" max="777" width="7.08984375" style="27" customWidth="1"/>
    <col min="778" max="778" width="27.7265625" style="27" customWidth="1"/>
    <col min="779" max="1024" width="9" style="27"/>
    <col min="1025" max="1025" width="3.26953125" style="27" customWidth="1"/>
    <col min="1026" max="1026" width="4.6328125" style="27" customWidth="1"/>
    <col min="1027" max="1027" width="3.08984375" style="27" customWidth="1"/>
    <col min="1028" max="1031" width="9" style="27"/>
    <col min="1032" max="1032" width="8" style="27" customWidth="1"/>
    <col min="1033" max="1033" width="7.08984375" style="27" customWidth="1"/>
    <col min="1034" max="1034" width="27.7265625" style="27" customWidth="1"/>
    <col min="1035" max="1280" width="9" style="27"/>
    <col min="1281" max="1281" width="3.26953125" style="27" customWidth="1"/>
    <col min="1282" max="1282" width="4.6328125" style="27" customWidth="1"/>
    <col min="1283" max="1283" width="3.08984375" style="27" customWidth="1"/>
    <col min="1284" max="1287" width="9" style="27"/>
    <col min="1288" max="1288" width="8" style="27" customWidth="1"/>
    <col min="1289" max="1289" width="7.08984375" style="27" customWidth="1"/>
    <col min="1290" max="1290" width="27.7265625" style="27" customWidth="1"/>
    <col min="1291" max="1536" width="9" style="27"/>
    <col min="1537" max="1537" width="3.26953125" style="27" customWidth="1"/>
    <col min="1538" max="1538" width="4.6328125" style="27" customWidth="1"/>
    <col min="1539" max="1539" width="3.08984375" style="27" customWidth="1"/>
    <col min="1540" max="1543" width="9" style="27"/>
    <col min="1544" max="1544" width="8" style="27" customWidth="1"/>
    <col min="1545" max="1545" width="7.08984375" style="27" customWidth="1"/>
    <col min="1546" max="1546" width="27.7265625" style="27" customWidth="1"/>
    <col min="1547" max="1792" width="9" style="27"/>
    <col min="1793" max="1793" width="3.26953125" style="27" customWidth="1"/>
    <col min="1794" max="1794" width="4.6328125" style="27" customWidth="1"/>
    <col min="1795" max="1795" width="3.08984375" style="27" customWidth="1"/>
    <col min="1796" max="1799" width="9" style="27"/>
    <col min="1800" max="1800" width="8" style="27" customWidth="1"/>
    <col min="1801" max="1801" width="7.08984375" style="27" customWidth="1"/>
    <col min="1802" max="1802" width="27.7265625" style="27" customWidth="1"/>
    <col min="1803" max="2048" width="9" style="27"/>
    <col min="2049" max="2049" width="3.26953125" style="27" customWidth="1"/>
    <col min="2050" max="2050" width="4.6328125" style="27" customWidth="1"/>
    <col min="2051" max="2051" width="3.08984375" style="27" customWidth="1"/>
    <col min="2052" max="2055" width="9" style="27"/>
    <col min="2056" max="2056" width="8" style="27" customWidth="1"/>
    <col min="2057" max="2057" width="7.08984375" style="27" customWidth="1"/>
    <col min="2058" max="2058" width="27.7265625" style="27" customWidth="1"/>
    <col min="2059" max="2304" width="9" style="27"/>
    <col min="2305" max="2305" width="3.26953125" style="27" customWidth="1"/>
    <col min="2306" max="2306" width="4.6328125" style="27" customWidth="1"/>
    <col min="2307" max="2307" width="3.08984375" style="27" customWidth="1"/>
    <col min="2308" max="2311" width="9" style="27"/>
    <col min="2312" max="2312" width="8" style="27" customWidth="1"/>
    <col min="2313" max="2313" width="7.08984375" style="27" customWidth="1"/>
    <col min="2314" max="2314" width="27.7265625" style="27" customWidth="1"/>
    <col min="2315" max="2560" width="9" style="27"/>
    <col min="2561" max="2561" width="3.26953125" style="27" customWidth="1"/>
    <col min="2562" max="2562" width="4.6328125" style="27" customWidth="1"/>
    <col min="2563" max="2563" width="3.08984375" style="27" customWidth="1"/>
    <col min="2564" max="2567" width="9" style="27"/>
    <col min="2568" max="2568" width="8" style="27" customWidth="1"/>
    <col min="2569" max="2569" width="7.08984375" style="27" customWidth="1"/>
    <col min="2570" max="2570" width="27.7265625" style="27" customWidth="1"/>
    <col min="2571" max="2816" width="9" style="27"/>
    <col min="2817" max="2817" width="3.26953125" style="27" customWidth="1"/>
    <col min="2818" max="2818" width="4.6328125" style="27" customWidth="1"/>
    <col min="2819" max="2819" width="3.08984375" style="27" customWidth="1"/>
    <col min="2820" max="2823" width="9" style="27"/>
    <col min="2824" max="2824" width="8" style="27" customWidth="1"/>
    <col min="2825" max="2825" width="7.08984375" style="27" customWidth="1"/>
    <col min="2826" max="2826" width="27.7265625" style="27" customWidth="1"/>
    <col min="2827" max="3072" width="9" style="27"/>
    <col min="3073" max="3073" width="3.26953125" style="27" customWidth="1"/>
    <col min="3074" max="3074" width="4.6328125" style="27" customWidth="1"/>
    <col min="3075" max="3075" width="3.08984375" style="27" customWidth="1"/>
    <col min="3076" max="3079" width="9" style="27"/>
    <col min="3080" max="3080" width="8" style="27" customWidth="1"/>
    <col min="3081" max="3081" width="7.08984375" style="27" customWidth="1"/>
    <col min="3082" max="3082" width="27.7265625" style="27" customWidth="1"/>
    <col min="3083" max="3328" width="9" style="27"/>
    <col min="3329" max="3329" width="3.26953125" style="27" customWidth="1"/>
    <col min="3330" max="3330" width="4.6328125" style="27" customWidth="1"/>
    <col min="3331" max="3331" width="3.08984375" style="27" customWidth="1"/>
    <col min="3332" max="3335" width="9" style="27"/>
    <col min="3336" max="3336" width="8" style="27" customWidth="1"/>
    <col min="3337" max="3337" width="7.08984375" style="27" customWidth="1"/>
    <col min="3338" max="3338" width="27.7265625" style="27" customWidth="1"/>
    <col min="3339" max="3584" width="9" style="27"/>
    <col min="3585" max="3585" width="3.26953125" style="27" customWidth="1"/>
    <col min="3586" max="3586" width="4.6328125" style="27" customWidth="1"/>
    <col min="3587" max="3587" width="3.08984375" style="27" customWidth="1"/>
    <col min="3588" max="3591" width="9" style="27"/>
    <col min="3592" max="3592" width="8" style="27" customWidth="1"/>
    <col min="3593" max="3593" width="7.08984375" style="27" customWidth="1"/>
    <col min="3594" max="3594" width="27.7265625" style="27" customWidth="1"/>
    <col min="3595" max="3840" width="9" style="27"/>
    <col min="3841" max="3841" width="3.26953125" style="27" customWidth="1"/>
    <col min="3842" max="3842" width="4.6328125" style="27" customWidth="1"/>
    <col min="3843" max="3843" width="3.08984375" style="27" customWidth="1"/>
    <col min="3844" max="3847" width="9" style="27"/>
    <col min="3848" max="3848" width="8" style="27" customWidth="1"/>
    <col min="3849" max="3849" width="7.08984375" style="27" customWidth="1"/>
    <col min="3850" max="3850" width="27.7265625" style="27" customWidth="1"/>
    <col min="3851" max="4096" width="9" style="27"/>
    <col min="4097" max="4097" width="3.26953125" style="27" customWidth="1"/>
    <col min="4098" max="4098" width="4.6328125" style="27" customWidth="1"/>
    <col min="4099" max="4099" width="3.08984375" style="27" customWidth="1"/>
    <col min="4100" max="4103" width="9" style="27"/>
    <col min="4104" max="4104" width="8" style="27" customWidth="1"/>
    <col min="4105" max="4105" width="7.08984375" style="27" customWidth="1"/>
    <col min="4106" max="4106" width="27.7265625" style="27" customWidth="1"/>
    <col min="4107" max="4352" width="9" style="27"/>
    <col min="4353" max="4353" width="3.26953125" style="27" customWidth="1"/>
    <col min="4354" max="4354" width="4.6328125" style="27" customWidth="1"/>
    <col min="4355" max="4355" width="3.08984375" style="27" customWidth="1"/>
    <col min="4356" max="4359" width="9" style="27"/>
    <col min="4360" max="4360" width="8" style="27" customWidth="1"/>
    <col min="4361" max="4361" width="7.08984375" style="27" customWidth="1"/>
    <col min="4362" max="4362" width="27.7265625" style="27" customWidth="1"/>
    <col min="4363" max="4608" width="9" style="27"/>
    <col min="4609" max="4609" width="3.26953125" style="27" customWidth="1"/>
    <col min="4610" max="4610" width="4.6328125" style="27" customWidth="1"/>
    <col min="4611" max="4611" width="3.08984375" style="27" customWidth="1"/>
    <col min="4612" max="4615" width="9" style="27"/>
    <col min="4616" max="4616" width="8" style="27" customWidth="1"/>
    <col min="4617" max="4617" width="7.08984375" style="27" customWidth="1"/>
    <col min="4618" max="4618" width="27.7265625" style="27" customWidth="1"/>
    <col min="4619" max="4864" width="9" style="27"/>
    <col min="4865" max="4865" width="3.26953125" style="27" customWidth="1"/>
    <col min="4866" max="4866" width="4.6328125" style="27" customWidth="1"/>
    <col min="4867" max="4867" width="3.08984375" style="27" customWidth="1"/>
    <col min="4868" max="4871" width="9" style="27"/>
    <col min="4872" max="4872" width="8" style="27" customWidth="1"/>
    <col min="4873" max="4873" width="7.08984375" style="27" customWidth="1"/>
    <col min="4874" max="4874" width="27.7265625" style="27" customWidth="1"/>
    <col min="4875" max="5120" width="9" style="27"/>
    <col min="5121" max="5121" width="3.26953125" style="27" customWidth="1"/>
    <col min="5122" max="5122" width="4.6328125" style="27" customWidth="1"/>
    <col min="5123" max="5123" width="3.08984375" style="27" customWidth="1"/>
    <col min="5124" max="5127" width="9" style="27"/>
    <col min="5128" max="5128" width="8" style="27" customWidth="1"/>
    <col min="5129" max="5129" width="7.08984375" style="27" customWidth="1"/>
    <col min="5130" max="5130" width="27.7265625" style="27" customWidth="1"/>
    <col min="5131" max="5376" width="9" style="27"/>
    <col min="5377" max="5377" width="3.26953125" style="27" customWidth="1"/>
    <col min="5378" max="5378" width="4.6328125" style="27" customWidth="1"/>
    <col min="5379" max="5379" width="3.08984375" style="27" customWidth="1"/>
    <col min="5380" max="5383" width="9" style="27"/>
    <col min="5384" max="5384" width="8" style="27" customWidth="1"/>
    <col min="5385" max="5385" width="7.08984375" style="27" customWidth="1"/>
    <col min="5386" max="5386" width="27.7265625" style="27" customWidth="1"/>
    <col min="5387" max="5632" width="9" style="27"/>
    <col min="5633" max="5633" width="3.26953125" style="27" customWidth="1"/>
    <col min="5634" max="5634" width="4.6328125" style="27" customWidth="1"/>
    <col min="5635" max="5635" width="3.08984375" style="27" customWidth="1"/>
    <col min="5636" max="5639" width="9" style="27"/>
    <col min="5640" max="5640" width="8" style="27" customWidth="1"/>
    <col min="5641" max="5641" width="7.08984375" style="27" customWidth="1"/>
    <col min="5642" max="5642" width="27.7265625" style="27" customWidth="1"/>
    <col min="5643" max="5888" width="9" style="27"/>
    <col min="5889" max="5889" width="3.26953125" style="27" customWidth="1"/>
    <col min="5890" max="5890" width="4.6328125" style="27" customWidth="1"/>
    <col min="5891" max="5891" width="3.08984375" style="27" customWidth="1"/>
    <col min="5892" max="5895" width="9" style="27"/>
    <col min="5896" max="5896" width="8" style="27" customWidth="1"/>
    <col min="5897" max="5897" width="7.08984375" style="27" customWidth="1"/>
    <col min="5898" max="5898" width="27.7265625" style="27" customWidth="1"/>
    <col min="5899" max="6144" width="9" style="27"/>
    <col min="6145" max="6145" width="3.26953125" style="27" customWidth="1"/>
    <col min="6146" max="6146" width="4.6328125" style="27" customWidth="1"/>
    <col min="6147" max="6147" width="3.08984375" style="27" customWidth="1"/>
    <col min="6148" max="6151" width="9" style="27"/>
    <col min="6152" max="6152" width="8" style="27" customWidth="1"/>
    <col min="6153" max="6153" width="7.08984375" style="27" customWidth="1"/>
    <col min="6154" max="6154" width="27.7265625" style="27" customWidth="1"/>
    <col min="6155" max="6400" width="9" style="27"/>
    <col min="6401" max="6401" width="3.26953125" style="27" customWidth="1"/>
    <col min="6402" max="6402" width="4.6328125" style="27" customWidth="1"/>
    <col min="6403" max="6403" width="3.08984375" style="27" customWidth="1"/>
    <col min="6404" max="6407" width="9" style="27"/>
    <col min="6408" max="6408" width="8" style="27" customWidth="1"/>
    <col min="6409" max="6409" width="7.08984375" style="27" customWidth="1"/>
    <col min="6410" max="6410" width="27.7265625" style="27" customWidth="1"/>
    <col min="6411" max="6656" width="9" style="27"/>
    <col min="6657" max="6657" width="3.26953125" style="27" customWidth="1"/>
    <col min="6658" max="6658" width="4.6328125" style="27" customWidth="1"/>
    <col min="6659" max="6659" width="3.08984375" style="27" customWidth="1"/>
    <col min="6660" max="6663" width="9" style="27"/>
    <col min="6664" max="6664" width="8" style="27" customWidth="1"/>
    <col min="6665" max="6665" width="7.08984375" style="27" customWidth="1"/>
    <col min="6666" max="6666" width="27.7265625" style="27" customWidth="1"/>
    <col min="6667" max="6912" width="9" style="27"/>
    <col min="6913" max="6913" width="3.26953125" style="27" customWidth="1"/>
    <col min="6914" max="6914" width="4.6328125" style="27" customWidth="1"/>
    <col min="6915" max="6915" width="3.08984375" style="27" customWidth="1"/>
    <col min="6916" max="6919" width="9" style="27"/>
    <col min="6920" max="6920" width="8" style="27" customWidth="1"/>
    <col min="6921" max="6921" width="7.08984375" style="27" customWidth="1"/>
    <col min="6922" max="6922" width="27.7265625" style="27" customWidth="1"/>
    <col min="6923" max="7168" width="9" style="27"/>
    <col min="7169" max="7169" width="3.26953125" style="27" customWidth="1"/>
    <col min="7170" max="7170" width="4.6328125" style="27" customWidth="1"/>
    <col min="7171" max="7171" width="3.08984375" style="27" customWidth="1"/>
    <col min="7172" max="7175" width="9" style="27"/>
    <col min="7176" max="7176" width="8" style="27" customWidth="1"/>
    <col min="7177" max="7177" width="7.08984375" style="27" customWidth="1"/>
    <col min="7178" max="7178" width="27.7265625" style="27" customWidth="1"/>
    <col min="7179" max="7424" width="9" style="27"/>
    <col min="7425" max="7425" width="3.26953125" style="27" customWidth="1"/>
    <col min="7426" max="7426" width="4.6328125" style="27" customWidth="1"/>
    <col min="7427" max="7427" width="3.08984375" style="27" customWidth="1"/>
    <col min="7428" max="7431" width="9" style="27"/>
    <col min="7432" max="7432" width="8" style="27" customWidth="1"/>
    <col min="7433" max="7433" width="7.08984375" style="27" customWidth="1"/>
    <col min="7434" max="7434" width="27.7265625" style="27" customWidth="1"/>
    <col min="7435" max="7680" width="9" style="27"/>
    <col min="7681" max="7681" width="3.26953125" style="27" customWidth="1"/>
    <col min="7682" max="7682" width="4.6328125" style="27" customWidth="1"/>
    <col min="7683" max="7683" width="3.08984375" style="27" customWidth="1"/>
    <col min="7684" max="7687" width="9" style="27"/>
    <col min="7688" max="7688" width="8" style="27" customWidth="1"/>
    <col min="7689" max="7689" width="7.08984375" style="27" customWidth="1"/>
    <col min="7690" max="7690" width="27.7265625" style="27" customWidth="1"/>
    <col min="7691" max="7936" width="9" style="27"/>
    <col min="7937" max="7937" width="3.26953125" style="27" customWidth="1"/>
    <col min="7938" max="7938" width="4.6328125" style="27" customWidth="1"/>
    <col min="7939" max="7939" width="3.08984375" style="27" customWidth="1"/>
    <col min="7940" max="7943" width="9" style="27"/>
    <col min="7944" max="7944" width="8" style="27" customWidth="1"/>
    <col min="7945" max="7945" width="7.08984375" style="27" customWidth="1"/>
    <col min="7946" max="7946" width="27.7265625" style="27" customWidth="1"/>
    <col min="7947" max="8192" width="9" style="27"/>
    <col min="8193" max="8193" width="3.26953125" style="27" customWidth="1"/>
    <col min="8194" max="8194" width="4.6328125" style="27" customWidth="1"/>
    <col min="8195" max="8195" width="3.08984375" style="27" customWidth="1"/>
    <col min="8196" max="8199" width="9" style="27"/>
    <col min="8200" max="8200" width="8" style="27" customWidth="1"/>
    <col min="8201" max="8201" width="7.08984375" style="27" customWidth="1"/>
    <col min="8202" max="8202" width="27.7265625" style="27" customWidth="1"/>
    <col min="8203" max="8448" width="9" style="27"/>
    <col min="8449" max="8449" width="3.26953125" style="27" customWidth="1"/>
    <col min="8450" max="8450" width="4.6328125" style="27" customWidth="1"/>
    <col min="8451" max="8451" width="3.08984375" style="27" customWidth="1"/>
    <col min="8452" max="8455" width="9" style="27"/>
    <col min="8456" max="8456" width="8" style="27" customWidth="1"/>
    <col min="8457" max="8457" width="7.08984375" style="27" customWidth="1"/>
    <col min="8458" max="8458" width="27.7265625" style="27" customWidth="1"/>
    <col min="8459" max="8704" width="9" style="27"/>
    <col min="8705" max="8705" width="3.26953125" style="27" customWidth="1"/>
    <col min="8706" max="8706" width="4.6328125" style="27" customWidth="1"/>
    <col min="8707" max="8707" width="3.08984375" style="27" customWidth="1"/>
    <col min="8708" max="8711" width="9" style="27"/>
    <col min="8712" max="8712" width="8" style="27" customWidth="1"/>
    <col min="8713" max="8713" width="7.08984375" style="27" customWidth="1"/>
    <col min="8714" max="8714" width="27.7265625" style="27" customWidth="1"/>
    <col min="8715" max="8960" width="9" style="27"/>
    <col min="8961" max="8961" width="3.26953125" style="27" customWidth="1"/>
    <col min="8962" max="8962" width="4.6328125" style="27" customWidth="1"/>
    <col min="8963" max="8963" width="3.08984375" style="27" customWidth="1"/>
    <col min="8964" max="8967" width="9" style="27"/>
    <col min="8968" max="8968" width="8" style="27" customWidth="1"/>
    <col min="8969" max="8969" width="7.08984375" style="27" customWidth="1"/>
    <col min="8970" max="8970" width="27.7265625" style="27" customWidth="1"/>
    <col min="8971" max="9216" width="9" style="27"/>
    <col min="9217" max="9217" width="3.26953125" style="27" customWidth="1"/>
    <col min="9218" max="9218" width="4.6328125" style="27" customWidth="1"/>
    <col min="9219" max="9219" width="3.08984375" style="27" customWidth="1"/>
    <col min="9220" max="9223" width="9" style="27"/>
    <col min="9224" max="9224" width="8" style="27" customWidth="1"/>
    <col min="9225" max="9225" width="7.08984375" style="27" customWidth="1"/>
    <col min="9226" max="9226" width="27.7265625" style="27" customWidth="1"/>
    <col min="9227" max="9472" width="9" style="27"/>
    <col min="9473" max="9473" width="3.26953125" style="27" customWidth="1"/>
    <col min="9474" max="9474" width="4.6328125" style="27" customWidth="1"/>
    <col min="9475" max="9475" width="3.08984375" style="27" customWidth="1"/>
    <col min="9476" max="9479" width="9" style="27"/>
    <col min="9480" max="9480" width="8" style="27" customWidth="1"/>
    <col min="9481" max="9481" width="7.08984375" style="27" customWidth="1"/>
    <col min="9482" max="9482" width="27.7265625" style="27" customWidth="1"/>
    <col min="9483" max="9728" width="9" style="27"/>
    <col min="9729" max="9729" width="3.26953125" style="27" customWidth="1"/>
    <col min="9730" max="9730" width="4.6328125" style="27" customWidth="1"/>
    <col min="9731" max="9731" width="3.08984375" style="27" customWidth="1"/>
    <col min="9732" max="9735" width="9" style="27"/>
    <col min="9736" max="9736" width="8" style="27" customWidth="1"/>
    <col min="9737" max="9737" width="7.08984375" style="27" customWidth="1"/>
    <col min="9738" max="9738" width="27.7265625" style="27" customWidth="1"/>
    <col min="9739" max="9984" width="9" style="27"/>
    <col min="9985" max="9985" width="3.26953125" style="27" customWidth="1"/>
    <col min="9986" max="9986" width="4.6328125" style="27" customWidth="1"/>
    <col min="9987" max="9987" width="3.08984375" style="27" customWidth="1"/>
    <col min="9988" max="9991" width="9" style="27"/>
    <col min="9992" max="9992" width="8" style="27" customWidth="1"/>
    <col min="9993" max="9993" width="7.08984375" style="27" customWidth="1"/>
    <col min="9994" max="9994" width="27.7265625" style="27" customWidth="1"/>
    <col min="9995" max="10240" width="9" style="27"/>
    <col min="10241" max="10241" width="3.26953125" style="27" customWidth="1"/>
    <col min="10242" max="10242" width="4.6328125" style="27" customWidth="1"/>
    <col min="10243" max="10243" width="3.08984375" style="27" customWidth="1"/>
    <col min="10244" max="10247" width="9" style="27"/>
    <col min="10248" max="10248" width="8" style="27" customWidth="1"/>
    <col min="10249" max="10249" width="7.08984375" style="27" customWidth="1"/>
    <col min="10250" max="10250" width="27.7265625" style="27" customWidth="1"/>
    <col min="10251" max="10496" width="9" style="27"/>
    <col min="10497" max="10497" width="3.26953125" style="27" customWidth="1"/>
    <col min="10498" max="10498" width="4.6328125" style="27" customWidth="1"/>
    <col min="10499" max="10499" width="3.08984375" style="27" customWidth="1"/>
    <col min="10500" max="10503" width="9" style="27"/>
    <col min="10504" max="10504" width="8" style="27" customWidth="1"/>
    <col min="10505" max="10505" width="7.08984375" style="27" customWidth="1"/>
    <col min="10506" max="10506" width="27.7265625" style="27" customWidth="1"/>
    <col min="10507" max="10752" width="9" style="27"/>
    <col min="10753" max="10753" width="3.26953125" style="27" customWidth="1"/>
    <col min="10754" max="10754" width="4.6328125" style="27" customWidth="1"/>
    <col min="10755" max="10755" width="3.08984375" style="27" customWidth="1"/>
    <col min="10756" max="10759" width="9" style="27"/>
    <col min="10760" max="10760" width="8" style="27" customWidth="1"/>
    <col min="10761" max="10761" width="7.08984375" style="27" customWidth="1"/>
    <col min="10762" max="10762" width="27.7265625" style="27" customWidth="1"/>
    <col min="10763" max="11008" width="9" style="27"/>
    <col min="11009" max="11009" width="3.26953125" style="27" customWidth="1"/>
    <col min="11010" max="11010" width="4.6328125" style="27" customWidth="1"/>
    <col min="11011" max="11011" width="3.08984375" style="27" customWidth="1"/>
    <col min="11012" max="11015" width="9" style="27"/>
    <col min="11016" max="11016" width="8" style="27" customWidth="1"/>
    <col min="11017" max="11017" width="7.08984375" style="27" customWidth="1"/>
    <col min="11018" max="11018" width="27.7265625" style="27" customWidth="1"/>
    <col min="11019" max="11264" width="9" style="27"/>
    <col min="11265" max="11265" width="3.26953125" style="27" customWidth="1"/>
    <col min="11266" max="11266" width="4.6328125" style="27" customWidth="1"/>
    <col min="11267" max="11267" width="3.08984375" style="27" customWidth="1"/>
    <col min="11268" max="11271" width="9" style="27"/>
    <col min="11272" max="11272" width="8" style="27" customWidth="1"/>
    <col min="11273" max="11273" width="7.08984375" style="27" customWidth="1"/>
    <col min="11274" max="11274" width="27.7265625" style="27" customWidth="1"/>
    <col min="11275" max="11520" width="9" style="27"/>
    <col min="11521" max="11521" width="3.26953125" style="27" customWidth="1"/>
    <col min="11522" max="11522" width="4.6328125" style="27" customWidth="1"/>
    <col min="11523" max="11523" width="3.08984375" style="27" customWidth="1"/>
    <col min="11524" max="11527" width="9" style="27"/>
    <col min="11528" max="11528" width="8" style="27" customWidth="1"/>
    <col min="11529" max="11529" width="7.08984375" style="27" customWidth="1"/>
    <col min="11530" max="11530" width="27.7265625" style="27" customWidth="1"/>
    <col min="11531" max="11776" width="9" style="27"/>
    <col min="11777" max="11777" width="3.26953125" style="27" customWidth="1"/>
    <col min="11778" max="11778" width="4.6328125" style="27" customWidth="1"/>
    <col min="11779" max="11779" width="3.08984375" style="27" customWidth="1"/>
    <col min="11780" max="11783" width="9" style="27"/>
    <col min="11784" max="11784" width="8" style="27" customWidth="1"/>
    <col min="11785" max="11785" width="7.08984375" style="27" customWidth="1"/>
    <col min="11786" max="11786" width="27.7265625" style="27" customWidth="1"/>
    <col min="11787" max="12032" width="9" style="27"/>
    <col min="12033" max="12033" width="3.26953125" style="27" customWidth="1"/>
    <col min="12034" max="12034" width="4.6328125" style="27" customWidth="1"/>
    <col min="12035" max="12035" width="3.08984375" style="27" customWidth="1"/>
    <col min="12036" max="12039" width="9" style="27"/>
    <col min="12040" max="12040" width="8" style="27" customWidth="1"/>
    <col min="12041" max="12041" width="7.08984375" style="27" customWidth="1"/>
    <col min="12042" max="12042" width="27.7265625" style="27" customWidth="1"/>
    <col min="12043" max="12288" width="9" style="27"/>
    <col min="12289" max="12289" width="3.26953125" style="27" customWidth="1"/>
    <col min="12290" max="12290" width="4.6328125" style="27" customWidth="1"/>
    <col min="12291" max="12291" width="3.08984375" style="27" customWidth="1"/>
    <col min="12292" max="12295" width="9" style="27"/>
    <col min="12296" max="12296" width="8" style="27" customWidth="1"/>
    <col min="12297" max="12297" width="7.08984375" style="27" customWidth="1"/>
    <col min="12298" max="12298" width="27.7265625" style="27" customWidth="1"/>
    <col min="12299" max="12544" width="9" style="27"/>
    <col min="12545" max="12545" width="3.26953125" style="27" customWidth="1"/>
    <col min="12546" max="12546" width="4.6328125" style="27" customWidth="1"/>
    <col min="12547" max="12547" width="3.08984375" style="27" customWidth="1"/>
    <col min="12548" max="12551" width="9" style="27"/>
    <col min="12552" max="12552" width="8" style="27" customWidth="1"/>
    <col min="12553" max="12553" width="7.08984375" style="27" customWidth="1"/>
    <col min="12554" max="12554" width="27.7265625" style="27" customWidth="1"/>
    <col min="12555" max="12800" width="9" style="27"/>
    <col min="12801" max="12801" width="3.26953125" style="27" customWidth="1"/>
    <col min="12802" max="12802" width="4.6328125" style="27" customWidth="1"/>
    <col min="12803" max="12803" width="3.08984375" style="27" customWidth="1"/>
    <col min="12804" max="12807" width="9" style="27"/>
    <col min="12808" max="12808" width="8" style="27" customWidth="1"/>
    <col min="12809" max="12809" width="7.08984375" style="27" customWidth="1"/>
    <col min="12810" max="12810" width="27.7265625" style="27" customWidth="1"/>
    <col min="12811" max="13056" width="9" style="27"/>
    <col min="13057" max="13057" width="3.26953125" style="27" customWidth="1"/>
    <col min="13058" max="13058" width="4.6328125" style="27" customWidth="1"/>
    <col min="13059" max="13059" width="3.08984375" style="27" customWidth="1"/>
    <col min="13060" max="13063" width="9" style="27"/>
    <col min="13064" max="13064" width="8" style="27" customWidth="1"/>
    <col min="13065" max="13065" width="7.08984375" style="27" customWidth="1"/>
    <col min="13066" max="13066" width="27.7265625" style="27" customWidth="1"/>
    <col min="13067" max="13312" width="9" style="27"/>
    <col min="13313" max="13313" width="3.26953125" style="27" customWidth="1"/>
    <col min="13314" max="13314" width="4.6328125" style="27" customWidth="1"/>
    <col min="13315" max="13315" width="3.08984375" style="27" customWidth="1"/>
    <col min="13316" max="13319" width="9" style="27"/>
    <col min="13320" max="13320" width="8" style="27" customWidth="1"/>
    <col min="13321" max="13321" width="7.08984375" style="27" customWidth="1"/>
    <col min="13322" max="13322" width="27.7265625" style="27" customWidth="1"/>
    <col min="13323" max="13568" width="9" style="27"/>
    <col min="13569" max="13569" width="3.26953125" style="27" customWidth="1"/>
    <col min="13570" max="13570" width="4.6328125" style="27" customWidth="1"/>
    <col min="13571" max="13571" width="3.08984375" style="27" customWidth="1"/>
    <col min="13572" max="13575" width="9" style="27"/>
    <col min="13576" max="13576" width="8" style="27" customWidth="1"/>
    <col min="13577" max="13577" width="7.08984375" style="27" customWidth="1"/>
    <col min="13578" max="13578" width="27.7265625" style="27" customWidth="1"/>
    <col min="13579" max="13824" width="9" style="27"/>
    <col min="13825" max="13825" width="3.26953125" style="27" customWidth="1"/>
    <col min="13826" max="13826" width="4.6328125" style="27" customWidth="1"/>
    <col min="13827" max="13827" width="3.08984375" style="27" customWidth="1"/>
    <col min="13828" max="13831" width="9" style="27"/>
    <col min="13832" max="13832" width="8" style="27" customWidth="1"/>
    <col min="13833" max="13833" width="7.08984375" style="27" customWidth="1"/>
    <col min="13834" max="13834" width="27.7265625" style="27" customWidth="1"/>
    <col min="13835" max="14080" width="9" style="27"/>
    <col min="14081" max="14081" width="3.26953125" style="27" customWidth="1"/>
    <col min="14082" max="14082" width="4.6328125" style="27" customWidth="1"/>
    <col min="14083" max="14083" width="3.08984375" style="27" customWidth="1"/>
    <col min="14084" max="14087" width="9" style="27"/>
    <col min="14088" max="14088" width="8" style="27" customWidth="1"/>
    <col min="14089" max="14089" width="7.08984375" style="27" customWidth="1"/>
    <col min="14090" max="14090" width="27.7265625" style="27" customWidth="1"/>
    <col min="14091" max="14336" width="9" style="27"/>
    <col min="14337" max="14337" width="3.26953125" style="27" customWidth="1"/>
    <col min="14338" max="14338" width="4.6328125" style="27" customWidth="1"/>
    <col min="14339" max="14339" width="3.08984375" style="27" customWidth="1"/>
    <col min="14340" max="14343" width="9" style="27"/>
    <col min="14344" max="14344" width="8" style="27" customWidth="1"/>
    <col min="14345" max="14345" width="7.08984375" style="27" customWidth="1"/>
    <col min="14346" max="14346" width="27.7265625" style="27" customWidth="1"/>
    <col min="14347" max="14592" width="9" style="27"/>
    <col min="14593" max="14593" width="3.26953125" style="27" customWidth="1"/>
    <col min="14594" max="14594" width="4.6328125" style="27" customWidth="1"/>
    <col min="14595" max="14595" width="3.08984375" style="27" customWidth="1"/>
    <col min="14596" max="14599" width="9" style="27"/>
    <col min="14600" max="14600" width="8" style="27" customWidth="1"/>
    <col min="14601" max="14601" width="7.08984375" style="27" customWidth="1"/>
    <col min="14602" max="14602" width="27.7265625" style="27" customWidth="1"/>
    <col min="14603" max="14848" width="9" style="27"/>
    <col min="14849" max="14849" width="3.26953125" style="27" customWidth="1"/>
    <col min="14850" max="14850" width="4.6328125" style="27" customWidth="1"/>
    <col min="14851" max="14851" width="3.08984375" style="27" customWidth="1"/>
    <col min="14852" max="14855" width="9" style="27"/>
    <col min="14856" max="14856" width="8" style="27" customWidth="1"/>
    <col min="14857" max="14857" width="7.08984375" style="27" customWidth="1"/>
    <col min="14858" max="14858" width="27.7265625" style="27" customWidth="1"/>
    <col min="14859" max="15104" width="9" style="27"/>
    <col min="15105" max="15105" width="3.26953125" style="27" customWidth="1"/>
    <col min="15106" max="15106" width="4.6328125" style="27" customWidth="1"/>
    <col min="15107" max="15107" width="3.08984375" style="27" customWidth="1"/>
    <col min="15108" max="15111" width="9" style="27"/>
    <col min="15112" max="15112" width="8" style="27" customWidth="1"/>
    <col min="15113" max="15113" width="7.08984375" style="27" customWidth="1"/>
    <col min="15114" max="15114" width="27.7265625" style="27" customWidth="1"/>
    <col min="15115" max="15360" width="9" style="27"/>
    <col min="15361" max="15361" width="3.26953125" style="27" customWidth="1"/>
    <col min="15362" max="15362" width="4.6328125" style="27" customWidth="1"/>
    <col min="15363" max="15363" width="3.08984375" style="27" customWidth="1"/>
    <col min="15364" max="15367" width="9" style="27"/>
    <col min="15368" max="15368" width="8" style="27" customWidth="1"/>
    <col min="15369" max="15369" width="7.08984375" style="27" customWidth="1"/>
    <col min="15370" max="15370" width="27.7265625" style="27" customWidth="1"/>
    <col min="15371" max="15616" width="9" style="27"/>
    <col min="15617" max="15617" width="3.26953125" style="27" customWidth="1"/>
    <col min="15618" max="15618" width="4.6328125" style="27" customWidth="1"/>
    <col min="15619" max="15619" width="3.08984375" style="27" customWidth="1"/>
    <col min="15620" max="15623" width="9" style="27"/>
    <col min="15624" max="15624" width="8" style="27" customWidth="1"/>
    <col min="15625" max="15625" width="7.08984375" style="27" customWidth="1"/>
    <col min="15626" max="15626" width="27.7265625" style="27" customWidth="1"/>
    <col min="15627" max="15872" width="9" style="27"/>
    <col min="15873" max="15873" width="3.26953125" style="27" customWidth="1"/>
    <col min="15874" max="15874" width="4.6328125" style="27" customWidth="1"/>
    <col min="15875" max="15875" width="3.08984375" style="27" customWidth="1"/>
    <col min="15876" max="15879" width="9" style="27"/>
    <col min="15880" max="15880" width="8" style="27" customWidth="1"/>
    <col min="15881" max="15881" width="7.08984375" style="27" customWidth="1"/>
    <col min="15882" max="15882" width="27.7265625" style="27" customWidth="1"/>
    <col min="15883" max="16128" width="9" style="27"/>
    <col min="16129" max="16129" width="3.26953125" style="27" customWidth="1"/>
    <col min="16130" max="16130" width="4.6328125" style="27" customWidth="1"/>
    <col min="16131" max="16131" width="3.08984375" style="27" customWidth="1"/>
    <col min="16132" max="16135" width="9" style="27"/>
    <col min="16136" max="16136" width="8" style="27" customWidth="1"/>
    <col min="16137" max="16137" width="7.08984375" style="27" customWidth="1"/>
    <col min="16138" max="16138" width="27.7265625" style="27" customWidth="1"/>
    <col min="16139" max="16384" width="9" style="27"/>
  </cols>
  <sheetData>
    <row r="1" spans="1:10">
      <c r="A1" s="28" t="s">
        <v>145</v>
      </c>
    </row>
    <row r="2" spans="1:10" s="52" customFormat="1" ht="24" customHeight="1" thickBot="1">
      <c r="A2" s="96"/>
      <c r="B2" s="468" t="s">
        <v>343</v>
      </c>
      <c r="C2" s="468"/>
      <c r="D2" s="468"/>
      <c r="E2" s="468"/>
      <c r="F2" s="468"/>
      <c r="G2" s="468"/>
      <c r="H2" s="468"/>
      <c r="I2" s="468"/>
      <c r="J2" s="468"/>
    </row>
    <row r="3" spans="1:10" ht="14.25" customHeight="1" thickTop="1" thickBot="1">
      <c r="B3" s="33" t="s">
        <v>147</v>
      </c>
      <c r="C3" s="33" t="s">
        <v>148</v>
      </c>
      <c r="D3" s="33"/>
      <c r="E3" s="34"/>
    </row>
    <row r="4" spans="1:10" ht="14.25" customHeight="1">
      <c r="B4" s="462" t="s">
        <v>344</v>
      </c>
      <c r="C4" s="97" t="s">
        <v>345</v>
      </c>
      <c r="D4" s="97"/>
      <c r="E4" s="97"/>
      <c r="F4" s="97"/>
      <c r="G4" s="97"/>
      <c r="H4" s="97"/>
      <c r="I4" s="97"/>
      <c r="J4" s="98"/>
    </row>
    <row r="5" spans="1:10" ht="14.25" customHeight="1" thickBot="1">
      <c r="B5" s="463"/>
      <c r="C5" s="464"/>
      <c r="D5" s="465"/>
      <c r="E5" s="466"/>
      <c r="F5" s="466"/>
      <c r="G5" s="466"/>
      <c r="H5" s="466"/>
      <c r="I5" s="466"/>
      <c r="J5" s="467"/>
    </row>
    <row r="6" spans="1:10">
      <c r="B6" s="102"/>
      <c r="D6" s="44"/>
      <c r="E6" s="44"/>
      <c r="F6" s="44"/>
      <c r="G6" s="44"/>
      <c r="H6" s="44"/>
      <c r="I6" s="44"/>
      <c r="J6" s="41"/>
    </row>
    <row r="7" spans="1:10">
      <c r="B7" s="103"/>
      <c r="C7" s="104"/>
      <c r="D7" s="233"/>
      <c r="E7" s="44"/>
      <c r="F7" s="44"/>
      <c r="G7" s="44"/>
      <c r="H7" s="44"/>
      <c r="I7" s="44"/>
      <c r="J7" s="41"/>
    </row>
    <row r="8" spans="1:10">
      <c r="B8" s="102"/>
      <c r="D8" s="44"/>
      <c r="E8" s="44"/>
      <c r="F8" s="44"/>
      <c r="G8" s="44"/>
      <c r="H8" s="44"/>
      <c r="I8" s="44"/>
      <c r="J8" s="41"/>
    </row>
    <row r="9" spans="1:10">
      <c r="B9" s="102"/>
      <c r="D9" s="44"/>
      <c r="E9" s="44"/>
      <c r="F9" s="44"/>
      <c r="G9" s="44"/>
      <c r="H9" s="44"/>
      <c r="I9" s="44"/>
      <c r="J9" s="41"/>
    </row>
    <row r="10" spans="1:10">
      <c r="B10" s="102"/>
      <c r="D10" s="44"/>
      <c r="E10" s="44"/>
      <c r="F10" s="44"/>
      <c r="G10" s="44"/>
      <c r="H10" s="44"/>
      <c r="I10" s="44"/>
      <c r="J10" s="41"/>
    </row>
    <row r="11" spans="1:10">
      <c r="B11" s="102"/>
      <c r="D11" s="44"/>
      <c r="E11" s="44"/>
      <c r="F11" s="44"/>
      <c r="G11" s="44"/>
      <c r="H11" s="44"/>
      <c r="I11" s="44"/>
      <c r="J11" s="41"/>
    </row>
    <row r="12" spans="1:10">
      <c r="B12" s="102"/>
      <c r="C12" s="164"/>
      <c r="D12" s="44"/>
      <c r="E12" s="44"/>
      <c r="F12" s="44"/>
      <c r="G12" s="44"/>
      <c r="H12" s="44"/>
      <c r="I12" s="164" t="s">
        <v>204</v>
      </c>
      <c r="J12" s="41"/>
    </row>
    <row r="13" spans="1:10" ht="15.5" thickBot="1">
      <c r="B13" s="109"/>
      <c r="C13" s="110"/>
      <c r="D13" s="111"/>
      <c r="E13" s="111"/>
      <c r="F13" s="111"/>
      <c r="G13" s="111"/>
      <c r="H13" s="111"/>
      <c r="I13" s="111"/>
      <c r="J13" s="112"/>
    </row>
    <row r="14" spans="1:10" ht="14.25" customHeight="1">
      <c r="B14" s="462" t="s">
        <v>346</v>
      </c>
      <c r="C14" s="97" t="s">
        <v>347</v>
      </c>
      <c r="D14" s="97"/>
      <c r="E14" s="97"/>
      <c r="F14" s="97"/>
      <c r="G14" s="97"/>
      <c r="H14" s="97"/>
      <c r="I14" s="97"/>
      <c r="J14" s="98"/>
    </row>
    <row r="15" spans="1:10" ht="14.25" customHeight="1" thickBot="1">
      <c r="B15" s="463"/>
      <c r="C15" s="464"/>
      <c r="D15" s="465"/>
      <c r="E15" s="466"/>
      <c r="F15" s="466"/>
      <c r="G15" s="466"/>
      <c r="H15" s="466"/>
      <c r="I15" s="466"/>
      <c r="J15" s="467"/>
    </row>
    <row r="16" spans="1:10">
      <c r="B16" s="102"/>
      <c r="D16" s="44"/>
      <c r="E16" s="44"/>
      <c r="F16" s="44"/>
      <c r="G16" s="44"/>
      <c r="H16" s="44"/>
      <c r="I16" s="44"/>
      <c r="J16" s="41"/>
    </row>
    <row r="17" spans="2:10">
      <c r="B17" s="103"/>
      <c r="C17" s="104"/>
      <c r="D17" s="44"/>
      <c r="E17" s="44"/>
      <c r="F17" s="44"/>
      <c r="G17" s="44"/>
      <c r="H17" s="44"/>
      <c r="I17" s="44"/>
      <c r="J17" s="41"/>
    </row>
    <row r="18" spans="2:10">
      <c r="B18" s="103"/>
      <c r="C18" s="104"/>
      <c r="D18" s="44"/>
      <c r="E18" s="44"/>
      <c r="F18" s="44"/>
      <c r="G18" s="44"/>
      <c r="H18" s="44"/>
      <c r="I18" s="44"/>
      <c r="J18" s="41"/>
    </row>
    <row r="19" spans="2:10">
      <c r="B19" s="103"/>
      <c r="C19" s="104"/>
      <c r="D19" s="44"/>
      <c r="E19" s="44"/>
      <c r="F19" s="44"/>
      <c r="G19" s="44"/>
      <c r="H19" s="44"/>
      <c r="I19" s="44"/>
      <c r="J19" s="41"/>
    </row>
    <row r="20" spans="2:10">
      <c r="B20" s="103"/>
      <c r="C20" s="104"/>
      <c r="D20" s="44"/>
      <c r="E20" s="44"/>
      <c r="F20" s="44"/>
      <c r="G20" s="44"/>
      <c r="H20" s="44"/>
      <c r="I20" s="44"/>
      <c r="J20" s="41"/>
    </row>
    <row r="21" spans="2:10">
      <c r="B21" s="103"/>
      <c r="C21" s="104"/>
      <c r="D21" s="44"/>
      <c r="E21" s="44"/>
      <c r="F21" s="44"/>
      <c r="G21" s="44"/>
      <c r="H21" s="44"/>
      <c r="I21" s="44"/>
      <c r="J21" s="41"/>
    </row>
    <row r="22" spans="2:10">
      <c r="B22" s="102"/>
      <c r="C22" s="164"/>
      <c r="D22" s="44"/>
      <c r="E22" s="44"/>
      <c r="F22" s="44"/>
      <c r="G22" s="44"/>
      <c r="H22" s="44"/>
      <c r="I22" s="164" t="s">
        <v>204</v>
      </c>
      <c r="J22" s="41"/>
    </row>
    <row r="23" spans="2:10" ht="15.5" thickBot="1">
      <c r="B23" s="109"/>
      <c r="C23" s="110"/>
      <c r="D23" s="111"/>
      <c r="E23" s="111"/>
      <c r="F23" s="111"/>
      <c r="G23" s="111"/>
      <c r="H23" s="111"/>
      <c r="I23" s="111"/>
      <c r="J23" s="112"/>
    </row>
    <row r="24" spans="2:10" ht="14.25" customHeight="1">
      <c r="B24" s="462" t="s">
        <v>348</v>
      </c>
      <c r="C24" s="97" t="s">
        <v>349</v>
      </c>
      <c r="D24" s="97"/>
      <c r="E24" s="97"/>
      <c r="F24" s="97"/>
      <c r="G24" s="97"/>
      <c r="H24" s="97"/>
      <c r="I24" s="97"/>
      <c r="J24" s="98"/>
    </row>
    <row r="25" spans="2:10" ht="14.25" customHeight="1" thickBot="1">
      <c r="B25" s="463"/>
      <c r="C25" s="464"/>
      <c r="D25" s="465"/>
      <c r="E25" s="466"/>
      <c r="F25" s="466"/>
      <c r="G25" s="466"/>
      <c r="H25" s="466"/>
      <c r="I25" s="466"/>
      <c r="J25" s="467"/>
    </row>
    <row r="26" spans="2:10">
      <c r="B26" s="102"/>
      <c r="D26" s="44"/>
      <c r="E26" s="44"/>
      <c r="F26" s="44"/>
      <c r="G26" s="44"/>
      <c r="H26" s="44"/>
      <c r="I26" s="44"/>
      <c r="J26" s="41"/>
    </row>
    <row r="27" spans="2:10">
      <c r="B27" s="103"/>
      <c r="C27" s="104"/>
      <c r="D27" s="44"/>
      <c r="E27" s="44"/>
      <c r="F27" s="44"/>
      <c r="G27" s="44"/>
      <c r="H27" s="44"/>
      <c r="I27" s="44"/>
      <c r="J27" s="41"/>
    </row>
    <row r="28" spans="2:10">
      <c r="B28" s="103"/>
      <c r="C28" s="104"/>
      <c r="D28" s="44"/>
      <c r="E28" s="44"/>
      <c r="F28" s="44"/>
      <c r="G28" s="44"/>
      <c r="H28" s="44"/>
      <c r="I28" s="44"/>
      <c r="J28" s="41"/>
    </row>
    <row r="29" spans="2:10">
      <c r="B29" s="103"/>
      <c r="C29" s="104"/>
      <c r="D29" s="44"/>
      <c r="E29" s="44"/>
      <c r="F29" s="44"/>
      <c r="G29" s="44"/>
      <c r="H29" s="44"/>
      <c r="I29" s="44"/>
      <c r="J29" s="41"/>
    </row>
    <row r="30" spans="2:10">
      <c r="B30" s="103"/>
      <c r="C30" s="104"/>
      <c r="D30" s="44"/>
      <c r="E30" s="44"/>
      <c r="F30" s="164" t="s">
        <v>350</v>
      </c>
      <c r="G30" s="44"/>
      <c r="H30" s="44"/>
      <c r="I30" s="44"/>
      <c r="J30" s="41"/>
    </row>
    <row r="31" spans="2:10" ht="15.5" thickBot="1">
      <c r="B31" s="117"/>
      <c r="C31" s="118"/>
      <c r="D31" s="49"/>
      <c r="E31" s="49"/>
      <c r="F31" s="49"/>
      <c r="G31" s="49"/>
      <c r="H31" s="49"/>
      <c r="I31" s="49"/>
      <c r="J31" s="50"/>
    </row>
  </sheetData>
  <mergeCells count="10">
    <mergeCell ref="B24:B25"/>
    <mergeCell ref="C25:D25"/>
    <mergeCell ref="E25:J25"/>
    <mergeCell ref="B2:J2"/>
    <mergeCell ref="B4:B5"/>
    <mergeCell ref="C5:D5"/>
    <mergeCell ref="E5:J5"/>
    <mergeCell ref="B14:B15"/>
    <mergeCell ref="C15:D15"/>
    <mergeCell ref="E15:J15"/>
  </mergeCells>
  <phoneticPr fontId="24" type="noConversion"/>
  <hyperlinks>
    <hyperlink ref="A1" location="【TCS】!A1" display="戻る" xr:uid="{308B9140-FE40-4002-8222-71AC2C5AC4C9}"/>
  </hyperlinks>
  <pageMargins left="0.75" right="0.75" top="1" bottom="1" header="0.51200000000000001" footer="0.51200000000000001"/>
  <pageSetup paperSize="9" orientation="portrait" verticalDpi="0"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8C1A78C8BA617741815C408FC2226F78" ma:contentTypeVersion="5" ma:contentTypeDescription="新しいドキュメントを作成します。" ma:contentTypeScope="" ma:versionID="471a8c2dab4ccd4eab1f869bd178a018">
  <xsd:schema xmlns:xsd="http://www.w3.org/2001/XMLSchema" xmlns:xs="http://www.w3.org/2001/XMLSchema" xmlns:p="http://schemas.microsoft.com/office/2006/metadata/properties" xmlns:ns3="0be5c32e-5c31-4bc5-90ad-32aa3de5e370" targetNamespace="http://schemas.microsoft.com/office/2006/metadata/properties" ma:root="true" ma:fieldsID="e493ba474fa5c87bf5aa9e485136a040" ns3:_="">
    <xsd:import namespace="0be5c32e-5c31-4bc5-90ad-32aa3de5e370"/>
    <xsd:element name="properties">
      <xsd:complexType>
        <xsd:sequence>
          <xsd:element name="documentManagement">
            <xsd:complexType>
              <xsd:all>
                <xsd:element ref="ns3:MediaServiceDateTaken" minOccurs="0"/>
                <xsd:element ref="ns3:_activity" minOccurs="0"/>
                <xsd:element ref="ns3:MediaServiceMetadata" minOccurs="0"/>
                <xsd:element ref="ns3:MediaServiceFastMetadata"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be5c32e-5c31-4bc5-90ad-32aa3de5e370"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_activity" ma:index="9" nillable="true" ma:displayName="_activity" ma:hidden="true" ma:internalName="_activity">
      <xsd:simpleType>
        <xsd:restriction base="dms:Note"/>
      </xsd:simpleType>
    </xsd:element>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LongProperties xmlns="http://schemas.microsoft.com/office/2006/metadata/longProperties"/>
</file>

<file path=customXml/item3.xml><?xml version="1.0" encoding="utf-8"?>
<p:properties xmlns:p="http://schemas.microsoft.com/office/2006/metadata/properties" xmlns:xsi="http://www.w3.org/2001/XMLSchema-instance" xmlns:pc="http://schemas.microsoft.com/office/infopath/2007/PartnerControls">
  <documentManagement>
    <_activity xmlns="0be5c32e-5c31-4bc5-90ad-32aa3de5e370" xsi:nil="true"/>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6C043C0-55C4-4BC2-999C-6CD59D03BCA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be5c32e-5c31-4bc5-90ad-32aa3de5e37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F2B1990-BD69-40EB-A43C-6C4C780A6DE4}">
  <ds:schemaRefs>
    <ds:schemaRef ds:uri="http://schemas.microsoft.com/office/2006/metadata/longProperties"/>
  </ds:schemaRefs>
</ds:datastoreItem>
</file>

<file path=customXml/itemProps3.xml><?xml version="1.0" encoding="utf-8"?>
<ds:datastoreItem xmlns:ds="http://schemas.openxmlformats.org/officeDocument/2006/customXml" ds:itemID="{B2FADD67-DD7C-4D45-8940-C6EB8B5BA1F7}">
  <ds:schemaRefs>
    <ds:schemaRef ds:uri="http://purl.org/dc/dcmitype/"/>
    <ds:schemaRef ds:uri="http://www.w3.org/XML/1998/namespace"/>
    <ds:schemaRef ds:uri="http://purl.org/dc/terms/"/>
    <ds:schemaRef ds:uri="http://schemas.microsoft.com/office/infopath/2007/PartnerControls"/>
    <ds:schemaRef ds:uri="http://purl.org/dc/elements/1.1/"/>
    <ds:schemaRef ds:uri="http://schemas.openxmlformats.org/package/2006/metadata/core-properties"/>
    <ds:schemaRef ds:uri="http://schemas.microsoft.com/office/2006/documentManagement/types"/>
    <ds:schemaRef ds:uri="0be5c32e-5c31-4bc5-90ad-32aa3de5e370"/>
    <ds:schemaRef ds:uri="http://schemas.microsoft.com/office/2006/metadata/properties"/>
  </ds:schemaRefs>
</ds:datastoreItem>
</file>

<file path=customXml/itemProps4.xml><?xml version="1.0" encoding="utf-8"?>
<ds:datastoreItem xmlns:ds="http://schemas.openxmlformats.org/officeDocument/2006/customXml" ds:itemID="{84B6BF48-E3F6-4B13-9192-4EFFE42803ED}">
  <ds:schemaRefs>
    <ds:schemaRef ds:uri="http://schemas.microsoft.com/sharepoint/v3/contenttype/forms"/>
  </ds:schemaRefs>
</ds:datastoreItem>
</file>

<file path=docMetadata/LabelInfo.xml><?xml version="1.0" encoding="utf-8"?>
<clbl:labelList xmlns:clbl="http://schemas.microsoft.com/office/2020/mipLabelMetadata">
  <clbl:label id="{76684a67-d816-43ce-93f9-29b6f72f823f}" enabled="0" method="" siteId="{76684a67-d816-43ce-93f9-29b6f72f823f}"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vt:i4>
      </vt:variant>
    </vt:vector>
  </HeadingPairs>
  <TitlesOfParts>
    <vt:vector size="12" baseType="lpstr">
      <vt:lpstr>Cover</vt:lpstr>
      <vt:lpstr>更新履歴</vt:lpstr>
      <vt:lpstr>TCS</vt:lpstr>
      <vt:lpstr>テストデータ</vt:lpstr>
      <vt:lpstr>引数チェック</vt:lpstr>
      <vt:lpstr>主処理</vt:lpstr>
      <vt:lpstr>検索</vt:lpstr>
      <vt:lpstr>更新</vt:lpstr>
      <vt:lpstr>処理ﾊﾟﾀｰﾝ</vt:lpstr>
      <vt:lpstr>追加</vt:lpstr>
      <vt:lpstr>削除</vt:lpstr>
      <vt:lpstr>その他</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Suzuki Yusuke</dc:creator>
  <cp:lastModifiedBy>Sun Sheng</cp:lastModifiedBy>
  <cp:lastPrinted>2012-11-07T00:24:04Z</cp:lastPrinted>
  <dcterms:created xsi:type="dcterms:W3CDTF">2006-06-14T00:06:44Z</dcterms:created>
  <dcterms:modified xsi:type="dcterms:W3CDTF">2025-10-31T04:56:49Z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0x0101008C1A78C8BA617741815C408FC2226F78</vt:lpwstr>
  </property>
  <property fmtid="{D5CDD505-2E9C-101B-9397-08002B2CF9AE}" pid="3" name="MediaServiceImageTags">
    <vt:lpwstr/>
  </property>
</Properties>
</file>