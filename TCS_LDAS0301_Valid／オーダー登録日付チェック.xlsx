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tcs\"/>
    </mc:Choice>
  </mc:AlternateContent>
  <xr:revisionPtr revIDLastSave="0" documentId="13_ncr:1_{AE7F1BF0-2F60-403E-8611-28BFD85DD686}" xr6:coauthVersionLast="47" xr6:coauthVersionMax="47" xr10:uidLastSave="{00000000-0000-0000-0000-000000000000}"/>
  <bookViews>
    <workbookView xWindow="28680" yWindow="-120" windowWidth="38640" windowHeight="21120" tabRatio="815" xr2:uid="{00000000-000D-0000-FFFF-FFFF00000000}"/>
  </bookViews>
  <sheets>
    <sheet name="Cover" sheetId="115" r:id="rId1"/>
    <sheet name="更新履歴" sheetId="116" r:id="rId2"/>
    <sheet name="TCS" sheetId="117" r:id="rId3"/>
    <sheet name="テストデータ" sheetId="120" r:id="rId4"/>
    <sheet name="引数チェック" sheetId="121" r:id="rId5"/>
    <sheet name="主処理" sheetId="12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2" hidden="1">#REF!</definedName>
    <definedName name="_Regression_X" hidden="1">#REF!</definedName>
    <definedName name="_Sort" localSheetId="2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>[1]!BS入力</definedName>
    <definedName name="EditBack" localSheetId="2">#REF!</definedName>
    <definedName name="EditBack">#REF!</definedName>
    <definedName name="EditBar" localSheetId="2">#REF!</definedName>
    <definedName name="EditBar">#REF!</definedName>
    <definedName name="EditCommon" localSheetId="2">#REF!</definedName>
    <definedName name="EditCommon">#REF!</definedName>
    <definedName name="EditConf" localSheetId="2">#REF!</definedName>
    <definedName name="EditConf">#REF!</definedName>
    <definedName name="EditConfirm" localSheetId="2">#REF!</definedName>
    <definedName name="EditConfirm">#REF!</definedName>
    <definedName name="EditCopyUpdate" localSheetId="2">#REF!</definedName>
    <definedName name="EditCopyUpdate">#REF!</definedName>
    <definedName name="EditDelete" localSheetId="2">#REF!</definedName>
    <definedName name="EditDelete">#REF!</definedName>
    <definedName name="EditDeleteS" localSheetId="2">#REF!</definedName>
    <definedName name="EditDeleteS">#REF!</definedName>
    <definedName name="EditDeleteUpdate" localSheetId="2">#REF!</definedName>
    <definedName name="EditDeleteUpdate">#REF!</definedName>
    <definedName name="EditDetail" localSheetId="2">#REF!</definedName>
    <definedName name="EditDetail">#REF!</definedName>
    <definedName name="EditDetailTran" localSheetId="2">#REF!</definedName>
    <definedName name="EditDetailTran">#REF!</definedName>
    <definedName name="EditDetailTransaction" localSheetId="2">#REF!</definedName>
    <definedName name="EditDetailTransaction">#REF!</definedName>
    <definedName name="EditDownload" localSheetId="2">#REF!</definedName>
    <definedName name="EditDownload">#REF!</definedName>
    <definedName name="EditEdit" localSheetId="2">#REF!</definedName>
    <definedName name="EditEdit">#REF!</definedName>
    <definedName name="EditEditTran" localSheetId="2">#REF!</definedName>
    <definedName name="EditEditTran">#REF!</definedName>
    <definedName name="EditEditUpdate" localSheetId="2">#REF!</definedName>
    <definedName name="EditEditUpdate">#REF!</definedName>
    <definedName name="EditInitial" localSheetId="2">#REF!</definedName>
    <definedName name="EditInitial">#REF!</definedName>
    <definedName name="EditInsert" localSheetId="2">#REF!</definedName>
    <definedName name="EditInsert">#REF!</definedName>
    <definedName name="EditItemChange" localSheetId="2">#REF!</definedName>
    <definedName name="EditItemChange">#REF!</definedName>
    <definedName name="EditLoseFocus" localSheetId="2">#REF!</definedName>
    <definedName name="EditLoseFocus">#REF!</definedName>
    <definedName name="EditLoseFocus1" localSheetId="2">#REF!</definedName>
    <definedName name="EditLoseFocus1">#REF!</definedName>
    <definedName name="EditLoseFocus2" localSheetId="2">#REF!</definedName>
    <definedName name="EditLoseFocus2">#REF!</definedName>
    <definedName name="EditLoseFocus3" localSheetId="2">#REF!</definedName>
    <definedName name="EditLoseFocus3">#REF!</definedName>
    <definedName name="EditLoseFocus4" localSheetId="2">#REF!</definedName>
    <definedName name="EditLoseFocus4">#REF!</definedName>
    <definedName name="EditLoseFocus5" localSheetId="2">#REF!</definedName>
    <definedName name="EditLoseFocus5">#REF!</definedName>
    <definedName name="EditNew" localSheetId="2">#REF!</definedName>
    <definedName name="EditNew">#REF!</definedName>
    <definedName name="EditNewS" localSheetId="2">#REF!</definedName>
    <definedName name="EditNewS">#REF!</definedName>
    <definedName name="EditNewTran" localSheetId="2">#REF!</definedName>
    <definedName name="EditNewTran">#REF!</definedName>
    <definedName name="EditPrev" localSheetId="2">#REF!</definedName>
    <definedName name="EditPrev">#REF!</definedName>
    <definedName name="EditPrint" localSheetId="2">#REF!</definedName>
    <definedName name="EditPrint">#REF!</definedName>
    <definedName name="EditReset" localSheetId="2">#REF!</definedName>
    <definedName name="EditReset">#REF!</definedName>
    <definedName name="EditRetrieve" localSheetId="2">#REF!</definedName>
    <definedName name="EditRetrieve">#REF!</definedName>
    <definedName name="EditUpdateS" localSheetId="2">#REF!</definedName>
    <definedName name="EditUpdateS">#REF!</definedName>
    <definedName name="EditUpload" localSheetId="2">#REF!</definedName>
    <definedName name="EditUpload">#REF!</definedName>
    <definedName name="EditValuesList" localSheetId="2">#REF!</definedName>
    <definedName name="EditValuesList">#REF!</definedName>
    <definedName name="Event" localSheetId="2">#REF!</definedName>
    <definedName name="Event">#REF!</definedName>
    <definedName name="fl01AS1" localSheetId="2" hidden="1">[2]分录!#REF!</definedName>
    <definedName name="fl01AS1" hidden="1">[2]分录!#REF!</definedName>
    <definedName name="fl04AF1" localSheetId="2" hidden="1">[3]分录!#REF!</definedName>
    <definedName name="fl04AF1" hidden="1">[3]分录!#REF!</definedName>
    <definedName name="HeaderItemChanged" localSheetId="2">#REF!</definedName>
    <definedName name="HeaderItemChanged">#REF!</definedName>
    <definedName name="PL入力">[1]!PL入力</definedName>
    <definedName name="test" localSheetId="2">#REF!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 localSheetId="2">#REF!</definedName>
    <definedName name="UpdateConfirm">#REF!</definedName>
    <definedName name="UpdatePrint" localSheetId="2">#REF!</definedName>
    <definedName name="UpdatePrint">#REF!</definedName>
    <definedName name="ValidationCommon" localSheetId="2">#REF!</definedName>
    <definedName name="ValidationCommon">#REF!</definedName>
    <definedName name="ValidationConfirm" localSheetId="2">#REF!</definedName>
    <definedName name="ValidationConfirm">#REF!</definedName>
    <definedName name="ValidationDelete" localSheetId="2">#REF!</definedName>
    <definedName name="ValidationDelete">#REF!</definedName>
    <definedName name="ValidationDetail" localSheetId="2">#REF!</definedName>
    <definedName name="ValidationDetail">#REF!</definedName>
    <definedName name="ValidationEdit" localSheetId="2">#REF!</definedName>
    <definedName name="ValidationEdit">#REF!</definedName>
    <definedName name="ValidationLoseFocus" localSheetId="2">#REF!</definedName>
    <definedName name="ValidationLoseFocus">#REF!</definedName>
    <definedName name="ValidationPrint" localSheetId="2">#REF!</definedName>
    <definedName name="ValidationPrint">#REF!</definedName>
    <definedName name="ValidationRetrieve" localSheetId="2">#REF!</definedName>
    <definedName name="ValidationRetrieve">#REF!</definedName>
    <definedName name="ValidRet" localSheetId="2">#REF!</definedName>
    <definedName name="ValidRet">#REF!</definedName>
    <definedName name="xxjj36" localSheetId="2">[4]已审CF!#REF!</definedName>
    <definedName name="xxjj36">[4]已审CF!#REF!</definedName>
    <definedName name="xxjj44" localSheetId="2">[4]已审CF!#REF!</definedName>
    <definedName name="xxjj44">[4]已审CF!#REF!</definedName>
    <definedName name="xxjj48" localSheetId="2">[4]已审CF!#REF!</definedName>
    <definedName name="xxjj48">[4]已审CF!#REF!</definedName>
    <definedName name="コメント入力">[1]!コメント入力</definedName>
    <definedName name="データ形式">[5]!テーブル56[ファイルデータ形式]</definedName>
    <definedName name="データ型">[5]!テーブル5[データ型]</definedName>
    <definedName name="データ型2">[5]!テーブル69[データ型]</definedName>
    <definedName name="デリミタ">[5]!テーブル3[デリミタ]</definedName>
    <definedName name="改行コード">[5]!テーブル6[改行コード]</definedName>
    <definedName name="固定可変">[5]!テーブル43[固定長/可変長]</definedName>
    <definedName name="関連表" localSheetId="2" hidden="1">#REF!</definedName>
    <definedName name="関連表" hidden="1">#REF!</definedName>
    <definedName name="稼働日" localSheetId="2">#REF!</definedName>
    <definedName name="稼働日">#REF!</definedName>
    <definedName name="客户">[6]索引!$C$4</definedName>
    <definedName name="栏目设置">[6]索引!$C$8</definedName>
    <definedName name="売上入力">[1]!売上入力</definedName>
    <definedName name="末尾デリミタ">[5]!テーブル7[末尾デリミタ文字]</definedName>
    <definedName name="期间">[6]索引!$C$6</definedName>
    <definedName name="人員入力">[1]!人員入力</definedName>
    <definedName name="入出力対象">[5]!テーブル4[入出力対象]</definedName>
    <definedName name="深夜開始">[7]初期値!$G$3</definedName>
    <definedName name="始業時間">[7]初期値!$C$3</definedName>
    <definedName name="文字コード">[5]!テーブル1[文字コード]</definedName>
    <definedName name="曜日" localSheetId="2">#REF!</definedName>
    <definedName name="曜日">#REF!</definedName>
    <definedName name="应付票据mxb" localSheetId="2" hidden="1">#REF!</definedName>
    <definedName name="应付票据mxb" hidden="1">#REF!</definedName>
    <definedName name="終業時間">[7]初期値!$F$3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17" l="1"/>
  <c r="J2" i="117"/>
  <c r="G2" i="117"/>
  <c r="L2" i="117" l="1"/>
  <c r="G3" i="117"/>
  <c r="J3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5C1326A4-549E-413B-BE9E-ED5283DCD2F7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sharedStrings.xml><?xml version="1.0" encoding="utf-8"?>
<sst xmlns="http://schemas.openxmlformats.org/spreadsheetml/2006/main" count="8439" uniqueCount="785">
  <si>
    <t>確認者</t>
    <rPh sb="0" eb="2">
      <t>カクニン</t>
    </rPh>
    <rPh sb="2" eb="3">
      <t>シャ</t>
    </rPh>
    <phoneticPr fontId="3"/>
  </si>
  <si>
    <t>作成者</t>
    <rPh sb="0" eb="3">
      <t>サクセイシャ</t>
    </rPh>
    <phoneticPr fontId="3"/>
  </si>
  <si>
    <t>日付</t>
    <rPh sb="0" eb="2">
      <t>ヒヅケ</t>
    </rPh>
    <phoneticPr fontId="3"/>
  </si>
  <si>
    <t>IC</t>
    <phoneticPr fontId="3"/>
  </si>
  <si>
    <t>更新者</t>
    <rPh sb="0" eb="3">
      <t>コウシンシャ</t>
    </rPh>
    <phoneticPr fontId="3"/>
  </si>
  <si>
    <t>モジュール名</t>
    <rPh sb="5" eb="6">
      <t>メイ</t>
    </rPh>
    <phoneticPr fontId="11"/>
  </si>
  <si>
    <t>プログラムID</t>
    <phoneticPr fontId="11"/>
  </si>
  <si>
    <t>プログラム名</t>
    <phoneticPr fontId="11"/>
  </si>
  <si>
    <t>Project Name</t>
    <phoneticPr fontId="11"/>
  </si>
  <si>
    <t>Yamaha-motor Next Stage</t>
    <phoneticPr fontId="11"/>
  </si>
  <si>
    <t>Workstream</t>
    <phoneticPr fontId="11"/>
  </si>
  <si>
    <t>Document Scope</t>
    <phoneticPr fontId="11"/>
  </si>
  <si>
    <t>TCS作成</t>
    <rPh sb="3" eb="5">
      <t>サクセイ</t>
    </rPh>
    <phoneticPr fontId="11"/>
  </si>
  <si>
    <t>承認者</t>
    <rPh sb="0" eb="3">
      <t>ショウニンシャ</t>
    </rPh>
    <phoneticPr fontId="3"/>
  </si>
  <si>
    <t>名前</t>
    <rPh sb="0" eb="2">
      <t>ナマエ</t>
    </rPh>
    <phoneticPr fontId="3"/>
  </si>
  <si>
    <t>テスト実施</t>
    <rPh sb="3" eb="5">
      <t>ジッシ</t>
    </rPh>
    <phoneticPr fontId="11"/>
  </si>
  <si>
    <t>テスト担当者</t>
    <rPh sb="3" eb="6">
      <t>タントウシャ</t>
    </rPh>
    <phoneticPr fontId="3"/>
  </si>
  <si>
    <t>Ver</t>
    <phoneticPr fontId="3"/>
  </si>
  <si>
    <t>更新日</t>
    <rPh sb="0" eb="2">
      <t>コウシン</t>
    </rPh>
    <rPh sb="2" eb="3">
      <t>ビ</t>
    </rPh>
    <phoneticPr fontId="3"/>
  </si>
  <si>
    <t>更新シート</t>
    <rPh sb="0" eb="2">
      <t>コウシン</t>
    </rPh>
    <phoneticPr fontId="3"/>
  </si>
  <si>
    <t>更新内容</t>
    <rPh sb="0" eb="2">
      <t>コウシン</t>
    </rPh>
    <rPh sb="2" eb="4">
      <t>ナイヨウ</t>
    </rPh>
    <phoneticPr fontId="3"/>
  </si>
  <si>
    <t>確認日</t>
    <rPh sb="0" eb="2">
      <t>カクニン</t>
    </rPh>
    <rPh sb="2" eb="3">
      <t>ビ</t>
    </rPh>
    <phoneticPr fontId="11"/>
  </si>
  <si>
    <t>確認者</t>
    <rPh sb="0" eb="2">
      <t>カクニン</t>
    </rPh>
    <rPh sb="2" eb="3">
      <t>シャ</t>
    </rPh>
    <phoneticPr fontId="11"/>
  </si>
  <si>
    <t>承認日</t>
    <rPh sb="0" eb="2">
      <t>ショウニン</t>
    </rPh>
    <rPh sb="2" eb="3">
      <t>ビ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</si>
  <si>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</si>
  <si>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3"/>
  </si>
  <si>
    <t>*</t>
    <phoneticPr fontId="11"/>
  </si>
  <si>
    <t>テスト概要</t>
    <rPh sb="3" eb="5">
      <t>ｶﾞｲﾖｳ</t>
    </rPh>
    <phoneticPr fontId="18" type="noConversion"/>
  </si>
  <si>
    <t>テストケース数</t>
    <rPh sb="6" eb="7">
      <t>ｽｳ</t>
    </rPh>
    <phoneticPr fontId="18" type="noConversion"/>
  </si>
  <si>
    <t>テスト実施数</t>
    <rPh sb="3" eb="5">
      <t>ｼﾞｯｼ</t>
    </rPh>
    <rPh sb="5" eb="6">
      <t>ｽｳ</t>
    </rPh>
    <phoneticPr fontId="18" type="noConversion"/>
  </si>
  <si>
    <t>テスト未実施数</t>
    <rPh sb="3" eb="6">
      <t>ﾐｼﾞｯｼ</t>
    </rPh>
    <rPh sb="6" eb="7">
      <t>ｽｳ</t>
    </rPh>
    <phoneticPr fontId="18" type="noConversion"/>
  </si>
  <si>
    <t>合格ケース数</t>
    <rPh sb="0" eb="2">
      <t>ｺﾞｳｶｸ</t>
    </rPh>
    <rPh sb="5" eb="6">
      <t>ｽｳ</t>
    </rPh>
    <phoneticPr fontId="18" type="noConversion"/>
  </si>
  <si>
    <t>進捗率</t>
    <rPh sb="0" eb="2">
      <t>ｼﾝﾁｮｸ</t>
    </rPh>
    <rPh sb="2" eb="3">
      <t>ﾘﾂ</t>
    </rPh>
    <phoneticPr fontId="18" type="noConversion"/>
  </si>
  <si>
    <t>ケース合格率</t>
    <rPh sb="3" eb="5">
      <t>ｺﾞｳｶｸ</t>
    </rPh>
    <rPh sb="5" eb="6">
      <t>ﾘﾂ</t>
    </rPh>
    <phoneticPr fontId="18" type="noConversion"/>
  </si>
  <si>
    <t>開発者</t>
    <rPh sb="0" eb="3">
      <t>ｶｲﾊﾂｼｬ</t>
    </rPh>
    <phoneticPr fontId="18" type="noConversion"/>
  </si>
  <si>
    <t>検収者</t>
    <rPh sb="0" eb="2">
      <t>ｹﾝｼｭｳ</t>
    </rPh>
    <rPh sb="2" eb="3">
      <t>ｼｬ</t>
    </rPh>
    <phoneticPr fontId="18" type="noConversion"/>
  </si>
  <si>
    <t>No</t>
    <phoneticPr fontId="18" type="noConversion"/>
  </si>
  <si>
    <t>テスト動作</t>
  </si>
  <si>
    <t>項目名</t>
    <rPh sb="0" eb="2">
      <t>ｺｳﾓｸ</t>
    </rPh>
    <rPh sb="2" eb="3">
      <t>ﾒｲ</t>
    </rPh>
    <phoneticPr fontId="18" type="noConversion"/>
  </si>
  <si>
    <t>テストケース</t>
    <phoneticPr fontId="18" type="noConversion"/>
  </si>
  <si>
    <t>チェックポイント</t>
    <phoneticPr fontId="18" type="noConversion"/>
  </si>
  <si>
    <t>確認資料</t>
    <rPh sb="0" eb="4">
      <t>ｶｸﾆﾝｼﾘｮｳ</t>
    </rPh>
    <phoneticPr fontId="18" type="noConversion"/>
  </si>
  <si>
    <t>生成AI/手動</t>
    <rPh sb="0" eb="2">
      <t>ｾｲｾｲ</t>
    </rPh>
    <rPh sb="5" eb="7">
      <t>ｼｭﾄﾞｳ</t>
    </rPh>
    <phoneticPr fontId="18" type="noConversion"/>
  </si>
  <si>
    <t>テスト方法</t>
    <rPh sb="3" eb="5">
      <t>ﾎｳﾎｳ</t>
    </rPh>
    <phoneticPr fontId="18" type="noConversion"/>
  </si>
  <si>
    <t>エビデンス
要否</t>
    <rPh sb="6" eb="8">
      <t>ﾖｳﾋ</t>
    </rPh>
    <phoneticPr fontId="18" type="noConversion"/>
  </si>
  <si>
    <t>ケース
レビュー</t>
    <phoneticPr fontId="18" type="noConversion"/>
  </si>
  <si>
    <t>テスト担当者</t>
    <rPh sb="3" eb="6">
      <t>ﾀﾝﾄｳｼｬ</t>
    </rPh>
    <phoneticPr fontId="18" type="noConversion"/>
  </si>
  <si>
    <t>テスト
結果</t>
    <rPh sb="4" eb="6">
      <t>ｹｯｶ</t>
    </rPh>
    <phoneticPr fontId="18" type="noConversion"/>
  </si>
  <si>
    <t>テスト実施
レビュー</t>
    <rPh sb="3" eb="5">
      <t>ｼﾞｯｼ</t>
    </rPh>
    <phoneticPr fontId="18" type="noConversion"/>
  </si>
  <si>
    <t>コメント</t>
    <phoneticPr fontId="18" type="noConversion"/>
  </si>
  <si>
    <t>1.引数チェック</t>
  </si>
  <si>
    <t>引数</t>
  </si>
  <si>
    <t>生成AI</t>
  </si>
  <si>
    <t>2.検索(select)</t>
  </si>
  <si>
    <t>検索</t>
  </si>
  <si>
    <t>品目マスター</t>
  </si>
  <si>
    <t>MRP情報値</t>
  </si>
  <si>
    <t>正常終了</t>
  </si>
  <si>
    <t>処理ステータス</t>
  </si>
  <si>
    <t>正常終了時の処理ステータス</t>
  </si>
  <si>
    <t>処理ステータスが0で設定されている</t>
  </si>
  <si>
    <t>SQLコード</t>
  </si>
  <si>
    <t>正常終了時のSQLコード</t>
  </si>
  <si>
    <t>エラーコード</t>
  </si>
  <si>
    <t>正常終了時のエラーコード</t>
  </si>
  <si>
    <t>エラーメッセージ</t>
  </si>
  <si>
    <t>正常終了時のエラーメッセージ</t>
  </si>
  <si>
    <t>エラーメッセージがスペースで設定されている</t>
  </si>
  <si>
    <t>エラー位置</t>
  </si>
  <si>
    <t>正常終了時のエラー位置</t>
  </si>
  <si>
    <t>エラー位置がスペースで設定されている</t>
  </si>
  <si>
    <t>SQLエラー発生時の処理ステータス</t>
  </si>
  <si>
    <t>処理ステータスが-1で設定されている</t>
  </si>
  <si>
    <t>PGMエラー発生時の処理ステータス</t>
  </si>
  <si>
    <t>処理ステータスが-2で設定されている</t>
  </si>
  <si>
    <t>エラー発生時のエラー位置</t>
  </si>
  <si>
    <t>着手日</t>
  </si>
  <si>
    <t>完了日</t>
  </si>
  <si>
    <t>引数.完了日がブランクの場合</t>
  </si>
  <si>
    <t>払出日</t>
  </si>
  <si>
    <t>SUマスタ</t>
  </si>
  <si>
    <t>指定使用者に該当する現在有効カレンダーが正常に取得されている</t>
  </si>
  <si>
    <t>日別カレンダーマスタ</t>
  </si>
  <si>
    <t>着手日に該当する稼働日区分が正常に取得されている</t>
  </si>
  <si>
    <t>完了日に該当する稼働日区分が正常に取得されている</t>
  </si>
  <si>
    <t>払出日に該当する稼働日区分が正常に取得されている</t>
  </si>
  <si>
    <t>IC工場処理日</t>
  </si>
  <si>
    <t>処理タイプ='STD'に該当するIC工場処理日が正常に取得されている</t>
  </si>
  <si>
    <t>機能オプションパラメータ</t>
  </si>
  <si>
    <t>品目マスターから品目タイプを正常に検索</t>
  </si>
  <si>
    <t>品目番号、供給者、使用者に該当する品目タイプが正常に取得されている</t>
  </si>
  <si>
    <t>稼働日チェック</t>
  </si>
  <si>
    <t>確定期間チェック</t>
  </si>
  <si>
    <t>確定期間最終日</t>
  </si>
  <si>
    <t>正常に処理されている</t>
  </si>
  <si>
    <t>処理識別='LD71'かつ着手日&gt;確定期間最終日の場合</t>
  </si>
  <si>
    <t>IC工場処理日チェック</t>
  </si>
  <si>
    <t>着手日比較チェック</t>
  </si>
  <si>
    <t>着手日・完了日</t>
  </si>
  <si>
    <t>完了日比較チェック</t>
  </si>
  <si>
    <t>払出日・完了日</t>
  </si>
  <si>
    <t>期間チェック</t>
  </si>
  <si>
    <t>着手日・払出日</t>
  </si>
  <si>
    <t>着手日と払出日の月差が6ヶ月以内の場合</t>
  </si>
  <si>
    <t>LEBS0010</t>
  </si>
  <si>
    <t>確定期間検索</t>
  </si>
  <si>
    <t>エラーが返され処理が異常終了している</t>
  </si>
  <si>
    <t>SQLコードがスペースで設定されている</t>
  </si>
  <si>
    <t>エラーコードがスペースで設定されている</t>
  </si>
  <si>
    <t>エラー位置が'LDAS0301'で設定されている</t>
  </si>
  <si>
    <t>3. 処理パターン</t>
    <phoneticPr fontId="3"/>
  </si>
  <si>
    <t>4.共通関数呼び出し</t>
    <phoneticPr fontId="3"/>
  </si>
  <si>
    <t>5. 戻り値</t>
    <phoneticPr fontId="3"/>
  </si>
  <si>
    <t>LDAS0301</t>
    <phoneticPr fontId="3"/>
  </si>
  <si>
    <t>Valid／オーダー登録日付チェック</t>
    <phoneticPr fontId="3"/>
  </si>
  <si>
    <t>要</t>
  </si>
  <si>
    <t>手動</t>
  </si>
  <si>
    <t>戻る</t>
    <rPh sb="0" eb="1">
      <t>モド</t>
    </rPh>
    <phoneticPr fontId="3"/>
  </si>
  <si>
    <t>引数チェック</t>
    <phoneticPr fontId="3"/>
  </si>
  <si>
    <t>No.</t>
    <phoneticPr fontId="3"/>
  </si>
  <si>
    <t>テスト項目</t>
    <rPh sb="3" eb="5">
      <t>コウモク</t>
    </rPh>
    <phoneticPr fontId="3"/>
  </si>
  <si>
    <t>● 仕様：</t>
    <rPh sb="2" eb="4">
      <t>シヨウ</t>
    </rPh>
    <phoneticPr fontId="3"/>
  </si>
  <si>
    <t>【実行形式】</t>
    <rPh sb="1" eb="3">
      <t>ジッコウ</t>
    </rPh>
    <rPh sb="3" eb="5">
      <t>ケイシキ</t>
    </rPh>
    <phoneticPr fontId="3"/>
  </si>
  <si>
    <t>更新日時</t>
  </si>
  <si>
    <t>更新者</t>
  </si>
  <si>
    <t>【戻り値】</t>
    <rPh sb="1" eb="2">
      <t>モド</t>
    </rPh>
    <rPh sb="3" eb="4">
      <t>チ</t>
    </rPh>
    <phoneticPr fontId="3"/>
  </si>
  <si>
    <t>rn_status</t>
  </si>
  <si>
    <t>rs_sql_code</t>
  </si>
  <si>
    <t xml:space="preserve"> </t>
  </si>
  <si>
    <t>rs_err_code</t>
  </si>
  <si>
    <t>rs_err_msg</t>
  </si>
  <si>
    <t>rs_err_code</t>
    <phoneticPr fontId="3"/>
  </si>
  <si>
    <t>テストデータ</t>
    <phoneticPr fontId="3"/>
  </si>
  <si>
    <t>色説明 ：</t>
    <rPh sb="0" eb="1">
      <t>イロ</t>
    </rPh>
    <rPh sb="1" eb="3">
      <t>セツメイ</t>
    </rPh>
    <phoneticPr fontId="3"/>
  </si>
  <si>
    <t>条件項目</t>
    <rPh sb="0" eb="2">
      <t>ジョウケン</t>
    </rPh>
    <rPh sb="2" eb="4">
      <t>コウモク</t>
    </rPh>
    <phoneticPr fontId="3"/>
  </si>
  <si>
    <t>使用しない項目</t>
    <rPh sb="0" eb="2">
      <t>シヨウ</t>
    </rPh>
    <rPh sb="5" eb="7">
      <t>コウモク</t>
    </rPh>
    <phoneticPr fontId="3"/>
  </si>
  <si>
    <t>対象外の値</t>
    <rPh sb="0" eb="3">
      <t>タイショウガイ</t>
    </rPh>
    <rPh sb="4" eb="5">
      <t>アタイ</t>
    </rPh>
    <phoneticPr fontId="3"/>
  </si>
  <si>
    <t>更新項目</t>
    <rPh sb="0" eb="2">
      <t>コウシン</t>
    </rPh>
    <rPh sb="2" eb="4">
      <t>コウモク</t>
    </rPh>
    <phoneticPr fontId="3"/>
  </si>
  <si>
    <t>追加項目</t>
    <rPh sb="0" eb="2">
      <t>ツイカ</t>
    </rPh>
    <rPh sb="2" eb="4">
      <t>コウモク</t>
    </rPh>
    <phoneticPr fontId="3"/>
  </si>
  <si>
    <t>削除項目</t>
    <rPh sb="0" eb="2">
      <t>サクジョ</t>
    </rPh>
    <rPh sb="2" eb="4">
      <t>コウモク</t>
    </rPh>
    <phoneticPr fontId="3"/>
  </si>
  <si>
    <t>検索項目</t>
    <rPh sb="0" eb="2">
      <t>ケンサク</t>
    </rPh>
    <rPh sb="2" eb="4">
      <t>コウモク</t>
    </rPh>
    <phoneticPr fontId="3"/>
  </si>
  <si>
    <t>●</t>
    <phoneticPr fontId="3"/>
  </si>
  <si>
    <t>データNo</t>
    <phoneticPr fontId="3"/>
  </si>
  <si>
    <t>抽出レコード</t>
    <rPh sb="0" eb="2">
      <t>チュウシュツ</t>
    </rPh>
    <phoneticPr fontId="3"/>
  </si>
  <si>
    <t>品目番号</t>
    <rPh sb="0" eb="2">
      <t>ヒンモク</t>
    </rPh>
    <rPh sb="2" eb="4">
      <t>バンゴウ</t>
    </rPh>
    <phoneticPr fontId="3"/>
  </si>
  <si>
    <t>供給者</t>
    <rPh sb="0" eb="3">
      <t>キョウキュウシャ</t>
    </rPh>
    <phoneticPr fontId="3"/>
  </si>
  <si>
    <t>使用者</t>
    <rPh sb="0" eb="3">
      <t>シヨウシャ</t>
    </rPh>
    <phoneticPr fontId="3"/>
  </si>
  <si>
    <t>char6</t>
    <phoneticPr fontId="3"/>
  </si>
  <si>
    <t>2</t>
    <phoneticPr fontId="3"/>
  </si>
  <si>
    <t>7</t>
    <phoneticPr fontId="3"/>
  </si>
  <si>
    <t>8</t>
    <phoneticPr fontId="3"/>
  </si>
  <si>
    <t>3</t>
    <phoneticPr fontId="3"/>
  </si>
  <si>
    <t>×</t>
    <phoneticPr fontId="3"/>
  </si>
  <si>
    <t>1</t>
    <phoneticPr fontId="3"/>
  </si>
  <si>
    <t>4</t>
    <phoneticPr fontId="3"/>
  </si>
  <si>
    <t>抽出</t>
    <rPh sb="0" eb="2">
      <t>チュウシュツ</t>
    </rPh>
    <phoneticPr fontId="3"/>
  </si>
  <si>
    <t>1</t>
  </si>
  <si>
    <t>4</t>
  </si>
  <si>
    <t>5</t>
  </si>
  <si>
    <t>8</t>
  </si>
  <si>
    <t>9</t>
  </si>
  <si>
    <t>着手日</t>
    <phoneticPr fontId="3"/>
  </si>
  <si>
    <t>确定着手日</t>
    <phoneticPr fontId="21" type="noConversion"/>
  </si>
  <si>
    <t>1~2</t>
    <phoneticPr fontId="21" type="noConversion"/>
  </si>
  <si>
    <t>引数.着手日がブランクの場合</t>
    <phoneticPr fontId="3"/>
  </si>
  <si>
    <t>引数.着手日がブランクの場合</t>
    <phoneticPr fontId="21" type="noConversion"/>
  </si>
  <si>
    <t>引数.着手日がNULLの場合</t>
    <phoneticPr fontId="3"/>
  </si>
  <si>
    <t>引数.着手日がNULLの場合</t>
    <phoneticPr fontId="21" type="noConversion"/>
  </si>
  <si>
    <t>select * from LDAS0301('LD11',null,'20250609','20250610','3HT1471TR00080','6206','6206','3');</t>
    <phoneticPr fontId="21" type="noConversion"/>
  </si>
  <si>
    <t>rs_err_focus</t>
  </si>
  <si>
    <t>Specify Start Date.</t>
  </si>
  <si>
    <t>3~4</t>
    <phoneticPr fontId="21" type="noConversion"/>
  </si>
  <si>
    <t>完了日</t>
    <phoneticPr fontId="3"/>
  </si>
  <si>
    <t>确定完了日</t>
    <phoneticPr fontId="21" type="noConversion"/>
  </si>
  <si>
    <t>引数.完了日がブランクの場合</t>
    <phoneticPr fontId="21" type="noConversion"/>
  </si>
  <si>
    <t>引数.完了日がNULLの場合</t>
    <phoneticPr fontId="3"/>
  </si>
  <si>
    <t>引数.完了日がNULLの場合</t>
    <phoneticPr fontId="21" type="noConversion"/>
  </si>
  <si>
    <t>【実行形式】</t>
    <rPh sb="1" eb="3">
      <t>ｼﾞッコウ</t>
    </rPh>
    <rPh sb="3" eb="5">
      <t>ケイシキ</t>
    </rPh>
    <phoneticPr fontId="21" type="noConversion"/>
  </si>
  <si>
    <t>select * from LDAS0301('LD11','20250109',' ','20250610','3HT1471TR00080','6206','6206','3');</t>
    <phoneticPr fontId="21" type="noConversion"/>
  </si>
  <si>
    <t>【戻り値】</t>
    <rPh sb="1" eb="2">
      <t>モﾄﾞ</t>
    </rPh>
    <rPh sb="3" eb="4">
      <t>チ</t>
    </rPh>
    <phoneticPr fontId="21" type="noConversion"/>
  </si>
  <si>
    <t>rn_status</t>
    <phoneticPr fontId="21" type="noConversion"/>
  </si>
  <si>
    <t>rs_sql_code</t>
    <phoneticPr fontId="21" type="noConversion"/>
  </si>
  <si>
    <t>rs_err_code</t>
    <phoneticPr fontId="21" type="noConversion"/>
  </si>
  <si>
    <t>rs_err_msg</t>
    <phoneticPr fontId="21" type="noConversion"/>
  </si>
  <si>
    <t>rs_err_focus</t>
    <phoneticPr fontId="21" type="noConversion"/>
  </si>
  <si>
    <t>select * from LDAS0301('LD11','20250109',NULL,'20250610','3HT1471TR00080','6206','6206','3');</t>
    <phoneticPr fontId="21" type="noConversion"/>
  </si>
  <si>
    <t>5~6</t>
    <phoneticPr fontId="21" type="noConversion"/>
  </si>
  <si>
    <t>払出日</t>
    <phoneticPr fontId="3"/>
  </si>
  <si>
    <t>确定払出日</t>
    <phoneticPr fontId="21" type="noConversion"/>
  </si>
  <si>
    <t>select * from LDAS0301('LD11','20250109','20250609',' ','3HT1471TR00080','6206','6206','3');</t>
    <phoneticPr fontId="21" type="noConversion"/>
  </si>
  <si>
    <t>select * from LDAS0301('LD11','20250109','20250609',null,'3HT1471TR00080','6206','6206','3');</t>
    <phoneticPr fontId="21" type="noConversion"/>
  </si>
  <si>
    <t>引数.払出日がブランクの場合</t>
    <phoneticPr fontId="3"/>
  </si>
  <si>
    <t>引数.払出日がブランクの場合</t>
    <phoneticPr fontId="21" type="noConversion"/>
  </si>
  <si>
    <t>引数.払出日がNULLの場合</t>
    <phoneticPr fontId="3"/>
  </si>
  <si>
    <t>引数.払出日がNULLの場合</t>
    <phoneticPr fontId="21" type="noConversion"/>
  </si>
  <si>
    <t>su_code</t>
  </si>
  <si>
    <t>area_category</t>
  </si>
  <si>
    <t>calendar_code</t>
  </si>
  <si>
    <t>next_calendar_code</t>
  </si>
  <si>
    <t>airs_sign</t>
  </si>
  <si>
    <t>fix_period_id</t>
  </si>
  <si>
    <t>yushi_factor</t>
  </si>
  <si>
    <t>warehouse_sign</t>
  </si>
  <si>
    <t>sr_exception_sign</t>
  </si>
  <si>
    <t>area_code</t>
  </si>
  <si>
    <t>update_counter</t>
  </si>
  <si>
    <t>create_datetime</t>
  </si>
  <si>
    <t>create_author</t>
  </si>
  <si>
    <t>create_pgmid</t>
  </si>
  <si>
    <t>update_datetime</t>
  </si>
  <si>
    <t>update_author</t>
  </si>
  <si>
    <t>update_pgmid</t>
  </si>
  <si>
    <t xml:space="preserve">       SUマスタ（la_area_master_su）</t>
    <rPh sb="11" eb="13">
      <t>ユニュウ</t>
    </rPh>
    <rPh sb="13" eb="15">
      <t>ブヒン</t>
    </rPh>
    <phoneticPr fontId="3"/>
  </si>
  <si>
    <t>エリアカテゴリ</t>
  </si>
  <si>
    <t>現在有効カレンダー</t>
  </si>
  <si>
    <t>次回有効カレンダー</t>
  </si>
  <si>
    <t>AIRSサイン</t>
  </si>
  <si>
    <t>確定期間ID</t>
  </si>
  <si>
    <t>有支上乗率</t>
  </si>
  <si>
    <t>倉庫区分</t>
    <phoneticPr fontId="3"/>
  </si>
  <si>
    <t>SR作成対象外区分</t>
    <rPh sb="4" eb="5">
      <t>スウ</t>
    </rPh>
    <phoneticPr fontId="3"/>
  </si>
  <si>
    <t>エリアコード</t>
    <phoneticPr fontId="3"/>
  </si>
  <si>
    <t>更新カウンタ</t>
  </si>
  <si>
    <t>登録日時</t>
  </si>
  <si>
    <t>登録者</t>
  </si>
  <si>
    <t>登録PGID</t>
  </si>
  <si>
    <t>更新PGID</t>
  </si>
  <si>
    <t>varchar(4)</t>
  </si>
  <si>
    <t>varchar(2)</t>
  </si>
  <si>
    <t>varchar(2)</t>
    <phoneticPr fontId="21" type="noConversion"/>
  </si>
  <si>
    <t>varchar(1)</t>
  </si>
  <si>
    <t>numeric(4, 1)</t>
  </si>
  <si>
    <t>varchar(10)</t>
  </si>
  <si>
    <t>int4</t>
  </si>
  <si>
    <t>timestamp(6)</t>
  </si>
  <si>
    <t>varchar(20)</t>
  </si>
  <si>
    <t>処理</t>
    <phoneticPr fontId="3"/>
  </si>
  <si>
    <t>検索1</t>
    <phoneticPr fontId="3"/>
  </si>
  <si>
    <r>
      <t>検索</t>
    </r>
    <r>
      <rPr>
        <b/>
        <sz val="10"/>
        <color rgb="FFFFFFFF"/>
        <rFont val="Meiryo UI"/>
        <family val="2"/>
      </rPr>
      <t>2</t>
    </r>
    <phoneticPr fontId="3"/>
  </si>
  <si>
    <r>
      <t>検索</t>
    </r>
    <r>
      <rPr>
        <b/>
        <sz val="10"/>
        <color rgb="FFFFFFFF"/>
        <rFont val="Meiryo UI"/>
        <family val="2"/>
      </rPr>
      <t>3</t>
    </r>
    <phoneticPr fontId="3"/>
  </si>
  <si>
    <t>正常終了</t>
    <phoneticPr fontId="3"/>
  </si>
  <si>
    <t>【実行形式】</t>
    <phoneticPr fontId="3"/>
  </si>
  <si>
    <r>
      <t>(BOM)品目マスタ</t>
    </r>
    <r>
      <rPr>
        <sz val="11"/>
        <color rgb="FFFFFFFF"/>
        <rFont val="Meiryo UI"/>
        <family val="2"/>
      </rPr>
      <t>(la_itemmast)</t>
    </r>
    <rPh sb="11" eb="13">
      <t>ユニュウ</t>
    </rPh>
    <rPh sb="13" eb="15">
      <t>ブヒン</t>
    </rPh>
    <phoneticPr fontId="3"/>
  </si>
  <si>
    <t>品目タイプ</t>
  </si>
  <si>
    <t>品目クラス</t>
  </si>
  <si>
    <t>品目サブクラス</t>
    <phoneticPr fontId="21" type="noConversion"/>
  </si>
  <si>
    <t>品目ステータス</t>
  </si>
  <si>
    <t>重量</t>
  </si>
  <si>
    <t>付加重量</t>
    <phoneticPr fontId="21" type="noConversion"/>
  </si>
  <si>
    <t>部品表担当</t>
  </si>
  <si>
    <t>工程番号</t>
    <phoneticPr fontId="21" type="noConversion"/>
  </si>
  <si>
    <t>フリーコメント</t>
    <phoneticPr fontId="21" type="noConversion"/>
  </si>
  <si>
    <t>サービスパーツコード</t>
  </si>
  <si>
    <t>初ロット年月日</t>
  </si>
  <si>
    <t>ロウレベルコード</t>
  </si>
  <si>
    <t>現在STS更新日</t>
    <phoneticPr fontId="21" type="noConversion"/>
  </si>
  <si>
    <t>現在STS更新者</t>
  </si>
  <si>
    <t>STS更新履歴１</t>
  </si>
  <si>
    <r>
      <t>STS更新履歴</t>
    </r>
    <r>
      <rPr>
        <sz val="9"/>
        <rFont val="Meiryo UI"/>
        <family val="2"/>
      </rPr>
      <t>2</t>
    </r>
    <phoneticPr fontId="21" type="noConversion"/>
  </si>
  <si>
    <t>STS更新履歴３</t>
    <rPh sb="0" eb="2">
      <t>チャクシュ</t>
    </rPh>
    <rPh sb="2" eb="3">
      <t>ビ</t>
    </rPh>
    <phoneticPr fontId="3"/>
  </si>
  <si>
    <t>使用禁止サイン</t>
  </si>
  <si>
    <t>itemno</t>
  </si>
  <si>
    <t>supplier</t>
  </si>
  <si>
    <t>usercd</t>
  </si>
  <si>
    <t>item_type</t>
  </si>
  <si>
    <t>item_class</t>
  </si>
  <si>
    <t>item_class_sub</t>
  </si>
  <si>
    <t>item_status</t>
  </si>
  <si>
    <t>weight</t>
  </si>
  <si>
    <t>add_weight</t>
  </si>
  <si>
    <t>bom_charge_code</t>
  </si>
  <si>
    <t>process_no</t>
  </si>
  <si>
    <t>free_comment</t>
  </si>
  <si>
    <t>service_parts_code</t>
  </si>
  <si>
    <t>primary_lot_ymd</t>
  </si>
  <si>
    <t>low_level_code</t>
  </si>
  <si>
    <t>cur_status_ymd</t>
  </si>
  <si>
    <t>cur_status_usr</t>
  </si>
  <si>
    <t>status_history1</t>
  </si>
  <si>
    <t>status_history2</t>
  </si>
  <si>
    <t>status_history3</t>
  </si>
  <si>
    <t>discontinue_sign</t>
  </si>
  <si>
    <t>varchar(30)</t>
    <phoneticPr fontId="21" type="noConversion"/>
  </si>
  <si>
    <t>varchar(1)</t>
    <phoneticPr fontId="21" type="noConversion"/>
  </si>
  <si>
    <t>numeric(15, 5)</t>
  </si>
  <si>
    <t>numeric(15, 5)</t>
    <phoneticPr fontId="21" type="noConversion"/>
  </si>
  <si>
    <t>varchar(64)</t>
  </si>
  <si>
    <t>varchar(8)</t>
  </si>
  <si>
    <t>numeric(3)</t>
  </si>
  <si>
    <t>varchar(19)</t>
  </si>
  <si>
    <t>varchar(19)</t>
    <phoneticPr fontId="21" type="noConversion"/>
  </si>
  <si>
    <t>timestamp(6)</t>
    <phoneticPr fontId="21" type="noConversion"/>
  </si>
  <si>
    <t>検索対象</t>
    <phoneticPr fontId="3"/>
  </si>
  <si>
    <t>2</t>
  </si>
  <si>
    <t>0</t>
  </si>
  <si>
    <t>00</t>
  </si>
  <si>
    <t>10</t>
  </si>
  <si>
    <t>検索対象外</t>
    <phoneticPr fontId="3"/>
  </si>
  <si>
    <t>100</t>
  </si>
  <si>
    <t>04</t>
  </si>
  <si>
    <t>品目番号</t>
    <phoneticPr fontId="3"/>
  </si>
  <si>
    <t>供給者</t>
    <phoneticPr fontId="3"/>
  </si>
  <si>
    <t>使用者</t>
    <phoneticPr fontId="3"/>
  </si>
  <si>
    <t>品目サブクラス</t>
  </si>
  <si>
    <t>MRP需要方針コード</t>
  </si>
  <si>
    <t>Wビン管理コード</t>
  </si>
  <si>
    <t>シンクロ管理コード</t>
  </si>
  <si>
    <t>投入作業区</t>
  </si>
  <si>
    <t>負荷集計コード</t>
  </si>
  <si>
    <t>納入PF番号</t>
  </si>
  <si>
    <t>格納ロケーション</t>
  </si>
  <si>
    <t>発注方針コード</t>
  </si>
  <si>
    <t>最小指定期間</t>
  </si>
  <si>
    <t>最小指定数量</t>
  </si>
  <si>
    <t>最大指定期間</t>
  </si>
  <si>
    <t>最大指定数量</t>
  </si>
  <si>
    <t>倍数数量</t>
    <rPh sb="0" eb="4">
      <t>クブン</t>
    </rPh>
    <phoneticPr fontId="3"/>
  </si>
  <si>
    <t>ロット編成端数フラグ</t>
    <rPh sb="0" eb="3">
      <t>タントウカ</t>
    </rPh>
    <phoneticPr fontId="3"/>
  </si>
  <si>
    <t>製造中仕損率</t>
    <rPh sb="0" eb="3">
      <t>タントウシャ</t>
    </rPh>
    <phoneticPr fontId="3"/>
  </si>
  <si>
    <t>使用中仕損率</t>
    <rPh sb="0" eb="2">
      <t>ハイフ</t>
    </rPh>
    <rPh sb="2" eb="5">
      <t>タントウカ</t>
    </rPh>
    <phoneticPr fontId="3"/>
  </si>
  <si>
    <t>シフト分割数</t>
  </si>
  <si>
    <t>シフトパターン番号</t>
  </si>
  <si>
    <t>荷姿コード</t>
  </si>
  <si>
    <t>荷姿収容数</t>
  </si>
  <si>
    <t>リードタイム適用日</t>
  </si>
  <si>
    <t>製造リードタイム</t>
  </si>
  <si>
    <t>先行リードタイム</t>
  </si>
  <si>
    <t>製造シフトリードタイム</t>
  </si>
  <si>
    <t>先行シフトリードタイム</t>
  </si>
  <si>
    <t>適用後製造リードタイム</t>
    <rPh sb="0" eb="2">
      <t>ノウキ</t>
    </rPh>
    <rPh sb="2" eb="4">
      <t>シジ</t>
    </rPh>
    <rPh sb="4" eb="6">
      <t>クブン</t>
    </rPh>
    <phoneticPr fontId="3"/>
  </si>
  <si>
    <t>適用後先行リードタイムサイン</t>
    <rPh sb="0" eb="2">
      <t>ジドウ</t>
    </rPh>
    <phoneticPr fontId="3"/>
  </si>
  <si>
    <t>適用後製造シフトリードタイム</t>
    <rPh sb="2" eb="4">
      <t>サクセイ</t>
    </rPh>
    <phoneticPr fontId="3"/>
  </si>
  <si>
    <t>適用後先行シフトリードタイム連係区分</t>
    <rPh sb="6" eb="7">
      <t>レン</t>
    </rPh>
    <rPh sb="7" eb="8">
      <t>カカ</t>
    </rPh>
    <rPh sb="8" eb="10">
      <t>クブン</t>
    </rPh>
    <phoneticPr fontId="3"/>
  </si>
  <si>
    <t>AIRSサイン</t>
    <rPh sb="0" eb="2">
      <t>ツウカ</t>
    </rPh>
    <phoneticPr fontId="3"/>
  </si>
  <si>
    <t>出荷連絡サイン</t>
    <rPh sb="0" eb="2">
      <t>トウロク</t>
    </rPh>
    <rPh sb="2" eb="4">
      <t>ニチジ</t>
    </rPh>
    <phoneticPr fontId="3"/>
  </si>
  <si>
    <t>外部計画区分</t>
    <rPh sb="0" eb="3">
      <t>トウロクシャ</t>
    </rPh>
    <phoneticPr fontId="3"/>
  </si>
  <si>
    <t>検査区分</t>
    <rPh sb="0" eb="2">
      <t>コウシン</t>
    </rPh>
    <rPh sb="2" eb="4">
      <t>ニチジ</t>
    </rPh>
    <phoneticPr fontId="3"/>
  </si>
  <si>
    <t>確定期間ID</t>
    <rPh sb="0" eb="3">
      <t>コウシンシャ</t>
    </rPh>
    <phoneticPr fontId="3"/>
  </si>
  <si>
    <t>集荷情報コード</t>
  </si>
  <si>
    <t>MAT採用レベル</t>
  </si>
  <si>
    <t>変動安全在庫数</t>
  </si>
  <si>
    <t>再発注点</t>
  </si>
  <si>
    <t>変動安全在庫所要量確認サイン</t>
    <phoneticPr fontId="3"/>
  </si>
  <si>
    <t>固定安全在庫数</t>
    <phoneticPr fontId="3"/>
  </si>
  <si>
    <t>固定安全在庫比率</t>
  </si>
  <si>
    <t>所要量出庫管理コード</t>
    <phoneticPr fontId="3"/>
  </si>
  <si>
    <t>通し番号発注適用フラグ</t>
  </si>
  <si>
    <t>オーダー再作成区分</t>
  </si>
  <si>
    <t>demand_policy_code</t>
  </si>
  <si>
    <t>wbin_control_code</t>
  </si>
  <si>
    <t>synchro_control_code</t>
  </si>
  <si>
    <t>input_work_center</t>
  </si>
  <si>
    <t>load_sum_code</t>
  </si>
  <si>
    <t>deliv_pf_no</t>
  </si>
  <si>
    <t>stock_location_no</t>
  </si>
  <si>
    <t>order_policy_code</t>
  </si>
  <si>
    <t>minimum_period</t>
  </si>
  <si>
    <t>minimum_qty</t>
  </si>
  <si>
    <t>maximum_period</t>
  </si>
  <si>
    <t>maximum_qty</t>
  </si>
  <si>
    <t>multiple_qty</t>
  </si>
  <si>
    <t>lot_size_fraction_flg</t>
  </si>
  <si>
    <t>manuf_scrap_ratio</t>
  </si>
  <si>
    <t>use_scrap_ratio</t>
  </si>
  <si>
    <t>shift_division_no</t>
  </si>
  <si>
    <t>shift_pattern_no</t>
  </si>
  <si>
    <t>tote_code</t>
  </si>
  <si>
    <t>tote_qty</t>
  </si>
  <si>
    <t>lt_effect_date</t>
  </si>
  <si>
    <t>manuf_lt</t>
  </si>
  <si>
    <t>precede_lt</t>
  </si>
  <si>
    <t>manuf_shift_lt</t>
  </si>
  <si>
    <t>precede_shift_lt</t>
  </si>
  <si>
    <t>effect_manuf_lt</t>
  </si>
  <si>
    <t>effect_precede_lt</t>
  </si>
  <si>
    <t>effect_manuf_shift_lt</t>
  </si>
  <si>
    <t>effect_precede_shift_lt</t>
  </si>
  <si>
    <t>shipping_notice_sign</t>
  </si>
  <si>
    <t>external_plan_class</t>
  </si>
  <si>
    <t>inspection_class</t>
  </si>
  <si>
    <t>collect_info_code</t>
  </si>
  <si>
    <t>mat_used_level</t>
  </si>
  <si>
    <t>float_safety_stock_qty</t>
  </si>
  <si>
    <t>reorder_point</t>
  </si>
  <si>
    <t>float_safety_stock_req_sign</t>
  </si>
  <si>
    <t>fix_safety_stock_qty</t>
  </si>
  <si>
    <t>fix_safety_stock_ratio</t>
  </si>
  <si>
    <t>req_issue_control</t>
  </si>
  <si>
    <t>through_no_valid_flg</t>
  </si>
  <si>
    <t>order_recreate_class</t>
  </si>
  <si>
    <r>
      <t>varchar</t>
    </r>
    <r>
      <rPr>
        <sz val="9"/>
        <rFont val="Meiryo UI"/>
        <family val="2"/>
      </rPr>
      <t>(4</t>
    </r>
    <r>
      <rPr>
        <sz val="9"/>
        <rFont val="Meiryo UI"/>
        <family val="3"/>
        <charset val="128"/>
      </rPr>
      <t>)</t>
    </r>
    <phoneticPr fontId="3"/>
  </si>
  <si>
    <t>varchar(3)</t>
  </si>
  <si>
    <t>varchar(5)</t>
  </si>
  <si>
    <t>numeric(5, 3)</t>
  </si>
  <si>
    <t>numeric(2)</t>
  </si>
  <si>
    <t>numeric(15, 5)</t>
    <phoneticPr fontId="3"/>
  </si>
  <si>
    <t>3</t>
  </si>
  <si>
    <t>D</t>
  </si>
  <si>
    <t>999</t>
  </si>
  <si>
    <t>C</t>
  </si>
  <si>
    <t>LA0DS02</t>
  </si>
  <si>
    <t>rn_status</t>
    <phoneticPr fontId="3"/>
  </si>
  <si>
    <t>rs_sql_code</t>
    <phoneticPr fontId="3"/>
  </si>
  <si>
    <t>rs_err_msg</t>
    <phoneticPr fontId="3"/>
  </si>
  <si>
    <t>rs_err_focus</t>
    <phoneticPr fontId="3"/>
  </si>
  <si>
    <t xml:space="preserve"> </t>
    <phoneticPr fontId="3"/>
  </si>
  <si>
    <t>SUマスタから現在有効カレンダーを正常に検索</t>
    <phoneticPr fontId="3"/>
  </si>
  <si>
    <t>select * from LDAS0301('LD11','20250109','20250609','20250610','3HT1471TR00080','6206','6206','3');</t>
  </si>
  <si>
    <t>6206</t>
  </si>
  <si>
    <t>56</t>
  </si>
  <si>
    <t>05</t>
  </si>
  <si>
    <t>01</t>
  </si>
  <si>
    <t>0006206</t>
  </si>
  <si>
    <t>1999-09-10 00:00:00.000</t>
  </si>
  <si>
    <t xml:space="preserve">CONV   </t>
  </si>
  <si>
    <t>2004-12-23 00:01:50.000</t>
  </si>
  <si>
    <t>LA0I0TE</t>
  </si>
  <si>
    <t>SUコード</t>
    <phoneticPr fontId="3"/>
  </si>
  <si>
    <t>6200</t>
  </si>
  <si>
    <t>03</t>
  </si>
  <si>
    <t>100.0</t>
  </si>
  <si>
    <t>0006200</t>
  </si>
  <si>
    <t>2013-10-25 00:16:27.000</t>
  </si>
  <si>
    <t>6204</t>
  </si>
  <si>
    <t>0006204</t>
  </si>
  <si>
    <t>2009-10-21 20:52:36.000</t>
  </si>
  <si>
    <t>LA0IA07</t>
  </si>
  <si>
    <t>6205</t>
  </si>
  <si>
    <t>0006205</t>
  </si>
  <si>
    <t>1</t>
    <phoneticPr fontId="21" type="noConversion"/>
  </si>
  <si>
    <t>2</t>
    <phoneticPr fontId="21" type="noConversion"/>
  </si>
  <si>
    <t>3</t>
    <phoneticPr fontId="21" type="noConversion"/>
  </si>
  <si>
    <t>4</t>
    <phoneticPr fontId="21" type="noConversion"/>
  </si>
  <si>
    <t>SUマスタでデータが存在しない場合</t>
    <phoneticPr fontId="3"/>
  </si>
  <si>
    <t>異常終了</t>
    <phoneticPr fontId="3"/>
  </si>
  <si>
    <r>
      <t>戻り値</t>
    </r>
    <r>
      <rPr>
        <b/>
        <sz val="10"/>
        <color rgb="FFFFFFFF"/>
        <rFont val="Meiryo UI"/>
        <family val="2"/>
      </rPr>
      <t>1~5</t>
    </r>
    <phoneticPr fontId="3"/>
  </si>
  <si>
    <t>Effective calendar does not exist by the specified Supplier/User.</t>
  </si>
  <si>
    <t>LDAS0301</t>
  </si>
  <si>
    <t>select * from LDAS0301('LD11','20250109','20250609','20250610','3HT1471TR00080','6206','6203','3');</t>
    <phoneticPr fontId="3"/>
  </si>
  <si>
    <t xml:space="preserve">      日別カレンダーマスター(D)（le_mst_calendar_sum）</t>
    <phoneticPr fontId="3"/>
  </si>
  <si>
    <t>calendar_ym</t>
  </si>
  <si>
    <t>day_type</t>
  </si>
  <si>
    <t>カレンダー年月</t>
  </si>
  <si>
    <t>稼働日区分</t>
  </si>
  <si>
    <t>int4</t>
    <phoneticPr fontId="21" type="noConversion"/>
  </si>
  <si>
    <t>varchar(6)</t>
  </si>
  <si>
    <t>su_code</t>
    <phoneticPr fontId="3"/>
  </si>
  <si>
    <t>varchar(4)</t>
    <phoneticPr fontId="3"/>
  </si>
  <si>
    <t>カレンダーコード</t>
    <phoneticPr fontId="3"/>
  </si>
  <si>
    <t>カレンダー年月日</t>
    <phoneticPr fontId="3"/>
  </si>
  <si>
    <t>calendar_code</t>
    <phoneticPr fontId="3"/>
  </si>
  <si>
    <t>varchar(2)</t>
    <phoneticPr fontId="3"/>
  </si>
  <si>
    <t>calendar_ymd</t>
    <phoneticPr fontId="3"/>
  </si>
  <si>
    <t>varchar(8)</t>
    <phoneticPr fontId="3"/>
  </si>
  <si>
    <t>202501</t>
  </si>
  <si>
    <t>20250109</t>
  </si>
  <si>
    <t>2023-01-07 01:01:05.000</t>
  </si>
  <si>
    <t>COMMON</t>
  </si>
  <si>
    <t>2023-11-02 12:52:04.000</t>
  </si>
  <si>
    <t>0479542</t>
  </si>
  <si>
    <t>02</t>
  </si>
  <si>
    <t>着手日の稼働日区分を正常に検索</t>
    <phoneticPr fontId="3"/>
  </si>
  <si>
    <r>
      <t>検索</t>
    </r>
    <r>
      <rPr>
        <b/>
        <sz val="10"/>
        <color rgb="FFFFFFFF"/>
        <rFont val="Meiryo UI"/>
        <family val="2"/>
      </rPr>
      <t>4</t>
    </r>
    <phoneticPr fontId="3"/>
  </si>
  <si>
    <r>
      <t>検索</t>
    </r>
    <r>
      <rPr>
        <b/>
        <sz val="10"/>
        <color rgb="FFFFFFFF"/>
        <rFont val="Meiryo UI"/>
        <family val="2"/>
      </rPr>
      <t>5</t>
    </r>
    <phoneticPr fontId="3"/>
  </si>
  <si>
    <r>
      <t>検索</t>
    </r>
    <r>
      <rPr>
        <b/>
        <sz val="10"/>
        <color rgb="FFFFFFFF"/>
        <rFont val="Meiryo UI"/>
        <family val="2"/>
      </rPr>
      <t>7</t>
    </r>
    <phoneticPr fontId="3"/>
  </si>
  <si>
    <t>完了日の稼働日区分を正常に検索</t>
    <phoneticPr fontId="3"/>
  </si>
  <si>
    <t>払出日の稼働日区分を正常に検索</t>
    <phoneticPr fontId="3"/>
  </si>
  <si>
    <r>
      <t>検索</t>
    </r>
    <r>
      <rPr>
        <b/>
        <sz val="10"/>
        <color rgb="FFFFFFFF"/>
        <rFont val="Meiryo UI"/>
        <family val="2"/>
      </rPr>
      <t>6</t>
    </r>
    <phoneticPr fontId="3"/>
  </si>
  <si>
    <t>完了日がカレンダーに存在しない場合</t>
    <phoneticPr fontId="3"/>
  </si>
  <si>
    <t>select * from LDAS0301('LD11','20250131','20250632','20250610','3HT1471TR00080','6206','6206','3');</t>
    <phoneticPr fontId="3"/>
  </si>
  <si>
    <r>
      <t>検索</t>
    </r>
    <r>
      <rPr>
        <b/>
        <sz val="10"/>
        <color rgb="FFFFFFFF"/>
        <rFont val="Meiryo UI"/>
        <family val="2"/>
      </rPr>
      <t>8</t>
    </r>
    <phoneticPr fontId="3"/>
  </si>
  <si>
    <t>払出日がカレンダーに存在しない場合</t>
    <phoneticPr fontId="3"/>
  </si>
  <si>
    <r>
      <t>MRP情報値</t>
    </r>
    <r>
      <rPr>
        <sz val="11"/>
        <color rgb="FFFFFFFF"/>
        <rFont val="Meiryo UI"/>
        <family val="2"/>
      </rPr>
      <t>(le_mst_mrp_information)</t>
    </r>
    <phoneticPr fontId="3"/>
  </si>
  <si>
    <t>3HT1471TR00080</t>
  </si>
  <si>
    <t>0.00000</t>
  </si>
  <si>
    <t>9999999.00000</t>
  </si>
  <si>
    <t>1.00000</t>
  </si>
  <si>
    <t>0.000</t>
  </si>
  <si>
    <t>1234</t>
  </si>
  <si>
    <t>2345</t>
  </si>
  <si>
    <r>
      <t>検索</t>
    </r>
    <r>
      <rPr>
        <b/>
        <sz val="10"/>
        <color rgb="FFFFFFFF"/>
        <rFont val="Meiryo UI"/>
        <family val="2"/>
      </rPr>
      <t>9</t>
    </r>
    <phoneticPr fontId="3"/>
  </si>
  <si>
    <t>MRP情報値から確定期間IDを正常に検索</t>
    <phoneticPr fontId="3"/>
  </si>
  <si>
    <t>select * from LDAS0301('LD11','20250131','20250609','20250632','3HT1471TR00080','6206','6206','3');</t>
    <phoneticPr fontId="3"/>
  </si>
  <si>
    <t xml:space="preserve">      IC工場処理日（ld_mst_slip_date）</t>
    <phoneticPr fontId="3"/>
  </si>
  <si>
    <t>operation_type</t>
  </si>
  <si>
    <t>ic_slip_date</t>
  </si>
  <si>
    <t>base_datetime</t>
  </si>
  <si>
    <t>処理タイプ</t>
  </si>
  <si>
    <t>基点システム日時</t>
  </si>
  <si>
    <t>STD</t>
  </si>
  <si>
    <t>20250601</t>
  </si>
  <si>
    <t>2025-06-01 00:00:00.000</t>
  </si>
  <si>
    <t>yin-huashun</t>
  </si>
  <si>
    <t>lea12_01</t>
  </si>
  <si>
    <t>TEST001</t>
  </si>
  <si>
    <t>20251010</t>
  </si>
  <si>
    <t>2025-10-10 00:00:00.000</t>
  </si>
  <si>
    <t>13</t>
  </si>
  <si>
    <t>2025-10-16 11:20:36.514</t>
  </si>
  <si>
    <t>Zhang yulin</t>
  </si>
  <si>
    <t>ldys0011</t>
  </si>
  <si>
    <t>2025-10-17 16:08:42.275</t>
  </si>
  <si>
    <t>LDYS0011</t>
  </si>
  <si>
    <t>TEST002</t>
  </si>
  <si>
    <t>20250602</t>
  </si>
  <si>
    <t>2025-06-02 00:00:00.000</t>
  </si>
  <si>
    <t>Sun sheng</t>
  </si>
  <si>
    <t>ldys0012</t>
  </si>
  <si>
    <t>SunSheng</t>
  </si>
  <si>
    <t>TEST003</t>
  </si>
  <si>
    <t>LDYS0012</t>
  </si>
  <si>
    <t>検索11</t>
    <phoneticPr fontId="3"/>
  </si>
  <si>
    <t>IC工場処理日を正常に検索</t>
    <phoneticPr fontId="3"/>
  </si>
  <si>
    <r>
      <t>検索</t>
    </r>
    <r>
      <rPr>
        <b/>
        <sz val="10"/>
        <color rgb="FFFFFFFF"/>
        <rFont val="Meiryo UI"/>
        <family val="2"/>
      </rPr>
      <t>12</t>
    </r>
    <phoneticPr fontId="3"/>
  </si>
  <si>
    <t>IC工場処理日が存在しない場合</t>
    <phoneticPr fontId="3"/>
  </si>
  <si>
    <t xml:space="preserve">      機能オプションパラメータ（lz_function_parameter）</t>
    <phoneticPr fontId="3"/>
  </si>
  <si>
    <t>システムコード</t>
    <phoneticPr fontId="3"/>
  </si>
  <si>
    <t>機能識別ＩＤ</t>
  </si>
  <si>
    <t>オプションコード</t>
  </si>
  <si>
    <t>オプション名称</t>
  </si>
  <si>
    <t>選択フラグ</t>
  </si>
  <si>
    <t>パラメーター１</t>
    <phoneticPr fontId="3"/>
  </si>
  <si>
    <t>パラメーター２</t>
  </si>
  <si>
    <t>パラメーター３</t>
  </si>
  <si>
    <t>system_code</t>
  </si>
  <si>
    <t>function_id</t>
  </si>
  <si>
    <t>option_code</t>
  </si>
  <si>
    <t>option_name</t>
  </si>
  <si>
    <t>select_flg</t>
  </si>
  <si>
    <t>replace_value1</t>
  </si>
  <si>
    <t>replace_value2</t>
  </si>
  <si>
    <t>replace_value3</t>
  </si>
  <si>
    <t>varchar(10)</t>
    <phoneticPr fontId="3"/>
  </si>
  <si>
    <t>varchar(60)</t>
  </si>
  <si>
    <t>varchar(1)</t>
    <phoneticPr fontId="3"/>
  </si>
  <si>
    <t>varchar(100)</t>
  </si>
  <si>
    <t>LK</t>
  </si>
  <si>
    <t>LKA0001</t>
  </si>
  <si>
    <t>0001</t>
  </si>
  <si>
    <t>T</t>
  </si>
  <si>
    <t>LH</t>
  </si>
  <si>
    <t>LHY00006</t>
  </si>
  <si>
    <t>F</t>
  </si>
  <si>
    <t>2025-09-23 12:23:33.000</t>
  </si>
  <si>
    <t>JBZ</t>
  </si>
  <si>
    <t>hand</t>
  </si>
  <si>
    <t>LC</t>
  </si>
  <si>
    <t>LCB0001</t>
  </si>
  <si>
    <t>検索13</t>
    <phoneticPr fontId="3"/>
  </si>
  <si>
    <t>機能選択（過去オーダー登録許可）を正常に検索</t>
    <phoneticPr fontId="3"/>
  </si>
  <si>
    <t>LCB0002</t>
  </si>
  <si>
    <t>LCB0003</t>
  </si>
  <si>
    <r>
      <t>検索</t>
    </r>
    <r>
      <rPr>
        <b/>
        <sz val="10"/>
        <color rgb="FFFFFFFF"/>
        <rFont val="Meiryo UI"/>
        <family val="2"/>
      </rPr>
      <t>14</t>
    </r>
    <phoneticPr fontId="3"/>
  </si>
  <si>
    <t>機能選択のデータが存在しない場合</t>
    <phoneticPr fontId="3"/>
  </si>
  <si>
    <t>20091117</t>
  </si>
  <si>
    <t>320091017</t>
  </si>
  <si>
    <t>220090220</t>
  </si>
  <si>
    <t>検索15</t>
    <phoneticPr fontId="3"/>
  </si>
  <si>
    <t>品目マスターから品目タイプを正常に検索</t>
    <phoneticPr fontId="3"/>
  </si>
  <si>
    <t>select * from LDAS0301('LD11','20250109','20250609','20250610','3HT1471TR00080','6206','6200','3');</t>
    <phoneticPr fontId="3"/>
  </si>
  <si>
    <r>
      <t>処理パターン</t>
    </r>
    <r>
      <rPr>
        <b/>
        <sz val="10"/>
        <color rgb="FFFFFFFF"/>
        <rFont val="Meiryo UI"/>
        <family val="2"/>
      </rPr>
      <t>1</t>
    </r>
    <phoneticPr fontId="3"/>
  </si>
  <si>
    <r>
      <t>処理パターン</t>
    </r>
    <r>
      <rPr>
        <b/>
        <sz val="10"/>
        <color rgb="FFFFFFFF"/>
        <rFont val="Meiryo UI"/>
        <family val="2"/>
      </rPr>
      <t>3</t>
    </r>
    <phoneticPr fontId="3"/>
  </si>
  <si>
    <t>処理パターン2</t>
    <phoneticPr fontId="3"/>
  </si>
  <si>
    <t>着手日が稼働日でない場合</t>
    <phoneticPr fontId="3"/>
  </si>
  <si>
    <t>select * from LDAS0301('LD11','20250105','20250609','20250610','3HT1471TR00080','6206','6206','3');</t>
    <phoneticPr fontId="3"/>
  </si>
  <si>
    <t>20250105</t>
  </si>
  <si>
    <t>6</t>
    <phoneticPr fontId="3"/>
  </si>
  <si>
    <t>処理パターン4</t>
    <phoneticPr fontId="3"/>
  </si>
  <si>
    <t>完了日が稼働日でない場合</t>
    <phoneticPr fontId="3"/>
  </si>
  <si>
    <t>202506</t>
  </si>
  <si>
    <t>20250607</t>
  </si>
  <si>
    <t>20250608</t>
  </si>
  <si>
    <t>20250609</t>
  </si>
  <si>
    <t>20250610</t>
  </si>
  <si>
    <t>10</t>
    <phoneticPr fontId="3"/>
  </si>
  <si>
    <t>11</t>
    <phoneticPr fontId="3"/>
  </si>
  <si>
    <t>12</t>
    <phoneticPr fontId="3"/>
  </si>
  <si>
    <t>13</t>
    <phoneticPr fontId="3"/>
  </si>
  <si>
    <t>select * from LDAS0301('LD11','20250109','20250607','20250610','3HT1471TR00080','6206','6206','3');</t>
    <phoneticPr fontId="3"/>
  </si>
  <si>
    <t>処理パターン5</t>
    <phoneticPr fontId="3"/>
  </si>
  <si>
    <t>処理パターン6</t>
    <phoneticPr fontId="3"/>
  </si>
  <si>
    <t>払出日が稼働日でないかつMRP需要方針コード&lt;&gt;'2'の場合</t>
    <phoneticPr fontId="3"/>
  </si>
  <si>
    <t>select * from LDAS0301('LD11','20250109','20250606','20250607','3HT1471TR00080','6206','6206','3');</t>
    <phoneticPr fontId="3"/>
  </si>
  <si>
    <t>処理パターン7</t>
    <phoneticPr fontId="3"/>
  </si>
  <si>
    <t>処理パターン8</t>
    <phoneticPr fontId="3"/>
  </si>
  <si>
    <t>処理識別='LD11'かつMRP需要方針コード='3'かつ着手日&gt;確定期間最終日の場合</t>
    <phoneticPr fontId="3"/>
  </si>
  <si>
    <t>select * from LDAS0301('LD11','20250609','20250606','20250607','3HT1471TR00080','6206','6206','3');</t>
  </si>
  <si>
    <t>For Start Date, specify the date former than the final day of the fixed order period.</t>
  </si>
  <si>
    <t>処理パターン9</t>
    <phoneticPr fontId="3"/>
  </si>
  <si>
    <t>select * from LDAS0301('LD41','20250109','20250609','20250610','3HT1471TR00080','6206','6206','3');</t>
  </si>
  <si>
    <t>処理識別='LD41'かつMRP需要方針コード='3'かつ着手日&gt;確定期間最終日の場合</t>
    <phoneticPr fontId="3"/>
  </si>
  <si>
    <t>処理パターン10</t>
    <phoneticPr fontId="3"/>
  </si>
  <si>
    <t>select * from LDAS0301('LD41','20250609','20250606','20250607','3HT1471TR00080','6206','6206','3');</t>
  </si>
  <si>
    <t>処理パターン12</t>
    <phoneticPr fontId="3"/>
  </si>
  <si>
    <t>処理識別='LD71'かつ着手日&gt;確定期間最終日の場合</t>
    <phoneticPr fontId="3"/>
  </si>
  <si>
    <t>処理パターン11</t>
    <phoneticPr fontId="3"/>
  </si>
  <si>
    <r>
      <t>処理識別='LD71'かつ着手日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  <phoneticPr fontId="3"/>
  </si>
  <si>
    <t>処理識別='LD71'かつ着手日≤確定期間最終日の場合</t>
    <phoneticPr fontId="3"/>
  </si>
  <si>
    <t>select * from LDAS0301('LD71','20250609','20250610','20250610','3HT1471TR00080','6206','6206','3');</t>
  </si>
  <si>
    <t>select * from LDAS0301('LD71','20250109','20250610','20250610','3HT1471TR00080','6206','6206','3');</t>
    <phoneticPr fontId="3"/>
  </si>
  <si>
    <r>
      <t>処理識別='LD71'かつ着手日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IC工場処理日の場合</t>
    </r>
    <phoneticPr fontId="3"/>
  </si>
  <si>
    <t>処理識別='LD71'かつ着手日≥IC工場処理日の場合</t>
    <phoneticPr fontId="3"/>
  </si>
  <si>
    <t>処理パターン13</t>
    <phoneticPr fontId="3"/>
  </si>
  <si>
    <t>処理パターン14</t>
    <phoneticPr fontId="3"/>
  </si>
  <si>
    <t>処理識別='LD71'かつ着手日&lt;IC工場処理日の場合</t>
    <phoneticPr fontId="3"/>
  </si>
  <si>
    <t>20250101</t>
    <phoneticPr fontId="3"/>
  </si>
  <si>
    <t>rs_l_bucket_no</t>
    <phoneticPr fontId="3"/>
  </si>
  <si>
    <t>rs_l_fix_from_ymd</t>
    <phoneticPr fontId="3"/>
  </si>
  <si>
    <t>rs_l_fix_to_ymd</t>
    <phoneticPr fontId="3"/>
  </si>
  <si>
    <t>rs_l_mrp_plan_date</t>
    <phoneticPr fontId="3"/>
  </si>
  <si>
    <t>rs_l_mrp_running_date</t>
    <phoneticPr fontId="3"/>
  </si>
  <si>
    <t>rs_t_bucket_no</t>
    <phoneticPr fontId="3"/>
  </si>
  <si>
    <t>rs_t_fix_from_ymd</t>
    <phoneticPr fontId="3"/>
  </si>
  <si>
    <t>rs_t_fix_to_ymd</t>
    <phoneticPr fontId="3"/>
  </si>
  <si>
    <t>rs_t_mrp_plan_date</t>
    <phoneticPr fontId="3"/>
  </si>
  <si>
    <t>rs_t_mrp_running_date</t>
    <phoneticPr fontId="3"/>
  </si>
  <si>
    <t>rs_s_bucket_no</t>
    <phoneticPr fontId="3"/>
  </si>
  <si>
    <t>rs_s_fix_from_ymd</t>
    <phoneticPr fontId="3"/>
  </si>
  <si>
    <t>rs_s_fix_to_ymd</t>
    <phoneticPr fontId="3"/>
  </si>
  <si>
    <t>rs_s_mrp_plan_date</t>
    <phoneticPr fontId="3"/>
  </si>
  <si>
    <t>rs_s_mrp_running_date</t>
    <phoneticPr fontId="3"/>
  </si>
  <si>
    <t>select * from LDAS0301('LD71','20241225','20250610','20250610','3HT1471TR00080','6206','6206','3');</t>
  </si>
  <si>
    <t>202412</t>
  </si>
  <si>
    <t>20241225</t>
  </si>
  <si>
    <t>14</t>
    <phoneticPr fontId="3"/>
  </si>
  <si>
    <t>処理パターン15</t>
    <phoneticPr fontId="3"/>
  </si>
  <si>
    <t>select * from LDAS0301('LD71','20250108','20250109','20250610','3HT1471TR00080','6206','6206','3');</t>
  </si>
  <si>
    <t>STD1</t>
  </si>
  <si>
    <t>20250106</t>
  </si>
  <si>
    <t>処理パターン16</t>
    <phoneticPr fontId="3"/>
  </si>
  <si>
    <t>オプションコード='0'かつ完了日&lt;IC工場処理日かつ品目タイプ&lt;&gt;'2'の場合</t>
    <phoneticPr fontId="3"/>
  </si>
  <si>
    <t>select * from LDAS0301('LD71','20250109','20241212','20250610','3HT1471TR00080','6206','6206','3');</t>
    <phoneticPr fontId="3"/>
  </si>
  <si>
    <t>処理パターン17</t>
    <phoneticPr fontId="3"/>
  </si>
  <si>
    <r>
      <t>オプションコード&lt;&gt;'0'かつ完了日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IC工場処理日の場合</t>
    </r>
    <phoneticPr fontId="3"/>
  </si>
  <si>
    <t>オプションコード&lt;&gt;'0'かつ完了日≥IC工場処理日の場合</t>
    <phoneticPr fontId="3"/>
  </si>
  <si>
    <t>オプションコード&lt;&gt;'0'かつ完了日&lt;IC工場処理日の場合</t>
    <phoneticPr fontId="3"/>
  </si>
  <si>
    <t>処理パターン18</t>
    <phoneticPr fontId="3"/>
  </si>
  <si>
    <t>処理パターン19</t>
    <phoneticPr fontId="3"/>
  </si>
  <si>
    <r>
      <t>処理識別='LD11'かつ完了日</t>
    </r>
    <r>
      <rPr>
        <sz val="10"/>
        <color indexed="8"/>
        <rFont val="宋体"/>
        <family val="3"/>
        <charset val="134"/>
      </rPr>
      <t>≥</t>
    </r>
    <r>
      <rPr>
        <sz val="10"/>
        <color indexed="8"/>
        <rFont val="Meiryo UI"/>
        <family val="3"/>
        <charset val="128"/>
      </rPr>
      <t>着手日の場合</t>
    </r>
  </si>
  <si>
    <t>処理パターン21</t>
    <phoneticPr fontId="3"/>
  </si>
  <si>
    <t>処理パターン23</t>
    <phoneticPr fontId="3"/>
  </si>
  <si>
    <r>
      <t>払出日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完了日の場合</t>
    </r>
    <phoneticPr fontId="3"/>
  </si>
  <si>
    <r>
      <t>払出日</t>
    </r>
    <r>
      <rPr>
        <sz val="10"/>
        <color indexed="8"/>
        <rFont val="宋体"/>
        <family val="3"/>
        <charset val="134"/>
      </rPr>
      <t>≥</t>
    </r>
    <r>
      <rPr>
        <sz val="10"/>
        <color indexed="8"/>
        <rFont val="Meiryo UI"/>
        <family val="3"/>
        <charset val="128"/>
      </rPr>
      <t>完了日の場合</t>
    </r>
  </si>
  <si>
    <t>処理パターン25</t>
    <phoneticPr fontId="3"/>
  </si>
  <si>
    <t>着手日と払出日の月差が6ヶ月以内の場合</t>
    <phoneticPr fontId="3"/>
  </si>
  <si>
    <t>処理パターン27</t>
    <phoneticPr fontId="3"/>
  </si>
  <si>
    <t>処理パターン20</t>
    <phoneticPr fontId="3"/>
  </si>
  <si>
    <t>処理識別='LD11'かつ完了日&lt;着手日の場合</t>
    <phoneticPr fontId="3"/>
  </si>
  <si>
    <t>select * from LDAS0301('LD11','20250109','20250108','20250610','3HT1471TR00080','6206','6206','3');</t>
    <phoneticPr fontId="3"/>
  </si>
  <si>
    <t>処理識別='LD41'かつ完了日&lt;着手日の場合</t>
    <phoneticPr fontId="3"/>
  </si>
  <si>
    <t>処理パターン22</t>
    <phoneticPr fontId="3"/>
  </si>
  <si>
    <t>select * from LDAS0301('LD41','20250109','20250108','20250610','3HT1471TR00080','6206','6206','3');</t>
    <phoneticPr fontId="3"/>
  </si>
  <si>
    <t>処理パターン24</t>
    <phoneticPr fontId="3"/>
  </si>
  <si>
    <t>処理識別='LD71'かつ完了日&lt;着手日の場合</t>
    <phoneticPr fontId="3"/>
  </si>
  <si>
    <t>処理パターン26</t>
    <phoneticPr fontId="3"/>
  </si>
  <si>
    <t>払出日&lt;完了日の場合</t>
    <phoneticPr fontId="3"/>
  </si>
  <si>
    <t>select * from LDAS0301('LD11','20250109','20250610','20250609','3HT1471TR00080','6206','6206','3');</t>
    <phoneticPr fontId="3"/>
  </si>
  <si>
    <t>着手日と払出日の月差が6ヶ月を超える場合</t>
    <phoneticPr fontId="3"/>
  </si>
  <si>
    <t>処理パターン28</t>
    <phoneticPr fontId="3"/>
  </si>
  <si>
    <t>select * from LDAS0301('LD11','20250109','20250610','20250710','3HT1471TR00080','6206','6206','3');</t>
    <phoneticPr fontId="3"/>
  </si>
  <si>
    <t>着手日と払出日の月差が丁度6ヶ月かつ日差が0の場合</t>
    <phoneticPr fontId="3"/>
  </si>
  <si>
    <t>select * from LDAS0301('LD11','20250109','20250610','20250807','3HT1471TR00080','6206','6206','3');</t>
    <phoneticPr fontId="3"/>
  </si>
  <si>
    <t>select * from LDAS0301('LD11','20250109','20250610','20250709','3HT1471TR00080','6206','6206','3');</t>
    <phoneticPr fontId="3"/>
  </si>
  <si>
    <t>着手日と払出日の月差が丁度6ヶ月かつ日差が正の場合</t>
    <phoneticPr fontId="3"/>
  </si>
  <si>
    <t>品目マスターでデータが存在しない場合</t>
    <phoneticPr fontId="3"/>
  </si>
  <si>
    <r>
      <t>検索</t>
    </r>
    <r>
      <rPr>
        <b/>
        <sz val="10"/>
        <color rgb="FFFFFFFF"/>
        <rFont val="Meiryo UI"/>
        <family val="2"/>
      </rPr>
      <t>16</t>
    </r>
    <phoneticPr fontId="3"/>
  </si>
  <si>
    <t>OK</t>
  </si>
  <si>
    <t>共通関数呼び出し1</t>
    <phoneticPr fontId="3"/>
  </si>
  <si>
    <t>共通関数呼び出し2</t>
    <phoneticPr fontId="3"/>
  </si>
  <si>
    <t>LEBS0010が正常に実行される場合</t>
    <phoneticPr fontId="3"/>
  </si>
  <si>
    <t>LEBS0010がエラー(-1)を返す場合</t>
    <phoneticPr fontId="3"/>
  </si>
  <si>
    <t>LEBS0010がPGMエラー(-2)を返す場合</t>
    <phoneticPr fontId="3"/>
  </si>
  <si>
    <t>select * from LEBS0010('02','T')</t>
  </si>
  <si>
    <t>例外が発生している</t>
    <phoneticPr fontId="3"/>
  </si>
  <si>
    <r>
      <t>共通関数呼び出し</t>
    </r>
    <r>
      <rPr>
        <b/>
        <sz val="10"/>
        <color rgb="FFFFFFFF"/>
        <rFont val="微软雅黑"/>
        <family val="3"/>
        <charset val="134"/>
      </rPr>
      <t>3</t>
    </r>
    <phoneticPr fontId="3"/>
  </si>
  <si>
    <t>ld.E.LDP10059</t>
  </si>
  <si>
    <t>Specify Due Date.</t>
  </si>
  <si>
    <t>Specify Disburse Date.</t>
  </si>
  <si>
    <t>Target data does not exist in the Function Parameter table.</t>
  </si>
  <si>
    <t>LE</t>
  </si>
  <si>
    <t>LEA0001</t>
  </si>
  <si>
    <t>Day String does not exist in the common calendar.</t>
  </si>
  <si>
    <t>select * from LDAS0301('LD11','20250134','20250609','20250610','3HT1471TR00080','6206','6206','3');</t>
    <phoneticPr fontId="3"/>
  </si>
  <si>
    <t>20250601</t>
    <phoneticPr fontId="3"/>
  </si>
  <si>
    <t>TEST001</t>
    <phoneticPr fontId="3"/>
  </si>
  <si>
    <r>
      <t>STD</t>
    </r>
    <r>
      <rPr>
        <sz val="9"/>
        <rFont val="Meiryo UI"/>
        <family val="2"/>
      </rPr>
      <t>1</t>
    </r>
    <phoneticPr fontId="3"/>
  </si>
  <si>
    <t>The IC pymac date is not exist.</t>
  </si>
  <si>
    <t>Data does not exist in the item master.</t>
  </si>
  <si>
    <t>The day you specified is not a working-day.20250105</t>
  </si>
  <si>
    <t>The day you specified is not a working-day.[ ps_due_date  ] = 20250607</t>
  </si>
  <si>
    <t>The day you specified is not a working-day.[ ps_disburse_date  ] = 20250607</t>
  </si>
  <si>
    <t>select * from LDAS0301('LD71','20250109','20250108','20250610','3HT1471TR00080','6206','6206','3');</t>
  </si>
  <si>
    <t>ld.E.LDP10059</t>
    <phoneticPr fontId="21" type="noConversion"/>
  </si>
  <si>
    <t>エラーコードld.E.LDP10059、エラーメッセージ'Specify Start Date.'が出力され処理終了している</t>
    <phoneticPr fontId="3"/>
  </si>
  <si>
    <t>ld.E.LDP10060</t>
    <phoneticPr fontId="21" type="noConversion"/>
  </si>
  <si>
    <t>エラーコードld.E.LDP10060、エラーメッセージ'Specify Due Date.'が出力され処理終了している</t>
    <phoneticPr fontId="3"/>
  </si>
  <si>
    <t>ld.E.LDP10061</t>
    <phoneticPr fontId="21" type="noConversion"/>
  </si>
  <si>
    <t>エラーコードld.E.LDP10061、エラーメッセージ'Specify Disburse Date.'が出力され処理終了している</t>
    <phoneticPr fontId="3"/>
  </si>
  <si>
    <t>ld.E.LDP10062</t>
    <phoneticPr fontId="3"/>
  </si>
  <si>
    <t>エラーコードld.E.LDP10062、エラーメッセージ'Effective calendar does not exist by the specified Supplier/User.'が出力され処理終了している</t>
    <phoneticPr fontId="3"/>
  </si>
  <si>
    <t>ld.E.LDP10064</t>
    <phoneticPr fontId="3"/>
  </si>
  <si>
    <t>エラーコードld.E.LDP10064、エラーメッセージ'Day String does not exist in the common calendar.'が出力され処理終了している</t>
    <phoneticPr fontId="3"/>
  </si>
  <si>
    <t>ld.E.LDP10004</t>
    <phoneticPr fontId="3"/>
  </si>
  <si>
    <t>エラーコードld.E.LDP10004、エラーメッセージ'The IC pymac date is not exist.'が出力され処理終了している</t>
    <phoneticPr fontId="3"/>
  </si>
  <si>
    <t>ld.E.LDP10002</t>
    <phoneticPr fontId="3"/>
  </si>
  <si>
    <t>エラーコードld.E.LDP10002、エラーメッセージ'Target data does not exist in the Function Parameter table.'が出力され処理終了している</t>
    <phoneticPr fontId="3"/>
  </si>
  <si>
    <t>ld.E.LDP10067</t>
    <phoneticPr fontId="3"/>
  </si>
  <si>
    <t>エラーコードld.E.LDP10067、エラーメッセージ'Data does not exist in the item master.'が出力され処理終了している</t>
    <phoneticPr fontId="3"/>
  </si>
  <si>
    <t>ld.E.LDP10063</t>
    <phoneticPr fontId="3"/>
  </si>
  <si>
    <t>エラーコードld.E.LDP10063、エラーメッセージ'The day you specified is not a working-day.'が出力され処理終了している</t>
    <phoneticPr fontId="3"/>
  </si>
  <si>
    <t>ld.E.LDP10069</t>
    <phoneticPr fontId="3"/>
  </si>
  <si>
    <t>エラーコードld.E.LDP10069、エラーメッセージ'The day you specified is not a working-day.'が出力され処理終了している</t>
    <phoneticPr fontId="3"/>
  </si>
  <si>
    <t>ld.E.LDP10072</t>
    <phoneticPr fontId="3"/>
  </si>
  <si>
    <t>エラーコードld.E.LDP10072、エラーメッセージ'The day you specified is not a working-day.'が出力され処理終了している</t>
    <phoneticPr fontId="3"/>
  </si>
  <si>
    <t>ld.E.LDP10065</t>
    <phoneticPr fontId="3"/>
  </si>
  <si>
    <t>エラーコードld.E.LDP10065、エラーメッセージ'For Start Date、 specify the date former than the final day of the fixed order period.'が出力され処理終了している</t>
    <phoneticPr fontId="3"/>
  </si>
  <si>
    <t>ld.E.LDP10066</t>
    <phoneticPr fontId="3"/>
  </si>
  <si>
    <t>エラーコードld.E.LDP10066、エラーメッセージ'You cannot specify the past date for Start Date.'が出力され処理終了している</t>
    <phoneticPr fontId="3"/>
  </si>
  <si>
    <t>ld.E.LDP10068</t>
    <phoneticPr fontId="3"/>
  </si>
  <si>
    <t>エラーコードld.E.LDP10068、エラーメッセージ'You cannot specify the past date for due date.'が出力され処理終了している</t>
    <phoneticPr fontId="3"/>
  </si>
  <si>
    <t>エラーコードld.E.LDP10068エラーメッセージ'You cannot specify the past date for due date.'が出力され処理終了している</t>
    <phoneticPr fontId="3"/>
  </si>
  <si>
    <t>ld.E.LDP10070</t>
    <phoneticPr fontId="3"/>
  </si>
  <si>
    <t>エラーコードld.E.LDP10070、エラーメッセージ'For Due Date、 specify the date later than Start Date.'が出力され処理終了している</t>
    <phoneticPr fontId="3"/>
  </si>
  <si>
    <t>ld.E.LDP10071</t>
    <phoneticPr fontId="3"/>
  </si>
  <si>
    <t>エラーコードld.E.LDP10071、エラーメッセージ'For Start Date、 specify the date former than Due Date.'が出力され処理終了している</t>
    <phoneticPr fontId="3"/>
  </si>
  <si>
    <t>ld.E.LDP10073</t>
    <phoneticPr fontId="3"/>
  </si>
  <si>
    <t>エラーコードld.E.LDP10073、エラーメッセージ'For Disburse Date、 specify the date later than Due Date.'が出力され処理終了している</t>
    <phoneticPr fontId="3"/>
  </si>
  <si>
    <t>ld.E.LDP10074</t>
    <phoneticPr fontId="3"/>
  </si>
  <si>
    <t>エラーコードld.E.LDP10074、エラーメッセージ'Make the difference between Start Date and Disburse Date within 6 months.'が出力され処理終了している</t>
    <phoneticPr fontId="3"/>
  </si>
  <si>
    <r>
      <t>システムコード='L</t>
    </r>
    <r>
      <rPr>
        <sz val="9"/>
        <rFont val="Meiryo UI"/>
        <family val="2"/>
      </rPr>
      <t>E</t>
    </r>
    <r>
      <rPr>
        <sz val="9"/>
        <rFont val="Meiryo UI"/>
        <family val="3"/>
        <charset val="128"/>
      </rPr>
      <t>'、IDコード='L</t>
    </r>
    <r>
      <rPr>
        <sz val="9"/>
        <rFont val="Meiryo UI"/>
        <family val="2"/>
      </rPr>
      <t>EA</t>
    </r>
    <r>
      <rPr>
        <sz val="9"/>
        <rFont val="Meiryo UI"/>
        <family val="3"/>
        <charset val="128"/>
      </rPr>
      <t>0001'、選択フラグ='T'に該当するオプションコードが正常に取得されている</t>
    </r>
    <phoneticPr fontId="3"/>
  </si>
  <si>
    <t>エラーコード</t>
    <phoneticPr fontId="3"/>
  </si>
  <si>
    <t>エラー発生時のエラーコード</t>
    <phoneticPr fontId="3"/>
  </si>
  <si>
    <t>対応するエラーコードをreturnしている</t>
  </si>
  <si>
    <t>エラーメッセージ</t>
    <phoneticPr fontId="3"/>
  </si>
  <si>
    <t>エラー発生時のエラーメッセージ</t>
    <phoneticPr fontId="3"/>
  </si>
  <si>
    <t>対応するエラーメッセージをreturnしている</t>
  </si>
  <si>
    <r>
      <t>戻り値</t>
    </r>
    <r>
      <rPr>
        <b/>
        <sz val="10"/>
        <color rgb="FFFFFFFF"/>
        <rFont val="Meiryo UI"/>
        <family val="2"/>
      </rPr>
      <t>7~10</t>
    </r>
    <phoneticPr fontId="3"/>
  </si>
  <si>
    <t>エラーコード：'ld.E.LDP10129、ラーメッセージ：'Item does not exist in the itemmast mrp.';が指定品目がＭＲＰ情報値に存在しません。</t>
    <phoneticPr fontId="3"/>
  </si>
  <si>
    <r>
      <t>検索</t>
    </r>
    <r>
      <rPr>
        <b/>
        <sz val="10"/>
        <color rgb="FFFFFFFF"/>
        <rFont val="Meiryo UI"/>
        <family val="2"/>
      </rPr>
      <t>10</t>
    </r>
    <phoneticPr fontId="3"/>
  </si>
  <si>
    <t>確定期間IDがMRP情報値に存在しない場合</t>
    <phoneticPr fontId="3"/>
  </si>
  <si>
    <t>ld.E.LDP10129</t>
    <phoneticPr fontId="3"/>
  </si>
  <si>
    <t>Item does not exist in the itemmast mrp.</t>
    <phoneticPr fontId="3"/>
  </si>
  <si>
    <t>select * from LDAS0301('LD11','20250131','20250609','20250610','3HT1471TR00080','0000','6206','3');</t>
    <phoneticPr fontId="3"/>
  </si>
  <si>
    <t>着手日がカレンダーに存在しない場合</t>
    <phoneticPr fontId="3"/>
  </si>
  <si>
    <t>select * from LDAS0301('LD11','20250109','20250609','20250610','3HT1471TR00080','6206','6206','3');</t>
    <phoneticPr fontId="3"/>
  </si>
  <si>
    <t>select * from LDAS0301('LD11',' ','20250609','20250610','3HT1471TR00080','6206','6206','3');</t>
    <phoneticPr fontId="3"/>
  </si>
  <si>
    <t>着手日が稼働日の場合(稼働日区分='0')</t>
    <phoneticPr fontId="3"/>
  </si>
  <si>
    <t>正常に処理されている</t>
    <phoneticPr fontId="3"/>
  </si>
  <si>
    <t>完了日が稼働日の場合(稼働日区分='0')</t>
    <phoneticPr fontId="3"/>
  </si>
  <si>
    <t>完了日チェック</t>
  </si>
  <si>
    <t>払出日が稼働日の場合(稼働日区分='0')</t>
    <phoneticPr fontId="3"/>
  </si>
  <si>
    <t>確定期間最終日が正常に取得されている</t>
    <phoneticPr fontId="3"/>
  </si>
  <si>
    <t>品目番号、供給者、使用者に該当する確定期間ID、4.共通関数呼び出し確定期間最終日が正常に取得されている</t>
    <phoneticPr fontId="3"/>
  </si>
  <si>
    <r>
      <t>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  <phoneticPr fontId="3"/>
  </si>
  <si>
    <r>
      <t>処理識別='LD11'かつMRP需要方針コード&lt;&gt;'1'かつMRP需要方針コード&lt;&gt;'2'かつ着手日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  <phoneticPr fontId="3"/>
  </si>
  <si>
    <r>
      <t>処理識別='LD41'かつMRP需要方針コード&lt;&gt;'1'かつMRP需要方針コード&lt;&gt;'2'かつ着手日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  <phoneticPr fontId="3"/>
  </si>
  <si>
    <t>処理識別='LD41'かつMRP需要方針コード&lt;&gt;'1'かつMRP需要方針コード&lt;&gt;'2'かつ着手日&gt;確定期間最終日の場合</t>
    <phoneticPr fontId="3"/>
  </si>
  <si>
    <t>処理識別='LD11'かつMRP需要方針コード&lt;&gt;'1'かつMRP需要方針コード&lt;&gt;'2'かつ着手日&gt;確定期間最終日の場合</t>
    <phoneticPr fontId="3"/>
  </si>
  <si>
    <t>処理識別='LD11'かつMRP需要方針コード&lt;&gt;'1'かつMRP需要方針コード&lt;&gt;'2'かつ着手日≤確定期間最終日の場合</t>
    <phoneticPr fontId="3"/>
  </si>
  <si>
    <t>処理識別='LD41'かつMRP需要方針コード&lt;&gt;'1'かつMRP需要方針コード&lt;&gt;'2'かつ着手日≤確定期間最終日の場合</t>
    <phoneticPr fontId="3"/>
  </si>
  <si>
    <t>引数チェック</t>
  </si>
  <si>
    <t>主処理</t>
  </si>
  <si>
    <t>5</t>
    <phoneticPr fontId="3"/>
  </si>
  <si>
    <r>
      <t>オプションコード='0'かつ完了日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</t>
    </r>
    <phoneticPr fontId="3"/>
  </si>
  <si>
    <r>
      <t>オプションコード='0'かつ完了日</t>
    </r>
    <r>
      <rPr>
        <sz val="10"/>
        <color indexed="8"/>
        <rFont val="宋体"/>
        <family val="3"/>
        <charset val="134"/>
      </rPr>
      <t>≥</t>
    </r>
    <r>
      <rPr>
        <sz val="10"/>
        <color indexed="8"/>
        <rFont val="Meiryo UI"/>
        <family val="3"/>
        <charset val="128"/>
      </rPr>
      <t>IC工場処理日</t>
    </r>
  </si>
  <si>
    <t>6206</t>
    <phoneticPr fontId="3"/>
  </si>
  <si>
    <t>varchar(100)</t>
    <phoneticPr fontId="21" type="noConversion"/>
  </si>
  <si>
    <t>varchar(20)</t>
    <phoneticPr fontId="3"/>
  </si>
  <si>
    <t>【LEBS0010（確定期間検索）の戻り値】</t>
    <phoneticPr fontId="3"/>
  </si>
  <si>
    <t>0</t>
    <phoneticPr fontId="3"/>
  </si>
  <si>
    <t>払出日入力チェック、稼働日チェックを行う、着手日入力チェック、稼働日チェック、期間チェックを行う</t>
    <phoneticPr fontId="3"/>
  </si>
  <si>
    <t>孫勝</t>
    <phoneticPr fontId="3"/>
  </si>
  <si>
    <t>select * from LDAS0301('LD11',' ','20250609','20250610','3HT1471TR00080','6206','6206','3');</t>
  </si>
  <si>
    <t>&lt;&lt;SP:LEBS0010 Error Return&gt;&gt; Return:  -1,42P01, ,relation "le_mst_fix_period_id" does not exist</t>
    <phoneticPr fontId="3"/>
  </si>
  <si>
    <t>余暁東</t>
    <phoneticPr fontId="3"/>
  </si>
  <si>
    <t>For Start Date, specify the date former than the final day of the fixed order period.</t>
    <phoneticPr fontId="3"/>
  </si>
  <si>
    <t>You cannot specify the past date for Start Date.</t>
    <phoneticPr fontId="3"/>
  </si>
  <si>
    <t>You cannot specify the past date for due date.</t>
    <phoneticPr fontId="3"/>
  </si>
  <si>
    <t>For Due Date, specify the date later than Start Date.</t>
    <phoneticPr fontId="3"/>
  </si>
  <si>
    <t>For Start Date, specify the date former than Due Date.</t>
    <phoneticPr fontId="3"/>
  </si>
  <si>
    <t>For Disburse Date, specify the date later than Due Date.</t>
    <phoneticPr fontId="3"/>
  </si>
  <si>
    <t>Make the difference between Start Date and Disburse Date within 6 months.</t>
    <phoneticPr fontId="3"/>
  </si>
  <si>
    <t>&lt;&lt;SP:LEBS0010 Error Return&gt;&gt; Return:  -2, ,le.E.LEP10055,Target Fix Period ID does not exist in the Fix Period Master.</t>
    <phoneticPr fontId="3"/>
  </si>
  <si>
    <t>新規作成</t>
    <phoneticPr fontId="3"/>
  </si>
  <si>
    <t>余暁東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</si>
</sst>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sz val="11"/>
      <name val="ＭＳ ゴシック"/>
      <family val="3"/>
      <charset val="128"/>
    </font>
    <font>
      <sz val="18"/>
      <color theme="3"/>
      <name val="宋体"/>
      <family val="2"/>
      <charset val="128"/>
      <scheme val="major"/>
    </font>
    <font>
      <b/>
      <sz val="15"/>
      <color theme="3"/>
      <name val="宋体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8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sz val="9"/>
      <color indexed="81"/>
      <name val="MS P ゴシック"/>
      <family val="3"/>
      <charset val="128"/>
    </font>
    <font>
      <sz val="9"/>
      <name val="宋体"/>
      <family val="3"/>
      <charset val="134"/>
    </font>
    <font>
      <b/>
      <sz val="9"/>
      <color rgb="FF0000FF"/>
      <name val="Meiryo UI"/>
      <family val="2"/>
      <charset val="128"/>
    </font>
    <font>
      <b/>
      <sz val="9"/>
      <name val="Meiryo UI"/>
      <family val="2"/>
    </font>
    <font>
      <b/>
      <sz val="11"/>
      <color theme="1"/>
      <name val="Meiryo UI"/>
      <family val="2"/>
    </font>
    <font>
      <sz val="11"/>
      <name val="Meiryo UI"/>
      <family val="3"/>
      <charset val="128"/>
    </font>
    <font>
      <u/>
      <sz val="11"/>
      <color theme="10"/>
      <name val="ＭＳ Ｐゴシック"/>
      <family val="3"/>
      <charset val="128"/>
    </font>
    <font>
      <b/>
      <sz val="24"/>
      <color indexed="18"/>
      <name val="Meiryo UI"/>
      <family val="3"/>
      <charset val="128"/>
    </font>
    <font>
      <b/>
      <sz val="18"/>
      <color indexed="18"/>
      <name val="Meiryo UI"/>
      <family val="3"/>
      <charset val="128"/>
    </font>
    <font>
      <b/>
      <sz val="11"/>
      <color indexed="18"/>
      <name val="Meiryo UI"/>
      <family val="3"/>
      <charset val="128"/>
    </font>
    <font>
      <b/>
      <sz val="9"/>
      <name val="Meiryo UI"/>
      <family val="3"/>
      <charset val="128"/>
    </font>
    <font>
      <b/>
      <sz val="10"/>
      <color indexed="9"/>
      <name val="Meiryo UI"/>
      <family val="3"/>
      <charset val="128"/>
    </font>
    <font>
      <sz val="10"/>
      <color indexed="8"/>
      <name val="Meiryo UI"/>
      <family val="3"/>
      <charset val="128"/>
    </font>
    <font>
      <sz val="10"/>
      <color indexed="59"/>
      <name val="Meiryo UI"/>
      <family val="3"/>
      <charset val="128"/>
    </font>
    <font>
      <sz val="10"/>
      <color indexed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0"/>
      <color indexed="59"/>
      <name val="Meiryo UI"/>
      <family val="3"/>
      <charset val="128"/>
    </font>
    <font>
      <sz val="6"/>
      <name val="Meiryo UI"/>
      <family val="3"/>
      <charset val="128"/>
    </font>
    <font>
      <sz val="10"/>
      <color indexed="63"/>
      <name val="Meiryo UI"/>
      <family val="3"/>
      <charset val="128"/>
    </font>
    <font>
      <b/>
      <sz val="9"/>
      <color rgb="FF0000CC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color indexed="60"/>
      <name val="Meiryo UI"/>
      <family val="3"/>
      <charset val="128"/>
    </font>
    <font>
      <b/>
      <sz val="18"/>
      <color indexed="8"/>
      <name val="Meiryo UI"/>
      <family val="3"/>
      <charset val="128"/>
    </font>
    <font>
      <sz val="11"/>
      <color indexed="18"/>
      <name val="Meiryo UI"/>
      <family val="3"/>
      <charset val="128"/>
    </font>
    <font>
      <b/>
      <sz val="8"/>
      <color indexed="61"/>
      <name val="Meiryo UI"/>
      <family val="3"/>
      <charset val="128"/>
    </font>
    <font>
      <sz val="11"/>
      <color indexed="9"/>
      <name val="Meiryo UI"/>
      <family val="3"/>
      <charset val="128"/>
    </font>
    <font>
      <b/>
      <sz val="11"/>
      <name val="Meiryo UI"/>
      <family val="3"/>
      <charset val="128"/>
    </font>
    <font>
      <sz val="9"/>
      <color indexed="53"/>
      <name val="Meiryo UI"/>
      <family val="3"/>
      <charset val="128"/>
    </font>
    <font>
      <sz val="10"/>
      <color indexed="61"/>
      <name val="Meiryo UI"/>
      <family val="3"/>
      <charset val="128"/>
    </font>
    <font>
      <sz val="8"/>
      <color indexed="61"/>
      <name val="Meiryo UI"/>
      <family val="3"/>
      <charset val="128"/>
    </font>
    <font>
      <sz val="11"/>
      <color indexed="53"/>
      <name val="Meiryo UI"/>
      <family val="3"/>
      <charset val="128"/>
    </font>
    <font>
      <sz val="9"/>
      <color indexed="61"/>
      <name val="Meiryo UI"/>
      <family val="3"/>
      <charset val="128"/>
    </font>
    <font>
      <sz val="11"/>
      <color indexed="61"/>
      <name val="Meiryo UI"/>
      <family val="3"/>
      <charset val="128"/>
    </font>
    <font>
      <b/>
      <sz val="11"/>
      <color indexed="61"/>
      <name val="Meiryo UI"/>
      <family val="3"/>
      <charset val="128"/>
    </font>
    <font>
      <sz val="11"/>
      <color indexed="63"/>
      <name val="Meiryo UI"/>
      <family val="3"/>
      <charset val="128"/>
    </font>
    <font>
      <sz val="11"/>
      <color indexed="17"/>
      <name val="Meiryo UI"/>
      <family val="3"/>
      <charset val="128"/>
    </font>
    <font>
      <sz val="11"/>
      <color indexed="12"/>
      <name val="Meiryo UI"/>
      <family val="3"/>
      <charset val="128"/>
    </font>
    <font>
      <sz val="9"/>
      <color indexed="9"/>
      <name val="Meiryo UI"/>
      <family val="3"/>
      <charset val="128"/>
    </font>
    <font>
      <i/>
      <sz val="8"/>
      <color indexed="61"/>
      <name val="Meiryo UI"/>
      <family val="3"/>
      <charset val="128"/>
    </font>
    <font>
      <sz val="10"/>
      <color indexed="23"/>
      <name val="Meiryo UI"/>
      <family val="3"/>
      <charset val="128"/>
    </font>
    <font>
      <b/>
      <sz val="16"/>
      <color indexed="18"/>
      <name val="Meiryo UI"/>
      <family val="3"/>
      <charset val="128"/>
    </font>
    <font>
      <sz val="9"/>
      <color theme="1"/>
      <name val="微软雅黑"/>
      <family val="3"/>
      <charset val="134"/>
    </font>
    <font>
      <sz val="10"/>
      <color indexed="8"/>
      <name val="宋体"/>
      <family val="3"/>
      <charset val="134"/>
    </font>
    <font>
      <sz val="9"/>
      <name val="Meiryo UI"/>
      <family val="2"/>
    </font>
    <font>
      <b/>
      <sz val="10"/>
      <color rgb="FFFFFFFF"/>
      <name val="Meiryo UI"/>
      <family val="3"/>
      <charset val="128"/>
    </font>
    <font>
      <b/>
      <sz val="10"/>
      <color rgb="FFFFFFFF"/>
      <name val="Meiryo UI"/>
      <family val="2"/>
    </font>
    <font>
      <b/>
      <sz val="10"/>
      <color rgb="FFFFFFFF"/>
      <name val="Meiryo UI"/>
      <family val="2"/>
      <charset val="128"/>
    </font>
    <font>
      <sz val="11"/>
      <color rgb="FFFFFFFF"/>
      <name val="Meiryo UI"/>
      <family val="2"/>
    </font>
    <font>
      <sz val="10"/>
      <color theme="1"/>
      <name val="Meiryo UI"/>
      <family val="3"/>
      <charset val="128"/>
    </font>
    <font>
      <sz val="11"/>
      <color rgb="FF993366"/>
      <name val="Microsoft YaHei UI"/>
      <family val="3"/>
      <charset val="134"/>
    </font>
    <font>
      <b/>
      <sz val="10"/>
      <color rgb="FFFFFFFF"/>
      <name val="微软雅黑"/>
      <family val="3"/>
      <charset val="134"/>
    </font>
    <font>
      <sz val="11"/>
      <name val="等线"/>
      <family val="2"/>
      <charset val="134"/>
    </font>
    <font>
      <sz val="9"/>
      <name val="微软雅黑"/>
      <family val="3"/>
      <charset val="134"/>
    </font>
    <font>
      <sz val="9"/>
      <name val="微软雅黑"/>
      <family val="2"/>
      <charset val="134"/>
    </font>
    <font>
      <sz val="11"/>
      <color rgb="FF993366"/>
      <name val="微软雅黑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45"/>
      </patternFill>
    </fill>
    <fill>
      <patternFill patternType="solid">
        <fgColor theme="0"/>
        <bgColor indexed="4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18"/>
      </bottom>
      <diagonal/>
    </border>
    <border>
      <left/>
      <right/>
      <top style="medium">
        <color indexed="64"/>
      </top>
      <bottom style="thick">
        <color indexed="18"/>
      </bottom>
      <diagonal/>
    </border>
    <border>
      <left/>
      <right style="medium">
        <color indexed="64"/>
      </right>
      <top style="medium">
        <color indexed="64"/>
      </top>
      <bottom style="thick">
        <color indexed="1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" fillId="0" borderId="0"/>
  </cellStyleXfs>
  <cellXfs count="297">
    <xf numFmtId="0" fontId="0" fillId="0" borderId="0" xfId="0"/>
    <xf numFmtId="0" fontId="12" fillId="0" borderId="0" xfId="4" applyFont="1" applyAlignment="1">
      <alignment vertical="center"/>
    </xf>
    <xf numFmtId="0" fontId="14" fillId="0" borderId="2" xfId="4" applyFont="1" applyBorder="1" applyAlignment="1">
      <alignment vertical="center"/>
    </xf>
    <xf numFmtId="0" fontId="15" fillId="0" borderId="2" xfId="4" applyFont="1" applyBorder="1" applyAlignment="1">
      <alignment horizontal="center" vertical="center"/>
    </xf>
    <xf numFmtId="0" fontId="16" fillId="4" borderId="6" xfId="5" applyFont="1" applyFill="1" applyBorder="1" applyAlignment="1">
      <alignment horizontal="center" vertical="center" wrapText="1" readingOrder="1"/>
    </xf>
    <xf numFmtId="0" fontId="17" fillId="0" borderId="0" xfId="6" applyFont="1"/>
    <xf numFmtId="2" fontId="17" fillId="0" borderId="2" xfId="6" applyNumberFormat="1" applyFont="1" applyBorder="1"/>
    <xf numFmtId="14" fontId="17" fillId="0" borderId="2" xfId="6" applyNumberFormat="1" applyFont="1" applyBorder="1"/>
    <xf numFmtId="0" fontId="17" fillId="0" borderId="2" xfId="6" applyFont="1" applyBorder="1"/>
    <xf numFmtId="14" fontId="17" fillId="0" borderId="2" xfId="6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9" fontId="5" fillId="6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7" xfId="7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22" fillId="7" borderId="9" xfId="0" applyFont="1" applyFill="1" applyBorder="1" applyAlignment="1">
      <alignment horizontal="left" vertical="center"/>
    </xf>
    <xf numFmtId="0" fontId="23" fillId="7" borderId="10" xfId="0" applyFont="1" applyFill="1" applyBorder="1" applyAlignment="1">
      <alignment horizontal="left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left" vertical="center" wrapText="1"/>
    </xf>
    <xf numFmtId="0" fontId="25" fillId="0" borderId="0" xfId="0" applyFont="1"/>
    <xf numFmtId="0" fontId="6" fillId="0" borderId="0" xfId="0" applyFont="1"/>
    <xf numFmtId="0" fontId="27" fillId="8" borderId="12" xfId="0" applyFont="1" applyFill="1" applyBorder="1" applyAlignment="1">
      <alignment horizontal="left"/>
    </xf>
    <xf numFmtId="0" fontId="28" fillId="8" borderId="12" xfId="0" applyFont="1" applyFill="1" applyBorder="1" applyAlignment="1">
      <alignment horizontal="left"/>
    </xf>
    <xf numFmtId="0" fontId="29" fillId="8" borderId="12" xfId="0" applyFont="1" applyFill="1" applyBorder="1" applyAlignment="1">
      <alignment horizontal="left"/>
    </xf>
    <xf numFmtId="0" fontId="30" fillId="0" borderId="0" xfId="0" applyFont="1"/>
    <xf numFmtId="0" fontId="4" fillId="0" borderId="0" xfId="0" applyFont="1"/>
    <xf numFmtId="0" fontId="32" fillId="10" borderId="13" xfId="0" applyFont="1" applyFill="1" applyBorder="1" applyAlignment="1">
      <alignment vertical="center"/>
    </xf>
    <xf numFmtId="0" fontId="32" fillId="10" borderId="14" xfId="0" applyFont="1" applyFill="1" applyBorder="1" applyAlignment="1">
      <alignment vertical="center"/>
    </xf>
    <xf numFmtId="0" fontId="33" fillId="0" borderId="15" xfId="0" applyFont="1" applyBorder="1"/>
    <xf numFmtId="0" fontId="33" fillId="0" borderId="0" xfId="0" applyFont="1"/>
    <xf numFmtId="0" fontId="33" fillId="0" borderId="16" xfId="0" applyFont="1" applyBorder="1"/>
    <xf numFmtId="0" fontId="34" fillId="0" borderId="15" xfId="0" applyFont="1" applyBorder="1"/>
    <xf numFmtId="0" fontId="35" fillId="2" borderId="0" xfId="0" applyFont="1" applyFill="1"/>
    <xf numFmtId="0" fontId="36" fillId="2" borderId="0" xfId="0" applyFont="1" applyFill="1"/>
    <xf numFmtId="0" fontId="33" fillId="2" borderId="0" xfId="0" applyFont="1" applyFill="1"/>
    <xf numFmtId="0" fontId="32" fillId="0" borderId="16" xfId="0" applyFont="1" applyBorder="1"/>
    <xf numFmtId="0" fontId="37" fillId="0" borderId="0" xfId="0" applyFont="1"/>
    <xf numFmtId="0" fontId="6" fillId="0" borderId="15" xfId="0" applyFont="1" applyBorder="1"/>
    <xf numFmtId="0" fontId="32" fillId="0" borderId="0" xfId="0" applyFont="1"/>
    <xf numFmtId="0" fontId="6" fillId="0" borderId="17" xfId="0" applyFont="1" applyBorder="1"/>
    <xf numFmtId="0" fontId="6" fillId="0" borderId="18" xfId="0" applyFont="1" applyBorder="1"/>
    <xf numFmtId="0" fontId="32" fillId="0" borderId="18" xfId="0" applyFont="1" applyBorder="1"/>
    <xf numFmtId="0" fontId="32" fillId="0" borderId="19" xfId="0" applyFont="1" applyBorder="1"/>
    <xf numFmtId="0" fontId="41" fillId="11" borderId="20" xfId="10" applyFont="1" applyFill="1" applyBorder="1"/>
    <xf numFmtId="0" fontId="25" fillId="0" borderId="0" xfId="10" applyFont="1"/>
    <xf numFmtId="0" fontId="43" fillId="0" borderId="0" xfId="10" applyFont="1"/>
    <xf numFmtId="0" fontId="28" fillId="0" borderId="0" xfId="10" applyFont="1" applyAlignment="1">
      <alignment horizontal="left"/>
    </xf>
    <xf numFmtId="0" fontId="29" fillId="0" borderId="0" xfId="10" applyFont="1" applyAlignment="1">
      <alignment horizontal="left"/>
    </xf>
    <xf numFmtId="0" fontId="4" fillId="0" borderId="0" xfId="10" applyFont="1" applyAlignment="1">
      <alignment horizontal="left"/>
    </xf>
    <xf numFmtId="49" fontId="5" fillId="0" borderId="0" xfId="0" applyNumberFormat="1" applyFont="1"/>
    <xf numFmtId="49" fontId="5" fillId="12" borderId="21" xfId="0" applyNumberFormat="1" applyFont="1" applyFill="1" applyBorder="1" applyAlignment="1">
      <alignment horizontal="center"/>
    </xf>
    <xf numFmtId="49" fontId="5" fillId="13" borderId="21" xfId="0" applyNumberFormat="1" applyFont="1" applyFill="1" applyBorder="1" applyAlignment="1">
      <alignment horizontal="center"/>
    </xf>
    <xf numFmtId="49" fontId="5" fillId="14" borderId="21" xfId="0" applyNumberFormat="1" applyFont="1" applyFill="1" applyBorder="1" applyAlignment="1">
      <alignment horizontal="center"/>
    </xf>
    <xf numFmtId="0" fontId="6" fillId="0" borderId="21" xfId="10" applyFont="1" applyBorder="1" applyAlignment="1">
      <alignment horizontal="center"/>
    </xf>
    <xf numFmtId="49" fontId="5" fillId="3" borderId="0" xfId="0" applyNumberFormat="1" applyFont="1" applyFill="1"/>
    <xf numFmtId="49" fontId="5" fillId="3" borderId="0" xfId="0" applyNumberFormat="1" applyFont="1" applyFill="1" applyAlignment="1">
      <alignment horizontal="center"/>
    </xf>
    <xf numFmtId="0" fontId="6" fillId="3" borderId="0" xfId="10" applyFont="1" applyFill="1" applyAlignment="1">
      <alignment horizontal="center"/>
    </xf>
    <xf numFmtId="0" fontId="6" fillId="0" borderId="0" xfId="10" applyFont="1" applyAlignment="1">
      <alignment horizontal="center"/>
    </xf>
    <xf numFmtId="49" fontId="25" fillId="0" borderId="0" xfId="0" applyNumberFormat="1" applyFont="1"/>
    <xf numFmtId="0" fontId="44" fillId="0" borderId="22" xfId="0" applyFont="1" applyBorder="1" applyAlignment="1">
      <alignment horizontal="center" textRotation="255"/>
    </xf>
    <xf numFmtId="0" fontId="25" fillId="15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46" fillId="3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 textRotation="255" wrapText="1"/>
    </xf>
    <xf numFmtId="49" fontId="48" fillId="0" borderId="0" xfId="0" applyNumberFormat="1" applyFont="1" applyAlignment="1">
      <alignment textRotation="255"/>
    </xf>
    <xf numFmtId="0" fontId="49" fillId="0" borderId="22" xfId="0" applyFont="1" applyBorder="1" applyAlignment="1">
      <alignment horizontal="center" textRotation="255"/>
    </xf>
    <xf numFmtId="0" fontId="5" fillId="3" borderId="0" xfId="0" applyFont="1" applyFill="1" applyAlignment="1">
      <alignment horizontal="center" textRotation="255" wrapText="1"/>
    </xf>
    <xf numFmtId="0" fontId="5" fillId="3" borderId="0" xfId="0" applyFont="1" applyFill="1" applyAlignment="1">
      <alignment horizontal="center" textRotation="255"/>
    </xf>
    <xf numFmtId="0" fontId="25" fillId="0" borderId="0" xfId="0" applyFont="1" applyAlignment="1">
      <alignment horizontal="center" textRotation="255"/>
    </xf>
    <xf numFmtId="0" fontId="25" fillId="0" borderId="0" xfId="0" applyFont="1" applyAlignment="1">
      <alignment textRotation="255"/>
    </xf>
    <xf numFmtId="0" fontId="50" fillId="0" borderId="0" xfId="0" applyFont="1" applyAlignment="1">
      <alignment horizontal="center"/>
    </xf>
    <xf numFmtId="49" fontId="51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49" fontId="52" fillId="0" borderId="0" xfId="0" applyNumberFormat="1" applyFont="1" applyAlignment="1">
      <alignment horizontal="right"/>
    </xf>
    <xf numFmtId="0" fontId="53" fillId="0" borderId="0" xfId="0" applyFont="1" applyAlignment="1">
      <alignment horizontal="center"/>
    </xf>
    <xf numFmtId="49" fontId="25" fillId="3" borderId="0" xfId="0" applyNumberFormat="1" applyFont="1" applyFill="1" applyAlignment="1">
      <alignment horizont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/>
    </xf>
    <xf numFmtId="49" fontId="56" fillId="0" borderId="0" xfId="0" applyNumberFormat="1" applyFont="1" applyAlignment="1">
      <alignment horizontal="center"/>
    </xf>
    <xf numFmtId="49" fontId="46" fillId="0" borderId="0" xfId="0" applyNumberFormat="1" applyFont="1" applyAlignment="1">
      <alignment horizontal="center"/>
    </xf>
    <xf numFmtId="49" fontId="57" fillId="15" borderId="0" xfId="0" applyNumberFormat="1" applyFont="1" applyFill="1" applyAlignment="1">
      <alignment horizontal="center" vertical="center"/>
    </xf>
    <xf numFmtId="0" fontId="5" fillId="15" borderId="0" xfId="0" applyFont="1" applyFill="1" applyAlignment="1">
      <alignment horizontal="center"/>
    </xf>
    <xf numFmtId="0" fontId="5" fillId="15" borderId="0" xfId="0" applyFont="1" applyFill="1"/>
    <xf numFmtId="0" fontId="58" fillId="0" borderId="22" xfId="0" applyFont="1" applyBorder="1" applyAlignment="1">
      <alignment horizontal="center" textRotation="255"/>
    </xf>
    <xf numFmtId="49" fontId="59" fillId="0" borderId="0" xfId="0" applyNumberFormat="1" applyFont="1"/>
    <xf numFmtId="0" fontId="25" fillId="0" borderId="15" xfId="0" applyFont="1" applyBorder="1"/>
    <xf numFmtId="0" fontId="25" fillId="0" borderId="16" xfId="0" applyFont="1" applyBorder="1"/>
    <xf numFmtId="0" fontId="31" fillId="9" borderId="9" xfId="0" applyFont="1" applyFill="1" applyBorder="1" applyAlignment="1">
      <alignment vertical="center"/>
    </xf>
    <xf numFmtId="0" fontId="26" fillId="0" borderId="0" xfId="9" applyAlignment="1"/>
    <xf numFmtId="0" fontId="37" fillId="16" borderId="0" xfId="0" applyFont="1" applyFill="1"/>
    <xf numFmtId="0" fontId="33" fillId="16" borderId="0" xfId="0" applyFont="1" applyFill="1"/>
    <xf numFmtId="0" fontId="5" fillId="16" borderId="0" xfId="0" applyFont="1" applyFill="1"/>
    <xf numFmtId="0" fontId="39" fillId="16" borderId="0" xfId="0" quotePrefix="1" applyFont="1" applyFill="1"/>
    <xf numFmtId="0" fontId="38" fillId="0" borderId="0" xfId="0" applyFont="1" applyAlignment="1">
      <alignment horizontal="left" vertical="top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 vertical="center"/>
    </xf>
    <xf numFmtId="0" fontId="38" fillId="16" borderId="0" xfId="0" applyFont="1" applyFill="1" applyAlignment="1">
      <alignment horizontal="right"/>
    </xf>
    <xf numFmtId="0" fontId="32" fillId="16" borderId="0" xfId="0" applyFont="1" applyFill="1"/>
    <xf numFmtId="0" fontId="35" fillId="2" borderId="0" xfId="0" applyFont="1" applyFill="1" applyAlignment="1">
      <alignment horizontal="left"/>
    </xf>
    <xf numFmtId="0" fontId="32" fillId="16" borderId="0" xfId="0" applyFont="1" applyFill="1" applyAlignment="1">
      <alignment horizontal="left"/>
    </xf>
    <xf numFmtId="0" fontId="37" fillId="16" borderId="0" xfId="0" applyFont="1" applyFill="1" applyAlignment="1">
      <alignment horizontal="left"/>
    </xf>
    <xf numFmtId="0" fontId="33" fillId="16" borderId="0" xfId="0" applyFont="1" applyFill="1" applyAlignment="1">
      <alignment horizontal="left"/>
    </xf>
    <xf numFmtId="0" fontId="25" fillId="16" borderId="0" xfId="0" applyFont="1" applyFill="1"/>
    <xf numFmtId="49" fontId="5" fillId="12" borderId="7" xfId="0" applyNumberFormat="1" applyFont="1" applyFill="1" applyBorder="1" applyAlignment="1">
      <alignment horizontal="left" vertical="center"/>
    </xf>
    <xf numFmtId="49" fontId="5" fillId="16" borderId="7" xfId="0" applyNumberFormat="1" applyFont="1" applyFill="1" applyBorder="1" applyAlignment="1">
      <alignment horizontal="left" vertical="center"/>
    </xf>
    <xf numFmtId="49" fontId="46" fillId="16" borderId="26" xfId="0" applyNumberFormat="1" applyFont="1" applyFill="1" applyBorder="1" applyAlignment="1">
      <alignment horizontal="center" vertical="center"/>
    </xf>
    <xf numFmtId="49" fontId="46" fillId="16" borderId="27" xfId="0" applyNumberFormat="1" applyFont="1" applyFill="1" applyBorder="1" applyAlignment="1">
      <alignment horizontal="center" vertical="center"/>
    </xf>
    <xf numFmtId="49" fontId="25" fillId="16" borderId="27" xfId="0" applyNumberFormat="1" applyFont="1" applyFill="1" applyBorder="1" applyAlignment="1">
      <alignment horizontal="center" vertical="center"/>
    </xf>
    <xf numFmtId="49" fontId="5" fillId="16" borderId="7" xfId="0" applyNumberFormat="1" applyFont="1" applyFill="1" applyBorder="1" applyAlignment="1">
      <alignment horizontal="left" vertical="center" wrapText="1"/>
    </xf>
    <xf numFmtId="49" fontId="21" fillId="16" borderId="7" xfId="0" applyNumberFormat="1" applyFont="1" applyFill="1" applyBorder="1" applyAlignment="1">
      <alignment horizontal="left" vertical="center" wrapText="1"/>
    </xf>
    <xf numFmtId="49" fontId="63" fillId="16" borderId="7" xfId="0" applyNumberFormat="1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27" fillId="8" borderId="12" xfId="0" applyFont="1" applyFill="1" applyBorder="1" applyAlignment="1">
      <alignment horizontal="left" vertical="center"/>
    </xf>
    <xf numFmtId="0" fontId="0" fillId="0" borderId="16" xfId="0" applyBorder="1"/>
    <xf numFmtId="0" fontId="30" fillId="0" borderId="15" xfId="0" applyFont="1" applyBorder="1" applyAlignment="1">
      <alignment horizontal="left" vertical="center"/>
    </xf>
    <xf numFmtId="0" fontId="64" fillId="9" borderId="34" xfId="0" applyFont="1" applyFill="1" applyBorder="1" applyAlignment="1">
      <alignment horizontal="left" vertical="center"/>
    </xf>
    <xf numFmtId="0" fontId="32" fillId="10" borderId="35" xfId="0" applyFont="1" applyFill="1" applyBorder="1" applyAlignment="1">
      <alignment horizontal="left" vertical="center"/>
    </xf>
    <xf numFmtId="0" fontId="66" fillId="9" borderId="34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45" fillId="15" borderId="36" xfId="0" applyNumberFormat="1" applyFont="1" applyFill="1" applyBorder="1" applyAlignment="1">
      <alignment horizontal="left" vertical="center"/>
    </xf>
    <xf numFmtId="49" fontId="45" fillId="15" borderId="33" xfId="0" applyNumberFormat="1" applyFont="1" applyFill="1" applyBorder="1" applyAlignment="1">
      <alignment horizontal="left" vertical="center"/>
    </xf>
    <xf numFmtId="0" fontId="25" fillId="15" borderId="8" xfId="0" applyFont="1" applyFill="1" applyBorder="1" applyAlignment="1">
      <alignment horizontal="center"/>
    </xf>
    <xf numFmtId="49" fontId="46" fillId="12" borderId="7" xfId="0" applyNumberFormat="1" applyFont="1" applyFill="1" applyBorder="1" applyAlignment="1">
      <alignment horizontal="center" vertical="center"/>
    </xf>
    <xf numFmtId="49" fontId="46" fillId="16" borderId="7" xfId="0" applyNumberFormat="1" applyFont="1" applyFill="1" applyBorder="1" applyAlignment="1">
      <alignment horizontal="center" vertical="center"/>
    </xf>
    <xf numFmtId="0" fontId="68" fillId="0" borderId="15" xfId="0" applyFont="1" applyBorder="1" applyAlignment="1">
      <alignment horizontal="right" vertical="center"/>
    </xf>
    <xf numFmtId="49" fontId="5" fillId="0" borderId="7" xfId="0" applyNumberFormat="1" applyFont="1" applyBorder="1" applyAlignment="1">
      <alignment horizontal="left"/>
    </xf>
    <xf numFmtId="0" fontId="68" fillId="17" borderId="15" xfId="0" applyFont="1" applyFill="1" applyBorder="1" applyAlignment="1">
      <alignment horizontal="right" vertical="center"/>
    </xf>
    <xf numFmtId="49" fontId="5" fillId="16" borderId="8" xfId="0" applyNumberFormat="1" applyFont="1" applyFill="1" applyBorder="1" applyAlignment="1">
      <alignment horizontal="left" vertical="center"/>
    </xf>
    <xf numFmtId="49" fontId="30" fillId="16" borderId="7" xfId="0" applyNumberFormat="1" applyFont="1" applyFill="1" applyBorder="1" applyAlignment="1">
      <alignment horizontal="center" vertical="center"/>
    </xf>
    <xf numFmtId="0" fontId="30" fillId="16" borderId="7" xfId="0" applyFont="1" applyFill="1" applyBorder="1" applyAlignment="1">
      <alignment horizontal="center"/>
    </xf>
    <xf numFmtId="0" fontId="0" fillId="0" borderId="15" xfId="0" applyBorder="1"/>
    <xf numFmtId="49" fontId="5" fillId="16" borderId="29" xfId="0" applyNumberFormat="1" applyFont="1" applyFill="1" applyBorder="1" applyAlignment="1">
      <alignment horizontal="left"/>
    </xf>
    <xf numFmtId="49" fontId="5" fillId="16" borderId="30" xfId="0" applyNumberFormat="1" applyFont="1" applyFill="1" applyBorder="1" applyAlignment="1">
      <alignment horizontal="left" wrapText="1"/>
    </xf>
    <xf numFmtId="49" fontId="5" fillId="16" borderId="30" xfId="0" applyNumberFormat="1" applyFont="1" applyFill="1" applyBorder="1" applyAlignment="1">
      <alignment horizontal="left"/>
    </xf>
    <xf numFmtId="49" fontId="5" fillId="16" borderId="31" xfId="0" applyNumberFormat="1" applyFont="1" applyFill="1" applyBorder="1" applyAlignment="1">
      <alignment horizontal="left"/>
    </xf>
    <xf numFmtId="49" fontId="5" fillId="12" borderId="21" xfId="0" applyNumberFormat="1" applyFont="1" applyFill="1" applyBorder="1" applyAlignment="1">
      <alignment horizontal="left" vertical="center"/>
    </xf>
    <xf numFmtId="49" fontId="25" fillId="16" borderId="0" xfId="0" applyNumberFormat="1" applyFont="1" applyFill="1" applyAlignment="1">
      <alignment horizontal="center" vertical="center"/>
    </xf>
    <xf numFmtId="49" fontId="46" fillId="16" borderId="0" xfId="0" applyNumberFormat="1" applyFont="1" applyFill="1" applyAlignment="1">
      <alignment horizontal="center" vertical="center"/>
    </xf>
    <xf numFmtId="0" fontId="46" fillId="16" borderId="0" xfId="0" applyFont="1" applyFill="1" applyAlignment="1">
      <alignment horizontal="center"/>
    </xf>
    <xf numFmtId="49" fontId="5" fillId="16" borderId="0" xfId="0" applyNumberFormat="1" applyFont="1" applyFill="1" applyAlignment="1">
      <alignment horizontal="left" vertical="center"/>
    </xf>
    <xf numFmtId="49" fontId="5" fillId="16" borderId="0" xfId="0" applyNumberFormat="1" applyFont="1" applyFill="1" applyAlignment="1">
      <alignment horizontal="center" wrapText="1"/>
    </xf>
    <xf numFmtId="49" fontId="5" fillId="16" borderId="0" xfId="0" applyNumberFormat="1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49" fontId="25" fillId="16" borderId="0" xfId="0" applyNumberFormat="1" applyFont="1" applyFill="1" applyAlignment="1">
      <alignment horizontal="center"/>
    </xf>
    <xf numFmtId="49" fontId="45" fillId="15" borderId="23" xfId="0" applyNumberFormat="1" applyFont="1" applyFill="1" applyBorder="1" applyAlignment="1">
      <alignment vertical="center"/>
    </xf>
    <xf numFmtId="49" fontId="45" fillId="15" borderId="24" xfId="0" applyNumberFormat="1" applyFont="1" applyFill="1" applyBorder="1" applyAlignment="1">
      <alignment vertical="center"/>
    </xf>
    <xf numFmtId="49" fontId="45" fillId="16" borderId="0" xfId="0" applyNumberFormat="1" applyFont="1" applyFill="1" applyAlignment="1">
      <alignment vertical="center"/>
    </xf>
    <xf numFmtId="49" fontId="69" fillId="0" borderId="0" xfId="0" applyNumberFormat="1" applyFont="1" applyAlignment="1">
      <alignment horizontal="right"/>
    </xf>
    <xf numFmtId="49" fontId="30" fillId="16" borderId="0" xfId="0" applyNumberFormat="1" applyFont="1" applyFill="1" applyAlignment="1">
      <alignment horizontal="center" vertical="center"/>
    </xf>
    <xf numFmtId="0" fontId="30" fillId="16" borderId="0" xfId="0" applyFont="1" applyFill="1" applyAlignment="1">
      <alignment horizontal="center"/>
    </xf>
    <xf numFmtId="49" fontId="63" fillId="16" borderId="0" xfId="0" applyNumberFormat="1" applyFont="1" applyFill="1" applyAlignment="1">
      <alignment horizontal="left" vertical="center" wrapText="1"/>
    </xf>
    <xf numFmtId="49" fontId="5" fillId="16" borderId="0" xfId="0" applyNumberFormat="1" applyFont="1" applyFill="1" applyAlignment="1">
      <alignment horizontal="left"/>
    </xf>
    <xf numFmtId="49" fontId="5" fillId="14" borderId="0" xfId="0" applyNumberFormat="1" applyFont="1" applyFill="1" applyAlignment="1">
      <alignment horizontal="left"/>
    </xf>
    <xf numFmtId="49" fontId="57" fillId="16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/>
    </xf>
    <xf numFmtId="49" fontId="5" fillId="0" borderId="0" xfId="0" applyNumberFormat="1" applyFont="1" applyAlignment="1">
      <alignment horizontal="left"/>
    </xf>
    <xf numFmtId="49" fontId="30" fillId="16" borderId="27" xfId="0" applyNumberFormat="1" applyFont="1" applyFill="1" applyBorder="1" applyAlignment="1">
      <alignment horizontal="center" vertical="center"/>
    </xf>
    <xf numFmtId="49" fontId="57" fillId="15" borderId="23" xfId="0" applyNumberFormat="1" applyFont="1" applyFill="1" applyBorder="1" applyAlignment="1">
      <alignment vertical="center"/>
    </xf>
    <xf numFmtId="49" fontId="57" fillId="15" borderId="24" xfId="0" applyNumberFormat="1" applyFont="1" applyFill="1" applyBorder="1" applyAlignment="1">
      <alignment vertical="center"/>
    </xf>
    <xf numFmtId="49" fontId="57" fillId="16" borderId="0" xfId="0" applyNumberFormat="1" applyFont="1" applyFill="1" applyAlignment="1">
      <alignment vertical="center"/>
    </xf>
    <xf numFmtId="49" fontId="5" fillId="16" borderId="0" xfId="0" applyNumberFormat="1" applyFont="1" applyFill="1" applyAlignment="1">
      <alignment textRotation="255" wrapText="1"/>
    </xf>
    <xf numFmtId="49" fontId="5" fillId="16" borderId="0" xfId="0" applyNumberFormat="1" applyFont="1" applyFill="1" applyAlignment="1">
      <alignment textRotation="255"/>
    </xf>
    <xf numFmtId="49" fontId="5" fillId="16" borderId="0" xfId="0" applyNumberFormat="1" applyFont="1" applyFill="1" applyAlignment="1">
      <alignment horizontal="center" textRotation="255"/>
    </xf>
    <xf numFmtId="49" fontId="5" fillId="16" borderId="0" xfId="0" applyNumberFormat="1" applyFont="1" applyFill="1" applyAlignment="1">
      <alignment horizontal="center" textRotation="255" wrapText="1"/>
    </xf>
    <xf numFmtId="0" fontId="5" fillId="16" borderId="0" xfId="0" applyFont="1" applyFill="1" applyAlignment="1">
      <alignment horizontal="center" textRotation="255"/>
    </xf>
    <xf numFmtId="0" fontId="5" fillId="16" borderId="0" xfId="0" applyFont="1" applyFill="1" applyAlignment="1">
      <alignment horizontal="center" textRotation="255" wrapText="1"/>
    </xf>
    <xf numFmtId="0" fontId="5" fillId="16" borderId="0" xfId="0" applyFont="1" applyFill="1" applyAlignment="1">
      <alignment textRotation="255"/>
    </xf>
    <xf numFmtId="49" fontId="40" fillId="16" borderId="0" xfId="0" applyNumberFormat="1" applyFont="1" applyFill="1" applyAlignment="1">
      <alignment horizontal="center"/>
    </xf>
    <xf numFmtId="22" fontId="5" fillId="16" borderId="0" xfId="0" applyNumberFormat="1" applyFont="1" applyFill="1" applyAlignment="1">
      <alignment horizontal="center"/>
    </xf>
    <xf numFmtId="49" fontId="5" fillId="12" borderId="21" xfId="0" applyNumberFormat="1" applyFont="1" applyFill="1" applyBorder="1" applyAlignment="1">
      <alignment horizontal="left"/>
    </xf>
    <xf numFmtId="49" fontId="5" fillId="16" borderId="26" xfId="0" applyNumberFormat="1" applyFont="1" applyFill="1" applyBorder="1" applyAlignment="1">
      <alignment horizontal="left"/>
    </xf>
    <xf numFmtId="49" fontId="5" fillId="16" borderId="27" xfId="0" applyNumberFormat="1" applyFont="1" applyFill="1" applyBorder="1" applyAlignment="1">
      <alignment horizontal="left"/>
    </xf>
    <xf numFmtId="49" fontId="5" fillId="18" borderId="27" xfId="0" applyNumberFormat="1" applyFont="1" applyFill="1" applyBorder="1" applyAlignment="1">
      <alignment horizontal="left"/>
    </xf>
    <xf numFmtId="49" fontId="5" fillId="16" borderId="28" xfId="0" applyNumberFormat="1" applyFont="1" applyFill="1" applyBorder="1" applyAlignment="1">
      <alignment horizontal="left"/>
    </xf>
    <xf numFmtId="49" fontId="5" fillId="19" borderId="27" xfId="0" applyNumberFormat="1" applyFont="1" applyFill="1" applyBorder="1" applyAlignment="1">
      <alignment horizontal="left"/>
    </xf>
    <xf numFmtId="49" fontId="40" fillId="16" borderId="26" xfId="0" applyNumberFormat="1" applyFont="1" applyFill="1" applyBorder="1" applyAlignment="1">
      <alignment horizontal="left"/>
    </xf>
    <xf numFmtId="0" fontId="58" fillId="0" borderId="0" xfId="0" applyFont="1" applyAlignment="1">
      <alignment horizontal="center" textRotation="255"/>
    </xf>
    <xf numFmtId="49" fontId="5" fillId="18" borderId="0" xfId="0" applyNumberFormat="1" applyFont="1" applyFill="1" applyAlignment="1">
      <alignment horizontal="center"/>
    </xf>
    <xf numFmtId="49" fontId="6" fillId="16" borderId="0" xfId="0" applyNumberFormat="1" applyFont="1" applyFill="1" applyAlignment="1">
      <alignment horizontal="center"/>
    </xf>
    <xf numFmtId="49" fontId="5" fillId="16" borderId="21" xfId="0" applyNumberFormat="1" applyFont="1" applyFill="1" applyBorder="1" applyAlignment="1">
      <alignment horizontal="left" vertical="center"/>
    </xf>
    <xf numFmtId="49" fontId="5" fillId="16" borderId="21" xfId="0" applyNumberFormat="1" applyFont="1" applyFill="1" applyBorder="1" applyAlignment="1">
      <alignment horizontal="left"/>
    </xf>
    <xf numFmtId="49" fontId="5" fillId="19" borderId="0" xfId="0" applyNumberFormat="1" applyFont="1" applyFill="1" applyAlignment="1">
      <alignment horizontal="left"/>
    </xf>
    <xf numFmtId="0" fontId="49" fillId="0" borderId="0" xfId="0" applyFont="1" applyAlignment="1">
      <alignment horizontal="center" textRotation="255"/>
    </xf>
    <xf numFmtId="49" fontId="25" fillId="16" borderId="0" xfId="0" applyNumberFormat="1" applyFont="1" applyFill="1"/>
    <xf numFmtId="0" fontId="52" fillId="16" borderId="0" xfId="0" applyFont="1" applyFill="1" applyAlignment="1">
      <alignment horizontal="center"/>
    </xf>
    <xf numFmtId="0" fontId="6" fillId="16" borderId="0" xfId="0" applyFont="1" applyFill="1"/>
    <xf numFmtId="0" fontId="44" fillId="16" borderId="0" xfId="0" applyFont="1" applyFill="1" applyAlignment="1">
      <alignment horizontal="center" textRotation="255"/>
    </xf>
    <xf numFmtId="0" fontId="47" fillId="16" borderId="0" xfId="0" applyFont="1" applyFill="1" applyAlignment="1">
      <alignment horizontal="center" textRotation="255" wrapText="1"/>
    </xf>
    <xf numFmtId="49" fontId="48" fillId="16" borderId="0" xfId="0" applyNumberFormat="1" applyFont="1" applyFill="1" applyAlignment="1">
      <alignment textRotation="255"/>
    </xf>
    <xf numFmtId="0" fontId="49" fillId="16" borderId="0" xfId="0" applyFont="1" applyFill="1" applyAlignment="1">
      <alignment horizontal="center" textRotation="255"/>
    </xf>
    <xf numFmtId="49" fontId="30" fillId="16" borderId="0" xfId="0" applyNumberFormat="1" applyFont="1" applyFill="1" applyAlignment="1">
      <alignment textRotation="255"/>
    </xf>
    <xf numFmtId="49" fontId="30" fillId="16" borderId="0" xfId="0" applyNumberFormat="1" applyFont="1" applyFill="1" applyAlignment="1">
      <alignment textRotation="255" wrapText="1"/>
    </xf>
    <xf numFmtId="49" fontId="30" fillId="16" borderId="0" xfId="0" applyNumberFormat="1" applyFont="1" applyFill="1" applyAlignment="1">
      <alignment horizontal="center" textRotation="255"/>
    </xf>
    <xf numFmtId="0" fontId="25" fillId="16" borderId="0" xfId="0" applyFont="1" applyFill="1" applyAlignment="1">
      <alignment horizontal="center" textRotation="255"/>
    </xf>
    <xf numFmtId="0" fontId="50" fillId="16" borderId="0" xfId="0" applyFont="1" applyFill="1" applyAlignment="1">
      <alignment horizontal="center"/>
    </xf>
    <xf numFmtId="49" fontId="51" fillId="16" borderId="0" xfId="0" applyNumberFormat="1" applyFont="1" applyFill="1" applyAlignment="1">
      <alignment horizontal="center"/>
    </xf>
    <xf numFmtId="0" fontId="54" fillId="16" borderId="0" xfId="0" applyFont="1" applyFill="1" applyAlignment="1">
      <alignment horizontal="center" vertical="center"/>
    </xf>
    <xf numFmtId="49" fontId="52" fillId="16" borderId="0" xfId="0" applyNumberFormat="1" applyFont="1" applyFill="1" applyAlignment="1">
      <alignment horizontal="right"/>
    </xf>
    <xf numFmtId="0" fontId="53" fillId="16" borderId="0" xfId="0" applyFont="1" applyFill="1" applyAlignment="1">
      <alignment horizontal="center"/>
    </xf>
    <xf numFmtId="0" fontId="60" fillId="16" borderId="0" xfId="0" applyFont="1" applyFill="1"/>
    <xf numFmtId="0" fontId="30" fillId="16" borderId="0" xfId="0" applyFont="1" applyFill="1"/>
    <xf numFmtId="0" fontId="28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25" fillId="0" borderId="15" xfId="0" applyNumberFormat="1" applyFont="1" applyBorder="1"/>
    <xf numFmtId="0" fontId="30" fillId="0" borderId="15" xfId="0" applyFont="1" applyBorder="1" applyAlignment="1">
      <alignment horizontal="right"/>
    </xf>
    <xf numFmtId="49" fontId="48" fillId="0" borderId="15" xfId="0" applyNumberFormat="1" applyFont="1" applyBorder="1" applyAlignment="1">
      <alignment textRotation="255"/>
    </xf>
    <xf numFmtId="49" fontId="51" fillId="0" borderId="15" xfId="0" applyNumberFormat="1" applyFont="1" applyBorder="1" applyAlignment="1">
      <alignment horizontal="center"/>
    </xf>
    <xf numFmtId="0" fontId="17" fillId="0" borderId="0" xfId="0" applyFont="1"/>
    <xf numFmtId="0" fontId="6" fillId="0" borderId="16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9" fillId="8" borderId="39" xfId="0" applyFont="1" applyFill="1" applyBorder="1" applyAlignment="1">
      <alignment horizontal="left" vertical="center"/>
    </xf>
    <xf numFmtId="0" fontId="26" fillId="0" borderId="7" xfId="9" applyBorder="1" applyAlignment="1" applyProtection="1">
      <alignment horizontal="center" vertical="center" wrapText="1"/>
    </xf>
    <xf numFmtId="0" fontId="26" fillId="3" borderId="7" xfId="9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0" fontId="32" fillId="10" borderId="40" xfId="0" applyFont="1" applyFill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5" fillId="15" borderId="16" xfId="0" applyFont="1" applyFill="1" applyBorder="1"/>
    <xf numFmtId="0" fontId="30" fillId="16" borderId="41" xfId="0" applyFont="1" applyFill="1" applyBorder="1" applyAlignment="1">
      <alignment horizontal="center"/>
    </xf>
    <xf numFmtId="49" fontId="63" fillId="16" borderId="41" xfId="0" applyNumberFormat="1" applyFont="1" applyFill="1" applyBorder="1" applyAlignment="1">
      <alignment horizontal="left" vertical="center" wrapText="1"/>
    </xf>
    <xf numFmtId="49" fontId="5" fillId="16" borderId="41" xfId="0" applyNumberFormat="1" applyFont="1" applyFill="1" applyBorder="1" applyAlignment="1">
      <alignment horizontal="left" vertical="center"/>
    </xf>
    <xf numFmtId="49" fontId="5" fillId="16" borderId="42" xfId="0" applyNumberFormat="1" applyFont="1" applyFill="1" applyBorder="1" applyAlignment="1">
      <alignment horizontal="left" vertical="center"/>
    </xf>
    <xf numFmtId="49" fontId="5" fillId="16" borderId="43" xfId="0" applyNumberFormat="1" applyFont="1" applyFill="1" applyBorder="1" applyAlignment="1">
      <alignment horizontal="left"/>
    </xf>
    <xf numFmtId="49" fontId="5" fillId="16" borderId="16" xfId="0" applyNumberFormat="1" applyFont="1" applyFill="1" applyBorder="1" applyAlignment="1">
      <alignment horizontal="left"/>
    </xf>
    <xf numFmtId="0" fontId="26" fillId="0" borderId="19" xfId="9" applyFill="1" applyBorder="1" applyAlignment="1">
      <alignment horizontal="left" vertical="center"/>
    </xf>
    <xf numFmtId="49" fontId="40" fillId="16" borderId="0" xfId="0" applyNumberFormat="1" applyFont="1" applyFill="1" applyAlignment="1">
      <alignment horizontal="left"/>
    </xf>
    <xf numFmtId="0" fontId="63" fillId="0" borderId="7" xfId="0" applyFont="1" applyBorder="1" applyAlignment="1">
      <alignment horizontal="right" vertical="center" wrapText="1"/>
    </xf>
    <xf numFmtId="0" fontId="63" fillId="20" borderId="7" xfId="0" applyFont="1" applyFill="1" applyBorder="1" applyAlignment="1">
      <alignment horizontal="left" vertical="center" wrapText="1"/>
    </xf>
    <xf numFmtId="0" fontId="63" fillId="0" borderId="7" xfId="0" applyFont="1" applyBorder="1" applyAlignment="1">
      <alignment horizontal="left" vertical="center" wrapText="1"/>
    </xf>
    <xf numFmtId="0" fontId="63" fillId="0" borderId="7" xfId="0" applyFont="1" applyBorder="1" applyAlignment="1">
      <alignment horizontal="center" vertical="center" wrapText="1"/>
    </xf>
    <xf numFmtId="49" fontId="5" fillId="21" borderId="26" xfId="0" applyNumberFormat="1" applyFont="1" applyFill="1" applyBorder="1" applyAlignment="1">
      <alignment horizontal="left"/>
    </xf>
    <xf numFmtId="49" fontId="40" fillId="21" borderId="26" xfId="0" applyNumberFormat="1" applyFont="1" applyFill="1" applyBorder="1" applyAlignment="1">
      <alignment horizontal="left"/>
    </xf>
    <xf numFmtId="49" fontId="5" fillId="21" borderId="0" xfId="0" applyNumberFormat="1" applyFont="1" applyFill="1" applyAlignment="1">
      <alignment horizontal="left"/>
    </xf>
    <xf numFmtId="49" fontId="5" fillId="21" borderId="27" xfId="0" applyNumberFormat="1" applyFont="1" applyFill="1" applyBorder="1" applyAlignment="1">
      <alignment horizontal="left"/>
    </xf>
    <xf numFmtId="0" fontId="6" fillId="21" borderId="0" xfId="0" applyFont="1" applyFill="1" applyAlignment="1">
      <alignment horizontal="left" vertical="center"/>
    </xf>
    <xf numFmtId="49" fontId="45" fillId="15" borderId="24" xfId="0" applyNumberFormat="1" applyFont="1" applyFill="1" applyBorder="1" applyAlignment="1">
      <alignment horizontal="left" vertical="center"/>
    </xf>
    <xf numFmtId="49" fontId="45" fillId="15" borderId="25" xfId="0" applyNumberFormat="1" applyFont="1" applyFill="1" applyBorder="1" applyAlignment="1">
      <alignment horizontal="left" vertical="center"/>
    </xf>
    <xf numFmtId="49" fontId="5" fillId="16" borderId="44" xfId="0" applyNumberFormat="1" applyFont="1" applyFill="1" applyBorder="1" applyAlignment="1">
      <alignment horizontal="left"/>
    </xf>
    <xf numFmtId="49" fontId="40" fillId="16" borderId="43" xfId="0" applyNumberFormat="1" applyFont="1" applyFill="1" applyBorder="1" applyAlignment="1">
      <alignment horizontal="left"/>
    </xf>
    <xf numFmtId="14" fontId="17" fillId="0" borderId="2" xfId="6" applyNumberFormat="1" applyFont="1" applyBorder="1" applyAlignment="1">
      <alignment horizontal="center" vertical="center"/>
    </xf>
    <xf numFmtId="0" fontId="73" fillId="0" borderId="7" xfId="0" applyFont="1" applyBorder="1" applyAlignment="1">
      <alignment horizontal="left" vertical="center" wrapText="1"/>
    </xf>
    <xf numFmtId="0" fontId="71" fillId="0" borderId="7" xfId="6" applyFont="1" applyBorder="1" applyAlignment="1">
      <alignment horizontal="center" vertical="center"/>
    </xf>
    <xf numFmtId="49" fontId="74" fillId="0" borderId="0" xfId="0" applyNumberFormat="1" applyFont="1" applyAlignment="1">
      <alignment horizontal="right"/>
    </xf>
    <xf numFmtId="0" fontId="32" fillId="16" borderId="7" xfId="0" applyFont="1" applyFill="1" applyBorder="1" applyAlignment="1">
      <alignment horizontal="left"/>
    </xf>
    <xf numFmtId="0" fontId="33" fillId="16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 vertical="center"/>
    </xf>
    <xf numFmtId="0" fontId="10" fillId="5" borderId="1" xfId="4" applyFont="1" applyFill="1" applyBorder="1" applyAlignment="1">
      <alignment horizontal="center" vertical="center"/>
    </xf>
    <xf numFmtId="0" fontId="10" fillId="5" borderId="3" xfId="4" applyFont="1" applyFill="1" applyBorder="1" applyAlignment="1">
      <alignment horizontal="center" vertical="center"/>
    </xf>
    <xf numFmtId="0" fontId="10" fillId="5" borderId="4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14" fontId="14" fillId="0" borderId="7" xfId="4" applyNumberFormat="1" applyFont="1" applyBorder="1" applyAlignment="1">
      <alignment horizontal="center" vertical="center"/>
    </xf>
    <xf numFmtId="14" fontId="14" fillId="0" borderId="2" xfId="4" applyNumberFormat="1" applyFont="1" applyBorder="1" applyAlignment="1">
      <alignment horizontal="center" vertical="center"/>
    </xf>
    <xf numFmtId="0" fontId="61" fillId="0" borderId="7" xfId="4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7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0" fontId="30" fillId="0" borderId="22" xfId="0" applyFont="1" applyBorder="1" applyAlignment="1">
      <alignment horizontal="right"/>
    </xf>
    <xf numFmtId="49" fontId="45" fillId="15" borderId="36" xfId="0" applyNumberFormat="1" applyFont="1" applyFill="1" applyBorder="1" applyAlignment="1">
      <alignment horizontal="left" vertical="center"/>
    </xf>
    <xf numFmtId="49" fontId="45" fillId="15" borderId="33" xfId="0" applyNumberFormat="1" applyFont="1" applyFill="1" applyBorder="1" applyAlignment="1">
      <alignment horizontal="left" vertical="center"/>
    </xf>
    <xf numFmtId="49" fontId="45" fillId="15" borderId="24" xfId="0" applyNumberFormat="1" applyFont="1" applyFill="1" applyBorder="1" applyAlignment="1">
      <alignment horizontal="left" vertical="center"/>
    </xf>
    <xf numFmtId="49" fontId="45" fillId="15" borderId="25" xfId="0" applyNumberFormat="1" applyFont="1" applyFill="1" applyBorder="1" applyAlignment="1">
      <alignment horizontal="left" vertical="center"/>
    </xf>
    <xf numFmtId="0" fontId="42" fillId="11" borderId="20" xfId="10" applyFont="1" applyFill="1" applyBorder="1" applyAlignment="1">
      <alignment horizontal="left"/>
    </xf>
    <xf numFmtId="0" fontId="17" fillId="0" borderId="7" xfId="6" applyFont="1" applyBorder="1"/>
  </cellXfs>
  <cellStyles count="11">
    <cellStyle name="ハイパーリンク 2" xfId="8" xr:uid="{D149D991-5776-4CD5-AAF4-AEFD62EAA993}"/>
    <cellStyle name="百分比" xfId="7" builtinId="5"/>
    <cellStyle name="标题" xfId="1" builtinId="15" hidden="1"/>
    <cellStyle name="标题 1" xfId="2" builtinId="16" hidden="1"/>
    <cellStyle name="標準 12" xfId="4" xr:uid="{2BAF3A1B-EF41-4FCB-8C53-3F485AF21B48}"/>
    <cellStyle name="標準 2" xfId="5" xr:uid="{013EF616-11C4-47C2-968D-263E3B0DFBF8}"/>
    <cellStyle name="標準 2 2" xfId="6" xr:uid="{92D69C64-EA5E-472F-9369-EA5A714066A4}"/>
    <cellStyle name="標準_com_calendar" xfId="3" xr:uid="{3F5F8C79-3F40-4195-AB61-8D095C796329}"/>
    <cellStyle name="標準_ＴＣＮ（4GL）" xfId="10" xr:uid="{CCA9041A-06FE-44F4-94BD-E2C638983A2C}"/>
    <cellStyle name="常规" xfId="0" builtinId="0"/>
    <cellStyle name="超链接" xfId="9" builtinId="8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F5F5F"/>
      <rgbColor rgb="00993300"/>
      <rgbColor rgb="00993366"/>
      <rgbColor rgb="00333399"/>
      <rgbColor rgb="00333333"/>
    </indexedColors>
    <mruColors>
      <color rgb="FFCCFFCC"/>
      <color rgb="FFCCFF99"/>
      <color rgb="FF99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40824CD-C5C0-4A4C-9FD9-C55F36393FA1}"/>
            </a:ext>
          </a:extLst>
        </xdr:cNvPr>
        <xdr:cNvSpPr>
          <a:spLocks noChangeArrowheads="1"/>
        </xdr:cNvSpPr>
      </xdr:nvSpPr>
      <xdr:spPr bwMode="auto">
        <a:xfrm>
          <a:off x="23812" y="1305377"/>
          <a:ext cx="5710238" cy="558348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TCS(PLpgSQL)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B78B9-999B-48C1-BBEE-EB557A01D44B}"/>
            </a:ext>
          </a:extLst>
        </xdr:cNvPr>
        <xdr:cNvSpPr/>
      </xdr:nvSpPr>
      <xdr:spPr>
        <a:xfrm>
          <a:off x="1518285" y="3449638"/>
          <a:ext cx="137160" cy="121920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77F76B-C214-4A45-B42D-1109CCD78704}"/>
            </a:ext>
          </a:extLst>
        </xdr:cNvPr>
        <xdr:cNvSpPr/>
      </xdr:nvSpPr>
      <xdr:spPr>
        <a:xfrm>
          <a:off x="2056447" y="3446145"/>
          <a:ext cx="11207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0</xdr:rowOff>
    </xdr:from>
    <xdr:to>
      <xdr:col>9</xdr:col>
      <xdr:colOff>2295525</xdr:colOff>
      <xdr:row>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D371D6-9E91-4377-AD23-E8B845AF8C54}"/>
            </a:ext>
          </a:extLst>
        </xdr:cNvPr>
        <xdr:cNvSpPr>
          <a:spLocks noChangeArrowheads="1"/>
        </xdr:cNvSpPr>
      </xdr:nvSpPr>
      <xdr:spPr bwMode="auto">
        <a:xfrm>
          <a:off x="333375" y="1704975"/>
          <a:ext cx="65246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DD" mc:Ignorable="a14" a14:legacySpreadsheetColorIndex="43"/>
              </a:solidFill>
            </a14:hiddenFill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--- &lt;&lt;&lt; LG44LT020.4GL &gt;&gt;&gt; --------- ( Start Time : 2006-08-29 14:23:20 ) --- 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[cc3_acum_cost]   Delete Count =           2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[cc_acum_cost_dt] Select Count =           3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[cc3_acum_cost]   Insert Count =           3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--- &lt;&lt;&lt; LG44LT020.4GL &gt;&gt;&gt; --------- ( End   Time : 2006-08-29 14:23:21 ) --- ( Exec :   0:00:00.687 SEC ) --- 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561975</xdr:colOff>
      <xdr:row>89</xdr:row>
      <xdr:rowOff>0</xdr:rowOff>
    </xdr:from>
    <xdr:to>
      <xdr:col>10</xdr:col>
      <xdr:colOff>314325</xdr:colOff>
      <xdr:row>89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82734CD-F705-47EF-8A84-BB8C9C3E5A10}"/>
            </a:ext>
          </a:extLst>
        </xdr:cNvPr>
        <xdr:cNvSpPr>
          <a:spLocks noChangeArrowheads="1"/>
        </xdr:cNvSpPr>
      </xdr:nvSpPr>
      <xdr:spPr bwMode="auto">
        <a:xfrm>
          <a:off x="5057775" y="12020550"/>
          <a:ext cx="2114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where　 a．serial_no  = b．serial_no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　and　 a．data_seq  = l_data_seq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and　 b．y_itemno  = r_y_itemno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order by　 b．transfer_date</a:t>
          </a:r>
        </a:p>
      </xdr:txBody>
    </xdr:sp>
    <xdr:clientData/>
  </xdr:twoCellAnchor>
  <xdr:twoCellAnchor>
    <xdr:from>
      <xdr:col>8</xdr:col>
      <xdr:colOff>409575</xdr:colOff>
      <xdr:row>89</xdr:row>
      <xdr:rowOff>0</xdr:rowOff>
    </xdr:from>
    <xdr:to>
      <xdr:col>8</xdr:col>
      <xdr:colOff>800100</xdr:colOff>
      <xdr:row>89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C6E1BB7-6241-4C4F-A560-620D467AF1A9}"/>
            </a:ext>
          </a:extLst>
        </xdr:cNvPr>
        <xdr:cNvSpPr>
          <a:spLocks noChangeArrowheads="1"/>
        </xdr:cNvSpPr>
      </xdr:nvSpPr>
      <xdr:spPr bwMode="auto">
        <a:xfrm>
          <a:off x="5619750" y="12020550"/>
          <a:ext cx="390525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495300</xdr:colOff>
      <xdr:row>24</xdr:row>
      <xdr:rowOff>0</xdr:rowOff>
    </xdr:from>
    <xdr:to>
      <xdr:col>14</xdr:col>
      <xdr:colOff>361950</xdr:colOff>
      <xdr:row>24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53E29F5D-C223-4A93-81B7-18C18F8A7AC7}"/>
            </a:ext>
          </a:extLst>
        </xdr:cNvPr>
        <xdr:cNvSpPr>
          <a:spLocks noChangeArrowheads="1"/>
        </xdr:cNvSpPr>
      </xdr:nvSpPr>
      <xdr:spPr bwMode="auto">
        <a:xfrm>
          <a:off x="8782050" y="7515225"/>
          <a:ext cx="1238250" cy="0"/>
        </a:xfrm>
        <a:prstGeom prst="wedgeRectCallout">
          <a:avLst>
            <a:gd name="adj1" fmla="val -20000"/>
            <a:gd name="adj2" fmla="val -150000"/>
          </a:avLst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引数：200409で実行</a:t>
          </a:r>
        </a:p>
      </xdr:txBody>
    </xdr:sp>
    <xdr:clientData/>
  </xdr:twoCellAnchor>
  <xdr:twoCellAnchor>
    <xdr:from>
      <xdr:col>10</xdr:col>
      <xdr:colOff>628650</xdr:colOff>
      <xdr:row>89</xdr:row>
      <xdr:rowOff>0</xdr:rowOff>
    </xdr:from>
    <xdr:to>
      <xdr:col>10</xdr:col>
      <xdr:colOff>742950</xdr:colOff>
      <xdr:row>89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EBCC4D35-7D67-4D46-B63A-944A30CE71A2}"/>
            </a:ext>
          </a:extLst>
        </xdr:cNvPr>
        <xdr:cNvSpPr>
          <a:spLocks noChangeArrowheads="1"/>
        </xdr:cNvSpPr>
      </xdr:nvSpPr>
      <xdr:spPr bwMode="auto">
        <a:xfrm>
          <a:off x="7486650" y="12020550"/>
          <a:ext cx="1143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514350</xdr:colOff>
      <xdr:row>3</xdr:row>
      <xdr:rowOff>0</xdr:rowOff>
    </xdr:from>
    <xdr:to>
      <xdr:col>15</xdr:col>
      <xdr:colOff>180975</xdr:colOff>
      <xdr:row>7</xdr:row>
      <xdr:rowOff>0</xdr:rowOff>
    </xdr:to>
    <xdr:sp macro="" textlink="">
      <xdr:nvSpPr>
        <xdr:cNvPr id="11" name="AutoShape 22">
          <a:extLst>
            <a:ext uri="{FF2B5EF4-FFF2-40B4-BE49-F238E27FC236}">
              <a16:creationId xmlns:a16="http://schemas.microsoft.com/office/drawing/2014/main" id="{F6436DD6-CC9C-43A7-AF7A-B5D2C80D27E6}"/>
            </a:ext>
          </a:extLst>
        </xdr:cNvPr>
        <xdr:cNvSpPr>
          <a:spLocks noChangeArrowheads="1"/>
        </xdr:cNvSpPr>
      </xdr:nvSpPr>
      <xdr:spPr bwMode="auto">
        <a:xfrm>
          <a:off x="6572250" y="676275"/>
          <a:ext cx="3952875" cy="685800"/>
        </a:xfrm>
        <a:prstGeom prst="wedgeRoundRectCallout">
          <a:avLst>
            <a:gd name="adj1" fmla="val -61565"/>
            <a:gd name="adj2" fmla="val -3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DD" mc:Ignorable="a14" a14:legacySpreadsheetColorIndex="43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"更新項目"や"削除項目"への色分けが必要な場合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開発者は任意の色を指定し、テストデータと対応させる。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87</xdr:row>
      <xdr:rowOff>0</xdr:rowOff>
    </xdr:from>
    <xdr:to>
      <xdr:col>9</xdr:col>
      <xdr:colOff>314325</xdr:colOff>
      <xdr:row>87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B97769C6-0FAC-44FB-AEBD-38642FC7A140}"/>
            </a:ext>
          </a:extLst>
        </xdr:cNvPr>
        <xdr:cNvSpPr>
          <a:spLocks noChangeArrowheads="1"/>
        </xdr:cNvSpPr>
      </xdr:nvSpPr>
      <xdr:spPr bwMode="auto">
        <a:xfrm>
          <a:off x="5673725" y="26393775"/>
          <a:ext cx="3562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where　 a．serial_no  = b．serial_no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　and　 a．data_seq  = l_data_seq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and　 b．y_itemno  = r_y_itemno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order by　 b．transfer_date</a:t>
          </a:r>
        </a:p>
      </xdr:txBody>
    </xdr:sp>
    <xdr:clientData/>
  </xdr:twoCellAnchor>
  <xdr:twoCellAnchor>
    <xdr:from>
      <xdr:col>7</xdr:col>
      <xdr:colOff>409575</xdr:colOff>
      <xdr:row>87</xdr:row>
      <xdr:rowOff>0</xdr:rowOff>
    </xdr:from>
    <xdr:to>
      <xdr:col>7</xdr:col>
      <xdr:colOff>800100</xdr:colOff>
      <xdr:row>87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AAD4899-24D9-4A60-A548-6C36262D4C19}"/>
            </a:ext>
          </a:extLst>
        </xdr:cNvPr>
        <xdr:cNvSpPr>
          <a:spLocks noChangeArrowheads="1"/>
        </xdr:cNvSpPr>
      </xdr:nvSpPr>
      <xdr:spPr bwMode="auto">
        <a:xfrm>
          <a:off x="6521450" y="26393775"/>
          <a:ext cx="3937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628650</xdr:colOff>
      <xdr:row>87</xdr:row>
      <xdr:rowOff>0</xdr:rowOff>
    </xdr:from>
    <xdr:to>
      <xdr:col>9</xdr:col>
      <xdr:colOff>742950</xdr:colOff>
      <xdr:row>87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F51BDD60-D391-40CD-9998-6F7E4B3AE55D}"/>
            </a:ext>
          </a:extLst>
        </xdr:cNvPr>
        <xdr:cNvSpPr>
          <a:spLocks noChangeArrowheads="1"/>
        </xdr:cNvSpPr>
      </xdr:nvSpPr>
      <xdr:spPr bwMode="auto">
        <a:xfrm>
          <a:off x="9553575" y="26393775"/>
          <a:ext cx="1143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561975</xdr:colOff>
      <xdr:row>284</xdr:row>
      <xdr:rowOff>0</xdr:rowOff>
    </xdr:from>
    <xdr:to>
      <xdr:col>9</xdr:col>
      <xdr:colOff>314325</xdr:colOff>
      <xdr:row>284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74D9B7A4-7BAF-4053-B938-71AE440CFB8F}"/>
            </a:ext>
          </a:extLst>
        </xdr:cNvPr>
        <xdr:cNvSpPr>
          <a:spLocks noChangeArrowheads="1"/>
        </xdr:cNvSpPr>
      </xdr:nvSpPr>
      <xdr:spPr bwMode="auto">
        <a:xfrm>
          <a:off x="15284450" y="14725650"/>
          <a:ext cx="32861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where　 a．serial_no  = b．serial_no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　and　 a．data_seq  = l_data_seq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and　 b．y_itemno  = r_y_itemno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order by　 b．transfer_date</a:t>
          </a:r>
        </a:p>
      </xdr:txBody>
    </xdr:sp>
    <xdr:clientData/>
  </xdr:twoCellAnchor>
  <xdr:twoCellAnchor>
    <xdr:from>
      <xdr:col>7</xdr:col>
      <xdr:colOff>409575</xdr:colOff>
      <xdr:row>284</xdr:row>
      <xdr:rowOff>0</xdr:rowOff>
    </xdr:from>
    <xdr:to>
      <xdr:col>7</xdr:col>
      <xdr:colOff>800100</xdr:colOff>
      <xdr:row>284</xdr:row>
      <xdr:rowOff>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CFAEB3E0-EAB7-4BBD-83B5-50A5A25B92E4}"/>
            </a:ext>
          </a:extLst>
        </xdr:cNvPr>
        <xdr:cNvSpPr>
          <a:spLocks noChangeArrowheads="1"/>
        </xdr:cNvSpPr>
      </xdr:nvSpPr>
      <xdr:spPr bwMode="auto">
        <a:xfrm>
          <a:off x="15998825" y="14725650"/>
          <a:ext cx="3937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628650</xdr:colOff>
      <xdr:row>284</xdr:row>
      <xdr:rowOff>0</xdr:rowOff>
    </xdr:from>
    <xdr:to>
      <xdr:col>9</xdr:col>
      <xdr:colOff>742950</xdr:colOff>
      <xdr:row>284</xdr:row>
      <xdr:rowOff>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A6FD4F04-9D58-4326-9E50-45EA3FEF0167}"/>
            </a:ext>
          </a:extLst>
        </xdr:cNvPr>
        <xdr:cNvSpPr>
          <a:spLocks noChangeArrowheads="1"/>
        </xdr:cNvSpPr>
      </xdr:nvSpPr>
      <xdr:spPr bwMode="auto">
        <a:xfrm>
          <a:off x="18888075" y="14725650"/>
          <a:ext cx="1143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561975</xdr:colOff>
      <xdr:row>607</xdr:row>
      <xdr:rowOff>0</xdr:rowOff>
    </xdr:from>
    <xdr:to>
      <xdr:col>9</xdr:col>
      <xdr:colOff>314325</xdr:colOff>
      <xdr:row>607</xdr:row>
      <xdr:rowOff>0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1D447C72-4F5D-4472-9992-BC4A954DD054}"/>
            </a:ext>
          </a:extLst>
        </xdr:cNvPr>
        <xdr:cNvSpPr>
          <a:spLocks noChangeArrowheads="1"/>
        </xdr:cNvSpPr>
      </xdr:nvSpPr>
      <xdr:spPr bwMode="auto">
        <a:xfrm>
          <a:off x="6426200" y="23155275"/>
          <a:ext cx="3562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</a:t>
          </a:r>
        </a:p>
      </xdr:txBody>
    </xdr:sp>
    <xdr:clientData/>
  </xdr:twoCellAnchor>
  <xdr:twoCellAnchor>
    <xdr:from>
      <xdr:col>7</xdr:col>
      <xdr:colOff>409575</xdr:colOff>
      <xdr:row>607</xdr:row>
      <xdr:rowOff>0</xdr:rowOff>
    </xdr:from>
    <xdr:to>
      <xdr:col>7</xdr:col>
      <xdr:colOff>800100</xdr:colOff>
      <xdr:row>607</xdr:row>
      <xdr:rowOff>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99AC880D-80BA-4E4E-8B25-C461660093B9}"/>
            </a:ext>
          </a:extLst>
        </xdr:cNvPr>
        <xdr:cNvSpPr>
          <a:spLocks noChangeArrowheads="1"/>
        </xdr:cNvSpPr>
      </xdr:nvSpPr>
      <xdr:spPr bwMode="auto">
        <a:xfrm>
          <a:off x="7273925" y="23155275"/>
          <a:ext cx="3937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628650</xdr:colOff>
      <xdr:row>607</xdr:row>
      <xdr:rowOff>0</xdr:rowOff>
    </xdr:from>
    <xdr:to>
      <xdr:col>9</xdr:col>
      <xdr:colOff>742950</xdr:colOff>
      <xdr:row>607</xdr:row>
      <xdr:rowOff>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74DDFFE3-7114-4C99-BF19-45F7AAC26AA7}"/>
            </a:ext>
          </a:extLst>
        </xdr:cNvPr>
        <xdr:cNvSpPr>
          <a:spLocks noChangeArrowheads="1"/>
        </xdr:cNvSpPr>
      </xdr:nvSpPr>
      <xdr:spPr bwMode="auto">
        <a:xfrm>
          <a:off x="10306050" y="23155275"/>
          <a:ext cx="1143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409575</xdr:colOff>
      <xdr:row>87</xdr:row>
      <xdr:rowOff>0</xdr:rowOff>
    </xdr:from>
    <xdr:to>
      <xdr:col>7</xdr:col>
      <xdr:colOff>800100</xdr:colOff>
      <xdr:row>87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4E4DC777-9DE7-43D0-B9A6-AEAC95D7B13B}"/>
            </a:ext>
          </a:extLst>
        </xdr:cNvPr>
        <xdr:cNvSpPr>
          <a:spLocks noChangeArrowheads="1"/>
        </xdr:cNvSpPr>
      </xdr:nvSpPr>
      <xdr:spPr bwMode="auto">
        <a:xfrm>
          <a:off x="19961225" y="17021175"/>
          <a:ext cx="3937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409575</xdr:colOff>
      <xdr:row>284</xdr:row>
      <xdr:rowOff>0</xdr:rowOff>
    </xdr:from>
    <xdr:to>
      <xdr:col>7</xdr:col>
      <xdr:colOff>800100</xdr:colOff>
      <xdr:row>284</xdr:row>
      <xdr:rowOff>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05EDDCD0-540F-48D1-AC56-3517E2F7A8DB}"/>
            </a:ext>
          </a:extLst>
        </xdr:cNvPr>
        <xdr:cNvSpPr>
          <a:spLocks noChangeArrowheads="1"/>
        </xdr:cNvSpPr>
      </xdr:nvSpPr>
      <xdr:spPr bwMode="auto">
        <a:xfrm>
          <a:off x="19961225" y="52092225"/>
          <a:ext cx="3937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409575</xdr:colOff>
      <xdr:row>607</xdr:row>
      <xdr:rowOff>0</xdr:rowOff>
    </xdr:from>
    <xdr:to>
      <xdr:col>7</xdr:col>
      <xdr:colOff>800100</xdr:colOff>
      <xdr:row>607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FF559D35-F399-446F-8505-592E3F0FDDB1}"/>
            </a:ext>
          </a:extLst>
        </xdr:cNvPr>
        <xdr:cNvSpPr>
          <a:spLocks noChangeArrowheads="1"/>
        </xdr:cNvSpPr>
      </xdr:nvSpPr>
      <xdr:spPr bwMode="auto">
        <a:xfrm>
          <a:off x="19961225" y="123367800"/>
          <a:ext cx="3937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売上入力"/>
      <definedName name="人員入力"/>
      <definedName name="総表印刷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  <sheetName val="勤怠表日高0012"/>
      <sheetName val="JOBID"/>
      <sheetName val="代表ID"/>
      <sheetName val="見積基礎値"/>
      <sheetName val="見積り内訳"/>
      <sheetName val="仕入業者コード"/>
      <sheetName val="得意先コード"/>
      <sheetName val="WBS1"/>
      <sheetName val="基本契約KFC"/>
      <sheetName val="選択肢"/>
      <sheetName val="ｼﾞｪﾈﾚｰﾄ準備"/>
      <sheetName val="工数"/>
      <sheetName val="間接・販管費率"/>
      <sheetName val="データディクショナリィ"/>
      <sheetName val="査読ｼｰﾄ"/>
      <sheetName val="決定一覧９年度"/>
      <sheetName val="マスタ"/>
      <sheetName val="作業手順書"/>
      <sheetName val="作業手順書（復旧手順）"/>
      <sheetName val="体制図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EF5B-C835-4400-AC81-D786F6122B44}">
  <sheetPr codeName="Sheet1"/>
  <dimension ref="B12:H28"/>
  <sheetViews>
    <sheetView showGridLines="0" tabSelected="1" zoomScale="130" zoomScaleNormal="130" workbookViewId="0"/>
  </sheetViews>
  <sheetFormatPr defaultColWidth="9.36328125" defaultRowHeight="15"/>
  <cols>
    <col min="1" max="1" width="1.6328125" style="1" customWidth="1"/>
    <col min="2" max="2" width="8.08984375" style="1" customWidth="1"/>
    <col min="3" max="8" width="9.36328125" style="1"/>
    <col min="9" max="9" width="1.453125" style="1" customWidth="1"/>
    <col min="10" max="16384" width="9.36328125" style="1"/>
  </cols>
  <sheetData>
    <row r="12" spans="2:8">
      <c r="B12" s="267" t="s">
        <v>5</v>
      </c>
      <c r="C12" s="268"/>
      <c r="D12" s="267" t="s">
        <v>6</v>
      </c>
      <c r="E12" s="268"/>
      <c r="F12" s="267" t="s">
        <v>7</v>
      </c>
      <c r="G12" s="269"/>
      <c r="H12" s="268"/>
    </row>
    <row r="13" spans="2:8">
      <c r="B13" s="270" t="s">
        <v>3</v>
      </c>
      <c r="C13" s="271"/>
      <c r="D13" s="272" t="s">
        <v>113</v>
      </c>
      <c r="E13" s="272"/>
      <c r="F13" s="273" t="s">
        <v>114</v>
      </c>
      <c r="G13" s="273"/>
      <c r="H13" s="273"/>
    </row>
    <row r="16" spans="2:8">
      <c r="B16" s="267" t="s">
        <v>8</v>
      </c>
      <c r="C16" s="268"/>
      <c r="D16" s="270" t="s">
        <v>9</v>
      </c>
      <c r="E16" s="274"/>
      <c r="F16" s="274"/>
      <c r="G16" s="274"/>
      <c r="H16" s="271"/>
    </row>
    <row r="17" spans="2:8">
      <c r="B17" s="267" t="s">
        <v>10</v>
      </c>
      <c r="C17" s="268"/>
      <c r="D17" s="270"/>
      <c r="E17" s="274"/>
      <c r="F17" s="274"/>
      <c r="G17" s="274"/>
      <c r="H17" s="271"/>
    </row>
    <row r="18" spans="2:8">
      <c r="B18" s="267" t="s">
        <v>11</v>
      </c>
      <c r="C18" s="268"/>
      <c r="D18" s="275"/>
      <c r="E18" s="276"/>
      <c r="F18" s="276"/>
      <c r="G18" s="276"/>
      <c r="H18" s="277"/>
    </row>
    <row r="20" spans="2:8">
      <c r="B20" s="267" t="s">
        <v>12</v>
      </c>
      <c r="C20" s="269"/>
      <c r="D20" s="269"/>
      <c r="E20" s="269"/>
      <c r="F20" s="269"/>
      <c r="G20" s="269"/>
      <c r="H20" s="268"/>
    </row>
    <row r="21" spans="2:8">
      <c r="B21" s="2"/>
      <c r="C21" s="278" t="s">
        <v>1</v>
      </c>
      <c r="D21" s="279"/>
      <c r="E21" s="278" t="s">
        <v>0</v>
      </c>
      <c r="F21" s="279"/>
      <c r="G21" s="278" t="s">
        <v>13</v>
      </c>
      <c r="H21" s="279"/>
    </row>
    <row r="22" spans="2:8">
      <c r="B22" s="3" t="s">
        <v>14</v>
      </c>
      <c r="C22" s="280" t="s">
        <v>774</v>
      </c>
      <c r="D22" s="280"/>
      <c r="E22" s="281"/>
      <c r="F22" s="281"/>
      <c r="G22" s="281"/>
      <c r="H22" s="281"/>
    </row>
    <row r="23" spans="2:8">
      <c r="B23" s="3" t="s">
        <v>2</v>
      </c>
      <c r="C23" s="282">
        <v>45947</v>
      </c>
      <c r="D23" s="280"/>
      <c r="E23" s="283"/>
      <c r="F23" s="281"/>
      <c r="G23" s="283"/>
      <c r="H23" s="281"/>
    </row>
    <row r="25" spans="2:8">
      <c r="B25" s="267" t="s">
        <v>15</v>
      </c>
      <c r="C25" s="269"/>
      <c r="D25" s="269"/>
      <c r="E25" s="269"/>
      <c r="F25" s="269"/>
      <c r="G25" s="269"/>
      <c r="H25" s="268"/>
    </row>
    <row r="26" spans="2:8">
      <c r="B26" s="2"/>
      <c r="C26" s="278" t="s">
        <v>16</v>
      </c>
      <c r="D26" s="279"/>
      <c r="E26" s="278" t="s">
        <v>0</v>
      </c>
      <c r="F26" s="279"/>
      <c r="G26" s="278" t="s">
        <v>13</v>
      </c>
      <c r="H26" s="279"/>
    </row>
    <row r="27" spans="2:8">
      <c r="B27" s="3" t="s">
        <v>14</v>
      </c>
      <c r="C27" s="284" t="s">
        <v>771</v>
      </c>
      <c r="D27" s="280"/>
      <c r="E27" s="281"/>
      <c r="F27" s="281"/>
      <c r="G27" s="281"/>
      <c r="H27" s="281"/>
    </row>
    <row r="28" spans="2:8">
      <c r="B28" s="3" t="s">
        <v>2</v>
      </c>
      <c r="C28" s="282">
        <v>45958</v>
      </c>
      <c r="D28" s="280"/>
      <c r="E28" s="283"/>
      <c r="F28" s="281"/>
      <c r="G28" s="283"/>
      <c r="H28" s="281"/>
    </row>
  </sheetData>
  <mergeCells count="32">
    <mergeCell ref="C27:D27"/>
    <mergeCell ref="E27:F27"/>
    <mergeCell ref="G27:H27"/>
    <mergeCell ref="C28:D28"/>
    <mergeCell ref="E28:F28"/>
    <mergeCell ref="G28:H28"/>
    <mergeCell ref="C23:D23"/>
    <mergeCell ref="E23:F23"/>
    <mergeCell ref="G23:H23"/>
    <mergeCell ref="B25:H25"/>
    <mergeCell ref="C26:D26"/>
    <mergeCell ref="E26:F26"/>
    <mergeCell ref="G26:H26"/>
    <mergeCell ref="B20:H20"/>
    <mergeCell ref="C21:D21"/>
    <mergeCell ref="E21:F21"/>
    <mergeCell ref="G21:H21"/>
    <mergeCell ref="C22:D22"/>
    <mergeCell ref="E22:F22"/>
    <mergeCell ref="G22:H22"/>
    <mergeCell ref="B16:C16"/>
    <mergeCell ref="D16:H16"/>
    <mergeCell ref="B17:C17"/>
    <mergeCell ref="D17:H17"/>
    <mergeCell ref="B18:C18"/>
    <mergeCell ref="D18:H18"/>
    <mergeCell ref="B12:C12"/>
    <mergeCell ref="D12:E12"/>
    <mergeCell ref="F12:H12"/>
    <mergeCell ref="B13:C13"/>
    <mergeCell ref="D13:E13"/>
    <mergeCell ref="F13:H13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DBC-3145-4791-B23A-D2687C76D98E}">
  <sheetPr codeName="Sheet2"/>
  <dimension ref="B2:L27"/>
  <sheetViews>
    <sheetView zoomScaleNormal="100" zoomScaleSheetLayoutView="100" workbookViewId="0">
      <selection activeCell="D3" sqref="D3"/>
    </sheetView>
  </sheetViews>
  <sheetFormatPr defaultColWidth="7.453125" defaultRowHeight="15"/>
  <cols>
    <col min="1" max="1" width="2.90625" style="5" customWidth="1"/>
    <col min="2" max="2" width="6.26953125" style="5" bestFit="1" customWidth="1"/>
    <col min="3" max="3" width="15.54296875" style="5" customWidth="1"/>
    <col min="4" max="4" width="8" style="5" customWidth="1"/>
    <col min="5" max="5" width="13.36328125" style="5" customWidth="1"/>
    <col min="6" max="6" width="42" style="5" customWidth="1"/>
    <col min="7" max="7" width="11.08984375" style="5" bestFit="1" customWidth="1"/>
    <col min="8" max="8" width="8" style="5" customWidth="1"/>
    <col min="9" max="9" width="11.08984375" style="5" bestFit="1" customWidth="1"/>
    <col min="10" max="10" width="8" style="5" customWidth="1"/>
    <col min="11" max="11" width="44.08984375" style="5" customWidth="1"/>
    <col min="12" max="12" width="3.6328125" style="5" customWidth="1"/>
    <col min="13" max="16384" width="7.453125" style="5"/>
  </cols>
  <sheetData>
    <row r="2" spans="2:12">
      <c r="B2" s="4" t="s">
        <v>17</v>
      </c>
      <c r="C2" s="4" t="s">
        <v>18</v>
      </c>
      <c r="D2" s="4" t="s">
        <v>4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2:12">
      <c r="B3" s="6">
        <v>1</v>
      </c>
      <c r="C3" s="260">
        <v>45947</v>
      </c>
      <c r="D3" s="262" t="s">
        <v>784</v>
      </c>
      <c r="E3" s="9"/>
      <c r="F3" s="296" t="s">
        <v>783</v>
      </c>
      <c r="G3" s="7"/>
      <c r="H3" s="8"/>
      <c r="I3" s="7"/>
      <c r="J3" s="8"/>
      <c r="K3" s="8"/>
      <c r="L3" s="5" t="s">
        <v>26</v>
      </c>
    </row>
    <row r="4" spans="2:12">
      <c r="B4" s="6"/>
      <c r="C4" s="8"/>
      <c r="D4" s="8"/>
      <c r="E4" s="8"/>
      <c r="F4" s="8"/>
      <c r="G4" s="8"/>
      <c r="H4" s="8"/>
      <c r="I4" s="8"/>
      <c r="J4" s="8"/>
      <c r="K4" s="8"/>
      <c r="L4" s="5" t="s">
        <v>26</v>
      </c>
    </row>
    <row r="5" spans="2:12">
      <c r="B5" s="6"/>
      <c r="C5" s="8"/>
      <c r="D5" s="8"/>
      <c r="E5" s="8"/>
      <c r="F5" s="8"/>
      <c r="G5" s="8"/>
      <c r="H5" s="8"/>
      <c r="I5" s="8"/>
      <c r="J5" s="8"/>
      <c r="K5" s="8"/>
      <c r="L5" s="5" t="s">
        <v>26</v>
      </c>
    </row>
    <row r="6" spans="2:12">
      <c r="B6" s="6"/>
      <c r="C6" s="8"/>
      <c r="D6" s="8"/>
      <c r="E6" s="8"/>
      <c r="F6" s="8"/>
      <c r="G6" s="8"/>
      <c r="H6" s="8"/>
      <c r="I6" s="8"/>
      <c r="J6" s="8"/>
      <c r="K6" s="8"/>
      <c r="L6" s="5" t="s">
        <v>26</v>
      </c>
    </row>
    <row r="7" spans="2:12">
      <c r="B7" s="6"/>
      <c r="C7" s="8"/>
      <c r="D7" s="8"/>
      <c r="E7" s="8"/>
      <c r="F7" s="8"/>
      <c r="G7" s="8"/>
      <c r="H7" s="8"/>
      <c r="I7" s="8"/>
      <c r="J7" s="8"/>
      <c r="K7" s="8"/>
      <c r="L7" s="5" t="s">
        <v>26</v>
      </c>
    </row>
    <row r="8" spans="2:12">
      <c r="B8" s="6"/>
      <c r="C8" s="8"/>
      <c r="D8" s="8"/>
      <c r="E8" s="8"/>
      <c r="F8" s="8"/>
      <c r="G8" s="8"/>
      <c r="H8" s="8"/>
      <c r="I8" s="8"/>
      <c r="J8" s="8"/>
      <c r="K8" s="8"/>
      <c r="L8" s="5" t="s">
        <v>26</v>
      </c>
    </row>
    <row r="9" spans="2:12">
      <c r="B9" s="6"/>
      <c r="C9" s="8"/>
      <c r="D9" s="8"/>
      <c r="E9" s="8"/>
      <c r="F9" s="8"/>
      <c r="G9" s="8"/>
      <c r="H9" s="8"/>
      <c r="I9" s="8"/>
      <c r="J9" s="8"/>
      <c r="K9" s="8"/>
      <c r="L9" s="5" t="s">
        <v>26</v>
      </c>
    </row>
    <row r="10" spans="2:12">
      <c r="B10" s="6"/>
      <c r="C10" s="8"/>
      <c r="D10" s="8"/>
      <c r="E10" s="8"/>
      <c r="F10" s="8"/>
      <c r="G10" s="8"/>
      <c r="H10" s="8"/>
      <c r="I10" s="8"/>
      <c r="J10" s="8"/>
      <c r="K10" s="8"/>
      <c r="L10" s="5" t="s">
        <v>26</v>
      </c>
    </row>
    <row r="11" spans="2:12">
      <c r="B11" s="6"/>
      <c r="C11" s="8"/>
      <c r="D11" s="8"/>
      <c r="E11" s="8"/>
      <c r="F11" s="8"/>
      <c r="G11" s="8"/>
      <c r="H11" s="8"/>
      <c r="I11" s="8"/>
      <c r="J11" s="8"/>
      <c r="K11" s="8"/>
      <c r="L11" s="5" t="s">
        <v>26</v>
      </c>
    </row>
    <row r="12" spans="2:12">
      <c r="B12" s="6"/>
      <c r="C12" s="8"/>
      <c r="D12" s="8"/>
      <c r="E12" s="8"/>
      <c r="F12" s="8"/>
      <c r="G12" s="8"/>
      <c r="H12" s="8"/>
      <c r="I12" s="8"/>
      <c r="J12" s="8"/>
      <c r="K12" s="8"/>
      <c r="L12" s="5" t="s">
        <v>26</v>
      </c>
    </row>
    <row r="13" spans="2:12">
      <c r="B13" s="6"/>
      <c r="C13" s="8"/>
      <c r="D13" s="8"/>
      <c r="E13" s="8"/>
      <c r="F13" s="8"/>
      <c r="G13" s="8"/>
      <c r="H13" s="8"/>
      <c r="I13" s="8"/>
      <c r="J13" s="8"/>
      <c r="K13" s="8"/>
      <c r="L13" s="5" t="s">
        <v>26</v>
      </c>
    </row>
    <row r="14" spans="2:12">
      <c r="B14" s="6"/>
      <c r="C14" s="8"/>
      <c r="D14" s="8"/>
      <c r="E14" s="8"/>
      <c r="F14" s="8"/>
      <c r="G14" s="8"/>
      <c r="H14" s="8"/>
      <c r="I14" s="8"/>
      <c r="J14" s="8"/>
      <c r="K14" s="8"/>
      <c r="L14" s="5" t="s">
        <v>26</v>
      </c>
    </row>
    <row r="15" spans="2:12">
      <c r="B15" s="6"/>
      <c r="C15" s="8"/>
      <c r="D15" s="8"/>
      <c r="E15" s="8"/>
      <c r="F15" s="8"/>
      <c r="G15" s="8"/>
      <c r="H15" s="8"/>
      <c r="I15" s="8"/>
      <c r="J15" s="8"/>
      <c r="K15" s="8"/>
      <c r="L15" s="5" t="s">
        <v>26</v>
      </c>
    </row>
    <row r="16" spans="2:12">
      <c r="B16" s="6"/>
      <c r="C16" s="8"/>
      <c r="D16" s="8"/>
      <c r="E16" s="8"/>
      <c r="F16" s="8"/>
      <c r="G16" s="8"/>
      <c r="H16" s="8"/>
      <c r="I16" s="8"/>
      <c r="J16" s="8"/>
      <c r="K16" s="8"/>
      <c r="L16" s="5" t="s">
        <v>26</v>
      </c>
    </row>
    <row r="17" spans="2:12">
      <c r="B17" s="6"/>
      <c r="C17" s="8"/>
      <c r="D17" s="8"/>
      <c r="E17" s="8"/>
      <c r="F17" s="8"/>
      <c r="G17" s="8"/>
      <c r="H17" s="8"/>
      <c r="I17" s="8"/>
      <c r="J17" s="8"/>
      <c r="K17" s="8"/>
      <c r="L17" s="5" t="s">
        <v>26</v>
      </c>
    </row>
    <row r="18" spans="2:12">
      <c r="B18" s="6"/>
      <c r="C18" s="8"/>
      <c r="D18" s="8"/>
      <c r="E18" s="8"/>
      <c r="F18" s="8"/>
      <c r="G18" s="8"/>
      <c r="H18" s="8"/>
      <c r="I18" s="8"/>
      <c r="J18" s="8"/>
      <c r="K18" s="8"/>
      <c r="L18" s="5" t="s">
        <v>26</v>
      </c>
    </row>
    <row r="19" spans="2:12">
      <c r="B19" s="6"/>
      <c r="C19" s="8"/>
      <c r="D19" s="8"/>
      <c r="E19" s="8"/>
      <c r="F19" s="8"/>
      <c r="G19" s="8"/>
      <c r="H19" s="8"/>
      <c r="I19" s="8"/>
      <c r="J19" s="8"/>
      <c r="K19" s="8"/>
      <c r="L19" s="5" t="s">
        <v>26</v>
      </c>
    </row>
    <row r="20" spans="2:12">
      <c r="B20" s="6"/>
      <c r="C20" s="8"/>
      <c r="D20" s="8"/>
      <c r="E20" s="8"/>
      <c r="F20" s="8"/>
      <c r="G20" s="8"/>
      <c r="H20" s="8"/>
      <c r="I20" s="8"/>
      <c r="J20" s="8"/>
      <c r="K20" s="8"/>
      <c r="L20" s="5" t="s">
        <v>26</v>
      </c>
    </row>
    <row r="21" spans="2:12">
      <c r="B21" s="6"/>
      <c r="C21" s="8"/>
      <c r="D21" s="8"/>
      <c r="E21" s="8"/>
      <c r="F21" s="8"/>
      <c r="G21" s="8"/>
      <c r="H21" s="8"/>
      <c r="I21" s="8"/>
      <c r="J21" s="8"/>
      <c r="K21" s="8"/>
      <c r="L21" s="5" t="s">
        <v>26</v>
      </c>
    </row>
    <row r="22" spans="2:12">
      <c r="B22" s="6"/>
      <c r="C22" s="8"/>
      <c r="D22" s="8"/>
      <c r="E22" s="8"/>
      <c r="F22" s="8"/>
      <c r="G22" s="8"/>
      <c r="H22" s="8"/>
      <c r="I22" s="8"/>
      <c r="J22" s="8"/>
      <c r="K22" s="8"/>
      <c r="L22" s="5" t="s">
        <v>26</v>
      </c>
    </row>
    <row r="23" spans="2:12">
      <c r="B23" s="6"/>
      <c r="C23" s="8"/>
      <c r="D23" s="8"/>
      <c r="E23" s="8"/>
      <c r="F23" s="8"/>
      <c r="G23" s="8"/>
      <c r="H23" s="8"/>
      <c r="I23" s="8"/>
      <c r="J23" s="8"/>
      <c r="K23" s="8"/>
      <c r="L23" s="5" t="s">
        <v>26</v>
      </c>
    </row>
    <row r="24" spans="2:12">
      <c r="B24" s="6"/>
      <c r="C24" s="8"/>
      <c r="D24" s="8"/>
      <c r="E24" s="8"/>
      <c r="F24" s="8"/>
      <c r="G24" s="8"/>
      <c r="H24" s="8"/>
      <c r="I24" s="8"/>
      <c r="J24" s="8"/>
      <c r="K24" s="8"/>
      <c r="L24" s="5" t="s">
        <v>26</v>
      </c>
    </row>
    <row r="25" spans="2:12">
      <c r="B25" s="6"/>
      <c r="C25" s="8"/>
      <c r="D25" s="8"/>
      <c r="E25" s="8"/>
      <c r="F25" s="8"/>
      <c r="G25" s="8"/>
      <c r="H25" s="8"/>
      <c r="I25" s="8"/>
      <c r="J25" s="8"/>
      <c r="K25" s="8"/>
      <c r="L25" s="5" t="s">
        <v>26</v>
      </c>
    </row>
    <row r="26" spans="2:12">
      <c r="B26" s="6"/>
      <c r="C26" s="8"/>
      <c r="D26" s="8"/>
      <c r="E26" s="8"/>
      <c r="F26" s="8"/>
      <c r="G26" s="8"/>
      <c r="H26" s="8"/>
      <c r="I26" s="7"/>
      <c r="J26" s="8"/>
      <c r="K26" s="8"/>
      <c r="L26" s="5" t="s">
        <v>26</v>
      </c>
    </row>
    <row r="27" spans="2:12"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</row>
  </sheetData>
  <phoneticPr fontId="3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F0E-B3DC-427B-811A-6C994A1DBB31}">
  <sheetPr codeName="Sheet3"/>
  <dimension ref="A2:N169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" defaultRowHeight="12.5"/>
  <cols>
    <col min="1" max="1" width="6.7265625" style="10" customWidth="1"/>
    <col min="2" max="2" width="25.36328125" style="15" customWidth="1"/>
    <col min="3" max="3" width="22.36328125" style="15" customWidth="1"/>
    <col min="4" max="4" width="36.90625" style="15" bestFit="1" customWidth="1"/>
    <col min="5" max="5" width="36.90625" style="15" customWidth="1"/>
    <col min="6" max="6" width="11" style="17" customWidth="1"/>
    <col min="7" max="7" width="12.36328125" style="15" customWidth="1"/>
    <col min="8" max="9" width="8.26953125" style="15" customWidth="1"/>
    <col min="10" max="10" width="7.90625" style="15" bestFit="1" customWidth="1"/>
    <col min="11" max="11" width="18.453125" style="15" bestFit="1" customWidth="1"/>
    <col min="12" max="12" width="10.36328125" style="15" bestFit="1" customWidth="1"/>
    <col min="13" max="13" width="10.90625" style="15" customWidth="1"/>
    <col min="14" max="14" width="16.26953125" style="15" customWidth="1"/>
    <col min="15" max="15" width="28" style="15" customWidth="1"/>
    <col min="16" max="16384" width="9" style="15"/>
  </cols>
  <sheetData>
    <row r="2" spans="1:14" ht="25.5" customHeight="1">
      <c r="B2" s="285" t="s">
        <v>27</v>
      </c>
      <c r="C2" s="286" t="s">
        <v>770</v>
      </c>
      <c r="D2" s="287"/>
      <c r="E2" s="287"/>
      <c r="F2" s="11" t="s">
        <v>28</v>
      </c>
      <c r="G2" s="12">
        <f>COUNTIF(G6:G445,"*")</f>
        <v>63</v>
      </c>
      <c r="H2" s="288" t="s">
        <v>29</v>
      </c>
      <c r="I2" s="288"/>
      <c r="J2" s="12">
        <f>COUNTIF(L6:L445,"*")</f>
        <v>63</v>
      </c>
      <c r="K2" s="13" t="s">
        <v>30</v>
      </c>
      <c r="L2" s="12">
        <f>G2-J2</f>
        <v>0</v>
      </c>
      <c r="M2" s="14" t="s">
        <v>31</v>
      </c>
      <c r="N2" s="12">
        <f>COUNTIF(L6:L445,"OK")</f>
        <v>63</v>
      </c>
    </row>
    <row r="3" spans="1:14" ht="25.5" customHeight="1">
      <c r="B3" s="285"/>
      <c r="C3" s="287"/>
      <c r="D3" s="287"/>
      <c r="E3" s="287"/>
      <c r="F3" s="13" t="s">
        <v>32</v>
      </c>
      <c r="G3" s="16">
        <f>J2/G2</f>
        <v>1</v>
      </c>
      <c r="H3" s="288" t="s">
        <v>33</v>
      </c>
      <c r="I3" s="288"/>
      <c r="J3" s="16">
        <f>IF(J2=0,0,N2/J2)</f>
        <v>1</v>
      </c>
      <c r="K3" s="13"/>
      <c r="L3" s="12"/>
      <c r="M3" s="14"/>
      <c r="N3" s="12"/>
    </row>
    <row r="4" spans="1:14">
      <c r="M4" s="15" t="s">
        <v>34</v>
      </c>
      <c r="N4" s="15" t="s">
        <v>35</v>
      </c>
    </row>
    <row r="5" spans="1:14" s="19" customFormat="1" ht="27">
      <c r="A5" s="18" t="s">
        <v>36</v>
      </c>
      <c r="B5" s="18" t="s">
        <v>37</v>
      </c>
      <c r="C5" s="18" t="s">
        <v>38</v>
      </c>
      <c r="D5" s="18" t="s">
        <v>39</v>
      </c>
      <c r="E5" s="18" t="s">
        <v>40</v>
      </c>
      <c r="F5" s="18" t="s">
        <v>41</v>
      </c>
      <c r="G5" s="18" t="s">
        <v>42</v>
      </c>
      <c r="H5" s="18" t="s">
        <v>43</v>
      </c>
      <c r="I5" s="18" t="s">
        <v>44</v>
      </c>
      <c r="J5" s="18" t="s">
        <v>45</v>
      </c>
      <c r="K5" s="18" t="s">
        <v>46</v>
      </c>
      <c r="L5" s="18" t="s">
        <v>47</v>
      </c>
      <c r="M5" s="18" t="s">
        <v>48</v>
      </c>
      <c r="N5" s="18" t="s">
        <v>49</v>
      </c>
    </row>
    <row r="6" spans="1:14">
      <c r="A6" s="23" t="s">
        <v>50</v>
      </c>
      <c r="B6" s="24"/>
      <c r="C6" s="24"/>
      <c r="D6" s="24"/>
      <c r="E6" s="24"/>
      <c r="F6" s="25"/>
      <c r="G6" s="24"/>
      <c r="H6" s="24"/>
      <c r="I6" s="24"/>
      <c r="J6" s="24"/>
      <c r="K6" s="24"/>
      <c r="L6" s="24"/>
      <c r="M6" s="24"/>
      <c r="N6" s="26"/>
    </row>
    <row r="7" spans="1:14" ht="25">
      <c r="A7" s="20">
        <v>1</v>
      </c>
      <c r="B7" s="21" t="s">
        <v>51</v>
      </c>
      <c r="C7" s="21" t="s">
        <v>161</v>
      </c>
      <c r="D7" s="21" t="s">
        <v>164</v>
      </c>
      <c r="E7" s="21" t="s">
        <v>693</v>
      </c>
      <c r="F7" s="233" t="s">
        <v>760</v>
      </c>
      <c r="G7" s="21" t="s">
        <v>52</v>
      </c>
      <c r="H7" s="21" t="s">
        <v>116</v>
      </c>
      <c r="I7" s="12" t="s">
        <v>115</v>
      </c>
      <c r="J7" s="21" t="s">
        <v>666</v>
      </c>
      <c r="K7" s="261" t="s">
        <v>771</v>
      </c>
      <c r="L7" s="21" t="s">
        <v>666</v>
      </c>
      <c r="M7" s="21"/>
      <c r="N7" s="21"/>
    </row>
    <row r="8" spans="1:14" ht="25">
      <c r="A8" s="20">
        <v>2</v>
      </c>
      <c r="B8" s="21"/>
      <c r="C8" s="21"/>
      <c r="D8" s="21" t="s">
        <v>166</v>
      </c>
      <c r="E8" s="21" t="s">
        <v>693</v>
      </c>
      <c r="F8" s="233" t="s">
        <v>760</v>
      </c>
      <c r="G8" s="21" t="s">
        <v>52</v>
      </c>
      <c r="H8" s="21" t="s">
        <v>116</v>
      </c>
      <c r="I8" s="12" t="s">
        <v>115</v>
      </c>
      <c r="J8" s="21" t="s">
        <v>666</v>
      </c>
      <c r="K8" s="261" t="s">
        <v>771</v>
      </c>
      <c r="L8" s="21" t="s">
        <v>666</v>
      </c>
      <c r="M8" s="21"/>
      <c r="N8" s="21"/>
    </row>
    <row r="9" spans="1:14" ht="25">
      <c r="A9" s="20">
        <v>3</v>
      </c>
      <c r="B9" s="21"/>
      <c r="C9" s="21" t="s">
        <v>172</v>
      </c>
      <c r="D9" s="21" t="s">
        <v>78</v>
      </c>
      <c r="E9" s="21" t="s">
        <v>695</v>
      </c>
      <c r="F9" s="233" t="s">
        <v>760</v>
      </c>
      <c r="G9" s="21" t="s">
        <v>52</v>
      </c>
      <c r="H9" s="21" t="s">
        <v>116</v>
      </c>
      <c r="I9" s="12" t="s">
        <v>115</v>
      </c>
      <c r="J9" s="21" t="s">
        <v>666</v>
      </c>
      <c r="K9" s="261" t="s">
        <v>771</v>
      </c>
      <c r="L9" s="21" t="s">
        <v>666</v>
      </c>
      <c r="M9" s="21"/>
      <c r="N9" s="21"/>
    </row>
    <row r="10" spans="1:14" ht="25">
      <c r="A10" s="20">
        <v>4</v>
      </c>
      <c r="B10" s="21"/>
      <c r="C10" s="21"/>
      <c r="D10" s="21" t="s">
        <v>175</v>
      </c>
      <c r="E10" s="21" t="s">
        <v>695</v>
      </c>
      <c r="F10" s="233" t="s">
        <v>760</v>
      </c>
      <c r="G10" s="21" t="s">
        <v>52</v>
      </c>
      <c r="H10" s="21" t="s">
        <v>116</v>
      </c>
      <c r="I10" s="12" t="s">
        <v>115</v>
      </c>
      <c r="J10" s="21" t="s">
        <v>666</v>
      </c>
      <c r="K10" s="261" t="s">
        <v>771</v>
      </c>
      <c r="L10" s="21" t="s">
        <v>666</v>
      </c>
      <c r="M10" s="21"/>
      <c r="N10" s="21"/>
    </row>
    <row r="11" spans="1:14" ht="25">
      <c r="A11" s="20">
        <v>5</v>
      </c>
      <c r="B11" s="21"/>
      <c r="C11" s="21" t="s">
        <v>187</v>
      </c>
      <c r="D11" s="21" t="s">
        <v>191</v>
      </c>
      <c r="E11" s="21" t="s">
        <v>697</v>
      </c>
      <c r="F11" s="233" t="s">
        <v>760</v>
      </c>
      <c r="G11" s="21" t="s">
        <v>52</v>
      </c>
      <c r="H11" s="21" t="s">
        <v>116</v>
      </c>
      <c r="I11" s="12" t="s">
        <v>115</v>
      </c>
      <c r="J11" s="21" t="s">
        <v>666</v>
      </c>
      <c r="K11" s="261" t="s">
        <v>771</v>
      </c>
      <c r="L11" s="21" t="s">
        <v>666</v>
      </c>
      <c r="M11" s="21"/>
      <c r="N11" s="21"/>
    </row>
    <row r="12" spans="1:14" ht="25">
      <c r="A12" s="20">
        <v>6</v>
      </c>
      <c r="B12" s="22"/>
      <c r="C12" s="22"/>
      <c r="D12" s="22" t="s">
        <v>193</v>
      </c>
      <c r="E12" s="22" t="s">
        <v>697</v>
      </c>
      <c r="F12" s="233" t="s">
        <v>760</v>
      </c>
      <c r="G12" s="22" t="s">
        <v>52</v>
      </c>
      <c r="H12" s="21" t="s">
        <v>116</v>
      </c>
      <c r="I12" s="12" t="s">
        <v>115</v>
      </c>
      <c r="J12" s="21" t="s">
        <v>666</v>
      </c>
      <c r="K12" s="261" t="s">
        <v>771</v>
      </c>
      <c r="L12" s="21" t="s">
        <v>666</v>
      </c>
      <c r="M12" s="21"/>
      <c r="N12" s="21"/>
    </row>
    <row r="13" spans="1:14">
      <c r="A13" s="23" t="s">
        <v>53</v>
      </c>
      <c r="B13" s="24"/>
      <c r="C13" s="24"/>
      <c r="D13" s="24"/>
      <c r="E13" s="24"/>
      <c r="F13" s="25"/>
      <c r="G13" s="24"/>
      <c r="H13" s="24"/>
      <c r="I13" s="24"/>
      <c r="J13" s="24"/>
      <c r="K13" s="24"/>
      <c r="L13" s="24"/>
      <c r="M13" s="24"/>
      <c r="N13" s="26"/>
    </row>
    <row r="14" spans="1:14" ht="25">
      <c r="A14" s="20">
        <v>1</v>
      </c>
      <c r="B14" s="22" t="s">
        <v>54</v>
      </c>
      <c r="C14" s="22" t="s">
        <v>80</v>
      </c>
      <c r="D14" s="22" t="s">
        <v>406</v>
      </c>
      <c r="E14" s="22" t="s">
        <v>81</v>
      </c>
      <c r="F14" s="234" t="s">
        <v>761</v>
      </c>
      <c r="G14" s="22" t="s">
        <v>52</v>
      </c>
      <c r="H14" s="21" t="s">
        <v>116</v>
      </c>
      <c r="I14" s="12" t="s">
        <v>115</v>
      </c>
      <c r="J14" s="21" t="s">
        <v>666</v>
      </c>
      <c r="K14" s="261" t="s">
        <v>771</v>
      </c>
      <c r="L14" s="21" t="s">
        <v>666</v>
      </c>
      <c r="M14" s="21"/>
      <c r="N14" s="21"/>
    </row>
    <row r="15" spans="1:14" ht="50">
      <c r="A15" s="20">
        <v>2</v>
      </c>
      <c r="B15" s="22"/>
      <c r="C15" s="22"/>
      <c r="D15" s="22" t="s">
        <v>433</v>
      </c>
      <c r="E15" s="22" t="s">
        <v>699</v>
      </c>
      <c r="F15" s="234" t="s">
        <v>761</v>
      </c>
      <c r="G15" s="22" t="s">
        <v>52</v>
      </c>
      <c r="H15" s="21" t="s">
        <v>116</v>
      </c>
      <c r="I15" s="12" t="s">
        <v>115</v>
      </c>
      <c r="J15" s="21" t="s">
        <v>666</v>
      </c>
      <c r="K15" s="261" t="s">
        <v>771</v>
      </c>
      <c r="L15" s="21" t="s">
        <v>666</v>
      </c>
      <c r="M15" s="21"/>
      <c r="N15" s="21"/>
    </row>
    <row r="16" spans="1:14" ht="13">
      <c r="A16" s="20">
        <v>3</v>
      </c>
      <c r="B16" s="22"/>
      <c r="C16" s="22" t="s">
        <v>82</v>
      </c>
      <c r="D16" s="22" t="s">
        <v>461</v>
      </c>
      <c r="E16" s="22" t="s">
        <v>83</v>
      </c>
      <c r="F16" s="234" t="s">
        <v>761</v>
      </c>
      <c r="G16" s="22" t="s">
        <v>52</v>
      </c>
      <c r="H16" s="21" t="s">
        <v>116</v>
      </c>
      <c r="I16" s="12" t="s">
        <v>115</v>
      </c>
      <c r="J16" s="21" t="s">
        <v>666</v>
      </c>
      <c r="K16" s="261" t="s">
        <v>771</v>
      </c>
      <c r="L16" s="21" t="s">
        <v>666</v>
      </c>
      <c r="M16" s="21"/>
      <c r="N16" s="21"/>
    </row>
    <row r="17" spans="1:14" ht="37.5">
      <c r="A17" s="20">
        <v>4</v>
      </c>
      <c r="B17" s="22"/>
      <c r="C17" s="22"/>
      <c r="D17" s="22" t="s">
        <v>743</v>
      </c>
      <c r="E17" s="22" t="s">
        <v>701</v>
      </c>
      <c r="F17" s="234" t="s">
        <v>761</v>
      </c>
      <c r="G17" s="22" t="s">
        <v>52</v>
      </c>
      <c r="H17" s="21" t="s">
        <v>116</v>
      </c>
      <c r="I17" s="12" t="s">
        <v>115</v>
      </c>
      <c r="J17" s="21" t="s">
        <v>666</v>
      </c>
      <c r="K17" s="261" t="s">
        <v>771</v>
      </c>
      <c r="L17" s="21" t="s">
        <v>666</v>
      </c>
      <c r="M17" s="21"/>
      <c r="N17" s="21"/>
    </row>
    <row r="18" spans="1:14" ht="13">
      <c r="A18" s="20">
        <v>5</v>
      </c>
      <c r="B18" s="22"/>
      <c r="C18" s="22"/>
      <c r="D18" s="22" t="s">
        <v>465</v>
      </c>
      <c r="E18" s="22" t="s">
        <v>84</v>
      </c>
      <c r="F18" s="234" t="s">
        <v>761</v>
      </c>
      <c r="G18" s="22" t="s">
        <v>52</v>
      </c>
      <c r="H18" s="21" t="s">
        <v>116</v>
      </c>
      <c r="I18" s="12" t="s">
        <v>115</v>
      </c>
      <c r="J18" s="21" t="s">
        <v>666</v>
      </c>
      <c r="K18" s="261" t="s">
        <v>771</v>
      </c>
      <c r="L18" s="21" t="s">
        <v>666</v>
      </c>
      <c r="M18" s="21"/>
      <c r="N18" s="21"/>
    </row>
    <row r="19" spans="1:14" ht="37.5">
      <c r="A19" s="20">
        <v>6</v>
      </c>
      <c r="B19" s="22"/>
      <c r="C19" s="22"/>
      <c r="D19" s="22" t="s">
        <v>468</v>
      </c>
      <c r="E19" s="22" t="s">
        <v>701</v>
      </c>
      <c r="F19" s="234" t="s">
        <v>761</v>
      </c>
      <c r="G19" s="22" t="s">
        <v>52</v>
      </c>
      <c r="H19" s="21" t="s">
        <v>116</v>
      </c>
      <c r="I19" s="12" t="s">
        <v>115</v>
      </c>
      <c r="J19" s="21" t="s">
        <v>666</v>
      </c>
      <c r="K19" s="261" t="s">
        <v>771</v>
      </c>
      <c r="L19" s="21" t="s">
        <v>666</v>
      </c>
      <c r="M19" s="21"/>
      <c r="N19" s="21"/>
    </row>
    <row r="20" spans="1:14" ht="13">
      <c r="A20" s="20">
        <v>7</v>
      </c>
      <c r="B20" s="22"/>
      <c r="C20" s="22"/>
      <c r="D20" s="22" t="s">
        <v>466</v>
      </c>
      <c r="E20" s="22" t="s">
        <v>85</v>
      </c>
      <c r="F20" s="234" t="s">
        <v>761</v>
      </c>
      <c r="G20" s="22" t="s">
        <v>52</v>
      </c>
      <c r="H20" s="21" t="s">
        <v>116</v>
      </c>
      <c r="I20" s="12" t="s">
        <v>115</v>
      </c>
      <c r="J20" s="21" t="s">
        <v>666</v>
      </c>
      <c r="K20" s="261" t="s">
        <v>771</v>
      </c>
      <c r="L20" s="21" t="s">
        <v>666</v>
      </c>
      <c r="M20" s="21"/>
      <c r="N20" s="21"/>
    </row>
    <row r="21" spans="1:14" ht="37.5">
      <c r="A21" s="20">
        <v>8</v>
      </c>
      <c r="B21" s="22"/>
      <c r="C21" s="22"/>
      <c r="D21" s="22" t="s">
        <v>471</v>
      </c>
      <c r="E21" s="22" t="s">
        <v>701</v>
      </c>
      <c r="F21" s="234" t="s">
        <v>761</v>
      </c>
      <c r="G21" s="22" t="s">
        <v>52</v>
      </c>
      <c r="H21" s="21" t="s">
        <v>116</v>
      </c>
      <c r="I21" s="12" t="s">
        <v>115</v>
      </c>
      <c r="J21" s="21" t="s">
        <v>666</v>
      </c>
      <c r="K21" s="261" t="s">
        <v>771</v>
      </c>
      <c r="L21" s="21" t="s">
        <v>666</v>
      </c>
      <c r="M21" s="21"/>
      <c r="N21" s="21"/>
    </row>
    <row r="22" spans="1:14" ht="37.5">
      <c r="A22" s="20">
        <v>9</v>
      </c>
      <c r="B22" s="22"/>
      <c r="C22" s="22" t="s">
        <v>56</v>
      </c>
      <c r="D22" s="22" t="s">
        <v>481</v>
      </c>
      <c r="E22" s="22" t="s">
        <v>752</v>
      </c>
      <c r="F22" s="234" t="s">
        <v>761</v>
      </c>
      <c r="G22" s="22" t="s">
        <v>52</v>
      </c>
      <c r="H22" s="21" t="s">
        <v>116</v>
      </c>
      <c r="I22" s="12" t="s">
        <v>115</v>
      </c>
      <c r="J22" s="21" t="s">
        <v>666</v>
      </c>
      <c r="K22" s="261" t="s">
        <v>771</v>
      </c>
      <c r="L22" s="21" t="s">
        <v>666</v>
      </c>
      <c r="M22" s="21"/>
      <c r="N22" s="21"/>
    </row>
    <row r="23" spans="1:14" ht="37.5">
      <c r="A23" s="247">
        <v>10</v>
      </c>
      <c r="B23" s="248"/>
      <c r="C23" s="248"/>
      <c r="D23" s="248" t="s">
        <v>739</v>
      </c>
      <c r="E23" s="248" t="s">
        <v>737</v>
      </c>
      <c r="F23" s="234" t="s">
        <v>761</v>
      </c>
      <c r="G23" s="22" t="s">
        <v>52</v>
      </c>
      <c r="H23" s="249" t="s">
        <v>116</v>
      </c>
      <c r="I23" s="250" t="s">
        <v>115</v>
      </c>
      <c r="J23" s="249" t="s">
        <v>666</v>
      </c>
      <c r="K23" s="261" t="s">
        <v>771</v>
      </c>
      <c r="L23" s="249" t="s">
        <v>666</v>
      </c>
      <c r="M23" s="249"/>
      <c r="N23" s="249"/>
    </row>
    <row r="24" spans="1:14" ht="25">
      <c r="A24" s="20">
        <v>11</v>
      </c>
      <c r="B24" s="22"/>
      <c r="C24" s="22" t="s">
        <v>86</v>
      </c>
      <c r="D24" s="22" t="s">
        <v>512</v>
      </c>
      <c r="E24" s="22" t="s">
        <v>87</v>
      </c>
      <c r="F24" s="234" t="s">
        <v>761</v>
      </c>
      <c r="G24" s="22" t="s">
        <v>52</v>
      </c>
      <c r="H24" s="21" t="s">
        <v>116</v>
      </c>
      <c r="I24" s="12" t="s">
        <v>115</v>
      </c>
      <c r="J24" s="21" t="s">
        <v>666</v>
      </c>
      <c r="K24" s="261" t="s">
        <v>771</v>
      </c>
      <c r="L24" s="21" t="s">
        <v>666</v>
      </c>
      <c r="M24" s="21"/>
      <c r="N24" s="21"/>
    </row>
    <row r="25" spans="1:14" ht="37.5">
      <c r="A25" s="20">
        <v>12</v>
      </c>
      <c r="B25" s="22"/>
      <c r="C25" s="22"/>
      <c r="D25" s="22" t="s">
        <v>514</v>
      </c>
      <c r="E25" s="22" t="s">
        <v>703</v>
      </c>
      <c r="F25" s="234" t="s">
        <v>761</v>
      </c>
      <c r="G25" s="22" t="s">
        <v>52</v>
      </c>
      <c r="H25" s="21" t="s">
        <v>116</v>
      </c>
      <c r="I25" s="12" t="s">
        <v>115</v>
      </c>
      <c r="J25" s="21" t="s">
        <v>666</v>
      </c>
      <c r="K25" s="261" t="s">
        <v>771</v>
      </c>
      <c r="L25" s="21" t="s">
        <v>666</v>
      </c>
      <c r="M25" s="21"/>
      <c r="N25" s="21"/>
    </row>
    <row r="26" spans="1:14" ht="37.5">
      <c r="A26" s="20">
        <v>13</v>
      </c>
      <c r="B26" s="22"/>
      <c r="C26" s="22" t="s">
        <v>88</v>
      </c>
      <c r="D26" s="22" t="s">
        <v>549</v>
      </c>
      <c r="E26" s="22" t="s">
        <v>729</v>
      </c>
      <c r="F26" s="234" t="s">
        <v>761</v>
      </c>
      <c r="G26" s="22" t="s">
        <v>52</v>
      </c>
      <c r="H26" s="21" t="s">
        <v>116</v>
      </c>
      <c r="I26" s="12" t="s">
        <v>115</v>
      </c>
      <c r="J26" s="21" t="s">
        <v>666</v>
      </c>
      <c r="K26" s="261" t="s">
        <v>771</v>
      </c>
      <c r="L26" s="21" t="s">
        <v>666</v>
      </c>
      <c r="M26" s="21"/>
      <c r="N26" s="21"/>
    </row>
    <row r="27" spans="1:14" ht="37.5">
      <c r="A27" s="20">
        <v>14</v>
      </c>
      <c r="B27" s="22"/>
      <c r="C27" s="22"/>
      <c r="D27" s="22" t="s">
        <v>553</v>
      </c>
      <c r="E27" s="22" t="s">
        <v>705</v>
      </c>
      <c r="F27" s="234" t="s">
        <v>761</v>
      </c>
      <c r="G27" s="22" t="s">
        <v>52</v>
      </c>
      <c r="H27" s="21" t="s">
        <v>116</v>
      </c>
      <c r="I27" s="12" t="s">
        <v>115</v>
      </c>
      <c r="J27" s="21" t="s">
        <v>666</v>
      </c>
      <c r="K27" s="261" t="s">
        <v>771</v>
      </c>
      <c r="L27" s="21" t="s">
        <v>666</v>
      </c>
      <c r="M27" s="21"/>
      <c r="N27" s="21"/>
    </row>
    <row r="28" spans="1:14" ht="25">
      <c r="A28" s="247">
        <v>15</v>
      </c>
      <c r="B28" s="22"/>
      <c r="C28" s="22" t="s">
        <v>55</v>
      </c>
      <c r="D28" s="22" t="s">
        <v>558</v>
      </c>
      <c r="E28" s="22" t="s">
        <v>90</v>
      </c>
      <c r="F28" s="234" t="s">
        <v>761</v>
      </c>
      <c r="G28" s="22" t="s">
        <v>52</v>
      </c>
      <c r="H28" s="21" t="s">
        <v>116</v>
      </c>
      <c r="I28" s="12" t="s">
        <v>115</v>
      </c>
      <c r="J28" s="21" t="s">
        <v>666</v>
      </c>
      <c r="K28" s="261" t="s">
        <v>771</v>
      </c>
      <c r="L28" s="21" t="s">
        <v>666</v>
      </c>
      <c r="M28" s="21"/>
      <c r="N28" s="21"/>
    </row>
    <row r="29" spans="1:14" ht="37.5">
      <c r="A29" s="20">
        <v>16</v>
      </c>
      <c r="B29" s="22"/>
      <c r="C29" s="22"/>
      <c r="D29" s="22" t="s">
        <v>664</v>
      </c>
      <c r="E29" s="22" t="s">
        <v>707</v>
      </c>
      <c r="F29" s="234" t="s">
        <v>761</v>
      </c>
      <c r="G29" s="22" t="s">
        <v>52</v>
      </c>
      <c r="H29" s="21" t="s">
        <v>116</v>
      </c>
      <c r="I29" s="12" t="s">
        <v>115</v>
      </c>
      <c r="J29" s="21" t="s">
        <v>666</v>
      </c>
      <c r="K29" s="261" t="s">
        <v>771</v>
      </c>
      <c r="L29" s="21" t="s">
        <v>666</v>
      </c>
      <c r="M29" s="21"/>
      <c r="N29" s="21"/>
    </row>
    <row r="30" spans="1:14">
      <c r="A30" s="23" t="s">
        <v>110</v>
      </c>
      <c r="B30" s="24"/>
      <c r="C30" s="24"/>
      <c r="D30" s="24"/>
      <c r="E30" s="24"/>
      <c r="F30" s="25"/>
      <c r="G30" s="24"/>
      <c r="H30" s="24"/>
      <c r="I30" s="24"/>
      <c r="J30" s="24"/>
      <c r="K30" s="24"/>
      <c r="L30" s="24"/>
      <c r="M30" s="24"/>
      <c r="N30" s="26"/>
    </row>
    <row r="31" spans="1:14" ht="13">
      <c r="A31" s="20">
        <v>1</v>
      </c>
      <c r="B31" s="22" t="s">
        <v>91</v>
      </c>
      <c r="C31" s="22" t="s">
        <v>76</v>
      </c>
      <c r="D31" s="22" t="s">
        <v>746</v>
      </c>
      <c r="E31" s="22" t="s">
        <v>747</v>
      </c>
      <c r="F31" s="234" t="s">
        <v>761</v>
      </c>
      <c r="G31" s="22" t="s">
        <v>52</v>
      </c>
      <c r="H31" s="21" t="s">
        <v>116</v>
      </c>
      <c r="I31" s="12" t="s">
        <v>115</v>
      </c>
      <c r="J31" s="21" t="s">
        <v>666</v>
      </c>
      <c r="K31" s="261" t="s">
        <v>771</v>
      </c>
      <c r="L31" s="21" t="s">
        <v>666</v>
      </c>
      <c r="M31" s="21"/>
      <c r="N31" s="21"/>
    </row>
    <row r="32" spans="1:14" ht="37.5">
      <c r="A32" s="20">
        <v>2</v>
      </c>
      <c r="B32" s="22"/>
      <c r="C32" s="22"/>
      <c r="D32" s="22" t="s">
        <v>563</v>
      </c>
      <c r="E32" s="22" t="s">
        <v>709</v>
      </c>
      <c r="F32" s="234" t="s">
        <v>761</v>
      </c>
      <c r="G32" s="22" t="s">
        <v>52</v>
      </c>
      <c r="H32" s="21" t="s">
        <v>116</v>
      </c>
      <c r="I32" s="12" t="s">
        <v>115</v>
      </c>
      <c r="J32" s="21" t="s">
        <v>666</v>
      </c>
      <c r="K32" s="261" t="s">
        <v>771</v>
      </c>
      <c r="L32" s="21" t="s">
        <v>666</v>
      </c>
      <c r="M32" s="21"/>
      <c r="N32" s="21"/>
    </row>
    <row r="33" spans="1:14" ht="13">
      <c r="A33" s="20">
        <v>3</v>
      </c>
      <c r="B33" s="21"/>
      <c r="C33" s="21" t="s">
        <v>77</v>
      </c>
      <c r="D33" s="21" t="s">
        <v>748</v>
      </c>
      <c r="E33" s="21" t="s">
        <v>747</v>
      </c>
      <c r="F33" s="234" t="s">
        <v>761</v>
      </c>
      <c r="G33" s="21" t="s">
        <v>52</v>
      </c>
      <c r="H33" s="21" t="s">
        <v>116</v>
      </c>
      <c r="I33" s="12" t="s">
        <v>115</v>
      </c>
      <c r="J33" s="21" t="s">
        <v>666</v>
      </c>
      <c r="K33" s="261" t="s">
        <v>771</v>
      </c>
      <c r="L33" s="21" t="s">
        <v>666</v>
      </c>
      <c r="M33" s="21"/>
      <c r="N33" s="21"/>
    </row>
    <row r="34" spans="1:14" ht="37.5">
      <c r="A34" s="20">
        <v>4</v>
      </c>
      <c r="B34" s="21"/>
      <c r="C34" s="21"/>
      <c r="D34" s="21" t="s">
        <v>568</v>
      </c>
      <c r="E34" s="21" t="s">
        <v>711</v>
      </c>
      <c r="F34" s="234" t="s">
        <v>761</v>
      </c>
      <c r="G34" s="21" t="s">
        <v>52</v>
      </c>
      <c r="H34" s="21" t="s">
        <v>116</v>
      </c>
      <c r="I34" s="12" t="s">
        <v>115</v>
      </c>
      <c r="J34" s="21" t="s">
        <v>666</v>
      </c>
      <c r="K34" s="261" t="s">
        <v>771</v>
      </c>
      <c r="L34" s="21" t="s">
        <v>666</v>
      </c>
      <c r="M34" s="21"/>
      <c r="N34" s="21"/>
    </row>
    <row r="35" spans="1:14" ht="13">
      <c r="A35" s="20">
        <v>5</v>
      </c>
      <c r="B35" s="21"/>
      <c r="C35" s="21" t="s">
        <v>79</v>
      </c>
      <c r="D35" s="21" t="s">
        <v>750</v>
      </c>
      <c r="E35" s="21" t="s">
        <v>94</v>
      </c>
      <c r="F35" s="234" t="s">
        <v>761</v>
      </c>
      <c r="G35" s="21" t="s">
        <v>52</v>
      </c>
      <c r="H35" s="21" t="s">
        <v>116</v>
      </c>
      <c r="I35" s="12" t="s">
        <v>115</v>
      </c>
      <c r="J35" s="21" t="s">
        <v>666</v>
      </c>
      <c r="K35" s="261" t="s">
        <v>771</v>
      </c>
      <c r="L35" s="21" t="s">
        <v>666</v>
      </c>
      <c r="M35" s="21"/>
      <c r="N35" s="21"/>
    </row>
    <row r="36" spans="1:14" ht="37.5">
      <c r="A36" s="20">
        <v>6</v>
      </c>
      <c r="B36" s="21"/>
      <c r="C36" s="21"/>
      <c r="D36" s="21" t="s">
        <v>581</v>
      </c>
      <c r="E36" s="21" t="s">
        <v>713</v>
      </c>
      <c r="F36" s="234" t="s">
        <v>761</v>
      </c>
      <c r="G36" s="21" t="s">
        <v>52</v>
      </c>
      <c r="H36" s="21" t="s">
        <v>116</v>
      </c>
      <c r="I36" s="12" t="s">
        <v>115</v>
      </c>
      <c r="J36" s="21" t="s">
        <v>666</v>
      </c>
      <c r="K36" s="261" t="s">
        <v>771</v>
      </c>
      <c r="L36" s="21" t="s">
        <v>666</v>
      </c>
      <c r="M36" s="21"/>
      <c r="N36" s="21"/>
    </row>
    <row r="37" spans="1:14" ht="37.5">
      <c r="A37" s="20">
        <v>7</v>
      </c>
      <c r="B37" s="22" t="s">
        <v>92</v>
      </c>
      <c r="C37" s="22" t="s">
        <v>93</v>
      </c>
      <c r="D37" s="22" t="s">
        <v>754</v>
      </c>
      <c r="E37" s="22" t="s">
        <v>94</v>
      </c>
      <c r="F37" s="234" t="s">
        <v>761</v>
      </c>
      <c r="G37" s="22" t="s">
        <v>52</v>
      </c>
      <c r="H37" s="21" t="s">
        <v>116</v>
      </c>
      <c r="I37" s="12" t="s">
        <v>115</v>
      </c>
      <c r="J37" s="21" t="s">
        <v>666</v>
      </c>
      <c r="K37" s="261" t="s">
        <v>771</v>
      </c>
      <c r="L37" s="21" t="s">
        <v>666</v>
      </c>
      <c r="M37" s="21"/>
      <c r="N37" s="21"/>
    </row>
    <row r="38" spans="1:14" ht="50">
      <c r="A38" s="20">
        <v>8</v>
      </c>
      <c r="B38" s="22"/>
      <c r="C38" s="22"/>
      <c r="D38" s="22" t="s">
        <v>757</v>
      </c>
      <c r="E38" s="22" t="s">
        <v>715</v>
      </c>
      <c r="F38" s="234" t="s">
        <v>761</v>
      </c>
      <c r="G38" s="22" t="s">
        <v>52</v>
      </c>
      <c r="H38" s="21" t="s">
        <v>116</v>
      </c>
      <c r="I38" s="12" t="s">
        <v>115</v>
      </c>
      <c r="J38" s="21" t="s">
        <v>666</v>
      </c>
      <c r="K38" s="261" t="s">
        <v>771</v>
      </c>
      <c r="L38" s="21" t="s">
        <v>666</v>
      </c>
      <c r="M38" s="21"/>
      <c r="N38" s="21"/>
    </row>
    <row r="39" spans="1:14" ht="37.5">
      <c r="A39" s="20">
        <v>9</v>
      </c>
      <c r="B39" s="22"/>
      <c r="C39" s="22"/>
      <c r="D39" s="22" t="s">
        <v>755</v>
      </c>
      <c r="E39" s="22" t="s">
        <v>94</v>
      </c>
      <c r="F39" s="234" t="s">
        <v>761</v>
      </c>
      <c r="G39" s="22" t="s">
        <v>52</v>
      </c>
      <c r="H39" s="21" t="s">
        <v>116</v>
      </c>
      <c r="I39" s="12" t="s">
        <v>115</v>
      </c>
      <c r="J39" s="21" t="s">
        <v>666</v>
      </c>
      <c r="K39" s="261" t="s">
        <v>771</v>
      </c>
      <c r="L39" s="21" t="s">
        <v>666</v>
      </c>
      <c r="M39" s="21"/>
      <c r="N39" s="21"/>
    </row>
    <row r="40" spans="1:14" ht="50">
      <c r="A40" s="20">
        <v>10</v>
      </c>
      <c r="B40" s="22"/>
      <c r="C40" s="22"/>
      <c r="D40" s="22" t="s">
        <v>756</v>
      </c>
      <c r="E40" s="22" t="s">
        <v>715</v>
      </c>
      <c r="F40" s="234" t="s">
        <v>761</v>
      </c>
      <c r="G40" s="22" t="s">
        <v>52</v>
      </c>
      <c r="H40" s="21" t="s">
        <v>116</v>
      </c>
      <c r="I40" s="12" t="s">
        <v>115</v>
      </c>
      <c r="J40" s="21" t="s">
        <v>666</v>
      </c>
      <c r="K40" s="261" t="s">
        <v>771</v>
      </c>
      <c r="L40" s="21" t="s">
        <v>666</v>
      </c>
      <c r="M40" s="21"/>
      <c r="N40" s="21"/>
    </row>
    <row r="41" spans="1:14" ht="25">
      <c r="A41" s="20">
        <v>11</v>
      </c>
      <c r="B41" s="22"/>
      <c r="C41" s="22"/>
      <c r="D41" s="22" t="s">
        <v>596</v>
      </c>
      <c r="E41" s="22" t="s">
        <v>94</v>
      </c>
      <c r="F41" s="234" t="s">
        <v>761</v>
      </c>
      <c r="G41" s="22" t="s">
        <v>52</v>
      </c>
      <c r="H41" s="21" t="s">
        <v>116</v>
      </c>
      <c r="I41" s="12" t="s">
        <v>115</v>
      </c>
      <c r="J41" s="21" t="s">
        <v>666</v>
      </c>
      <c r="K41" s="261" t="s">
        <v>771</v>
      </c>
      <c r="L41" s="21" t="s">
        <v>666</v>
      </c>
      <c r="M41" s="21"/>
      <c r="N41" s="21"/>
    </row>
    <row r="42" spans="1:14" ht="50">
      <c r="A42" s="20">
        <v>12</v>
      </c>
      <c r="B42" s="22"/>
      <c r="C42" s="22"/>
      <c r="D42" s="22" t="s">
        <v>594</v>
      </c>
      <c r="E42" s="22" t="s">
        <v>715</v>
      </c>
      <c r="F42" s="234" t="s">
        <v>761</v>
      </c>
      <c r="G42" s="22" t="s">
        <v>52</v>
      </c>
      <c r="H42" s="21" t="s">
        <v>116</v>
      </c>
      <c r="I42" s="12" t="s">
        <v>115</v>
      </c>
      <c r="J42" s="21" t="s">
        <v>666</v>
      </c>
      <c r="K42" s="261" t="s">
        <v>771</v>
      </c>
      <c r="L42" s="21" t="s">
        <v>666</v>
      </c>
      <c r="M42" s="21"/>
      <c r="N42" s="21"/>
    </row>
    <row r="43" spans="1:14" ht="25">
      <c r="A43" s="20">
        <v>13</v>
      </c>
      <c r="B43" s="22" t="s">
        <v>96</v>
      </c>
      <c r="C43" s="22" t="s">
        <v>86</v>
      </c>
      <c r="D43" s="22" t="s">
        <v>600</v>
      </c>
      <c r="E43" s="22" t="s">
        <v>94</v>
      </c>
      <c r="F43" s="234" t="s">
        <v>761</v>
      </c>
      <c r="G43" s="22" t="s">
        <v>52</v>
      </c>
      <c r="H43" s="21" t="s">
        <v>116</v>
      </c>
      <c r="I43" s="12" t="s">
        <v>115</v>
      </c>
      <c r="J43" s="21" t="s">
        <v>666</v>
      </c>
      <c r="K43" s="261" t="s">
        <v>771</v>
      </c>
      <c r="L43" s="21" t="s">
        <v>666</v>
      </c>
      <c r="M43" s="21"/>
      <c r="N43" s="21"/>
    </row>
    <row r="44" spans="1:14" ht="37.5">
      <c r="A44" s="20">
        <v>14</v>
      </c>
      <c r="B44" s="22"/>
      <c r="C44" s="22"/>
      <c r="D44" s="22" t="s">
        <v>604</v>
      </c>
      <c r="E44" s="22" t="s">
        <v>717</v>
      </c>
      <c r="F44" s="234" t="s">
        <v>761</v>
      </c>
      <c r="G44" s="22" t="s">
        <v>52</v>
      </c>
      <c r="H44" s="21" t="s">
        <v>116</v>
      </c>
      <c r="I44" s="12" t="s">
        <v>115</v>
      </c>
      <c r="J44" s="21" t="s">
        <v>666</v>
      </c>
      <c r="K44" s="261" t="s">
        <v>771</v>
      </c>
      <c r="L44" s="21" t="s">
        <v>666</v>
      </c>
      <c r="M44" s="21"/>
      <c r="N44" s="21"/>
    </row>
    <row r="45" spans="1:14" ht="13">
      <c r="A45" s="20">
        <v>15</v>
      </c>
      <c r="B45" s="22" t="s">
        <v>749</v>
      </c>
      <c r="C45" s="22" t="s">
        <v>77</v>
      </c>
      <c r="D45" s="22" t="s">
        <v>763</v>
      </c>
      <c r="E45" s="22" t="s">
        <v>94</v>
      </c>
      <c r="F45" s="234" t="s">
        <v>761</v>
      </c>
      <c r="G45" s="22" t="s">
        <v>52</v>
      </c>
      <c r="H45" s="21" t="s">
        <v>116</v>
      </c>
      <c r="I45" s="12" t="s">
        <v>115</v>
      </c>
      <c r="J45" s="21" t="s">
        <v>666</v>
      </c>
      <c r="K45" s="261" t="s">
        <v>771</v>
      </c>
      <c r="L45" s="21" t="s">
        <v>666</v>
      </c>
      <c r="M45" s="21"/>
      <c r="N45" s="21"/>
    </row>
    <row r="46" spans="1:14" ht="37.5">
      <c r="A46" s="20">
        <v>16</v>
      </c>
      <c r="B46" s="22"/>
      <c r="C46" s="22"/>
      <c r="D46" s="22" t="s">
        <v>630</v>
      </c>
      <c r="E46" s="22" t="s">
        <v>719</v>
      </c>
      <c r="F46" s="234" t="s">
        <v>761</v>
      </c>
      <c r="G46" s="22" t="s">
        <v>52</v>
      </c>
      <c r="H46" s="21" t="s">
        <v>116</v>
      </c>
      <c r="I46" s="12" t="s">
        <v>115</v>
      </c>
      <c r="J46" s="21" t="s">
        <v>666</v>
      </c>
      <c r="K46" s="261" t="s">
        <v>771</v>
      </c>
      <c r="L46" s="21" t="s">
        <v>666</v>
      </c>
      <c r="M46" s="21"/>
      <c r="N46" s="21"/>
    </row>
    <row r="47" spans="1:14" ht="25">
      <c r="A47" s="20">
        <v>17</v>
      </c>
      <c r="B47" s="21"/>
      <c r="C47" s="22"/>
      <c r="D47" s="21" t="s">
        <v>633</v>
      </c>
      <c r="E47" s="21" t="s">
        <v>94</v>
      </c>
      <c r="F47" s="234" t="s">
        <v>761</v>
      </c>
      <c r="G47" s="21" t="s">
        <v>52</v>
      </c>
      <c r="H47" s="21" t="s">
        <v>116</v>
      </c>
      <c r="I47" s="12" t="s">
        <v>115</v>
      </c>
      <c r="J47" s="21" t="s">
        <v>666</v>
      </c>
      <c r="K47" s="261" t="s">
        <v>771</v>
      </c>
      <c r="L47" s="21" t="s">
        <v>666</v>
      </c>
      <c r="M47" s="21"/>
      <c r="N47" s="21"/>
    </row>
    <row r="48" spans="1:14" ht="37.5">
      <c r="A48" s="20">
        <v>18</v>
      </c>
      <c r="B48" s="21"/>
      <c r="C48" s="21"/>
      <c r="D48" s="21" t="s">
        <v>635</v>
      </c>
      <c r="E48" s="21" t="s">
        <v>720</v>
      </c>
      <c r="F48" s="234" t="s">
        <v>761</v>
      </c>
      <c r="G48" s="21" t="s">
        <v>52</v>
      </c>
      <c r="H48" s="21" t="s">
        <v>116</v>
      </c>
      <c r="I48" s="12" t="s">
        <v>115</v>
      </c>
      <c r="J48" s="21" t="s">
        <v>666</v>
      </c>
      <c r="K48" s="261" t="s">
        <v>771</v>
      </c>
      <c r="L48" s="21" t="s">
        <v>666</v>
      </c>
      <c r="M48" s="21"/>
      <c r="N48" s="21"/>
    </row>
    <row r="49" spans="1:14" ht="13">
      <c r="A49" s="20">
        <v>19</v>
      </c>
      <c r="B49" s="21" t="s">
        <v>97</v>
      </c>
      <c r="C49" s="21" t="s">
        <v>98</v>
      </c>
      <c r="D49" s="21" t="s">
        <v>753</v>
      </c>
      <c r="E49" s="21" t="s">
        <v>94</v>
      </c>
      <c r="F49" s="234" t="s">
        <v>761</v>
      </c>
      <c r="G49" s="21" t="s">
        <v>52</v>
      </c>
      <c r="H49" s="21" t="s">
        <v>116</v>
      </c>
      <c r="I49" s="12" t="s">
        <v>115</v>
      </c>
      <c r="J49" s="21" t="s">
        <v>666</v>
      </c>
      <c r="K49" s="261" t="s">
        <v>771</v>
      </c>
      <c r="L49" s="21" t="s">
        <v>666</v>
      </c>
      <c r="M49" s="21"/>
      <c r="N49" s="21"/>
    </row>
    <row r="50" spans="1:14" ht="37.5">
      <c r="A50" s="20">
        <v>20</v>
      </c>
      <c r="B50" s="21"/>
      <c r="C50" s="21"/>
      <c r="D50" s="21" t="s">
        <v>647</v>
      </c>
      <c r="E50" s="21" t="s">
        <v>722</v>
      </c>
      <c r="F50" s="234" t="s">
        <v>761</v>
      </c>
      <c r="G50" s="21" t="s">
        <v>52</v>
      </c>
      <c r="H50" s="21" t="s">
        <v>116</v>
      </c>
      <c r="I50" s="12" t="s">
        <v>115</v>
      </c>
      <c r="J50" s="21" t="s">
        <v>666</v>
      </c>
      <c r="K50" s="261" t="s">
        <v>771</v>
      </c>
      <c r="L50" s="21" t="s">
        <v>666</v>
      </c>
      <c r="M50" s="21"/>
      <c r="N50" s="21"/>
    </row>
    <row r="51" spans="1:14" ht="37.5">
      <c r="A51" s="20">
        <v>21</v>
      </c>
      <c r="B51" s="21"/>
      <c r="C51" s="21"/>
      <c r="D51" s="21" t="s">
        <v>649</v>
      </c>
      <c r="E51" s="21" t="s">
        <v>722</v>
      </c>
      <c r="F51" s="234" t="s">
        <v>761</v>
      </c>
      <c r="G51" s="21" t="s">
        <v>52</v>
      </c>
      <c r="H51" s="21" t="s">
        <v>116</v>
      </c>
      <c r="I51" s="12" t="s">
        <v>115</v>
      </c>
      <c r="J51" s="21" t="s">
        <v>666</v>
      </c>
      <c r="K51" s="261" t="s">
        <v>771</v>
      </c>
      <c r="L51" s="21" t="s">
        <v>666</v>
      </c>
      <c r="M51" s="21"/>
      <c r="N51" s="21"/>
    </row>
    <row r="52" spans="1:14" ht="37.5">
      <c r="A52" s="20">
        <v>22</v>
      </c>
      <c r="B52" s="21"/>
      <c r="C52" s="22"/>
      <c r="D52" s="21" t="s">
        <v>653</v>
      </c>
      <c r="E52" s="21" t="s">
        <v>724</v>
      </c>
      <c r="F52" s="234" t="s">
        <v>761</v>
      </c>
      <c r="G52" s="21" t="s">
        <v>52</v>
      </c>
      <c r="H52" s="21" t="s">
        <v>116</v>
      </c>
      <c r="I52" s="12" t="s">
        <v>115</v>
      </c>
      <c r="J52" s="21" t="s">
        <v>666</v>
      </c>
      <c r="K52" s="261" t="s">
        <v>771</v>
      </c>
      <c r="L52" s="21" t="s">
        <v>666</v>
      </c>
      <c r="M52" s="21"/>
      <c r="N52" s="21"/>
    </row>
    <row r="53" spans="1:14" ht="13">
      <c r="A53" s="20">
        <v>23</v>
      </c>
      <c r="B53" s="21" t="s">
        <v>99</v>
      </c>
      <c r="C53" s="21" t="s">
        <v>100</v>
      </c>
      <c r="D53" s="21" t="s">
        <v>641</v>
      </c>
      <c r="E53" s="21" t="s">
        <v>94</v>
      </c>
      <c r="F53" s="234" t="s">
        <v>761</v>
      </c>
      <c r="G53" s="21" t="s">
        <v>52</v>
      </c>
      <c r="H53" s="21" t="s">
        <v>116</v>
      </c>
      <c r="I53" s="12" t="s">
        <v>115</v>
      </c>
      <c r="J53" s="21" t="s">
        <v>666</v>
      </c>
      <c r="K53" s="261" t="s">
        <v>771</v>
      </c>
      <c r="L53" s="21" t="s">
        <v>666</v>
      </c>
      <c r="M53" s="21"/>
      <c r="N53" s="21"/>
    </row>
    <row r="54" spans="1:14" ht="37.5">
      <c r="A54" s="20">
        <v>24</v>
      </c>
      <c r="B54" s="21"/>
      <c r="C54" s="21"/>
      <c r="D54" s="21" t="s">
        <v>655</v>
      </c>
      <c r="E54" s="21" t="s">
        <v>726</v>
      </c>
      <c r="F54" s="234" t="s">
        <v>761</v>
      </c>
      <c r="G54" s="21" t="s">
        <v>52</v>
      </c>
      <c r="H54" s="21" t="s">
        <v>116</v>
      </c>
      <c r="I54" s="12" t="s">
        <v>115</v>
      </c>
      <c r="J54" s="21" t="s">
        <v>666</v>
      </c>
      <c r="K54" s="261" t="s">
        <v>771</v>
      </c>
      <c r="L54" s="21" t="s">
        <v>666</v>
      </c>
      <c r="M54" s="21"/>
      <c r="N54" s="21"/>
    </row>
    <row r="55" spans="1:14" ht="13">
      <c r="A55" s="20">
        <v>25</v>
      </c>
      <c r="B55" s="21" t="s">
        <v>101</v>
      </c>
      <c r="C55" s="21" t="s">
        <v>102</v>
      </c>
      <c r="D55" s="21" t="s">
        <v>644</v>
      </c>
      <c r="E55" s="21" t="s">
        <v>94</v>
      </c>
      <c r="F55" s="234" t="s">
        <v>761</v>
      </c>
      <c r="G55" s="21" t="s">
        <v>52</v>
      </c>
      <c r="H55" s="21" t="s">
        <v>116</v>
      </c>
      <c r="I55" s="12" t="s">
        <v>115</v>
      </c>
      <c r="J55" s="21" t="s">
        <v>666</v>
      </c>
      <c r="K55" s="261" t="s">
        <v>771</v>
      </c>
      <c r="L55" s="21" t="s">
        <v>666</v>
      </c>
      <c r="M55" s="21"/>
      <c r="N55" s="21"/>
    </row>
    <row r="56" spans="1:14" ht="50">
      <c r="A56" s="20">
        <v>26</v>
      </c>
      <c r="B56" s="21"/>
      <c r="C56" s="21"/>
      <c r="D56" s="21" t="s">
        <v>657</v>
      </c>
      <c r="E56" s="21" t="s">
        <v>728</v>
      </c>
      <c r="F56" s="234" t="s">
        <v>761</v>
      </c>
      <c r="G56" s="21" t="s">
        <v>52</v>
      </c>
      <c r="H56" s="21" t="s">
        <v>116</v>
      </c>
      <c r="I56" s="12" t="s">
        <v>115</v>
      </c>
      <c r="J56" s="21" t="s">
        <v>666</v>
      </c>
      <c r="K56" s="261" t="s">
        <v>771</v>
      </c>
      <c r="L56" s="21" t="s">
        <v>666</v>
      </c>
      <c r="M56" s="21"/>
      <c r="N56" s="21"/>
    </row>
    <row r="57" spans="1:14" ht="25">
      <c r="A57" s="20">
        <v>27</v>
      </c>
      <c r="B57" s="21"/>
      <c r="C57" s="22"/>
      <c r="D57" s="21" t="s">
        <v>660</v>
      </c>
      <c r="E57" s="21" t="s">
        <v>94</v>
      </c>
      <c r="F57" s="234" t="s">
        <v>761</v>
      </c>
      <c r="G57" s="21" t="s">
        <v>52</v>
      </c>
      <c r="H57" s="21" t="s">
        <v>116</v>
      </c>
      <c r="I57" s="12" t="s">
        <v>115</v>
      </c>
      <c r="J57" s="21" t="s">
        <v>666</v>
      </c>
      <c r="K57" s="261" t="s">
        <v>771</v>
      </c>
      <c r="L57" s="21" t="s">
        <v>666</v>
      </c>
      <c r="M57" s="21"/>
      <c r="N57" s="21"/>
    </row>
    <row r="58" spans="1:14" ht="50">
      <c r="A58" s="20">
        <v>28</v>
      </c>
      <c r="B58" s="21"/>
      <c r="C58" s="21"/>
      <c r="D58" s="21" t="s">
        <v>663</v>
      </c>
      <c r="E58" s="21" t="s">
        <v>728</v>
      </c>
      <c r="F58" s="234" t="s">
        <v>761</v>
      </c>
      <c r="G58" s="21" t="s">
        <v>52</v>
      </c>
      <c r="H58" s="21" t="s">
        <v>116</v>
      </c>
      <c r="I58" s="12" t="s">
        <v>115</v>
      </c>
      <c r="J58" s="21" t="s">
        <v>666</v>
      </c>
      <c r="K58" s="261" t="s">
        <v>771</v>
      </c>
      <c r="L58" s="21" t="s">
        <v>666</v>
      </c>
      <c r="M58" s="21"/>
      <c r="N58" s="21"/>
    </row>
    <row r="59" spans="1:14">
      <c r="A59" s="23" t="s">
        <v>111</v>
      </c>
      <c r="B59" s="24"/>
      <c r="C59" s="24"/>
      <c r="D59" s="24"/>
      <c r="E59" s="24"/>
      <c r="F59" s="25"/>
      <c r="G59" s="24"/>
      <c r="H59" s="24"/>
      <c r="I59" s="24"/>
      <c r="J59" s="24"/>
      <c r="K59" s="24"/>
      <c r="L59" s="24"/>
      <c r="M59" s="24"/>
      <c r="N59" s="26"/>
    </row>
    <row r="60" spans="1:14" ht="13">
      <c r="A60" s="20">
        <v>1</v>
      </c>
      <c r="B60" s="21" t="s">
        <v>104</v>
      </c>
      <c r="C60" s="21" t="s">
        <v>105</v>
      </c>
      <c r="D60" s="21" t="s">
        <v>669</v>
      </c>
      <c r="E60" s="21" t="s">
        <v>751</v>
      </c>
      <c r="F60" s="234" t="s">
        <v>761</v>
      </c>
      <c r="G60" s="21" t="s">
        <v>52</v>
      </c>
      <c r="H60" s="21" t="s">
        <v>116</v>
      </c>
      <c r="I60" s="12" t="s">
        <v>115</v>
      </c>
      <c r="J60" s="21" t="s">
        <v>666</v>
      </c>
      <c r="K60" s="261" t="s">
        <v>771</v>
      </c>
      <c r="L60" s="21" t="s">
        <v>666</v>
      </c>
      <c r="M60" s="21"/>
      <c r="N60" s="21"/>
    </row>
    <row r="61" spans="1:14" ht="13">
      <c r="A61" s="20">
        <v>2</v>
      </c>
      <c r="B61" s="21"/>
      <c r="C61" s="21"/>
      <c r="D61" s="21" t="s">
        <v>670</v>
      </c>
      <c r="E61" s="21" t="s">
        <v>106</v>
      </c>
      <c r="F61" s="234" t="s">
        <v>761</v>
      </c>
      <c r="G61" s="21" t="s">
        <v>52</v>
      </c>
      <c r="H61" s="21" t="s">
        <v>116</v>
      </c>
      <c r="I61" s="12" t="s">
        <v>115</v>
      </c>
      <c r="J61" s="21" t="s">
        <v>666</v>
      </c>
      <c r="K61" s="261" t="s">
        <v>771</v>
      </c>
      <c r="L61" s="21" t="s">
        <v>666</v>
      </c>
      <c r="M61" s="21"/>
      <c r="N61" s="21"/>
    </row>
    <row r="62" spans="1:14" ht="13">
      <c r="A62" s="20">
        <v>3</v>
      </c>
      <c r="B62" s="21"/>
      <c r="C62" s="21"/>
      <c r="D62" s="21" t="s">
        <v>671</v>
      </c>
      <c r="E62" s="21" t="s">
        <v>673</v>
      </c>
      <c r="F62" s="234" t="s">
        <v>761</v>
      </c>
      <c r="G62" s="21" t="s">
        <v>52</v>
      </c>
      <c r="H62" s="21" t="s">
        <v>116</v>
      </c>
      <c r="I62" s="12" t="s">
        <v>115</v>
      </c>
      <c r="J62" s="21" t="s">
        <v>666</v>
      </c>
      <c r="K62" s="261" t="s">
        <v>771</v>
      </c>
      <c r="L62" s="21" t="s">
        <v>666</v>
      </c>
      <c r="M62" s="21"/>
      <c r="N62" s="21"/>
    </row>
    <row r="63" spans="1:14">
      <c r="A63" s="23" t="s">
        <v>112</v>
      </c>
      <c r="B63" s="24"/>
      <c r="C63" s="24"/>
      <c r="D63" s="24"/>
      <c r="E63" s="24"/>
      <c r="F63" s="25"/>
      <c r="G63" s="24"/>
      <c r="H63" s="24"/>
      <c r="I63" s="24"/>
      <c r="J63" s="24"/>
      <c r="K63" s="24"/>
      <c r="L63" s="24"/>
      <c r="M63" s="24"/>
      <c r="N63" s="26"/>
    </row>
    <row r="64" spans="1:14" ht="13">
      <c r="A64" s="20">
        <v>1</v>
      </c>
      <c r="B64" s="21" t="s">
        <v>57</v>
      </c>
      <c r="C64" s="21" t="s">
        <v>58</v>
      </c>
      <c r="D64" s="21" t="s">
        <v>59</v>
      </c>
      <c r="E64" s="21" t="s">
        <v>60</v>
      </c>
      <c r="F64" s="234" t="s">
        <v>761</v>
      </c>
      <c r="G64" s="21" t="s">
        <v>52</v>
      </c>
      <c r="H64" s="21" t="s">
        <v>116</v>
      </c>
      <c r="I64" s="12" t="s">
        <v>115</v>
      </c>
      <c r="J64" s="21" t="s">
        <v>666</v>
      </c>
      <c r="K64" s="261" t="s">
        <v>771</v>
      </c>
      <c r="L64" s="21" t="s">
        <v>666</v>
      </c>
      <c r="M64" s="21"/>
      <c r="N64" s="21"/>
    </row>
    <row r="65" spans="1:14" ht="13">
      <c r="A65" s="20">
        <v>2</v>
      </c>
      <c r="B65" s="21"/>
      <c r="C65" s="21" t="s">
        <v>61</v>
      </c>
      <c r="D65" s="21" t="s">
        <v>62</v>
      </c>
      <c r="E65" s="21" t="s">
        <v>107</v>
      </c>
      <c r="F65" s="234" t="s">
        <v>761</v>
      </c>
      <c r="G65" s="21" t="s">
        <v>52</v>
      </c>
      <c r="H65" s="21" t="s">
        <v>116</v>
      </c>
      <c r="I65" s="12" t="s">
        <v>115</v>
      </c>
      <c r="J65" s="21" t="s">
        <v>666</v>
      </c>
      <c r="K65" s="261" t="s">
        <v>771</v>
      </c>
      <c r="L65" s="21" t="s">
        <v>666</v>
      </c>
      <c r="M65" s="21"/>
      <c r="N65" s="21"/>
    </row>
    <row r="66" spans="1:14" ht="13">
      <c r="A66" s="20">
        <v>3</v>
      </c>
      <c r="B66" s="21"/>
      <c r="C66" s="21" t="s">
        <v>63</v>
      </c>
      <c r="D66" s="21" t="s">
        <v>64</v>
      </c>
      <c r="E66" s="21" t="s">
        <v>108</v>
      </c>
      <c r="F66" s="234" t="s">
        <v>761</v>
      </c>
      <c r="G66" s="21" t="s">
        <v>52</v>
      </c>
      <c r="H66" s="21" t="s">
        <v>116</v>
      </c>
      <c r="I66" s="12" t="s">
        <v>115</v>
      </c>
      <c r="J66" s="21" t="s">
        <v>666</v>
      </c>
      <c r="K66" s="261" t="s">
        <v>771</v>
      </c>
      <c r="L66" s="21" t="s">
        <v>666</v>
      </c>
      <c r="M66" s="21"/>
      <c r="N66" s="21"/>
    </row>
    <row r="67" spans="1:14" ht="13">
      <c r="A67" s="20">
        <v>4</v>
      </c>
      <c r="C67" s="21" t="s">
        <v>65</v>
      </c>
      <c r="D67" s="21" t="s">
        <v>66</v>
      </c>
      <c r="E67" s="21" t="s">
        <v>67</v>
      </c>
      <c r="F67" s="234" t="s">
        <v>761</v>
      </c>
      <c r="G67" s="21" t="s">
        <v>52</v>
      </c>
      <c r="H67" s="21" t="s">
        <v>116</v>
      </c>
      <c r="I67" s="12" t="s">
        <v>115</v>
      </c>
      <c r="J67" s="21" t="s">
        <v>666</v>
      </c>
      <c r="K67" s="261" t="s">
        <v>771</v>
      </c>
      <c r="L67" s="21" t="s">
        <v>666</v>
      </c>
      <c r="M67" s="21"/>
      <c r="N67" s="21"/>
    </row>
    <row r="68" spans="1:14" ht="13">
      <c r="A68" s="20">
        <v>5</v>
      </c>
      <c r="B68" s="21"/>
      <c r="C68" s="21" t="s">
        <v>68</v>
      </c>
      <c r="D68" s="21" t="s">
        <v>69</v>
      </c>
      <c r="E68" s="21" t="s">
        <v>70</v>
      </c>
      <c r="F68" s="234" t="s">
        <v>761</v>
      </c>
      <c r="G68" s="21" t="s">
        <v>52</v>
      </c>
      <c r="H68" s="21" t="s">
        <v>116</v>
      </c>
      <c r="I68" s="12" t="s">
        <v>115</v>
      </c>
      <c r="J68" s="21" t="s">
        <v>666</v>
      </c>
      <c r="K68" s="261" t="s">
        <v>771</v>
      </c>
      <c r="L68" s="21" t="s">
        <v>666</v>
      </c>
      <c r="M68" s="21"/>
      <c r="N68" s="21"/>
    </row>
    <row r="69" spans="1:14" ht="13">
      <c r="A69" s="20">
        <v>6</v>
      </c>
      <c r="B69" s="21" t="s">
        <v>434</v>
      </c>
      <c r="C69" s="21" t="s">
        <v>58</v>
      </c>
      <c r="D69" s="21" t="s">
        <v>71</v>
      </c>
      <c r="E69" s="21" t="s">
        <v>72</v>
      </c>
      <c r="F69" s="234" t="s">
        <v>761</v>
      </c>
      <c r="G69" s="21" t="s">
        <v>52</v>
      </c>
      <c r="H69" s="21" t="s">
        <v>116</v>
      </c>
      <c r="I69" s="12" t="s">
        <v>115</v>
      </c>
      <c r="J69" s="21" t="s">
        <v>666</v>
      </c>
      <c r="K69" s="261" t="s">
        <v>771</v>
      </c>
      <c r="L69" s="21" t="s">
        <v>666</v>
      </c>
      <c r="M69" s="21"/>
      <c r="N69" s="21"/>
    </row>
    <row r="70" spans="1:14" ht="13">
      <c r="A70" s="20">
        <v>7</v>
      </c>
      <c r="B70" s="21"/>
      <c r="C70" s="21" t="s">
        <v>58</v>
      </c>
      <c r="D70" s="21" t="s">
        <v>73</v>
      </c>
      <c r="E70" s="21" t="s">
        <v>74</v>
      </c>
      <c r="F70" s="234" t="s">
        <v>761</v>
      </c>
      <c r="G70" s="21" t="s">
        <v>52</v>
      </c>
      <c r="H70" s="21" t="s">
        <v>116</v>
      </c>
      <c r="I70" s="12" t="s">
        <v>115</v>
      </c>
      <c r="J70" s="21" t="s">
        <v>666</v>
      </c>
      <c r="K70" s="261" t="s">
        <v>771</v>
      </c>
      <c r="L70" s="21" t="s">
        <v>666</v>
      </c>
      <c r="M70" s="21"/>
      <c r="N70" s="21"/>
    </row>
    <row r="71" spans="1:14" ht="13">
      <c r="A71" s="20">
        <v>8</v>
      </c>
      <c r="B71" s="21"/>
      <c r="C71" s="21" t="s">
        <v>68</v>
      </c>
      <c r="D71" s="21" t="s">
        <v>75</v>
      </c>
      <c r="E71" s="21" t="s">
        <v>109</v>
      </c>
      <c r="F71" s="234" t="s">
        <v>761</v>
      </c>
      <c r="G71" s="21" t="s">
        <v>52</v>
      </c>
      <c r="H71" s="21" t="s">
        <v>116</v>
      </c>
      <c r="I71" s="12" t="s">
        <v>115</v>
      </c>
      <c r="J71" s="21" t="s">
        <v>666</v>
      </c>
      <c r="K71" s="261" t="s">
        <v>771</v>
      </c>
      <c r="L71" s="21" t="s">
        <v>666</v>
      </c>
      <c r="M71" s="21"/>
      <c r="N71" s="21"/>
    </row>
    <row r="72" spans="1:14" ht="13">
      <c r="A72" s="20">
        <v>9</v>
      </c>
      <c r="B72" s="21"/>
      <c r="C72" s="21" t="s">
        <v>730</v>
      </c>
      <c r="D72" s="21" t="s">
        <v>731</v>
      </c>
      <c r="E72" s="21" t="s">
        <v>732</v>
      </c>
      <c r="F72" s="234" t="s">
        <v>761</v>
      </c>
      <c r="G72" s="21" t="s">
        <v>52</v>
      </c>
      <c r="H72" s="21" t="s">
        <v>116</v>
      </c>
      <c r="I72" s="12" t="s">
        <v>115</v>
      </c>
      <c r="J72" s="21" t="s">
        <v>666</v>
      </c>
      <c r="K72" s="261" t="s">
        <v>771</v>
      </c>
      <c r="L72" s="21" t="s">
        <v>666</v>
      </c>
      <c r="M72" s="21"/>
      <c r="N72" s="21"/>
    </row>
    <row r="73" spans="1:14" ht="13">
      <c r="A73" s="20">
        <v>10</v>
      </c>
      <c r="B73" s="21"/>
      <c r="C73" s="21" t="s">
        <v>733</v>
      </c>
      <c r="D73" s="21" t="s">
        <v>734</v>
      </c>
      <c r="E73" s="21" t="s">
        <v>735</v>
      </c>
      <c r="F73" s="234" t="s">
        <v>761</v>
      </c>
      <c r="G73" s="21" t="s">
        <v>52</v>
      </c>
      <c r="H73" s="21" t="s">
        <v>116</v>
      </c>
      <c r="I73" s="12" t="s">
        <v>115</v>
      </c>
      <c r="J73" s="21" t="s">
        <v>666</v>
      </c>
      <c r="K73" s="261" t="s">
        <v>771</v>
      </c>
      <c r="L73" s="21" t="s">
        <v>666</v>
      </c>
      <c r="M73" s="21"/>
      <c r="N73" s="21"/>
    </row>
    <row r="74" spans="1:14">
      <c r="A74" s="20"/>
      <c r="B74" s="21"/>
      <c r="C74" s="21"/>
      <c r="D74" s="21"/>
      <c r="E74" s="21"/>
      <c r="F74" s="12"/>
      <c r="G74" s="21"/>
      <c r="H74" s="21"/>
      <c r="I74" s="12"/>
      <c r="J74" s="21"/>
      <c r="K74" s="21"/>
      <c r="L74" s="21"/>
      <c r="M74" s="21"/>
      <c r="N74" s="21"/>
    </row>
    <row r="75" spans="1:14">
      <c r="A75" s="20"/>
      <c r="B75" s="21"/>
      <c r="C75" s="21"/>
      <c r="D75" s="21"/>
      <c r="E75" s="21"/>
      <c r="F75" s="12"/>
      <c r="G75" s="21"/>
      <c r="H75" s="21"/>
      <c r="I75" s="12"/>
      <c r="J75" s="21"/>
      <c r="K75" s="21"/>
      <c r="L75" s="21"/>
      <c r="M75" s="21"/>
      <c r="N75" s="21"/>
    </row>
    <row r="76" spans="1:14">
      <c r="A76" s="20"/>
      <c r="B76" s="21"/>
      <c r="C76" s="21"/>
      <c r="D76" s="21"/>
      <c r="E76" s="21"/>
      <c r="F76" s="12"/>
      <c r="G76" s="21"/>
      <c r="H76" s="21"/>
      <c r="I76" s="12"/>
      <c r="J76" s="21"/>
      <c r="K76" s="21"/>
      <c r="L76" s="21"/>
      <c r="M76" s="21"/>
      <c r="N76" s="21"/>
    </row>
    <row r="77" spans="1:14">
      <c r="A77" s="20"/>
      <c r="B77" s="21"/>
      <c r="C77" s="21"/>
      <c r="D77" s="21"/>
      <c r="E77" s="21"/>
      <c r="F77" s="12"/>
      <c r="G77" s="21"/>
      <c r="H77" s="21"/>
      <c r="I77" s="12"/>
      <c r="J77" s="21"/>
      <c r="K77" s="21"/>
      <c r="L77" s="21"/>
      <c r="M77" s="21"/>
      <c r="N77" s="21"/>
    </row>
    <row r="78" spans="1:14">
      <c r="A78" s="20"/>
      <c r="B78" s="21"/>
      <c r="C78" s="21"/>
      <c r="D78" s="21"/>
      <c r="E78" s="21"/>
      <c r="F78" s="12"/>
      <c r="G78" s="21"/>
      <c r="H78" s="21"/>
      <c r="I78" s="12"/>
      <c r="J78" s="21"/>
      <c r="K78" s="21"/>
      <c r="L78" s="21"/>
      <c r="M78" s="21"/>
      <c r="N78" s="21"/>
    </row>
    <row r="79" spans="1:14">
      <c r="A79" s="20"/>
      <c r="B79" s="21"/>
      <c r="C79" s="21"/>
      <c r="D79" s="21"/>
      <c r="E79" s="21"/>
      <c r="F79" s="12"/>
      <c r="G79" s="21"/>
      <c r="H79" s="21"/>
      <c r="I79" s="12"/>
      <c r="J79" s="21"/>
      <c r="K79" s="21"/>
      <c r="L79" s="21"/>
      <c r="M79" s="21"/>
      <c r="N79" s="21"/>
    </row>
    <row r="80" spans="1:14">
      <c r="A80" s="20"/>
      <c r="B80" s="21"/>
      <c r="C80" s="21"/>
      <c r="D80" s="21"/>
      <c r="E80" s="21"/>
      <c r="F80" s="12"/>
      <c r="G80" s="21"/>
      <c r="H80" s="21"/>
      <c r="I80" s="12"/>
      <c r="J80" s="21"/>
      <c r="K80" s="21"/>
      <c r="L80" s="21"/>
      <c r="M80" s="21"/>
      <c r="N80" s="21"/>
    </row>
    <row r="81" spans="1:14">
      <c r="A81" s="20"/>
      <c r="B81" s="21"/>
      <c r="C81" s="21"/>
      <c r="D81" s="21"/>
      <c r="E81" s="21"/>
      <c r="F81" s="12"/>
      <c r="G81" s="21"/>
      <c r="H81" s="21"/>
      <c r="I81" s="12"/>
      <c r="J81" s="21"/>
      <c r="K81" s="21"/>
      <c r="L81" s="21"/>
      <c r="M81" s="21"/>
      <c r="N81" s="21"/>
    </row>
    <row r="82" spans="1:14">
      <c r="A82" s="20"/>
      <c r="B82" s="21"/>
      <c r="C82" s="21"/>
      <c r="D82" s="21"/>
      <c r="E82" s="21"/>
      <c r="F82" s="12"/>
      <c r="G82" s="21"/>
      <c r="H82" s="21"/>
      <c r="I82" s="12"/>
      <c r="J82" s="21"/>
      <c r="K82" s="21"/>
      <c r="L82" s="21"/>
      <c r="M82" s="21"/>
      <c r="N82" s="21"/>
    </row>
    <row r="83" spans="1:14">
      <c r="A83" s="20"/>
      <c r="B83" s="21"/>
      <c r="C83" s="21"/>
      <c r="D83" s="21"/>
      <c r="E83" s="21"/>
      <c r="F83" s="12"/>
      <c r="G83" s="21"/>
      <c r="H83" s="21"/>
      <c r="I83" s="12"/>
      <c r="J83" s="21"/>
      <c r="K83" s="21"/>
      <c r="L83" s="21"/>
      <c r="M83" s="21"/>
      <c r="N83" s="21"/>
    </row>
    <row r="84" spans="1:14">
      <c r="A84" s="20"/>
      <c r="B84" s="21"/>
      <c r="C84" s="21"/>
      <c r="D84" s="21"/>
      <c r="E84" s="21"/>
      <c r="F84" s="12"/>
      <c r="G84" s="21"/>
      <c r="H84" s="21"/>
      <c r="I84" s="12"/>
      <c r="J84" s="21"/>
      <c r="K84" s="21"/>
      <c r="L84" s="21"/>
      <c r="M84" s="21"/>
      <c r="N84" s="21"/>
    </row>
    <row r="85" spans="1:14">
      <c r="A85" s="20"/>
      <c r="B85" s="21"/>
      <c r="C85" s="21"/>
      <c r="D85" s="21"/>
      <c r="E85" s="21"/>
      <c r="F85" s="12"/>
      <c r="G85" s="21"/>
      <c r="H85" s="21"/>
      <c r="I85" s="12"/>
      <c r="J85" s="21"/>
      <c r="K85" s="21"/>
      <c r="L85" s="21"/>
      <c r="M85" s="21"/>
      <c r="N85" s="21"/>
    </row>
    <row r="86" spans="1:14">
      <c r="A86" s="20"/>
      <c r="B86" s="21"/>
      <c r="C86" s="21"/>
      <c r="D86" s="21"/>
      <c r="E86" s="21"/>
      <c r="F86" s="12"/>
      <c r="G86" s="21"/>
      <c r="H86" s="21"/>
      <c r="I86" s="12"/>
      <c r="J86" s="21"/>
      <c r="K86" s="21"/>
      <c r="L86" s="21"/>
      <c r="M86" s="21"/>
      <c r="N86" s="21"/>
    </row>
    <row r="87" spans="1:14">
      <c r="A87" s="20"/>
      <c r="B87" s="21"/>
      <c r="C87" s="21"/>
      <c r="D87" s="21"/>
      <c r="E87" s="21"/>
      <c r="F87" s="12"/>
      <c r="G87" s="21"/>
      <c r="H87" s="21"/>
      <c r="I87" s="12"/>
      <c r="J87" s="21"/>
      <c r="K87" s="21"/>
      <c r="L87" s="21"/>
      <c r="M87" s="21"/>
      <c r="N87" s="21"/>
    </row>
    <row r="88" spans="1:14">
      <c r="A88" s="20"/>
      <c r="B88" s="21"/>
      <c r="C88" s="21"/>
      <c r="D88" s="21"/>
      <c r="E88" s="21"/>
      <c r="F88" s="12"/>
      <c r="G88" s="21"/>
      <c r="H88" s="21"/>
      <c r="I88" s="12"/>
      <c r="J88" s="21"/>
      <c r="K88" s="21"/>
      <c r="L88" s="21"/>
      <c r="M88" s="21"/>
      <c r="N88" s="21"/>
    </row>
    <row r="89" spans="1:14">
      <c r="A89" s="20"/>
      <c r="B89" s="21"/>
      <c r="C89" s="21"/>
      <c r="D89" s="21"/>
      <c r="E89" s="21"/>
      <c r="F89" s="12"/>
      <c r="G89" s="21"/>
      <c r="H89" s="21"/>
      <c r="I89" s="12"/>
      <c r="J89" s="21"/>
      <c r="K89" s="21"/>
      <c r="L89" s="21"/>
      <c r="M89" s="21"/>
      <c r="N89" s="21"/>
    </row>
    <row r="90" spans="1:14">
      <c r="A90" s="20"/>
      <c r="B90" s="21"/>
      <c r="C90" s="21"/>
      <c r="D90" s="21"/>
      <c r="E90" s="21"/>
      <c r="F90" s="12"/>
      <c r="G90" s="21"/>
      <c r="H90" s="21"/>
      <c r="I90" s="12"/>
      <c r="J90" s="21"/>
      <c r="K90" s="21"/>
      <c r="L90" s="21"/>
      <c r="M90" s="21"/>
      <c r="N90" s="21"/>
    </row>
    <row r="91" spans="1:14">
      <c r="A91" s="20"/>
      <c r="B91" s="21"/>
      <c r="C91" s="21"/>
      <c r="D91" s="21"/>
      <c r="E91" s="21"/>
      <c r="F91" s="12"/>
      <c r="G91" s="21"/>
      <c r="H91" s="21"/>
      <c r="I91" s="12"/>
      <c r="J91" s="21"/>
      <c r="K91" s="21"/>
      <c r="L91" s="21"/>
      <c r="M91" s="21"/>
      <c r="N91" s="21"/>
    </row>
    <row r="92" spans="1:14">
      <c r="A92" s="20"/>
      <c r="B92" s="21"/>
      <c r="C92" s="21"/>
      <c r="D92" s="21"/>
      <c r="E92" s="21"/>
      <c r="F92" s="12"/>
      <c r="G92" s="21"/>
      <c r="H92" s="21"/>
      <c r="I92" s="12"/>
      <c r="J92" s="21"/>
      <c r="K92" s="21"/>
      <c r="L92" s="21"/>
      <c r="M92" s="21"/>
      <c r="N92" s="21"/>
    </row>
    <row r="93" spans="1:14">
      <c r="A93" s="20"/>
      <c r="B93" s="21"/>
      <c r="C93" s="21"/>
      <c r="D93" s="21"/>
      <c r="E93" s="21"/>
      <c r="F93" s="12"/>
      <c r="G93" s="21"/>
      <c r="H93" s="21"/>
      <c r="I93" s="12"/>
      <c r="J93" s="21"/>
      <c r="K93" s="21"/>
      <c r="L93" s="21"/>
      <c r="M93" s="21"/>
      <c r="N93" s="21"/>
    </row>
    <row r="94" spans="1:14">
      <c r="A94" s="20"/>
      <c r="B94" s="21"/>
      <c r="C94" s="21"/>
      <c r="D94" s="21"/>
      <c r="E94" s="21"/>
      <c r="F94" s="12"/>
      <c r="G94" s="21"/>
      <c r="H94" s="21"/>
      <c r="I94" s="12"/>
      <c r="J94" s="21"/>
      <c r="K94" s="21"/>
      <c r="L94" s="21"/>
      <c r="M94" s="21"/>
      <c r="N94" s="21"/>
    </row>
    <row r="95" spans="1:14">
      <c r="A95" s="20"/>
      <c r="B95" s="21"/>
      <c r="C95" s="21"/>
      <c r="D95" s="21"/>
      <c r="E95" s="21"/>
      <c r="F95" s="12"/>
      <c r="G95" s="21"/>
      <c r="H95" s="21"/>
      <c r="I95" s="12"/>
      <c r="J95" s="21"/>
      <c r="K95" s="21"/>
      <c r="L95" s="21"/>
      <c r="M95" s="21"/>
      <c r="N95" s="21"/>
    </row>
    <row r="96" spans="1:14">
      <c r="A96" s="20"/>
      <c r="B96" s="21"/>
      <c r="C96" s="21"/>
      <c r="D96" s="21"/>
      <c r="E96" s="21"/>
      <c r="F96" s="12"/>
      <c r="G96" s="21"/>
      <c r="H96" s="21"/>
      <c r="I96" s="12"/>
      <c r="J96" s="21"/>
      <c r="K96" s="21"/>
      <c r="L96" s="21"/>
      <c r="M96" s="21"/>
      <c r="N96" s="21"/>
    </row>
    <row r="97" spans="1:14">
      <c r="A97" s="20"/>
      <c r="B97" s="21"/>
      <c r="C97" s="21"/>
      <c r="D97" s="21"/>
      <c r="E97" s="21"/>
      <c r="F97" s="12"/>
      <c r="G97" s="21"/>
      <c r="H97" s="21"/>
      <c r="I97" s="12"/>
      <c r="J97" s="21"/>
      <c r="K97" s="21"/>
      <c r="L97" s="21"/>
      <c r="M97" s="21"/>
      <c r="N97" s="21"/>
    </row>
    <row r="98" spans="1:14">
      <c r="A98" s="20"/>
      <c r="B98" s="21"/>
      <c r="C98" s="21"/>
      <c r="D98" s="21"/>
      <c r="E98" s="21"/>
      <c r="F98" s="12"/>
      <c r="G98" s="21"/>
      <c r="H98" s="21"/>
      <c r="I98" s="12"/>
      <c r="J98" s="21"/>
      <c r="K98" s="21"/>
      <c r="L98" s="21"/>
      <c r="M98" s="21"/>
      <c r="N98" s="21"/>
    </row>
    <row r="99" spans="1:14">
      <c r="A99" s="20"/>
      <c r="B99" s="21"/>
      <c r="C99" s="21"/>
      <c r="D99" s="21"/>
      <c r="E99" s="21"/>
      <c r="F99" s="12"/>
      <c r="G99" s="21"/>
      <c r="H99" s="21"/>
      <c r="I99" s="12"/>
      <c r="J99" s="21"/>
      <c r="K99" s="21"/>
      <c r="L99" s="21"/>
      <c r="M99" s="21"/>
      <c r="N99" s="21"/>
    </row>
    <row r="100" spans="1:14">
      <c r="A100" s="20"/>
      <c r="B100" s="21"/>
      <c r="C100" s="21"/>
      <c r="D100" s="21"/>
      <c r="E100" s="21"/>
      <c r="F100" s="12"/>
      <c r="G100" s="21"/>
      <c r="H100" s="21"/>
      <c r="I100" s="12"/>
      <c r="J100" s="21"/>
      <c r="K100" s="21"/>
      <c r="L100" s="21"/>
      <c r="M100" s="21"/>
      <c r="N100" s="21"/>
    </row>
    <row r="101" spans="1:14">
      <c r="A101" s="20"/>
      <c r="B101" s="21"/>
      <c r="C101" s="21"/>
      <c r="D101" s="21"/>
      <c r="E101" s="21"/>
      <c r="F101" s="12"/>
      <c r="G101" s="21"/>
      <c r="H101" s="21"/>
      <c r="I101" s="12"/>
      <c r="J101" s="21"/>
      <c r="K101" s="21"/>
      <c r="L101" s="21"/>
      <c r="M101" s="21"/>
      <c r="N101" s="21"/>
    </row>
    <row r="102" spans="1:14">
      <c r="A102" s="20"/>
      <c r="B102" s="21"/>
      <c r="C102" s="21"/>
      <c r="D102" s="21"/>
      <c r="E102" s="21"/>
      <c r="F102" s="12"/>
      <c r="G102" s="21"/>
      <c r="H102" s="21"/>
      <c r="I102" s="12"/>
      <c r="J102" s="21"/>
      <c r="K102" s="21"/>
      <c r="L102" s="21"/>
      <c r="M102" s="21"/>
      <c r="N102" s="21"/>
    </row>
    <row r="103" spans="1:14">
      <c r="A103" s="20"/>
      <c r="B103" s="21"/>
      <c r="C103" s="21"/>
      <c r="D103" s="21"/>
      <c r="E103" s="21"/>
      <c r="F103" s="12"/>
      <c r="G103" s="21"/>
      <c r="H103" s="21"/>
      <c r="I103" s="12"/>
      <c r="J103" s="21"/>
      <c r="K103" s="21"/>
      <c r="L103" s="21"/>
      <c r="M103" s="21"/>
      <c r="N103" s="21"/>
    </row>
    <row r="104" spans="1:14">
      <c r="A104" s="20"/>
      <c r="B104" s="21"/>
      <c r="C104" s="21"/>
      <c r="D104" s="21"/>
      <c r="E104" s="21"/>
      <c r="F104" s="12"/>
      <c r="G104" s="21"/>
      <c r="H104" s="21"/>
      <c r="I104" s="12"/>
      <c r="J104" s="21"/>
      <c r="K104" s="21"/>
      <c r="L104" s="21"/>
      <c r="M104" s="21"/>
      <c r="N104" s="21"/>
    </row>
    <row r="105" spans="1:14">
      <c r="A105" s="20"/>
      <c r="B105" s="21"/>
      <c r="C105" s="21"/>
      <c r="D105" s="21"/>
      <c r="E105" s="21"/>
      <c r="F105" s="12"/>
      <c r="G105" s="21"/>
      <c r="H105" s="21"/>
      <c r="I105" s="12"/>
      <c r="J105" s="21"/>
      <c r="K105" s="21"/>
      <c r="L105" s="21"/>
      <c r="M105" s="21"/>
      <c r="N105" s="21"/>
    </row>
    <row r="106" spans="1:14">
      <c r="A106" s="20"/>
      <c r="B106" s="21"/>
      <c r="C106" s="21"/>
      <c r="D106" s="21"/>
      <c r="E106" s="21"/>
      <c r="F106" s="12"/>
      <c r="G106" s="21"/>
      <c r="H106" s="21"/>
      <c r="I106" s="12"/>
      <c r="J106" s="21"/>
      <c r="K106" s="21"/>
      <c r="L106" s="21"/>
      <c r="M106" s="21"/>
      <c r="N106" s="21"/>
    </row>
    <row r="107" spans="1:14">
      <c r="A107" s="20"/>
      <c r="B107" s="21"/>
      <c r="C107" s="21"/>
      <c r="D107" s="21"/>
      <c r="E107" s="21"/>
      <c r="F107" s="12"/>
      <c r="G107" s="21"/>
      <c r="H107" s="21"/>
      <c r="I107" s="12"/>
      <c r="J107" s="21"/>
      <c r="K107" s="21"/>
      <c r="L107" s="21"/>
      <c r="M107" s="21"/>
      <c r="N107" s="21"/>
    </row>
    <row r="108" spans="1:14">
      <c r="A108" s="20"/>
      <c r="B108" s="21"/>
      <c r="C108" s="21"/>
      <c r="D108" s="21"/>
      <c r="E108" s="21"/>
      <c r="F108" s="12"/>
      <c r="G108" s="21"/>
      <c r="H108" s="21"/>
      <c r="I108" s="12"/>
      <c r="J108" s="21"/>
      <c r="K108" s="21"/>
      <c r="L108" s="21"/>
      <c r="M108" s="21"/>
      <c r="N108" s="21"/>
    </row>
    <row r="109" spans="1:14">
      <c r="A109" s="20"/>
      <c r="B109" s="21"/>
      <c r="C109" s="21"/>
      <c r="D109" s="21"/>
      <c r="E109" s="21"/>
      <c r="F109" s="12"/>
      <c r="G109" s="21"/>
      <c r="H109" s="21"/>
      <c r="I109" s="12"/>
      <c r="J109" s="21"/>
      <c r="K109" s="21"/>
      <c r="L109" s="21"/>
      <c r="M109" s="21"/>
      <c r="N109" s="21"/>
    </row>
    <row r="110" spans="1:14">
      <c r="A110" s="20"/>
      <c r="B110" s="21"/>
      <c r="C110" s="21"/>
      <c r="D110" s="21"/>
      <c r="E110" s="21"/>
      <c r="F110" s="12"/>
      <c r="G110" s="21"/>
      <c r="H110" s="21"/>
      <c r="I110" s="12"/>
      <c r="J110" s="21"/>
      <c r="K110" s="21"/>
      <c r="L110" s="21"/>
      <c r="M110" s="21"/>
      <c r="N110" s="21"/>
    </row>
    <row r="111" spans="1:14">
      <c r="A111" s="20"/>
      <c r="B111" s="21"/>
      <c r="C111" s="21"/>
      <c r="D111" s="21"/>
      <c r="E111" s="21"/>
      <c r="F111" s="12"/>
      <c r="G111" s="21"/>
      <c r="H111" s="21"/>
      <c r="I111" s="12"/>
      <c r="J111" s="21"/>
      <c r="K111" s="21"/>
      <c r="L111" s="21"/>
      <c r="M111" s="21"/>
      <c r="N111" s="21"/>
    </row>
    <row r="112" spans="1:14">
      <c r="A112" s="20"/>
      <c r="B112" s="21"/>
      <c r="C112" s="21"/>
      <c r="D112" s="21"/>
      <c r="E112" s="21"/>
      <c r="F112" s="12"/>
      <c r="G112" s="21"/>
      <c r="H112" s="21"/>
      <c r="I112" s="12"/>
      <c r="J112" s="21"/>
      <c r="K112" s="21"/>
      <c r="L112" s="21"/>
      <c r="M112" s="21"/>
      <c r="N112" s="21"/>
    </row>
    <row r="113" spans="1:14">
      <c r="A113" s="20"/>
      <c r="B113" s="21"/>
      <c r="C113" s="21"/>
      <c r="D113" s="21"/>
      <c r="E113" s="21"/>
      <c r="F113" s="12"/>
      <c r="G113" s="21"/>
      <c r="H113" s="21"/>
      <c r="I113" s="12"/>
      <c r="J113" s="21"/>
      <c r="K113" s="21"/>
      <c r="L113" s="21"/>
      <c r="M113" s="21"/>
      <c r="N113" s="21"/>
    </row>
    <row r="114" spans="1:14">
      <c r="A114" s="20"/>
      <c r="B114" s="21"/>
      <c r="C114" s="21"/>
      <c r="D114" s="21"/>
      <c r="E114" s="21"/>
      <c r="F114" s="12"/>
      <c r="G114" s="21"/>
      <c r="H114" s="21"/>
      <c r="I114" s="12"/>
      <c r="J114" s="21"/>
      <c r="K114" s="21"/>
      <c r="L114" s="21"/>
      <c r="M114" s="21"/>
      <c r="N114" s="21"/>
    </row>
    <row r="115" spans="1:14">
      <c r="A115" s="20"/>
      <c r="B115" s="21"/>
      <c r="C115" s="21"/>
      <c r="D115" s="21"/>
      <c r="E115" s="21"/>
      <c r="F115" s="12"/>
      <c r="G115" s="21"/>
      <c r="H115" s="21"/>
      <c r="I115" s="12"/>
      <c r="J115" s="21"/>
      <c r="K115" s="21"/>
      <c r="L115" s="21"/>
      <c r="M115" s="21"/>
      <c r="N115" s="21"/>
    </row>
    <row r="116" spans="1:14">
      <c r="A116" s="20"/>
      <c r="B116" s="21"/>
      <c r="C116" s="21"/>
      <c r="D116" s="21"/>
      <c r="E116" s="21"/>
      <c r="F116" s="12"/>
      <c r="G116" s="21"/>
      <c r="H116" s="21"/>
      <c r="I116" s="12"/>
      <c r="J116" s="21"/>
      <c r="K116" s="21"/>
      <c r="L116" s="21"/>
      <c r="M116" s="21"/>
      <c r="N116" s="21"/>
    </row>
    <row r="117" spans="1:14">
      <c r="A117" s="20"/>
      <c r="B117" s="21"/>
      <c r="C117" s="21"/>
      <c r="D117" s="21"/>
      <c r="E117" s="21"/>
      <c r="F117" s="12"/>
      <c r="G117" s="21"/>
      <c r="H117" s="21"/>
      <c r="I117" s="12"/>
      <c r="J117" s="21"/>
      <c r="K117" s="21"/>
      <c r="L117" s="21"/>
      <c r="M117" s="21"/>
      <c r="N117" s="21"/>
    </row>
    <row r="118" spans="1:14">
      <c r="A118" s="20"/>
      <c r="B118" s="21"/>
      <c r="C118" s="21"/>
      <c r="D118" s="21"/>
      <c r="E118" s="21"/>
      <c r="F118" s="12"/>
      <c r="G118" s="21"/>
      <c r="H118" s="21"/>
      <c r="I118" s="12"/>
      <c r="J118" s="21"/>
      <c r="K118" s="21"/>
      <c r="L118" s="21"/>
      <c r="M118" s="21"/>
      <c r="N118" s="21"/>
    </row>
    <row r="119" spans="1:14">
      <c r="A119" s="20"/>
      <c r="B119" s="21"/>
      <c r="C119" s="21"/>
      <c r="D119" s="21"/>
      <c r="E119" s="21"/>
      <c r="F119" s="12"/>
      <c r="G119" s="21"/>
      <c r="H119" s="21"/>
      <c r="I119" s="12"/>
      <c r="J119" s="21"/>
      <c r="K119" s="21"/>
      <c r="L119" s="21"/>
      <c r="M119" s="21"/>
      <c r="N119" s="21"/>
    </row>
    <row r="120" spans="1:14">
      <c r="A120" s="20"/>
      <c r="B120" s="21"/>
      <c r="C120" s="21"/>
      <c r="D120" s="21"/>
      <c r="E120" s="21"/>
      <c r="F120" s="12"/>
      <c r="G120" s="21"/>
      <c r="H120" s="21"/>
      <c r="I120" s="12"/>
      <c r="J120" s="21"/>
      <c r="K120" s="21"/>
      <c r="L120" s="21"/>
      <c r="M120" s="21"/>
      <c r="N120" s="21"/>
    </row>
    <row r="121" spans="1:14">
      <c r="A121" s="20"/>
      <c r="B121" s="21"/>
      <c r="C121" s="21"/>
      <c r="D121" s="21"/>
      <c r="E121" s="21"/>
      <c r="F121" s="12"/>
      <c r="G121" s="21"/>
      <c r="H121" s="21"/>
      <c r="I121" s="12"/>
      <c r="J121" s="21"/>
      <c r="K121" s="21"/>
      <c r="L121" s="21"/>
      <c r="M121" s="21"/>
      <c r="N121" s="21"/>
    </row>
    <row r="122" spans="1:14">
      <c r="A122" s="20"/>
      <c r="B122" s="21"/>
      <c r="C122" s="21"/>
      <c r="D122" s="21"/>
      <c r="E122" s="21"/>
      <c r="F122" s="12"/>
      <c r="G122" s="21"/>
      <c r="H122" s="21"/>
      <c r="I122" s="12"/>
      <c r="J122" s="21"/>
      <c r="K122" s="21"/>
      <c r="L122" s="21"/>
      <c r="M122" s="21"/>
      <c r="N122" s="21"/>
    </row>
    <row r="123" spans="1:14">
      <c r="A123" s="20"/>
      <c r="B123" s="21"/>
      <c r="C123" s="21"/>
      <c r="D123" s="21"/>
      <c r="E123" s="21"/>
      <c r="F123" s="12"/>
      <c r="G123" s="21"/>
      <c r="H123" s="21"/>
      <c r="I123" s="12"/>
      <c r="J123" s="21"/>
      <c r="K123" s="21"/>
      <c r="L123" s="21"/>
      <c r="M123" s="21"/>
      <c r="N123" s="21"/>
    </row>
    <row r="124" spans="1:14">
      <c r="A124" s="20"/>
      <c r="B124" s="21"/>
      <c r="C124" s="21"/>
      <c r="D124" s="21"/>
      <c r="E124" s="21"/>
      <c r="F124" s="12"/>
      <c r="G124" s="21"/>
      <c r="H124" s="21"/>
      <c r="I124" s="12"/>
      <c r="J124" s="21"/>
      <c r="K124" s="21"/>
      <c r="L124" s="21"/>
      <c r="M124" s="21"/>
      <c r="N124" s="21"/>
    </row>
    <row r="125" spans="1:14">
      <c r="A125" s="20"/>
      <c r="B125" s="21"/>
      <c r="C125" s="21"/>
      <c r="D125" s="21"/>
      <c r="E125" s="21"/>
      <c r="F125" s="12"/>
      <c r="G125" s="21"/>
      <c r="H125" s="21"/>
      <c r="I125" s="12"/>
      <c r="J125" s="21"/>
      <c r="K125" s="21"/>
      <c r="L125" s="21"/>
      <c r="M125" s="21"/>
      <c r="N125" s="21"/>
    </row>
    <row r="126" spans="1:14">
      <c r="A126" s="20"/>
      <c r="B126" s="21"/>
      <c r="C126" s="21"/>
      <c r="D126" s="21"/>
      <c r="E126" s="21"/>
      <c r="F126" s="12"/>
      <c r="G126" s="21"/>
      <c r="H126" s="21"/>
      <c r="I126" s="12"/>
      <c r="J126" s="21"/>
      <c r="K126" s="21"/>
      <c r="L126" s="21"/>
      <c r="M126" s="21"/>
      <c r="N126" s="21"/>
    </row>
    <row r="127" spans="1:14">
      <c r="A127" s="20"/>
      <c r="B127" s="21"/>
      <c r="C127" s="21"/>
      <c r="D127" s="21"/>
      <c r="E127" s="21"/>
      <c r="F127" s="12"/>
      <c r="G127" s="21"/>
      <c r="H127" s="21"/>
      <c r="I127" s="12"/>
      <c r="J127" s="21"/>
      <c r="K127" s="21"/>
      <c r="L127" s="21"/>
      <c r="M127" s="21"/>
      <c r="N127" s="21"/>
    </row>
    <row r="128" spans="1:14">
      <c r="A128" s="20"/>
      <c r="B128" s="21"/>
      <c r="C128" s="21"/>
      <c r="D128" s="21"/>
      <c r="E128" s="21"/>
      <c r="F128" s="12"/>
      <c r="G128" s="21"/>
      <c r="H128" s="21"/>
      <c r="I128" s="12"/>
      <c r="J128" s="21"/>
      <c r="K128" s="21"/>
      <c r="L128" s="21"/>
      <c r="M128" s="21"/>
      <c r="N128" s="21"/>
    </row>
    <row r="129" spans="1:14">
      <c r="A129" s="20"/>
      <c r="B129" s="21"/>
      <c r="C129" s="21"/>
      <c r="D129" s="21"/>
      <c r="E129" s="21"/>
      <c r="F129" s="12"/>
      <c r="G129" s="21"/>
      <c r="H129" s="21"/>
      <c r="I129" s="12"/>
      <c r="J129" s="21"/>
      <c r="K129" s="21"/>
      <c r="L129" s="21"/>
      <c r="M129" s="21"/>
      <c r="N129" s="21"/>
    </row>
    <row r="130" spans="1:14">
      <c r="A130" s="20"/>
      <c r="B130" s="21"/>
      <c r="C130" s="21"/>
      <c r="D130" s="21"/>
      <c r="E130" s="21"/>
      <c r="F130" s="12"/>
      <c r="G130" s="21"/>
      <c r="H130" s="21"/>
      <c r="I130" s="12"/>
      <c r="J130" s="21"/>
      <c r="K130" s="21"/>
      <c r="L130" s="21"/>
      <c r="M130" s="21"/>
      <c r="N130" s="21"/>
    </row>
    <row r="131" spans="1:14">
      <c r="A131" s="20"/>
      <c r="B131" s="21"/>
      <c r="C131" s="21"/>
      <c r="D131" s="21"/>
      <c r="E131" s="21"/>
      <c r="F131" s="12"/>
      <c r="G131" s="21"/>
      <c r="H131" s="21"/>
      <c r="I131" s="12"/>
      <c r="J131" s="21"/>
      <c r="K131" s="21"/>
      <c r="L131" s="21"/>
      <c r="M131" s="21"/>
      <c r="N131" s="21"/>
    </row>
    <row r="132" spans="1:14">
      <c r="A132" s="20"/>
      <c r="B132" s="21"/>
      <c r="C132" s="21"/>
      <c r="D132" s="21"/>
      <c r="E132" s="21"/>
      <c r="F132" s="12"/>
      <c r="G132" s="21"/>
      <c r="H132" s="21"/>
      <c r="I132" s="12"/>
      <c r="J132" s="21"/>
      <c r="K132" s="21"/>
      <c r="L132" s="21"/>
      <c r="M132" s="21"/>
      <c r="N132" s="21"/>
    </row>
    <row r="133" spans="1:14">
      <c r="A133" s="20"/>
      <c r="B133" s="21"/>
      <c r="C133" s="21"/>
      <c r="D133" s="21"/>
      <c r="E133" s="21"/>
      <c r="F133" s="12"/>
      <c r="G133" s="21"/>
      <c r="H133" s="21"/>
      <c r="I133" s="12"/>
      <c r="J133" s="21"/>
      <c r="K133" s="21"/>
      <c r="L133" s="21"/>
      <c r="M133" s="21"/>
      <c r="N133" s="21"/>
    </row>
    <row r="134" spans="1:14">
      <c r="A134" s="20"/>
      <c r="B134" s="21"/>
      <c r="C134" s="21"/>
      <c r="D134" s="21"/>
      <c r="E134" s="21"/>
      <c r="F134" s="12"/>
      <c r="G134" s="21"/>
      <c r="H134" s="21"/>
      <c r="I134" s="12"/>
      <c r="J134" s="21"/>
      <c r="K134" s="21"/>
      <c r="L134" s="21"/>
      <c r="M134" s="21"/>
      <c r="N134" s="21"/>
    </row>
    <row r="135" spans="1:14">
      <c r="A135" s="20"/>
      <c r="B135" s="21"/>
      <c r="C135" s="21"/>
      <c r="D135" s="21"/>
      <c r="E135" s="21"/>
      <c r="F135" s="12"/>
      <c r="G135" s="21"/>
      <c r="H135" s="21"/>
      <c r="I135" s="12"/>
      <c r="J135" s="21"/>
      <c r="K135" s="21"/>
      <c r="L135" s="21"/>
      <c r="M135" s="21"/>
      <c r="N135" s="21"/>
    </row>
    <row r="136" spans="1:14">
      <c r="A136" s="20"/>
      <c r="B136" s="21"/>
      <c r="C136" s="21"/>
      <c r="D136" s="21"/>
      <c r="E136" s="21"/>
      <c r="F136" s="12"/>
      <c r="G136" s="21"/>
      <c r="H136" s="21"/>
      <c r="I136" s="12"/>
      <c r="J136" s="21"/>
      <c r="K136" s="21"/>
      <c r="L136" s="21"/>
      <c r="M136" s="21"/>
      <c r="N136" s="21"/>
    </row>
    <row r="137" spans="1:14">
      <c r="A137" s="20"/>
      <c r="B137" s="21"/>
      <c r="C137" s="21"/>
      <c r="D137" s="21"/>
      <c r="E137" s="21"/>
      <c r="F137" s="12"/>
      <c r="G137" s="21"/>
      <c r="H137" s="21"/>
      <c r="I137" s="12"/>
      <c r="J137" s="21"/>
      <c r="K137" s="21"/>
      <c r="L137" s="21"/>
      <c r="M137" s="21"/>
      <c r="N137" s="21"/>
    </row>
    <row r="138" spans="1:14">
      <c r="A138" s="20"/>
      <c r="B138" s="21"/>
      <c r="C138" s="21"/>
      <c r="D138" s="21"/>
      <c r="E138" s="21"/>
      <c r="F138" s="12"/>
      <c r="G138" s="21"/>
      <c r="H138" s="21"/>
      <c r="I138" s="12"/>
      <c r="J138" s="21"/>
      <c r="K138" s="21"/>
      <c r="L138" s="21"/>
      <c r="M138" s="21"/>
      <c r="N138" s="21"/>
    </row>
    <row r="139" spans="1:14">
      <c r="A139" s="20"/>
      <c r="B139" s="21"/>
      <c r="C139" s="21"/>
      <c r="D139" s="21"/>
      <c r="E139" s="21"/>
      <c r="F139" s="12"/>
      <c r="G139" s="21"/>
      <c r="H139" s="21"/>
      <c r="I139" s="12"/>
      <c r="J139" s="21"/>
      <c r="K139" s="21"/>
      <c r="L139" s="21"/>
      <c r="M139" s="21"/>
      <c r="N139" s="21"/>
    </row>
    <row r="140" spans="1:14">
      <c r="A140" s="20"/>
      <c r="B140" s="21"/>
      <c r="C140" s="21"/>
      <c r="D140" s="21"/>
      <c r="E140" s="21"/>
      <c r="F140" s="12"/>
      <c r="G140" s="21"/>
      <c r="H140" s="21"/>
      <c r="I140" s="12"/>
      <c r="J140" s="21"/>
      <c r="K140" s="21"/>
      <c r="L140" s="21"/>
      <c r="M140" s="21"/>
      <c r="N140" s="21"/>
    </row>
    <row r="141" spans="1:14">
      <c r="A141" s="20"/>
      <c r="B141" s="21"/>
      <c r="C141" s="21"/>
      <c r="D141" s="21"/>
      <c r="E141" s="21"/>
      <c r="F141" s="12"/>
      <c r="G141" s="21"/>
      <c r="H141" s="21"/>
      <c r="I141" s="12"/>
      <c r="J141" s="21"/>
      <c r="K141" s="21"/>
      <c r="L141" s="21"/>
      <c r="M141" s="21"/>
      <c r="N141" s="21"/>
    </row>
    <row r="142" spans="1:14">
      <c r="A142" s="20"/>
      <c r="B142" s="21"/>
      <c r="C142" s="21"/>
      <c r="D142" s="21"/>
      <c r="E142" s="21"/>
      <c r="F142" s="12"/>
      <c r="G142" s="21"/>
      <c r="H142" s="21"/>
      <c r="I142" s="12"/>
      <c r="J142" s="21"/>
      <c r="K142" s="21"/>
      <c r="L142" s="21"/>
      <c r="M142" s="21"/>
      <c r="N142" s="21"/>
    </row>
    <row r="143" spans="1:14">
      <c r="A143" s="20"/>
      <c r="B143" s="21"/>
      <c r="C143" s="21"/>
      <c r="D143" s="21"/>
      <c r="E143" s="21"/>
      <c r="F143" s="12"/>
      <c r="G143" s="21"/>
      <c r="H143" s="21"/>
      <c r="I143" s="12"/>
      <c r="J143" s="21"/>
      <c r="K143" s="21"/>
      <c r="L143" s="21"/>
      <c r="M143" s="21"/>
      <c r="N143" s="21"/>
    </row>
    <row r="144" spans="1:14">
      <c r="A144" s="20"/>
      <c r="B144" s="21"/>
      <c r="C144" s="21"/>
      <c r="D144" s="21"/>
      <c r="E144" s="21"/>
      <c r="F144" s="12"/>
      <c r="G144" s="21"/>
      <c r="H144" s="21"/>
      <c r="I144" s="12"/>
      <c r="J144" s="21"/>
      <c r="K144" s="21"/>
      <c r="L144" s="21"/>
      <c r="M144" s="21"/>
      <c r="N144" s="21"/>
    </row>
    <row r="145" spans="1:14">
      <c r="A145" s="20"/>
      <c r="B145" s="21"/>
      <c r="C145" s="21"/>
      <c r="D145" s="21"/>
      <c r="E145" s="21"/>
      <c r="F145" s="12"/>
      <c r="G145" s="21"/>
      <c r="H145" s="21"/>
      <c r="I145" s="12"/>
      <c r="J145" s="21"/>
      <c r="K145" s="21"/>
      <c r="L145" s="21"/>
      <c r="M145" s="21"/>
      <c r="N145" s="21"/>
    </row>
    <row r="146" spans="1:14">
      <c r="A146" s="20"/>
      <c r="B146" s="21"/>
      <c r="C146" s="21"/>
      <c r="D146" s="21"/>
      <c r="E146" s="21"/>
      <c r="F146" s="12"/>
      <c r="G146" s="21"/>
      <c r="H146" s="21"/>
      <c r="I146" s="12"/>
      <c r="J146" s="21"/>
      <c r="K146" s="21"/>
      <c r="L146" s="21"/>
      <c r="M146" s="21"/>
      <c r="N146" s="21"/>
    </row>
    <row r="147" spans="1:14">
      <c r="A147" s="20"/>
      <c r="B147" s="21"/>
      <c r="C147" s="21"/>
      <c r="D147" s="21"/>
      <c r="E147" s="21"/>
      <c r="F147" s="12"/>
      <c r="G147" s="21"/>
      <c r="H147" s="21"/>
      <c r="I147" s="12"/>
      <c r="J147" s="21"/>
      <c r="K147" s="21"/>
      <c r="L147" s="21"/>
      <c r="M147" s="21"/>
      <c r="N147" s="21"/>
    </row>
    <row r="148" spans="1:14">
      <c r="A148" s="20"/>
      <c r="B148" s="21"/>
      <c r="C148" s="21"/>
      <c r="D148" s="21"/>
      <c r="E148" s="21"/>
      <c r="F148" s="12"/>
      <c r="G148" s="21"/>
      <c r="H148" s="21"/>
      <c r="I148" s="12"/>
      <c r="J148" s="21"/>
      <c r="K148" s="21"/>
      <c r="L148" s="21"/>
      <c r="M148" s="21"/>
      <c r="N148" s="21"/>
    </row>
    <row r="149" spans="1:14">
      <c r="A149" s="20"/>
      <c r="B149" s="21"/>
      <c r="C149" s="21"/>
      <c r="D149" s="21"/>
      <c r="E149" s="21"/>
      <c r="F149" s="12"/>
      <c r="G149" s="21"/>
      <c r="H149" s="21"/>
      <c r="I149" s="12"/>
      <c r="J149" s="21"/>
      <c r="K149" s="21"/>
      <c r="L149" s="21"/>
      <c r="M149" s="21"/>
      <c r="N149" s="21"/>
    </row>
    <row r="150" spans="1:14">
      <c r="A150" s="20"/>
      <c r="B150" s="21"/>
      <c r="C150" s="21"/>
      <c r="D150" s="21"/>
      <c r="E150" s="21"/>
      <c r="F150" s="12"/>
      <c r="G150" s="21"/>
      <c r="H150" s="21"/>
      <c r="I150" s="12"/>
      <c r="J150" s="21"/>
      <c r="K150" s="21"/>
      <c r="L150" s="21"/>
      <c r="M150" s="21"/>
      <c r="N150" s="21"/>
    </row>
    <row r="151" spans="1:14">
      <c r="A151" s="20"/>
      <c r="B151" s="21"/>
      <c r="C151" s="21"/>
      <c r="D151" s="21"/>
      <c r="E151" s="21"/>
      <c r="F151" s="12"/>
      <c r="G151" s="21"/>
      <c r="H151" s="21"/>
      <c r="I151" s="12"/>
      <c r="J151" s="21"/>
      <c r="K151" s="21"/>
      <c r="L151" s="21"/>
      <c r="M151" s="21"/>
      <c r="N151" s="21"/>
    </row>
    <row r="152" spans="1:14">
      <c r="A152" s="20"/>
      <c r="B152" s="21"/>
      <c r="C152" s="21"/>
      <c r="D152" s="21"/>
      <c r="E152" s="21"/>
      <c r="F152" s="12"/>
      <c r="G152" s="21"/>
      <c r="H152" s="21"/>
      <c r="I152" s="12"/>
      <c r="J152" s="21"/>
      <c r="K152" s="21"/>
      <c r="L152" s="21"/>
      <c r="M152" s="21"/>
      <c r="N152" s="21"/>
    </row>
    <row r="153" spans="1:14">
      <c r="A153" s="20"/>
      <c r="B153" s="21"/>
      <c r="C153" s="21"/>
      <c r="D153" s="21"/>
      <c r="E153" s="21"/>
      <c r="F153" s="12"/>
      <c r="G153" s="21"/>
      <c r="H153" s="21"/>
      <c r="I153" s="12"/>
      <c r="J153" s="21"/>
      <c r="K153" s="21"/>
      <c r="L153" s="21"/>
      <c r="M153" s="21"/>
      <c r="N153" s="21"/>
    </row>
    <row r="154" spans="1:14">
      <c r="A154" s="20"/>
      <c r="B154" s="21"/>
      <c r="C154" s="21"/>
      <c r="D154" s="21"/>
      <c r="E154" s="21"/>
      <c r="F154" s="12"/>
      <c r="G154" s="21"/>
      <c r="H154" s="21"/>
      <c r="I154" s="12"/>
      <c r="J154" s="21"/>
      <c r="K154" s="21"/>
      <c r="L154" s="21"/>
      <c r="M154" s="21"/>
      <c r="N154" s="21"/>
    </row>
    <row r="155" spans="1:14">
      <c r="A155" s="20"/>
      <c r="B155" s="21"/>
      <c r="C155" s="21"/>
      <c r="D155" s="21"/>
      <c r="E155" s="21"/>
      <c r="F155" s="12"/>
      <c r="G155" s="21"/>
      <c r="H155" s="21"/>
      <c r="I155" s="12"/>
      <c r="J155" s="21"/>
      <c r="K155" s="21"/>
      <c r="L155" s="21"/>
      <c r="M155" s="21"/>
      <c r="N155" s="21"/>
    </row>
    <row r="156" spans="1:14">
      <c r="A156" s="20"/>
      <c r="B156" s="21"/>
      <c r="C156" s="21"/>
      <c r="D156" s="21"/>
      <c r="E156" s="21"/>
      <c r="F156" s="12"/>
      <c r="G156" s="21"/>
      <c r="H156" s="21"/>
      <c r="I156" s="12"/>
      <c r="J156" s="21"/>
      <c r="K156" s="21"/>
      <c r="L156" s="21"/>
      <c r="M156" s="21"/>
      <c r="N156" s="21"/>
    </row>
    <row r="157" spans="1:14">
      <c r="A157" s="20"/>
      <c r="B157" s="21"/>
      <c r="C157" s="21"/>
      <c r="D157" s="21"/>
      <c r="E157" s="21"/>
      <c r="F157" s="12"/>
      <c r="G157" s="21"/>
      <c r="H157" s="21"/>
      <c r="I157" s="12"/>
      <c r="J157" s="21"/>
      <c r="K157" s="21"/>
      <c r="L157" s="21"/>
      <c r="M157" s="21"/>
      <c r="N157" s="21"/>
    </row>
    <row r="158" spans="1:14">
      <c r="A158" s="20"/>
      <c r="B158" s="21"/>
      <c r="C158" s="21"/>
      <c r="D158" s="21"/>
      <c r="E158" s="21"/>
      <c r="F158" s="12"/>
      <c r="G158" s="21"/>
      <c r="H158" s="21"/>
      <c r="I158" s="12"/>
      <c r="J158" s="21"/>
      <c r="K158" s="21"/>
      <c r="L158" s="21"/>
      <c r="M158" s="21"/>
      <c r="N158" s="21"/>
    </row>
    <row r="159" spans="1:14">
      <c r="A159" s="20"/>
      <c r="B159" s="21"/>
      <c r="C159" s="21"/>
      <c r="D159" s="21"/>
      <c r="E159" s="21"/>
      <c r="F159" s="12"/>
      <c r="G159" s="21"/>
      <c r="H159" s="21"/>
      <c r="I159" s="12"/>
      <c r="J159" s="21"/>
      <c r="K159" s="21"/>
      <c r="L159" s="21"/>
      <c r="M159" s="21"/>
      <c r="N159" s="21"/>
    </row>
    <row r="160" spans="1:14">
      <c r="A160" s="20"/>
      <c r="B160" s="21"/>
      <c r="C160" s="21"/>
      <c r="D160" s="21"/>
      <c r="E160" s="21"/>
      <c r="F160" s="12"/>
      <c r="G160" s="21"/>
      <c r="H160" s="21"/>
      <c r="I160" s="12"/>
      <c r="J160" s="21"/>
      <c r="K160" s="21"/>
      <c r="L160" s="21"/>
      <c r="M160" s="21"/>
      <c r="N160" s="21"/>
    </row>
    <row r="161" spans="1:14">
      <c r="A161" s="20"/>
      <c r="B161" s="21"/>
      <c r="C161" s="21"/>
      <c r="D161" s="21"/>
      <c r="E161" s="21"/>
      <c r="F161" s="12"/>
      <c r="G161" s="21"/>
      <c r="H161" s="21"/>
      <c r="I161" s="12"/>
      <c r="J161" s="21"/>
      <c r="K161" s="21"/>
      <c r="L161" s="21"/>
      <c r="M161" s="21"/>
      <c r="N161" s="21"/>
    </row>
    <row r="162" spans="1:14">
      <c r="A162" s="20"/>
      <c r="B162" s="21"/>
      <c r="C162" s="21"/>
      <c r="D162" s="21"/>
      <c r="E162" s="21"/>
      <c r="F162" s="12"/>
      <c r="G162" s="21"/>
      <c r="H162" s="21"/>
      <c r="I162" s="12"/>
      <c r="J162" s="21"/>
      <c r="K162" s="21"/>
      <c r="L162" s="21"/>
      <c r="M162" s="21"/>
      <c r="N162" s="21"/>
    </row>
    <row r="163" spans="1:14">
      <c r="A163" s="20"/>
      <c r="B163" s="21"/>
      <c r="C163" s="21"/>
      <c r="D163" s="21"/>
      <c r="E163" s="21"/>
      <c r="F163" s="12"/>
      <c r="G163" s="21"/>
      <c r="H163" s="21"/>
      <c r="I163" s="12"/>
      <c r="J163" s="21"/>
      <c r="K163" s="21"/>
      <c r="L163" s="21"/>
      <c r="M163" s="21"/>
      <c r="N163" s="21"/>
    </row>
    <row r="164" spans="1:14">
      <c r="A164" s="20"/>
      <c r="B164" s="21"/>
      <c r="C164" s="21"/>
      <c r="D164" s="21"/>
      <c r="E164" s="21"/>
      <c r="F164" s="12"/>
      <c r="G164" s="21"/>
      <c r="H164" s="21"/>
      <c r="I164" s="12"/>
      <c r="J164" s="21"/>
      <c r="K164" s="21"/>
      <c r="L164" s="21"/>
      <c r="M164" s="21"/>
      <c r="N164" s="21"/>
    </row>
    <row r="165" spans="1:14">
      <c r="A165" s="20"/>
      <c r="B165" s="21"/>
      <c r="C165" s="21"/>
      <c r="D165" s="21"/>
      <c r="E165" s="21"/>
      <c r="F165" s="12"/>
      <c r="G165" s="21"/>
      <c r="H165" s="21"/>
      <c r="I165" s="12"/>
      <c r="J165" s="21"/>
      <c r="K165" s="21"/>
      <c r="L165" s="21"/>
      <c r="M165" s="21"/>
      <c r="N165" s="21"/>
    </row>
    <row r="166" spans="1:14">
      <c r="A166" s="20"/>
      <c r="B166" s="21"/>
      <c r="C166" s="21"/>
      <c r="D166" s="21"/>
      <c r="E166" s="21"/>
      <c r="F166" s="12"/>
      <c r="G166" s="21"/>
      <c r="H166" s="21"/>
      <c r="I166" s="12"/>
      <c r="J166" s="21"/>
      <c r="K166" s="21"/>
      <c r="L166" s="21"/>
      <c r="M166" s="21"/>
      <c r="N166" s="21"/>
    </row>
    <row r="167" spans="1:14">
      <c r="A167" s="20"/>
      <c r="B167" s="21"/>
      <c r="C167" s="21"/>
      <c r="D167" s="21"/>
      <c r="E167" s="21"/>
      <c r="F167" s="12"/>
      <c r="G167" s="21"/>
      <c r="H167" s="21"/>
      <c r="I167" s="12"/>
      <c r="J167" s="21"/>
      <c r="K167" s="21"/>
      <c r="L167" s="21"/>
      <c r="M167" s="21"/>
      <c r="N167" s="21"/>
    </row>
    <row r="168" spans="1:14">
      <c r="A168" s="20"/>
      <c r="B168" s="21"/>
      <c r="C168" s="21"/>
      <c r="D168" s="21"/>
      <c r="E168" s="21"/>
      <c r="F168" s="12"/>
      <c r="G168" s="21"/>
      <c r="H168" s="21"/>
      <c r="I168" s="12"/>
      <c r="J168" s="21"/>
      <c r="K168" s="21"/>
      <c r="L168" s="21"/>
      <c r="M168" s="21"/>
      <c r="N168" s="21"/>
    </row>
    <row r="169" spans="1:14">
      <c r="A169" s="20"/>
      <c r="B169" s="21"/>
      <c r="C169" s="21"/>
      <c r="D169" s="21"/>
      <c r="E169" s="21"/>
      <c r="F169" s="12"/>
      <c r="G169" s="21"/>
      <c r="H169" s="21"/>
      <c r="I169" s="12"/>
      <c r="J169" s="21"/>
      <c r="K169" s="21"/>
      <c r="L169" s="21"/>
      <c r="M169" s="21"/>
      <c r="N169" s="21"/>
    </row>
  </sheetData>
  <mergeCells count="4">
    <mergeCell ref="B2:B3"/>
    <mergeCell ref="C2:E3"/>
    <mergeCell ref="H2:I2"/>
    <mergeCell ref="H3:I3"/>
  </mergeCells>
  <phoneticPr fontId="3"/>
  <conditionalFormatting sqref="I7:I12 I14:I22 I24:I29 I31:I58 I60:I62 I64:I169">
    <cfRule type="cellIs" dxfId="2" priority="17" stopIfTrue="1" operator="equal">
      <formula>"否"</formula>
    </cfRule>
  </conditionalFormatting>
  <conditionalFormatting sqref="J6:J22 L6:M22 J24:J169 L24:M169">
    <cfRule type="cellIs" dxfId="1" priority="8" stopIfTrue="1" operator="equal">
      <formula>"NG"</formula>
    </cfRule>
  </conditionalFormatting>
  <conditionalFormatting sqref="M73:N73 M94:N104">
    <cfRule type="cellIs" dxfId="0" priority="21" stopIfTrue="1" operator="equal">
      <formula>"NG"</formula>
    </cfRule>
  </conditionalFormatting>
  <dataValidations count="4">
    <dataValidation type="list" allowBlank="1" showInputMessage="1" showErrorMessage="1" sqref="L6:M22 J6:J22 L24:M169 J24:J169" xr:uid="{FFC153D0-1D5B-414F-AD83-22875610DEB9}">
      <formula1>"OK,NG"</formula1>
    </dataValidation>
    <dataValidation type="list" allowBlank="1" showInputMessage="1" showErrorMessage="1" sqref="I6:I22 I24:I169" xr:uid="{428927EC-79D1-4235-9FBA-A45A4DF5AB72}">
      <formula1>"要,否"</formula1>
    </dataValidation>
    <dataValidation type="list" allowBlank="1" showInputMessage="1" showErrorMessage="1" sqref="H6:H22 H24:H169" xr:uid="{EF925F08-92D1-4C23-BC8A-7803F1D65B98}">
      <formula1>"ツール,手動"</formula1>
    </dataValidation>
    <dataValidation type="list" allowBlank="1" showInputMessage="1" showErrorMessage="1" sqref="G6:G169" xr:uid="{8CF506BF-CEA7-4022-9B75-8E42DE07E4E0}">
      <formula1>"生成AI,手動"</formula1>
    </dataValidation>
  </dataValidations>
  <hyperlinks>
    <hyperlink ref="F9" location="引数チェック!A1" display="引数チェック" xr:uid="{F7967D05-ACC5-4062-9B17-EA45FF143A45}"/>
    <hyperlink ref="F10" location="引数チェック!A1" display="引数チェック" xr:uid="{147A163A-F4EB-4469-A9CA-121438537B09}"/>
    <hyperlink ref="F11" location="引数チェック!A1" display="引数チェック" xr:uid="{F1455275-CE72-44E5-8A2B-2C8A8723C669}"/>
    <hyperlink ref="F7" location="引数チェック!A1" display="引数チェック" xr:uid="{CFFD0323-AF83-429F-A3DD-34A34254B4FD}"/>
    <hyperlink ref="F8" location="引数チェック!A1" display="引数チェック" xr:uid="{12B83E0E-E8B1-4D43-B5A7-0AEF60D45D63}"/>
    <hyperlink ref="F12" location="引数チェック!A1" display="引数チェック" xr:uid="{36FF8AE9-0244-47A5-A820-7D5BE778EEC9}"/>
    <hyperlink ref="F14" location="主処理!A1" display="主処理" xr:uid="{B987CFB8-40E9-4E7A-B4F8-564C461F490F}"/>
    <hyperlink ref="F15:F29" location="主処理!A1" display="主処理" xr:uid="{6BB35A32-2EB2-47C4-9EB2-C7D9E4336DD0}"/>
    <hyperlink ref="F31:F58" location="主処理!A1" display="主処理" xr:uid="{D52D880A-4DA8-492A-A285-C191CCB9FCB7}"/>
    <hyperlink ref="F64" location="主処理!A1" display="主処理" xr:uid="{0842EF1E-6A75-4E30-98EE-BA05C8226AFC}"/>
    <hyperlink ref="F65:F73" location="主処理!A1" display="主処理" xr:uid="{77689184-5593-4806-AA34-0F2D85625EB3}"/>
    <hyperlink ref="F60:F62" location="主処理!A1" display="主処理" xr:uid="{1780B544-E980-486A-ACB9-8CDFA3DFAD61}"/>
  </hyperlink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EB0-4A71-4650-AB9D-C04DB39B8D81}">
  <dimension ref="A1:BG109"/>
  <sheetViews>
    <sheetView showGridLines="0" workbookViewId="0">
      <pane ySplit="9" topLeftCell="A10" activePane="bottomLeft" state="frozen"/>
      <selection activeCell="H40" sqref="H40"/>
      <selection pane="bottomLeft"/>
    </sheetView>
  </sheetViews>
  <sheetFormatPr defaultRowHeight="15"/>
  <cols>
    <col min="1" max="1" width="5.453125" style="27" bestFit="1" customWidth="1"/>
    <col min="2" max="2" width="4.6328125" style="27" customWidth="1"/>
    <col min="3" max="3" width="3.08984375" style="27" customWidth="1"/>
    <col min="4" max="4" width="16" style="28" bestFit="1" customWidth="1"/>
    <col min="5" max="5" width="13.36328125" style="28" bestFit="1" customWidth="1"/>
    <col min="6" max="6" width="23.26953125" style="28" bestFit="1" customWidth="1"/>
    <col min="7" max="7" width="18.08984375" style="28" customWidth="1"/>
    <col min="8" max="8" width="14.26953125" style="28" bestFit="1" customWidth="1"/>
    <col min="9" max="9" width="23.26953125" style="28" bestFit="1" customWidth="1"/>
    <col min="10" max="10" width="16.90625" style="28" bestFit="1" customWidth="1"/>
    <col min="11" max="11" width="19.6328125" style="27" bestFit="1" customWidth="1"/>
    <col min="12" max="12" width="23.26953125" style="27" customWidth="1"/>
    <col min="13" max="13" width="14.1796875" style="27" bestFit="1" customWidth="1"/>
    <col min="14" max="14" width="14.26953125" style="27" customWidth="1"/>
    <col min="15" max="15" width="23.26953125" style="27" customWidth="1"/>
    <col min="16" max="16" width="16.453125" style="27" bestFit="1" customWidth="1"/>
    <col min="17" max="17" width="15.54296875" style="27" bestFit="1" customWidth="1"/>
    <col min="18" max="18" width="23.26953125" style="27" customWidth="1"/>
    <col min="19" max="19" width="16.1796875" style="27" bestFit="1" customWidth="1"/>
    <col min="20" max="21" width="13.6328125" style="27" bestFit="1" customWidth="1"/>
    <col min="22" max="22" width="18.08984375" style="27" bestFit="1" customWidth="1"/>
    <col min="23" max="23" width="17" style="27" bestFit="1" customWidth="1"/>
    <col min="24" max="24" width="14.54296875" style="27" bestFit="1" customWidth="1"/>
    <col min="25" max="25" width="15.1796875" style="27" bestFit="1" customWidth="1"/>
    <col min="26" max="26" width="15.08984375" style="27" bestFit="1" customWidth="1"/>
    <col min="27" max="27" width="9.90625" style="27" bestFit="1" customWidth="1"/>
    <col min="28" max="28" width="13.6328125" style="27" bestFit="1" customWidth="1"/>
    <col min="29" max="29" width="24.6328125" style="27" bestFit="1" customWidth="1"/>
    <col min="30" max="30" width="14.54296875" style="27" customWidth="1"/>
    <col min="31" max="31" width="24.6328125" style="27" bestFit="1" customWidth="1"/>
    <col min="32" max="32" width="16.26953125" style="27" customWidth="1"/>
    <col min="33" max="33" width="14.7265625" style="27" bestFit="1" customWidth="1"/>
    <col min="34" max="34" width="21.36328125" style="27" customWidth="1"/>
    <col min="35" max="35" width="23.7265625" style="27" customWidth="1"/>
    <col min="36" max="36" width="23.08984375" style="27" customWidth="1"/>
    <col min="37" max="37" width="27.7265625" style="27" customWidth="1"/>
    <col min="38" max="38" width="9.90625" style="27" bestFit="1" customWidth="1"/>
    <col min="39" max="39" width="18.7265625" style="27" bestFit="1" customWidth="1"/>
    <col min="40" max="40" width="17.81640625" style="27" bestFit="1" customWidth="1"/>
    <col min="41" max="41" width="14.7265625" style="27" bestFit="1" customWidth="1"/>
    <col min="42" max="42" width="11.81640625" style="27" bestFit="1" customWidth="1"/>
    <col min="43" max="43" width="15.54296875" style="27" bestFit="1" customWidth="1"/>
    <col min="44" max="44" width="14.54296875" style="27" bestFit="1" customWidth="1"/>
    <col min="45" max="45" width="20.7265625" style="27" bestFit="1" customWidth="1"/>
    <col min="46" max="46" width="13.6328125" style="27" bestFit="1" customWidth="1"/>
    <col min="47" max="47" width="25.1796875" style="27" bestFit="1" customWidth="1"/>
    <col min="48" max="48" width="18.90625" style="27" bestFit="1" customWidth="1"/>
    <col min="49" max="49" width="20.1796875" style="27" bestFit="1" customWidth="1"/>
    <col min="50" max="50" width="16.08984375" style="27" bestFit="1" customWidth="1"/>
    <col min="51" max="51" width="18.90625" style="27" bestFit="1" customWidth="1"/>
    <col min="52" max="52" width="19.08984375" style="27" bestFit="1" customWidth="1"/>
    <col min="53" max="53" width="14.26953125" style="27" bestFit="1" customWidth="1"/>
    <col min="54" max="54" width="15.26953125" style="27" bestFit="1" customWidth="1"/>
    <col min="55" max="55" width="12.90625" style="27" bestFit="1" customWidth="1"/>
    <col min="56" max="56" width="12.6328125" style="27" bestFit="1" customWidth="1"/>
    <col min="57" max="57" width="15.6328125" style="27" bestFit="1" customWidth="1"/>
    <col min="58" max="58" width="13.453125" style="27" bestFit="1" customWidth="1"/>
    <col min="59" max="59" width="13.1796875" style="27" bestFit="1" customWidth="1"/>
    <col min="60" max="60" width="8.7265625" style="27" customWidth="1"/>
    <col min="61" max="256" width="9" style="27"/>
    <col min="257" max="257" width="3.08984375" style="27" customWidth="1"/>
    <col min="258" max="258" width="4.6328125" style="27" customWidth="1"/>
    <col min="259" max="259" width="3.08984375" style="27" customWidth="1"/>
    <col min="260" max="260" width="12.90625" style="27" customWidth="1"/>
    <col min="261" max="261" width="11.08984375" style="27" customWidth="1"/>
    <col min="262" max="262" width="12.26953125" style="27" customWidth="1"/>
    <col min="263" max="263" width="11.90625" style="27" customWidth="1"/>
    <col min="264" max="264" width="9.36328125" style="27" customWidth="1"/>
    <col min="265" max="265" width="11.08984375" style="27" customWidth="1"/>
    <col min="266" max="266" width="10.453125" style="27" customWidth="1"/>
    <col min="267" max="267" width="9.7265625" style="27" customWidth="1"/>
    <col min="268" max="512" width="9" style="27"/>
    <col min="513" max="513" width="3.08984375" style="27" customWidth="1"/>
    <col min="514" max="514" width="4.6328125" style="27" customWidth="1"/>
    <col min="515" max="515" width="3.08984375" style="27" customWidth="1"/>
    <col min="516" max="516" width="12.90625" style="27" customWidth="1"/>
    <col min="517" max="517" width="11.08984375" style="27" customWidth="1"/>
    <col min="518" max="518" width="12.26953125" style="27" customWidth="1"/>
    <col min="519" max="519" width="11.90625" style="27" customWidth="1"/>
    <col min="520" max="520" width="9.36328125" style="27" customWidth="1"/>
    <col min="521" max="521" width="11.08984375" style="27" customWidth="1"/>
    <col min="522" max="522" width="10.453125" style="27" customWidth="1"/>
    <col min="523" max="523" width="9.7265625" style="27" customWidth="1"/>
    <col min="524" max="768" width="9" style="27"/>
    <col min="769" max="769" width="3.08984375" style="27" customWidth="1"/>
    <col min="770" max="770" width="4.6328125" style="27" customWidth="1"/>
    <col min="771" max="771" width="3.08984375" style="27" customWidth="1"/>
    <col min="772" max="772" width="12.90625" style="27" customWidth="1"/>
    <col min="773" max="773" width="11.08984375" style="27" customWidth="1"/>
    <col min="774" max="774" width="12.26953125" style="27" customWidth="1"/>
    <col min="775" max="775" width="11.90625" style="27" customWidth="1"/>
    <col min="776" max="776" width="9.36328125" style="27" customWidth="1"/>
    <col min="777" max="777" width="11.08984375" style="27" customWidth="1"/>
    <col min="778" max="778" width="10.453125" style="27" customWidth="1"/>
    <col min="779" max="779" width="9.7265625" style="27" customWidth="1"/>
    <col min="780" max="1024" width="9" style="27"/>
    <col min="1025" max="1025" width="3.08984375" style="27" customWidth="1"/>
    <col min="1026" max="1026" width="4.6328125" style="27" customWidth="1"/>
    <col min="1027" max="1027" width="3.08984375" style="27" customWidth="1"/>
    <col min="1028" max="1028" width="12.90625" style="27" customWidth="1"/>
    <col min="1029" max="1029" width="11.08984375" style="27" customWidth="1"/>
    <col min="1030" max="1030" width="12.26953125" style="27" customWidth="1"/>
    <col min="1031" max="1031" width="11.90625" style="27" customWidth="1"/>
    <col min="1032" max="1032" width="9.36328125" style="27" customWidth="1"/>
    <col min="1033" max="1033" width="11.08984375" style="27" customWidth="1"/>
    <col min="1034" max="1034" width="10.453125" style="27" customWidth="1"/>
    <col min="1035" max="1035" width="9.7265625" style="27" customWidth="1"/>
    <col min="1036" max="1280" width="9" style="27"/>
    <col min="1281" max="1281" width="3.08984375" style="27" customWidth="1"/>
    <col min="1282" max="1282" width="4.6328125" style="27" customWidth="1"/>
    <col min="1283" max="1283" width="3.08984375" style="27" customWidth="1"/>
    <col min="1284" max="1284" width="12.90625" style="27" customWidth="1"/>
    <col min="1285" max="1285" width="11.08984375" style="27" customWidth="1"/>
    <col min="1286" max="1286" width="12.26953125" style="27" customWidth="1"/>
    <col min="1287" max="1287" width="11.90625" style="27" customWidth="1"/>
    <col min="1288" max="1288" width="9.36328125" style="27" customWidth="1"/>
    <col min="1289" max="1289" width="11.08984375" style="27" customWidth="1"/>
    <col min="1290" max="1290" width="10.453125" style="27" customWidth="1"/>
    <col min="1291" max="1291" width="9.7265625" style="27" customWidth="1"/>
    <col min="1292" max="1536" width="9" style="27"/>
    <col min="1537" max="1537" width="3.08984375" style="27" customWidth="1"/>
    <col min="1538" max="1538" width="4.6328125" style="27" customWidth="1"/>
    <col min="1539" max="1539" width="3.08984375" style="27" customWidth="1"/>
    <col min="1540" max="1540" width="12.90625" style="27" customWidth="1"/>
    <col min="1541" max="1541" width="11.08984375" style="27" customWidth="1"/>
    <col min="1542" max="1542" width="12.26953125" style="27" customWidth="1"/>
    <col min="1543" max="1543" width="11.90625" style="27" customWidth="1"/>
    <col min="1544" max="1544" width="9.36328125" style="27" customWidth="1"/>
    <col min="1545" max="1545" width="11.08984375" style="27" customWidth="1"/>
    <col min="1546" max="1546" width="10.453125" style="27" customWidth="1"/>
    <col min="1547" max="1547" width="9.7265625" style="27" customWidth="1"/>
    <col min="1548" max="1792" width="9" style="27"/>
    <col min="1793" max="1793" width="3.08984375" style="27" customWidth="1"/>
    <col min="1794" max="1794" width="4.6328125" style="27" customWidth="1"/>
    <col min="1795" max="1795" width="3.08984375" style="27" customWidth="1"/>
    <col min="1796" max="1796" width="12.90625" style="27" customWidth="1"/>
    <col min="1797" max="1797" width="11.08984375" style="27" customWidth="1"/>
    <col min="1798" max="1798" width="12.26953125" style="27" customWidth="1"/>
    <col min="1799" max="1799" width="11.90625" style="27" customWidth="1"/>
    <col min="1800" max="1800" width="9.36328125" style="27" customWidth="1"/>
    <col min="1801" max="1801" width="11.08984375" style="27" customWidth="1"/>
    <col min="1802" max="1802" width="10.453125" style="27" customWidth="1"/>
    <col min="1803" max="1803" width="9.7265625" style="27" customWidth="1"/>
    <col min="1804" max="2048" width="9" style="27"/>
    <col min="2049" max="2049" width="3.08984375" style="27" customWidth="1"/>
    <col min="2050" max="2050" width="4.6328125" style="27" customWidth="1"/>
    <col min="2051" max="2051" width="3.08984375" style="27" customWidth="1"/>
    <col min="2052" max="2052" width="12.90625" style="27" customWidth="1"/>
    <col min="2053" max="2053" width="11.08984375" style="27" customWidth="1"/>
    <col min="2054" max="2054" width="12.26953125" style="27" customWidth="1"/>
    <col min="2055" max="2055" width="11.90625" style="27" customWidth="1"/>
    <col min="2056" max="2056" width="9.36328125" style="27" customWidth="1"/>
    <col min="2057" max="2057" width="11.08984375" style="27" customWidth="1"/>
    <col min="2058" max="2058" width="10.453125" style="27" customWidth="1"/>
    <col min="2059" max="2059" width="9.7265625" style="27" customWidth="1"/>
    <col min="2060" max="2304" width="9" style="27"/>
    <col min="2305" max="2305" width="3.08984375" style="27" customWidth="1"/>
    <col min="2306" max="2306" width="4.6328125" style="27" customWidth="1"/>
    <col min="2307" max="2307" width="3.08984375" style="27" customWidth="1"/>
    <col min="2308" max="2308" width="12.90625" style="27" customWidth="1"/>
    <col min="2309" max="2309" width="11.08984375" style="27" customWidth="1"/>
    <col min="2310" max="2310" width="12.26953125" style="27" customWidth="1"/>
    <col min="2311" max="2311" width="11.90625" style="27" customWidth="1"/>
    <col min="2312" max="2312" width="9.36328125" style="27" customWidth="1"/>
    <col min="2313" max="2313" width="11.08984375" style="27" customWidth="1"/>
    <col min="2314" max="2314" width="10.453125" style="27" customWidth="1"/>
    <col min="2315" max="2315" width="9.7265625" style="27" customWidth="1"/>
    <col min="2316" max="2560" width="9" style="27"/>
    <col min="2561" max="2561" width="3.08984375" style="27" customWidth="1"/>
    <col min="2562" max="2562" width="4.6328125" style="27" customWidth="1"/>
    <col min="2563" max="2563" width="3.08984375" style="27" customWidth="1"/>
    <col min="2564" max="2564" width="12.90625" style="27" customWidth="1"/>
    <col min="2565" max="2565" width="11.08984375" style="27" customWidth="1"/>
    <col min="2566" max="2566" width="12.26953125" style="27" customWidth="1"/>
    <col min="2567" max="2567" width="11.90625" style="27" customWidth="1"/>
    <col min="2568" max="2568" width="9.36328125" style="27" customWidth="1"/>
    <col min="2569" max="2569" width="11.08984375" style="27" customWidth="1"/>
    <col min="2570" max="2570" width="10.453125" style="27" customWidth="1"/>
    <col min="2571" max="2571" width="9.7265625" style="27" customWidth="1"/>
    <col min="2572" max="2816" width="9" style="27"/>
    <col min="2817" max="2817" width="3.08984375" style="27" customWidth="1"/>
    <col min="2818" max="2818" width="4.6328125" style="27" customWidth="1"/>
    <col min="2819" max="2819" width="3.08984375" style="27" customWidth="1"/>
    <col min="2820" max="2820" width="12.90625" style="27" customWidth="1"/>
    <col min="2821" max="2821" width="11.08984375" style="27" customWidth="1"/>
    <col min="2822" max="2822" width="12.26953125" style="27" customWidth="1"/>
    <col min="2823" max="2823" width="11.90625" style="27" customWidth="1"/>
    <col min="2824" max="2824" width="9.36328125" style="27" customWidth="1"/>
    <col min="2825" max="2825" width="11.08984375" style="27" customWidth="1"/>
    <col min="2826" max="2826" width="10.453125" style="27" customWidth="1"/>
    <col min="2827" max="2827" width="9.7265625" style="27" customWidth="1"/>
    <col min="2828" max="3072" width="9" style="27"/>
    <col min="3073" max="3073" width="3.08984375" style="27" customWidth="1"/>
    <col min="3074" max="3074" width="4.6328125" style="27" customWidth="1"/>
    <col min="3075" max="3075" width="3.08984375" style="27" customWidth="1"/>
    <col min="3076" max="3076" width="12.90625" style="27" customWidth="1"/>
    <col min="3077" max="3077" width="11.08984375" style="27" customWidth="1"/>
    <col min="3078" max="3078" width="12.26953125" style="27" customWidth="1"/>
    <col min="3079" max="3079" width="11.90625" style="27" customWidth="1"/>
    <col min="3080" max="3080" width="9.36328125" style="27" customWidth="1"/>
    <col min="3081" max="3081" width="11.08984375" style="27" customWidth="1"/>
    <col min="3082" max="3082" width="10.453125" style="27" customWidth="1"/>
    <col min="3083" max="3083" width="9.7265625" style="27" customWidth="1"/>
    <col min="3084" max="3328" width="9" style="27"/>
    <col min="3329" max="3329" width="3.08984375" style="27" customWidth="1"/>
    <col min="3330" max="3330" width="4.6328125" style="27" customWidth="1"/>
    <col min="3331" max="3331" width="3.08984375" style="27" customWidth="1"/>
    <col min="3332" max="3332" width="12.90625" style="27" customWidth="1"/>
    <col min="3333" max="3333" width="11.08984375" style="27" customWidth="1"/>
    <col min="3334" max="3334" width="12.26953125" style="27" customWidth="1"/>
    <col min="3335" max="3335" width="11.90625" style="27" customWidth="1"/>
    <col min="3336" max="3336" width="9.36328125" style="27" customWidth="1"/>
    <col min="3337" max="3337" width="11.08984375" style="27" customWidth="1"/>
    <col min="3338" max="3338" width="10.453125" style="27" customWidth="1"/>
    <col min="3339" max="3339" width="9.7265625" style="27" customWidth="1"/>
    <col min="3340" max="3584" width="9" style="27"/>
    <col min="3585" max="3585" width="3.08984375" style="27" customWidth="1"/>
    <col min="3586" max="3586" width="4.6328125" style="27" customWidth="1"/>
    <col min="3587" max="3587" width="3.08984375" style="27" customWidth="1"/>
    <col min="3588" max="3588" width="12.90625" style="27" customWidth="1"/>
    <col min="3589" max="3589" width="11.08984375" style="27" customWidth="1"/>
    <col min="3590" max="3590" width="12.26953125" style="27" customWidth="1"/>
    <col min="3591" max="3591" width="11.90625" style="27" customWidth="1"/>
    <col min="3592" max="3592" width="9.36328125" style="27" customWidth="1"/>
    <col min="3593" max="3593" width="11.08984375" style="27" customWidth="1"/>
    <col min="3594" max="3594" width="10.453125" style="27" customWidth="1"/>
    <col min="3595" max="3595" width="9.7265625" style="27" customWidth="1"/>
    <col min="3596" max="3840" width="9" style="27"/>
    <col min="3841" max="3841" width="3.08984375" style="27" customWidth="1"/>
    <col min="3842" max="3842" width="4.6328125" style="27" customWidth="1"/>
    <col min="3843" max="3843" width="3.08984375" style="27" customWidth="1"/>
    <col min="3844" max="3844" width="12.90625" style="27" customWidth="1"/>
    <col min="3845" max="3845" width="11.08984375" style="27" customWidth="1"/>
    <col min="3846" max="3846" width="12.26953125" style="27" customWidth="1"/>
    <col min="3847" max="3847" width="11.90625" style="27" customWidth="1"/>
    <col min="3848" max="3848" width="9.36328125" style="27" customWidth="1"/>
    <col min="3849" max="3849" width="11.08984375" style="27" customWidth="1"/>
    <col min="3850" max="3850" width="10.453125" style="27" customWidth="1"/>
    <col min="3851" max="3851" width="9.7265625" style="27" customWidth="1"/>
    <col min="3852" max="4096" width="9" style="27"/>
    <col min="4097" max="4097" width="3.08984375" style="27" customWidth="1"/>
    <col min="4098" max="4098" width="4.6328125" style="27" customWidth="1"/>
    <col min="4099" max="4099" width="3.08984375" style="27" customWidth="1"/>
    <col min="4100" max="4100" width="12.90625" style="27" customWidth="1"/>
    <col min="4101" max="4101" width="11.08984375" style="27" customWidth="1"/>
    <col min="4102" max="4102" width="12.26953125" style="27" customWidth="1"/>
    <col min="4103" max="4103" width="11.90625" style="27" customWidth="1"/>
    <col min="4104" max="4104" width="9.36328125" style="27" customWidth="1"/>
    <col min="4105" max="4105" width="11.08984375" style="27" customWidth="1"/>
    <col min="4106" max="4106" width="10.453125" style="27" customWidth="1"/>
    <col min="4107" max="4107" width="9.7265625" style="27" customWidth="1"/>
    <col min="4108" max="4352" width="9" style="27"/>
    <col min="4353" max="4353" width="3.08984375" style="27" customWidth="1"/>
    <col min="4354" max="4354" width="4.6328125" style="27" customWidth="1"/>
    <col min="4355" max="4355" width="3.08984375" style="27" customWidth="1"/>
    <col min="4356" max="4356" width="12.90625" style="27" customWidth="1"/>
    <col min="4357" max="4357" width="11.08984375" style="27" customWidth="1"/>
    <col min="4358" max="4358" width="12.26953125" style="27" customWidth="1"/>
    <col min="4359" max="4359" width="11.90625" style="27" customWidth="1"/>
    <col min="4360" max="4360" width="9.36328125" style="27" customWidth="1"/>
    <col min="4361" max="4361" width="11.08984375" style="27" customWidth="1"/>
    <col min="4362" max="4362" width="10.453125" style="27" customWidth="1"/>
    <col min="4363" max="4363" width="9.7265625" style="27" customWidth="1"/>
    <col min="4364" max="4608" width="9" style="27"/>
    <col min="4609" max="4609" width="3.08984375" style="27" customWidth="1"/>
    <col min="4610" max="4610" width="4.6328125" style="27" customWidth="1"/>
    <col min="4611" max="4611" width="3.08984375" style="27" customWidth="1"/>
    <col min="4612" max="4612" width="12.90625" style="27" customWidth="1"/>
    <col min="4613" max="4613" width="11.08984375" style="27" customWidth="1"/>
    <col min="4614" max="4614" width="12.26953125" style="27" customWidth="1"/>
    <col min="4615" max="4615" width="11.90625" style="27" customWidth="1"/>
    <col min="4616" max="4616" width="9.36328125" style="27" customWidth="1"/>
    <col min="4617" max="4617" width="11.08984375" style="27" customWidth="1"/>
    <col min="4618" max="4618" width="10.453125" style="27" customWidth="1"/>
    <col min="4619" max="4619" width="9.7265625" style="27" customWidth="1"/>
    <col min="4620" max="4864" width="9" style="27"/>
    <col min="4865" max="4865" width="3.08984375" style="27" customWidth="1"/>
    <col min="4866" max="4866" width="4.6328125" style="27" customWidth="1"/>
    <col min="4867" max="4867" width="3.08984375" style="27" customWidth="1"/>
    <col min="4868" max="4868" width="12.90625" style="27" customWidth="1"/>
    <col min="4869" max="4869" width="11.08984375" style="27" customWidth="1"/>
    <col min="4870" max="4870" width="12.26953125" style="27" customWidth="1"/>
    <col min="4871" max="4871" width="11.90625" style="27" customWidth="1"/>
    <col min="4872" max="4872" width="9.36328125" style="27" customWidth="1"/>
    <col min="4873" max="4873" width="11.08984375" style="27" customWidth="1"/>
    <col min="4874" max="4874" width="10.453125" style="27" customWidth="1"/>
    <col min="4875" max="4875" width="9.7265625" style="27" customWidth="1"/>
    <col min="4876" max="5120" width="9" style="27"/>
    <col min="5121" max="5121" width="3.08984375" style="27" customWidth="1"/>
    <col min="5122" max="5122" width="4.6328125" style="27" customWidth="1"/>
    <col min="5123" max="5123" width="3.08984375" style="27" customWidth="1"/>
    <col min="5124" max="5124" width="12.90625" style="27" customWidth="1"/>
    <col min="5125" max="5125" width="11.08984375" style="27" customWidth="1"/>
    <col min="5126" max="5126" width="12.26953125" style="27" customWidth="1"/>
    <col min="5127" max="5127" width="11.90625" style="27" customWidth="1"/>
    <col min="5128" max="5128" width="9.36328125" style="27" customWidth="1"/>
    <col min="5129" max="5129" width="11.08984375" style="27" customWidth="1"/>
    <col min="5130" max="5130" width="10.453125" style="27" customWidth="1"/>
    <col min="5131" max="5131" width="9.7265625" style="27" customWidth="1"/>
    <col min="5132" max="5376" width="9" style="27"/>
    <col min="5377" max="5377" width="3.08984375" style="27" customWidth="1"/>
    <col min="5378" max="5378" width="4.6328125" style="27" customWidth="1"/>
    <col min="5379" max="5379" width="3.08984375" style="27" customWidth="1"/>
    <col min="5380" max="5380" width="12.90625" style="27" customWidth="1"/>
    <col min="5381" max="5381" width="11.08984375" style="27" customWidth="1"/>
    <col min="5382" max="5382" width="12.26953125" style="27" customWidth="1"/>
    <col min="5383" max="5383" width="11.90625" style="27" customWidth="1"/>
    <col min="5384" max="5384" width="9.36328125" style="27" customWidth="1"/>
    <col min="5385" max="5385" width="11.08984375" style="27" customWidth="1"/>
    <col min="5386" max="5386" width="10.453125" style="27" customWidth="1"/>
    <col min="5387" max="5387" width="9.7265625" style="27" customWidth="1"/>
    <col min="5388" max="5632" width="9" style="27"/>
    <col min="5633" max="5633" width="3.08984375" style="27" customWidth="1"/>
    <col min="5634" max="5634" width="4.6328125" style="27" customWidth="1"/>
    <col min="5635" max="5635" width="3.08984375" style="27" customWidth="1"/>
    <col min="5636" max="5636" width="12.90625" style="27" customWidth="1"/>
    <col min="5637" max="5637" width="11.08984375" style="27" customWidth="1"/>
    <col min="5638" max="5638" width="12.26953125" style="27" customWidth="1"/>
    <col min="5639" max="5639" width="11.90625" style="27" customWidth="1"/>
    <col min="5640" max="5640" width="9.36328125" style="27" customWidth="1"/>
    <col min="5641" max="5641" width="11.08984375" style="27" customWidth="1"/>
    <col min="5642" max="5642" width="10.453125" style="27" customWidth="1"/>
    <col min="5643" max="5643" width="9.7265625" style="27" customWidth="1"/>
    <col min="5644" max="5888" width="9" style="27"/>
    <col min="5889" max="5889" width="3.08984375" style="27" customWidth="1"/>
    <col min="5890" max="5890" width="4.6328125" style="27" customWidth="1"/>
    <col min="5891" max="5891" width="3.08984375" style="27" customWidth="1"/>
    <col min="5892" max="5892" width="12.90625" style="27" customWidth="1"/>
    <col min="5893" max="5893" width="11.08984375" style="27" customWidth="1"/>
    <col min="5894" max="5894" width="12.26953125" style="27" customWidth="1"/>
    <col min="5895" max="5895" width="11.90625" style="27" customWidth="1"/>
    <col min="5896" max="5896" width="9.36328125" style="27" customWidth="1"/>
    <col min="5897" max="5897" width="11.08984375" style="27" customWidth="1"/>
    <col min="5898" max="5898" width="10.453125" style="27" customWidth="1"/>
    <col min="5899" max="5899" width="9.7265625" style="27" customWidth="1"/>
    <col min="5900" max="6144" width="9" style="27"/>
    <col min="6145" max="6145" width="3.08984375" style="27" customWidth="1"/>
    <col min="6146" max="6146" width="4.6328125" style="27" customWidth="1"/>
    <col min="6147" max="6147" width="3.08984375" style="27" customWidth="1"/>
    <col min="6148" max="6148" width="12.90625" style="27" customWidth="1"/>
    <col min="6149" max="6149" width="11.08984375" style="27" customWidth="1"/>
    <col min="6150" max="6150" width="12.26953125" style="27" customWidth="1"/>
    <col min="6151" max="6151" width="11.90625" style="27" customWidth="1"/>
    <col min="6152" max="6152" width="9.36328125" style="27" customWidth="1"/>
    <col min="6153" max="6153" width="11.08984375" style="27" customWidth="1"/>
    <col min="6154" max="6154" width="10.453125" style="27" customWidth="1"/>
    <col min="6155" max="6155" width="9.7265625" style="27" customWidth="1"/>
    <col min="6156" max="6400" width="9" style="27"/>
    <col min="6401" max="6401" width="3.08984375" style="27" customWidth="1"/>
    <col min="6402" max="6402" width="4.6328125" style="27" customWidth="1"/>
    <col min="6403" max="6403" width="3.08984375" style="27" customWidth="1"/>
    <col min="6404" max="6404" width="12.90625" style="27" customWidth="1"/>
    <col min="6405" max="6405" width="11.08984375" style="27" customWidth="1"/>
    <col min="6406" max="6406" width="12.26953125" style="27" customWidth="1"/>
    <col min="6407" max="6407" width="11.90625" style="27" customWidth="1"/>
    <col min="6408" max="6408" width="9.36328125" style="27" customWidth="1"/>
    <col min="6409" max="6409" width="11.08984375" style="27" customWidth="1"/>
    <col min="6410" max="6410" width="10.453125" style="27" customWidth="1"/>
    <col min="6411" max="6411" width="9.7265625" style="27" customWidth="1"/>
    <col min="6412" max="6656" width="9" style="27"/>
    <col min="6657" max="6657" width="3.08984375" style="27" customWidth="1"/>
    <col min="6658" max="6658" width="4.6328125" style="27" customWidth="1"/>
    <col min="6659" max="6659" width="3.08984375" style="27" customWidth="1"/>
    <col min="6660" max="6660" width="12.90625" style="27" customWidth="1"/>
    <col min="6661" max="6661" width="11.08984375" style="27" customWidth="1"/>
    <col min="6662" max="6662" width="12.26953125" style="27" customWidth="1"/>
    <col min="6663" max="6663" width="11.90625" style="27" customWidth="1"/>
    <col min="6664" max="6664" width="9.36328125" style="27" customWidth="1"/>
    <col min="6665" max="6665" width="11.08984375" style="27" customWidth="1"/>
    <col min="6666" max="6666" width="10.453125" style="27" customWidth="1"/>
    <col min="6667" max="6667" width="9.7265625" style="27" customWidth="1"/>
    <col min="6668" max="6912" width="9" style="27"/>
    <col min="6913" max="6913" width="3.08984375" style="27" customWidth="1"/>
    <col min="6914" max="6914" width="4.6328125" style="27" customWidth="1"/>
    <col min="6915" max="6915" width="3.08984375" style="27" customWidth="1"/>
    <col min="6916" max="6916" width="12.90625" style="27" customWidth="1"/>
    <col min="6917" max="6917" width="11.08984375" style="27" customWidth="1"/>
    <col min="6918" max="6918" width="12.26953125" style="27" customWidth="1"/>
    <col min="6919" max="6919" width="11.90625" style="27" customWidth="1"/>
    <col min="6920" max="6920" width="9.36328125" style="27" customWidth="1"/>
    <col min="6921" max="6921" width="11.08984375" style="27" customWidth="1"/>
    <col min="6922" max="6922" width="10.453125" style="27" customWidth="1"/>
    <col min="6923" max="6923" width="9.7265625" style="27" customWidth="1"/>
    <col min="6924" max="7168" width="9" style="27"/>
    <col min="7169" max="7169" width="3.08984375" style="27" customWidth="1"/>
    <col min="7170" max="7170" width="4.6328125" style="27" customWidth="1"/>
    <col min="7171" max="7171" width="3.08984375" style="27" customWidth="1"/>
    <col min="7172" max="7172" width="12.90625" style="27" customWidth="1"/>
    <col min="7173" max="7173" width="11.08984375" style="27" customWidth="1"/>
    <col min="7174" max="7174" width="12.26953125" style="27" customWidth="1"/>
    <col min="7175" max="7175" width="11.90625" style="27" customWidth="1"/>
    <col min="7176" max="7176" width="9.36328125" style="27" customWidth="1"/>
    <col min="7177" max="7177" width="11.08984375" style="27" customWidth="1"/>
    <col min="7178" max="7178" width="10.453125" style="27" customWidth="1"/>
    <col min="7179" max="7179" width="9.7265625" style="27" customWidth="1"/>
    <col min="7180" max="7424" width="9" style="27"/>
    <col min="7425" max="7425" width="3.08984375" style="27" customWidth="1"/>
    <col min="7426" max="7426" width="4.6328125" style="27" customWidth="1"/>
    <col min="7427" max="7427" width="3.08984375" style="27" customWidth="1"/>
    <col min="7428" max="7428" width="12.90625" style="27" customWidth="1"/>
    <col min="7429" max="7429" width="11.08984375" style="27" customWidth="1"/>
    <col min="7430" max="7430" width="12.26953125" style="27" customWidth="1"/>
    <col min="7431" max="7431" width="11.90625" style="27" customWidth="1"/>
    <col min="7432" max="7432" width="9.36328125" style="27" customWidth="1"/>
    <col min="7433" max="7433" width="11.08984375" style="27" customWidth="1"/>
    <col min="7434" max="7434" width="10.453125" style="27" customWidth="1"/>
    <col min="7435" max="7435" width="9.7265625" style="27" customWidth="1"/>
    <col min="7436" max="7680" width="9" style="27"/>
    <col min="7681" max="7681" width="3.08984375" style="27" customWidth="1"/>
    <col min="7682" max="7682" width="4.6328125" style="27" customWidth="1"/>
    <col min="7683" max="7683" width="3.08984375" style="27" customWidth="1"/>
    <col min="7684" max="7684" width="12.90625" style="27" customWidth="1"/>
    <col min="7685" max="7685" width="11.08984375" style="27" customWidth="1"/>
    <col min="7686" max="7686" width="12.26953125" style="27" customWidth="1"/>
    <col min="7687" max="7687" width="11.90625" style="27" customWidth="1"/>
    <col min="7688" max="7688" width="9.36328125" style="27" customWidth="1"/>
    <col min="7689" max="7689" width="11.08984375" style="27" customWidth="1"/>
    <col min="7690" max="7690" width="10.453125" style="27" customWidth="1"/>
    <col min="7691" max="7691" width="9.7265625" style="27" customWidth="1"/>
    <col min="7692" max="7936" width="9" style="27"/>
    <col min="7937" max="7937" width="3.08984375" style="27" customWidth="1"/>
    <col min="7938" max="7938" width="4.6328125" style="27" customWidth="1"/>
    <col min="7939" max="7939" width="3.08984375" style="27" customWidth="1"/>
    <col min="7940" max="7940" width="12.90625" style="27" customWidth="1"/>
    <col min="7941" max="7941" width="11.08984375" style="27" customWidth="1"/>
    <col min="7942" max="7942" width="12.26953125" style="27" customWidth="1"/>
    <col min="7943" max="7943" width="11.90625" style="27" customWidth="1"/>
    <col min="7944" max="7944" width="9.36328125" style="27" customWidth="1"/>
    <col min="7945" max="7945" width="11.08984375" style="27" customWidth="1"/>
    <col min="7946" max="7946" width="10.453125" style="27" customWidth="1"/>
    <col min="7947" max="7947" width="9.7265625" style="27" customWidth="1"/>
    <col min="7948" max="8192" width="9" style="27"/>
    <col min="8193" max="8193" width="3.08984375" style="27" customWidth="1"/>
    <col min="8194" max="8194" width="4.6328125" style="27" customWidth="1"/>
    <col min="8195" max="8195" width="3.08984375" style="27" customWidth="1"/>
    <col min="8196" max="8196" width="12.90625" style="27" customWidth="1"/>
    <col min="8197" max="8197" width="11.08984375" style="27" customWidth="1"/>
    <col min="8198" max="8198" width="12.26953125" style="27" customWidth="1"/>
    <col min="8199" max="8199" width="11.90625" style="27" customWidth="1"/>
    <col min="8200" max="8200" width="9.36328125" style="27" customWidth="1"/>
    <col min="8201" max="8201" width="11.08984375" style="27" customWidth="1"/>
    <col min="8202" max="8202" width="10.453125" style="27" customWidth="1"/>
    <col min="8203" max="8203" width="9.7265625" style="27" customWidth="1"/>
    <col min="8204" max="8448" width="9" style="27"/>
    <col min="8449" max="8449" width="3.08984375" style="27" customWidth="1"/>
    <col min="8450" max="8450" width="4.6328125" style="27" customWidth="1"/>
    <col min="8451" max="8451" width="3.08984375" style="27" customWidth="1"/>
    <col min="8452" max="8452" width="12.90625" style="27" customWidth="1"/>
    <col min="8453" max="8453" width="11.08984375" style="27" customWidth="1"/>
    <col min="8454" max="8454" width="12.26953125" style="27" customWidth="1"/>
    <col min="8455" max="8455" width="11.90625" style="27" customWidth="1"/>
    <col min="8456" max="8456" width="9.36328125" style="27" customWidth="1"/>
    <col min="8457" max="8457" width="11.08984375" style="27" customWidth="1"/>
    <col min="8458" max="8458" width="10.453125" style="27" customWidth="1"/>
    <col min="8459" max="8459" width="9.7265625" style="27" customWidth="1"/>
    <col min="8460" max="8704" width="9" style="27"/>
    <col min="8705" max="8705" width="3.08984375" style="27" customWidth="1"/>
    <col min="8706" max="8706" width="4.6328125" style="27" customWidth="1"/>
    <col min="8707" max="8707" width="3.08984375" style="27" customWidth="1"/>
    <col min="8708" max="8708" width="12.90625" style="27" customWidth="1"/>
    <col min="8709" max="8709" width="11.08984375" style="27" customWidth="1"/>
    <col min="8710" max="8710" width="12.26953125" style="27" customWidth="1"/>
    <col min="8711" max="8711" width="11.90625" style="27" customWidth="1"/>
    <col min="8712" max="8712" width="9.36328125" style="27" customWidth="1"/>
    <col min="8713" max="8713" width="11.08984375" style="27" customWidth="1"/>
    <col min="8714" max="8714" width="10.453125" style="27" customWidth="1"/>
    <col min="8715" max="8715" width="9.7265625" style="27" customWidth="1"/>
    <col min="8716" max="8960" width="9" style="27"/>
    <col min="8961" max="8961" width="3.08984375" style="27" customWidth="1"/>
    <col min="8962" max="8962" width="4.6328125" style="27" customWidth="1"/>
    <col min="8963" max="8963" width="3.08984375" style="27" customWidth="1"/>
    <col min="8964" max="8964" width="12.90625" style="27" customWidth="1"/>
    <col min="8965" max="8965" width="11.08984375" style="27" customWidth="1"/>
    <col min="8966" max="8966" width="12.26953125" style="27" customWidth="1"/>
    <col min="8967" max="8967" width="11.90625" style="27" customWidth="1"/>
    <col min="8968" max="8968" width="9.36328125" style="27" customWidth="1"/>
    <col min="8969" max="8969" width="11.08984375" style="27" customWidth="1"/>
    <col min="8970" max="8970" width="10.453125" style="27" customWidth="1"/>
    <col min="8971" max="8971" width="9.7265625" style="27" customWidth="1"/>
    <col min="8972" max="9216" width="9" style="27"/>
    <col min="9217" max="9217" width="3.08984375" style="27" customWidth="1"/>
    <col min="9218" max="9218" width="4.6328125" style="27" customWidth="1"/>
    <col min="9219" max="9219" width="3.08984375" style="27" customWidth="1"/>
    <col min="9220" max="9220" width="12.90625" style="27" customWidth="1"/>
    <col min="9221" max="9221" width="11.08984375" style="27" customWidth="1"/>
    <col min="9222" max="9222" width="12.26953125" style="27" customWidth="1"/>
    <col min="9223" max="9223" width="11.90625" style="27" customWidth="1"/>
    <col min="9224" max="9224" width="9.36328125" style="27" customWidth="1"/>
    <col min="9225" max="9225" width="11.08984375" style="27" customWidth="1"/>
    <col min="9226" max="9226" width="10.453125" style="27" customWidth="1"/>
    <col min="9227" max="9227" width="9.7265625" style="27" customWidth="1"/>
    <col min="9228" max="9472" width="9" style="27"/>
    <col min="9473" max="9473" width="3.08984375" style="27" customWidth="1"/>
    <col min="9474" max="9474" width="4.6328125" style="27" customWidth="1"/>
    <col min="9475" max="9475" width="3.08984375" style="27" customWidth="1"/>
    <col min="9476" max="9476" width="12.90625" style="27" customWidth="1"/>
    <col min="9477" max="9477" width="11.08984375" style="27" customWidth="1"/>
    <col min="9478" max="9478" width="12.26953125" style="27" customWidth="1"/>
    <col min="9479" max="9479" width="11.90625" style="27" customWidth="1"/>
    <col min="9480" max="9480" width="9.36328125" style="27" customWidth="1"/>
    <col min="9481" max="9481" width="11.08984375" style="27" customWidth="1"/>
    <col min="9482" max="9482" width="10.453125" style="27" customWidth="1"/>
    <col min="9483" max="9483" width="9.7265625" style="27" customWidth="1"/>
    <col min="9484" max="9728" width="9" style="27"/>
    <col min="9729" max="9729" width="3.08984375" style="27" customWidth="1"/>
    <col min="9730" max="9730" width="4.6328125" style="27" customWidth="1"/>
    <col min="9731" max="9731" width="3.08984375" style="27" customWidth="1"/>
    <col min="9732" max="9732" width="12.90625" style="27" customWidth="1"/>
    <col min="9733" max="9733" width="11.08984375" style="27" customWidth="1"/>
    <col min="9734" max="9734" width="12.26953125" style="27" customWidth="1"/>
    <col min="9735" max="9735" width="11.90625" style="27" customWidth="1"/>
    <col min="9736" max="9736" width="9.36328125" style="27" customWidth="1"/>
    <col min="9737" max="9737" width="11.08984375" style="27" customWidth="1"/>
    <col min="9738" max="9738" width="10.453125" style="27" customWidth="1"/>
    <col min="9739" max="9739" width="9.7265625" style="27" customWidth="1"/>
    <col min="9740" max="9984" width="9" style="27"/>
    <col min="9985" max="9985" width="3.08984375" style="27" customWidth="1"/>
    <col min="9986" max="9986" width="4.6328125" style="27" customWidth="1"/>
    <col min="9987" max="9987" width="3.08984375" style="27" customWidth="1"/>
    <col min="9988" max="9988" width="12.90625" style="27" customWidth="1"/>
    <col min="9989" max="9989" width="11.08984375" style="27" customWidth="1"/>
    <col min="9990" max="9990" width="12.26953125" style="27" customWidth="1"/>
    <col min="9991" max="9991" width="11.90625" style="27" customWidth="1"/>
    <col min="9992" max="9992" width="9.36328125" style="27" customWidth="1"/>
    <col min="9993" max="9993" width="11.08984375" style="27" customWidth="1"/>
    <col min="9994" max="9994" width="10.453125" style="27" customWidth="1"/>
    <col min="9995" max="9995" width="9.7265625" style="27" customWidth="1"/>
    <col min="9996" max="10240" width="9" style="27"/>
    <col min="10241" max="10241" width="3.08984375" style="27" customWidth="1"/>
    <col min="10242" max="10242" width="4.6328125" style="27" customWidth="1"/>
    <col min="10243" max="10243" width="3.08984375" style="27" customWidth="1"/>
    <col min="10244" max="10244" width="12.90625" style="27" customWidth="1"/>
    <col min="10245" max="10245" width="11.08984375" style="27" customWidth="1"/>
    <col min="10246" max="10246" width="12.26953125" style="27" customWidth="1"/>
    <col min="10247" max="10247" width="11.90625" style="27" customWidth="1"/>
    <col min="10248" max="10248" width="9.36328125" style="27" customWidth="1"/>
    <col min="10249" max="10249" width="11.08984375" style="27" customWidth="1"/>
    <col min="10250" max="10250" width="10.453125" style="27" customWidth="1"/>
    <col min="10251" max="10251" width="9.7265625" style="27" customWidth="1"/>
    <col min="10252" max="10496" width="9" style="27"/>
    <col min="10497" max="10497" width="3.08984375" style="27" customWidth="1"/>
    <col min="10498" max="10498" width="4.6328125" style="27" customWidth="1"/>
    <col min="10499" max="10499" width="3.08984375" style="27" customWidth="1"/>
    <col min="10500" max="10500" width="12.90625" style="27" customWidth="1"/>
    <col min="10501" max="10501" width="11.08984375" style="27" customWidth="1"/>
    <col min="10502" max="10502" width="12.26953125" style="27" customWidth="1"/>
    <col min="10503" max="10503" width="11.90625" style="27" customWidth="1"/>
    <col min="10504" max="10504" width="9.36328125" style="27" customWidth="1"/>
    <col min="10505" max="10505" width="11.08984375" style="27" customWidth="1"/>
    <col min="10506" max="10506" width="10.453125" style="27" customWidth="1"/>
    <col min="10507" max="10507" width="9.7265625" style="27" customWidth="1"/>
    <col min="10508" max="10752" width="9" style="27"/>
    <col min="10753" max="10753" width="3.08984375" style="27" customWidth="1"/>
    <col min="10754" max="10754" width="4.6328125" style="27" customWidth="1"/>
    <col min="10755" max="10755" width="3.08984375" style="27" customWidth="1"/>
    <col min="10756" max="10756" width="12.90625" style="27" customWidth="1"/>
    <col min="10757" max="10757" width="11.08984375" style="27" customWidth="1"/>
    <col min="10758" max="10758" width="12.26953125" style="27" customWidth="1"/>
    <col min="10759" max="10759" width="11.90625" style="27" customWidth="1"/>
    <col min="10760" max="10760" width="9.36328125" style="27" customWidth="1"/>
    <col min="10761" max="10761" width="11.08984375" style="27" customWidth="1"/>
    <col min="10762" max="10762" width="10.453125" style="27" customWidth="1"/>
    <col min="10763" max="10763" width="9.7265625" style="27" customWidth="1"/>
    <col min="10764" max="11008" width="9" style="27"/>
    <col min="11009" max="11009" width="3.08984375" style="27" customWidth="1"/>
    <col min="11010" max="11010" width="4.6328125" style="27" customWidth="1"/>
    <col min="11011" max="11011" width="3.08984375" style="27" customWidth="1"/>
    <col min="11012" max="11012" width="12.90625" style="27" customWidth="1"/>
    <col min="11013" max="11013" width="11.08984375" style="27" customWidth="1"/>
    <col min="11014" max="11014" width="12.26953125" style="27" customWidth="1"/>
    <col min="11015" max="11015" width="11.90625" style="27" customWidth="1"/>
    <col min="11016" max="11016" width="9.36328125" style="27" customWidth="1"/>
    <col min="11017" max="11017" width="11.08984375" style="27" customWidth="1"/>
    <col min="11018" max="11018" width="10.453125" style="27" customWidth="1"/>
    <col min="11019" max="11019" width="9.7265625" style="27" customWidth="1"/>
    <col min="11020" max="11264" width="9" style="27"/>
    <col min="11265" max="11265" width="3.08984375" style="27" customWidth="1"/>
    <col min="11266" max="11266" width="4.6328125" style="27" customWidth="1"/>
    <col min="11267" max="11267" width="3.08984375" style="27" customWidth="1"/>
    <col min="11268" max="11268" width="12.90625" style="27" customWidth="1"/>
    <col min="11269" max="11269" width="11.08984375" style="27" customWidth="1"/>
    <col min="11270" max="11270" width="12.26953125" style="27" customWidth="1"/>
    <col min="11271" max="11271" width="11.90625" style="27" customWidth="1"/>
    <col min="11272" max="11272" width="9.36328125" style="27" customWidth="1"/>
    <col min="11273" max="11273" width="11.08984375" style="27" customWidth="1"/>
    <col min="11274" max="11274" width="10.453125" style="27" customWidth="1"/>
    <col min="11275" max="11275" width="9.7265625" style="27" customWidth="1"/>
    <col min="11276" max="11520" width="9" style="27"/>
    <col min="11521" max="11521" width="3.08984375" style="27" customWidth="1"/>
    <col min="11522" max="11522" width="4.6328125" style="27" customWidth="1"/>
    <col min="11523" max="11523" width="3.08984375" style="27" customWidth="1"/>
    <col min="11524" max="11524" width="12.90625" style="27" customWidth="1"/>
    <col min="11525" max="11525" width="11.08984375" style="27" customWidth="1"/>
    <col min="11526" max="11526" width="12.26953125" style="27" customWidth="1"/>
    <col min="11527" max="11527" width="11.90625" style="27" customWidth="1"/>
    <col min="11528" max="11528" width="9.36328125" style="27" customWidth="1"/>
    <col min="11529" max="11529" width="11.08984375" style="27" customWidth="1"/>
    <col min="11530" max="11530" width="10.453125" style="27" customWidth="1"/>
    <col min="11531" max="11531" width="9.7265625" style="27" customWidth="1"/>
    <col min="11532" max="11776" width="9" style="27"/>
    <col min="11777" max="11777" width="3.08984375" style="27" customWidth="1"/>
    <col min="11778" max="11778" width="4.6328125" style="27" customWidth="1"/>
    <col min="11779" max="11779" width="3.08984375" style="27" customWidth="1"/>
    <col min="11780" max="11780" width="12.90625" style="27" customWidth="1"/>
    <col min="11781" max="11781" width="11.08984375" style="27" customWidth="1"/>
    <col min="11782" max="11782" width="12.26953125" style="27" customWidth="1"/>
    <col min="11783" max="11783" width="11.90625" style="27" customWidth="1"/>
    <col min="11784" max="11784" width="9.36328125" style="27" customWidth="1"/>
    <col min="11785" max="11785" width="11.08984375" style="27" customWidth="1"/>
    <col min="11786" max="11786" width="10.453125" style="27" customWidth="1"/>
    <col min="11787" max="11787" width="9.7265625" style="27" customWidth="1"/>
    <col min="11788" max="12032" width="9" style="27"/>
    <col min="12033" max="12033" width="3.08984375" style="27" customWidth="1"/>
    <col min="12034" max="12034" width="4.6328125" style="27" customWidth="1"/>
    <col min="12035" max="12035" width="3.08984375" style="27" customWidth="1"/>
    <col min="12036" max="12036" width="12.90625" style="27" customWidth="1"/>
    <col min="12037" max="12037" width="11.08984375" style="27" customWidth="1"/>
    <col min="12038" max="12038" width="12.26953125" style="27" customWidth="1"/>
    <col min="12039" max="12039" width="11.90625" style="27" customWidth="1"/>
    <col min="12040" max="12040" width="9.36328125" style="27" customWidth="1"/>
    <col min="12041" max="12041" width="11.08984375" style="27" customWidth="1"/>
    <col min="12042" max="12042" width="10.453125" style="27" customWidth="1"/>
    <col min="12043" max="12043" width="9.7265625" style="27" customWidth="1"/>
    <col min="12044" max="12288" width="9" style="27"/>
    <col min="12289" max="12289" width="3.08984375" style="27" customWidth="1"/>
    <col min="12290" max="12290" width="4.6328125" style="27" customWidth="1"/>
    <col min="12291" max="12291" width="3.08984375" style="27" customWidth="1"/>
    <col min="12292" max="12292" width="12.90625" style="27" customWidth="1"/>
    <col min="12293" max="12293" width="11.08984375" style="27" customWidth="1"/>
    <col min="12294" max="12294" width="12.26953125" style="27" customWidth="1"/>
    <col min="12295" max="12295" width="11.90625" style="27" customWidth="1"/>
    <col min="12296" max="12296" width="9.36328125" style="27" customWidth="1"/>
    <col min="12297" max="12297" width="11.08984375" style="27" customWidth="1"/>
    <col min="12298" max="12298" width="10.453125" style="27" customWidth="1"/>
    <col min="12299" max="12299" width="9.7265625" style="27" customWidth="1"/>
    <col min="12300" max="12544" width="9" style="27"/>
    <col min="12545" max="12545" width="3.08984375" style="27" customWidth="1"/>
    <col min="12546" max="12546" width="4.6328125" style="27" customWidth="1"/>
    <col min="12547" max="12547" width="3.08984375" style="27" customWidth="1"/>
    <col min="12548" max="12548" width="12.90625" style="27" customWidth="1"/>
    <col min="12549" max="12549" width="11.08984375" style="27" customWidth="1"/>
    <col min="12550" max="12550" width="12.26953125" style="27" customWidth="1"/>
    <col min="12551" max="12551" width="11.90625" style="27" customWidth="1"/>
    <col min="12552" max="12552" width="9.36328125" style="27" customWidth="1"/>
    <col min="12553" max="12553" width="11.08984375" style="27" customWidth="1"/>
    <col min="12554" max="12554" width="10.453125" style="27" customWidth="1"/>
    <col min="12555" max="12555" width="9.7265625" style="27" customWidth="1"/>
    <col min="12556" max="12800" width="9" style="27"/>
    <col min="12801" max="12801" width="3.08984375" style="27" customWidth="1"/>
    <col min="12802" max="12802" width="4.6328125" style="27" customWidth="1"/>
    <col min="12803" max="12803" width="3.08984375" style="27" customWidth="1"/>
    <col min="12804" max="12804" width="12.90625" style="27" customWidth="1"/>
    <col min="12805" max="12805" width="11.08984375" style="27" customWidth="1"/>
    <col min="12806" max="12806" width="12.26953125" style="27" customWidth="1"/>
    <col min="12807" max="12807" width="11.90625" style="27" customWidth="1"/>
    <col min="12808" max="12808" width="9.36328125" style="27" customWidth="1"/>
    <col min="12809" max="12809" width="11.08984375" style="27" customWidth="1"/>
    <col min="12810" max="12810" width="10.453125" style="27" customWidth="1"/>
    <col min="12811" max="12811" width="9.7265625" style="27" customWidth="1"/>
    <col min="12812" max="13056" width="9" style="27"/>
    <col min="13057" max="13057" width="3.08984375" style="27" customWidth="1"/>
    <col min="13058" max="13058" width="4.6328125" style="27" customWidth="1"/>
    <col min="13059" max="13059" width="3.08984375" style="27" customWidth="1"/>
    <col min="13060" max="13060" width="12.90625" style="27" customWidth="1"/>
    <col min="13061" max="13061" width="11.08984375" style="27" customWidth="1"/>
    <col min="13062" max="13062" width="12.26953125" style="27" customWidth="1"/>
    <col min="13063" max="13063" width="11.90625" style="27" customWidth="1"/>
    <col min="13064" max="13064" width="9.36328125" style="27" customWidth="1"/>
    <col min="13065" max="13065" width="11.08984375" style="27" customWidth="1"/>
    <col min="13066" max="13066" width="10.453125" style="27" customWidth="1"/>
    <col min="13067" max="13067" width="9.7265625" style="27" customWidth="1"/>
    <col min="13068" max="13312" width="9" style="27"/>
    <col min="13313" max="13313" width="3.08984375" style="27" customWidth="1"/>
    <col min="13314" max="13314" width="4.6328125" style="27" customWidth="1"/>
    <col min="13315" max="13315" width="3.08984375" style="27" customWidth="1"/>
    <col min="13316" max="13316" width="12.90625" style="27" customWidth="1"/>
    <col min="13317" max="13317" width="11.08984375" style="27" customWidth="1"/>
    <col min="13318" max="13318" width="12.26953125" style="27" customWidth="1"/>
    <col min="13319" max="13319" width="11.90625" style="27" customWidth="1"/>
    <col min="13320" max="13320" width="9.36328125" style="27" customWidth="1"/>
    <col min="13321" max="13321" width="11.08984375" style="27" customWidth="1"/>
    <col min="13322" max="13322" width="10.453125" style="27" customWidth="1"/>
    <col min="13323" max="13323" width="9.7265625" style="27" customWidth="1"/>
    <col min="13324" max="13568" width="9" style="27"/>
    <col min="13569" max="13569" width="3.08984375" style="27" customWidth="1"/>
    <col min="13570" max="13570" width="4.6328125" style="27" customWidth="1"/>
    <col min="13571" max="13571" width="3.08984375" style="27" customWidth="1"/>
    <col min="13572" max="13572" width="12.90625" style="27" customWidth="1"/>
    <col min="13573" max="13573" width="11.08984375" style="27" customWidth="1"/>
    <col min="13574" max="13574" width="12.26953125" style="27" customWidth="1"/>
    <col min="13575" max="13575" width="11.90625" style="27" customWidth="1"/>
    <col min="13576" max="13576" width="9.36328125" style="27" customWidth="1"/>
    <col min="13577" max="13577" width="11.08984375" style="27" customWidth="1"/>
    <col min="13578" max="13578" width="10.453125" style="27" customWidth="1"/>
    <col min="13579" max="13579" width="9.7265625" style="27" customWidth="1"/>
    <col min="13580" max="13824" width="9" style="27"/>
    <col min="13825" max="13825" width="3.08984375" style="27" customWidth="1"/>
    <col min="13826" max="13826" width="4.6328125" style="27" customWidth="1"/>
    <col min="13827" max="13827" width="3.08984375" style="27" customWidth="1"/>
    <col min="13828" max="13828" width="12.90625" style="27" customWidth="1"/>
    <col min="13829" max="13829" width="11.08984375" style="27" customWidth="1"/>
    <col min="13830" max="13830" width="12.26953125" style="27" customWidth="1"/>
    <col min="13831" max="13831" width="11.90625" style="27" customWidth="1"/>
    <col min="13832" max="13832" width="9.36328125" style="27" customWidth="1"/>
    <col min="13833" max="13833" width="11.08984375" style="27" customWidth="1"/>
    <col min="13834" max="13834" width="10.453125" style="27" customWidth="1"/>
    <col min="13835" max="13835" width="9.7265625" style="27" customWidth="1"/>
    <col min="13836" max="14080" width="9" style="27"/>
    <col min="14081" max="14081" width="3.08984375" style="27" customWidth="1"/>
    <col min="14082" max="14082" width="4.6328125" style="27" customWidth="1"/>
    <col min="14083" max="14083" width="3.08984375" style="27" customWidth="1"/>
    <col min="14084" max="14084" width="12.90625" style="27" customWidth="1"/>
    <col min="14085" max="14085" width="11.08984375" style="27" customWidth="1"/>
    <col min="14086" max="14086" width="12.26953125" style="27" customWidth="1"/>
    <col min="14087" max="14087" width="11.90625" style="27" customWidth="1"/>
    <col min="14088" max="14088" width="9.36328125" style="27" customWidth="1"/>
    <col min="14089" max="14089" width="11.08984375" style="27" customWidth="1"/>
    <col min="14090" max="14090" width="10.453125" style="27" customWidth="1"/>
    <col min="14091" max="14091" width="9.7265625" style="27" customWidth="1"/>
    <col min="14092" max="14336" width="9" style="27"/>
    <col min="14337" max="14337" width="3.08984375" style="27" customWidth="1"/>
    <col min="14338" max="14338" width="4.6328125" style="27" customWidth="1"/>
    <col min="14339" max="14339" width="3.08984375" style="27" customWidth="1"/>
    <col min="14340" max="14340" width="12.90625" style="27" customWidth="1"/>
    <col min="14341" max="14341" width="11.08984375" style="27" customWidth="1"/>
    <col min="14342" max="14342" width="12.26953125" style="27" customWidth="1"/>
    <col min="14343" max="14343" width="11.90625" style="27" customWidth="1"/>
    <col min="14344" max="14344" width="9.36328125" style="27" customWidth="1"/>
    <col min="14345" max="14345" width="11.08984375" style="27" customWidth="1"/>
    <col min="14346" max="14346" width="10.453125" style="27" customWidth="1"/>
    <col min="14347" max="14347" width="9.7265625" style="27" customWidth="1"/>
    <col min="14348" max="14592" width="9" style="27"/>
    <col min="14593" max="14593" width="3.08984375" style="27" customWidth="1"/>
    <col min="14594" max="14594" width="4.6328125" style="27" customWidth="1"/>
    <col min="14595" max="14595" width="3.08984375" style="27" customWidth="1"/>
    <col min="14596" max="14596" width="12.90625" style="27" customWidth="1"/>
    <col min="14597" max="14597" width="11.08984375" style="27" customWidth="1"/>
    <col min="14598" max="14598" width="12.26953125" style="27" customWidth="1"/>
    <col min="14599" max="14599" width="11.90625" style="27" customWidth="1"/>
    <col min="14600" max="14600" width="9.36328125" style="27" customWidth="1"/>
    <col min="14601" max="14601" width="11.08984375" style="27" customWidth="1"/>
    <col min="14602" max="14602" width="10.453125" style="27" customWidth="1"/>
    <col min="14603" max="14603" width="9.7265625" style="27" customWidth="1"/>
    <col min="14604" max="14848" width="9" style="27"/>
    <col min="14849" max="14849" width="3.08984375" style="27" customWidth="1"/>
    <col min="14850" max="14850" width="4.6328125" style="27" customWidth="1"/>
    <col min="14851" max="14851" width="3.08984375" style="27" customWidth="1"/>
    <col min="14852" max="14852" width="12.90625" style="27" customWidth="1"/>
    <col min="14853" max="14853" width="11.08984375" style="27" customWidth="1"/>
    <col min="14854" max="14854" width="12.26953125" style="27" customWidth="1"/>
    <col min="14855" max="14855" width="11.90625" style="27" customWidth="1"/>
    <col min="14856" max="14856" width="9.36328125" style="27" customWidth="1"/>
    <col min="14857" max="14857" width="11.08984375" style="27" customWidth="1"/>
    <col min="14858" max="14858" width="10.453125" style="27" customWidth="1"/>
    <col min="14859" max="14859" width="9.7265625" style="27" customWidth="1"/>
    <col min="14860" max="15104" width="9" style="27"/>
    <col min="15105" max="15105" width="3.08984375" style="27" customWidth="1"/>
    <col min="15106" max="15106" width="4.6328125" style="27" customWidth="1"/>
    <col min="15107" max="15107" width="3.08984375" style="27" customWidth="1"/>
    <col min="15108" max="15108" width="12.90625" style="27" customWidth="1"/>
    <col min="15109" max="15109" width="11.08984375" style="27" customWidth="1"/>
    <col min="15110" max="15110" width="12.26953125" style="27" customWidth="1"/>
    <col min="15111" max="15111" width="11.90625" style="27" customWidth="1"/>
    <col min="15112" max="15112" width="9.36328125" style="27" customWidth="1"/>
    <col min="15113" max="15113" width="11.08984375" style="27" customWidth="1"/>
    <col min="15114" max="15114" width="10.453125" style="27" customWidth="1"/>
    <col min="15115" max="15115" width="9.7265625" style="27" customWidth="1"/>
    <col min="15116" max="15360" width="9" style="27"/>
    <col min="15361" max="15361" width="3.08984375" style="27" customWidth="1"/>
    <col min="15362" max="15362" width="4.6328125" style="27" customWidth="1"/>
    <col min="15363" max="15363" width="3.08984375" style="27" customWidth="1"/>
    <col min="15364" max="15364" width="12.90625" style="27" customWidth="1"/>
    <col min="15365" max="15365" width="11.08984375" style="27" customWidth="1"/>
    <col min="15366" max="15366" width="12.26953125" style="27" customWidth="1"/>
    <col min="15367" max="15367" width="11.90625" style="27" customWidth="1"/>
    <col min="15368" max="15368" width="9.36328125" style="27" customWidth="1"/>
    <col min="15369" max="15369" width="11.08984375" style="27" customWidth="1"/>
    <col min="15370" max="15370" width="10.453125" style="27" customWidth="1"/>
    <col min="15371" max="15371" width="9.7265625" style="27" customWidth="1"/>
    <col min="15372" max="15616" width="9" style="27"/>
    <col min="15617" max="15617" width="3.08984375" style="27" customWidth="1"/>
    <col min="15618" max="15618" width="4.6328125" style="27" customWidth="1"/>
    <col min="15619" max="15619" width="3.08984375" style="27" customWidth="1"/>
    <col min="15620" max="15620" width="12.90625" style="27" customWidth="1"/>
    <col min="15621" max="15621" width="11.08984375" style="27" customWidth="1"/>
    <col min="15622" max="15622" width="12.26953125" style="27" customWidth="1"/>
    <col min="15623" max="15623" width="11.90625" style="27" customWidth="1"/>
    <col min="15624" max="15624" width="9.36328125" style="27" customWidth="1"/>
    <col min="15625" max="15625" width="11.08984375" style="27" customWidth="1"/>
    <col min="15626" max="15626" width="10.453125" style="27" customWidth="1"/>
    <col min="15627" max="15627" width="9.7265625" style="27" customWidth="1"/>
    <col min="15628" max="15872" width="9" style="27"/>
    <col min="15873" max="15873" width="3.08984375" style="27" customWidth="1"/>
    <col min="15874" max="15874" width="4.6328125" style="27" customWidth="1"/>
    <col min="15875" max="15875" width="3.08984375" style="27" customWidth="1"/>
    <col min="15876" max="15876" width="12.90625" style="27" customWidth="1"/>
    <col min="15877" max="15877" width="11.08984375" style="27" customWidth="1"/>
    <col min="15878" max="15878" width="12.26953125" style="27" customWidth="1"/>
    <col min="15879" max="15879" width="11.90625" style="27" customWidth="1"/>
    <col min="15880" max="15880" width="9.36328125" style="27" customWidth="1"/>
    <col min="15881" max="15881" width="11.08984375" style="27" customWidth="1"/>
    <col min="15882" max="15882" width="10.453125" style="27" customWidth="1"/>
    <col min="15883" max="15883" width="9.7265625" style="27" customWidth="1"/>
    <col min="15884" max="16128" width="9" style="27"/>
    <col min="16129" max="16129" width="3.08984375" style="27" customWidth="1"/>
    <col min="16130" max="16130" width="4.6328125" style="27" customWidth="1"/>
    <col min="16131" max="16131" width="3.08984375" style="27" customWidth="1"/>
    <col min="16132" max="16132" width="12.90625" style="27" customWidth="1"/>
    <col min="16133" max="16133" width="11.08984375" style="27" customWidth="1"/>
    <col min="16134" max="16134" width="12.26953125" style="27" customWidth="1"/>
    <col min="16135" max="16135" width="11.90625" style="27" customWidth="1"/>
    <col min="16136" max="16136" width="9.36328125" style="27" customWidth="1"/>
    <col min="16137" max="16137" width="11.08984375" style="27" customWidth="1"/>
    <col min="16138" max="16138" width="10.453125" style="27" customWidth="1"/>
    <col min="16139" max="16139" width="9.7265625" style="27" customWidth="1"/>
    <col min="16140" max="16384" width="9" style="27"/>
  </cols>
  <sheetData>
    <row r="1" spans="1:41">
      <c r="A1" s="101" t="s">
        <v>117</v>
      </c>
    </row>
    <row r="2" spans="1:41" s="52" customFormat="1" ht="24" customHeight="1" thickBot="1">
      <c r="A2" s="51"/>
      <c r="B2" s="295" t="s">
        <v>132</v>
      </c>
      <c r="C2" s="295"/>
      <c r="D2" s="295"/>
      <c r="E2" s="295"/>
      <c r="F2" s="295"/>
      <c r="G2" s="295"/>
      <c r="H2" s="295"/>
      <c r="I2" s="295"/>
      <c r="J2" s="295"/>
      <c r="K2" s="295"/>
    </row>
    <row r="3" spans="1:41" s="52" customFormat="1" ht="13.5" customHeight="1" thickTop="1">
      <c r="A3" s="53"/>
      <c r="B3" s="54"/>
      <c r="C3" s="55"/>
      <c r="D3" s="55"/>
      <c r="E3" s="55"/>
      <c r="F3" s="55"/>
      <c r="G3" s="55"/>
      <c r="H3" s="55"/>
      <c r="I3" s="55"/>
      <c r="J3" s="55"/>
    </row>
    <row r="4" spans="1:41" s="52" customFormat="1" ht="13.5" customHeight="1">
      <c r="A4" s="53"/>
      <c r="B4" s="56" t="s">
        <v>133</v>
      </c>
      <c r="C4" s="57"/>
      <c r="D4" s="58" t="s">
        <v>134</v>
      </c>
      <c r="E4" s="59" t="s">
        <v>135</v>
      </c>
      <c r="F4" s="60" t="s">
        <v>136</v>
      </c>
      <c r="G4" s="61" t="s">
        <v>137</v>
      </c>
      <c r="H4" s="61" t="s">
        <v>138</v>
      </c>
      <c r="I4" s="61" t="s">
        <v>139</v>
      </c>
    </row>
    <row r="5" spans="1:41" s="52" customFormat="1" ht="13.5" customHeight="1">
      <c r="A5" s="53"/>
      <c r="B5" s="56"/>
      <c r="C5" s="62"/>
      <c r="D5" s="63"/>
      <c r="E5" s="63"/>
      <c r="F5" s="63"/>
      <c r="G5" s="64"/>
      <c r="H5" s="65"/>
      <c r="I5" s="65"/>
    </row>
    <row r="6" spans="1:41" s="52" customFormat="1" ht="13.5" customHeight="1">
      <c r="A6" s="53"/>
      <c r="B6" s="56"/>
      <c r="C6" s="62"/>
      <c r="D6" s="63"/>
      <c r="E6" s="63"/>
      <c r="F6" s="63"/>
      <c r="G6" s="64"/>
      <c r="H6" s="65"/>
      <c r="I6" s="65"/>
    </row>
    <row r="7" spans="1:41" s="52" customFormat="1" ht="13.5" customHeight="1">
      <c r="A7" s="53"/>
      <c r="B7" s="56"/>
      <c r="C7" s="62"/>
      <c r="D7" s="63"/>
      <c r="E7" s="63"/>
      <c r="F7" s="63"/>
      <c r="G7" s="64"/>
      <c r="H7" s="65"/>
      <c r="I7" s="65"/>
    </row>
    <row r="8" spans="1:41" s="52" customFormat="1" ht="13.5" customHeight="1">
      <c r="A8" s="53"/>
      <c r="B8" s="56"/>
      <c r="C8" s="62"/>
      <c r="D8" s="63"/>
      <c r="E8" s="63"/>
      <c r="F8" s="63"/>
      <c r="G8" s="64"/>
      <c r="H8" s="65"/>
      <c r="I8" s="65"/>
    </row>
    <row r="9" spans="1:41" ht="13.5" customHeight="1">
      <c r="B9" s="32"/>
      <c r="C9" s="32"/>
      <c r="D9" s="32"/>
      <c r="E9" s="33"/>
    </row>
    <row r="11" spans="1:41" ht="19.5" customHeight="1">
      <c r="B11" s="66"/>
      <c r="C11" s="67"/>
      <c r="D11" s="162" t="s">
        <v>212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4"/>
      <c r="V11" s="164"/>
      <c r="W11" s="164"/>
      <c r="X11" s="164"/>
      <c r="Y11" s="164"/>
      <c r="Z11" s="160"/>
      <c r="AA11" s="160"/>
      <c r="AB11" s="160"/>
      <c r="AC11" s="160"/>
      <c r="AD11" s="160"/>
      <c r="AE11" s="160"/>
      <c r="AF11" s="160"/>
      <c r="AG11" s="69"/>
      <c r="AH11" s="69"/>
      <c r="AI11" s="69"/>
      <c r="AJ11" s="69"/>
      <c r="AK11" s="69"/>
      <c r="AL11" s="69"/>
      <c r="AM11" s="70"/>
      <c r="AN11" s="70"/>
      <c r="AO11" s="70"/>
    </row>
    <row r="12" spans="1:41" s="73" customFormat="1" ht="16.5" customHeight="1">
      <c r="A12" s="289" t="s">
        <v>140</v>
      </c>
      <c r="B12" s="289"/>
      <c r="C12" s="290"/>
      <c r="E12" s="119"/>
      <c r="F12" s="118" t="s">
        <v>141</v>
      </c>
      <c r="G12" s="119"/>
      <c r="H12" s="119"/>
      <c r="I12" s="119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54"/>
      <c r="V12" s="155"/>
      <c r="W12" s="155"/>
      <c r="X12" s="155"/>
      <c r="Y12" s="155"/>
      <c r="Z12" s="156"/>
      <c r="AA12" s="156"/>
      <c r="AB12" s="156"/>
      <c r="AC12" s="156"/>
      <c r="AD12" s="156"/>
      <c r="AE12" s="156"/>
      <c r="AF12" s="156"/>
      <c r="AG12" s="72"/>
      <c r="AH12" s="72"/>
      <c r="AI12" s="72"/>
      <c r="AJ12" s="72"/>
      <c r="AK12" s="72"/>
      <c r="AL12" s="72"/>
    </row>
    <row r="13" spans="1:41" s="80" customFormat="1" ht="93.75" customHeight="1">
      <c r="A13" s="74"/>
      <c r="B13" s="75" t="s">
        <v>142</v>
      </c>
      <c r="C13" s="76" t="s">
        <v>143</v>
      </c>
      <c r="D13" s="153" t="s">
        <v>417</v>
      </c>
      <c r="E13" s="117" t="s">
        <v>213</v>
      </c>
      <c r="F13" s="117" t="s">
        <v>214</v>
      </c>
      <c r="G13" s="117" t="s">
        <v>215</v>
      </c>
      <c r="H13" s="117" t="s">
        <v>216</v>
      </c>
      <c r="I13" s="117" t="s">
        <v>217</v>
      </c>
      <c r="J13" s="117" t="s">
        <v>218</v>
      </c>
      <c r="K13" s="121" t="s">
        <v>219</v>
      </c>
      <c r="L13" s="117" t="s">
        <v>220</v>
      </c>
      <c r="M13" s="122" t="s">
        <v>221</v>
      </c>
      <c r="N13" s="123" t="s">
        <v>222</v>
      </c>
      <c r="O13" s="123" t="s">
        <v>223</v>
      </c>
      <c r="P13" s="123" t="s">
        <v>224</v>
      </c>
      <c r="Q13" s="123" t="s">
        <v>225</v>
      </c>
      <c r="R13" s="123" t="s">
        <v>123</v>
      </c>
      <c r="S13" s="123" t="s">
        <v>124</v>
      </c>
      <c r="T13" s="123" t="s">
        <v>226</v>
      </c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77"/>
      <c r="AH13" s="78"/>
      <c r="AI13" s="78"/>
      <c r="AJ13" s="78"/>
      <c r="AK13" s="78"/>
      <c r="AL13" s="78"/>
      <c r="AM13" s="79"/>
      <c r="AN13" s="79"/>
      <c r="AO13" s="79"/>
    </row>
    <row r="14" spans="1:41" s="70" customFormat="1" ht="13.5" customHeight="1">
      <c r="A14" s="81"/>
      <c r="B14" s="82"/>
      <c r="C14" s="83"/>
      <c r="D14" s="187" t="s">
        <v>446</v>
      </c>
      <c r="E14" s="117" t="s">
        <v>196</v>
      </c>
      <c r="F14" s="117" t="s">
        <v>197</v>
      </c>
      <c r="G14" s="117" t="s">
        <v>198</v>
      </c>
      <c r="H14" s="117" t="s">
        <v>199</v>
      </c>
      <c r="I14" s="117" t="s">
        <v>200</v>
      </c>
      <c r="J14" s="117" t="s">
        <v>201</v>
      </c>
      <c r="K14" s="117" t="s">
        <v>202</v>
      </c>
      <c r="L14" s="117" t="s">
        <v>203</v>
      </c>
      <c r="M14" s="117" t="s">
        <v>204</v>
      </c>
      <c r="N14" s="117" t="s">
        <v>205</v>
      </c>
      <c r="O14" s="117" t="s">
        <v>206</v>
      </c>
      <c r="P14" s="117" t="s">
        <v>207</v>
      </c>
      <c r="Q14" s="117" t="s">
        <v>208</v>
      </c>
      <c r="R14" s="117" t="s">
        <v>209</v>
      </c>
      <c r="S14" s="117" t="s">
        <v>210</v>
      </c>
      <c r="T14" s="117" t="s">
        <v>211</v>
      </c>
      <c r="U14" s="158"/>
      <c r="V14" s="158"/>
      <c r="W14" s="159"/>
      <c r="X14" s="159"/>
      <c r="Y14" s="159"/>
      <c r="Z14" s="159"/>
      <c r="AA14" s="160"/>
      <c r="AB14" s="160"/>
      <c r="AC14" s="160"/>
      <c r="AD14" s="160"/>
      <c r="AE14" s="160"/>
      <c r="AF14" s="160"/>
      <c r="AG14" s="69"/>
      <c r="AH14" s="69"/>
      <c r="AI14" s="69"/>
      <c r="AJ14" s="69"/>
      <c r="AK14" s="69"/>
      <c r="AL14" s="69"/>
    </row>
    <row r="15" spans="1:41" ht="13.5" customHeight="1">
      <c r="A15" s="84"/>
      <c r="B15" s="85"/>
      <c r="C15" s="86"/>
      <c r="D15" s="187" t="s">
        <v>447</v>
      </c>
      <c r="E15" s="150" t="s">
        <v>228</v>
      </c>
      <c r="F15" s="150" t="s">
        <v>228</v>
      </c>
      <c r="G15" s="150" t="s">
        <v>229</v>
      </c>
      <c r="H15" s="150" t="s">
        <v>230</v>
      </c>
      <c r="I15" s="150" t="s">
        <v>228</v>
      </c>
      <c r="J15" s="151" t="s">
        <v>231</v>
      </c>
      <c r="K15" s="150" t="s">
        <v>230</v>
      </c>
      <c r="L15" s="151" t="s">
        <v>230</v>
      </c>
      <c r="M15" s="151" t="s">
        <v>232</v>
      </c>
      <c r="N15" s="152" t="s">
        <v>233</v>
      </c>
      <c r="O15" s="150" t="s">
        <v>234</v>
      </c>
      <c r="P15" s="150" t="s">
        <v>235</v>
      </c>
      <c r="Q15" s="151" t="s">
        <v>235</v>
      </c>
      <c r="R15" s="151" t="s">
        <v>147</v>
      </c>
      <c r="S15" s="152" t="s">
        <v>235</v>
      </c>
      <c r="T15" s="117" t="s">
        <v>235</v>
      </c>
      <c r="U15" s="159"/>
      <c r="V15" s="159"/>
      <c r="W15" s="159"/>
      <c r="X15" s="159"/>
      <c r="Y15" s="159"/>
      <c r="Z15" s="159"/>
      <c r="AA15" s="159"/>
      <c r="AB15" s="160"/>
      <c r="AC15" s="161"/>
      <c r="AD15" s="160"/>
      <c r="AE15" s="161"/>
      <c r="AF15" s="160"/>
      <c r="AG15" s="69"/>
      <c r="AH15" s="69"/>
      <c r="AI15" s="87"/>
      <c r="AJ15" s="69"/>
      <c r="AK15" s="87"/>
      <c r="AL15" s="69"/>
      <c r="AM15" s="70"/>
      <c r="AN15" s="70"/>
      <c r="AO15" s="70"/>
    </row>
    <row r="16" spans="1:41" ht="13.5" customHeight="1">
      <c r="A16" s="88"/>
      <c r="B16" s="165" t="s">
        <v>429</v>
      </c>
      <c r="C16" s="86" t="s">
        <v>141</v>
      </c>
      <c r="D16" s="189" t="s">
        <v>408</v>
      </c>
      <c r="E16" s="189" t="s">
        <v>409</v>
      </c>
      <c r="F16" s="189" t="s">
        <v>410</v>
      </c>
      <c r="G16" s="189" t="s">
        <v>295</v>
      </c>
      <c r="H16" s="189" t="s">
        <v>156</v>
      </c>
      <c r="I16" s="189" t="s">
        <v>411</v>
      </c>
      <c r="J16" s="189" t="s">
        <v>298</v>
      </c>
      <c r="K16" s="189" t="s">
        <v>294</v>
      </c>
      <c r="L16" s="189" t="s">
        <v>294</v>
      </c>
      <c r="M16" s="189" t="s">
        <v>412</v>
      </c>
      <c r="N16" s="189" t="s">
        <v>294</v>
      </c>
      <c r="O16" s="189" t="s">
        <v>413</v>
      </c>
      <c r="P16" s="189" t="s">
        <v>414</v>
      </c>
      <c r="Q16" s="189" t="s">
        <v>414</v>
      </c>
      <c r="R16" s="189" t="s">
        <v>415</v>
      </c>
      <c r="S16" s="189" t="s">
        <v>416</v>
      </c>
      <c r="T16" s="189" t="s">
        <v>416</v>
      </c>
      <c r="U16" s="159"/>
      <c r="V16" s="159"/>
      <c r="W16" s="159"/>
      <c r="X16" s="159"/>
      <c r="Y16" s="159"/>
      <c r="Z16" s="159"/>
      <c r="AA16" s="159"/>
      <c r="AB16" s="160"/>
      <c r="AC16" s="161"/>
      <c r="AD16" s="160"/>
      <c r="AE16" s="161"/>
      <c r="AF16" s="160"/>
      <c r="AG16" s="69"/>
      <c r="AH16" s="63"/>
      <c r="AI16" s="87"/>
      <c r="AJ16" s="69"/>
      <c r="AK16" s="69"/>
      <c r="AL16" s="69"/>
      <c r="AM16" s="70"/>
      <c r="AN16" s="70"/>
      <c r="AO16" s="70"/>
    </row>
    <row r="17" spans="1:42" ht="13.5" customHeight="1">
      <c r="A17" s="89"/>
      <c r="B17" s="165" t="s">
        <v>430</v>
      </c>
      <c r="C17" s="86" t="s">
        <v>152</v>
      </c>
      <c r="D17" s="189" t="s">
        <v>418</v>
      </c>
      <c r="E17" s="189" t="s">
        <v>409</v>
      </c>
      <c r="F17" s="189" t="s">
        <v>419</v>
      </c>
      <c r="G17" s="189" t="s">
        <v>295</v>
      </c>
      <c r="H17" s="189" t="s">
        <v>156</v>
      </c>
      <c r="I17" s="189" t="s">
        <v>411</v>
      </c>
      <c r="J17" s="189" t="s">
        <v>420</v>
      </c>
      <c r="K17" s="189" t="s">
        <v>294</v>
      </c>
      <c r="L17" s="189" t="s">
        <v>294</v>
      </c>
      <c r="M17" s="189" t="s">
        <v>421</v>
      </c>
      <c r="N17" s="189" t="s">
        <v>294</v>
      </c>
      <c r="O17" s="189" t="s">
        <v>413</v>
      </c>
      <c r="P17" s="189" t="s">
        <v>414</v>
      </c>
      <c r="Q17" s="189" t="s">
        <v>414</v>
      </c>
      <c r="R17" s="189" t="s">
        <v>422</v>
      </c>
      <c r="S17" s="189" t="s">
        <v>416</v>
      </c>
      <c r="T17" s="189" t="s">
        <v>416</v>
      </c>
      <c r="U17" s="159"/>
      <c r="V17" s="159"/>
      <c r="W17" s="159"/>
      <c r="X17" s="159"/>
      <c r="Y17" s="159"/>
      <c r="Z17" s="159"/>
      <c r="AA17" s="159"/>
      <c r="AB17" s="160"/>
      <c r="AC17" s="161"/>
      <c r="AD17" s="160"/>
      <c r="AE17" s="161"/>
      <c r="AF17" s="160"/>
      <c r="AG17" s="69"/>
      <c r="AH17" s="63"/>
      <c r="AI17" s="87"/>
      <c r="AJ17" s="69"/>
      <c r="AK17" s="69"/>
      <c r="AL17" s="69"/>
      <c r="AM17" s="70"/>
      <c r="AN17" s="70"/>
      <c r="AO17" s="70"/>
    </row>
    <row r="18" spans="1:42" ht="13.5" customHeight="1">
      <c r="A18" s="89"/>
      <c r="B18" s="165" t="s">
        <v>431</v>
      </c>
      <c r="C18" s="86" t="s">
        <v>152</v>
      </c>
      <c r="D18" s="189" t="s">
        <v>423</v>
      </c>
      <c r="E18" s="189" t="s">
        <v>409</v>
      </c>
      <c r="F18" s="189" t="s">
        <v>410</v>
      </c>
      <c r="G18" s="189" t="s">
        <v>295</v>
      </c>
      <c r="H18" s="189" t="s">
        <v>156</v>
      </c>
      <c r="I18" s="189" t="s">
        <v>411</v>
      </c>
      <c r="J18" s="189" t="s">
        <v>420</v>
      </c>
      <c r="K18" s="189" t="s">
        <v>294</v>
      </c>
      <c r="L18" s="189" t="s">
        <v>294</v>
      </c>
      <c r="M18" s="189" t="s">
        <v>424</v>
      </c>
      <c r="N18" s="189" t="s">
        <v>294</v>
      </c>
      <c r="O18" s="189" t="s">
        <v>425</v>
      </c>
      <c r="P18" s="189" t="s">
        <v>426</v>
      </c>
      <c r="Q18" s="189" t="s">
        <v>426</v>
      </c>
      <c r="R18" s="189" t="s">
        <v>425</v>
      </c>
      <c r="S18" s="189" t="s">
        <v>426</v>
      </c>
      <c r="T18" s="189" t="s">
        <v>426</v>
      </c>
      <c r="U18" s="159"/>
      <c r="V18" s="159"/>
      <c r="W18" s="159"/>
      <c r="X18" s="159"/>
      <c r="Y18" s="159"/>
      <c r="Z18" s="159"/>
      <c r="AA18" s="159"/>
      <c r="AB18" s="160"/>
      <c r="AC18" s="161"/>
      <c r="AD18" s="160"/>
      <c r="AE18" s="161"/>
      <c r="AF18" s="160"/>
      <c r="AG18" s="69"/>
      <c r="AH18" s="63"/>
      <c r="AI18" s="87"/>
      <c r="AJ18" s="69"/>
      <c r="AK18" s="69"/>
      <c r="AL18" s="69"/>
      <c r="AM18" s="70"/>
      <c r="AN18" s="70"/>
      <c r="AO18" s="70"/>
    </row>
    <row r="19" spans="1:42" ht="13.5" customHeight="1">
      <c r="A19" s="88"/>
      <c r="B19" s="165" t="s">
        <v>432</v>
      </c>
      <c r="C19" s="86" t="s">
        <v>152</v>
      </c>
      <c r="D19" s="189" t="s">
        <v>427</v>
      </c>
      <c r="E19" s="189" t="s">
        <v>409</v>
      </c>
      <c r="F19" s="189" t="s">
        <v>410</v>
      </c>
      <c r="G19" s="189" t="s">
        <v>295</v>
      </c>
      <c r="H19" s="189" t="s">
        <v>156</v>
      </c>
      <c r="I19" s="189" t="s">
        <v>411</v>
      </c>
      <c r="J19" s="189" t="s">
        <v>420</v>
      </c>
      <c r="K19" s="189" t="s">
        <v>294</v>
      </c>
      <c r="L19" s="189" t="s">
        <v>294</v>
      </c>
      <c r="M19" s="189" t="s">
        <v>428</v>
      </c>
      <c r="N19" s="189" t="s">
        <v>294</v>
      </c>
      <c r="O19" s="189" t="s">
        <v>413</v>
      </c>
      <c r="P19" s="189" t="s">
        <v>414</v>
      </c>
      <c r="Q19" s="189" t="s">
        <v>414</v>
      </c>
      <c r="R19" s="189" t="s">
        <v>415</v>
      </c>
      <c r="S19" s="189" t="s">
        <v>416</v>
      </c>
      <c r="T19" s="189" t="s">
        <v>416</v>
      </c>
      <c r="U19" s="159"/>
      <c r="V19" s="159"/>
      <c r="W19" s="159"/>
      <c r="X19" s="159"/>
      <c r="Y19" s="159"/>
      <c r="Z19" s="159"/>
      <c r="AA19" s="159"/>
      <c r="AB19" s="160"/>
      <c r="AC19" s="161"/>
      <c r="AD19" s="160"/>
      <c r="AE19" s="161"/>
      <c r="AF19" s="160"/>
      <c r="AG19" s="69"/>
      <c r="AH19" s="63"/>
      <c r="AI19" s="87"/>
      <c r="AJ19" s="69"/>
      <c r="AK19" s="69"/>
      <c r="AL19" s="69"/>
      <c r="AM19" s="70"/>
      <c r="AN19" s="70"/>
      <c r="AO19" s="70"/>
    </row>
    <row r="20" spans="1:42" ht="13.5" customHeight="1">
      <c r="A20" s="81"/>
      <c r="B20" s="85"/>
      <c r="C20" s="86"/>
      <c r="D20" s="159"/>
      <c r="E20" s="185"/>
      <c r="F20" s="159"/>
      <c r="G20" s="159"/>
      <c r="H20" s="196"/>
      <c r="I20" s="159"/>
      <c r="J20" s="159"/>
      <c r="K20" s="159"/>
      <c r="L20" s="159"/>
      <c r="M20" s="159"/>
      <c r="N20" s="159"/>
      <c r="O20" s="159"/>
      <c r="P20" s="185"/>
      <c r="Q20" s="159"/>
      <c r="R20" s="159"/>
      <c r="S20" s="159"/>
      <c r="T20" s="157"/>
      <c r="U20" s="159"/>
      <c r="V20" s="159"/>
      <c r="W20" s="159"/>
      <c r="X20" s="159"/>
      <c r="Y20" s="159"/>
      <c r="Z20" s="159"/>
      <c r="AA20" s="159"/>
      <c r="AB20" s="160"/>
      <c r="AC20" s="161"/>
      <c r="AD20" s="160"/>
      <c r="AE20" s="161"/>
      <c r="AF20" s="160"/>
      <c r="AG20" s="69"/>
      <c r="AH20" s="69"/>
      <c r="AI20" s="87"/>
      <c r="AJ20" s="69"/>
      <c r="AK20" s="87"/>
      <c r="AL20" s="69"/>
      <c r="AM20" s="70"/>
      <c r="AN20" s="70"/>
      <c r="AO20" s="70"/>
    </row>
    <row r="21" spans="1:42" ht="13.5" customHeight="1">
      <c r="A21" s="81"/>
      <c r="B21" s="85"/>
      <c r="C21" s="86"/>
      <c r="D21" s="159"/>
      <c r="E21" s="185"/>
      <c r="F21" s="159"/>
      <c r="G21" s="159"/>
      <c r="H21" s="196"/>
      <c r="I21" s="159"/>
      <c r="J21" s="159"/>
      <c r="K21" s="159"/>
      <c r="L21" s="159"/>
      <c r="M21" s="159"/>
      <c r="N21" s="159"/>
      <c r="O21" s="159"/>
      <c r="P21" s="185"/>
      <c r="Q21" s="159"/>
      <c r="R21" s="159"/>
      <c r="S21" s="159"/>
      <c r="T21" s="157"/>
      <c r="U21" s="159"/>
      <c r="V21" s="159"/>
      <c r="W21" s="159"/>
      <c r="X21" s="159"/>
      <c r="Y21" s="159"/>
      <c r="Z21" s="159"/>
      <c r="AA21" s="159"/>
      <c r="AB21" s="160"/>
      <c r="AC21" s="161"/>
      <c r="AD21" s="160"/>
      <c r="AE21" s="161"/>
      <c r="AF21" s="160"/>
      <c r="AG21" s="69"/>
      <c r="AH21" s="69"/>
      <c r="AI21" s="87"/>
      <c r="AJ21" s="69"/>
      <c r="AK21" s="87"/>
      <c r="AL21" s="69"/>
      <c r="AM21" s="70"/>
      <c r="AN21" s="70"/>
      <c r="AO21" s="70"/>
    </row>
    <row r="22" spans="1:42" ht="13.5" customHeight="1">
      <c r="A22" s="81"/>
      <c r="B22" s="85"/>
      <c r="C22" s="86"/>
      <c r="D22" s="159"/>
      <c r="E22" s="185"/>
      <c r="F22" s="159"/>
      <c r="G22" s="159"/>
      <c r="H22" s="196"/>
      <c r="I22" s="159"/>
      <c r="J22" s="159"/>
      <c r="K22" s="159"/>
      <c r="L22" s="159"/>
      <c r="M22" s="159"/>
      <c r="N22" s="159"/>
      <c r="O22" s="159"/>
      <c r="P22" s="185"/>
      <c r="Q22" s="159"/>
      <c r="R22" s="159"/>
      <c r="S22" s="159"/>
      <c r="T22" s="157"/>
      <c r="U22" s="159"/>
      <c r="V22" s="159"/>
      <c r="W22" s="159"/>
      <c r="X22" s="159"/>
      <c r="Y22" s="159"/>
      <c r="Z22" s="159"/>
      <c r="AA22" s="159"/>
      <c r="AB22" s="160"/>
      <c r="AC22" s="161"/>
      <c r="AD22" s="160"/>
      <c r="AE22" s="161"/>
      <c r="AF22" s="160"/>
      <c r="AG22" s="69"/>
      <c r="AH22" s="69"/>
      <c r="AI22" s="87"/>
      <c r="AJ22" s="69"/>
      <c r="AK22" s="87"/>
      <c r="AL22" s="69"/>
      <c r="AM22" s="70"/>
      <c r="AN22" s="70"/>
      <c r="AO22" s="70"/>
    </row>
    <row r="23" spans="1:42" ht="13.5" customHeight="1">
      <c r="A23" s="81"/>
      <c r="B23" s="85"/>
      <c r="C23" s="86"/>
      <c r="D23" s="159"/>
      <c r="E23" s="185"/>
      <c r="F23" s="159"/>
      <c r="G23" s="159"/>
      <c r="H23" s="196"/>
      <c r="I23" s="159"/>
      <c r="J23" s="159"/>
      <c r="K23" s="159"/>
      <c r="L23" s="159"/>
      <c r="M23" s="159"/>
      <c r="N23" s="159"/>
      <c r="O23" s="159"/>
      <c r="P23" s="185"/>
      <c r="Q23" s="159"/>
      <c r="R23" s="159"/>
      <c r="S23" s="159"/>
      <c r="T23" s="157"/>
      <c r="U23" s="159"/>
      <c r="V23" s="159"/>
      <c r="W23" s="159"/>
      <c r="X23" s="159"/>
      <c r="Y23" s="159"/>
      <c r="Z23" s="159"/>
      <c r="AA23" s="159"/>
      <c r="AB23" s="160"/>
      <c r="AC23" s="161"/>
      <c r="AD23" s="160"/>
      <c r="AE23" s="161"/>
      <c r="AF23" s="160"/>
      <c r="AG23" s="69"/>
      <c r="AH23" s="69"/>
      <c r="AI23" s="87"/>
      <c r="AJ23" s="69"/>
      <c r="AK23" s="87"/>
      <c r="AL23" s="69"/>
      <c r="AM23" s="70"/>
      <c r="AN23" s="70"/>
      <c r="AO23" s="70"/>
    </row>
    <row r="24" spans="1:42">
      <c r="B24" s="66"/>
      <c r="C24" s="83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90"/>
      <c r="U24" s="90"/>
      <c r="V24" s="90"/>
      <c r="W24" s="91"/>
      <c r="X24" s="90"/>
      <c r="Y24" s="90"/>
      <c r="Z24" s="70"/>
      <c r="AA24" s="70"/>
      <c r="AB24" s="70"/>
      <c r="AC24" s="70"/>
      <c r="AD24" s="70"/>
      <c r="AE24" s="70"/>
      <c r="AF24" s="70"/>
      <c r="AG24" s="69"/>
      <c r="AH24" s="69"/>
      <c r="AI24" s="69"/>
      <c r="AJ24" s="69"/>
      <c r="AK24" s="69"/>
      <c r="AL24" s="69"/>
      <c r="AM24" s="70"/>
      <c r="AN24" s="70"/>
      <c r="AO24" s="70"/>
    </row>
    <row r="25" spans="1:42">
      <c r="B25" s="66"/>
      <c r="C25" s="83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90"/>
      <c r="U25" s="90"/>
      <c r="V25" s="90"/>
      <c r="W25" s="92"/>
      <c r="X25" s="90"/>
      <c r="Y25" s="9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2" ht="19.5" customHeight="1">
      <c r="B26" s="66"/>
      <c r="C26" s="67"/>
      <c r="D26" s="175" t="s">
        <v>439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7"/>
      <c r="P26" s="177"/>
      <c r="Q26" s="177"/>
      <c r="R26" s="177"/>
      <c r="S26" s="177"/>
      <c r="T26" s="171"/>
      <c r="U26" s="171"/>
      <c r="V26" s="171"/>
      <c r="W26" s="171"/>
      <c r="X26" s="171"/>
      <c r="Y26" s="171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04"/>
    </row>
    <row r="27" spans="1:42" s="73" customFormat="1" ht="16.5" customHeight="1">
      <c r="A27" s="289" t="s">
        <v>140</v>
      </c>
      <c r="B27" s="289"/>
      <c r="C27" s="290"/>
      <c r="D27" s="118"/>
      <c r="E27" s="174"/>
      <c r="F27" s="118"/>
      <c r="G27" s="118" t="s">
        <v>141</v>
      </c>
      <c r="H27" s="174"/>
      <c r="I27" s="174"/>
      <c r="J27" s="174"/>
      <c r="K27" s="174"/>
      <c r="L27" s="174"/>
      <c r="M27" s="174"/>
      <c r="N27" s="174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</row>
    <row r="28" spans="1:42" s="80" customFormat="1" ht="105" customHeight="1">
      <c r="B28" s="75" t="s">
        <v>142</v>
      </c>
      <c r="C28" s="96" t="s">
        <v>155</v>
      </c>
      <c r="D28" s="153" t="s">
        <v>448</v>
      </c>
      <c r="E28" s="117" t="s">
        <v>442</v>
      </c>
      <c r="F28" s="153" t="s">
        <v>449</v>
      </c>
      <c r="G28" s="117" t="s">
        <v>443</v>
      </c>
      <c r="H28" s="123" t="s">
        <v>222</v>
      </c>
      <c r="I28" s="123" t="s">
        <v>223</v>
      </c>
      <c r="J28" s="123" t="s">
        <v>224</v>
      </c>
      <c r="K28" s="123" t="s">
        <v>225</v>
      </c>
      <c r="L28" s="123" t="s">
        <v>123</v>
      </c>
      <c r="M28" s="123" t="s">
        <v>124</v>
      </c>
      <c r="N28" s="123" t="s">
        <v>226</v>
      </c>
      <c r="O28" s="178"/>
      <c r="P28" s="178"/>
      <c r="Q28" s="179"/>
      <c r="R28" s="179"/>
      <c r="S28" s="180"/>
      <c r="T28" s="181"/>
      <c r="U28" s="181"/>
      <c r="V28" s="180"/>
      <c r="W28" s="180"/>
      <c r="X28" s="180"/>
      <c r="Y28" s="180"/>
      <c r="Z28" s="182"/>
      <c r="AA28" s="182"/>
      <c r="AB28" s="183"/>
      <c r="AC28" s="183"/>
      <c r="AD28" s="183"/>
      <c r="AE28" s="183"/>
      <c r="AF28" s="183"/>
      <c r="AG28" s="183"/>
      <c r="AH28" s="182"/>
      <c r="AI28" s="183"/>
      <c r="AJ28" s="182"/>
      <c r="AK28" s="183"/>
      <c r="AL28" s="182"/>
      <c r="AM28" s="182"/>
      <c r="AN28" s="182"/>
      <c r="AO28" s="182"/>
      <c r="AP28" s="184"/>
    </row>
    <row r="29" spans="1:42" s="70" customFormat="1" ht="13.5" customHeight="1">
      <c r="B29" s="82"/>
      <c r="C29" s="83"/>
      <c r="D29" s="187" t="s">
        <v>450</v>
      </c>
      <c r="E29" s="117" t="s">
        <v>440</v>
      </c>
      <c r="F29" s="187" t="s">
        <v>452</v>
      </c>
      <c r="G29" s="117" t="s">
        <v>441</v>
      </c>
      <c r="H29" s="117" t="s">
        <v>205</v>
      </c>
      <c r="I29" s="117" t="s">
        <v>206</v>
      </c>
      <c r="J29" s="117" t="s">
        <v>207</v>
      </c>
      <c r="K29" s="117" t="s">
        <v>208</v>
      </c>
      <c r="L29" s="117" t="s">
        <v>209</v>
      </c>
      <c r="M29" s="117" t="s">
        <v>210</v>
      </c>
      <c r="N29" s="117" t="s">
        <v>211</v>
      </c>
      <c r="O29" s="158"/>
      <c r="P29" s="158"/>
      <c r="Q29" s="159"/>
      <c r="R29" s="159"/>
      <c r="S29" s="159"/>
      <c r="T29" s="159"/>
      <c r="U29" s="158"/>
      <c r="V29" s="158"/>
      <c r="W29" s="159"/>
      <c r="X29" s="158"/>
      <c r="Y29" s="172"/>
      <c r="Z29" s="158"/>
      <c r="AA29" s="172"/>
      <c r="AB29" s="172"/>
      <c r="AC29" s="158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</row>
    <row r="30" spans="1:42" s="70" customFormat="1" ht="13.5" customHeight="1">
      <c r="B30" s="82"/>
      <c r="C30" s="83"/>
      <c r="D30" s="187" t="s">
        <v>451</v>
      </c>
      <c r="E30" s="117" t="s">
        <v>445</v>
      </c>
      <c r="F30" s="187" t="s">
        <v>453</v>
      </c>
      <c r="G30" s="117" t="s">
        <v>230</v>
      </c>
      <c r="H30" s="117" t="s">
        <v>444</v>
      </c>
      <c r="I30" s="117" t="s">
        <v>234</v>
      </c>
      <c r="J30" s="117" t="s">
        <v>235</v>
      </c>
      <c r="K30" s="117" t="s">
        <v>235</v>
      </c>
      <c r="L30" s="117" t="s">
        <v>147</v>
      </c>
      <c r="M30" s="117" t="s">
        <v>235</v>
      </c>
      <c r="N30" s="117" t="s">
        <v>235</v>
      </c>
      <c r="O30" s="158"/>
      <c r="P30" s="158"/>
      <c r="Q30" s="159"/>
      <c r="R30" s="159"/>
      <c r="S30" s="159"/>
      <c r="T30" s="159"/>
      <c r="U30" s="158"/>
      <c r="V30" s="158"/>
      <c r="W30" s="159"/>
      <c r="X30" s="158"/>
      <c r="Y30" s="172"/>
      <c r="Z30" s="158"/>
      <c r="AA30" s="172"/>
      <c r="AB30" s="172"/>
      <c r="AC30" s="158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</row>
    <row r="31" spans="1:42" ht="13.5" customHeight="1">
      <c r="B31" s="85" t="s">
        <v>153</v>
      </c>
      <c r="C31" s="86" t="s">
        <v>152</v>
      </c>
      <c r="D31" s="189" t="s">
        <v>411</v>
      </c>
      <c r="E31" s="189" t="s">
        <v>454</v>
      </c>
      <c r="F31" s="189" t="s">
        <v>455</v>
      </c>
      <c r="G31" s="189" t="s">
        <v>294</v>
      </c>
      <c r="H31" s="189" t="s">
        <v>294</v>
      </c>
      <c r="I31" s="189" t="s">
        <v>456</v>
      </c>
      <c r="J31" s="189" t="s">
        <v>457</v>
      </c>
      <c r="K31" s="189" t="s">
        <v>457</v>
      </c>
      <c r="L31" s="189" t="s">
        <v>458</v>
      </c>
      <c r="M31" s="189" t="s">
        <v>459</v>
      </c>
      <c r="N31" s="189" t="s">
        <v>459</v>
      </c>
      <c r="O31" s="159"/>
      <c r="P31" s="185"/>
      <c r="Q31" s="159"/>
      <c r="R31" s="159"/>
      <c r="S31" s="159"/>
      <c r="T31" s="159"/>
      <c r="U31" s="159"/>
      <c r="V31" s="159"/>
      <c r="W31" s="159"/>
      <c r="X31" s="159"/>
      <c r="Y31" s="159"/>
      <c r="Z31" s="172"/>
      <c r="AA31" s="172"/>
      <c r="AB31" s="172"/>
      <c r="AC31" s="172"/>
      <c r="AD31" s="159"/>
      <c r="AE31" s="159"/>
      <c r="AF31" s="159"/>
      <c r="AG31" s="159"/>
      <c r="AH31" s="172"/>
      <c r="AI31" s="172"/>
      <c r="AJ31" s="172"/>
      <c r="AK31" s="172"/>
      <c r="AL31" s="172"/>
      <c r="AM31" s="159"/>
      <c r="AN31" s="172"/>
      <c r="AO31" s="159"/>
      <c r="AP31" s="172"/>
    </row>
    <row r="32" spans="1:42" ht="13.5" customHeight="1">
      <c r="B32" s="85" t="s">
        <v>148</v>
      </c>
      <c r="C32" s="86" t="s">
        <v>152</v>
      </c>
      <c r="D32" s="189" t="s">
        <v>460</v>
      </c>
      <c r="E32" s="189" t="s">
        <v>454</v>
      </c>
      <c r="F32" s="189" t="s">
        <v>455</v>
      </c>
      <c r="G32" s="189" t="s">
        <v>294</v>
      </c>
      <c r="H32" s="189" t="s">
        <v>294</v>
      </c>
      <c r="I32" s="189" t="s">
        <v>456</v>
      </c>
      <c r="J32" s="189" t="s">
        <v>457</v>
      </c>
      <c r="K32" s="189" t="s">
        <v>457</v>
      </c>
      <c r="L32" s="189" t="s">
        <v>458</v>
      </c>
      <c r="M32" s="189" t="s">
        <v>459</v>
      </c>
      <c r="N32" s="189" t="s">
        <v>459</v>
      </c>
      <c r="O32" s="159"/>
      <c r="P32" s="185"/>
      <c r="Q32" s="159"/>
      <c r="R32" s="159"/>
      <c r="S32" s="159"/>
      <c r="T32" s="159"/>
      <c r="U32" s="159"/>
      <c r="V32" s="159"/>
      <c r="W32" s="159"/>
      <c r="X32" s="159"/>
      <c r="Y32" s="159"/>
      <c r="Z32" s="172"/>
      <c r="AA32" s="172"/>
      <c r="AB32" s="172"/>
      <c r="AC32" s="172"/>
      <c r="AD32" s="159"/>
      <c r="AE32" s="159"/>
      <c r="AF32" s="159"/>
      <c r="AG32" s="159"/>
      <c r="AH32" s="172"/>
      <c r="AI32" s="172"/>
      <c r="AJ32" s="172"/>
      <c r="AK32" s="172"/>
      <c r="AL32" s="172"/>
      <c r="AM32" s="159"/>
      <c r="AN32" s="172"/>
      <c r="AO32" s="159"/>
      <c r="AP32" s="172"/>
    </row>
    <row r="33" spans="1:59" ht="13.5" customHeight="1">
      <c r="B33" s="85" t="s">
        <v>151</v>
      </c>
      <c r="C33" s="86" t="s">
        <v>152</v>
      </c>
      <c r="D33" s="189" t="s">
        <v>419</v>
      </c>
      <c r="E33" s="189" t="s">
        <v>454</v>
      </c>
      <c r="F33" s="189" t="s">
        <v>455</v>
      </c>
      <c r="G33" s="189" t="s">
        <v>294</v>
      </c>
      <c r="H33" s="189" t="s">
        <v>294</v>
      </c>
      <c r="I33" s="189" t="s">
        <v>456</v>
      </c>
      <c r="J33" s="189" t="s">
        <v>457</v>
      </c>
      <c r="K33" s="189" t="s">
        <v>457</v>
      </c>
      <c r="L33" s="189" t="s">
        <v>458</v>
      </c>
      <c r="M33" s="189" t="s">
        <v>459</v>
      </c>
      <c r="N33" s="189" t="s">
        <v>459</v>
      </c>
      <c r="O33" s="159"/>
      <c r="P33" s="185"/>
      <c r="Q33" s="159"/>
      <c r="R33" s="159"/>
      <c r="S33" s="159"/>
      <c r="T33" s="159"/>
      <c r="U33" s="159"/>
      <c r="V33" s="159"/>
      <c r="W33" s="159"/>
      <c r="X33" s="159"/>
      <c r="Y33" s="159"/>
      <c r="Z33" s="172"/>
      <c r="AA33" s="172"/>
      <c r="AB33" s="172"/>
      <c r="AC33" s="172"/>
      <c r="AD33" s="159"/>
      <c r="AE33" s="159"/>
      <c r="AF33" s="159"/>
      <c r="AG33" s="159"/>
      <c r="AH33" s="172"/>
      <c r="AI33" s="172"/>
      <c r="AJ33" s="172"/>
      <c r="AK33" s="172"/>
      <c r="AL33" s="172"/>
      <c r="AM33" s="159"/>
      <c r="AN33" s="172"/>
      <c r="AO33" s="159"/>
      <c r="AP33" s="172"/>
    </row>
    <row r="34" spans="1:59" ht="13.5" customHeight="1">
      <c r="B34" s="85" t="s">
        <v>157</v>
      </c>
      <c r="C34" s="86" t="s">
        <v>152</v>
      </c>
      <c r="D34" s="189" t="s">
        <v>299</v>
      </c>
      <c r="E34" s="189" t="s">
        <v>454</v>
      </c>
      <c r="F34" s="189" t="s">
        <v>455</v>
      </c>
      <c r="G34" s="189" t="s">
        <v>294</v>
      </c>
      <c r="H34" s="189" t="s">
        <v>294</v>
      </c>
      <c r="I34" s="189" t="s">
        <v>456</v>
      </c>
      <c r="J34" s="189" t="s">
        <v>457</v>
      </c>
      <c r="K34" s="189" t="s">
        <v>457</v>
      </c>
      <c r="L34" s="189" t="s">
        <v>458</v>
      </c>
      <c r="M34" s="189" t="s">
        <v>459</v>
      </c>
      <c r="N34" s="189" t="s">
        <v>459</v>
      </c>
      <c r="O34" s="159"/>
      <c r="P34" s="185"/>
      <c r="Q34" s="159"/>
      <c r="R34" s="159"/>
      <c r="S34" s="159"/>
      <c r="T34" s="159"/>
      <c r="U34" s="159"/>
      <c r="V34" s="159"/>
      <c r="W34" s="159"/>
      <c r="X34" s="159"/>
      <c r="Y34" s="159"/>
      <c r="Z34" s="172"/>
      <c r="AA34" s="172"/>
      <c r="AB34" s="172"/>
      <c r="AC34" s="172"/>
      <c r="AD34" s="159"/>
      <c r="AE34" s="159"/>
      <c r="AF34" s="159"/>
      <c r="AG34" s="159"/>
      <c r="AH34" s="172"/>
      <c r="AI34" s="172"/>
      <c r="AJ34" s="172"/>
      <c r="AK34" s="172"/>
      <c r="AL34" s="172"/>
      <c r="AM34" s="159"/>
      <c r="AN34" s="172"/>
      <c r="AO34" s="159"/>
      <c r="AP34" s="172"/>
    </row>
    <row r="35" spans="1:59" ht="13.5" customHeight="1">
      <c r="B35" s="85" t="s">
        <v>158</v>
      </c>
      <c r="C35" s="86" t="s">
        <v>141</v>
      </c>
      <c r="D35" s="189" t="s">
        <v>410</v>
      </c>
      <c r="E35" s="189" t="s">
        <v>454</v>
      </c>
      <c r="F35" s="189" t="s">
        <v>455</v>
      </c>
      <c r="G35" s="189" t="s">
        <v>294</v>
      </c>
      <c r="H35" s="189" t="s">
        <v>294</v>
      </c>
      <c r="I35" s="189" t="s">
        <v>456</v>
      </c>
      <c r="J35" s="189" t="s">
        <v>457</v>
      </c>
      <c r="K35" s="189" t="s">
        <v>457</v>
      </c>
      <c r="L35" s="189" t="s">
        <v>458</v>
      </c>
      <c r="M35" s="189" t="s">
        <v>459</v>
      </c>
      <c r="N35" s="189" t="s">
        <v>459</v>
      </c>
      <c r="O35" s="159"/>
      <c r="P35" s="185"/>
      <c r="Q35" s="159"/>
      <c r="R35" s="159"/>
      <c r="S35" s="159"/>
      <c r="T35" s="159"/>
      <c r="U35" s="159"/>
      <c r="V35" s="159"/>
      <c r="W35" s="159"/>
      <c r="X35" s="159"/>
      <c r="Y35" s="159"/>
      <c r="Z35" s="172"/>
      <c r="AA35" s="172"/>
      <c r="AB35" s="172"/>
      <c r="AC35" s="172"/>
      <c r="AD35" s="159"/>
      <c r="AE35" s="159"/>
      <c r="AF35" s="159"/>
      <c r="AG35" s="159"/>
      <c r="AH35" s="172"/>
      <c r="AI35" s="172"/>
      <c r="AJ35" s="172"/>
      <c r="AK35" s="172"/>
      <c r="AL35" s="172"/>
      <c r="AM35" s="159"/>
      <c r="AN35" s="172"/>
      <c r="AO35" s="159"/>
      <c r="AP35" s="172"/>
    </row>
    <row r="36" spans="1:59" ht="13.5" customHeight="1">
      <c r="B36" s="85" t="s">
        <v>566</v>
      </c>
      <c r="C36" s="86" t="s">
        <v>152</v>
      </c>
      <c r="D36" s="189" t="s">
        <v>460</v>
      </c>
      <c r="E36" s="189" t="s">
        <v>454</v>
      </c>
      <c r="F36" s="189" t="s">
        <v>565</v>
      </c>
      <c r="G36" s="189" t="s">
        <v>156</v>
      </c>
      <c r="H36" s="189" t="s">
        <v>294</v>
      </c>
      <c r="I36" s="189" t="s">
        <v>456</v>
      </c>
      <c r="J36" s="189" t="s">
        <v>457</v>
      </c>
      <c r="K36" s="189" t="s">
        <v>457</v>
      </c>
      <c r="L36" s="189" t="s">
        <v>458</v>
      </c>
      <c r="M36" s="189" t="s">
        <v>459</v>
      </c>
      <c r="N36" s="189" t="s">
        <v>459</v>
      </c>
      <c r="O36" s="159"/>
      <c r="P36" s="185"/>
      <c r="Q36" s="159"/>
      <c r="R36" s="159"/>
      <c r="S36" s="159"/>
      <c r="T36" s="159"/>
      <c r="U36" s="159"/>
      <c r="V36" s="159"/>
      <c r="W36" s="159"/>
      <c r="X36" s="159"/>
      <c r="Y36" s="159"/>
      <c r="Z36" s="172"/>
      <c r="AA36" s="172"/>
      <c r="AB36" s="172"/>
      <c r="AC36" s="172"/>
      <c r="AD36" s="159"/>
      <c r="AE36" s="159"/>
      <c r="AF36" s="159"/>
      <c r="AG36" s="159"/>
      <c r="AH36" s="172"/>
      <c r="AI36" s="172"/>
      <c r="AJ36" s="172"/>
      <c r="AK36" s="172"/>
      <c r="AL36" s="172"/>
      <c r="AM36" s="159"/>
      <c r="AN36" s="172"/>
      <c r="AO36" s="159"/>
      <c r="AP36" s="172"/>
    </row>
    <row r="37" spans="1:59" ht="13.5" customHeight="1">
      <c r="B37" s="85" t="s">
        <v>149</v>
      </c>
      <c r="C37" s="86" t="s">
        <v>152</v>
      </c>
      <c r="D37" s="189" t="s">
        <v>419</v>
      </c>
      <c r="E37" s="189" t="s">
        <v>454</v>
      </c>
      <c r="F37" s="189" t="s">
        <v>565</v>
      </c>
      <c r="G37" s="189" t="s">
        <v>156</v>
      </c>
      <c r="H37" s="189" t="s">
        <v>294</v>
      </c>
      <c r="I37" s="189" t="s">
        <v>456</v>
      </c>
      <c r="J37" s="189" t="s">
        <v>457</v>
      </c>
      <c r="K37" s="189" t="s">
        <v>457</v>
      </c>
      <c r="L37" s="189" t="s">
        <v>458</v>
      </c>
      <c r="M37" s="189" t="s">
        <v>459</v>
      </c>
      <c r="N37" s="189" t="s">
        <v>459</v>
      </c>
      <c r="O37" s="159"/>
      <c r="P37" s="185"/>
      <c r="Q37" s="159"/>
      <c r="R37" s="159"/>
      <c r="S37" s="159"/>
      <c r="T37" s="159"/>
      <c r="U37" s="159"/>
      <c r="V37" s="159"/>
      <c r="W37" s="159"/>
      <c r="X37" s="159"/>
      <c r="Y37" s="159"/>
      <c r="Z37" s="172"/>
      <c r="AA37" s="172"/>
      <c r="AB37" s="172"/>
      <c r="AC37" s="172"/>
      <c r="AD37" s="159"/>
      <c r="AE37" s="159"/>
      <c r="AF37" s="159"/>
      <c r="AG37" s="159"/>
      <c r="AH37" s="172"/>
      <c r="AI37" s="172"/>
      <c r="AJ37" s="172"/>
      <c r="AK37" s="172"/>
      <c r="AL37" s="172"/>
      <c r="AM37" s="159"/>
      <c r="AN37" s="172"/>
      <c r="AO37" s="159"/>
      <c r="AP37" s="172"/>
    </row>
    <row r="38" spans="1:59" ht="13.5" customHeight="1">
      <c r="B38" s="85" t="s">
        <v>150</v>
      </c>
      <c r="C38" s="86" t="s">
        <v>152</v>
      </c>
      <c r="D38" s="189" t="s">
        <v>299</v>
      </c>
      <c r="E38" s="189" t="s">
        <v>454</v>
      </c>
      <c r="F38" s="189" t="s">
        <v>565</v>
      </c>
      <c r="G38" s="189" t="s">
        <v>156</v>
      </c>
      <c r="H38" s="189" t="s">
        <v>294</v>
      </c>
      <c r="I38" s="189" t="s">
        <v>456</v>
      </c>
      <c r="J38" s="189" t="s">
        <v>457</v>
      </c>
      <c r="K38" s="189" t="s">
        <v>457</v>
      </c>
      <c r="L38" s="189" t="s">
        <v>458</v>
      </c>
      <c r="M38" s="189" t="s">
        <v>459</v>
      </c>
      <c r="N38" s="189" t="s">
        <v>459</v>
      </c>
      <c r="O38" s="159"/>
      <c r="P38" s="185"/>
      <c r="Q38" s="159"/>
      <c r="R38" s="159"/>
      <c r="S38" s="159"/>
      <c r="T38" s="159"/>
      <c r="U38" s="159"/>
      <c r="V38" s="185"/>
      <c r="W38" s="159"/>
      <c r="X38" s="159"/>
      <c r="Y38" s="159"/>
      <c r="Z38" s="172"/>
      <c r="AA38" s="172"/>
      <c r="AB38" s="172"/>
      <c r="AC38" s="172"/>
      <c r="AD38" s="159"/>
      <c r="AE38" s="159"/>
      <c r="AF38" s="159"/>
      <c r="AG38" s="159"/>
      <c r="AH38" s="172"/>
      <c r="AI38" s="172"/>
      <c r="AJ38" s="172"/>
      <c r="AK38" s="172"/>
      <c r="AL38" s="186"/>
      <c r="AM38" s="159"/>
      <c r="AN38" s="172"/>
      <c r="AO38" s="159"/>
      <c r="AP38" s="172"/>
    </row>
    <row r="39" spans="1:59" ht="13.5" customHeight="1">
      <c r="B39" s="85" t="s">
        <v>160</v>
      </c>
      <c r="C39" s="86" t="s">
        <v>141</v>
      </c>
      <c r="D39" s="189" t="s">
        <v>410</v>
      </c>
      <c r="E39" s="189" t="s">
        <v>454</v>
      </c>
      <c r="F39" s="189" t="s">
        <v>565</v>
      </c>
      <c r="G39" s="189" t="s">
        <v>156</v>
      </c>
      <c r="H39" s="189" t="s">
        <v>294</v>
      </c>
      <c r="I39" s="189" t="s">
        <v>456</v>
      </c>
      <c r="J39" s="189" t="s">
        <v>457</v>
      </c>
      <c r="K39" s="189" t="s">
        <v>457</v>
      </c>
      <c r="L39" s="189" t="s">
        <v>458</v>
      </c>
      <c r="M39" s="189" t="s">
        <v>459</v>
      </c>
      <c r="N39" s="189" t="s">
        <v>459</v>
      </c>
      <c r="O39" s="159"/>
      <c r="P39" s="185"/>
      <c r="Q39" s="159"/>
      <c r="R39" s="159"/>
      <c r="S39" s="159"/>
      <c r="T39" s="159"/>
      <c r="U39" s="159"/>
      <c r="V39" s="185"/>
      <c r="W39" s="159"/>
      <c r="X39" s="159"/>
      <c r="Y39" s="159"/>
      <c r="Z39" s="172"/>
      <c r="AA39" s="172"/>
      <c r="AB39" s="172"/>
      <c r="AC39" s="172"/>
      <c r="AD39" s="159"/>
      <c r="AE39" s="159"/>
      <c r="AF39" s="159"/>
      <c r="AG39" s="159"/>
      <c r="AH39" s="172"/>
      <c r="AI39" s="172"/>
      <c r="AJ39" s="172"/>
      <c r="AK39" s="172"/>
      <c r="AL39" s="172"/>
      <c r="AM39" s="159"/>
      <c r="AN39" s="172"/>
      <c r="AO39" s="159"/>
      <c r="AP39" s="172"/>
    </row>
    <row r="40" spans="1:59" ht="13.5" customHeight="1">
      <c r="B40" s="85" t="s">
        <v>574</v>
      </c>
      <c r="C40" s="86" t="s">
        <v>152</v>
      </c>
      <c r="D40" s="189" t="s">
        <v>410</v>
      </c>
      <c r="E40" s="189" t="s">
        <v>569</v>
      </c>
      <c r="F40" s="189" t="s">
        <v>570</v>
      </c>
      <c r="G40" s="189" t="s">
        <v>156</v>
      </c>
      <c r="H40" s="189" t="s">
        <v>294</v>
      </c>
      <c r="I40" s="189" t="s">
        <v>456</v>
      </c>
      <c r="J40" s="189" t="s">
        <v>457</v>
      </c>
      <c r="K40" s="189" t="s">
        <v>457</v>
      </c>
      <c r="L40" s="189" t="s">
        <v>458</v>
      </c>
      <c r="M40" s="189" t="s">
        <v>459</v>
      </c>
      <c r="N40" s="189" t="s">
        <v>459</v>
      </c>
      <c r="O40" s="159"/>
      <c r="P40" s="185"/>
      <c r="Q40" s="159"/>
      <c r="R40" s="159"/>
      <c r="S40" s="159"/>
      <c r="T40" s="159"/>
      <c r="U40" s="159"/>
      <c r="V40" s="185"/>
      <c r="W40" s="159"/>
      <c r="X40" s="159"/>
      <c r="Y40" s="159"/>
      <c r="Z40" s="172"/>
      <c r="AA40" s="172"/>
      <c r="AB40" s="172"/>
      <c r="AC40" s="172"/>
      <c r="AD40" s="159"/>
      <c r="AE40" s="159"/>
      <c r="AF40" s="159"/>
      <c r="AG40" s="159"/>
      <c r="AH40" s="172"/>
      <c r="AI40" s="172"/>
      <c r="AJ40" s="172"/>
      <c r="AK40" s="172"/>
      <c r="AL40" s="172"/>
      <c r="AM40" s="159"/>
      <c r="AN40" s="172"/>
      <c r="AO40" s="159"/>
      <c r="AP40" s="172"/>
    </row>
    <row r="41" spans="1:59" ht="13.5" customHeight="1">
      <c r="B41" s="85" t="s">
        <v>575</v>
      </c>
      <c r="C41" s="86" t="s">
        <v>152</v>
      </c>
      <c r="D41" s="189" t="s">
        <v>410</v>
      </c>
      <c r="E41" s="189" t="s">
        <v>569</v>
      </c>
      <c r="F41" s="189" t="s">
        <v>571</v>
      </c>
      <c r="G41" s="189" t="s">
        <v>156</v>
      </c>
      <c r="H41" s="189" t="s">
        <v>294</v>
      </c>
      <c r="I41" s="189" t="s">
        <v>456</v>
      </c>
      <c r="J41" s="189" t="s">
        <v>457</v>
      </c>
      <c r="K41" s="189" t="s">
        <v>457</v>
      </c>
      <c r="L41" s="189" t="s">
        <v>458</v>
      </c>
      <c r="M41" s="189" t="s">
        <v>459</v>
      </c>
      <c r="N41" s="189" t="s">
        <v>459</v>
      </c>
      <c r="O41" s="159"/>
      <c r="P41" s="185"/>
      <c r="Q41" s="159"/>
      <c r="R41" s="159"/>
      <c r="S41" s="159"/>
      <c r="T41" s="159"/>
      <c r="U41" s="159"/>
      <c r="V41" s="185"/>
      <c r="W41" s="159"/>
      <c r="X41" s="159"/>
      <c r="Y41" s="159"/>
      <c r="Z41" s="172"/>
      <c r="AA41" s="172"/>
      <c r="AB41" s="172"/>
      <c r="AC41" s="172"/>
      <c r="AD41" s="159"/>
      <c r="AE41" s="159"/>
      <c r="AF41" s="159"/>
      <c r="AG41" s="159"/>
      <c r="AH41" s="172"/>
      <c r="AI41" s="172"/>
      <c r="AJ41" s="172"/>
      <c r="AK41" s="172"/>
      <c r="AL41" s="172"/>
      <c r="AM41" s="159"/>
      <c r="AN41" s="172"/>
      <c r="AO41" s="159"/>
      <c r="AP41" s="172"/>
    </row>
    <row r="42" spans="1:59" ht="13.5" customHeight="1">
      <c r="B42" s="85" t="s">
        <v>576</v>
      </c>
      <c r="C42" s="86" t="s">
        <v>141</v>
      </c>
      <c r="D42" s="189" t="s">
        <v>410</v>
      </c>
      <c r="E42" s="189" t="s">
        <v>569</v>
      </c>
      <c r="F42" s="189" t="s">
        <v>572</v>
      </c>
      <c r="G42" s="189" t="s">
        <v>294</v>
      </c>
      <c r="H42" s="189" t="s">
        <v>294</v>
      </c>
      <c r="I42" s="189" t="s">
        <v>456</v>
      </c>
      <c r="J42" s="189" t="s">
        <v>457</v>
      </c>
      <c r="K42" s="189" t="s">
        <v>457</v>
      </c>
      <c r="L42" s="189" t="s">
        <v>458</v>
      </c>
      <c r="M42" s="189" t="s">
        <v>459</v>
      </c>
      <c r="N42" s="189" t="s">
        <v>459</v>
      </c>
      <c r="O42" s="159"/>
      <c r="P42" s="185"/>
      <c r="Q42" s="159"/>
      <c r="R42" s="159"/>
      <c r="S42" s="159"/>
      <c r="T42" s="159"/>
      <c r="U42" s="159"/>
      <c r="V42" s="185"/>
      <c r="W42" s="159"/>
      <c r="X42" s="159"/>
      <c r="Y42" s="159"/>
      <c r="Z42" s="172"/>
      <c r="AA42" s="172"/>
      <c r="AB42" s="172"/>
      <c r="AC42" s="172"/>
      <c r="AD42" s="159"/>
      <c r="AE42" s="159"/>
      <c r="AF42" s="159"/>
      <c r="AG42" s="159"/>
      <c r="AH42" s="172"/>
      <c r="AI42" s="172"/>
      <c r="AJ42" s="172"/>
      <c r="AK42" s="172"/>
      <c r="AL42" s="172"/>
      <c r="AM42" s="159"/>
      <c r="AN42" s="172"/>
      <c r="AO42" s="159"/>
      <c r="AP42" s="172"/>
    </row>
    <row r="43" spans="1:59" ht="13.5" customHeight="1">
      <c r="B43" s="85" t="s">
        <v>577</v>
      </c>
      <c r="C43" s="86" t="s">
        <v>141</v>
      </c>
      <c r="D43" s="189" t="s">
        <v>410</v>
      </c>
      <c r="E43" s="189" t="s">
        <v>569</v>
      </c>
      <c r="F43" s="189" t="s">
        <v>573</v>
      </c>
      <c r="G43" s="189" t="s">
        <v>294</v>
      </c>
      <c r="H43" s="189" t="s">
        <v>294</v>
      </c>
      <c r="I43" s="189" t="s">
        <v>456</v>
      </c>
      <c r="J43" s="189" t="s">
        <v>457</v>
      </c>
      <c r="K43" s="189" t="s">
        <v>457</v>
      </c>
      <c r="L43" s="189" t="s">
        <v>458</v>
      </c>
      <c r="M43" s="189" t="s">
        <v>459</v>
      </c>
      <c r="N43" s="189" t="s">
        <v>459</v>
      </c>
      <c r="O43" s="159"/>
      <c r="P43" s="185"/>
      <c r="Q43" s="159"/>
      <c r="R43" s="159"/>
      <c r="S43" s="159"/>
      <c r="T43" s="159"/>
      <c r="U43" s="159"/>
      <c r="V43" s="185"/>
      <c r="W43" s="159"/>
      <c r="X43" s="159"/>
      <c r="Y43" s="159"/>
      <c r="Z43" s="172"/>
      <c r="AA43" s="172"/>
      <c r="AB43" s="172"/>
      <c r="AC43" s="172"/>
      <c r="AD43" s="159"/>
      <c r="AE43" s="159"/>
      <c r="AF43" s="159"/>
      <c r="AG43" s="159"/>
      <c r="AH43" s="172"/>
      <c r="AI43" s="172"/>
      <c r="AJ43" s="172"/>
      <c r="AK43" s="172"/>
      <c r="AL43" s="172"/>
      <c r="AM43" s="159"/>
      <c r="AN43" s="172"/>
      <c r="AO43" s="159"/>
      <c r="AP43" s="172"/>
    </row>
    <row r="44" spans="1:59" ht="13.5" customHeight="1">
      <c r="B44" s="85" t="s">
        <v>624</v>
      </c>
      <c r="C44" s="86" t="s">
        <v>141</v>
      </c>
      <c r="D44" s="189" t="s">
        <v>410</v>
      </c>
      <c r="E44" s="189" t="s">
        <v>622</v>
      </c>
      <c r="F44" s="189" t="s">
        <v>623</v>
      </c>
      <c r="G44" s="189" t="s">
        <v>294</v>
      </c>
      <c r="H44" s="189" t="s">
        <v>294</v>
      </c>
      <c r="I44" s="189" t="s">
        <v>456</v>
      </c>
      <c r="J44" s="189" t="s">
        <v>457</v>
      </c>
      <c r="K44" s="189" t="s">
        <v>457</v>
      </c>
      <c r="L44" s="189" t="s">
        <v>458</v>
      </c>
      <c r="M44" s="189" t="s">
        <v>459</v>
      </c>
      <c r="N44" s="189" t="s">
        <v>459</v>
      </c>
      <c r="O44" s="159"/>
      <c r="P44" s="185"/>
      <c r="Q44" s="159"/>
      <c r="R44" s="159"/>
      <c r="S44" s="159"/>
      <c r="T44" s="159"/>
      <c r="U44" s="159"/>
      <c r="V44" s="185"/>
      <c r="W44" s="159"/>
      <c r="X44" s="159"/>
      <c r="Y44" s="159"/>
      <c r="Z44" s="172"/>
      <c r="AA44" s="172"/>
      <c r="AB44" s="172"/>
      <c r="AC44" s="172"/>
      <c r="AD44" s="159"/>
      <c r="AE44" s="159"/>
      <c r="AF44" s="159"/>
      <c r="AG44" s="159"/>
      <c r="AH44" s="172"/>
      <c r="AI44" s="172"/>
      <c r="AJ44" s="172"/>
      <c r="AK44" s="172"/>
      <c r="AL44" s="172"/>
      <c r="AM44" s="159"/>
      <c r="AN44" s="172"/>
      <c r="AO44" s="159"/>
      <c r="AP44" s="172"/>
    </row>
    <row r="45" spans="1:59" ht="13.5" customHeight="1">
      <c r="B45" s="85"/>
      <c r="C45" s="86"/>
      <c r="D45" s="185"/>
      <c r="E45" s="159"/>
      <c r="F45" s="159"/>
      <c r="G45" s="159"/>
      <c r="H45" s="159"/>
      <c r="I45" s="195"/>
      <c r="J45" s="159"/>
      <c r="K45" s="159"/>
      <c r="L45" s="159"/>
      <c r="M45" s="159"/>
      <c r="N45" s="159"/>
      <c r="O45" s="159"/>
      <c r="P45" s="185"/>
      <c r="Q45" s="159"/>
      <c r="R45" s="159"/>
      <c r="S45" s="159"/>
      <c r="T45" s="159"/>
      <c r="U45" s="159"/>
      <c r="V45" s="185"/>
      <c r="W45" s="159"/>
      <c r="X45" s="159"/>
      <c r="Y45" s="159"/>
      <c r="Z45" s="172"/>
      <c r="AA45" s="172"/>
      <c r="AB45" s="172"/>
      <c r="AC45" s="172"/>
      <c r="AD45" s="159"/>
      <c r="AE45" s="159"/>
      <c r="AF45" s="159"/>
      <c r="AG45" s="159"/>
      <c r="AH45" s="172"/>
      <c r="AI45" s="172"/>
      <c r="AJ45" s="172"/>
      <c r="AK45" s="172"/>
      <c r="AL45" s="172"/>
      <c r="AM45" s="159"/>
      <c r="AN45" s="172"/>
      <c r="AO45" s="159"/>
      <c r="AP45" s="172"/>
    </row>
    <row r="46" spans="1:59">
      <c r="B46" s="66"/>
      <c r="C46" s="83"/>
      <c r="D46" s="66"/>
      <c r="E46" s="66"/>
      <c r="F46" s="66"/>
      <c r="G46" s="97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90"/>
      <c r="U46" s="90"/>
      <c r="V46" s="91"/>
      <c r="W46" s="90"/>
      <c r="X46" s="90"/>
      <c r="Y46" s="9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59" ht="20" customHeight="1">
      <c r="B47" s="66"/>
      <c r="C47" s="67"/>
      <c r="D47" s="291" t="s">
        <v>472</v>
      </c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93"/>
      <c r="U47" s="93"/>
      <c r="V47" s="93"/>
      <c r="W47" s="93"/>
      <c r="X47" s="93"/>
      <c r="Y47" s="93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</row>
    <row r="48" spans="1:59" s="73" customFormat="1" ht="16.5" customHeight="1">
      <c r="A48" s="289" t="s">
        <v>140</v>
      </c>
      <c r="B48" s="289"/>
      <c r="C48" s="290"/>
      <c r="D48" s="140"/>
      <c r="E48" s="140"/>
      <c r="F48" s="140"/>
      <c r="G48" s="146"/>
      <c r="H48" s="146"/>
      <c r="I48" s="141"/>
      <c r="J48" s="141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1"/>
      <c r="AM48" s="147"/>
      <c r="AN48" s="147"/>
      <c r="AO48" s="147"/>
      <c r="AP48" s="141" t="s">
        <v>141</v>
      </c>
      <c r="AQ48" s="147"/>
      <c r="AR48" s="147"/>
      <c r="AS48" s="141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</row>
    <row r="49" spans="1:59" s="80" customFormat="1" ht="86" customHeight="1">
      <c r="B49" s="75" t="s">
        <v>142</v>
      </c>
      <c r="C49" s="96" t="s">
        <v>143</v>
      </c>
      <c r="D49" s="116" t="s">
        <v>300</v>
      </c>
      <c r="E49" s="116" t="s">
        <v>301</v>
      </c>
      <c r="F49" s="116" t="s">
        <v>302</v>
      </c>
      <c r="G49" s="123" t="s">
        <v>244</v>
      </c>
      <c r="H49" s="123" t="s">
        <v>303</v>
      </c>
      <c r="I49" s="123" t="s">
        <v>304</v>
      </c>
      <c r="J49" s="123" t="s">
        <v>305</v>
      </c>
      <c r="K49" s="123" t="s">
        <v>306</v>
      </c>
      <c r="L49" s="123" t="s">
        <v>307</v>
      </c>
      <c r="M49" s="123" t="s">
        <v>308</v>
      </c>
      <c r="N49" s="123" t="s">
        <v>309</v>
      </c>
      <c r="O49" s="123" t="s">
        <v>310</v>
      </c>
      <c r="P49" s="123" t="s">
        <v>311</v>
      </c>
      <c r="Q49" s="123" t="s">
        <v>312</v>
      </c>
      <c r="R49" s="123" t="s">
        <v>313</v>
      </c>
      <c r="S49" s="123" t="s">
        <v>314</v>
      </c>
      <c r="T49" s="123" t="s">
        <v>315</v>
      </c>
      <c r="U49" s="123" t="s">
        <v>316</v>
      </c>
      <c r="V49" s="123" t="s">
        <v>317</v>
      </c>
      <c r="W49" s="123" t="s">
        <v>318</v>
      </c>
      <c r="X49" s="123" t="s">
        <v>319</v>
      </c>
      <c r="Y49" s="123" t="s">
        <v>320</v>
      </c>
      <c r="Z49" s="123" t="s">
        <v>321</v>
      </c>
      <c r="AA49" s="123" t="s">
        <v>322</v>
      </c>
      <c r="AB49" s="123" t="s">
        <v>323</v>
      </c>
      <c r="AC49" s="123" t="s">
        <v>324</v>
      </c>
      <c r="AD49" s="123" t="s">
        <v>325</v>
      </c>
      <c r="AE49" s="123" t="s">
        <v>326</v>
      </c>
      <c r="AF49" s="123" t="s">
        <v>327</v>
      </c>
      <c r="AG49" s="123" t="s">
        <v>328</v>
      </c>
      <c r="AH49" s="123" t="s">
        <v>329</v>
      </c>
      <c r="AI49" s="123" t="s">
        <v>330</v>
      </c>
      <c r="AJ49" s="123" t="s">
        <v>331</v>
      </c>
      <c r="AK49" s="123" t="s">
        <v>332</v>
      </c>
      <c r="AL49" s="123" t="s">
        <v>333</v>
      </c>
      <c r="AM49" s="123" t="s">
        <v>334</v>
      </c>
      <c r="AN49" s="123" t="s">
        <v>335</v>
      </c>
      <c r="AO49" s="123" t="s">
        <v>336</v>
      </c>
      <c r="AP49" s="123" t="s">
        <v>337</v>
      </c>
      <c r="AQ49" s="123" t="s">
        <v>338</v>
      </c>
      <c r="AR49" s="123" t="s">
        <v>339</v>
      </c>
      <c r="AS49" s="123" t="s">
        <v>340</v>
      </c>
      <c r="AT49" s="123" t="s">
        <v>341</v>
      </c>
      <c r="AU49" s="123" t="s">
        <v>342</v>
      </c>
      <c r="AV49" s="123" t="s">
        <v>343</v>
      </c>
      <c r="AW49" s="123" t="s">
        <v>344</v>
      </c>
      <c r="AX49" s="123" t="s">
        <v>345</v>
      </c>
      <c r="AY49" s="123" t="s">
        <v>346</v>
      </c>
      <c r="AZ49" s="123" t="s">
        <v>347</v>
      </c>
      <c r="BA49" s="123" t="s">
        <v>222</v>
      </c>
      <c r="BB49" s="123" t="s">
        <v>223</v>
      </c>
      <c r="BC49" s="123" t="s">
        <v>224</v>
      </c>
      <c r="BD49" s="123" t="s">
        <v>225</v>
      </c>
      <c r="BE49" s="123" t="s">
        <v>123</v>
      </c>
      <c r="BF49" s="123" t="s">
        <v>124</v>
      </c>
      <c r="BG49" s="123" t="s">
        <v>226</v>
      </c>
    </row>
    <row r="50" spans="1:59" s="80" customFormat="1" ht="12.5">
      <c r="B50" s="75"/>
      <c r="C50" s="194"/>
      <c r="D50" s="116" t="s">
        <v>261</v>
      </c>
      <c r="E50" s="116" t="s">
        <v>262</v>
      </c>
      <c r="F50" s="116" t="s">
        <v>263</v>
      </c>
      <c r="G50" s="117" t="s">
        <v>265</v>
      </c>
      <c r="H50" s="117" t="s">
        <v>266</v>
      </c>
      <c r="I50" s="117" t="s">
        <v>348</v>
      </c>
      <c r="J50" s="117" t="s">
        <v>349</v>
      </c>
      <c r="K50" s="117" t="s">
        <v>350</v>
      </c>
      <c r="L50" s="117" t="s">
        <v>351</v>
      </c>
      <c r="M50" s="117" t="s">
        <v>352</v>
      </c>
      <c r="N50" s="117" t="s">
        <v>353</v>
      </c>
      <c r="O50" s="117" t="s">
        <v>354</v>
      </c>
      <c r="P50" s="117" t="s">
        <v>355</v>
      </c>
      <c r="Q50" s="117" t="s">
        <v>356</v>
      </c>
      <c r="R50" s="117" t="s">
        <v>357</v>
      </c>
      <c r="S50" s="117" t="s">
        <v>358</v>
      </c>
      <c r="T50" s="117" t="s">
        <v>359</v>
      </c>
      <c r="U50" s="117" t="s">
        <v>360</v>
      </c>
      <c r="V50" s="117" t="s">
        <v>361</v>
      </c>
      <c r="W50" s="117" t="s">
        <v>362</v>
      </c>
      <c r="X50" s="117" t="s">
        <v>363</v>
      </c>
      <c r="Y50" s="117" t="s">
        <v>364</v>
      </c>
      <c r="Z50" s="117" t="s">
        <v>365</v>
      </c>
      <c r="AA50" s="117" t="s">
        <v>366</v>
      </c>
      <c r="AB50" s="117" t="s">
        <v>367</v>
      </c>
      <c r="AC50" s="117" t="s">
        <v>368</v>
      </c>
      <c r="AD50" s="117" t="s">
        <v>369</v>
      </c>
      <c r="AE50" s="117" t="s">
        <v>370</v>
      </c>
      <c r="AF50" s="117" t="s">
        <v>371</v>
      </c>
      <c r="AG50" s="117" t="s">
        <v>372</v>
      </c>
      <c r="AH50" s="117" t="s">
        <v>373</v>
      </c>
      <c r="AI50" s="117" t="s">
        <v>374</v>
      </c>
      <c r="AJ50" s="117" t="s">
        <v>375</v>
      </c>
      <c r="AK50" s="117" t="s">
        <v>376</v>
      </c>
      <c r="AL50" s="117" t="s">
        <v>199</v>
      </c>
      <c r="AM50" s="117" t="s">
        <v>377</v>
      </c>
      <c r="AN50" s="117" t="s">
        <v>378</v>
      </c>
      <c r="AO50" s="117" t="s">
        <v>379</v>
      </c>
      <c r="AP50" s="117" t="s">
        <v>200</v>
      </c>
      <c r="AQ50" s="117" t="s">
        <v>380</v>
      </c>
      <c r="AR50" s="117" t="s">
        <v>381</v>
      </c>
      <c r="AS50" s="117" t="s">
        <v>382</v>
      </c>
      <c r="AT50" s="117" t="s">
        <v>383</v>
      </c>
      <c r="AU50" s="117" t="s">
        <v>384</v>
      </c>
      <c r="AV50" s="117" t="s">
        <v>385</v>
      </c>
      <c r="AW50" s="117" t="s">
        <v>386</v>
      </c>
      <c r="AX50" s="117" t="s">
        <v>387</v>
      </c>
      <c r="AY50" s="117" t="s">
        <v>388</v>
      </c>
      <c r="AZ50" s="117" t="s">
        <v>389</v>
      </c>
      <c r="BA50" s="117" t="s">
        <v>205</v>
      </c>
      <c r="BB50" s="117" t="s">
        <v>206</v>
      </c>
      <c r="BC50" s="117" t="s">
        <v>207</v>
      </c>
      <c r="BD50" s="117" t="s">
        <v>208</v>
      </c>
      <c r="BE50" s="117" t="s">
        <v>209</v>
      </c>
      <c r="BF50" s="117" t="s">
        <v>210</v>
      </c>
      <c r="BG50" s="117" t="s">
        <v>211</v>
      </c>
    </row>
    <row r="51" spans="1:59" s="70" customFormat="1" ht="13.5" customHeight="1">
      <c r="B51" s="82"/>
      <c r="C51" s="83"/>
      <c r="D51" s="116" t="s">
        <v>282</v>
      </c>
      <c r="E51" s="116" t="s">
        <v>390</v>
      </c>
      <c r="F51" s="116" t="s">
        <v>227</v>
      </c>
      <c r="G51" s="117" t="s">
        <v>230</v>
      </c>
      <c r="H51" s="117" t="s">
        <v>230</v>
      </c>
      <c r="I51" s="117" t="s">
        <v>230</v>
      </c>
      <c r="J51" s="117" t="s">
        <v>230</v>
      </c>
      <c r="K51" s="117" t="s">
        <v>230</v>
      </c>
      <c r="L51" s="117" t="s">
        <v>391</v>
      </c>
      <c r="M51" s="117" t="s">
        <v>391</v>
      </c>
      <c r="N51" s="117" t="s">
        <v>227</v>
      </c>
      <c r="O51" s="117" t="s">
        <v>392</v>
      </c>
      <c r="P51" s="117" t="s">
        <v>230</v>
      </c>
      <c r="Q51" s="117" t="s">
        <v>288</v>
      </c>
      <c r="R51" s="117" t="s">
        <v>284</v>
      </c>
      <c r="S51" s="117" t="s">
        <v>288</v>
      </c>
      <c r="T51" s="117" t="s">
        <v>284</v>
      </c>
      <c r="U51" s="117" t="s">
        <v>284</v>
      </c>
      <c r="V51" s="117" t="s">
        <v>230</v>
      </c>
      <c r="W51" s="117" t="s">
        <v>393</v>
      </c>
      <c r="X51" s="117" t="s">
        <v>393</v>
      </c>
      <c r="Y51" s="117" t="s">
        <v>228</v>
      </c>
      <c r="Z51" s="117" t="s">
        <v>392</v>
      </c>
      <c r="AA51" s="117" t="s">
        <v>392</v>
      </c>
      <c r="AB51" s="117" t="s">
        <v>284</v>
      </c>
      <c r="AC51" s="117" t="s">
        <v>287</v>
      </c>
      <c r="AD51" s="117" t="s">
        <v>288</v>
      </c>
      <c r="AE51" s="117" t="s">
        <v>288</v>
      </c>
      <c r="AF51" s="117" t="s">
        <v>394</v>
      </c>
      <c r="AG51" s="117" t="s">
        <v>394</v>
      </c>
      <c r="AH51" s="117" t="s">
        <v>288</v>
      </c>
      <c r="AI51" s="117" t="s">
        <v>288</v>
      </c>
      <c r="AJ51" s="117" t="s">
        <v>394</v>
      </c>
      <c r="AK51" s="117" t="s">
        <v>394</v>
      </c>
      <c r="AL51" s="117" t="s">
        <v>230</v>
      </c>
      <c r="AM51" s="117" t="s">
        <v>230</v>
      </c>
      <c r="AN51" s="117" t="s">
        <v>230</v>
      </c>
      <c r="AO51" s="117" t="s">
        <v>230</v>
      </c>
      <c r="AP51" s="117" t="s">
        <v>228</v>
      </c>
      <c r="AQ51" s="117" t="s">
        <v>227</v>
      </c>
      <c r="AR51" s="117" t="s">
        <v>230</v>
      </c>
      <c r="AS51" s="117" t="s">
        <v>284</v>
      </c>
      <c r="AT51" s="117" t="s">
        <v>284</v>
      </c>
      <c r="AU51" s="117" t="s">
        <v>230</v>
      </c>
      <c r="AV51" s="117" t="s">
        <v>395</v>
      </c>
      <c r="AW51" s="117" t="s">
        <v>288</v>
      </c>
      <c r="AX51" s="117" t="s">
        <v>228</v>
      </c>
      <c r="AY51" s="117" t="s">
        <v>230</v>
      </c>
      <c r="AZ51" s="117" t="s">
        <v>230</v>
      </c>
      <c r="BA51" s="117" t="s">
        <v>233</v>
      </c>
      <c r="BB51" s="117" t="s">
        <v>234</v>
      </c>
      <c r="BC51" s="117" t="s">
        <v>235</v>
      </c>
      <c r="BD51" s="117" t="s">
        <v>235</v>
      </c>
      <c r="BE51" s="117" t="s">
        <v>234</v>
      </c>
      <c r="BF51" s="117" t="s">
        <v>235</v>
      </c>
      <c r="BG51" s="117" t="s">
        <v>235</v>
      </c>
    </row>
    <row r="52" spans="1:59">
      <c r="A52" s="85"/>
      <c r="B52" s="85" t="s">
        <v>153</v>
      </c>
      <c r="C52" s="86" t="s">
        <v>141</v>
      </c>
      <c r="D52" s="189" t="s">
        <v>473</v>
      </c>
      <c r="E52" s="189" t="s">
        <v>408</v>
      </c>
      <c r="F52" s="189" t="s">
        <v>408</v>
      </c>
      <c r="G52" s="189" t="s">
        <v>293</v>
      </c>
      <c r="H52" s="189" t="s">
        <v>293</v>
      </c>
      <c r="I52" s="189" t="s">
        <v>396</v>
      </c>
      <c r="J52" s="189" t="s">
        <v>294</v>
      </c>
      <c r="K52" s="189" t="s">
        <v>294</v>
      </c>
      <c r="L52" s="189" t="s">
        <v>128</v>
      </c>
      <c r="M52" s="189" t="s">
        <v>128</v>
      </c>
      <c r="N52" s="189" t="s">
        <v>128</v>
      </c>
      <c r="O52" s="189" t="s">
        <v>128</v>
      </c>
      <c r="P52" s="189" t="s">
        <v>397</v>
      </c>
      <c r="Q52" s="189" t="s">
        <v>294</v>
      </c>
      <c r="R52" s="189" t="s">
        <v>474</v>
      </c>
      <c r="S52" s="189" t="s">
        <v>398</v>
      </c>
      <c r="T52" s="189" t="s">
        <v>475</v>
      </c>
      <c r="U52" s="189" t="s">
        <v>476</v>
      </c>
      <c r="V52" s="189" t="s">
        <v>156</v>
      </c>
      <c r="W52" s="189" t="s">
        <v>477</v>
      </c>
      <c r="X52" s="189" t="s">
        <v>477</v>
      </c>
      <c r="Y52" s="189"/>
      <c r="Z52" s="189"/>
      <c r="AA52" s="189" t="s">
        <v>128</v>
      </c>
      <c r="AB52" s="189">
        <v>1</v>
      </c>
      <c r="AC52" s="189">
        <v>99999999</v>
      </c>
      <c r="AD52" s="189">
        <v>0</v>
      </c>
      <c r="AE52" s="189">
        <v>0</v>
      </c>
      <c r="AF52" s="189">
        <v>0</v>
      </c>
      <c r="AG52" s="189">
        <v>0</v>
      </c>
      <c r="AH52" s="189">
        <v>0</v>
      </c>
      <c r="AI52" s="189">
        <v>0</v>
      </c>
      <c r="AJ52" s="189">
        <v>0</v>
      </c>
      <c r="AK52" s="189">
        <v>0</v>
      </c>
      <c r="AL52" s="189">
        <v>1</v>
      </c>
      <c r="AM52" s="189">
        <v>1</v>
      </c>
      <c r="AN52" s="189">
        <v>0</v>
      </c>
      <c r="AO52" s="189">
        <v>0</v>
      </c>
      <c r="AP52" s="189">
        <v>1</v>
      </c>
      <c r="AQ52" s="189" t="s">
        <v>128</v>
      </c>
      <c r="AR52" s="189" t="s">
        <v>399</v>
      </c>
      <c r="AS52" s="189">
        <v>0</v>
      </c>
      <c r="AT52" s="189">
        <v>0</v>
      </c>
      <c r="AU52" s="189">
        <v>1</v>
      </c>
      <c r="AV52" s="189">
        <v>0</v>
      </c>
      <c r="AW52" s="189">
        <v>0</v>
      </c>
      <c r="AX52" s="189">
        <v>0</v>
      </c>
      <c r="AY52" s="189">
        <v>0</v>
      </c>
      <c r="AZ52" s="189">
        <v>1</v>
      </c>
      <c r="BA52" s="189">
        <v>0</v>
      </c>
      <c r="BB52" s="189">
        <v>39864.674351851849</v>
      </c>
      <c r="BC52" s="189">
        <v>440393</v>
      </c>
      <c r="BD52" s="189">
        <v>440393</v>
      </c>
      <c r="BE52" s="189">
        <v>45482.05810185185</v>
      </c>
      <c r="BF52" s="189" t="s">
        <v>400</v>
      </c>
      <c r="BG52" s="189" t="s">
        <v>400</v>
      </c>
    </row>
    <row r="53" spans="1:59">
      <c r="A53" s="85"/>
      <c r="B53" s="85" t="s">
        <v>148</v>
      </c>
      <c r="C53" s="86" t="s">
        <v>152</v>
      </c>
      <c r="D53" s="189" t="s">
        <v>473</v>
      </c>
      <c r="E53" s="189" t="s">
        <v>408</v>
      </c>
      <c r="F53" s="189" t="s">
        <v>478</v>
      </c>
      <c r="G53" s="189" t="s">
        <v>293</v>
      </c>
      <c r="H53" s="189" t="s">
        <v>293</v>
      </c>
      <c r="I53" s="189" t="s">
        <v>396</v>
      </c>
      <c r="J53" s="189" t="s">
        <v>294</v>
      </c>
      <c r="K53" s="189" t="s">
        <v>294</v>
      </c>
      <c r="L53" s="189" t="s">
        <v>128</v>
      </c>
      <c r="M53" s="189" t="s">
        <v>128</v>
      </c>
      <c r="N53" s="189" t="s">
        <v>128</v>
      </c>
      <c r="O53" s="189" t="s">
        <v>128</v>
      </c>
      <c r="P53" s="189" t="s">
        <v>397</v>
      </c>
      <c r="Q53" s="189" t="s">
        <v>294</v>
      </c>
      <c r="R53" s="189" t="s">
        <v>474</v>
      </c>
      <c r="S53" s="189" t="s">
        <v>398</v>
      </c>
      <c r="T53" s="189" t="s">
        <v>475</v>
      </c>
      <c r="U53" s="189" t="s">
        <v>476</v>
      </c>
      <c r="V53" s="189" t="s">
        <v>156</v>
      </c>
      <c r="W53" s="189" t="s">
        <v>477</v>
      </c>
      <c r="X53" s="189" t="s">
        <v>477</v>
      </c>
      <c r="Y53" s="189"/>
      <c r="Z53" s="189"/>
      <c r="AA53" s="189" t="s">
        <v>128</v>
      </c>
      <c r="AB53" s="189">
        <v>1</v>
      </c>
      <c r="AC53" s="189">
        <v>99999999</v>
      </c>
      <c r="AD53" s="189">
        <v>0</v>
      </c>
      <c r="AE53" s="189">
        <v>0</v>
      </c>
      <c r="AF53" s="189">
        <v>0</v>
      </c>
      <c r="AG53" s="189">
        <v>0</v>
      </c>
      <c r="AH53" s="189">
        <v>0</v>
      </c>
      <c r="AI53" s="189">
        <v>0</v>
      </c>
      <c r="AJ53" s="189">
        <v>0</v>
      </c>
      <c r="AK53" s="189">
        <v>0</v>
      </c>
      <c r="AL53" s="189">
        <v>1</v>
      </c>
      <c r="AM53" s="189">
        <v>1</v>
      </c>
      <c r="AN53" s="189">
        <v>0</v>
      </c>
      <c r="AO53" s="189">
        <v>0</v>
      </c>
      <c r="AP53" s="189">
        <v>1</v>
      </c>
      <c r="AQ53" s="189" t="s">
        <v>128</v>
      </c>
      <c r="AR53" s="189" t="s">
        <v>399</v>
      </c>
      <c r="AS53" s="189">
        <v>0</v>
      </c>
      <c r="AT53" s="189">
        <v>0</v>
      </c>
      <c r="AU53" s="189">
        <v>1</v>
      </c>
      <c r="AV53" s="189">
        <v>0</v>
      </c>
      <c r="AW53" s="189">
        <v>0</v>
      </c>
      <c r="AX53" s="189">
        <v>0</v>
      </c>
      <c r="AY53" s="189">
        <v>0</v>
      </c>
      <c r="AZ53" s="189">
        <v>1</v>
      </c>
      <c r="BA53" s="189">
        <v>0</v>
      </c>
      <c r="BB53" s="189">
        <v>39864.674351851849</v>
      </c>
      <c r="BC53" s="189">
        <v>440393</v>
      </c>
      <c r="BD53" s="189">
        <v>440393</v>
      </c>
      <c r="BE53" s="189">
        <v>45482.05810185185</v>
      </c>
      <c r="BF53" s="189" t="s">
        <v>400</v>
      </c>
      <c r="BG53" s="189" t="s">
        <v>400</v>
      </c>
    </row>
    <row r="54" spans="1:59">
      <c r="A54" s="85"/>
      <c r="B54" s="85" t="s">
        <v>151</v>
      </c>
      <c r="C54" s="86" t="s">
        <v>152</v>
      </c>
      <c r="D54" s="189" t="s">
        <v>473</v>
      </c>
      <c r="E54" s="189" t="s">
        <v>478</v>
      </c>
      <c r="F54" s="189" t="s">
        <v>408</v>
      </c>
      <c r="G54" s="189" t="s">
        <v>293</v>
      </c>
      <c r="H54" s="189" t="s">
        <v>293</v>
      </c>
      <c r="I54" s="189" t="s">
        <v>396</v>
      </c>
      <c r="J54" s="189" t="s">
        <v>294</v>
      </c>
      <c r="K54" s="189" t="s">
        <v>294</v>
      </c>
      <c r="L54" s="189" t="s">
        <v>128</v>
      </c>
      <c r="M54" s="189" t="s">
        <v>128</v>
      </c>
      <c r="N54" s="189" t="s">
        <v>128</v>
      </c>
      <c r="O54" s="189" t="s">
        <v>128</v>
      </c>
      <c r="P54" s="189" t="s">
        <v>397</v>
      </c>
      <c r="Q54" s="189" t="s">
        <v>294</v>
      </c>
      <c r="R54" s="189" t="s">
        <v>474</v>
      </c>
      <c r="S54" s="189" t="s">
        <v>398</v>
      </c>
      <c r="T54" s="189" t="s">
        <v>475</v>
      </c>
      <c r="U54" s="189" t="s">
        <v>476</v>
      </c>
      <c r="V54" s="189" t="s">
        <v>156</v>
      </c>
      <c r="W54" s="189" t="s">
        <v>477</v>
      </c>
      <c r="X54" s="189" t="s">
        <v>477</v>
      </c>
      <c r="Y54" s="189"/>
      <c r="Z54" s="189"/>
      <c r="AA54" s="189" t="s">
        <v>128</v>
      </c>
      <c r="AB54" s="189">
        <v>1</v>
      </c>
      <c r="AC54" s="189">
        <v>99999999</v>
      </c>
      <c r="AD54" s="189">
        <v>0</v>
      </c>
      <c r="AE54" s="189">
        <v>0</v>
      </c>
      <c r="AF54" s="189">
        <v>0</v>
      </c>
      <c r="AG54" s="189">
        <v>0</v>
      </c>
      <c r="AH54" s="189">
        <v>0</v>
      </c>
      <c r="AI54" s="189">
        <v>0</v>
      </c>
      <c r="AJ54" s="189">
        <v>0</v>
      </c>
      <c r="AK54" s="189">
        <v>0</v>
      </c>
      <c r="AL54" s="189">
        <v>1</v>
      </c>
      <c r="AM54" s="189">
        <v>1</v>
      </c>
      <c r="AN54" s="189">
        <v>0</v>
      </c>
      <c r="AO54" s="189">
        <v>0</v>
      </c>
      <c r="AP54" s="189">
        <v>1</v>
      </c>
      <c r="AQ54" s="189" t="s">
        <v>128</v>
      </c>
      <c r="AR54" s="189" t="s">
        <v>399</v>
      </c>
      <c r="AS54" s="189">
        <v>0</v>
      </c>
      <c r="AT54" s="189">
        <v>0</v>
      </c>
      <c r="AU54" s="189">
        <v>1</v>
      </c>
      <c r="AV54" s="189">
        <v>0</v>
      </c>
      <c r="AW54" s="189">
        <v>0</v>
      </c>
      <c r="AX54" s="189">
        <v>0</v>
      </c>
      <c r="AY54" s="189">
        <v>0</v>
      </c>
      <c r="AZ54" s="189">
        <v>1</v>
      </c>
      <c r="BA54" s="189">
        <v>0</v>
      </c>
      <c r="BB54" s="189">
        <v>39864.674351851849</v>
      </c>
      <c r="BC54" s="189">
        <v>440393</v>
      </c>
      <c r="BD54" s="189">
        <v>440393</v>
      </c>
      <c r="BE54" s="189">
        <v>45482.05810185185</v>
      </c>
      <c r="BF54" s="189" t="s">
        <v>400</v>
      </c>
      <c r="BG54" s="189" t="s">
        <v>400</v>
      </c>
    </row>
    <row r="55" spans="1:59">
      <c r="A55" s="85"/>
      <c r="B55" s="85" t="s">
        <v>154</v>
      </c>
      <c r="C55" s="86" t="s">
        <v>152</v>
      </c>
      <c r="D55" s="189" t="s">
        <v>473</v>
      </c>
      <c r="E55" s="189" t="s">
        <v>408</v>
      </c>
      <c r="F55" s="189" t="s">
        <v>479</v>
      </c>
      <c r="G55" s="189" t="s">
        <v>293</v>
      </c>
      <c r="H55" s="189" t="s">
        <v>293</v>
      </c>
      <c r="I55" s="189" t="s">
        <v>396</v>
      </c>
      <c r="J55" s="189" t="s">
        <v>294</v>
      </c>
      <c r="K55" s="189" t="s">
        <v>294</v>
      </c>
      <c r="L55" s="189" t="s">
        <v>128</v>
      </c>
      <c r="M55" s="189" t="s">
        <v>128</v>
      </c>
      <c r="N55" s="189" t="s">
        <v>128</v>
      </c>
      <c r="O55" s="189" t="s">
        <v>128</v>
      </c>
      <c r="P55" s="189" t="s">
        <v>397</v>
      </c>
      <c r="Q55" s="189" t="s">
        <v>294</v>
      </c>
      <c r="R55" s="189" t="s">
        <v>474</v>
      </c>
      <c r="S55" s="189" t="s">
        <v>398</v>
      </c>
      <c r="T55" s="189" t="s">
        <v>475</v>
      </c>
      <c r="U55" s="189" t="s">
        <v>476</v>
      </c>
      <c r="V55" s="189" t="s">
        <v>156</v>
      </c>
      <c r="W55" s="189" t="s">
        <v>477</v>
      </c>
      <c r="X55" s="189" t="s">
        <v>477</v>
      </c>
      <c r="Y55" s="189"/>
      <c r="Z55" s="189"/>
      <c r="AA55" s="189" t="s">
        <v>128</v>
      </c>
      <c r="AB55" s="189">
        <v>1</v>
      </c>
      <c r="AC55" s="189">
        <v>99999999</v>
      </c>
      <c r="AD55" s="189">
        <v>0</v>
      </c>
      <c r="AE55" s="189">
        <v>0</v>
      </c>
      <c r="AF55" s="189">
        <v>0</v>
      </c>
      <c r="AG55" s="189">
        <v>0</v>
      </c>
      <c r="AH55" s="189">
        <v>0</v>
      </c>
      <c r="AI55" s="189">
        <v>0</v>
      </c>
      <c r="AJ55" s="189">
        <v>0</v>
      </c>
      <c r="AK55" s="189">
        <v>0</v>
      </c>
      <c r="AL55" s="189">
        <v>1</v>
      </c>
      <c r="AM55" s="189">
        <v>1</v>
      </c>
      <c r="AN55" s="189">
        <v>0</v>
      </c>
      <c r="AO55" s="189">
        <v>0</v>
      </c>
      <c r="AP55" s="189">
        <v>1</v>
      </c>
      <c r="AQ55" s="189" t="s">
        <v>128</v>
      </c>
      <c r="AR55" s="189" t="s">
        <v>399</v>
      </c>
      <c r="AS55" s="189">
        <v>0</v>
      </c>
      <c r="AT55" s="189">
        <v>0</v>
      </c>
      <c r="AU55" s="189">
        <v>1</v>
      </c>
      <c r="AV55" s="189">
        <v>0</v>
      </c>
      <c r="AW55" s="189">
        <v>0</v>
      </c>
      <c r="AX55" s="189">
        <v>0</v>
      </c>
      <c r="AY55" s="189">
        <v>0</v>
      </c>
      <c r="AZ55" s="189">
        <v>1</v>
      </c>
      <c r="BA55" s="189">
        <v>0</v>
      </c>
      <c r="BB55" s="189">
        <v>39864.674351851849</v>
      </c>
      <c r="BC55" s="189">
        <v>440393</v>
      </c>
      <c r="BD55" s="189">
        <v>440393</v>
      </c>
      <c r="BE55" s="189">
        <v>45482.05810185185</v>
      </c>
      <c r="BF55" s="189" t="s">
        <v>400</v>
      </c>
      <c r="BG55" s="189" t="s">
        <v>400</v>
      </c>
    </row>
    <row r="56" spans="1:59">
      <c r="B56" s="66"/>
      <c r="C56" s="83"/>
      <c r="D56" s="66"/>
      <c r="E56" s="66"/>
      <c r="F56" s="66"/>
      <c r="G56" s="97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90"/>
      <c r="U56" s="90"/>
      <c r="V56" s="90"/>
      <c r="W56" s="90"/>
      <c r="X56" s="90"/>
      <c r="Y56" s="9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59">
      <c r="B57" s="66"/>
      <c r="C57" s="83"/>
      <c r="D57" s="66"/>
      <c r="E57" s="66"/>
      <c r="F57" s="66"/>
      <c r="G57" s="97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90"/>
      <c r="U57" s="90"/>
      <c r="V57" s="90"/>
      <c r="W57" s="90"/>
      <c r="X57" s="90"/>
      <c r="Y57" s="9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59">
      <c r="B58" s="66"/>
      <c r="C58" s="83"/>
      <c r="D58" s="66"/>
      <c r="E58" s="66"/>
      <c r="F58" s="66"/>
      <c r="G58" s="97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90"/>
      <c r="U58" s="90"/>
      <c r="V58" s="90"/>
      <c r="W58" s="90"/>
      <c r="X58" s="90"/>
      <c r="Y58" s="9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59" ht="19.5" customHeight="1">
      <c r="B59" s="66"/>
      <c r="C59" s="67"/>
      <c r="D59" s="175" t="s">
        <v>483</v>
      </c>
      <c r="E59" s="176"/>
      <c r="F59" s="176"/>
      <c r="G59" s="176"/>
      <c r="H59" s="176"/>
      <c r="I59" s="176"/>
      <c r="J59" s="176"/>
      <c r="K59" s="176"/>
      <c r="L59" s="176"/>
      <c r="M59" s="176"/>
      <c r="N59" s="177"/>
      <c r="O59" s="177"/>
      <c r="P59" s="177"/>
      <c r="Q59" s="177"/>
      <c r="R59" s="177"/>
      <c r="S59" s="177"/>
      <c r="T59" s="171"/>
      <c r="U59" s="171"/>
      <c r="V59" s="171"/>
      <c r="W59" s="171"/>
      <c r="X59" s="171"/>
      <c r="Y59" s="171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04"/>
    </row>
    <row r="60" spans="1:59" s="73" customFormat="1" ht="16.5" customHeight="1">
      <c r="A60" s="289" t="s">
        <v>140</v>
      </c>
      <c r="B60" s="289"/>
      <c r="C60" s="290"/>
      <c r="D60" s="118"/>
      <c r="E60" s="118" t="s">
        <v>141</v>
      </c>
      <c r="F60" s="118"/>
      <c r="G60" s="118"/>
      <c r="H60" s="174"/>
      <c r="I60" s="174"/>
      <c r="J60" s="174"/>
      <c r="K60" s="174"/>
      <c r="L60" s="174"/>
      <c r="M60" s="174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</row>
    <row r="61" spans="1:59" s="80" customFormat="1" ht="105" customHeight="1">
      <c r="B61" s="75" t="s">
        <v>142</v>
      </c>
      <c r="C61" s="96" t="s">
        <v>143</v>
      </c>
      <c r="D61" s="153" t="s">
        <v>487</v>
      </c>
      <c r="E61" s="117" t="s">
        <v>86</v>
      </c>
      <c r="F61" s="197" t="s">
        <v>488</v>
      </c>
      <c r="G61" s="123" t="s">
        <v>222</v>
      </c>
      <c r="H61" s="123" t="s">
        <v>223</v>
      </c>
      <c r="I61" s="123" t="s">
        <v>224</v>
      </c>
      <c r="J61" s="123" t="s">
        <v>225</v>
      </c>
      <c r="K61" s="123" t="s">
        <v>123</v>
      </c>
      <c r="L61" s="123" t="s">
        <v>124</v>
      </c>
      <c r="M61" s="123" t="s">
        <v>226</v>
      </c>
      <c r="N61" s="168"/>
      <c r="O61" s="178"/>
      <c r="P61" s="178"/>
      <c r="Q61" s="179"/>
      <c r="R61" s="179"/>
      <c r="S61" s="180"/>
      <c r="T61" s="181"/>
      <c r="U61" s="181"/>
      <c r="V61" s="180"/>
      <c r="W61" s="180"/>
      <c r="X61" s="180"/>
      <c r="Y61" s="180"/>
      <c r="Z61" s="182"/>
      <c r="AA61" s="182"/>
      <c r="AB61" s="183"/>
      <c r="AC61" s="183"/>
      <c r="AD61" s="183"/>
      <c r="AE61" s="183"/>
      <c r="AF61" s="183"/>
      <c r="AG61" s="183"/>
      <c r="AH61" s="182"/>
      <c r="AI61" s="183"/>
      <c r="AJ61" s="182"/>
      <c r="AK61" s="183"/>
      <c r="AL61" s="182"/>
      <c r="AM61" s="182"/>
      <c r="AN61" s="182"/>
      <c r="AO61" s="182"/>
      <c r="AP61" s="184"/>
    </row>
    <row r="62" spans="1:59" s="70" customFormat="1" ht="13.5" customHeight="1">
      <c r="B62" s="82"/>
      <c r="C62" s="83"/>
      <c r="D62" s="187" t="s">
        <v>484</v>
      </c>
      <c r="E62" s="117" t="s">
        <v>485</v>
      </c>
      <c r="F62" s="198" t="s">
        <v>486</v>
      </c>
      <c r="G62" s="117" t="s">
        <v>205</v>
      </c>
      <c r="H62" s="117" t="s">
        <v>206</v>
      </c>
      <c r="I62" s="117" t="s">
        <v>207</v>
      </c>
      <c r="J62" s="117" t="s">
        <v>208</v>
      </c>
      <c r="K62" s="117" t="s">
        <v>209</v>
      </c>
      <c r="L62" s="117" t="s">
        <v>210</v>
      </c>
      <c r="M62" s="117" t="s">
        <v>211</v>
      </c>
      <c r="N62" s="157"/>
      <c r="O62" s="158"/>
      <c r="P62" s="158"/>
      <c r="Q62" s="159"/>
      <c r="R62" s="159"/>
      <c r="S62" s="159"/>
      <c r="T62" s="159"/>
      <c r="U62" s="158"/>
      <c r="V62" s="158"/>
      <c r="W62" s="159"/>
      <c r="X62" s="158"/>
      <c r="Y62" s="172"/>
      <c r="Z62" s="158"/>
      <c r="AA62" s="172"/>
      <c r="AB62" s="172"/>
      <c r="AC62" s="158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</row>
    <row r="63" spans="1:59" s="70" customFormat="1" ht="13.5" customHeight="1">
      <c r="B63" s="82"/>
      <c r="C63" s="83"/>
      <c r="D63" s="187" t="s">
        <v>232</v>
      </c>
      <c r="E63" s="149" t="s">
        <v>287</v>
      </c>
      <c r="F63" s="198" t="s">
        <v>234</v>
      </c>
      <c r="G63" s="149" t="s">
        <v>444</v>
      </c>
      <c r="H63" s="149" t="s">
        <v>234</v>
      </c>
      <c r="I63" s="149" t="s">
        <v>235</v>
      </c>
      <c r="J63" s="149" t="s">
        <v>235</v>
      </c>
      <c r="K63" s="149" t="s">
        <v>147</v>
      </c>
      <c r="L63" s="117" t="s">
        <v>235</v>
      </c>
      <c r="M63" s="117" t="s">
        <v>235</v>
      </c>
      <c r="N63" s="169"/>
      <c r="O63" s="158"/>
      <c r="P63" s="158"/>
      <c r="Q63" s="159"/>
      <c r="R63" s="159"/>
      <c r="S63" s="159"/>
      <c r="T63" s="159"/>
      <c r="U63" s="158"/>
      <c r="V63" s="158"/>
      <c r="W63" s="159"/>
      <c r="X63" s="158"/>
      <c r="Y63" s="172"/>
      <c r="Z63" s="158"/>
      <c r="AA63" s="172"/>
      <c r="AB63" s="172"/>
      <c r="AC63" s="158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</row>
    <row r="64" spans="1:59" ht="13.5" customHeight="1">
      <c r="B64" s="85" t="s">
        <v>153</v>
      </c>
      <c r="C64" s="86" t="s">
        <v>152</v>
      </c>
      <c r="D64" s="189" t="s">
        <v>494</v>
      </c>
      <c r="E64" s="189" t="s">
        <v>495</v>
      </c>
      <c r="F64" s="189" t="s">
        <v>496</v>
      </c>
      <c r="G64" s="189" t="s">
        <v>497</v>
      </c>
      <c r="H64" s="189" t="s">
        <v>498</v>
      </c>
      <c r="I64" s="189" t="s">
        <v>499</v>
      </c>
      <c r="J64" s="189" t="s">
        <v>500</v>
      </c>
      <c r="K64" s="189" t="s">
        <v>501</v>
      </c>
      <c r="L64" s="189" t="s">
        <v>502</v>
      </c>
      <c r="M64" s="189" t="s">
        <v>502</v>
      </c>
      <c r="N64" s="169"/>
      <c r="O64" s="159"/>
      <c r="P64" s="185"/>
      <c r="Q64" s="159"/>
      <c r="R64" s="159"/>
      <c r="S64" s="159"/>
      <c r="T64" s="159"/>
      <c r="U64" s="159"/>
      <c r="V64" s="159"/>
      <c r="W64" s="159"/>
      <c r="X64" s="159"/>
      <c r="Y64" s="159"/>
      <c r="Z64" s="172"/>
      <c r="AA64" s="172"/>
      <c r="AB64" s="172"/>
      <c r="AC64" s="172"/>
      <c r="AD64" s="159"/>
      <c r="AE64" s="159"/>
      <c r="AF64" s="159"/>
      <c r="AG64" s="159"/>
      <c r="AH64" s="172"/>
      <c r="AI64" s="172"/>
      <c r="AJ64" s="172"/>
      <c r="AK64" s="172"/>
      <c r="AL64" s="172"/>
      <c r="AM64" s="159"/>
      <c r="AN64" s="172"/>
      <c r="AO64" s="159"/>
      <c r="AP64" s="172"/>
    </row>
    <row r="65" spans="1:42" ht="13.5" customHeight="1">
      <c r="B65" s="85" t="s">
        <v>148</v>
      </c>
      <c r="C65" s="86" t="s">
        <v>141</v>
      </c>
      <c r="D65" s="189" t="s">
        <v>489</v>
      </c>
      <c r="E65" s="189" t="s">
        <v>490</v>
      </c>
      <c r="F65" s="189" t="s">
        <v>491</v>
      </c>
      <c r="G65" s="189" t="s">
        <v>294</v>
      </c>
      <c r="H65" s="189" t="s">
        <v>491</v>
      </c>
      <c r="I65" s="189" t="s">
        <v>492</v>
      </c>
      <c r="J65" s="189" t="s">
        <v>493</v>
      </c>
      <c r="K65" s="189" t="s">
        <v>491</v>
      </c>
      <c r="L65" s="189" t="s">
        <v>492</v>
      </c>
      <c r="M65" s="189" t="s">
        <v>493</v>
      </c>
      <c r="N65" s="169"/>
      <c r="O65" s="159"/>
      <c r="P65" s="185"/>
      <c r="Q65" s="159"/>
      <c r="R65" s="159"/>
      <c r="S65" s="159"/>
      <c r="T65" s="159"/>
      <c r="U65" s="159"/>
      <c r="V65" s="159"/>
      <c r="W65" s="159"/>
      <c r="X65" s="159"/>
      <c r="Y65" s="159"/>
      <c r="Z65" s="172"/>
      <c r="AA65" s="172"/>
      <c r="AB65" s="172"/>
      <c r="AC65" s="172"/>
      <c r="AD65" s="159"/>
      <c r="AE65" s="159"/>
      <c r="AF65" s="159"/>
      <c r="AG65" s="159"/>
      <c r="AH65" s="172"/>
      <c r="AI65" s="172"/>
      <c r="AJ65" s="172"/>
      <c r="AK65" s="172"/>
      <c r="AL65" s="172"/>
      <c r="AM65" s="159"/>
      <c r="AN65" s="172"/>
      <c r="AO65" s="159"/>
      <c r="AP65" s="172"/>
    </row>
    <row r="66" spans="1:42" ht="13.5" customHeight="1">
      <c r="B66" s="85" t="s">
        <v>151</v>
      </c>
      <c r="C66" s="86" t="s">
        <v>152</v>
      </c>
      <c r="D66" s="189" t="s">
        <v>503</v>
      </c>
      <c r="E66" s="189" t="s">
        <v>504</v>
      </c>
      <c r="F66" s="189" t="s">
        <v>505</v>
      </c>
      <c r="G66" s="189" t="s">
        <v>296</v>
      </c>
      <c r="H66" s="189" t="s">
        <v>505</v>
      </c>
      <c r="I66" s="189" t="s">
        <v>506</v>
      </c>
      <c r="J66" s="189" t="s">
        <v>507</v>
      </c>
      <c r="K66" s="189" t="s">
        <v>505</v>
      </c>
      <c r="L66" s="189" t="s">
        <v>508</v>
      </c>
      <c r="M66" s="189" t="s">
        <v>510</v>
      </c>
      <c r="N66" s="169"/>
      <c r="O66" s="159"/>
      <c r="P66" s="185"/>
      <c r="Q66" s="159"/>
      <c r="R66" s="159"/>
      <c r="S66" s="159"/>
      <c r="T66" s="159"/>
      <c r="U66" s="159"/>
      <c r="V66" s="159"/>
      <c r="W66" s="159"/>
      <c r="X66" s="159"/>
      <c r="Y66" s="159"/>
      <c r="Z66" s="172"/>
      <c r="AA66" s="172"/>
      <c r="AB66" s="172"/>
      <c r="AC66" s="172"/>
      <c r="AD66" s="159"/>
      <c r="AE66" s="159"/>
      <c r="AF66" s="159"/>
      <c r="AG66" s="159"/>
      <c r="AH66" s="172"/>
      <c r="AI66" s="172"/>
      <c r="AJ66" s="172"/>
      <c r="AK66" s="172"/>
      <c r="AL66" s="172"/>
      <c r="AM66" s="159"/>
      <c r="AN66" s="172"/>
      <c r="AO66" s="159"/>
      <c r="AP66" s="172"/>
    </row>
    <row r="67" spans="1:42" ht="13.5" customHeight="1">
      <c r="B67" s="85" t="s">
        <v>157</v>
      </c>
      <c r="C67" s="86" t="s">
        <v>152</v>
      </c>
      <c r="D67" s="189" t="s">
        <v>509</v>
      </c>
      <c r="E67" s="189" t="s">
        <v>504</v>
      </c>
      <c r="F67" s="189" t="s">
        <v>505</v>
      </c>
      <c r="G67" s="189" t="s">
        <v>296</v>
      </c>
      <c r="H67" s="189" t="s">
        <v>505</v>
      </c>
      <c r="I67" s="189" t="s">
        <v>506</v>
      </c>
      <c r="J67" s="189" t="s">
        <v>507</v>
      </c>
      <c r="K67" s="189" t="s">
        <v>505</v>
      </c>
      <c r="L67" s="189" t="s">
        <v>508</v>
      </c>
      <c r="M67" s="189" t="s">
        <v>510</v>
      </c>
      <c r="N67" s="169"/>
      <c r="O67" s="159"/>
      <c r="P67" s="185"/>
      <c r="Q67" s="159"/>
      <c r="R67" s="159"/>
      <c r="S67" s="159"/>
      <c r="T67" s="159"/>
      <c r="U67" s="159"/>
      <c r="V67" s="159"/>
      <c r="W67" s="159"/>
      <c r="X67" s="159"/>
      <c r="Y67" s="159"/>
      <c r="Z67" s="172"/>
      <c r="AA67" s="172"/>
      <c r="AB67" s="172"/>
      <c r="AC67" s="172"/>
      <c r="AD67" s="159"/>
      <c r="AE67" s="159"/>
      <c r="AF67" s="159"/>
      <c r="AG67" s="159"/>
      <c r="AH67" s="172"/>
      <c r="AI67" s="172"/>
      <c r="AJ67" s="172"/>
      <c r="AK67" s="172"/>
      <c r="AL67" s="172"/>
      <c r="AM67" s="159"/>
      <c r="AN67" s="172"/>
      <c r="AO67" s="159"/>
      <c r="AP67" s="172"/>
    </row>
    <row r="68" spans="1:42" ht="13.5" customHeight="1">
      <c r="B68" s="85" t="s">
        <v>158</v>
      </c>
      <c r="C68" s="86" t="s">
        <v>141</v>
      </c>
      <c r="D68" s="189" t="s">
        <v>627</v>
      </c>
      <c r="E68" s="189" t="s">
        <v>628</v>
      </c>
      <c r="F68" s="189" t="s">
        <v>491</v>
      </c>
      <c r="G68" s="189" t="s">
        <v>294</v>
      </c>
      <c r="H68" s="189" t="s">
        <v>491</v>
      </c>
      <c r="I68" s="189" t="s">
        <v>492</v>
      </c>
      <c r="J68" s="189" t="s">
        <v>493</v>
      </c>
      <c r="K68" s="189" t="s">
        <v>491</v>
      </c>
      <c r="L68" s="189" t="s">
        <v>492</v>
      </c>
      <c r="M68" s="189" t="s">
        <v>493</v>
      </c>
      <c r="N68" s="169"/>
      <c r="O68" s="159"/>
      <c r="P68" s="185"/>
      <c r="Q68" s="159"/>
      <c r="R68" s="159"/>
      <c r="S68" s="159"/>
      <c r="T68" s="159"/>
      <c r="U68" s="159"/>
      <c r="V68" s="159"/>
      <c r="W68" s="159"/>
      <c r="X68" s="159"/>
      <c r="Y68" s="159"/>
      <c r="Z68" s="172"/>
      <c r="AA68" s="172"/>
      <c r="AB68" s="172"/>
      <c r="AC68" s="172"/>
      <c r="AD68" s="159"/>
      <c r="AE68" s="159"/>
      <c r="AF68" s="159"/>
      <c r="AG68" s="159"/>
      <c r="AH68" s="172"/>
      <c r="AI68" s="172"/>
      <c r="AJ68" s="172"/>
      <c r="AK68" s="172"/>
      <c r="AL68" s="172"/>
      <c r="AM68" s="159"/>
      <c r="AN68" s="172"/>
      <c r="AO68" s="159"/>
      <c r="AP68" s="172"/>
    </row>
    <row r="69" spans="1:42">
      <c r="B69" s="66"/>
      <c r="C69" s="83"/>
      <c r="D69" s="66"/>
      <c r="E69" s="66"/>
      <c r="F69" s="66"/>
      <c r="G69" s="97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90"/>
      <c r="U69" s="90"/>
      <c r="V69" s="90"/>
      <c r="W69" s="90"/>
      <c r="X69" s="90"/>
      <c r="Y69" s="9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2">
      <c r="B70" s="66"/>
      <c r="C70" s="83"/>
      <c r="D70" s="66"/>
      <c r="E70" s="66"/>
      <c r="F70" s="66"/>
      <c r="G70" s="97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90"/>
      <c r="U70" s="90"/>
      <c r="V70" s="90"/>
      <c r="W70" s="90"/>
      <c r="X70" s="90"/>
      <c r="Y70" s="9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2" ht="19.5" customHeight="1">
      <c r="B71" s="66"/>
      <c r="C71" s="67"/>
      <c r="D71" s="175" t="s">
        <v>515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7"/>
      <c r="T71" s="171"/>
      <c r="U71" s="171"/>
      <c r="V71" s="171"/>
      <c r="W71" s="171"/>
      <c r="X71" s="171"/>
      <c r="Y71" s="171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04"/>
    </row>
    <row r="72" spans="1:42" s="73" customFormat="1" ht="16.5" customHeight="1">
      <c r="A72" s="289" t="s">
        <v>140</v>
      </c>
      <c r="B72" s="289"/>
      <c r="C72" s="290"/>
      <c r="D72" s="118"/>
      <c r="E72" s="174"/>
      <c r="F72" s="118" t="s">
        <v>141</v>
      </c>
      <c r="G72" s="118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66"/>
      <c r="T72" s="166"/>
      <c r="U72" s="166"/>
      <c r="V72" s="166"/>
      <c r="W72" s="166"/>
      <c r="X72" s="166"/>
      <c r="Y72" s="166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</row>
    <row r="73" spans="1:42" s="80" customFormat="1" ht="105" customHeight="1">
      <c r="B73" s="75" t="s">
        <v>142</v>
      </c>
      <c r="C73" s="96" t="s">
        <v>143</v>
      </c>
      <c r="D73" s="153" t="s">
        <v>516</v>
      </c>
      <c r="E73" s="153" t="s">
        <v>517</v>
      </c>
      <c r="F73" s="197" t="s">
        <v>518</v>
      </c>
      <c r="G73" s="117" t="s">
        <v>519</v>
      </c>
      <c r="H73" s="153" t="s">
        <v>520</v>
      </c>
      <c r="I73" s="123" t="s">
        <v>521</v>
      </c>
      <c r="J73" s="123" t="s">
        <v>522</v>
      </c>
      <c r="K73" s="123" t="s">
        <v>523</v>
      </c>
      <c r="L73" s="123" t="s">
        <v>222</v>
      </c>
      <c r="M73" s="123" t="s">
        <v>223</v>
      </c>
      <c r="N73" s="123" t="s">
        <v>224</v>
      </c>
      <c r="O73" s="123" t="s">
        <v>225</v>
      </c>
      <c r="P73" s="123" t="s">
        <v>123</v>
      </c>
      <c r="Q73" s="123" t="s">
        <v>124</v>
      </c>
      <c r="R73" s="123" t="s">
        <v>226</v>
      </c>
      <c r="S73" s="180"/>
      <c r="T73" s="181"/>
      <c r="U73" s="181"/>
      <c r="V73" s="180"/>
      <c r="W73" s="180"/>
      <c r="X73" s="180"/>
      <c r="Y73" s="180"/>
      <c r="Z73" s="182"/>
      <c r="AA73" s="182"/>
      <c r="AB73" s="183"/>
      <c r="AC73" s="183"/>
      <c r="AD73" s="183"/>
      <c r="AE73" s="183"/>
      <c r="AF73" s="183"/>
      <c r="AG73" s="183"/>
      <c r="AH73" s="182"/>
      <c r="AI73" s="183"/>
      <c r="AJ73" s="182"/>
      <c r="AK73" s="183"/>
      <c r="AL73" s="182"/>
      <c r="AM73" s="182"/>
      <c r="AN73" s="182"/>
      <c r="AO73" s="182"/>
      <c r="AP73" s="184"/>
    </row>
    <row r="74" spans="1:42" s="70" customFormat="1" ht="13.5" customHeight="1">
      <c r="B74" s="82"/>
      <c r="C74" s="83"/>
      <c r="D74" s="187" t="s">
        <v>524</v>
      </c>
      <c r="E74" s="187" t="s">
        <v>525</v>
      </c>
      <c r="F74" s="198" t="s">
        <v>526</v>
      </c>
      <c r="G74" s="117" t="s">
        <v>527</v>
      </c>
      <c r="H74" s="187" t="s">
        <v>528</v>
      </c>
      <c r="I74" s="117" t="s">
        <v>529</v>
      </c>
      <c r="J74" s="117" t="s">
        <v>530</v>
      </c>
      <c r="K74" s="117" t="s">
        <v>531</v>
      </c>
      <c r="L74" s="117" t="s">
        <v>205</v>
      </c>
      <c r="M74" s="117" t="s">
        <v>206</v>
      </c>
      <c r="N74" s="117" t="s">
        <v>207</v>
      </c>
      <c r="O74" s="117" t="s">
        <v>208</v>
      </c>
      <c r="P74" s="117" t="s">
        <v>209</v>
      </c>
      <c r="Q74" s="117" t="s">
        <v>210</v>
      </c>
      <c r="R74" s="117" t="s">
        <v>211</v>
      </c>
      <c r="S74" s="159"/>
      <c r="T74" s="159"/>
      <c r="U74" s="158"/>
      <c r="V74" s="158"/>
      <c r="W74" s="159"/>
      <c r="X74" s="158"/>
      <c r="Y74" s="172"/>
      <c r="Z74" s="158"/>
      <c r="AA74" s="172"/>
      <c r="AB74" s="172"/>
      <c r="AC74" s="158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</row>
    <row r="75" spans="1:42" s="70" customFormat="1" ht="13.5" customHeight="1">
      <c r="B75" s="82"/>
      <c r="C75" s="83"/>
      <c r="D75" s="187" t="s">
        <v>451</v>
      </c>
      <c r="E75" s="187" t="s">
        <v>287</v>
      </c>
      <c r="F75" s="198" t="s">
        <v>532</v>
      </c>
      <c r="G75" s="149" t="s">
        <v>533</v>
      </c>
      <c r="H75" s="187" t="s">
        <v>534</v>
      </c>
      <c r="I75" s="149" t="s">
        <v>535</v>
      </c>
      <c r="J75" s="149" t="s">
        <v>535</v>
      </c>
      <c r="K75" s="149" t="s">
        <v>535</v>
      </c>
      <c r="L75" s="149" t="s">
        <v>444</v>
      </c>
      <c r="M75" s="149" t="s">
        <v>234</v>
      </c>
      <c r="N75" s="149" t="s">
        <v>235</v>
      </c>
      <c r="O75" s="149" t="s">
        <v>235</v>
      </c>
      <c r="P75" s="149" t="s">
        <v>147</v>
      </c>
      <c r="Q75" s="149" t="s">
        <v>235</v>
      </c>
      <c r="R75" s="149" t="s">
        <v>235</v>
      </c>
      <c r="S75" s="159"/>
      <c r="T75" s="159"/>
      <c r="U75" s="158"/>
      <c r="V75" s="158"/>
      <c r="W75" s="159"/>
      <c r="X75" s="158"/>
      <c r="Y75" s="172"/>
      <c r="Z75" s="158"/>
      <c r="AA75" s="172"/>
      <c r="AB75" s="172"/>
      <c r="AC75" s="158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</row>
    <row r="76" spans="1:42" ht="13.5" customHeight="1">
      <c r="B76" s="85" t="s">
        <v>153</v>
      </c>
      <c r="C76" s="86" t="s">
        <v>152</v>
      </c>
      <c r="D76" s="189" t="s">
        <v>536</v>
      </c>
      <c r="E76" s="189" t="s">
        <v>537</v>
      </c>
      <c r="F76" s="189" t="s">
        <v>538</v>
      </c>
      <c r="G76" s="189" t="s">
        <v>538</v>
      </c>
      <c r="H76" s="189" t="s">
        <v>539</v>
      </c>
      <c r="I76" s="189" t="s">
        <v>156</v>
      </c>
      <c r="J76" s="189" t="s">
        <v>293</v>
      </c>
      <c r="K76" s="189" t="s">
        <v>396</v>
      </c>
      <c r="L76" s="189" t="s">
        <v>294</v>
      </c>
      <c r="M76" s="189"/>
      <c r="N76" s="189"/>
      <c r="O76" s="189"/>
      <c r="P76" s="189"/>
      <c r="Q76" s="189"/>
      <c r="R76" s="189"/>
      <c r="S76" s="159"/>
      <c r="T76" s="159"/>
      <c r="U76" s="159"/>
      <c r="V76" s="159"/>
      <c r="W76" s="159"/>
      <c r="X76" s="159"/>
      <c r="Y76" s="159"/>
      <c r="Z76" s="172"/>
      <c r="AA76" s="172"/>
      <c r="AB76" s="172"/>
      <c r="AC76" s="172"/>
      <c r="AD76" s="159"/>
      <c r="AE76" s="159"/>
      <c r="AF76" s="159"/>
      <c r="AG76" s="159"/>
      <c r="AH76" s="172"/>
      <c r="AI76" s="172"/>
      <c r="AJ76" s="172"/>
      <c r="AK76" s="172"/>
      <c r="AL76" s="172"/>
      <c r="AM76" s="159"/>
      <c r="AN76" s="172"/>
      <c r="AO76" s="159"/>
      <c r="AP76" s="172"/>
    </row>
    <row r="77" spans="1:42" ht="13.5" customHeight="1">
      <c r="B77" s="85" t="s">
        <v>148</v>
      </c>
      <c r="C77" s="86" t="s">
        <v>152</v>
      </c>
      <c r="D77" s="189" t="s">
        <v>540</v>
      </c>
      <c r="E77" s="189" t="s">
        <v>541</v>
      </c>
      <c r="F77" s="189" t="s">
        <v>293</v>
      </c>
      <c r="G77" s="189" t="s">
        <v>128</v>
      </c>
      <c r="H77" s="189" t="s">
        <v>542</v>
      </c>
      <c r="I77" s="189" t="s">
        <v>128</v>
      </c>
      <c r="J77" s="189" t="s">
        <v>128</v>
      </c>
      <c r="K77" s="189" t="s">
        <v>128</v>
      </c>
      <c r="L77" s="189" t="s">
        <v>294</v>
      </c>
      <c r="M77" s="189" t="s">
        <v>543</v>
      </c>
      <c r="N77" s="189" t="s">
        <v>544</v>
      </c>
      <c r="O77" s="189" t="s">
        <v>545</v>
      </c>
      <c r="P77" s="189" t="s">
        <v>543</v>
      </c>
      <c r="Q77" s="189" t="s">
        <v>544</v>
      </c>
      <c r="R77" s="189" t="s">
        <v>545</v>
      </c>
      <c r="S77" s="159"/>
      <c r="T77" s="159"/>
      <c r="U77" s="159"/>
      <c r="V77" s="159"/>
      <c r="W77" s="159"/>
      <c r="X77" s="159"/>
      <c r="Y77" s="159"/>
      <c r="Z77" s="172"/>
      <c r="AA77" s="172"/>
      <c r="AB77" s="172"/>
      <c r="AC77" s="172"/>
      <c r="AD77" s="159"/>
      <c r="AE77" s="159"/>
      <c r="AF77" s="159"/>
      <c r="AG77" s="159"/>
      <c r="AH77" s="172"/>
      <c r="AI77" s="172"/>
      <c r="AJ77" s="172"/>
      <c r="AK77" s="172"/>
      <c r="AL77" s="172"/>
      <c r="AM77" s="159"/>
      <c r="AN77" s="172"/>
      <c r="AO77" s="159"/>
      <c r="AP77" s="172"/>
    </row>
    <row r="78" spans="1:42" ht="13.5" customHeight="1">
      <c r="B78" s="85" t="s">
        <v>151</v>
      </c>
      <c r="C78" s="86" t="s">
        <v>152</v>
      </c>
      <c r="D78" s="189" t="s">
        <v>540</v>
      </c>
      <c r="E78" s="189" t="s">
        <v>541</v>
      </c>
      <c r="F78" s="189" t="s">
        <v>396</v>
      </c>
      <c r="G78" s="189" t="s">
        <v>128</v>
      </c>
      <c r="H78" s="189" t="s">
        <v>539</v>
      </c>
      <c r="I78" s="189" t="s">
        <v>128</v>
      </c>
      <c r="J78" s="189" t="s">
        <v>128</v>
      </c>
      <c r="K78" s="189" t="s">
        <v>128</v>
      </c>
      <c r="L78" s="189" t="s">
        <v>294</v>
      </c>
      <c r="M78" s="189" t="s">
        <v>543</v>
      </c>
      <c r="N78" s="189" t="s">
        <v>544</v>
      </c>
      <c r="O78" s="189" t="s">
        <v>545</v>
      </c>
      <c r="P78" s="189" t="s">
        <v>543</v>
      </c>
      <c r="Q78" s="189" t="s">
        <v>544</v>
      </c>
      <c r="R78" s="189" t="s">
        <v>545</v>
      </c>
      <c r="S78" s="159"/>
      <c r="T78" s="159"/>
      <c r="U78" s="159"/>
      <c r="V78" s="159"/>
      <c r="W78" s="159"/>
      <c r="X78" s="159"/>
      <c r="Y78" s="159"/>
      <c r="Z78" s="172"/>
      <c r="AA78" s="172"/>
      <c r="AB78" s="172"/>
      <c r="AC78" s="172"/>
      <c r="AD78" s="159"/>
      <c r="AE78" s="159"/>
      <c r="AF78" s="159"/>
      <c r="AG78" s="159"/>
      <c r="AH78" s="172"/>
      <c r="AI78" s="172"/>
      <c r="AJ78" s="172"/>
      <c r="AK78" s="172"/>
      <c r="AL78" s="172"/>
      <c r="AM78" s="159"/>
      <c r="AN78" s="172"/>
      <c r="AO78" s="159"/>
      <c r="AP78" s="172"/>
    </row>
    <row r="79" spans="1:42" ht="13.5" customHeight="1">
      <c r="B79" s="85" t="s">
        <v>154</v>
      </c>
      <c r="C79" s="86" t="s">
        <v>152</v>
      </c>
      <c r="D79" s="189" t="s">
        <v>546</v>
      </c>
      <c r="E79" s="189" t="s">
        <v>550</v>
      </c>
      <c r="F79" s="189" t="s">
        <v>538</v>
      </c>
      <c r="G79" s="189" t="s">
        <v>538</v>
      </c>
      <c r="H79" s="189" t="s">
        <v>539</v>
      </c>
      <c r="I79" s="189" t="s">
        <v>156</v>
      </c>
      <c r="J79" s="189" t="s">
        <v>293</v>
      </c>
      <c r="K79" s="189" t="s">
        <v>396</v>
      </c>
      <c r="L79" s="189" t="s">
        <v>294</v>
      </c>
      <c r="M79" s="189"/>
      <c r="N79" s="189"/>
      <c r="O79" s="189"/>
      <c r="P79" s="189"/>
      <c r="Q79" s="189"/>
      <c r="R79" s="189"/>
      <c r="S79" s="159"/>
      <c r="T79" s="159"/>
      <c r="U79" s="159"/>
      <c r="V79" s="159"/>
      <c r="W79" s="159"/>
      <c r="X79" s="159"/>
      <c r="Y79" s="159"/>
      <c r="Z79" s="172"/>
      <c r="AA79" s="172"/>
      <c r="AB79" s="172"/>
      <c r="AC79" s="172"/>
      <c r="AD79" s="159"/>
      <c r="AE79" s="159"/>
      <c r="AF79" s="159"/>
      <c r="AG79" s="159"/>
      <c r="AH79" s="172"/>
      <c r="AI79" s="172"/>
      <c r="AJ79" s="172"/>
      <c r="AK79" s="172"/>
      <c r="AL79" s="172"/>
      <c r="AM79" s="159"/>
      <c r="AN79" s="172"/>
      <c r="AO79" s="159"/>
      <c r="AP79" s="172"/>
    </row>
    <row r="80" spans="1:42" ht="13.5" customHeight="1">
      <c r="B80" s="85" t="s">
        <v>762</v>
      </c>
      <c r="C80" s="86" t="s">
        <v>152</v>
      </c>
      <c r="D80" s="189" t="s">
        <v>546</v>
      </c>
      <c r="E80" s="189" t="s">
        <v>551</v>
      </c>
      <c r="F80" s="189" t="s">
        <v>538</v>
      </c>
      <c r="G80" s="189" t="s">
        <v>538</v>
      </c>
      <c r="H80" s="189" t="s">
        <v>539</v>
      </c>
      <c r="I80" s="189" t="s">
        <v>156</v>
      </c>
      <c r="J80" s="189" t="s">
        <v>293</v>
      </c>
      <c r="K80" s="189" t="s">
        <v>396</v>
      </c>
      <c r="L80" s="189" t="s">
        <v>294</v>
      </c>
      <c r="M80" s="189"/>
      <c r="N80" s="189"/>
      <c r="O80" s="189"/>
      <c r="P80" s="189"/>
      <c r="Q80" s="189"/>
      <c r="R80" s="189"/>
      <c r="S80" s="159"/>
      <c r="T80" s="159"/>
      <c r="U80" s="159"/>
      <c r="V80" s="159"/>
      <c r="W80" s="159"/>
      <c r="X80" s="159"/>
      <c r="Y80" s="159"/>
      <c r="Z80" s="172"/>
      <c r="AA80" s="172"/>
      <c r="AB80" s="172"/>
      <c r="AC80" s="172"/>
      <c r="AD80" s="159"/>
      <c r="AE80" s="159"/>
      <c r="AF80" s="159"/>
      <c r="AG80" s="159"/>
      <c r="AH80" s="172"/>
      <c r="AI80" s="172"/>
      <c r="AJ80" s="172"/>
      <c r="AK80" s="172"/>
      <c r="AL80" s="172"/>
      <c r="AM80" s="159"/>
      <c r="AN80" s="172"/>
      <c r="AO80" s="159"/>
      <c r="AP80" s="172"/>
    </row>
    <row r="81" spans="1:42" ht="13.5" customHeight="1">
      <c r="B81" s="85" t="s">
        <v>566</v>
      </c>
      <c r="C81" s="86" t="s">
        <v>152</v>
      </c>
      <c r="D81" s="189" t="s">
        <v>546</v>
      </c>
      <c r="E81" s="189" t="s">
        <v>547</v>
      </c>
      <c r="F81" s="189" t="s">
        <v>538</v>
      </c>
      <c r="G81" s="189" t="s">
        <v>538</v>
      </c>
      <c r="H81" s="189" t="s">
        <v>542</v>
      </c>
      <c r="I81" s="189" t="s">
        <v>156</v>
      </c>
      <c r="J81" s="189" t="s">
        <v>293</v>
      </c>
      <c r="K81" s="189" t="s">
        <v>396</v>
      </c>
      <c r="L81" s="189" t="s">
        <v>294</v>
      </c>
      <c r="M81" s="189"/>
      <c r="N81" s="189"/>
      <c r="O81" s="189"/>
      <c r="P81" s="189"/>
      <c r="Q81" s="189"/>
      <c r="R81" s="189"/>
      <c r="S81" s="159"/>
      <c r="T81" s="159"/>
      <c r="U81" s="159"/>
      <c r="V81" s="159"/>
      <c r="W81" s="159"/>
      <c r="X81" s="159"/>
      <c r="Y81" s="159"/>
      <c r="Z81" s="172"/>
      <c r="AA81" s="172"/>
      <c r="AB81" s="172"/>
      <c r="AC81" s="172"/>
      <c r="AD81" s="159"/>
      <c r="AE81" s="159"/>
      <c r="AF81" s="159"/>
      <c r="AG81" s="159"/>
      <c r="AH81" s="172"/>
      <c r="AI81" s="172"/>
      <c r="AJ81" s="172"/>
      <c r="AK81" s="172"/>
      <c r="AL81" s="172"/>
      <c r="AM81" s="159"/>
      <c r="AN81" s="172"/>
      <c r="AO81" s="159"/>
      <c r="AP81" s="172"/>
    </row>
    <row r="82" spans="1:42" ht="13.5" customHeight="1">
      <c r="B82" s="263" t="s">
        <v>149</v>
      </c>
      <c r="C82" s="86" t="s">
        <v>141</v>
      </c>
      <c r="D82" s="189" t="s">
        <v>679</v>
      </c>
      <c r="E82" s="189" t="s">
        <v>680</v>
      </c>
      <c r="F82" s="189" t="s">
        <v>538</v>
      </c>
      <c r="G82" s="189" t="s">
        <v>538</v>
      </c>
      <c r="H82" s="189" t="s">
        <v>539</v>
      </c>
      <c r="I82" s="189" t="s">
        <v>156</v>
      </c>
      <c r="J82" s="189" t="s">
        <v>293</v>
      </c>
      <c r="K82" s="189" t="s">
        <v>396</v>
      </c>
      <c r="L82" s="189" t="s">
        <v>294</v>
      </c>
      <c r="M82" s="189"/>
      <c r="N82" s="189"/>
      <c r="O82" s="189"/>
      <c r="P82" s="189"/>
      <c r="Q82" s="189"/>
      <c r="R82" s="189"/>
      <c r="S82" s="159"/>
      <c r="T82" s="159"/>
      <c r="U82" s="159"/>
      <c r="V82" s="185"/>
      <c r="W82" s="159"/>
      <c r="X82" s="159"/>
      <c r="Y82" s="159"/>
      <c r="Z82" s="172"/>
      <c r="AA82" s="172"/>
      <c r="AB82" s="172"/>
      <c r="AC82" s="172"/>
      <c r="AD82" s="159"/>
      <c r="AE82" s="159"/>
      <c r="AF82" s="159"/>
      <c r="AG82" s="159"/>
      <c r="AH82" s="172"/>
      <c r="AI82" s="172"/>
      <c r="AJ82" s="172"/>
      <c r="AK82" s="172"/>
      <c r="AL82" s="186"/>
      <c r="AM82" s="159"/>
      <c r="AN82" s="172"/>
      <c r="AO82" s="159"/>
      <c r="AP82" s="172"/>
    </row>
    <row r="83" spans="1:42" ht="13.5" customHeight="1">
      <c r="B83" s="85"/>
      <c r="C83" s="86"/>
      <c r="D83" s="246"/>
      <c r="E83" s="169"/>
      <c r="F83" s="169"/>
      <c r="G83" s="169"/>
      <c r="H83" s="169"/>
      <c r="I83" s="199"/>
      <c r="J83" s="169"/>
      <c r="K83" s="169"/>
      <c r="L83" s="169"/>
      <c r="M83" s="169"/>
      <c r="N83" s="169"/>
      <c r="O83" s="159"/>
      <c r="P83" s="185"/>
      <c r="Q83" s="159"/>
      <c r="R83" s="159"/>
      <c r="S83" s="159"/>
      <c r="T83" s="159"/>
      <c r="U83" s="159"/>
      <c r="V83" s="185"/>
      <c r="W83" s="159"/>
      <c r="X83" s="159"/>
      <c r="Y83" s="159"/>
      <c r="Z83" s="172"/>
      <c r="AA83" s="172"/>
      <c r="AB83" s="172"/>
      <c r="AC83" s="172"/>
      <c r="AD83" s="159"/>
      <c r="AE83" s="159"/>
      <c r="AF83" s="159"/>
      <c r="AG83" s="159"/>
      <c r="AH83" s="172"/>
      <c r="AI83" s="172"/>
      <c r="AJ83" s="172"/>
      <c r="AK83" s="172"/>
      <c r="AL83" s="186"/>
      <c r="AM83" s="159"/>
      <c r="AN83" s="172"/>
      <c r="AO83" s="159"/>
      <c r="AP83" s="172"/>
    </row>
    <row r="84" spans="1:42">
      <c r="B84" s="66"/>
      <c r="C84" s="83"/>
      <c r="D84" s="66"/>
      <c r="E84" s="66"/>
      <c r="F84" s="66"/>
      <c r="G84" s="97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90"/>
      <c r="U84" s="90"/>
      <c r="V84" s="90"/>
      <c r="W84" s="90"/>
      <c r="X84" s="90"/>
      <c r="Y84" s="9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2" ht="19.5" customHeight="1">
      <c r="B85" s="66"/>
      <c r="C85" s="67"/>
      <c r="D85" s="291" t="s">
        <v>242</v>
      </c>
      <c r="E85" s="292"/>
      <c r="F85" s="292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4"/>
      <c r="Z85" s="68"/>
      <c r="AA85" s="68"/>
      <c r="AB85" s="68"/>
      <c r="AC85" s="68"/>
      <c r="AD85" s="68"/>
      <c r="AE85" s="139"/>
      <c r="AF85" s="160"/>
      <c r="AH85" s="69"/>
      <c r="AI85" s="69"/>
      <c r="AJ85" s="69"/>
      <c r="AK85" s="69"/>
      <c r="AL85" s="69"/>
      <c r="AM85" s="70"/>
      <c r="AN85" s="70"/>
      <c r="AO85" s="70"/>
    </row>
    <row r="86" spans="1:42" s="73" customFormat="1" ht="16.5" customHeight="1">
      <c r="A86" s="289" t="s">
        <v>140</v>
      </c>
      <c r="B86" s="289"/>
      <c r="C86" s="290"/>
      <c r="D86" s="140"/>
      <c r="E86" s="140"/>
      <c r="F86" s="140"/>
      <c r="G86" s="141" t="s">
        <v>141</v>
      </c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56"/>
      <c r="AG86" s="72"/>
      <c r="AH86" s="72"/>
      <c r="AI86" s="72"/>
      <c r="AJ86" s="72"/>
      <c r="AK86" s="72"/>
      <c r="AL86" s="72"/>
    </row>
    <row r="87" spans="1:42" s="80" customFormat="1" ht="92" customHeight="1">
      <c r="A87" s="74"/>
      <c r="B87" s="75" t="s">
        <v>142</v>
      </c>
      <c r="C87" s="76" t="s">
        <v>143</v>
      </c>
      <c r="D87" s="116" t="s">
        <v>144</v>
      </c>
      <c r="E87" s="116" t="s">
        <v>145</v>
      </c>
      <c r="F87" s="116" t="s">
        <v>146</v>
      </c>
      <c r="G87" s="123" t="s">
        <v>243</v>
      </c>
      <c r="H87" s="123" t="s">
        <v>244</v>
      </c>
      <c r="I87" s="123" t="s">
        <v>245</v>
      </c>
      <c r="J87" s="123" t="s">
        <v>246</v>
      </c>
      <c r="K87" s="123" t="s">
        <v>247</v>
      </c>
      <c r="L87" s="123" t="s">
        <v>248</v>
      </c>
      <c r="M87" s="123" t="s">
        <v>249</v>
      </c>
      <c r="N87" s="123" t="s">
        <v>250</v>
      </c>
      <c r="O87" s="123" t="s">
        <v>251</v>
      </c>
      <c r="P87" s="123" t="s">
        <v>252</v>
      </c>
      <c r="Q87" s="123" t="s">
        <v>253</v>
      </c>
      <c r="R87" s="123" t="s">
        <v>254</v>
      </c>
      <c r="S87" s="123" t="s">
        <v>255</v>
      </c>
      <c r="T87" s="123" t="s">
        <v>256</v>
      </c>
      <c r="U87" s="123" t="s">
        <v>257</v>
      </c>
      <c r="V87" s="123" t="s">
        <v>258</v>
      </c>
      <c r="W87" s="123" t="s">
        <v>259</v>
      </c>
      <c r="X87" s="123" t="s">
        <v>260</v>
      </c>
      <c r="Y87" s="123" t="s">
        <v>222</v>
      </c>
      <c r="Z87" s="123" t="s">
        <v>223</v>
      </c>
      <c r="AA87" s="123" t="s">
        <v>224</v>
      </c>
      <c r="AB87" s="123" t="s">
        <v>225</v>
      </c>
      <c r="AC87" s="123" t="s">
        <v>123</v>
      </c>
      <c r="AD87" s="123" t="s">
        <v>124</v>
      </c>
      <c r="AE87" s="123" t="s">
        <v>226</v>
      </c>
      <c r="AF87" s="183"/>
      <c r="AG87" s="69"/>
      <c r="AH87" s="78"/>
      <c r="AI87" s="78"/>
      <c r="AJ87" s="78"/>
      <c r="AK87" s="78"/>
      <c r="AL87" s="78"/>
      <c r="AM87" s="79"/>
      <c r="AN87" s="79"/>
      <c r="AO87" s="79"/>
    </row>
    <row r="88" spans="1:42" s="80" customFormat="1">
      <c r="A88" s="74"/>
      <c r="B88" s="75"/>
      <c r="C88" s="200"/>
      <c r="D88" s="116" t="s">
        <v>261</v>
      </c>
      <c r="E88" s="116" t="s">
        <v>262</v>
      </c>
      <c r="F88" s="116" t="s">
        <v>263</v>
      </c>
      <c r="G88" s="117" t="s">
        <v>264</v>
      </c>
      <c r="H88" s="117" t="s">
        <v>265</v>
      </c>
      <c r="I88" s="117" t="s">
        <v>266</v>
      </c>
      <c r="J88" s="117" t="s">
        <v>267</v>
      </c>
      <c r="K88" s="117" t="s">
        <v>268</v>
      </c>
      <c r="L88" s="117" t="s">
        <v>269</v>
      </c>
      <c r="M88" s="117" t="s">
        <v>270</v>
      </c>
      <c r="N88" s="117" t="s">
        <v>271</v>
      </c>
      <c r="O88" s="117" t="s">
        <v>272</v>
      </c>
      <c r="P88" s="117" t="s">
        <v>273</v>
      </c>
      <c r="Q88" s="117" t="s">
        <v>274</v>
      </c>
      <c r="R88" s="117" t="s">
        <v>275</v>
      </c>
      <c r="S88" s="117" t="s">
        <v>276</v>
      </c>
      <c r="T88" s="117" t="s">
        <v>277</v>
      </c>
      <c r="U88" s="117" t="s">
        <v>278</v>
      </c>
      <c r="V88" s="117" t="s">
        <v>279</v>
      </c>
      <c r="W88" s="117" t="s">
        <v>280</v>
      </c>
      <c r="X88" s="117" t="s">
        <v>281</v>
      </c>
      <c r="Y88" s="117" t="s">
        <v>205</v>
      </c>
      <c r="Z88" s="117" t="s">
        <v>206</v>
      </c>
      <c r="AA88" s="117" t="s">
        <v>207</v>
      </c>
      <c r="AB88" s="117" t="s">
        <v>208</v>
      </c>
      <c r="AC88" s="117" t="s">
        <v>209</v>
      </c>
      <c r="AD88" s="117" t="s">
        <v>210</v>
      </c>
      <c r="AE88" s="117" t="s">
        <v>211</v>
      </c>
      <c r="AF88" s="183"/>
      <c r="AG88" s="69"/>
      <c r="AH88" s="78"/>
      <c r="AI88" s="78"/>
      <c r="AJ88" s="78"/>
      <c r="AK88" s="78"/>
      <c r="AL88" s="78"/>
      <c r="AM88" s="79"/>
      <c r="AN88" s="79"/>
      <c r="AO88" s="79"/>
    </row>
    <row r="89" spans="1:42" s="70" customFormat="1" ht="13.5" customHeight="1">
      <c r="A89" s="81"/>
      <c r="B89" s="82"/>
      <c r="C89" s="83"/>
      <c r="D89" s="116" t="s">
        <v>282</v>
      </c>
      <c r="E89" s="116" t="s">
        <v>227</v>
      </c>
      <c r="F89" s="116" t="s">
        <v>227</v>
      </c>
      <c r="G89" s="123" t="s">
        <v>230</v>
      </c>
      <c r="H89" s="123" t="s">
        <v>230</v>
      </c>
      <c r="I89" s="123" t="s">
        <v>230</v>
      </c>
      <c r="J89" s="123" t="s">
        <v>283</v>
      </c>
      <c r="K89" s="123" t="s">
        <v>284</v>
      </c>
      <c r="L89" s="123" t="s">
        <v>285</v>
      </c>
      <c r="M89" s="117" t="s">
        <v>228</v>
      </c>
      <c r="N89" s="123" t="s">
        <v>228</v>
      </c>
      <c r="O89" s="123" t="s">
        <v>286</v>
      </c>
      <c r="P89" s="123" t="s">
        <v>230</v>
      </c>
      <c r="Q89" s="123" t="s">
        <v>287</v>
      </c>
      <c r="R89" s="123" t="s">
        <v>288</v>
      </c>
      <c r="S89" s="123" t="s">
        <v>287</v>
      </c>
      <c r="T89" s="123" t="s">
        <v>232</v>
      </c>
      <c r="U89" s="117" t="s">
        <v>289</v>
      </c>
      <c r="V89" s="123" t="s">
        <v>289</v>
      </c>
      <c r="W89" s="123" t="s">
        <v>290</v>
      </c>
      <c r="X89" s="123" t="s">
        <v>230</v>
      </c>
      <c r="Y89" s="123" t="s">
        <v>233</v>
      </c>
      <c r="Z89" s="123" t="s">
        <v>291</v>
      </c>
      <c r="AA89" s="123" t="s">
        <v>235</v>
      </c>
      <c r="AB89" s="123" t="s">
        <v>235</v>
      </c>
      <c r="AC89" s="117" t="s">
        <v>234</v>
      </c>
      <c r="AD89" s="123" t="s">
        <v>235</v>
      </c>
      <c r="AE89" s="123" t="s">
        <v>235</v>
      </c>
      <c r="AF89" s="160"/>
      <c r="AG89" s="69"/>
      <c r="AH89" s="69"/>
      <c r="AI89" s="69"/>
      <c r="AJ89" s="69"/>
      <c r="AK89" s="69"/>
      <c r="AL89" s="69"/>
    </row>
    <row r="90" spans="1:42">
      <c r="B90" s="85" t="s">
        <v>153</v>
      </c>
      <c r="C90" s="86" t="s">
        <v>141</v>
      </c>
      <c r="D90" s="189" t="s">
        <v>473</v>
      </c>
      <c r="E90" s="189" t="s">
        <v>408</v>
      </c>
      <c r="F90" s="189" t="s">
        <v>408</v>
      </c>
      <c r="G90" s="189" t="s">
        <v>156</v>
      </c>
      <c r="H90" s="189" t="s">
        <v>293</v>
      </c>
      <c r="I90" s="189" t="s">
        <v>293</v>
      </c>
      <c r="J90" s="189" t="s">
        <v>157</v>
      </c>
      <c r="K90" s="189" t="s">
        <v>474</v>
      </c>
      <c r="L90" s="189" t="s">
        <v>474</v>
      </c>
      <c r="M90" s="189" t="s">
        <v>128</v>
      </c>
      <c r="N90" s="189" t="s">
        <v>295</v>
      </c>
      <c r="O90" s="189"/>
      <c r="P90" s="189" t="s">
        <v>293</v>
      </c>
      <c r="Q90" s="189" t="s">
        <v>128</v>
      </c>
      <c r="R90" s="189" t="s">
        <v>159</v>
      </c>
      <c r="S90" s="189" t="s">
        <v>554</v>
      </c>
      <c r="T90" s="189"/>
      <c r="U90" s="189" t="s">
        <v>555</v>
      </c>
      <c r="V90" s="189" t="s">
        <v>556</v>
      </c>
      <c r="W90" s="189" t="s">
        <v>128</v>
      </c>
      <c r="X90" s="189"/>
      <c r="Y90" s="189" t="s">
        <v>294</v>
      </c>
      <c r="Z90" s="189">
        <v>39864.674351851849</v>
      </c>
      <c r="AA90" s="189">
        <v>440393</v>
      </c>
      <c r="AB90" s="189">
        <v>440393</v>
      </c>
      <c r="AC90" s="189">
        <v>40134.391365740739</v>
      </c>
      <c r="AD90" s="189">
        <v>330622</v>
      </c>
      <c r="AE90" s="189">
        <v>330622</v>
      </c>
      <c r="AF90" s="70"/>
      <c r="AG90" s="70"/>
      <c r="AH90" s="70"/>
      <c r="AI90" s="70"/>
      <c r="AJ90" s="70"/>
      <c r="AK90" s="70"/>
      <c r="AL90" s="70"/>
      <c r="AM90" s="70"/>
      <c r="AN90" s="70"/>
      <c r="AO90" s="70"/>
    </row>
    <row r="91" spans="1:42">
      <c r="B91" s="85" t="s">
        <v>148</v>
      </c>
      <c r="C91" s="86" t="s">
        <v>152</v>
      </c>
      <c r="D91" s="189" t="s">
        <v>473</v>
      </c>
      <c r="E91" s="189" t="s">
        <v>408</v>
      </c>
      <c r="F91" s="189" t="s">
        <v>478</v>
      </c>
      <c r="G91" s="189" t="s">
        <v>156</v>
      </c>
      <c r="H91" s="189" t="s">
        <v>293</v>
      </c>
      <c r="I91" s="189" t="s">
        <v>293</v>
      </c>
      <c r="J91" s="189" t="s">
        <v>157</v>
      </c>
      <c r="K91" s="189" t="s">
        <v>474</v>
      </c>
      <c r="L91" s="189" t="s">
        <v>474</v>
      </c>
      <c r="M91" s="189" t="s">
        <v>128</v>
      </c>
      <c r="N91" s="189" t="s">
        <v>295</v>
      </c>
      <c r="O91" s="189"/>
      <c r="P91" s="189" t="s">
        <v>293</v>
      </c>
      <c r="Q91" s="189" t="s">
        <v>128</v>
      </c>
      <c r="R91" s="189" t="s">
        <v>159</v>
      </c>
      <c r="S91" s="189" t="s">
        <v>554</v>
      </c>
      <c r="T91" s="189"/>
      <c r="U91" s="189" t="s">
        <v>555</v>
      </c>
      <c r="V91" s="189" t="s">
        <v>556</v>
      </c>
      <c r="W91" s="189" t="s">
        <v>128</v>
      </c>
      <c r="X91" s="189"/>
      <c r="Y91" s="189" t="s">
        <v>294</v>
      </c>
      <c r="Z91" s="189">
        <v>39864.674351851849</v>
      </c>
      <c r="AA91" s="189">
        <v>440393</v>
      </c>
      <c r="AB91" s="189">
        <v>440393</v>
      </c>
      <c r="AC91" s="189">
        <v>40134.391365740739</v>
      </c>
      <c r="AD91" s="189">
        <v>330622</v>
      </c>
      <c r="AE91" s="189">
        <v>330622</v>
      </c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2">
      <c r="B92" s="85" t="s">
        <v>151</v>
      </c>
      <c r="C92" s="86" t="s">
        <v>152</v>
      </c>
      <c r="D92" s="189" t="s">
        <v>473</v>
      </c>
      <c r="E92" s="189" t="s">
        <v>478</v>
      </c>
      <c r="F92" s="189" t="s">
        <v>408</v>
      </c>
      <c r="G92" s="189" t="s">
        <v>156</v>
      </c>
      <c r="H92" s="189" t="s">
        <v>293</v>
      </c>
      <c r="I92" s="189" t="s">
        <v>293</v>
      </c>
      <c r="J92" s="189" t="s">
        <v>157</v>
      </c>
      <c r="K92" s="189" t="s">
        <v>474</v>
      </c>
      <c r="L92" s="189" t="s">
        <v>474</v>
      </c>
      <c r="M92" s="189" t="s">
        <v>128</v>
      </c>
      <c r="N92" s="189" t="s">
        <v>295</v>
      </c>
      <c r="O92" s="189"/>
      <c r="P92" s="189" t="s">
        <v>293</v>
      </c>
      <c r="Q92" s="189" t="s">
        <v>128</v>
      </c>
      <c r="R92" s="189" t="s">
        <v>159</v>
      </c>
      <c r="S92" s="189" t="s">
        <v>554</v>
      </c>
      <c r="T92" s="189"/>
      <c r="U92" s="189" t="s">
        <v>555</v>
      </c>
      <c r="V92" s="189" t="s">
        <v>556</v>
      </c>
      <c r="W92" s="189" t="s">
        <v>128</v>
      </c>
      <c r="X92" s="189"/>
      <c r="Y92" s="189" t="s">
        <v>294</v>
      </c>
      <c r="Z92" s="189">
        <v>39864.674351851849</v>
      </c>
      <c r="AA92" s="189">
        <v>440393</v>
      </c>
      <c r="AB92" s="189">
        <v>440393</v>
      </c>
      <c r="AC92" s="189">
        <v>40134.391365740739</v>
      </c>
      <c r="AD92" s="189">
        <v>330622</v>
      </c>
      <c r="AE92" s="189">
        <v>330622</v>
      </c>
      <c r="AF92" s="70"/>
      <c r="AG92" s="70"/>
      <c r="AH92" s="70"/>
      <c r="AI92" s="70"/>
      <c r="AJ92" s="70"/>
      <c r="AK92" s="70"/>
      <c r="AL92" s="70"/>
      <c r="AM92" s="70"/>
      <c r="AN92" s="70"/>
      <c r="AO92" s="70"/>
    </row>
    <row r="93" spans="1:42" ht="15" customHeight="1">
      <c r="A93" s="217"/>
      <c r="B93" s="85">
        <v>4</v>
      </c>
      <c r="C93" s="86" t="s">
        <v>152</v>
      </c>
      <c r="D93" s="189" t="s">
        <v>473</v>
      </c>
      <c r="E93" s="189">
        <v>6206</v>
      </c>
      <c r="F93" s="189" t="s">
        <v>479</v>
      </c>
      <c r="G93" s="189" t="s">
        <v>156</v>
      </c>
      <c r="H93" s="189" t="s">
        <v>293</v>
      </c>
      <c r="I93" s="189" t="s">
        <v>293</v>
      </c>
      <c r="J93" s="189" t="s">
        <v>157</v>
      </c>
      <c r="K93" s="189" t="s">
        <v>474</v>
      </c>
      <c r="L93" s="189" t="s">
        <v>474</v>
      </c>
      <c r="M93" s="189" t="s">
        <v>128</v>
      </c>
      <c r="N93" s="189" t="s">
        <v>295</v>
      </c>
      <c r="O93" s="189"/>
      <c r="P93" s="189" t="s">
        <v>293</v>
      </c>
      <c r="Q93" s="189" t="s">
        <v>128</v>
      </c>
      <c r="R93" s="189" t="s">
        <v>159</v>
      </c>
      <c r="S93" s="189" t="s">
        <v>554</v>
      </c>
      <c r="T93" s="189"/>
      <c r="U93" s="189" t="s">
        <v>555</v>
      </c>
      <c r="V93" s="189" t="s">
        <v>556</v>
      </c>
      <c r="W93" s="189" t="s">
        <v>128</v>
      </c>
      <c r="X93" s="189"/>
      <c r="Y93" s="189" t="s">
        <v>294</v>
      </c>
      <c r="Z93" s="189">
        <v>39864.674351851849</v>
      </c>
      <c r="AA93" s="189">
        <v>440393</v>
      </c>
      <c r="AB93" s="189">
        <v>440393</v>
      </c>
      <c r="AC93" s="189">
        <v>40134.391365740739</v>
      </c>
      <c r="AD93" s="189">
        <v>330622</v>
      </c>
      <c r="AE93" s="189">
        <v>330622</v>
      </c>
      <c r="AF93" s="160"/>
      <c r="AG93" s="160"/>
      <c r="AH93" s="160"/>
      <c r="AI93" s="160"/>
      <c r="AJ93" s="160"/>
      <c r="AK93" s="160"/>
      <c r="AL93" s="160"/>
      <c r="AM93" s="160"/>
      <c r="AN93" s="70"/>
      <c r="AO93" s="70"/>
    </row>
    <row r="94" spans="1:42" ht="15" customHeight="1">
      <c r="A94" s="217"/>
      <c r="B94" s="217"/>
      <c r="C94" s="217"/>
      <c r="D94" s="217"/>
      <c r="E94" s="217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161"/>
      <c r="U94" s="161"/>
      <c r="V94" s="161"/>
      <c r="W94" s="161"/>
      <c r="X94" s="161"/>
      <c r="Y94" s="161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70"/>
      <c r="AO94" s="70"/>
    </row>
    <row r="95" spans="1:42">
      <c r="A95" s="115"/>
      <c r="B95" s="201"/>
      <c r="C95" s="202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161"/>
      <c r="U95" s="161"/>
      <c r="V95" s="161"/>
      <c r="W95" s="161"/>
      <c r="X95" s="161"/>
      <c r="Y95" s="161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70"/>
      <c r="AO95" s="70"/>
    </row>
    <row r="96" spans="1:42" ht="19.5" customHeight="1">
      <c r="A96" s="115"/>
      <c r="B96" s="201"/>
      <c r="C96" s="20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70"/>
      <c r="AO96" s="70"/>
    </row>
    <row r="97" spans="1:41" s="73" customFormat="1" ht="16.5" customHeight="1">
      <c r="A97" s="218"/>
      <c r="B97" s="218"/>
      <c r="C97" s="218"/>
      <c r="D97" s="155"/>
      <c r="E97" s="155"/>
      <c r="F97" s="155"/>
      <c r="G97" s="155"/>
      <c r="H97" s="155"/>
      <c r="I97" s="155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5"/>
      <c r="W97" s="155"/>
      <c r="X97" s="155"/>
      <c r="Y97" s="155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</row>
    <row r="98" spans="1:41" s="80" customFormat="1" ht="93.75" customHeight="1">
      <c r="A98" s="205"/>
      <c r="B98" s="206"/>
      <c r="C98" s="207"/>
      <c r="D98" s="208"/>
      <c r="E98" s="209"/>
      <c r="F98" s="179"/>
      <c r="G98" s="208"/>
      <c r="H98" s="209"/>
      <c r="I98" s="208"/>
      <c r="J98" s="179"/>
      <c r="K98" s="178"/>
      <c r="L98" s="209"/>
      <c r="M98" s="178"/>
      <c r="N98" s="181"/>
      <c r="O98" s="178"/>
      <c r="P98" s="179"/>
      <c r="Q98" s="208"/>
      <c r="R98" s="179"/>
      <c r="S98" s="180"/>
      <c r="T98" s="181"/>
      <c r="U98" s="181"/>
      <c r="V98" s="180"/>
      <c r="W98" s="210"/>
      <c r="X98" s="210"/>
      <c r="Y98" s="180"/>
      <c r="Z98" s="182"/>
      <c r="AA98" s="182"/>
      <c r="AB98" s="183"/>
      <c r="AC98" s="183"/>
      <c r="AD98" s="183"/>
      <c r="AE98" s="183"/>
      <c r="AF98" s="183"/>
      <c r="AG98" s="183"/>
      <c r="AH98" s="182"/>
      <c r="AI98" s="182"/>
      <c r="AJ98" s="182"/>
      <c r="AK98" s="182"/>
      <c r="AL98" s="182"/>
      <c r="AM98" s="211"/>
      <c r="AN98" s="79"/>
      <c r="AO98" s="79"/>
    </row>
    <row r="99" spans="1:41" s="70" customFormat="1" ht="13.5" customHeight="1">
      <c r="A99" s="212"/>
      <c r="B99" s="213"/>
      <c r="C99" s="202"/>
      <c r="D99" s="159"/>
      <c r="E99" s="158"/>
      <c r="F99" s="158"/>
      <c r="G99" s="158"/>
      <c r="H99" s="158"/>
      <c r="I99" s="158"/>
      <c r="J99" s="159"/>
      <c r="K99" s="158"/>
      <c r="L99" s="159"/>
      <c r="M99" s="159"/>
      <c r="N99" s="159"/>
      <c r="O99" s="158"/>
      <c r="P99" s="158"/>
      <c r="Q99" s="159"/>
      <c r="R99" s="159"/>
      <c r="S99" s="159"/>
      <c r="T99" s="158"/>
      <c r="U99" s="158"/>
      <c r="V99" s="158"/>
      <c r="W99" s="159"/>
      <c r="X99" s="159"/>
      <c r="Y99" s="159"/>
      <c r="Z99" s="159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</row>
    <row r="100" spans="1:41" ht="13.5" customHeight="1">
      <c r="A100" s="214"/>
      <c r="B100" s="215"/>
      <c r="C100" s="216"/>
      <c r="D100" s="159"/>
      <c r="E100" s="159"/>
      <c r="F100" s="159"/>
      <c r="G100" s="159"/>
      <c r="H100" s="196"/>
      <c r="I100" s="159"/>
      <c r="J100" s="159"/>
      <c r="K100" s="159"/>
      <c r="L100" s="159"/>
      <c r="M100" s="159"/>
      <c r="N100" s="159"/>
      <c r="O100" s="159"/>
      <c r="P100" s="185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60"/>
      <c r="AC100" s="161"/>
      <c r="AD100" s="160"/>
      <c r="AE100" s="161"/>
      <c r="AF100" s="160"/>
      <c r="AG100" s="160"/>
      <c r="AH100" s="159"/>
      <c r="AI100" s="161"/>
      <c r="AJ100" s="160"/>
      <c r="AK100" s="160"/>
      <c r="AL100" s="160"/>
      <c r="AM100" s="160"/>
      <c r="AN100" s="70"/>
      <c r="AO100" s="70"/>
    </row>
    <row r="101" spans="1:41" ht="13.5" customHeight="1">
      <c r="A101" s="214"/>
      <c r="B101" s="215"/>
      <c r="C101" s="216"/>
      <c r="D101" s="159"/>
      <c r="E101" s="159"/>
      <c r="F101" s="159"/>
      <c r="G101" s="159"/>
      <c r="H101" s="196"/>
      <c r="I101" s="159"/>
      <c r="J101" s="159"/>
      <c r="K101" s="159"/>
      <c r="L101" s="159"/>
      <c r="M101" s="159"/>
      <c r="N101" s="159"/>
      <c r="O101" s="159"/>
      <c r="P101" s="185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60"/>
      <c r="AC101" s="161"/>
      <c r="AD101" s="160"/>
      <c r="AE101" s="161"/>
      <c r="AF101" s="160"/>
      <c r="AG101" s="160"/>
      <c r="AH101" s="159"/>
      <c r="AI101" s="161"/>
      <c r="AJ101" s="160"/>
      <c r="AK101" s="160"/>
      <c r="AL101" s="160"/>
      <c r="AM101" s="160"/>
      <c r="AN101" s="70"/>
      <c r="AO101" s="70"/>
    </row>
    <row r="102" spans="1:41" ht="13.5" customHeight="1">
      <c r="A102" s="214"/>
      <c r="B102" s="215"/>
      <c r="C102" s="216"/>
      <c r="D102" s="159"/>
      <c r="E102" s="159"/>
      <c r="F102" s="159"/>
      <c r="G102" s="159"/>
      <c r="H102" s="196"/>
      <c r="I102" s="159"/>
      <c r="J102" s="159"/>
      <c r="K102" s="159"/>
      <c r="L102" s="159"/>
      <c r="M102" s="159"/>
      <c r="N102" s="159"/>
      <c r="O102" s="159"/>
      <c r="P102" s="185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60"/>
      <c r="AC102" s="161"/>
      <c r="AD102" s="160"/>
      <c r="AE102" s="161"/>
      <c r="AF102" s="160"/>
      <c r="AG102" s="160"/>
      <c r="AH102" s="160"/>
      <c r="AI102" s="161"/>
      <c r="AJ102" s="160"/>
      <c r="AK102" s="161"/>
      <c r="AL102" s="160"/>
      <c r="AM102" s="160"/>
      <c r="AN102" s="70"/>
      <c r="AO102" s="70"/>
    </row>
    <row r="103" spans="1:41">
      <c r="A103" s="115"/>
      <c r="B103" s="201"/>
      <c r="C103" s="202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161"/>
      <c r="U103" s="161"/>
      <c r="V103" s="161"/>
      <c r="W103" s="161"/>
      <c r="X103" s="161"/>
      <c r="Y103" s="161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70"/>
      <c r="AO103" s="70"/>
    </row>
    <row r="104" spans="1:41">
      <c r="A104" s="115"/>
      <c r="B104" s="201"/>
      <c r="C104" s="202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161"/>
      <c r="U104" s="161"/>
      <c r="V104" s="161"/>
      <c r="W104" s="161"/>
      <c r="X104" s="161"/>
      <c r="Y104" s="161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70"/>
      <c r="AO104" s="70"/>
    </row>
    <row r="105" spans="1:41">
      <c r="A105" s="115"/>
      <c r="B105" s="201"/>
      <c r="C105" s="202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161"/>
      <c r="U105" s="161"/>
      <c r="V105" s="161"/>
      <c r="W105" s="161"/>
      <c r="X105" s="161"/>
      <c r="Y105" s="161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70"/>
      <c r="AO105" s="70"/>
    </row>
    <row r="106" spans="1:41">
      <c r="A106" s="115"/>
      <c r="B106" s="201"/>
      <c r="C106" s="202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161"/>
      <c r="U106" s="161"/>
      <c r="V106" s="161"/>
      <c r="W106" s="161"/>
      <c r="X106" s="161"/>
      <c r="Y106" s="161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70"/>
      <c r="AO106" s="70"/>
    </row>
    <row r="107" spans="1:41">
      <c r="A107" s="115"/>
      <c r="B107" s="201"/>
      <c r="C107" s="202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161"/>
      <c r="U107" s="161"/>
      <c r="V107" s="161"/>
      <c r="W107" s="161"/>
      <c r="X107" s="161"/>
      <c r="Y107" s="161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70"/>
      <c r="AO107" s="70"/>
    </row>
    <row r="108" spans="1:41">
      <c r="A108" s="115"/>
      <c r="B108" s="115"/>
      <c r="C108" s="115"/>
      <c r="D108" s="203"/>
      <c r="E108" s="203"/>
      <c r="F108" s="203"/>
      <c r="G108" s="203"/>
      <c r="H108" s="203"/>
      <c r="I108" s="203"/>
      <c r="J108" s="203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</row>
    <row r="109" spans="1:41">
      <c r="A109" s="115"/>
      <c r="B109" s="115"/>
      <c r="C109" s="115"/>
      <c r="D109" s="203"/>
      <c r="E109" s="203"/>
      <c r="F109" s="203"/>
      <c r="G109" s="203"/>
      <c r="H109" s="203"/>
      <c r="I109" s="203"/>
      <c r="J109" s="203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</row>
  </sheetData>
  <mergeCells count="9">
    <mergeCell ref="A60:C60"/>
    <mergeCell ref="A72:C72"/>
    <mergeCell ref="D85:Y85"/>
    <mergeCell ref="A86:C86"/>
    <mergeCell ref="B2:K2"/>
    <mergeCell ref="A12:C12"/>
    <mergeCell ref="A27:C27"/>
    <mergeCell ref="D47:S47"/>
    <mergeCell ref="A48:C48"/>
  </mergeCells>
  <phoneticPr fontId="3"/>
  <hyperlinks>
    <hyperlink ref="A1" location="TCS!A1" display="戻る" xr:uid="{1895600D-5CAE-4E6A-8C52-05C0A34722D0}"/>
  </hyperlinks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184B-F84A-4EEC-859E-456D0151E16C}">
  <dimension ref="A1:M60"/>
  <sheetViews>
    <sheetView showGridLines="0" zoomScaleNormal="100" workbookViewId="0">
      <pane ySplit="3" topLeftCell="A4" activePane="bottomLeft" state="frozen"/>
      <selection activeCell="H40" sqref="H40"/>
      <selection pane="bottomLeft"/>
    </sheetView>
  </sheetViews>
  <sheetFormatPr defaultColWidth="9" defaultRowHeight="15"/>
  <cols>
    <col min="1" max="1" width="9.36328125" style="27" customWidth="1"/>
    <col min="2" max="2" width="7.453125" style="27" customWidth="1"/>
    <col min="3" max="3" width="10.453125" style="27" customWidth="1"/>
    <col min="4" max="4" width="20.1796875" style="28" customWidth="1"/>
    <col min="5" max="5" width="18.81640625" style="28" customWidth="1"/>
    <col min="6" max="6" width="35" style="28" customWidth="1"/>
    <col min="7" max="7" width="22.36328125" style="28" customWidth="1"/>
    <col min="8" max="12" width="9" style="28"/>
    <col min="13" max="13" width="5" style="28" customWidth="1"/>
    <col min="14" max="16384" width="9" style="27"/>
  </cols>
  <sheetData>
    <row r="1" spans="1:13">
      <c r="A1" s="101" t="s">
        <v>117</v>
      </c>
    </row>
    <row r="2" spans="1:13" ht="33" thickBot="1">
      <c r="A2" s="29"/>
      <c r="B2" s="30" t="s">
        <v>118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6" thickTop="1" thickBot="1">
      <c r="B3" s="32" t="s">
        <v>119</v>
      </c>
      <c r="C3" s="32" t="s">
        <v>120</v>
      </c>
      <c r="D3" s="32"/>
      <c r="E3" s="33"/>
    </row>
    <row r="4" spans="1:13">
      <c r="B4" s="100" t="s">
        <v>163</v>
      </c>
      <c r="C4" s="34" t="s">
        <v>162</v>
      </c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>
      <c r="B6" s="39"/>
      <c r="C6" s="111" t="s">
        <v>121</v>
      </c>
      <c r="D6" s="111" t="s">
        <v>165</v>
      </c>
      <c r="E6" s="41"/>
      <c r="F6" s="42"/>
      <c r="G6" s="42"/>
      <c r="H6" s="42"/>
      <c r="I6" s="42"/>
      <c r="J6" s="42"/>
      <c r="K6" s="42"/>
      <c r="L6" s="42"/>
      <c r="M6" s="43"/>
    </row>
    <row r="7" spans="1:13" s="44" customFormat="1" ht="13.5">
      <c r="B7" s="36"/>
      <c r="C7" s="108" t="s">
        <v>122</v>
      </c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3" s="44" customFormat="1" ht="13.5">
      <c r="B8" s="36"/>
      <c r="C8" s="108" t="s">
        <v>745</v>
      </c>
      <c r="D8" s="103"/>
      <c r="E8" s="104"/>
      <c r="F8" s="104"/>
      <c r="G8" s="103"/>
      <c r="H8" s="37"/>
      <c r="I8" s="37"/>
      <c r="J8" s="37"/>
      <c r="K8" s="37"/>
      <c r="L8" s="37"/>
      <c r="M8" s="38"/>
    </row>
    <row r="9" spans="1:13" s="44" customFormat="1" ht="13.5">
      <c r="B9" s="36"/>
      <c r="C9" s="113"/>
      <c r="D9" s="103"/>
      <c r="E9" s="104"/>
      <c r="F9" s="104"/>
      <c r="G9" s="103"/>
      <c r="H9" s="37"/>
      <c r="I9" s="37"/>
      <c r="J9" s="37"/>
      <c r="K9" s="37"/>
      <c r="L9" s="37"/>
      <c r="M9" s="38"/>
    </row>
    <row r="10" spans="1:13" s="44" customFormat="1" ht="13.5">
      <c r="B10" s="36"/>
      <c r="C10" s="106" t="s">
        <v>125</v>
      </c>
      <c r="D10" s="103"/>
      <c r="E10" s="104"/>
      <c r="F10" s="105"/>
      <c r="G10" s="103"/>
      <c r="H10" s="37"/>
      <c r="I10" s="37"/>
      <c r="J10" s="37"/>
      <c r="K10" s="37"/>
      <c r="L10" s="37"/>
      <c r="M10" s="38"/>
    </row>
    <row r="11" spans="1:13" s="44" customFormat="1" ht="13.5">
      <c r="B11" s="36"/>
      <c r="C11" s="264" t="s">
        <v>126</v>
      </c>
      <c r="D11" s="264" t="s">
        <v>127</v>
      </c>
      <c r="E11" s="264" t="s">
        <v>129</v>
      </c>
      <c r="F11" s="264" t="s">
        <v>130</v>
      </c>
      <c r="G11" s="264" t="s">
        <v>169</v>
      </c>
      <c r="H11" s="112"/>
      <c r="I11" s="37"/>
      <c r="J11" s="37"/>
      <c r="K11" s="37"/>
      <c r="L11" s="37"/>
      <c r="M11" s="38"/>
    </row>
    <row r="12" spans="1:13" s="44" customFormat="1" ht="13.5">
      <c r="B12" s="36"/>
      <c r="C12" s="264">
        <v>-2</v>
      </c>
      <c r="D12" s="264" t="s">
        <v>128</v>
      </c>
      <c r="E12" s="264" t="s">
        <v>692</v>
      </c>
      <c r="F12" s="264" t="s">
        <v>170</v>
      </c>
      <c r="G12" s="264" t="s">
        <v>437</v>
      </c>
      <c r="H12" s="112"/>
      <c r="I12" s="37"/>
      <c r="J12" s="37"/>
      <c r="K12" s="37"/>
      <c r="L12" s="37"/>
      <c r="M12" s="38"/>
    </row>
    <row r="13" spans="1:13" s="44" customFormat="1" ht="13.5">
      <c r="B13" s="36"/>
      <c r="C13" s="114"/>
      <c r="D13" s="103"/>
      <c r="E13" s="104"/>
      <c r="F13" s="104"/>
      <c r="G13" s="103"/>
      <c r="H13" s="37"/>
      <c r="I13" s="37"/>
      <c r="J13" s="37"/>
      <c r="K13" s="37"/>
      <c r="L13" s="37"/>
      <c r="M13" s="38"/>
    </row>
    <row r="14" spans="1:13">
      <c r="B14" s="39"/>
      <c r="C14" s="111" t="s">
        <v>121</v>
      </c>
      <c r="D14" s="40" t="s">
        <v>167</v>
      </c>
      <c r="E14" s="41"/>
      <c r="F14" s="42"/>
      <c r="G14" s="42"/>
      <c r="H14" s="42"/>
      <c r="I14" s="42"/>
      <c r="J14" s="42"/>
      <c r="K14" s="42"/>
      <c r="L14" s="42"/>
      <c r="M14" s="43"/>
    </row>
    <row r="15" spans="1:13" s="44" customFormat="1" ht="13.5">
      <c r="B15" s="36"/>
      <c r="C15" s="107" t="s">
        <v>122</v>
      </c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3" s="44" customFormat="1" ht="13.5">
      <c r="B16" s="36"/>
      <c r="C16" s="112" t="s">
        <v>168</v>
      </c>
      <c r="D16" s="103"/>
      <c r="E16" s="104"/>
      <c r="F16" s="104"/>
      <c r="G16" s="103"/>
      <c r="H16" s="37"/>
      <c r="I16" s="37"/>
      <c r="J16" s="37"/>
      <c r="K16" s="37"/>
      <c r="L16" s="37"/>
      <c r="M16" s="38"/>
    </row>
    <row r="17" spans="2:13" s="44" customFormat="1" ht="13.5">
      <c r="B17" s="36"/>
      <c r="C17" s="113"/>
      <c r="D17" s="103"/>
      <c r="E17" s="104"/>
      <c r="F17" s="104"/>
      <c r="G17" s="103"/>
      <c r="H17" s="37"/>
      <c r="I17" s="37"/>
      <c r="J17" s="37"/>
      <c r="K17" s="37"/>
      <c r="L17" s="37"/>
      <c r="M17" s="38"/>
    </row>
    <row r="18" spans="2:13" s="44" customFormat="1" ht="13.5">
      <c r="B18" s="36"/>
      <c r="C18" s="106" t="s">
        <v>125</v>
      </c>
      <c r="D18" s="103"/>
      <c r="E18" s="104"/>
      <c r="F18" s="104"/>
      <c r="G18" s="103"/>
      <c r="H18" s="37"/>
      <c r="I18" s="37"/>
      <c r="J18" s="37"/>
      <c r="K18" s="37"/>
      <c r="L18" s="37"/>
      <c r="M18" s="38"/>
    </row>
    <row r="19" spans="2:13" s="44" customFormat="1" ht="13.5">
      <c r="B19" s="36"/>
      <c r="C19" s="264" t="s">
        <v>126</v>
      </c>
      <c r="D19" s="264" t="s">
        <v>127</v>
      </c>
      <c r="E19" s="264" t="s">
        <v>129</v>
      </c>
      <c r="F19" s="264" t="s">
        <v>130</v>
      </c>
      <c r="G19" s="264" t="s">
        <v>169</v>
      </c>
      <c r="H19" s="37"/>
      <c r="I19" s="37"/>
      <c r="J19" s="37"/>
      <c r="K19" s="37"/>
      <c r="L19" s="37"/>
      <c r="M19" s="38"/>
    </row>
    <row r="20" spans="2:13" s="44" customFormat="1" ht="13.5">
      <c r="B20" s="36"/>
      <c r="C20" s="265">
        <v>-2</v>
      </c>
      <c r="D20" s="264" t="s">
        <v>128</v>
      </c>
      <c r="E20" s="264" t="s">
        <v>675</v>
      </c>
      <c r="F20" s="264" t="s">
        <v>170</v>
      </c>
      <c r="G20" s="264" t="s">
        <v>437</v>
      </c>
      <c r="H20" s="37"/>
      <c r="I20" s="37"/>
      <c r="J20" s="37"/>
      <c r="K20" s="37"/>
      <c r="L20" s="37"/>
      <c r="M20" s="38"/>
    </row>
    <row r="21" spans="2:13" s="44" customFormat="1" ht="14" thickBot="1">
      <c r="B21" s="36"/>
      <c r="C21" s="103"/>
      <c r="D21" s="103"/>
      <c r="E21" s="104"/>
      <c r="F21" s="104"/>
      <c r="G21" s="103"/>
      <c r="H21" s="37"/>
      <c r="I21" s="37"/>
      <c r="J21" s="37"/>
      <c r="K21" s="37"/>
      <c r="L21" s="37"/>
      <c r="M21" s="38"/>
    </row>
    <row r="22" spans="2:13">
      <c r="B22" s="100" t="s">
        <v>171</v>
      </c>
      <c r="C22" s="34" t="s">
        <v>173</v>
      </c>
      <c r="D22" s="34"/>
      <c r="E22" s="34"/>
      <c r="F22" s="34"/>
      <c r="G22" s="34"/>
      <c r="H22" s="34"/>
      <c r="I22" s="34"/>
      <c r="J22" s="34"/>
      <c r="K22" s="34"/>
      <c r="L22" s="34"/>
      <c r="M22" s="35"/>
    </row>
    <row r="23" spans="2:13" s="44" customFormat="1" ht="13.5">
      <c r="B23" s="36"/>
      <c r="C23" s="103"/>
      <c r="D23" s="103"/>
      <c r="E23" s="104"/>
      <c r="F23" s="104"/>
      <c r="G23" s="103"/>
      <c r="H23" s="37"/>
      <c r="I23" s="37"/>
      <c r="J23" s="37"/>
      <c r="K23" s="37"/>
      <c r="L23" s="37"/>
      <c r="M23" s="38"/>
    </row>
    <row r="24" spans="2:13" s="44" customFormat="1" ht="13.5">
      <c r="B24" s="36"/>
      <c r="C24" s="111" t="s">
        <v>121</v>
      </c>
      <c r="D24" s="111" t="s">
        <v>174</v>
      </c>
      <c r="E24" s="41"/>
      <c r="F24" s="42"/>
      <c r="G24" s="42"/>
      <c r="H24" s="42"/>
      <c r="I24" s="42"/>
      <c r="J24" s="42"/>
      <c r="K24" s="42"/>
      <c r="L24" s="42"/>
      <c r="M24" s="38"/>
    </row>
    <row r="25" spans="2:13" s="44" customFormat="1" ht="13.5">
      <c r="B25" s="36"/>
      <c r="C25" s="112" t="s">
        <v>177</v>
      </c>
      <c r="D25" s="112"/>
      <c r="E25" s="112"/>
      <c r="F25" s="112"/>
      <c r="G25" s="112"/>
      <c r="H25" s="37"/>
      <c r="I25" s="37"/>
      <c r="J25" s="37"/>
      <c r="K25" s="37"/>
      <c r="L25" s="37"/>
      <c r="M25" s="38"/>
    </row>
    <row r="26" spans="2:13" s="44" customFormat="1" ht="13.5">
      <c r="B26" s="36"/>
      <c r="C26" s="112" t="s">
        <v>178</v>
      </c>
      <c r="D26" s="112"/>
      <c r="E26" s="112"/>
      <c r="F26" s="112"/>
      <c r="G26" s="112"/>
      <c r="H26" s="37"/>
      <c r="I26" s="37"/>
      <c r="J26" s="37"/>
      <c r="K26" s="37"/>
      <c r="L26" s="37"/>
      <c r="M26" s="38"/>
    </row>
    <row r="27" spans="2:13" s="44" customFormat="1" ht="13.5">
      <c r="B27" s="36"/>
      <c r="C27" s="112"/>
      <c r="D27" s="112"/>
      <c r="E27" s="112"/>
      <c r="F27" s="112"/>
      <c r="G27" s="112"/>
      <c r="H27" s="37"/>
      <c r="I27" s="37"/>
      <c r="J27" s="37"/>
      <c r="K27" s="37"/>
      <c r="L27" s="37"/>
      <c r="M27" s="38"/>
    </row>
    <row r="28" spans="2:13" s="44" customFormat="1" ht="13.5">
      <c r="B28" s="36"/>
      <c r="C28" s="112" t="s">
        <v>179</v>
      </c>
      <c r="D28" s="112"/>
      <c r="E28" s="112"/>
      <c r="F28" s="112"/>
      <c r="G28" s="112"/>
      <c r="H28" s="37"/>
      <c r="I28" s="37"/>
      <c r="J28" s="37"/>
      <c r="K28" s="37"/>
      <c r="L28" s="37"/>
      <c r="M28" s="38"/>
    </row>
    <row r="29" spans="2:13" s="44" customFormat="1" ht="13.5">
      <c r="B29" s="36"/>
      <c r="C29" s="264" t="s">
        <v>180</v>
      </c>
      <c r="D29" s="264" t="s">
        <v>181</v>
      </c>
      <c r="E29" s="264" t="s">
        <v>182</v>
      </c>
      <c r="F29" s="264" t="s">
        <v>183</v>
      </c>
      <c r="G29" s="264" t="s">
        <v>184</v>
      </c>
      <c r="H29" s="37"/>
      <c r="I29" s="37"/>
      <c r="J29" s="37"/>
      <c r="K29" s="37"/>
      <c r="L29" s="37"/>
      <c r="M29" s="38"/>
    </row>
    <row r="30" spans="2:13">
      <c r="B30" s="45"/>
      <c r="C30" s="265">
        <v>-2</v>
      </c>
      <c r="D30" s="264" t="s">
        <v>128</v>
      </c>
      <c r="E30" s="264" t="s">
        <v>694</v>
      </c>
      <c r="F30" s="264" t="s">
        <v>676</v>
      </c>
      <c r="G30" s="264" t="s">
        <v>437</v>
      </c>
      <c r="H30" s="110"/>
      <c r="I30" s="110"/>
      <c r="J30" s="110"/>
      <c r="K30" s="110"/>
      <c r="L30" s="46"/>
      <c r="M30" s="43"/>
    </row>
    <row r="31" spans="2:13">
      <c r="B31" s="45"/>
      <c r="C31" s="28"/>
      <c r="D31" s="46"/>
      <c r="E31" s="46"/>
      <c r="F31" s="46"/>
      <c r="G31" s="46"/>
      <c r="H31" s="46"/>
      <c r="I31" s="46"/>
      <c r="J31" s="46"/>
      <c r="K31" s="46"/>
      <c r="L31" s="46"/>
      <c r="M31" s="43"/>
    </row>
    <row r="32" spans="2:13">
      <c r="B32" s="39"/>
      <c r="C32" s="111" t="s">
        <v>121</v>
      </c>
      <c r="D32" s="40" t="s">
        <v>176</v>
      </c>
      <c r="E32" s="41"/>
      <c r="F32" s="42"/>
      <c r="G32" s="42"/>
      <c r="H32" s="42"/>
      <c r="I32" s="42"/>
      <c r="J32" s="42"/>
      <c r="K32" s="42"/>
      <c r="L32" s="42"/>
      <c r="M32" s="43"/>
    </row>
    <row r="33" spans="2:13" s="44" customFormat="1" ht="13.5">
      <c r="B33" s="36"/>
      <c r="C33" s="112" t="s">
        <v>177</v>
      </c>
      <c r="D33" s="103"/>
      <c r="E33" s="103"/>
      <c r="F33" s="103"/>
      <c r="G33" s="103"/>
      <c r="H33" s="103"/>
      <c r="I33" s="103"/>
      <c r="J33" s="103"/>
      <c r="K33" s="103"/>
      <c r="L33" s="103"/>
      <c r="M33" s="38"/>
    </row>
    <row r="34" spans="2:13" s="44" customFormat="1" ht="13.5">
      <c r="B34" s="36"/>
      <c r="C34" s="112" t="s">
        <v>185</v>
      </c>
      <c r="D34" s="112"/>
      <c r="E34" s="112"/>
      <c r="F34" s="112"/>
      <c r="G34" s="112"/>
      <c r="H34" s="103"/>
      <c r="I34" s="103"/>
      <c r="J34" s="103"/>
      <c r="K34" s="103"/>
      <c r="L34" s="103"/>
      <c r="M34" s="38"/>
    </row>
    <row r="35" spans="2:13" s="44" customFormat="1" ht="13.5">
      <c r="B35" s="36"/>
      <c r="C35" s="112"/>
      <c r="D35" s="112"/>
      <c r="E35" s="112"/>
      <c r="F35" s="112"/>
      <c r="G35" s="112"/>
      <c r="H35" s="103"/>
      <c r="I35" s="103"/>
      <c r="J35" s="103"/>
      <c r="K35" s="103"/>
      <c r="L35" s="103"/>
      <c r="M35" s="38"/>
    </row>
    <row r="36" spans="2:13" s="44" customFormat="1" ht="13.5">
      <c r="B36" s="36"/>
      <c r="C36" s="112" t="s">
        <v>179</v>
      </c>
      <c r="D36" s="112"/>
      <c r="E36" s="112"/>
      <c r="F36" s="112"/>
      <c r="G36" s="112"/>
      <c r="H36" s="103"/>
      <c r="I36" s="103"/>
      <c r="J36" s="103"/>
      <c r="K36" s="103"/>
      <c r="L36" s="103"/>
      <c r="M36" s="38"/>
    </row>
    <row r="37" spans="2:13" s="44" customFormat="1" ht="13.5">
      <c r="B37" s="36"/>
      <c r="C37" s="264" t="s">
        <v>180</v>
      </c>
      <c r="D37" s="264" t="s">
        <v>181</v>
      </c>
      <c r="E37" s="264" t="s">
        <v>182</v>
      </c>
      <c r="F37" s="264" t="s">
        <v>183</v>
      </c>
      <c r="G37" s="264" t="s">
        <v>184</v>
      </c>
      <c r="H37" s="103"/>
      <c r="I37" s="103"/>
      <c r="J37" s="103"/>
      <c r="K37" s="103"/>
      <c r="L37" s="103"/>
      <c r="M37" s="38"/>
    </row>
    <row r="38" spans="2:13" s="44" customFormat="1" ht="13.5">
      <c r="B38" s="36"/>
      <c r="C38" s="265">
        <v>-2</v>
      </c>
      <c r="D38" s="264" t="s">
        <v>128</v>
      </c>
      <c r="E38" s="264" t="s">
        <v>694</v>
      </c>
      <c r="F38" s="264" t="s">
        <v>676</v>
      </c>
      <c r="G38" s="264" t="s">
        <v>437</v>
      </c>
      <c r="H38" s="103"/>
      <c r="I38" s="103"/>
      <c r="J38" s="103"/>
      <c r="K38" s="103"/>
      <c r="L38" s="103"/>
      <c r="M38" s="38"/>
    </row>
    <row r="39" spans="2:13" s="44" customFormat="1" ht="14" thickBot="1">
      <c r="B39" s="36"/>
      <c r="C39" s="103"/>
      <c r="D39" s="103"/>
      <c r="E39" s="104"/>
      <c r="F39" s="104"/>
      <c r="G39" s="103"/>
      <c r="H39" s="103"/>
      <c r="I39" s="103"/>
      <c r="J39" s="103"/>
      <c r="K39" s="103"/>
      <c r="L39" s="103"/>
      <c r="M39" s="38"/>
    </row>
    <row r="40" spans="2:13" s="44" customFormat="1" ht="13.5">
      <c r="B40" s="100" t="s">
        <v>186</v>
      </c>
      <c r="C40" s="34" t="s">
        <v>188</v>
      </c>
      <c r="D40" s="34"/>
      <c r="E40" s="34"/>
      <c r="F40" s="34"/>
      <c r="G40" s="34"/>
      <c r="H40" s="34"/>
      <c r="I40" s="34"/>
      <c r="J40" s="34"/>
      <c r="K40" s="34"/>
      <c r="L40" s="34"/>
      <c r="M40" s="35"/>
    </row>
    <row r="41" spans="2:13" s="44" customFormat="1" ht="13.5">
      <c r="B41" s="36"/>
      <c r="C41" s="103"/>
      <c r="D41" s="103"/>
      <c r="E41" s="104"/>
      <c r="F41" s="104"/>
      <c r="G41" s="103"/>
      <c r="H41" s="103"/>
      <c r="I41" s="103"/>
      <c r="J41" s="103"/>
      <c r="K41" s="103"/>
      <c r="L41" s="103"/>
      <c r="M41" s="38"/>
    </row>
    <row r="42" spans="2:13" s="44" customFormat="1" ht="13.5">
      <c r="B42" s="36"/>
      <c r="C42" s="111" t="s">
        <v>121</v>
      </c>
      <c r="D42" s="111" t="s">
        <v>192</v>
      </c>
      <c r="E42" s="41"/>
      <c r="F42" s="42"/>
      <c r="G42" s="42"/>
      <c r="H42" s="42"/>
      <c r="I42" s="42"/>
      <c r="J42" s="42"/>
      <c r="K42" s="42"/>
      <c r="L42" s="42"/>
      <c r="M42" s="38"/>
    </row>
    <row r="43" spans="2:13" s="44" customFormat="1" ht="13.5">
      <c r="B43" s="36"/>
      <c r="C43" s="112" t="s">
        <v>177</v>
      </c>
      <c r="D43" s="112"/>
      <c r="E43" s="112"/>
      <c r="F43" s="112"/>
      <c r="G43" s="112"/>
      <c r="H43" s="103"/>
      <c r="I43" s="103"/>
      <c r="J43" s="103"/>
      <c r="K43" s="103"/>
      <c r="L43" s="103"/>
      <c r="M43" s="38"/>
    </row>
    <row r="44" spans="2:13" s="44" customFormat="1" ht="13.5">
      <c r="B44" s="36"/>
      <c r="C44" s="112" t="s">
        <v>189</v>
      </c>
      <c r="D44" s="112"/>
      <c r="E44" s="112"/>
      <c r="F44" s="112"/>
      <c r="G44" s="112"/>
      <c r="H44" s="103"/>
      <c r="I44" s="103"/>
      <c r="J44" s="103"/>
      <c r="K44" s="103"/>
      <c r="L44" s="103"/>
      <c r="M44" s="38"/>
    </row>
    <row r="45" spans="2:13" s="44" customFormat="1" ht="13.5">
      <c r="B45" s="36"/>
      <c r="C45" s="112"/>
      <c r="D45" s="112"/>
      <c r="E45" s="112"/>
      <c r="F45" s="112"/>
      <c r="G45" s="112"/>
      <c r="H45" s="103"/>
      <c r="I45" s="103"/>
      <c r="J45" s="103"/>
      <c r="K45" s="103"/>
      <c r="L45" s="103"/>
      <c r="M45" s="38"/>
    </row>
    <row r="46" spans="2:13" s="44" customFormat="1" ht="13.5">
      <c r="B46" s="36"/>
      <c r="C46" s="112" t="s">
        <v>179</v>
      </c>
      <c r="D46" s="112"/>
      <c r="E46" s="112"/>
      <c r="F46" s="112"/>
      <c r="G46" s="112"/>
      <c r="H46" s="103"/>
      <c r="I46" s="103"/>
      <c r="J46" s="103"/>
      <c r="K46" s="103"/>
      <c r="L46" s="103"/>
      <c r="M46" s="38"/>
    </row>
    <row r="47" spans="2:13" s="44" customFormat="1" ht="13.5">
      <c r="B47" s="36"/>
      <c r="C47" s="264" t="s">
        <v>180</v>
      </c>
      <c r="D47" s="264" t="s">
        <v>181</v>
      </c>
      <c r="E47" s="264" t="s">
        <v>182</v>
      </c>
      <c r="F47" s="264" t="s">
        <v>183</v>
      </c>
      <c r="G47" s="264" t="s">
        <v>184</v>
      </c>
      <c r="H47" s="103"/>
      <c r="I47" s="103"/>
      <c r="J47" s="103"/>
      <c r="K47" s="103"/>
      <c r="L47" s="103"/>
      <c r="M47" s="38"/>
    </row>
    <row r="48" spans="2:13">
      <c r="B48" s="45"/>
      <c r="C48" s="265">
        <v>-2</v>
      </c>
      <c r="D48" s="264" t="s">
        <v>128</v>
      </c>
      <c r="E48" s="264" t="s">
        <v>696</v>
      </c>
      <c r="F48" s="264" t="s">
        <v>677</v>
      </c>
      <c r="G48" s="264" t="s">
        <v>437</v>
      </c>
      <c r="H48" s="110"/>
      <c r="I48" s="110"/>
      <c r="J48" s="110"/>
      <c r="K48" s="110"/>
      <c r="L48" s="110"/>
      <c r="M48" s="43"/>
    </row>
    <row r="49" spans="2:13">
      <c r="B49" s="45"/>
      <c r="C49" s="109"/>
      <c r="D49" s="110"/>
      <c r="E49" s="110"/>
      <c r="F49" s="110"/>
      <c r="G49" s="110"/>
      <c r="H49" s="110"/>
      <c r="I49" s="110"/>
      <c r="J49" s="110"/>
      <c r="K49" s="110"/>
      <c r="L49" s="110"/>
      <c r="M49" s="43"/>
    </row>
    <row r="50" spans="2:13">
      <c r="B50" s="45"/>
      <c r="C50" s="111" t="s">
        <v>121</v>
      </c>
      <c r="D50" s="111" t="s">
        <v>194</v>
      </c>
      <c r="E50" s="41"/>
      <c r="F50" s="42"/>
      <c r="G50" s="42"/>
      <c r="H50" s="42"/>
      <c r="I50" s="42"/>
      <c r="J50" s="42"/>
      <c r="K50" s="42"/>
      <c r="L50" s="42"/>
      <c r="M50" s="43"/>
    </row>
    <row r="51" spans="2:13">
      <c r="B51" s="45"/>
      <c r="C51" s="112" t="s">
        <v>177</v>
      </c>
      <c r="D51" s="112"/>
      <c r="E51" s="112"/>
      <c r="F51" s="112"/>
      <c r="G51" s="112"/>
      <c r="H51" s="110"/>
      <c r="I51" s="110"/>
      <c r="J51" s="110"/>
      <c r="K51" s="110"/>
      <c r="L51" s="110"/>
      <c r="M51" s="43"/>
    </row>
    <row r="52" spans="2:13">
      <c r="B52" s="45"/>
      <c r="C52" s="112" t="s">
        <v>190</v>
      </c>
      <c r="D52" s="112"/>
      <c r="E52" s="112"/>
      <c r="F52" s="112"/>
      <c r="G52" s="112"/>
      <c r="H52" s="110"/>
      <c r="I52" s="110"/>
      <c r="J52" s="110"/>
      <c r="K52" s="110"/>
      <c r="L52" s="110"/>
      <c r="M52" s="43"/>
    </row>
    <row r="53" spans="2:13">
      <c r="B53" s="45"/>
      <c r="C53" s="112"/>
      <c r="D53" s="112"/>
      <c r="E53" s="112"/>
      <c r="F53" s="112"/>
      <c r="G53" s="112"/>
      <c r="H53" s="110"/>
      <c r="I53" s="110"/>
      <c r="J53" s="110"/>
      <c r="K53" s="110"/>
      <c r="L53" s="110"/>
      <c r="M53" s="43"/>
    </row>
    <row r="54" spans="2:13">
      <c r="B54" s="45"/>
      <c r="C54" s="112" t="s">
        <v>179</v>
      </c>
      <c r="D54" s="112"/>
      <c r="E54" s="112"/>
      <c r="F54" s="112"/>
      <c r="G54" s="112"/>
      <c r="H54" s="110"/>
      <c r="I54" s="110"/>
      <c r="J54" s="110"/>
      <c r="K54" s="110"/>
      <c r="L54" s="110"/>
      <c r="M54" s="43"/>
    </row>
    <row r="55" spans="2:13">
      <c r="B55" s="45"/>
      <c r="C55" s="264" t="s">
        <v>180</v>
      </c>
      <c r="D55" s="264" t="s">
        <v>181</v>
      </c>
      <c r="E55" s="264" t="s">
        <v>182</v>
      </c>
      <c r="F55" s="264" t="s">
        <v>183</v>
      </c>
      <c r="G55" s="264" t="s">
        <v>184</v>
      </c>
      <c r="H55" s="110"/>
      <c r="I55" s="110"/>
      <c r="J55" s="110"/>
      <c r="K55" s="110"/>
      <c r="L55" s="110"/>
      <c r="M55" s="43"/>
    </row>
    <row r="56" spans="2:13">
      <c r="B56" s="39"/>
      <c r="C56" s="265">
        <v>-2</v>
      </c>
      <c r="D56" s="264" t="s">
        <v>128</v>
      </c>
      <c r="E56" s="264" t="s">
        <v>696</v>
      </c>
      <c r="F56" s="264" t="s">
        <v>677</v>
      </c>
      <c r="G56" s="264" t="s">
        <v>437</v>
      </c>
      <c r="H56" s="103"/>
      <c r="I56" s="103"/>
      <c r="J56" s="103"/>
      <c r="K56" s="103"/>
      <c r="L56" s="103"/>
      <c r="M56" s="43"/>
    </row>
    <row r="57" spans="2:13" s="44" customFormat="1" ht="13.5">
      <c r="B57" s="36"/>
      <c r="C57" s="109"/>
      <c r="D57" s="103"/>
      <c r="E57" s="103"/>
      <c r="F57" s="103"/>
      <c r="G57" s="103"/>
      <c r="H57" s="103"/>
      <c r="I57" s="103"/>
      <c r="J57" s="103"/>
      <c r="K57" s="103"/>
      <c r="L57" s="103"/>
      <c r="M57" s="38"/>
    </row>
    <row r="58" spans="2:13" s="44" customFormat="1" ht="13.5">
      <c r="B58" s="36"/>
      <c r="C58" s="102"/>
      <c r="D58" s="103"/>
      <c r="E58" s="104"/>
      <c r="F58" s="104"/>
      <c r="G58" s="103"/>
      <c r="H58" s="103"/>
      <c r="I58" s="103"/>
      <c r="J58" s="103"/>
      <c r="K58" s="103"/>
      <c r="L58" s="103"/>
      <c r="M58" s="38"/>
    </row>
    <row r="59" spans="2:13" s="44" customFormat="1" ht="13.5">
      <c r="B59" s="36"/>
      <c r="C59" s="102"/>
      <c r="D59" s="103"/>
      <c r="E59" s="104"/>
      <c r="F59" s="104"/>
      <c r="G59" s="103"/>
      <c r="H59" s="103"/>
      <c r="I59" s="103"/>
      <c r="J59" s="103"/>
      <c r="K59" s="103"/>
      <c r="L59" s="103"/>
      <c r="M59" s="38"/>
    </row>
    <row r="60" spans="2:13" ht="15.5" thickBot="1">
      <c r="B60" s="47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50"/>
    </row>
  </sheetData>
  <phoneticPr fontId="21" type="noConversion"/>
  <hyperlinks>
    <hyperlink ref="A1" location="TCS!A1" display="戻る" xr:uid="{32BA54F3-8408-4FCA-8329-0CB4FDF8DA39}"/>
  </hyperlinks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5AB5-A7A8-49E9-A284-D646BB7BEE42}">
  <dimension ref="A1:BK921"/>
  <sheetViews>
    <sheetView zoomScale="85" zoomScaleNormal="85" workbookViewId="0"/>
  </sheetViews>
  <sheetFormatPr defaultRowHeight="13"/>
  <cols>
    <col min="2" max="2" width="17.26953125" bestFit="1" customWidth="1"/>
    <col min="3" max="3" width="101.1796875" bestFit="1" customWidth="1"/>
    <col min="4" max="4" width="13.36328125" bestFit="1" customWidth="1"/>
    <col min="5" max="5" width="23.26953125" bestFit="1" customWidth="1"/>
    <col min="6" max="6" width="123.6328125" bestFit="1" customWidth="1"/>
    <col min="7" max="8" width="23.26953125" bestFit="1" customWidth="1"/>
    <col min="9" max="9" width="14.90625" bestFit="1" customWidth="1"/>
    <col min="10" max="10" width="23.26953125" bestFit="1" customWidth="1"/>
    <col min="11" max="12" width="23.26953125" customWidth="1"/>
    <col min="13" max="13" width="18.7265625" bestFit="1" customWidth="1"/>
    <col min="14" max="14" width="23.26953125" customWidth="1"/>
    <col min="15" max="16" width="23.26953125" bestFit="1" customWidth="1"/>
    <col min="17" max="17" width="23.26953125" customWidth="1"/>
    <col min="18" max="18" width="18.90625" bestFit="1" customWidth="1"/>
    <col min="19" max="19" width="16.36328125" bestFit="1" customWidth="1"/>
    <col min="20" max="20" width="20.26953125" customWidth="1"/>
    <col min="21" max="21" width="23.453125" bestFit="1" customWidth="1"/>
    <col min="22" max="22" width="17" bestFit="1" customWidth="1"/>
    <col min="23" max="23" width="15" bestFit="1" customWidth="1"/>
    <col min="24" max="24" width="15.1796875" bestFit="1" customWidth="1"/>
    <col min="25" max="25" width="15.26953125" bestFit="1" customWidth="1"/>
    <col min="26" max="26" width="12.90625" bestFit="1" customWidth="1"/>
    <col min="27" max="27" width="13.6328125" bestFit="1" customWidth="1"/>
    <col min="28" max="28" width="15.6328125" bestFit="1" customWidth="1"/>
    <col min="29" max="29" width="13.453125" bestFit="1" customWidth="1"/>
    <col min="30" max="30" width="13.1796875" customWidth="1"/>
    <col min="31" max="31" width="13.36328125" bestFit="1" customWidth="1"/>
    <col min="32" max="32" width="14.7265625" bestFit="1" customWidth="1"/>
    <col min="33" max="33" width="14.54296875" bestFit="1" customWidth="1"/>
    <col min="34" max="34" width="15.90625" bestFit="1" customWidth="1"/>
    <col min="35" max="35" width="19.36328125" bestFit="1" customWidth="1"/>
    <col min="36" max="36" width="20.7265625" bestFit="1" customWidth="1"/>
    <col min="37" max="37" width="9.90625" bestFit="1" customWidth="1"/>
    <col min="38" max="38" width="18.7265625" bestFit="1" customWidth="1"/>
    <col min="39" max="39" width="17.81640625" bestFit="1" customWidth="1"/>
    <col min="40" max="40" width="14.7265625" bestFit="1" customWidth="1"/>
    <col min="41" max="41" width="23.26953125" customWidth="1"/>
    <col min="42" max="42" width="15.54296875" bestFit="1" customWidth="1"/>
    <col min="43" max="43" width="14.54296875" bestFit="1" customWidth="1"/>
    <col min="44" max="44" width="20.7265625" bestFit="1" customWidth="1"/>
    <col min="45" max="45" width="13.6328125" bestFit="1" customWidth="1"/>
    <col min="46" max="46" width="25.1796875" bestFit="1" customWidth="1"/>
    <col min="47" max="47" width="18.90625" bestFit="1" customWidth="1"/>
    <col min="48" max="48" width="20.1796875" bestFit="1" customWidth="1"/>
    <col min="49" max="49" width="16.08984375" bestFit="1" customWidth="1"/>
    <col min="50" max="50" width="18.90625" bestFit="1" customWidth="1"/>
    <col min="51" max="51" width="19.08984375" bestFit="1" customWidth="1"/>
    <col min="52" max="52" width="14.26953125" bestFit="1" customWidth="1"/>
    <col min="53" max="53" width="15.26953125" bestFit="1" customWidth="1"/>
    <col min="54" max="54" width="12.90625" bestFit="1" customWidth="1"/>
    <col min="55" max="55" width="12.6328125" bestFit="1" customWidth="1"/>
    <col min="56" max="56" width="15.6328125" bestFit="1" customWidth="1"/>
    <col min="57" max="57" width="13.453125" bestFit="1" customWidth="1"/>
    <col min="58" max="58" width="13.1796875" bestFit="1" customWidth="1"/>
  </cols>
  <sheetData>
    <row r="1" spans="1:58" ht="15.5" thickBot="1">
      <c r="A1" s="245" t="s">
        <v>117</v>
      </c>
      <c r="B1" s="124"/>
      <c r="C1" s="125"/>
      <c r="D1" s="126"/>
      <c r="E1" s="126"/>
      <c r="F1" s="126"/>
      <c r="G1" s="126"/>
      <c r="H1" s="127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6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8"/>
    </row>
    <row r="2" spans="1:58" ht="33" thickBot="1">
      <c r="A2" s="129"/>
      <c r="B2" s="219" t="s">
        <v>236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32"/>
    </row>
    <row r="3" spans="1:58" ht="14" thickTop="1" thickBot="1">
      <c r="B3" s="131" t="s">
        <v>119</v>
      </c>
      <c r="C3" s="221" t="s">
        <v>120</v>
      </c>
      <c r="BF3" s="130"/>
    </row>
    <row r="4" spans="1:58" ht="14" thickBot="1">
      <c r="B4" s="132" t="s">
        <v>237</v>
      </c>
      <c r="C4" s="133" t="s">
        <v>406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236"/>
    </row>
    <row r="5" spans="1:58" ht="14" thickBot="1">
      <c r="B5" s="132" t="s">
        <v>239</v>
      </c>
      <c r="C5" s="133" t="s">
        <v>461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236"/>
    </row>
    <row r="6" spans="1:58" ht="14" thickBot="1">
      <c r="B6" s="132" t="s">
        <v>463</v>
      </c>
      <c r="C6" s="133" t="s">
        <v>465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236"/>
    </row>
    <row r="7" spans="1:58" ht="14" thickBot="1">
      <c r="B7" s="132" t="s">
        <v>464</v>
      </c>
      <c r="C7" s="133" t="s">
        <v>466</v>
      </c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236"/>
    </row>
    <row r="8" spans="1:58" ht="14" thickBot="1">
      <c r="B8" s="132" t="s">
        <v>480</v>
      </c>
      <c r="C8" s="133" t="s">
        <v>481</v>
      </c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236"/>
    </row>
    <row r="9" spans="1:58" ht="14" thickBot="1">
      <c r="B9" s="132" t="s">
        <v>511</v>
      </c>
      <c r="C9" s="133" t="s">
        <v>512</v>
      </c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236"/>
    </row>
    <row r="10" spans="1:58" ht="14" thickBot="1">
      <c r="B10" s="132" t="s">
        <v>548</v>
      </c>
      <c r="C10" s="133" t="s">
        <v>549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236"/>
    </row>
    <row r="11" spans="1:58" ht="14" thickBot="1">
      <c r="B11" s="132" t="s">
        <v>557</v>
      </c>
      <c r="C11" s="133" t="s">
        <v>89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236"/>
    </row>
    <row r="12" spans="1:58" ht="14" thickBot="1">
      <c r="B12" s="132" t="s">
        <v>560</v>
      </c>
      <c r="C12" s="133" t="s">
        <v>746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236"/>
    </row>
    <row r="13" spans="1:58" ht="14" thickBot="1">
      <c r="B13" s="132" t="s">
        <v>561</v>
      </c>
      <c r="C13" s="133" t="s">
        <v>748</v>
      </c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236"/>
    </row>
    <row r="14" spans="1:58" ht="14" thickBot="1">
      <c r="B14" s="132" t="s">
        <v>579</v>
      </c>
      <c r="C14" s="133" t="s">
        <v>750</v>
      </c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236"/>
    </row>
    <row r="15" spans="1:58" ht="14" thickBot="1">
      <c r="B15" s="132" t="s">
        <v>583</v>
      </c>
      <c r="C15" s="133" t="s">
        <v>758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236"/>
    </row>
    <row r="16" spans="1:58" ht="14" thickBot="1">
      <c r="B16" s="132" t="s">
        <v>625</v>
      </c>
      <c r="C16" s="133" t="s">
        <v>764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236"/>
    </row>
    <row r="17" spans="2:58" ht="14" thickBot="1">
      <c r="B17" s="132" t="s">
        <v>637</v>
      </c>
      <c r="C17" s="133" t="s">
        <v>638</v>
      </c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236"/>
    </row>
    <row r="18" spans="2:58" ht="14" thickBot="1">
      <c r="B18" s="132" t="s">
        <v>640</v>
      </c>
      <c r="C18" s="133" t="s">
        <v>642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236"/>
    </row>
    <row r="19" spans="2:58" ht="14" thickBot="1">
      <c r="B19" s="132" t="s">
        <v>643</v>
      </c>
      <c r="C19" s="133" t="s">
        <v>103</v>
      </c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236"/>
    </row>
    <row r="20" spans="2:58" ht="14" thickBot="1">
      <c r="B20" s="134" t="s">
        <v>435</v>
      </c>
      <c r="C20" s="133" t="s">
        <v>240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236"/>
    </row>
    <row r="21" spans="2:58" ht="13.5">
      <c r="B21" s="135"/>
      <c r="C21" s="136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37"/>
    </row>
    <row r="22" spans="2:58" ht="13.5">
      <c r="B22" s="135"/>
      <c r="C22" s="136" t="s">
        <v>241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37"/>
    </row>
    <row r="23" spans="2:58" ht="13.5">
      <c r="B23" s="135"/>
      <c r="C23" s="136" t="s">
        <v>407</v>
      </c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37"/>
    </row>
    <row r="24" spans="2:58" ht="13.5">
      <c r="B24" s="135"/>
      <c r="C24" s="136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37"/>
    </row>
    <row r="25" spans="2:58" ht="15">
      <c r="B25" s="135"/>
      <c r="C25" s="162" t="s">
        <v>212</v>
      </c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BF25" s="130"/>
    </row>
    <row r="26" spans="2:58" ht="15">
      <c r="B26" s="135"/>
      <c r="D26" s="119"/>
      <c r="E26" s="118" t="s">
        <v>141</v>
      </c>
      <c r="F26" s="119"/>
      <c r="G26" s="119"/>
      <c r="H26" s="119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BF26" s="130"/>
    </row>
    <row r="27" spans="2:58" ht="13.5">
      <c r="B27" s="135"/>
      <c r="C27" s="153" t="s">
        <v>417</v>
      </c>
      <c r="D27" s="117" t="s">
        <v>213</v>
      </c>
      <c r="E27" s="117" t="s">
        <v>214</v>
      </c>
      <c r="F27" s="117" t="s">
        <v>215</v>
      </c>
      <c r="G27" s="117" t="s">
        <v>216</v>
      </c>
      <c r="H27" s="117" t="s">
        <v>217</v>
      </c>
      <c r="I27" s="117" t="s">
        <v>218</v>
      </c>
      <c r="J27" s="121" t="s">
        <v>219</v>
      </c>
      <c r="K27" s="117" t="s">
        <v>220</v>
      </c>
      <c r="L27" s="122" t="s">
        <v>221</v>
      </c>
      <c r="M27" s="123" t="s">
        <v>222</v>
      </c>
      <c r="N27" s="123" t="s">
        <v>223</v>
      </c>
      <c r="O27" s="123" t="s">
        <v>224</v>
      </c>
      <c r="P27" s="123" t="s">
        <v>225</v>
      </c>
      <c r="Q27" s="123" t="s">
        <v>123</v>
      </c>
      <c r="R27" s="123" t="s">
        <v>124</v>
      </c>
      <c r="S27" s="117" t="s">
        <v>226</v>
      </c>
      <c r="BF27" s="130"/>
    </row>
    <row r="28" spans="2:58" ht="13.5">
      <c r="B28" s="135"/>
      <c r="C28" s="153" t="s">
        <v>446</v>
      </c>
      <c r="D28" s="117" t="s">
        <v>196</v>
      </c>
      <c r="E28" s="117" t="s">
        <v>197</v>
      </c>
      <c r="F28" s="117" t="s">
        <v>198</v>
      </c>
      <c r="G28" s="117" t="s">
        <v>199</v>
      </c>
      <c r="H28" s="117" t="s">
        <v>200</v>
      </c>
      <c r="I28" s="117" t="s">
        <v>201</v>
      </c>
      <c r="J28" s="117" t="s">
        <v>202</v>
      </c>
      <c r="K28" s="117" t="s">
        <v>203</v>
      </c>
      <c r="L28" s="117" t="s">
        <v>204</v>
      </c>
      <c r="M28" s="117" t="s">
        <v>205</v>
      </c>
      <c r="N28" s="117" t="s">
        <v>206</v>
      </c>
      <c r="O28" s="117" t="s">
        <v>207</v>
      </c>
      <c r="P28" s="117" t="s">
        <v>208</v>
      </c>
      <c r="Q28" s="117" t="s">
        <v>209</v>
      </c>
      <c r="R28" s="117" t="s">
        <v>210</v>
      </c>
      <c r="S28" s="117" t="s">
        <v>211</v>
      </c>
      <c r="BF28" s="130"/>
    </row>
    <row r="29" spans="2:58" ht="13.5">
      <c r="B29" s="142"/>
      <c r="C29" s="153" t="s">
        <v>447</v>
      </c>
      <c r="D29" s="117" t="s">
        <v>228</v>
      </c>
      <c r="E29" s="117" t="s">
        <v>228</v>
      </c>
      <c r="F29" s="117" t="s">
        <v>229</v>
      </c>
      <c r="G29" s="117" t="s">
        <v>230</v>
      </c>
      <c r="H29" s="117" t="s">
        <v>228</v>
      </c>
      <c r="I29" s="117" t="s">
        <v>231</v>
      </c>
      <c r="J29" s="117" t="s">
        <v>230</v>
      </c>
      <c r="K29" s="117" t="s">
        <v>230</v>
      </c>
      <c r="L29" s="117" t="s">
        <v>232</v>
      </c>
      <c r="M29" s="117" t="s">
        <v>233</v>
      </c>
      <c r="N29" s="117" t="s">
        <v>234</v>
      </c>
      <c r="O29" s="117" t="s">
        <v>235</v>
      </c>
      <c r="P29" s="117" t="s">
        <v>235</v>
      </c>
      <c r="Q29" s="117" t="s">
        <v>147</v>
      </c>
      <c r="R29" s="117" t="s">
        <v>235</v>
      </c>
      <c r="S29" s="117" t="s">
        <v>235</v>
      </c>
      <c r="BF29" s="130"/>
    </row>
    <row r="30" spans="2:58" ht="14">
      <c r="B30" s="142" t="s">
        <v>292</v>
      </c>
      <c r="C30" s="143" t="s">
        <v>765</v>
      </c>
      <c r="D30" s="189" t="s">
        <v>409</v>
      </c>
      <c r="E30" s="189" t="s">
        <v>410</v>
      </c>
      <c r="F30" s="189" t="s">
        <v>295</v>
      </c>
      <c r="G30" s="189" t="s">
        <v>156</v>
      </c>
      <c r="H30" s="189" t="s">
        <v>411</v>
      </c>
      <c r="I30" s="189" t="s">
        <v>298</v>
      </c>
      <c r="J30" s="189" t="s">
        <v>294</v>
      </c>
      <c r="K30" s="189" t="s">
        <v>294</v>
      </c>
      <c r="L30" s="189" t="s">
        <v>412</v>
      </c>
      <c r="M30" s="189" t="s">
        <v>294</v>
      </c>
      <c r="N30" s="189" t="s">
        <v>413</v>
      </c>
      <c r="O30" s="189" t="s">
        <v>414</v>
      </c>
      <c r="P30" s="189" t="s">
        <v>414</v>
      </c>
      <c r="Q30" s="189" t="s">
        <v>415</v>
      </c>
      <c r="R30" s="189" t="s">
        <v>416</v>
      </c>
      <c r="S30" s="189" t="s">
        <v>416</v>
      </c>
      <c r="BF30" s="130"/>
    </row>
    <row r="31" spans="2:58" ht="14">
      <c r="B31" s="144" t="s">
        <v>297</v>
      </c>
      <c r="C31" s="170" t="s">
        <v>418</v>
      </c>
      <c r="D31" s="189" t="s">
        <v>409</v>
      </c>
      <c r="E31" s="189" t="s">
        <v>419</v>
      </c>
      <c r="F31" s="189" t="s">
        <v>295</v>
      </c>
      <c r="G31" s="189" t="s">
        <v>156</v>
      </c>
      <c r="H31" s="189" t="s">
        <v>411</v>
      </c>
      <c r="I31" s="189" t="s">
        <v>420</v>
      </c>
      <c r="J31" s="189" t="s">
        <v>294</v>
      </c>
      <c r="K31" s="189" t="s">
        <v>294</v>
      </c>
      <c r="L31" s="189" t="s">
        <v>421</v>
      </c>
      <c r="M31" s="189" t="s">
        <v>294</v>
      </c>
      <c r="N31" s="189" t="s">
        <v>413</v>
      </c>
      <c r="O31" s="189" t="s">
        <v>414</v>
      </c>
      <c r="P31" s="189" t="s">
        <v>414</v>
      </c>
      <c r="Q31" s="189" t="s">
        <v>422</v>
      </c>
      <c r="R31" s="189" t="s">
        <v>416</v>
      </c>
      <c r="S31" s="189" t="s">
        <v>416</v>
      </c>
      <c r="BF31" s="130"/>
    </row>
    <row r="32" spans="2:58" ht="14">
      <c r="B32" s="144" t="s">
        <v>297</v>
      </c>
      <c r="C32" s="170" t="s">
        <v>423</v>
      </c>
      <c r="D32" s="189" t="s">
        <v>409</v>
      </c>
      <c r="E32" s="189" t="s">
        <v>410</v>
      </c>
      <c r="F32" s="189" t="s">
        <v>295</v>
      </c>
      <c r="G32" s="189" t="s">
        <v>156</v>
      </c>
      <c r="H32" s="189" t="s">
        <v>411</v>
      </c>
      <c r="I32" s="189" t="s">
        <v>420</v>
      </c>
      <c r="J32" s="189" t="s">
        <v>294</v>
      </c>
      <c r="K32" s="189" t="s">
        <v>294</v>
      </c>
      <c r="L32" s="189" t="s">
        <v>424</v>
      </c>
      <c r="M32" s="189" t="s">
        <v>294</v>
      </c>
      <c r="N32" s="189" t="s">
        <v>425</v>
      </c>
      <c r="O32" s="189" t="s">
        <v>426</v>
      </c>
      <c r="P32" s="189" t="s">
        <v>426</v>
      </c>
      <c r="Q32" s="189" t="s">
        <v>425</v>
      </c>
      <c r="R32" s="189" t="s">
        <v>426</v>
      </c>
      <c r="S32" s="189" t="s">
        <v>426</v>
      </c>
      <c r="BF32" s="130"/>
    </row>
    <row r="33" spans="2:58" ht="14">
      <c r="B33" s="144" t="s">
        <v>297</v>
      </c>
      <c r="C33" s="170" t="s">
        <v>427</v>
      </c>
      <c r="D33" s="189" t="s">
        <v>409</v>
      </c>
      <c r="E33" s="189" t="s">
        <v>410</v>
      </c>
      <c r="F33" s="189" t="s">
        <v>295</v>
      </c>
      <c r="G33" s="189" t="s">
        <v>156</v>
      </c>
      <c r="H33" s="189" t="s">
        <v>411</v>
      </c>
      <c r="I33" s="189" t="s">
        <v>420</v>
      </c>
      <c r="J33" s="189" t="s">
        <v>294</v>
      </c>
      <c r="K33" s="189" t="s">
        <v>294</v>
      </c>
      <c r="L33" s="189" t="s">
        <v>428</v>
      </c>
      <c r="M33" s="189" t="s">
        <v>294</v>
      </c>
      <c r="N33" s="189" t="s">
        <v>413</v>
      </c>
      <c r="O33" s="189" t="s">
        <v>414</v>
      </c>
      <c r="P33" s="189" t="s">
        <v>414</v>
      </c>
      <c r="Q33" s="189" t="s">
        <v>415</v>
      </c>
      <c r="R33" s="189" t="s">
        <v>416</v>
      </c>
      <c r="S33" s="189" t="s">
        <v>416</v>
      </c>
      <c r="BF33" s="130"/>
    </row>
    <row r="34" spans="2:58" ht="14">
      <c r="B34" s="148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57"/>
      <c r="BF34" s="130"/>
    </row>
    <row r="35" spans="2:58">
      <c r="B35" s="148"/>
      <c r="C35" s="175" t="s">
        <v>439</v>
      </c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BF35" s="130"/>
    </row>
    <row r="36" spans="2:58" ht="15">
      <c r="B36" s="148"/>
      <c r="C36" s="118"/>
      <c r="D36" s="174"/>
      <c r="E36" s="118"/>
      <c r="F36" s="118" t="s">
        <v>141</v>
      </c>
      <c r="G36" s="174"/>
      <c r="H36" s="174"/>
      <c r="I36" s="174"/>
      <c r="J36" s="174"/>
      <c r="K36" s="174"/>
      <c r="L36" s="174"/>
      <c r="M36" s="174"/>
      <c r="BF36" s="130"/>
    </row>
    <row r="37" spans="2:58">
      <c r="B37" s="148"/>
      <c r="C37" s="153" t="s">
        <v>448</v>
      </c>
      <c r="D37" s="117" t="s">
        <v>442</v>
      </c>
      <c r="E37" s="153" t="s">
        <v>449</v>
      </c>
      <c r="F37" s="117" t="s">
        <v>443</v>
      </c>
      <c r="G37" s="123" t="s">
        <v>222</v>
      </c>
      <c r="H37" s="123" t="s">
        <v>223</v>
      </c>
      <c r="I37" s="123" t="s">
        <v>224</v>
      </c>
      <c r="J37" s="123" t="s">
        <v>225</v>
      </c>
      <c r="K37" s="123" t="s">
        <v>123</v>
      </c>
      <c r="L37" s="123" t="s">
        <v>124</v>
      </c>
      <c r="M37" s="123" t="s">
        <v>226</v>
      </c>
      <c r="BF37" s="130"/>
    </row>
    <row r="38" spans="2:58" ht="14">
      <c r="B38" s="148"/>
      <c r="C38" s="187" t="s">
        <v>450</v>
      </c>
      <c r="D38" s="117" t="s">
        <v>440</v>
      </c>
      <c r="E38" s="187" t="s">
        <v>452</v>
      </c>
      <c r="F38" s="117" t="s">
        <v>441</v>
      </c>
      <c r="G38" s="117" t="s">
        <v>205</v>
      </c>
      <c r="H38" s="117" t="s">
        <v>206</v>
      </c>
      <c r="I38" s="117" t="s">
        <v>207</v>
      </c>
      <c r="J38" s="117" t="s">
        <v>208</v>
      </c>
      <c r="K38" s="117" t="s">
        <v>209</v>
      </c>
      <c r="L38" s="117" t="s">
        <v>210</v>
      </c>
      <c r="M38" s="117" t="s">
        <v>211</v>
      </c>
      <c r="BF38" s="130"/>
    </row>
    <row r="39" spans="2:58" ht="14">
      <c r="B39" s="148"/>
      <c r="C39" s="187" t="s">
        <v>451</v>
      </c>
      <c r="D39" s="149" t="s">
        <v>445</v>
      </c>
      <c r="E39" s="187" t="s">
        <v>453</v>
      </c>
      <c r="F39" s="149" t="s">
        <v>230</v>
      </c>
      <c r="G39" s="149" t="s">
        <v>444</v>
      </c>
      <c r="H39" s="149" t="s">
        <v>234</v>
      </c>
      <c r="I39" s="149" t="s">
        <v>235</v>
      </c>
      <c r="J39" s="149" t="s">
        <v>235</v>
      </c>
      <c r="K39" s="149" t="s">
        <v>147</v>
      </c>
      <c r="L39" s="149" t="s">
        <v>235</v>
      </c>
      <c r="M39" s="188" t="s">
        <v>235</v>
      </c>
      <c r="BF39" s="130"/>
    </row>
    <row r="40" spans="2:58" ht="14">
      <c r="B40" s="144" t="s">
        <v>297</v>
      </c>
      <c r="C40" s="170" t="s">
        <v>411</v>
      </c>
      <c r="D40" s="189" t="s">
        <v>454</v>
      </c>
      <c r="E40" s="189" t="s">
        <v>455</v>
      </c>
      <c r="F40" s="189" t="s">
        <v>294</v>
      </c>
      <c r="G40" s="189" t="s">
        <v>294</v>
      </c>
      <c r="H40" s="190" t="s">
        <v>456</v>
      </c>
      <c r="I40" s="189" t="s">
        <v>457</v>
      </c>
      <c r="J40" s="189" t="s">
        <v>457</v>
      </c>
      <c r="K40" s="189" t="s">
        <v>458</v>
      </c>
      <c r="L40" s="189" t="s">
        <v>459</v>
      </c>
      <c r="M40" s="188" t="s">
        <v>459</v>
      </c>
      <c r="BF40" s="130"/>
    </row>
    <row r="41" spans="2:58" ht="14">
      <c r="B41" s="144" t="s">
        <v>297</v>
      </c>
      <c r="C41" s="170" t="s">
        <v>460</v>
      </c>
      <c r="D41" s="189" t="s">
        <v>454</v>
      </c>
      <c r="E41" s="189" t="s">
        <v>455</v>
      </c>
      <c r="F41" s="189" t="s">
        <v>294</v>
      </c>
      <c r="G41" s="189" t="s">
        <v>294</v>
      </c>
      <c r="H41" s="190" t="s">
        <v>456</v>
      </c>
      <c r="I41" s="189" t="s">
        <v>457</v>
      </c>
      <c r="J41" s="189" t="s">
        <v>457</v>
      </c>
      <c r="K41" s="189" t="s">
        <v>458</v>
      </c>
      <c r="L41" s="189" t="s">
        <v>459</v>
      </c>
      <c r="M41" s="188" t="s">
        <v>459</v>
      </c>
      <c r="BF41" s="130"/>
    </row>
    <row r="42" spans="2:58" ht="14">
      <c r="B42" s="144" t="s">
        <v>297</v>
      </c>
      <c r="C42" s="170" t="s">
        <v>419</v>
      </c>
      <c r="D42" s="189" t="s">
        <v>454</v>
      </c>
      <c r="E42" s="189" t="s">
        <v>455</v>
      </c>
      <c r="F42" s="189" t="s">
        <v>294</v>
      </c>
      <c r="G42" s="189" t="s">
        <v>294</v>
      </c>
      <c r="H42" s="190" t="s">
        <v>456</v>
      </c>
      <c r="I42" s="189" t="s">
        <v>457</v>
      </c>
      <c r="J42" s="189" t="s">
        <v>457</v>
      </c>
      <c r="K42" s="189" t="s">
        <v>458</v>
      </c>
      <c r="L42" s="189" t="s">
        <v>459</v>
      </c>
      <c r="M42" s="188" t="s">
        <v>459</v>
      </c>
      <c r="BF42" s="130"/>
    </row>
    <row r="43" spans="2:58" ht="14">
      <c r="B43" s="144" t="s">
        <v>297</v>
      </c>
      <c r="C43" s="170" t="s">
        <v>299</v>
      </c>
      <c r="D43" s="189" t="s">
        <v>454</v>
      </c>
      <c r="E43" s="189" t="s">
        <v>455</v>
      </c>
      <c r="F43" s="189" t="s">
        <v>294</v>
      </c>
      <c r="G43" s="189" t="s">
        <v>294</v>
      </c>
      <c r="H43" s="192" t="s">
        <v>456</v>
      </c>
      <c r="I43" s="189" t="s">
        <v>457</v>
      </c>
      <c r="J43" s="189" t="s">
        <v>457</v>
      </c>
      <c r="K43" s="189" t="s">
        <v>458</v>
      </c>
      <c r="L43" s="189" t="s">
        <v>459</v>
      </c>
      <c r="M43" s="188" t="s">
        <v>459</v>
      </c>
      <c r="BF43" s="130"/>
    </row>
    <row r="44" spans="2:58" ht="14">
      <c r="B44" s="142" t="s">
        <v>292</v>
      </c>
      <c r="C44" s="188" t="s">
        <v>410</v>
      </c>
      <c r="D44" s="189" t="s">
        <v>454</v>
      </c>
      <c r="E44" s="189" t="s">
        <v>455</v>
      </c>
      <c r="F44" s="189" t="s">
        <v>294</v>
      </c>
      <c r="G44" s="189" t="s">
        <v>294</v>
      </c>
      <c r="H44" s="192" t="s">
        <v>456</v>
      </c>
      <c r="I44" s="189" t="s">
        <v>457</v>
      </c>
      <c r="J44" s="189" t="s">
        <v>457</v>
      </c>
      <c r="K44" s="189" t="s">
        <v>458</v>
      </c>
      <c r="L44" s="189" t="s">
        <v>459</v>
      </c>
      <c r="M44" s="188" t="s">
        <v>459</v>
      </c>
      <c r="BF44" s="130"/>
    </row>
    <row r="45" spans="2:58" ht="14">
      <c r="B45" s="144" t="s">
        <v>297</v>
      </c>
      <c r="C45" s="188" t="s">
        <v>410</v>
      </c>
      <c r="D45" s="188" t="s">
        <v>454</v>
      </c>
      <c r="E45" s="170" t="s">
        <v>565</v>
      </c>
      <c r="F45" s="189" t="s">
        <v>156</v>
      </c>
      <c r="G45" s="189" t="s">
        <v>294</v>
      </c>
      <c r="H45" s="189" t="s">
        <v>456</v>
      </c>
      <c r="I45" s="189" t="s">
        <v>457</v>
      </c>
      <c r="J45" s="189" t="s">
        <v>457</v>
      </c>
      <c r="K45" s="189" t="s">
        <v>458</v>
      </c>
      <c r="L45" s="189" t="s">
        <v>459</v>
      </c>
      <c r="M45" s="189" t="s">
        <v>459</v>
      </c>
      <c r="BF45" s="130"/>
    </row>
    <row r="46" spans="2:58" ht="14">
      <c r="B46" s="144" t="s">
        <v>297</v>
      </c>
      <c r="C46" s="193" t="s">
        <v>410</v>
      </c>
      <c r="D46" s="193" t="s">
        <v>569</v>
      </c>
      <c r="E46" s="170" t="s">
        <v>570</v>
      </c>
      <c r="F46" s="189" t="s">
        <v>156</v>
      </c>
      <c r="G46" s="189" t="s">
        <v>294</v>
      </c>
      <c r="H46" s="189" t="s">
        <v>456</v>
      </c>
      <c r="I46" s="189" t="s">
        <v>457</v>
      </c>
      <c r="J46" s="189" t="s">
        <v>457</v>
      </c>
      <c r="K46" s="189" t="s">
        <v>458</v>
      </c>
      <c r="L46" s="189" t="s">
        <v>459</v>
      </c>
      <c r="M46" s="189" t="s">
        <v>459</v>
      </c>
      <c r="BF46" s="130"/>
    </row>
    <row r="47" spans="2:58" ht="14">
      <c r="B47" s="144" t="s">
        <v>297</v>
      </c>
      <c r="C47" s="193" t="s">
        <v>410</v>
      </c>
      <c r="D47" s="193" t="s">
        <v>569</v>
      </c>
      <c r="E47" s="170" t="s">
        <v>571</v>
      </c>
      <c r="F47" s="189" t="s">
        <v>156</v>
      </c>
      <c r="G47" s="189" t="s">
        <v>294</v>
      </c>
      <c r="H47" s="189" t="s">
        <v>456</v>
      </c>
      <c r="I47" s="189" t="s">
        <v>457</v>
      </c>
      <c r="J47" s="189" t="s">
        <v>457</v>
      </c>
      <c r="K47" s="189" t="s">
        <v>458</v>
      </c>
      <c r="L47" s="189" t="s">
        <v>459</v>
      </c>
      <c r="M47" s="189" t="s">
        <v>459</v>
      </c>
      <c r="BF47" s="130"/>
    </row>
    <row r="48" spans="2:58" ht="14">
      <c r="B48" s="142" t="s">
        <v>292</v>
      </c>
      <c r="C48" s="193" t="s">
        <v>410</v>
      </c>
      <c r="D48" s="193" t="s">
        <v>569</v>
      </c>
      <c r="E48" s="193" t="s">
        <v>572</v>
      </c>
      <c r="F48" s="189" t="s">
        <v>294</v>
      </c>
      <c r="G48" s="189" t="s">
        <v>294</v>
      </c>
      <c r="H48" s="189" t="s">
        <v>456</v>
      </c>
      <c r="I48" s="189" t="s">
        <v>457</v>
      </c>
      <c r="J48" s="189" t="s">
        <v>457</v>
      </c>
      <c r="K48" s="189" t="s">
        <v>458</v>
      </c>
      <c r="L48" s="189" t="s">
        <v>459</v>
      </c>
      <c r="M48" s="189" t="s">
        <v>459</v>
      </c>
      <c r="BF48" s="130"/>
    </row>
    <row r="49" spans="1:59" ht="14">
      <c r="B49" s="142" t="s">
        <v>292</v>
      </c>
      <c r="C49" s="193" t="s">
        <v>410</v>
      </c>
      <c r="D49" s="193" t="s">
        <v>569</v>
      </c>
      <c r="E49" s="193" t="s">
        <v>573</v>
      </c>
      <c r="F49" s="189" t="s">
        <v>294</v>
      </c>
      <c r="G49" s="189" t="s">
        <v>294</v>
      </c>
      <c r="H49" s="189" t="s">
        <v>456</v>
      </c>
      <c r="I49" s="189" t="s">
        <v>457</v>
      </c>
      <c r="J49" s="189" t="s">
        <v>457</v>
      </c>
      <c r="K49" s="189" t="s">
        <v>458</v>
      </c>
      <c r="L49" s="189" t="s">
        <v>459</v>
      </c>
      <c r="M49" s="189" t="s">
        <v>459</v>
      </c>
      <c r="BF49" s="130"/>
    </row>
    <row r="50" spans="1:59" ht="14">
      <c r="B50" s="142"/>
      <c r="C50" s="169"/>
      <c r="D50" s="169"/>
      <c r="E50" s="169"/>
      <c r="F50" s="169"/>
      <c r="G50" s="169"/>
      <c r="I50" s="169"/>
      <c r="J50" s="169"/>
      <c r="K50" s="169"/>
      <c r="L50" s="169"/>
      <c r="M50" s="169"/>
      <c r="AO50" s="199"/>
      <c r="BF50" s="130"/>
    </row>
    <row r="51" spans="1:59" ht="14">
      <c r="B51" s="142"/>
      <c r="C51" s="169"/>
      <c r="D51" s="169"/>
      <c r="E51" s="169"/>
      <c r="F51" s="169"/>
      <c r="G51" s="169"/>
      <c r="I51" s="169"/>
      <c r="J51" s="169"/>
      <c r="K51" s="169"/>
      <c r="L51" s="169"/>
      <c r="M51" s="169"/>
      <c r="AO51" s="199"/>
      <c r="BF51" s="130"/>
    </row>
    <row r="52" spans="1:59" ht="14">
      <c r="B52" s="148"/>
      <c r="E52" s="173"/>
      <c r="F52" s="173"/>
      <c r="G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57"/>
      <c r="AO52" s="173"/>
      <c r="BF52" s="130"/>
    </row>
    <row r="53" spans="1:59" s="27" customFormat="1" ht="19.5" customHeight="1">
      <c r="B53" s="223"/>
      <c r="C53" s="137" t="s">
        <v>472</v>
      </c>
      <c r="D53" s="138"/>
      <c r="E53" s="138"/>
      <c r="F53" s="138"/>
      <c r="G53" s="138"/>
      <c r="H53" s="95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93"/>
      <c r="T53" s="93"/>
      <c r="U53" s="93"/>
      <c r="V53" s="93"/>
      <c r="W53" s="93"/>
      <c r="X53" s="93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138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238"/>
      <c r="BG53"/>
    </row>
    <row r="54" spans="1:59" s="73" customFormat="1" ht="16.5" customHeight="1">
      <c r="A54" s="71"/>
      <c r="B54" s="224"/>
      <c r="C54" s="140"/>
      <c r="D54" s="140"/>
      <c r="E54" s="140"/>
      <c r="F54" s="141" t="s">
        <v>141</v>
      </c>
      <c r="G54" s="146"/>
      <c r="H54" s="141"/>
      <c r="I54" s="141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1"/>
      <c r="AL54" s="147"/>
      <c r="AM54" s="147"/>
      <c r="AN54" s="147"/>
      <c r="AO54" s="141"/>
      <c r="AP54" s="147"/>
      <c r="AQ54" s="147"/>
      <c r="AR54" s="141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239"/>
      <c r="BG54"/>
    </row>
    <row r="55" spans="1:59" s="80" customFormat="1" ht="86" customHeight="1">
      <c r="B55" s="225"/>
      <c r="C55" s="116" t="s">
        <v>300</v>
      </c>
      <c r="D55" s="116" t="s">
        <v>301</v>
      </c>
      <c r="E55" s="116" t="s">
        <v>302</v>
      </c>
      <c r="F55" s="123" t="s">
        <v>337</v>
      </c>
      <c r="G55" s="123" t="s">
        <v>303</v>
      </c>
      <c r="H55" s="123" t="s">
        <v>244</v>
      </c>
      <c r="I55" s="123" t="s">
        <v>305</v>
      </c>
      <c r="J55" s="123" t="s">
        <v>306</v>
      </c>
      <c r="K55" s="123" t="s">
        <v>307</v>
      </c>
      <c r="L55" s="123" t="s">
        <v>308</v>
      </c>
      <c r="M55" s="123" t="s">
        <v>309</v>
      </c>
      <c r="N55" s="123" t="s">
        <v>310</v>
      </c>
      <c r="O55" s="123" t="s">
        <v>311</v>
      </c>
      <c r="P55" s="123" t="s">
        <v>312</v>
      </c>
      <c r="Q55" s="123" t="s">
        <v>313</v>
      </c>
      <c r="R55" s="123" t="s">
        <v>314</v>
      </c>
      <c r="S55" s="123" t="s">
        <v>315</v>
      </c>
      <c r="T55" s="123" t="s">
        <v>316</v>
      </c>
      <c r="U55" s="123" t="s">
        <v>317</v>
      </c>
      <c r="V55" s="123" t="s">
        <v>318</v>
      </c>
      <c r="W55" s="123" t="s">
        <v>319</v>
      </c>
      <c r="X55" s="123" t="s">
        <v>320</v>
      </c>
      <c r="Y55" s="123" t="s">
        <v>321</v>
      </c>
      <c r="Z55" s="123" t="s">
        <v>322</v>
      </c>
      <c r="AA55" s="123" t="s">
        <v>323</v>
      </c>
      <c r="AB55" s="123" t="s">
        <v>324</v>
      </c>
      <c r="AC55" s="123" t="s">
        <v>325</v>
      </c>
      <c r="AD55" s="123" t="s">
        <v>326</v>
      </c>
      <c r="AE55" s="123" t="s">
        <v>327</v>
      </c>
      <c r="AF55" s="123" t="s">
        <v>328</v>
      </c>
      <c r="AG55" s="123" t="s">
        <v>329</v>
      </c>
      <c r="AH55" s="123" t="s">
        <v>330</v>
      </c>
      <c r="AI55" s="123" t="s">
        <v>331</v>
      </c>
      <c r="AJ55" s="123" t="s">
        <v>332</v>
      </c>
      <c r="AK55" s="123" t="s">
        <v>333</v>
      </c>
      <c r="AL55" s="123" t="s">
        <v>334</v>
      </c>
      <c r="AM55" s="123" t="s">
        <v>335</v>
      </c>
      <c r="AN55" s="123" t="s">
        <v>336</v>
      </c>
      <c r="AO55" s="123" t="s">
        <v>304</v>
      </c>
      <c r="AP55" s="123" t="s">
        <v>338</v>
      </c>
      <c r="AQ55" s="123" t="s">
        <v>339</v>
      </c>
      <c r="AR55" s="123" t="s">
        <v>340</v>
      </c>
      <c r="AS55" s="123" t="s">
        <v>341</v>
      </c>
      <c r="AT55" s="123" t="s">
        <v>342</v>
      </c>
      <c r="AU55" s="123" t="s">
        <v>343</v>
      </c>
      <c r="AV55" s="123" t="s">
        <v>344</v>
      </c>
      <c r="AW55" s="123" t="s">
        <v>345</v>
      </c>
      <c r="AX55" s="123" t="s">
        <v>346</v>
      </c>
      <c r="AY55" s="123" t="s">
        <v>347</v>
      </c>
      <c r="AZ55" s="123" t="s">
        <v>222</v>
      </c>
      <c r="BA55" s="123" t="s">
        <v>223</v>
      </c>
      <c r="BB55" s="123" t="s">
        <v>224</v>
      </c>
      <c r="BC55" s="123" t="s">
        <v>225</v>
      </c>
      <c r="BD55" s="123" t="s">
        <v>123</v>
      </c>
      <c r="BE55" s="123" t="s">
        <v>124</v>
      </c>
      <c r="BF55" s="240" t="s">
        <v>226</v>
      </c>
      <c r="BG55"/>
    </row>
    <row r="56" spans="1:59" s="80" customFormat="1">
      <c r="B56" s="225"/>
      <c r="C56" s="116" t="s">
        <v>261</v>
      </c>
      <c r="D56" s="116" t="s">
        <v>262</v>
      </c>
      <c r="E56" s="116" t="s">
        <v>263</v>
      </c>
      <c r="F56" s="117" t="s">
        <v>200</v>
      </c>
      <c r="G56" s="117" t="s">
        <v>266</v>
      </c>
      <c r="H56" s="117" t="s">
        <v>265</v>
      </c>
      <c r="I56" s="117" t="s">
        <v>349</v>
      </c>
      <c r="J56" s="117" t="s">
        <v>350</v>
      </c>
      <c r="K56" s="117" t="s">
        <v>351</v>
      </c>
      <c r="L56" s="117" t="s">
        <v>352</v>
      </c>
      <c r="M56" s="117" t="s">
        <v>353</v>
      </c>
      <c r="N56" s="117" t="s">
        <v>354</v>
      </c>
      <c r="O56" s="117" t="s">
        <v>355</v>
      </c>
      <c r="P56" s="117" t="s">
        <v>356</v>
      </c>
      <c r="Q56" s="117" t="s">
        <v>357</v>
      </c>
      <c r="R56" s="117" t="s">
        <v>358</v>
      </c>
      <c r="S56" s="117" t="s">
        <v>359</v>
      </c>
      <c r="T56" s="117" t="s">
        <v>360</v>
      </c>
      <c r="U56" s="117" t="s">
        <v>361</v>
      </c>
      <c r="V56" s="117" t="s">
        <v>362</v>
      </c>
      <c r="W56" s="117" t="s">
        <v>363</v>
      </c>
      <c r="X56" s="117" t="s">
        <v>364</v>
      </c>
      <c r="Y56" s="117" t="s">
        <v>365</v>
      </c>
      <c r="Z56" s="117" t="s">
        <v>366</v>
      </c>
      <c r="AA56" s="117" t="s">
        <v>367</v>
      </c>
      <c r="AB56" s="117" t="s">
        <v>368</v>
      </c>
      <c r="AC56" s="117" t="s">
        <v>369</v>
      </c>
      <c r="AD56" s="117" t="s">
        <v>370</v>
      </c>
      <c r="AE56" s="117" t="s">
        <v>371</v>
      </c>
      <c r="AF56" s="117" t="s">
        <v>372</v>
      </c>
      <c r="AG56" s="117" t="s">
        <v>373</v>
      </c>
      <c r="AH56" s="117" t="s">
        <v>374</v>
      </c>
      <c r="AI56" s="117" t="s">
        <v>375</v>
      </c>
      <c r="AJ56" s="117" t="s">
        <v>376</v>
      </c>
      <c r="AK56" s="117" t="s">
        <v>199</v>
      </c>
      <c r="AL56" s="117" t="s">
        <v>377</v>
      </c>
      <c r="AM56" s="117" t="s">
        <v>378</v>
      </c>
      <c r="AN56" s="117" t="s">
        <v>379</v>
      </c>
      <c r="AO56" s="117" t="s">
        <v>348</v>
      </c>
      <c r="AP56" s="117" t="s">
        <v>380</v>
      </c>
      <c r="AQ56" s="117" t="s">
        <v>381</v>
      </c>
      <c r="AR56" s="117" t="s">
        <v>382</v>
      </c>
      <c r="AS56" s="117" t="s">
        <v>383</v>
      </c>
      <c r="AT56" s="117" t="s">
        <v>384</v>
      </c>
      <c r="AU56" s="117" t="s">
        <v>385</v>
      </c>
      <c r="AV56" s="117" t="s">
        <v>386</v>
      </c>
      <c r="AW56" s="117" t="s">
        <v>387</v>
      </c>
      <c r="AX56" s="117" t="s">
        <v>388</v>
      </c>
      <c r="AY56" s="117" t="s">
        <v>389</v>
      </c>
      <c r="AZ56" s="117" t="s">
        <v>205</v>
      </c>
      <c r="BA56" s="117" t="s">
        <v>206</v>
      </c>
      <c r="BB56" s="117" t="s">
        <v>207</v>
      </c>
      <c r="BC56" s="117" t="s">
        <v>208</v>
      </c>
      <c r="BD56" s="117" t="s">
        <v>209</v>
      </c>
      <c r="BE56" s="117" t="s">
        <v>210</v>
      </c>
      <c r="BF56" s="241" t="s">
        <v>211</v>
      </c>
      <c r="BG56"/>
    </row>
    <row r="57" spans="1:59" s="70" customFormat="1" ht="13.5" customHeight="1">
      <c r="B57" s="226"/>
      <c r="C57" s="116" t="s">
        <v>282</v>
      </c>
      <c r="D57" s="116" t="s">
        <v>390</v>
      </c>
      <c r="E57" s="116" t="s">
        <v>227</v>
      </c>
      <c r="F57" s="145" t="s">
        <v>228</v>
      </c>
      <c r="G57" s="145" t="s">
        <v>230</v>
      </c>
      <c r="H57" s="145" t="s">
        <v>230</v>
      </c>
      <c r="I57" s="145" t="s">
        <v>230</v>
      </c>
      <c r="J57" s="145" t="s">
        <v>230</v>
      </c>
      <c r="K57" s="145" t="s">
        <v>391</v>
      </c>
      <c r="L57" s="145" t="s">
        <v>391</v>
      </c>
      <c r="M57" s="145" t="s">
        <v>227</v>
      </c>
      <c r="N57" s="145" t="s">
        <v>392</v>
      </c>
      <c r="O57" s="145" t="s">
        <v>230</v>
      </c>
      <c r="P57" s="145" t="s">
        <v>288</v>
      </c>
      <c r="Q57" s="145" t="s">
        <v>284</v>
      </c>
      <c r="R57" s="145" t="s">
        <v>288</v>
      </c>
      <c r="S57" s="145" t="s">
        <v>284</v>
      </c>
      <c r="T57" s="145" t="s">
        <v>284</v>
      </c>
      <c r="U57" s="145" t="s">
        <v>230</v>
      </c>
      <c r="V57" s="145" t="s">
        <v>393</v>
      </c>
      <c r="W57" s="145" t="s">
        <v>393</v>
      </c>
      <c r="X57" s="145" t="s">
        <v>228</v>
      </c>
      <c r="Y57" s="145" t="s">
        <v>392</v>
      </c>
      <c r="Z57" s="145" t="s">
        <v>392</v>
      </c>
      <c r="AA57" s="145" t="s">
        <v>284</v>
      </c>
      <c r="AB57" s="145" t="s">
        <v>287</v>
      </c>
      <c r="AC57" s="145" t="s">
        <v>288</v>
      </c>
      <c r="AD57" s="145" t="s">
        <v>288</v>
      </c>
      <c r="AE57" s="145" t="s">
        <v>394</v>
      </c>
      <c r="AF57" s="145" t="s">
        <v>394</v>
      </c>
      <c r="AG57" s="145" t="s">
        <v>288</v>
      </c>
      <c r="AH57" s="145" t="s">
        <v>288</v>
      </c>
      <c r="AI57" s="145" t="s">
        <v>394</v>
      </c>
      <c r="AJ57" s="145" t="s">
        <v>394</v>
      </c>
      <c r="AK57" s="145" t="s">
        <v>230</v>
      </c>
      <c r="AL57" s="145" t="s">
        <v>230</v>
      </c>
      <c r="AM57" s="145" t="s">
        <v>230</v>
      </c>
      <c r="AN57" s="145" t="s">
        <v>230</v>
      </c>
      <c r="AO57" s="145" t="s">
        <v>230</v>
      </c>
      <c r="AP57" s="145" t="s">
        <v>227</v>
      </c>
      <c r="AQ57" s="145" t="s">
        <v>230</v>
      </c>
      <c r="AR57" s="145" t="s">
        <v>284</v>
      </c>
      <c r="AS57" s="145" t="s">
        <v>284</v>
      </c>
      <c r="AT57" s="145" t="s">
        <v>230</v>
      </c>
      <c r="AU57" s="145" t="s">
        <v>395</v>
      </c>
      <c r="AV57" s="145" t="s">
        <v>288</v>
      </c>
      <c r="AW57" s="145" t="s">
        <v>228</v>
      </c>
      <c r="AX57" s="145" t="s">
        <v>230</v>
      </c>
      <c r="AY57" s="145" t="s">
        <v>230</v>
      </c>
      <c r="AZ57" s="145" t="s">
        <v>233</v>
      </c>
      <c r="BA57" s="145" t="s">
        <v>234</v>
      </c>
      <c r="BB57" s="145" t="s">
        <v>235</v>
      </c>
      <c r="BC57" s="145" t="s">
        <v>235</v>
      </c>
      <c r="BD57" s="145" t="s">
        <v>234</v>
      </c>
      <c r="BE57" s="145" t="s">
        <v>235</v>
      </c>
      <c r="BF57" s="242" t="s">
        <v>235</v>
      </c>
      <c r="BG57"/>
    </row>
    <row r="58" spans="1:59" s="27" customFormat="1" ht="15">
      <c r="B58" s="142" t="s">
        <v>292</v>
      </c>
      <c r="C58" s="188" t="s">
        <v>473</v>
      </c>
      <c r="D58" s="188" t="s">
        <v>408</v>
      </c>
      <c r="E58" s="188" t="s">
        <v>408</v>
      </c>
      <c r="F58" s="188">
        <v>1</v>
      </c>
      <c r="G58" s="188" t="s">
        <v>293</v>
      </c>
      <c r="H58" s="188" t="s">
        <v>293</v>
      </c>
      <c r="I58" s="188" t="s">
        <v>294</v>
      </c>
      <c r="J58" s="188" t="s">
        <v>294</v>
      </c>
      <c r="K58" s="188" t="s">
        <v>128</v>
      </c>
      <c r="L58" s="188" t="s">
        <v>128</v>
      </c>
      <c r="M58" s="188" t="s">
        <v>128</v>
      </c>
      <c r="N58" s="188" t="s">
        <v>128</v>
      </c>
      <c r="O58" s="188" t="s">
        <v>397</v>
      </c>
      <c r="P58" s="188" t="s">
        <v>294</v>
      </c>
      <c r="Q58" s="188" t="s">
        <v>474</v>
      </c>
      <c r="R58" s="188" t="s">
        <v>398</v>
      </c>
      <c r="S58" s="188" t="s">
        <v>475</v>
      </c>
      <c r="T58" s="188" t="s">
        <v>476</v>
      </c>
      <c r="U58" s="188" t="s">
        <v>156</v>
      </c>
      <c r="V58" s="188" t="s">
        <v>477</v>
      </c>
      <c r="W58" s="188" t="s">
        <v>477</v>
      </c>
      <c r="X58" s="188"/>
      <c r="Y58" s="188"/>
      <c r="Z58" s="188" t="s">
        <v>128</v>
      </c>
      <c r="AA58" s="188">
        <v>1</v>
      </c>
      <c r="AB58" s="188">
        <v>99999999</v>
      </c>
      <c r="AC58" s="188">
        <v>0</v>
      </c>
      <c r="AD58" s="188">
        <v>0</v>
      </c>
      <c r="AE58" s="188">
        <v>0</v>
      </c>
      <c r="AF58" s="188">
        <v>0</v>
      </c>
      <c r="AG58" s="188">
        <v>0</v>
      </c>
      <c r="AH58" s="188">
        <v>0</v>
      </c>
      <c r="AI58" s="188">
        <v>0</v>
      </c>
      <c r="AJ58" s="188">
        <v>0</v>
      </c>
      <c r="AK58" s="188">
        <v>1</v>
      </c>
      <c r="AL58" s="188">
        <v>1</v>
      </c>
      <c r="AM58" s="188">
        <v>0</v>
      </c>
      <c r="AN58" s="188">
        <v>0</v>
      </c>
      <c r="AO58" s="188" t="s">
        <v>396</v>
      </c>
      <c r="AP58" s="188" t="s">
        <v>128</v>
      </c>
      <c r="AQ58" s="188" t="s">
        <v>399</v>
      </c>
      <c r="AR58" s="188">
        <v>0</v>
      </c>
      <c r="AS58" s="188">
        <v>0</v>
      </c>
      <c r="AT58" s="188">
        <v>1</v>
      </c>
      <c r="AU58" s="188">
        <v>0</v>
      </c>
      <c r="AV58" s="188">
        <v>0</v>
      </c>
      <c r="AW58" s="188">
        <v>0</v>
      </c>
      <c r="AX58" s="188">
        <v>0</v>
      </c>
      <c r="AY58" s="188">
        <v>1</v>
      </c>
      <c r="AZ58" s="188">
        <v>0</v>
      </c>
      <c r="BA58" s="188">
        <v>39864.674351851849</v>
      </c>
      <c r="BB58" s="188">
        <v>440393</v>
      </c>
      <c r="BC58" s="188">
        <v>440393</v>
      </c>
      <c r="BD58" s="188">
        <v>45482.05810185185</v>
      </c>
      <c r="BE58" s="188" t="s">
        <v>400</v>
      </c>
      <c r="BF58" s="243" t="s">
        <v>400</v>
      </c>
      <c r="BG58"/>
    </row>
    <row r="59" spans="1:59" s="27" customFormat="1" ht="15">
      <c r="B59" s="144" t="s">
        <v>297</v>
      </c>
      <c r="C59" s="188" t="s">
        <v>473</v>
      </c>
      <c r="D59" s="188" t="s">
        <v>408</v>
      </c>
      <c r="E59" s="170" t="s">
        <v>478</v>
      </c>
      <c r="F59" s="188">
        <v>1</v>
      </c>
      <c r="G59" s="188" t="s">
        <v>293</v>
      </c>
      <c r="H59" s="188" t="s">
        <v>293</v>
      </c>
      <c r="I59" s="188" t="s">
        <v>294</v>
      </c>
      <c r="J59" s="188" t="s">
        <v>294</v>
      </c>
      <c r="K59" s="188" t="s">
        <v>128</v>
      </c>
      <c r="L59" s="188" t="s">
        <v>128</v>
      </c>
      <c r="M59" s="188" t="s">
        <v>128</v>
      </c>
      <c r="N59" s="188" t="s">
        <v>128</v>
      </c>
      <c r="O59" s="188" t="s">
        <v>397</v>
      </c>
      <c r="P59" s="188" t="s">
        <v>294</v>
      </c>
      <c r="Q59" s="188" t="s">
        <v>474</v>
      </c>
      <c r="R59" s="188" t="s">
        <v>398</v>
      </c>
      <c r="S59" s="188" t="s">
        <v>475</v>
      </c>
      <c r="T59" s="188" t="s">
        <v>476</v>
      </c>
      <c r="U59" s="188" t="s">
        <v>156</v>
      </c>
      <c r="V59" s="188" t="s">
        <v>477</v>
      </c>
      <c r="W59" s="188" t="s">
        <v>477</v>
      </c>
      <c r="X59" s="188"/>
      <c r="Y59" s="188"/>
      <c r="Z59" s="188" t="s">
        <v>128</v>
      </c>
      <c r="AA59" s="188">
        <v>1</v>
      </c>
      <c r="AB59" s="188">
        <v>99999999</v>
      </c>
      <c r="AC59" s="188">
        <v>0</v>
      </c>
      <c r="AD59" s="188">
        <v>0</v>
      </c>
      <c r="AE59" s="188">
        <v>0</v>
      </c>
      <c r="AF59" s="188">
        <v>0</v>
      </c>
      <c r="AG59" s="188">
        <v>0</v>
      </c>
      <c r="AH59" s="188">
        <v>0</v>
      </c>
      <c r="AI59" s="188">
        <v>0</v>
      </c>
      <c r="AJ59" s="188">
        <v>0</v>
      </c>
      <c r="AK59" s="188">
        <v>1</v>
      </c>
      <c r="AL59" s="188">
        <v>1</v>
      </c>
      <c r="AM59" s="188">
        <v>0</v>
      </c>
      <c r="AN59" s="188">
        <v>0</v>
      </c>
      <c r="AO59" s="188" t="s">
        <v>396</v>
      </c>
      <c r="AP59" s="188" t="s">
        <v>128</v>
      </c>
      <c r="AQ59" s="188" t="s">
        <v>399</v>
      </c>
      <c r="AR59" s="188">
        <v>0</v>
      </c>
      <c r="AS59" s="188">
        <v>0</v>
      </c>
      <c r="AT59" s="188">
        <v>1</v>
      </c>
      <c r="AU59" s="188">
        <v>0</v>
      </c>
      <c r="AV59" s="188">
        <v>0</v>
      </c>
      <c r="AW59" s="188">
        <v>0</v>
      </c>
      <c r="AX59" s="188">
        <v>0</v>
      </c>
      <c r="AY59" s="188">
        <v>1</v>
      </c>
      <c r="AZ59" s="188">
        <v>0</v>
      </c>
      <c r="BA59" s="188">
        <v>39864.674351851849</v>
      </c>
      <c r="BB59" s="188">
        <v>440393</v>
      </c>
      <c r="BC59" s="188">
        <v>440393</v>
      </c>
      <c r="BD59" s="188">
        <v>45482.05810185185</v>
      </c>
      <c r="BE59" s="188" t="s">
        <v>400</v>
      </c>
      <c r="BF59" s="243" t="s">
        <v>400</v>
      </c>
      <c r="BG59"/>
    </row>
    <row r="60" spans="1:59" s="27" customFormat="1" ht="15">
      <c r="B60" s="144" t="s">
        <v>297</v>
      </c>
      <c r="C60" s="188" t="s">
        <v>473</v>
      </c>
      <c r="D60" s="170" t="s">
        <v>478</v>
      </c>
      <c r="E60" s="169" t="s">
        <v>408</v>
      </c>
      <c r="F60" s="188">
        <v>1</v>
      </c>
      <c r="G60" s="188" t="s">
        <v>293</v>
      </c>
      <c r="H60" s="188" t="s">
        <v>293</v>
      </c>
      <c r="I60" s="188" t="s">
        <v>294</v>
      </c>
      <c r="J60" s="188" t="s">
        <v>294</v>
      </c>
      <c r="K60" s="188" t="s">
        <v>128</v>
      </c>
      <c r="L60" s="188" t="s">
        <v>128</v>
      </c>
      <c r="M60" s="188" t="s">
        <v>128</v>
      </c>
      <c r="N60" s="188" t="s">
        <v>128</v>
      </c>
      <c r="O60" s="188" t="s">
        <v>397</v>
      </c>
      <c r="P60" s="188" t="s">
        <v>294</v>
      </c>
      <c r="Q60" s="188" t="s">
        <v>474</v>
      </c>
      <c r="R60" s="188" t="s">
        <v>398</v>
      </c>
      <c r="S60" s="188" t="s">
        <v>475</v>
      </c>
      <c r="T60" s="188" t="s">
        <v>476</v>
      </c>
      <c r="U60" s="188" t="s">
        <v>156</v>
      </c>
      <c r="V60" s="188" t="s">
        <v>477</v>
      </c>
      <c r="W60" s="188" t="s">
        <v>477</v>
      </c>
      <c r="X60" s="188"/>
      <c r="Y60" s="188"/>
      <c r="Z60" s="188" t="s">
        <v>128</v>
      </c>
      <c r="AA60" s="188">
        <v>1</v>
      </c>
      <c r="AB60" s="188">
        <v>99999999</v>
      </c>
      <c r="AC60" s="188">
        <v>0</v>
      </c>
      <c r="AD60" s="188">
        <v>0</v>
      </c>
      <c r="AE60" s="188">
        <v>0</v>
      </c>
      <c r="AF60" s="188">
        <v>0</v>
      </c>
      <c r="AG60" s="188">
        <v>0</v>
      </c>
      <c r="AH60" s="188">
        <v>0</v>
      </c>
      <c r="AI60" s="188">
        <v>0</v>
      </c>
      <c r="AJ60" s="188">
        <v>0</v>
      </c>
      <c r="AK60" s="188">
        <v>1</v>
      </c>
      <c r="AL60" s="188">
        <v>1</v>
      </c>
      <c r="AM60" s="188">
        <v>0</v>
      </c>
      <c r="AN60" s="188">
        <v>0</v>
      </c>
      <c r="AO60" s="188" t="s">
        <v>396</v>
      </c>
      <c r="AP60" s="188" t="s">
        <v>128</v>
      </c>
      <c r="AQ60" s="188" t="s">
        <v>399</v>
      </c>
      <c r="AR60" s="188">
        <v>0</v>
      </c>
      <c r="AS60" s="188">
        <v>0</v>
      </c>
      <c r="AT60" s="188">
        <v>1</v>
      </c>
      <c r="AU60" s="188">
        <v>0</v>
      </c>
      <c r="AV60" s="188">
        <v>0</v>
      </c>
      <c r="AW60" s="188">
        <v>0</v>
      </c>
      <c r="AX60" s="188">
        <v>0</v>
      </c>
      <c r="AY60" s="188">
        <v>1</v>
      </c>
      <c r="AZ60" s="188">
        <v>0</v>
      </c>
      <c r="BA60" s="188">
        <v>39864.674351851849</v>
      </c>
      <c r="BB60" s="188">
        <v>440393</v>
      </c>
      <c r="BC60" s="188">
        <v>440393</v>
      </c>
      <c r="BD60" s="188">
        <v>45482.05810185185</v>
      </c>
      <c r="BE60" s="188" t="s">
        <v>400</v>
      </c>
      <c r="BF60" s="243" t="s">
        <v>400</v>
      </c>
      <c r="BG60"/>
    </row>
    <row r="61" spans="1:59" s="27" customFormat="1" ht="15">
      <c r="B61" s="144" t="s">
        <v>297</v>
      </c>
      <c r="C61" s="188" t="s">
        <v>473</v>
      </c>
      <c r="D61" s="169" t="s">
        <v>408</v>
      </c>
      <c r="E61" s="170" t="s">
        <v>479</v>
      </c>
      <c r="F61" s="188">
        <v>1</v>
      </c>
      <c r="G61" s="188" t="s">
        <v>293</v>
      </c>
      <c r="H61" s="188">
        <v>1</v>
      </c>
      <c r="I61" s="188" t="s">
        <v>294</v>
      </c>
      <c r="J61" s="188" t="s">
        <v>294</v>
      </c>
      <c r="K61" s="188" t="s">
        <v>128</v>
      </c>
      <c r="L61" s="188" t="s">
        <v>128</v>
      </c>
      <c r="M61" s="188" t="s">
        <v>128</v>
      </c>
      <c r="N61" s="188" t="s">
        <v>128</v>
      </c>
      <c r="O61" s="188" t="s">
        <v>397</v>
      </c>
      <c r="P61" s="188" t="s">
        <v>294</v>
      </c>
      <c r="Q61" s="188" t="s">
        <v>474</v>
      </c>
      <c r="R61" s="188" t="s">
        <v>398</v>
      </c>
      <c r="S61" s="188" t="s">
        <v>475</v>
      </c>
      <c r="T61" s="188" t="s">
        <v>476</v>
      </c>
      <c r="U61" s="188" t="s">
        <v>156</v>
      </c>
      <c r="V61" s="188" t="s">
        <v>477</v>
      </c>
      <c r="W61" s="188" t="s">
        <v>477</v>
      </c>
      <c r="X61" s="188"/>
      <c r="Y61" s="188"/>
      <c r="Z61" s="188" t="s">
        <v>128</v>
      </c>
      <c r="AA61" s="188">
        <v>1</v>
      </c>
      <c r="AB61" s="188">
        <v>99999999</v>
      </c>
      <c r="AC61" s="188">
        <v>0</v>
      </c>
      <c r="AD61" s="188">
        <v>0</v>
      </c>
      <c r="AE61" s="188">
        <v>0</v>
      </c>
      <c r="AF61" s="188">
        <v>0</v>
      </c>
      <c r="AG61" s="188">
        <v>0</v>
      </c>
      <c r="AH61" s="188">
        <v>0</v>
      </c>
      <c r="AI61" s="188">
        <v>0</v>
      </c>
      <c r="AJ61" s="188">
        <v>0</v>
      </c>
      <c r="AK61" s="188">
        <v>1</v>
      </c>
      <c r="AL61" s="188">
        <v>1</v>
      </c>
      <c r="AM61" s="188">
        <v>0</v>
      </c>
      <c r="AN61" s="188">
        <v>0</v>
      </c>
      <c r="AO61" s="188" t="s">
        <v>396</v>
      </c>
      <c r="AP61" s="188" t="s">
        <v>128</v>
      </c>
      <c r="AQ61" s="188" t="s">
        <v>399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0</v>
      </c>
      <c r="AX61" s="188">
        <v>0</v>
      </c>
      <c r="AY61" s="188">
        <v>1</v>
      </c>
      <c r="AZ61" s="188">
        <v>0</v>
      </c>
      <c r="BA61" s="188">
        <v>39864.674351851849</v>
      </c>
      <c r="BB61" s="188">
        <v>440393</v>
      </c>
      <c r="BC61" s="188">
        <v>440393</v>
      </c>
      <c r="BD61" s="188">
        <v>45482.05810185185</v>
      </c>
      <c r="BE61" s="188" t="s">
        <v>400</v>
      </c>
      <c r="BF61" s="243" t="s">
        <v>400</v>
      </c>
      <c r="BG61"/>
    </row>
    <row r="62" spans="1:59" s="27" customFormat="1" ht="15">
      <c r="B62" s="226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s="99"/>
      <c r="BG62"/>
    </row>
    <row r="63" spans="1:59" s="27" customFormat="1" ht="15">
      <c r="B63" s="226"/>
      <c r="C63" s="175" t="s">
        <v>483</v>
      </c>
      <c r="D63" s="176"/>
      <c r="E63" s="176"/>
      <c r="F63" s="176"/>
      <c r="G63" s="176"/>
      <c r="H63" s="176"/>
      <c r="I63" s="176"/>
      <c r="J63" s="176"/>
      <c r="K63" s="176"/>
      <c r="L63" s="176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s="99"/>
      <c r="BG63"/>
    </row>
    <row r="64" spans="1:59" s="27" customFormat="1" ht="15">
      <c r="B64" s="226"/>
      <c r="C64" s="118"/>
      <c r="D64" s="118" t="s">
        <v>141</v>
      </c>
      <c r="E64" s="118"/>
      <c r="F64" s="118"/>
      <c r="G64" s="174"/>
      <c r="H64" s="174"/>
      <c r="I64" s="174"/>
      <c r="J64" s="174"/>
      <c r="K64" s="174"/>
      <c r="L64" s="17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s="99"/>
      <c r="BG64"/>
    </row>
    <row r="65" spans="2:59" s="27" customFormat="1" ht="15">
      <c r="B65" s="226"/>
      <c r="C65" s="153" t="s">
        <v>487</v>
      </c>
      <c r="D65" s="117" t="s">
        <v>86</v>
      </c>
      <c r="E65" s="117" t="s">
        <v>488</v>
      </c>
      <c r="F65" s="123" t="s">
        <v>222</v>
      </c>
      <c r="G65" s="123" t="s">
        <v>223</v>
      </c>
      <c r="H65" s="123" t="s">
        <v>224</v>
      </c>
      <c r="I65" s="123" t="s">
        <v>225</v>
      </c>
      <c r="J65" s="123" t="s">
        <v>123</v>
      </c>
      <c r="K65" s="123" t="s">
        <v>124</v>
      </c>
      <c r="L65" s="123" t="s">
        <v>226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s="99"/>
      <c r="BG65"/>
    </row>
    <row r="66" spans="2:59" s="27" customFormat="1" ht="15">
      <c r="B66" s="226"/>
      <c r="C66" s="187" t="s">
        <v>484</v>
      </c>
      <c r="D66" s="117" t="s">
        <v>485</v>
      </c>
      <c r="E66" s="117" t="s">
        <v>486</v>
      </c>
      <c r="F66" s="117" t="s">
        <v>205</v>
      </c>
      <c r="G66" s="117" t="s">
        <v>206</v>
      </c>
      <c r="H66" s="117" t="s">
        <v>207</v>
      </c>
      <c r="I66" s="117" t="s">
        <v>208</v>
      </c>
      <c r="J66" s="117" t="s">
        <v>209</v>
      </c>
      <c r="K66" s="117" t="s">
        <v>210</v>
      </c>
      <c r="L66" s="117" t="s">
        <v>211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s="99"/>
      <c r="BG66"/>
    </row>
    <row r="67" spans="2:59" s="27" customFormat="1" ht="15">
      <c r="B67" s="226"/>
      <c r="C67" s="187" t="s">
        <v>232</v>
      </c>
      <c r="D67" s="149" t="s">
        <v>287</v>
      </c>
      <c r="E67" s="117" t="s">
        <v>234</v>
      </c>
      <c r="F67" s="149" t="s">
        <v>444</v>
      </c>
      <c r="G67" s="149" t="s">
        <v>234</v>
      </c>
      <c r="H67" s="149" t="s">
        <v>235</v>
      </c>
      <c r="I67" s="149" t="s">
        <v>235</v>
      </c>
      <c r="J67" s="149" t="s">
        <v>147</v>
      </c>
      <c r="K67" s="117" t="s">
        <v>235</v>
      </c>
      <c r="L67" s="117" t="s">
        <v>235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 s="99"/>
      <c r="BG67"/>
    </row>
    <row r="68" spans="2:59" s="27" customFormat="1" ht="15">
      <c r="B68" s="144" t="s">
        <v>297</v>
      </c>
      <c r="C68" s="170" t="s">
        <v>494</v>
      </c>
      <c r="D68" s="189" t="s">
        <v>495</v>
      </c>
      <c r="E68" s="189" t="s">
        <v>496</v>
      </c>
      <c r="F68" s="189" t="s">
        <v>497</v>
      </c>
      <c r="G68" s="189" t="s">
        <v>498</v>
      </c>
      <c r="H68" s="190" t="s">
        <v>499</v>
      </c>
      <c r="I68" s="189" t="s">
        <v>500</v>
      </c>
      <c r="J68" s="189" t="s">
        <v>501</v>
      </c>
      <c r="K68" s="189" t="s">
        <v>502</v>
      </c>
      <c r="L68" s="117" t="s">
        <v>502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s="99"/>
      <c r="BG68"/>
    </row>
    <row r="69" spans="2:59" s="27" customFormat="1" ht="15">
      <c r="B69" s="142" t="s">
        <v>292</v>
      </c>
      <c r="C69" s="169" t="s">
        <v>489</v>
      </c>
      <c r="D69" s="189" t="s">
        <v>490</v>
      </c>
      <c r="E69" s="189" t="s">
        <v>491</v>
      </c>
      <c r="F69" s="189" t="s">
        <v>294</v>
      </c>
      <c r="G69" s="189" t="s">
        <v>491</v>
      </c>
      <c r="H69" s="190" t="s">
        <v>492</v>
      </c>
      <c r="I69" s="189" t="s">
        <v>493</v>
      </c>
      <c r="J69" s="189" t="s">
        <v>491</v>
      </c>
      <c r="K69" s="189" t="s">
        <v>492</v>
      </c>
      <c r="L69" s="117" t="s">
        <v>493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s="99"/>
      <c r="BG69"/>
    </row>
    <row r="70" spans="2:59" s="27" customFormat="1" ht="15">
      <c r="B70" s="144" t="s">
        <v>297</v>
      </c>
      <c r="C70" s="170" t="s">
        <v>503</v>
      </c>
      <c r="D70" s="189" t="s">
        <v>504</v>
      </c>
      <c r="E70" s="189" t="s">
        <v>505</v>
      </c>
      <c r="F70" s="189" t="s">
        <v>296</v>
      </c>
      <c r="G70" s="189" t="s">
        <v>505</v>
      </c>
      <c r="H70" s="190" t="s">
        <v>506</v>
      </c>
      <c r="I70" s="189" t="s">
        <v>507</v>
      </c>
      <c r="J70" s="189" t="s">
        <v>505</v>
      </c>
      <c r="K70" s="189" t="s">
        <v>508</v>
      </c>
      <c r="L70" s="117" t="s">
        <v>510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s="99"/>
      <c r="BG70"/>
    </row>
    <row r="71" spans="2:59" s="27" customFormat="1" ht="15">
      <c r="B71" s="144" t="s">
        <v>297</v>
      </c>
      <c r="C71" s="170" t="s">
        <v>509</v>
      </c>
      <c r="D71" s="189" t="s">
        <v>504</v>
      </c>
      <c r="E71" s="189" t="s">
        <v>505</v>
      </c>
      <c r="F71" s="189" t="s">
        <v>296</v>
      </c>
      <c r="G71" s="189" t="s">
        <v>505</v>
      </c>
      <c r="H71" s="192" t="s">
        <v>506</v>
      </c>
      <c r="I71" s="189" t="s">
        <v>507</v>
      </c>
      <c r="J71" s="189" t="s">
        <v>505</v>
      </c>
      <c r="K71" s="189" t="s">
        <v>508</v>
      </c>
      <c r="L71" s="117" t="s">
        <v>510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99"/>
      <c r="BG71"/>
    </row>
    <row r="72" spans="2:59" s="27" customFormat="1" ht="15">
      <c r="B72" s="98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99"/>
      <c r="BG72"/>
    </row>
    <row r="73" spans="2:59" s="27" customFormat="1" ht="15">
      <c r="B73" s="98"/>
      <c r="C73" s="175" t="s">
        <v>515</v>
      </c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s="99"/>
      <c r="BG73"/>
    </row>
    <row r="74" spans="2:59" s="27" customFormat="1" ht="15">
      <c r="B74" s="98"/>
      <c r="C74" s="118"/>
      <c r="D74" s="174"/>
      <c r="E74" s="118" t="s">
        <v>141</v>
      </c>
      <c r="F74" s="118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 s="99"/>
      <c r="BG74"/>
    </row>
    <row r="75" spans="2:59" s="27" customFormat="1" ht="15">
      <c r="B75" s="98"/>
      <c r="C75" s="153" t="s">
        <v>516</v>
      </c>
      <c r="D75" s="153" t="s">
        <v>517</v>
      </c>
      <c r="E75" s="197" t="s">
        <v>518</v>
      </c>
      <c r="F75" s="117" t="s">
        <v>519</v>
      </c>
      <c r="G75" s="153" t="s">
        <v>520</v>
      </c>
      <c r="H75" s="123" t="s">
        <v>521</v>
      </c>
      <c r="I75" s="123" t="s">
        <v>522</v>
      </c>
      <c r="J75" s="123" t="s">
        <v>523</v>
      </c>
      <c r="K75" s="123" t="s">
        <v>222</v>
      </c>
      <c r="L75" s="123" t="s">
        <v>223</v>
      </c>
      <c r="M75" s="123" t="s">
        <v>224</v>
      </c>
      <c r="N75" s="123" t="s">
        <v>225</v>
      </c>
      <c r="O75" s="123" t="s">
        <v>123</v>
      </c>
      <c r="P75" s="123" t="s">
        <v>124</v>
      </c>
      <c r="Q75" s="123" t="s">
        <v>226</v>
      </c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s="99"/>
      <c r="BG75"/>
    </row>
    <row r="76" spans="2:59" s="27" customFormat="1" ht="15">
      <c r="B76" s="98"/>
      <c r="C76" s="187" t="s">
        <v>524</v>
      </c>
      <c r="D76" s="187" t="s">
        <v>525</v>
      </c>
      <c r="E76" s="198" t="s">
        <v>526</v>
      </c>
      <c r="F76" s="117" t="s">
        <v>527</v>
      </c>
      <c r="G76" s="187" t="s">
        <v>528</v>
      </c>
      <c r="H76" s="117" t="s">
        <v>529</v>
      </c>
      <c r="I76" s="117" t="s">
        <v>530</v>
      </c>
      <c r="J76" s="117" t="s">
        <v>531</v>
      </c>
      <c r="K76" s="117" t="s">
        <v>205</v>
      </c>
      <c r="L76" s="117" t="s">
        <v>206</v>
      </c>
      <c r="M76" s="117" t="s">
        <v>207</v>
      </c>
      <c r="N76" s="117" t="s">
        <v>208</v>
      </c>
      <c r="O76" s="117" t="s">
        <v>209</v>
      </c>
      <c r="P76" s="117" t="s">
        <v>210</v>
      </c>
      <c r="Q76" s="117" t="s">
        <v>211</v>
      </c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s="99"/>
      <c r="BG76"/>
    </row>
    <row r="77" spans="2:59" s="27" customFormat="1" ht="15">
      <c r="B77" s="98"/>
      <c r="C77" s="187" t="s">
        <v>451</v>
      </c>
      <c r="D77" s="187" t="s">
        <v>287</v>
      </c>
      <c r="E77" s="198" t="s">
        <v>532</v>
      </c>
      <c r="F77" s="149" t="s">
        <v>533</v>
      </c>
      <c r="G77" s="187" t="s">
        <v>534</v>
      </c>
      <c r="H77" s="149" t="s">
        <v>535</v>
      </c>
      <c r="I77" s="149" t="s">
        <v>535</v>
      </c>
      <c r="J77" s="149" t="s">
        <v>535</v>
      </c>
      <c r="K77" s="149" t="s">
        <v>444</v>
      </c>
      <c r="L77" s="149" t="s">
        <v>234</v>
      </c>
      <c r="M77" s="149" t="s">
        <v>235</v>
      </c>
      <c r="N77" s="149" t="s">
        <v>235</v>
      </c>
      <c r="O77" s="149" t="s">
        <v>147</v>
      </c>
      <c r="P77" s="149" t="s">
        <v>235</v>
      </c>
      <c r="Q77" s="149" t="s">
        <v>235</v>
      </c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s="99"/>
      <c r="BG77"/>
    </row>
    <row r="78" spans="2:59" s="27" customFormat="1" ht="15">
      <c r="B78" s="144" t="s">
        <v>297</v>
      </c>
      <c r="C78" s="170" t="s">
        <v>546</v>
      </c>
      <c r="D78" s="170" t="s">
        <v>550</v>
      </c>
      <c r="E78" s="189" t="s">
        <v>538</v>
      </c>
      <c r="F78" s="189" t="s">
        <v>538</v>
      </c>
      <c r="G78" s="189" t="s">
        <v>539</v>
      </c>
      <c r="H78" s="192" t="s">
        <v>156</v>
      </c>
      <c r="I78" s="189" t="s">
        <v>293</v>
      </c>
      <c r="J78" s="189" t="s">
        <v>396</v>
      </c>
      <c r="K78" s="189" t="s">
        <v>294</v>
      </c>
      <c r="L78" s="188"/>
      <c r="M78" s="188"/>
      <c r="N78" s="188"/>
      <c r="O78" s="188"/>
      <c r="P78" s="188"/>
      <c r="Q78" s="18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s="99"/>
      <c r="BG78"/>
    </row>
    <row r="79" spans="2:59" s="27" customFormat="1" ht="15">
      <c r="B79" s="144" t="s">
        <v>297</v>
      </c>
      <c r="C79" s="170" t="s">
        <v>546</v>
      </c>
      <c r="D79" s="170" t="s">
        <v>551</v>
      </c>
      <c r="E79" s="189" t="s">
        <v>538</v>
      </c>
      <c r="F79" s="189" t="s">
        <v>538</v>
      </c>
      <c r="G79" s="189" t="s">
        <v>539</v>
      </c>
      <c r="H79" s="192" t="s">
        <v>156</v>
      </c>
      <c r="I79" s="189" t="s">
        <v>293</v>
      </c>
      <c r="J79" s="189" t="s">
        <v>396</v>
      </c>
      <c r="K79" s="189" t="s">
        <v>294</v>
      </c>
      <c r="L79" s="188"/>
      <c r="M79" s="188"/>
      <c r="N79" s="188"/>
      <c r="O79" s="188"/>
      <c r="P79" s="188"/>
      <c r="Q79" s="188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s="99"/>
      <c r="BG79"/>
    </row>
    <row r="80" spans="2:59" s="27" customFormat="1" ht="15">
      <c r="B80" s="144" t="s">
        <v>297</v>
      </c>
      <c r="C80" s="170" t="s">
        <v>546</v>
      </c>
      <c r="D80" s="170" t="s">
        <v>547</v>
      </c>
      <c r="E80" s="189" t="s">
        <v>538</v>
      </c>
      <c r="F80" s="189" t="s">
        <v>538</v>
      </c>
      <c r="G80" s="170" t="s">
        <v>542</v>
      </c>
      <c r="H80" s="190" t="s">
        <v>156</v>
      </c>
      <c r="I80" s="189" t="s">
        <v>293</v>
      </c>
      <c r="J80" s="189" t="s">
        <v>396</v>
      </c>
      <c r="K80" s="189" t="s">
        <v>294</v>
      </c>
      <c r="L80" s="188"/>
      <c r="M80" s="188"/>
      <c r="N80" s="188"/>
      <c r="O80" s="188"/>
      <c r="P80" s="188"/>
      <c r="Q80" s="188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 s="99"/>
      <c r="BG80"/>
    </row>
    <row r="81" spans="2:59" s="27" customFormat="1" ht="15">
      <c r="B81" s="142" t="s">
        <v>292</v>
      </c>
      <c r="C81" s="193" t="s">
        <v>679</v>
      </c>
      <c r="D81" s="193" t="s">
        <v>680</v>
      </c>
      <c r="E81" s="193" t="s">
        <v>769</v>
      </c>
      <c r="F81" s="193" t="s">
        <v>538</v>
      </c>
      <c r="G81" s="193" t="s">
        <v>539</v>
      </c>
      <c r="H81" s="193" t="s">
        <v>156</v>
      </c>
      <c r="I81" s="193" t="s">
        <v>293</v>
      </c>
      <c r="J81" s="193" t="s">
        <v>396</v>
      </c>
      <c r="K81" s="193" t="s">
        <v>294</v>
      </c>
      <c r="L81" s="193"/>
      <c r="M81" s="193"/>
      <c r="N81" s="193"/>
      <c r="O81" s="193"/>
      <c r="P81" s="193"/>
      <c r="Q81" s="193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s="99"/>
      <c r="BG81"/>
    </row>
    <row r="82" spans="2:59" s="27" customFormat="1" ht="15">
      <c r="B82" s="98"/>
      <c r="G82" s="227"/>
      <c r="BF82" s="99"/>
      <c r="BG82"/>
    </row>
    <row r="83" spans="2:59" s="27" customFormat="1" ht="15">
      <c r="B83" s="98"/>
      <c r="C83" s="137" t="s">
        <v>242</v>
      </c>
      <c r="D83" s="138"/>
      <c r="E83" s="138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7"/>
      <c r="Y83" s="68"/>
      <c r="Z83" s="68"/>
      <c r="AA83" s="68"/>
      <c r="AB83" s="68"/>
      <c r="AC83" s="68"/>
      <c r="AD83" s="139"/>
      <c r="BF83" s="99"/>
      <c r="BG83"/>
    </row>
    <row r="84" spans="2:59" s="27" customFormat="1" ht="15">
      <c r="B84" s="98"/>
      <c r="C84" s="140"/>
      <c r="D84" s="140"/>
      <c r="E84" s="140"/>
      <c r="F84" s="141" t="s">
        <v>141</v>
      </c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BF84" s="99"/>
      <c r="BG84"/>
    </row>
    <row r="85" spans="2:59" s="27" customFormat="1" ht="15">
      <c r="B85" s="98"/>
      <c r="C85" s="116" t="s">
        <v>144</v>
      </c>
      <c r="D85" s="116" t="s">
        <v>145</v>
      </c>
      <c r="E85" s="116" t="s">
        <v>146</v>
      </c>
      <c r="F85" s="123" t="s">
        <v>243</v>
      </c>
      <c r="G85" s="123" t="s">
        <v>244</v>
      </c>
      <c r="H85" s="123" t="s">
        <v>245</v>
      </c>
      <c r="I85" s="123" t="s">
        <v>246</v>
      </c>
      <c r="J85" s="123" t="s">
        <v>247</v>
      </c>
      <c r="K85" s="123" t="s">
        <v>248</v>
      </c>
      <c r="L85" s="123" t="s">
        <v>249</v>
      </c>
      <c r="M85" s="123" t="s">
        <v>250</v>
      </c>
      <c r="N85" s="123" t="s">
        <v>251</v>
      </c>
      <c r="O85" s="123" t="s">
        <v>252</v>
      </c>
      <c r="P85" s="123" t="s">
        <v>253</v>
      </c>
      <c r="Q85" s="123" t="s">
        <v>254</v>
      </c>
      <c r="R85" s="123" t="s">
        <v>255</v>
      </c>
      <c r="S85" s="123" t="s">
        <v>256</v>
      </c>
      <c r="T85" s="123" t="s">
        <v>257</v>
      </c>
      <c r="U85" s="123" t="s">
        <v>258</v>
      </c>
      <c r="V85" s="123" t="s">
        <v>259</v>
      </c>
      <c r="W85" s="123" t="s">
        <v>260</v>
      </c>
      <c r="X85" s="123" t="s">
        <v>222</v>
      </c>
      <c r="Y85" s="123" t="s">
        <v>223</v>
      </c>
      <c r="Z85" s="123" t="s">
        <v>224</v>
      </c>
      <c r="AA85" s="123" t="s">
        <v>225</v>
      </c>
      <c r="AB85" s="123" t="s">
        <v>123</v>
      </c>
      <c r="AC85" s="123" t="s">
        <v>124</v>
      </c>
      <c r="AD85" s="123" t="s">
        <v>226</v>
      </c>
      <c r="BF85" s="99"/>
      <c r="BG85"/>
    </row>
    <row r="86" spans="2:59" s="27" customFormat="1" ht="15">
      <c r="B86" s="98"/>
      <c r="C86" s="116" t="s">
        <v>261</v>
      </c>
      <c r="D86" s="116" t="s">
        <v>262</v>
      </c>
      <c r="E86" s="116" t="s">
        <v>263</v>
      </c>
      <c r="F86" s="117" t="s">
        <v>264</v>
      </c>
      <c r="G86" s="117" t="s">
        <v>265</v>
      </c>
      <c r="H86" s="117" t="s">
        <v>266</v>
      </c>
      <c r="I86" s="117" t="s">
        <v>267</v>
      </c>
      <c r="J86" s="117" t="s">
        <v>268</v>
      </c>
      <c r="K86" s="117" t="s">
        <v>269</v>
      </c>
      <c r="L86" s="117" t="s">
        <v>270</v>
      </c>
      <c r="M86" s="117" t="s">
        <v>271</v>
      </c>
      <c r="N86" s="117" t="s">
        <v>272</v>
      </c>
      <c r="O86" s="117" t="s">
        <v>273</v>
      </c>
      <c r="P86" s="117" t="s">
        <v>274</v>
      </c>
      <c r="Q86" s="117" t="s">
        <v>275</v>
      </c>
      <c r="R86" s="117" t="s">
        <v>276</v>
      </c>
      <c r="S86" s="117" t="s">
        <v>277</v>
      </c>
      <c r="T86" s="117" t="s">
        <v>278</v>
      </c>
      <c r="U86" s="117" t="s">
        <v>279</v>
      </c>
      <c r="V86" s="117" t="s">
        <v>280</v>
      </c>
      <c r="W86" s="117" t="s">
        <v>281</v>
      </c>
      <c r="X86" s="117" t="s">
        <v>205</v>
      </c>
      <c r="Y86" s="117" t="s">
        <v>206</v>
      </c>
      <c r="Z86" s="117" t="s">
        <v>207</v>
      </c>
      <c r="AA86" s="117" t="s">
        <v>208</v>
      </c>
      <c r="AB86" s="117" t="s">
        <v>209</v>
      </c>
      <c r="AC86" s="117" t="s">
        <v>210</v>
      </c>
      <c r="AD86" s="117" t="s">
        <v>211</v>
      </c>
      <c r="BF86" s="99"/>
      <c r="BG86"/>
    </row>
    <row r="87" spans="2:59" s="27" customFormat="1" ht="15">
      <c r="B87" s="98"/>
      <c r="C87" s="116" t="s">
        <v>282</v>
      </c>
      <c r="D87" s="116" t="s">
        <v>227</v>
      </c>
      <c r="E87" s="116" t="s">
        <v>227</v>
      </c>
      <c r="F87" s="123" t="s">
        <v>230</v>
      </c>
      <c r="G87" s="123" t="s">
        <v>230</v>
      </c>
      <c r="H87" s="123" t="s">
        <v>230</v>
      </c>
      <c r="I87" s="123" t="s">
        <v>283</v>
      </c>
      <c r="J87" s="123" t="s">
        <v>284</v>
      </c>
      <c r="K87" s="123" t="s">
        <v>285</v>
      </c>
      <c r="L87" s="117" t="s">
        <v>228</v>
      </c>
      <c r="M87" s="123" t="s">
        <v>228</v>
      </c>
      <c r="N87" s="123" t="s">
        <v>286</v>
      </c>
      <c r="O87" s="123" t="s">
        <v>230</v>
      </c>
      <c r="P87" s="123" t="s">
        <v>287</v>
      </c>
      <c r="Q87" s="123" t="s">
        <v>288</v>
      </c>
      <c r="R87" s="123" t="s">
        <v>287</v>
      </c>
      <c r="S87" s="123" t="s">
        <v>232</v>
      </c>
      <c r="T87" s="117" t="s">
        <v>289</v>
      </c>
      <c r="U87" s="123" t="s">
        <v>289</v>
      </c>
      <c r="V87" s="123" t="s">
        <v>290</v>
      </c>
      <c r="W87" s="123" t="s">
        <v>230</v>
      </c>
      <c r="X87" s="123" t="s">
        <v>233</v>
      </c>
      <c r="Y87" s="123" t="s">
        <v>291</v>
      </c>
      <c r="Z87" s="123" t="s">
        <v>235</v>
      </c>
      <c r="AA87" s="123" t="s">
        <v>235</v>
      </c>
      <c r="AB87" s="117" t="s">
        <v>234</v>
      </c>
      <c r="AC87" s="123" t="s">
        <v>235</v>
      </c>
      <c r="AD87" s="123" t="s">
        <v>235</v>
      </c>
      <c r="BF87" s="99"/>
      <c r="BG87"/>
    </row>
    <row r="88" spans="2:59" s="27" customFormat="1" ht="15">
      <c r="B88" s="142" t="s">
        <v>292</v>
      </c>
      <c r="C88" s="188" t="s">
        <v>473</v>
      </c>
      <c r="D88" s="188" t="s">
        <v>408</v>
      </c>
      <c r="E88" s="188" t="s">
        <v>408</v>
      </c>
      <c r="F88" s="188" t="s">
        <v>156</v>
      </c>
      <c r="G88" s="188" t="s">
        <v>293</v>
      </c>
      <c r="H88" s="188" t="s">
        <v>293</v>
      </c>
      <c r="I88" s="188" t="s">
        <v>157</v>
      </c>
      <c r="J88" s="188" t="s">
        <v>474</v>
      </c>
      <c r="K88" s="188" t="s">
        <v>474</v>
      </c>
      <c r="L88" s="188" t="s">
        <v>128</v>
      </c>
      <c r="M88" s="188" t="s">
        <v>295</v>
      </c>
      <c r="N88" s="188"/>
      <c r="O88" s="188" t="s">
        <v>293</v>
      </c>
      <c r="P88" s="188" t="s">
        <v>128</v>
      </c>
      <c r="Q88" s="188" t="s">
        <v>159</v>
      </c>
      <c r="R88" s="188" t="s">
        <v>554</v>
      </c>
      <c r="S88" s="188"/>
      <c r="T88" s="188" t="s">
        <v>555</v>
      </c>
      <c r="U88" s="188" t="s">
        <v>556</v>
      </c>
      <c r="V88" s="188" t="s">
        <v>128</v>
      </c>
      <c r="W88" s="188"/>
      <c r="X88" s="188" t="s">
        <v>294</v>
      </c>
      <c r="Y88" s="188">
        <v>39864.674351851849</v>
      </c>
      <c r="Z88" s="188">
        <v>440393</v>
      </c>
      <c r="AA88" s="188">
        <v>440393</v>
      </c>
      <c r="AB88" s="188">
        <v>40134.391365740739</v>
      </c>
      <c r="AC88" s="188">
        <v>330622</v>
      </c>
      <c r="AD88" s="188">
        <v>330622</v>
      </c>
      <c r="BF88" s="99"/>
      <c r="BG88"/>
    </row>
    <row r="89" spans="2:59" s="27" customFormat="1" ht="15">
      <c r="B89" s="144" t="s">
        <v>297</v>
      </c>
      <c r="C89" s="188" t="s">
        <v>473</v>
      </c>
      <c r="D89" s="188" t="s">
        <v>408</v>
      </c>
      <c r="E89" s="170" t="s">
        <v>478</v>
      </c>
      <c r="F89" s="188" t="s">
        <v>156</v>
      </c>
      <c r="G89" s="188" t="s">
        <v>293</v>
      </c>
      <c r="H89" s="188" t="s">
        <v>293</v>
      </c>
      <c r="I89" s="188" t="s">
        <v>157</v>
      </c>
      <c r="J89" s="188" t="s">
        <v>474</v>
      </c>
      <c r="K89" s="188" t="s">
        <v>474</v>
      </c>
      <c r="L89" s="188" t="s">
        <v>128</v>
      </c>
      <c r="M89" s="188" t="s">
        <v>295</v>
      </c>
      <c r="N89" s="188"/>
      <c r="O89" s="188" t="s">
        <v>293</v>
      </c>
      <c r="P89" s="188" t="s">
        <v>128</v>
      </c>
      <c r="Q89" s="188" t="s">
        <v>159</v>
      </c>
      <c r="R89" s="188" t="s">
        <v>554</v>
      </c>
      <c r="S89" s="188"/>
      <c r="T89" s="188" t="s">
        <v>555</v>
      </c>
      <c r="U89" s="188" t="s">
        <v>556</v>
      </c>
      <c r="V89" s="188" t="s">
        <v>128</v>
      </c>
      <c r="W89" s="188"/>
      <c r="X89" s="188" t="s">
        <v>294</v>
      </c>
      <c r="Y89" s="188">
        <v>39864.674351851849</v>
      </c>
      <c r="Z89" s="188">
        <v>440393</v>
      </c>
      <c r="AA89" s="188">
        <v>440393</v>
      </c>
      <c r="AB89" s="188">
        <v>40134.391365740739</v>
      </c>
      <c r="AC89" s="188">
        <v>330622</v>
      </c>
      <c r="AD89" s="188">
        <v>330622</v>
      </c>
      <c r="BF89" s="99"/>
      <c r="BG89"/>
    </row>
    <row r="90" spans="2:59" s="27" customFormat="1" ht="15">
      <c r="B90" s="144" t="s">
        <v>297</v>
      </c>
      <c r="C90" s="188" t="s">
        <v>473</v>
      </c>
      <c r="D90" s="170" t="s">
        <v>478</v>
      </c>
      <c r="E90" s="188" t="s">
        <v>408</v>
      </c>
      <c r="F90" s="188" t="s">
        <v>156</v>
      </c>
      <c r="G90" s="188" t="s">
        <v>293</v>
      </c>
      <c r="H90" s="188" t="s">
        <v>293</v>
      </c>
      <c r="I90" s="188" t="s">
        <v>157</v>
      </c>
      <c r="J90" s="188" t="s">
        <v>474</v>
      </c>
      <c r="K90" s="188" t="s">
        <v>474</v>
      </c>
      <c r="L90" s="188" t="s">
        <v>128</v>
      </c>
      <c r="M90" s="188" t="s">
        <v>295</v>
      </c>
      <c r="N90" s="188"/>
      <c r="O90" s="188" t="s">
        <v>293</v>
      </c>
      <c r="P90" s="188" t="s">
        <v>128</v>
      </c>
      <c r="Q90" s="188" t="s">
        <v>159</v>
      </c>
      <c r="R90" s="188" t="s">
        <v>554</v>
      </c>
      <c r="S90" s="188"/>
      <c r="T90" s="188" t="s">
        <v>555</v>
      </c>
      <c r="U90" s="188" t="s">
        <v>556</v>
      </c>
      <c r="V90" s="188" t="s">
        <v>128</v>
      </c>
      <c r="W90" s="188"/>
      <c r="X90" s="188" t="s">
        <v>294</v>
      </c>
      <c r="Y90" s="188">
        <v>39864.674351851849</v>
      </c>
      <c r="Z90" s="188">
        <v>440393</v>
      </c>
      <c r="AA90" s="188">
        <v>440393</v>
      </c>
      <c r="AB90" s="188">
        <v>40134.391365740739</v>
      </c>
      <c r="AC90" s="188">
        <v>330622</v>
      </c>
      <c r="AD90" s="188">
        <v>330622</v>
      </c>
      <c r="BF90" s="99"/>
      <c r="BG90"/>
    </row>
    <row r="91" spans="2:59" s="27" customFormat="1" ht="15">
      <c r="B91" s="144" t="s">
        <v>297</v>
      </c>
      <c r="C91" s="188" t="s">
        <v>473</v>
      </c>
      <c r="D91" s="188">
        <v>6206</v>
      </c>
      <c r="E91" s="170" t="s">
        <v>479</v>
      </c>
      <c r="F91" s="188" t="s">
        <v>156</v>
      </c>
      <c r="G91" s="188" t="s">
        <v>293</v>
      </c>
      <c r="H91" s="188" t="s">
        <v>293</v>
      </c>
      <c r="I91" s="188" t="s">
        <v>157</v>
      </c>
      <c r="J91" s="188" t="s">
        <v>474</v>
      </c>
      <c r="K91" s="188" t="s">
        <v>474</v>
      </c>
      <c r="L91" s="188" t="s">
        <v>128</v>
      </c>
      <c r="M91" s="188" t="s">
        <v>295</v>
      </c>
      <c r="N91" s="188"/>
      <c r="O91" s="188" t="s">
        <v>293</v>
      </c>
      <c r="P91" s="188" t="s">
        <v>128</v>
      </c>
      <c r="Q91" s="188" t="s">
        <v>159</v>
      </c>
      <c r="R91" s="188" t="s">
        <v>554</v>
      </c>
      <c r="S91" s="188"/>
      <c r="T91" s="188" t="s">
        <v>555</v>
      </c>
      <c r="U91" s="188" t="s">
        <v>556</v>
      </c>
      <c r="V91" s="188" t="s">
        <v>128</v>
      </c>
      <c r="W91" s="188"/>
      <c r="X91" s="188" t="s">
        <v>294</v>
      </c>
      <c r="Y91" s="188">
        <v>39864.674351851849</v>
      </c>
      <c r="Z91" s="188">
        <v>440393</v>
      </c>
      <c r="AA91" s="188">
        <v>440393</v>
      </c>
      <c r="AB91" s="188">
        <v>40134.391365740739</v>
      </c>
      <c r="AC91" s="188">
        <v>330622</v>
      </c>
      <c r="AD91" s="188">
        <v>330622</v>
      </c>
      <c r="BF91" s="99"/>
      <c r="BG91"/>
    </row>
    <row r="92" spans="2:59" s="27" customFormat="1" ht="15">
      <c r="B92" s="98"/>
      <c r="G92" s="227"/>
      <c r="BF92" s="99"/>
      <c r="BG92"/>
    </row>
    <row r="93" spans="2:59" s="27" customFormat="1" ht="15">
      <c r="B93" s="98"/>
      <c r="G93" s="227"/>
      <c r="BF93" s="99"/>
      <c r="BG93"/>
    </row>
    <row r="94" spans="2:59" ht="14">
      <c r="B94" s="148"/>
      <c r="E94" s="173"/>
      <c r="F94" s="173"/>
      <c r="G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57"/>
      <c r="AO94" s="173"/>
      <c r="BF94" s="130"/>
    </row>
    <row r="95" spans="2:59" ht="13.5">
      <c r="B95" s="148"/>
      <c r="C95" s="136" t="s">
        <v>125</v>
      </c>
      <c r="D95" s="136"/>
      <c r="E95" s="136"/>
      <c r="F95" s="136"/>
      <c r="G95" s="136"/>
      <c r="BF95" s="130"/>
    </row>
    <row r="96" spans="2:59" ht="14">
      <c r="B96" s="148"/>
      <c r="C96" s="266" t="s">
        <v>401</v>
      </c>
      <c r="D96" s="266" t="s">
        <v>402</v>
      </c>
      <c r="E96" s="266" t="s">
        <v>131</v>
      </c>
      <c r="F96" s="266" t="s">
        <v>403</v>
      </c>
      <c r="G96" s="266" t="s">
        <v>404</v>
      </c>
      <c r="I96" s="107"/>
      <c r="J96" s="107"/>
      <c r="K96" s="107"/>
      <c r="L96" s="107"/>
      <c r="M96" s="107"/>
      <c r="N96" s="107"/>
      <c r="AO96" s="107"/>
      <c r="BF96" s="130"/>
    </row>
    <row r="97" spans="2:58" ht="14">
      <c r="B97" s="148"/>
      <c r="C97" s="266">
        <v>0</v>
      </c>
      <c r="D97" s="266"/>
      <c r="E97" s="266"/>
      <c r="F97" s="266"/>
      <c r="G97" s="266"/>
      <c r="I97" s="107"/>
      <c r="J97" s="107"/>
      <c r="K97" s="107"/>
      <c r="L97" s="107"/>
      <c r="M97" s="107"/>
      <c r="N97" s="107"/>
      <c r="AO97" s="107"/>
      <c r="BF97" s="130"/>
    </row>
    <row r="98" spans="2:58" ht="14.5" thickBot="1">
      <c r="B98" s="148"/>
      <c r="C98" s="136"/>
      <c r="D98" s="136"/>
      <c r="E98" s="136"/>
      <c r="F98" s="136"/>
      <c r="G98" s="136"/>
      <c r="I98" s="107"/>
      <c r="J98" s="107"/>
      <c r="K98" s="107"/>
      <c r="L98" s="107"/>
      <c r="M98" s="107"/>
      <c r="N98" s="107"/>
      <c r="AO98" s="107"/>
      <c r="BF98" s="130"/>
    </row>
    <row r="99" spans="2:58" ht="14" thickBot="1">
      <c r="B99" s="132" t="s">
        <v>238</v>
      </c>
      <c r="C99" s="133" t="s">
        <v>433</v>
      </c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236"/>
    </row>
    <row r="100" spans="2:58" ht="14" thickBot="1">
      <c r="B100" s="134" t="s">
        <v>736</v>
      </c>
      <c r="C100" s="133" t="s">
        <v>434</v>
      </c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236"/>
    </row>
    <row r="101" spans="2:58">
      <c r="B101" s="148"/>
      <c r="BF101" s="130"/>
    </row>
    <row r="102" spans="2:58" ht="13.5">
      <c r="B102" s="148"/>
      <c r="C102" s="136" t="s">
        <v>241</v>
      </c>
      <c r="D102" s="136"/>
      <c r="E102" s="136"/>
      <c r="F102" s="136"/>
      <c r="G102" s="136"/>
      <c r="AO102" s="136"/>
      <c r="BF102" s="130"/>
    </row>
    <row r="103" spans="2:58" ht="13.5">
      <c r="B103" s="148"/>
      <c r="C103" s="136" t="s">
        <v>438</v>
      </c>
      <c r="D103" s="136"/>
      <c r="E103" s="136"/>
      <c r="F103" s="136"/>
      <c r="G103" s="136"/>
      <c r="AO103" s="136"/>
      <c r="BF103" s="130"/>
    </row>
    <row r="104" spans="2:58">
      <c r="B104" s="148"/>
      <c r="BF104" s="130"/>
    </row>
    <row r="105" spans="2:58" ht="15">
      <c r="B105" s="135"/>
      <c r="C105" s="162" t="s">
        <v>212</v>
      </c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BF105" s="130"/>
    </row>
    <row r="106" spans="2:58" ht="15">
      <c r="B106" s="135"/>
      <c r="D106" s="119"/>
      <c r="E106" s="118" t="s">
        <v>141</v>
      </c>
      <c r="F106" s="119"/>
      <c r="G106" s="119"/>
      <c r="H106" s="119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BF106" s="130"/>
    </row>
    <row r="107" spans="2:58" ht="13.5">
      <c r="B107" s="135"/>
      <c r="C107" s="153" t="s">
        <v>417</v>
      </c>
      <c r="D107" s="117" t="s">
        <v>213</v>
      </c>
      <c r="E107" s="117" t="s">
        <v>214</v>
      </c>
      <c r="F107" s="117" t="s">
        <v>215</v>
      </c>
      <c r="G107" s="117" t="s">
        <v>216</v>
      </c>
      <c r="H107" s="117" t="s">
        <v>217</v>
      </c>
      <c r="I107" s="117" t="s">
        <v>218</v>
      </c>
      <c r="J107" s="121" t="s">
        <v>219</v>
      </c>
      <c r="K107" s="117" t="s">
        <v>220</v>
      </c>
      <c r="L107" s="122" t="s">
        <v>221</v>
      </c>
      <c r="M107" s="123" t="s">
        <v>222</v>
      </c>
      <c r="N107" s="123" t="s">
        <v>223</v>
      </c>
      <c r="O107" s="123" t="s">
        <v>224</v>
      </c>
      <c r="P107" s="123" t="s">
        <v>225</v>
      </c>
      <c r="Q107" s="123" t="s">
        <v>123</v>
      </c>
      <c r="R107" s="123" t="s">
        <v>124</v>
      </c>
      <c r="S107" s="117" t="s">
        <v>226</v>
      </c>
      <c r="BF107" s="130"/>
    </row>
    <row r="108" spans="2:58" ht="13.5">
      <c r="B108" s="135"/>
      <c r="C108" s="117" t="s">
        <v>195</v>
      </c>
      <c r="D108" s="117" t="s">
        <v>196</v>
      </c>
      <c r="E108" s="117" t="s">
        <v>197</v>
      </c>
      <c r="F108" s="117" t="s">
        <v>198</v>
      </c>
      <c r="G108" s="117" t="s">
        <v>199</v>
      </c>
      <c r="H108" s="117" t="s">
        <v>200</v>
      </c>
      <c r="I108" s="117" t="s">
        <v>201</v>
      </c>
      <c r="J108" s="117" t="s">
        <v>202</v>
      </c>
      <c r="K108" s="117" t="s">
        <v>203</v>
      </c>
      <c r="L108" s="117" t="s">
        <v>204</v>
      </c>
      <c r="M108" s="117" t="s">
        <v>205</v>
      </c>
      <c r="N108" s="117" t="s">
        <v>206</v>
      </c>
      <c r="O108" s="117" t="s">
        <v>207</v>
      </c>
      <c r="P108" s="117" t="s">
        <v>208</v>
      </c>
      <c r="Q108" s="117" t="s">
        <v>209</v>
      </c>
      <c r="R108" s="117" t="s">
        <v>210</v>
      </c>
      <c r="S108" s="117" t="s">
        <v>211</v>
      </c>
      <c r="BF108" s="130"/>
    </row>
    <row r="109" spans="2:58" ht="14">
      <c r="B109" s="142"/>
      <c r="C109" s="149" t="s">
        <v>227</v>
      </c>
      <c r="D109" s="150" t="s">
        <v>228</v>
      </c>
      <c r="E109" s="150" t="s">
        <v>228</v>
      </c>
      <c r="F109" s="150" t="s">
        <v>229</v>
      </c>
      <c r="G109" s="150" t="s">
        <v>230</v>
      </c>
      <c r="H109" s="150" t="s">
        <v>228</v>
      </c>
      <c r="I109" s="151" t="s">
        <v>231</v>
      </c>
      <c r="J109" s="150" t="s">
        <v>230</v>
      </c>
      <c r="K109" s="151" t="s">
        <v>230</v>
      </c>
      <c r="L109" s="151" t="s">
        <v>232</v>
      </c>
      <c r="M109" s="152" t="s">
        <v>233</v>
      </c>
      <c r="N109" s="150" t="s">
        <v>234</v>
      </c>
      <c r="O109" s="150" t="s">
        <v>235</v>
      </c>
      <c r="P109" s="151" t="s">
        <v>235</v>
      </c>
      <c r="Q109" s="151" t="s">
        <v>147</v>
      </c>
      <c r="R109" s="152" t="s">
        <v>235</v>
      </c>
      <c r="S109" s="117" t="s">
        <v>235</v>
      </c>
      <c r="BF109" s="130"/>
    </row>
    <row r="110" spans="2:58" ht="14">
      <c r="B110" s="144" t="s">
        <v>297</v>
      </c>
      <c r="C110" s="170" t="s">
        <v>408</v>
      </c>
      <c r="D110" s="143" t="s">
        <v>409</v>
      </c>
      <c r="E110" s="143" t="s">
        <v>410</v>
      </c>
      <c r="F110" s="143" t="s">
        <v>295</v>
      </c>
      <c r="G110" s="143" t="s">
        <v>156</v>
      </c>
      <c r="H110" s="143" t="s">
        <v>411</v>
      </c>
      <c r="I110" s="143" t="s">
        <v>298</v>
      </c>
      <c r="J110" s="143" t="s">
        <v>294</v>
      </c>
      <c r="K110" s="143" t="s">
        <v>294</v>
      </c>
      <c r="L110" s="143" t="s">
        <v>412</v>
      </c>
      <c r="M110" s="143" t="s">
        <v>294</v>
      </c>
      <c r="N110" s="143" t="s">
        <v>413</v>
      </c>
      <c r="O110" s="143" t="s">
        <v>414</v>
      </c>
      <c r="P110" s="143" t="s">
        <v>414</v>
      </c>
      <c r="Q110" s="143" t="s">
        <v>415</v>
      </c>
      <c r="R110" s="143" t="s">
        <v>416</v>
      </c>
      <c r="S110" s="117" t="s">
        <v>416</v>
      </c>
      <c r="BF110" s="130"/>
    </row>
    <row r="111" spans="2:58" ht="14">
      <c r="B111" s="144" t="s">
        <v>297</v>
      </c>
      <c r="C111" s="170" t="s">
        <v>418</v>
      </c>
      <c r="D111" s="143" t="s">
        <v>409</v>
      </c>
      <c r="E111" s="143" t="s">
        <v>419</v>
      </c>
      <c r="F111" s="143" t="s">
        <v>295</v>
      </c>
      <c r="G111" s="143" t="s">
        <v>156</v>
      </c>
      <c r="H111" s="143" t="s">
        <v>411</v>
      </c>
      <c r="I111" s="143" t="s">
        <v>420</v>
      </c>
      <c r="J111" s="143" t="s">
        <v>294</v>
      </c>
      <c r="K111" s="143" t="s">
        <v>294</v>
      </c>
      <c r="L111" s="143" t="s">
        <v>421</v>
      </c>
      <c r="M111" s="143" t="s">
        <v>294</v>
      </c>
      <c r="N111" s="143" t="s">
        <v>413</v>
      </c>
      <c r="O111" s="143" t="s">
        <v>414</v>
      </c>
      <c r="P111" s="143" t="s">
        <v>414</v>
      </c>
      <c r="Q111" s="143" t="s">
        <v>422</v>
      </c>
      <c r="R111" s="143" t="s">
        <v>416</v>
      </c>
      <c r="S111" s="117" t="s">
        <v>416</v>
      </c>
      <c r="BF111" s="130"/>
    </row>
    <row r="112" spans="2:58" ht="14">
      <c r="B112" s="144" t="s">
        <v>297</v>
      </c>
      <c r="C112" s="170" t="s">
        <v>423</v>
      </c>
      <c r="D112" s="143" t="s">
        <v>409</v>
      </c>
      <c r="E112" s="143" t="s">
        <v>410</v>
      </c>
      <c r="F112" s="143" t="s">
        <v>295</v>
      </c>
      <c r="G112" s="143" t="s">
        <v>156</v>
      </c>
      <c r="H112" s="143" t="s">
        <v>411</v>
      </c>
      <c r="I112" s="143" t="s">
        <v>420</v>
      </c>
      <c r="J112" s="143" t="s">
        <v>294</v>
      </c>
      <c r="K112" s="143" t="s">
        <v>294</v>
      </c>
      <c r="L112" s="143" t="s">
        <v>424</v>
      </c>
      <c r="M112" s="143" t="s">
        <v>294</v>
      </c>
      <c r="N112" s="143" t="s">
        <v>425</v>
      </c>
      <c r="O112" s="143" t="s">
        <v>426</v>
      </c>
      <c r="P112" s="143" t="s">
        <v>426</v>
      </c>
      <c r="Q112" s="143" t="s">
        <v>425</v>
      </c>
      <c r="R112" s="143" t="s">
        <v>426</v>
      </c>
      <c r="S112" s="117" t="s">
        <v>426</v>
      </c>
      <c r="BF112" s="130"/>
    </row>
    <row r="113" spans="2:58" ht="14">
      <c r="B113" s="144" t="s">
        <v>297</v>
      </c>
      <c r="C113" s="170" t="s">
        <v>427</v>
      </c>
      <c r="D113" s="143" t="s">
        <v>409</v>
      </c>
      <c r="E113" s="143" t="s">
        <v>410</v>
      </c>
      <c r="F113" s="143" t="s">
        <v>295</v>
      </c>
      <c r="G113" s="143" t="s">
        <v>156</v>
      </c>
      <c r="H113" s="143" t="s">
        <v>411</v>
      </c>
      <c r="I113" s="143" t="s">
        <v>420</v>
      </c>
      <c r="J113" s="143" t="s">
        <v>294</v>
      </c>
      <c r="K113" s="143" t="s">
        <v>294</v>
      </c>
      <c r="L113" s="143" t="s">
        <v>428</v>
      </c>
      <c r="M113" s="143" t="s">
        <v>294</v>
      </c>
      <c r="N113" s="143" t="s">
        <v>413</v>
      </c>
      <c r="O113" s="143" t="s">
        <v>414</v>
      </c>
      <c r="P113" s="143" t="s">
        <v>414</v>
      </c>
      <c r="Q113" s="143" t="s">
        <v>415</v>
      </c>
      <c r="R113" s="143" t="s">
        <v>416</v>
      </c>
      <c r="S113" s="117" t="s">
        <v>416</v>
      </c>
      <c r="BF113" s="130"/>
    </row>
    <row r="114" spans="2:58">
      <c r="B114" s="148"/>
      <c r="BF114" s="130"/>
    </row>
    <row r="115" spans="2:58" ht="13.5">
      <c r="B115" s="148"/>
      <c r="C115" s="136" t="s">
        <v>125</v>
      </c>
      <c r="D115" s="136"/>
      <c r="E115" s="136"/>
      <c r="F115" s="136"/>
      <c r="G115" s="136"/>
      <c r="BF115" s="130"/>
    </row>
    <row r="116" spans="2:58" ht="13.5">
      <c r="B116" s="148"/>
      <c r="C116" s="266" t="s">
        <v>401</v>
      </c>
      <c r="D116" s="266" t="s">
        <v>402</v>
      </c>
      <c r="E116" s="266" t="s">
        <v>131</v>
      </c>
      <c r="F116" s="266" t="s">
        <v>403</v>
      </c>
      <c r="G116" s="266" t="s">
        <v>404</v>
      </c>
      <c r="BF116" s="130"/>
    </row>
    <row r="117" spans="2:58" ht="13.5">
      <c r="B117" s="148"/>
      <c r="C117" s="266">
        <v>-2</v>
      </c>
      <c r="D117" s="266" t="s">
        <v>128</v>
      </c>
      <c r="E117" s="266" t="s">
        <v>698</v>
      </c>
      <c r="F117" s="266" t="s">
        <v>436</v>
      </c>
      <c r="G117" s="266" t="s">
        <v>437</v>
      </c>
      <c r="BF117" s="130"/>
    </row>
    <row r="118" spans="2:58">
      <c r="B118" s="148"/>
      <c r="BF118" s="130"/>
    </row>
    <row r="119" spans="2:58" ht="13.5" thickBot="1">
      <c r="B119" s="148"/>
      <c r="BF119" s="130"/>
    </row>
    <row r="120" spans="2:58" ht="14" thickBot="1">
      <c r="B120" s="132" t="s">
        <v>462</v>
      </c>
      <c r="C120" s="133" t="s">
        <v>743</v>
      </c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236"/>
    </row>
    <row r="121" spans="2:58" ht="14" thickBot="1">
      <c r="B121" s="134" t="s">
        <v>736</v>
      </c>
      <c r="C121" s="133" t="s">
        <v>434</v>
      </c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236"/>
    </row>
    <row r="122" spans="2:58">
      <c r="B122" s="148"/>
      <c r="BF122" s="130"/>
    </row>
    <row r="123" spans="2:58" ht="13.5">
      <c r="B123" s="148"/>
      <c r="C123" s="136" t="s">
        <v>241</v>
      </c>
      <c r="BF123" s="130"/>
    </row>
    <row r="124" spans="2:58" ht="13.5">
      <c r="B124" s="148"/>
      <c r="C124" s="136" t="s">
        <v>682</v>
      </c>
      <c r="BF124" s="130"/>
    </row>
    <row r="125" spans="2:58">
      <c r="B125" s="148"/>
      <c r="BF125" s="130"/>
    </row>
    <row r="126" spans="2:58" ht="15">
      <c r="B126" s="135"/>
      <c r="C126" s="162" t="s">
        <v>212</v>
      </c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BF126" s="130"/>
    </row>
    <row r="127" spans="2:58" ht="15">
      <c r="B127" s="135"/>
      <c r="C127" s="119"/>
      <c r="D127" s="119"/>
      <c r="E127" s="118" t="s">
        <v>141</v>
      </c>
      <c r="F127" s="119"/>
      <c r="G127" s="119"/>
      <c r="H127" s="119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BF127" s="130"/>
    </row>
    <row r="128" spans="2:58" ht="13.5">
      <c r="B128" s="135"/>
      <c r="C128" s="153" t="s">
        <v>417</v>
      </c>
      <c r="D128" s="117" t="s">
        <v>213</v>
      </c>
      <c r="E128" s="117" t="s">
        <v>214</v>
      </c>
      <c r="F128" s="117" t="s">
        <v>215</v>
      </c>
      <c r="G128" s="117" t="s">
        <v>216</v>
      </c>
      <c r="H128" s="117" t="s">
        <v>217</v>
      </c>
      <c r="I128" s="117" t="s">
        <v>218</v>
      </c>
      <c r="J128" s="121" t="s">
        <v>219</v>
      </c>
      <c r="K128" s="117" t="s">
        <v>220</v>
      </c>
      <c r="L128" s="122" t="s">
        <v>221</v>
      </c>
      <c r="M128" s="123" t="s">
        <v>222</v>
      </c>
      <c r="N128" s="123" t="s">
        <v>223</v>
      </c>
      <c r="O128" s="123" t="s">
        <v>224</v>
      </c>
      <c r="P128" s="123" t="s">
        <v>225</v>
      </c>
      <c r="Q128" s="123" t="s">
        <v>123</v>
      </c>
      <c r="R128" s="123" t="s">
        <v>124</v>
      </c>
      <c r="S128" s="117" t="s">
        <v>226</v>
      </c>
      <c r="BF128" s="130"/>
    </row>
    <row r="129" spans="2:58" ht="13.5">
      <c r="B129" s="135"/>
      <c r="C129" s="117" t="s">
        <v>195</v>
      </c>
      <c r="D129" s="117" t="s">
        <v>196</v>
      </c>
      <c r="E129" s="117" t="s">
        <v>197</v>
      </c>
      <c r="F129" s="117" t="s">
        <v>198</v>
      </c>
      <c r="G129" s="117" t="s">
        <v>199</v>
      </c>
      <c r="H129" s="117" t="s">
        <v>200</v>
      </c>
      <c r="I129" s="117" t="s">
        <v>201</v>
      </c>
      <c r="J129" s="117" t="s">
        <v>202</v>
      </c>
      <c r="K129" s="117" t="s">
        <v>203</v>
      </c>
      <c r="L129" s="117" t="s">
        <v>204</v>
      </c>
      <c r="M129" s="117" t="s">
        <v>205</v>
      </c>
      <c r="N129" s="117" t="s">
        <v>206</v>
      </c>
      <c r="O129" s="117" t="s">
        <v>207</v>
      </c>
      <c r="P129" s="117" t="s">
        <v>208</v>
      </c>
      <c r="Q129" s="117" t="s">
        <v>209</v>
      </c>
      <c r="R129" s="117" t="s">
        <v>210</v>
      </c>
      <c r="S129" s="117" t="s">
        <v>211</v>
      </c>
      <c r="BF129" s="130"/>
    </row>
    <row r="130" spans="2:58" ht="14">
      <c r="B130" s="142"/>
      <c r="C130" s="149" t="s">
        <v>227</v>
      </c>
      <c r="D130" s="150" t="s">
        <v>228</v>
      </c>
      <c r="E130" s="150" t="s">
        <v>228</v>
      </c>
      <c r="F130" s="150" t="s">
        <v>229</v>
      </c>
      <c r="G130" s="150" t="s">
        <v>230</v>
      </c>
      <c r="H130" s="150" t="s">
        <v>228</v>
      </c>
      <c r="I130" s="151" t="s">
        <v>231</v>
      </c>
      <c r="J130" s="150" t="s">
        <v>230</v>
      </c>
      <c r="K130" s="151" t="s">
        <v>230</v>
      </c>
      <c r="L130" s="151" t="s">
        <v>232</v>
      </c>
      <c r="M130" s="152" t="s">
        <v>233</v>
      </c>
      <c r="N130" s="150" t="s">
        <v>234</v>
      </c>
      <c r="O130" s="150" t="s">
        <v>235</v>
      </c>
      <c r="P130" s="151" t="s">
        <v>235</v>
      </c>
      <c r="Q130" s="151" t="s">
        <v>147</v>
      </c>
      <c r="R130" s="152" t="s">
        <v>235</v>
      </c>
      <c r="S130" s="117" t="s">
        <v>235</v>
      </c>
      <c r="BF130" s="130"/>
    </row>
    <row r="131" spans="2:58" ht="14">
      <c r="B131" s="142" t="s">
        <v>292</v>
      </c>
      <c r="C131" s="143" t="s">
        <v>408</v>
      </c>
      <c r="D131" s="143" t="s">
        <v>409</v>
      </c>
      <c r="E131" s="143" t="s">
        <v>410</v>
      </c>
      <c r="F131" s="143" t="s">
        <v>295</v>
      </c>
      <c r="G131" s="143" t="s">
        <v>156</v>
      </c>
      <c r="H131" s="143" t="s">
        <v>411</v>
      </c>
      <c r="I131" s="143" t="s">
        <v>298</v>
      </c>
      <c r="J131" s="143" t="s">
        <v>294</v>
      </c>
      <c r="K131" s="143" t="s">
        <v>294</v>
      </c>
      <c r="L131" s="143" t="s">
        <v>412</v>
      </c>
      <c r="M131" s="143" t="s">
        <v>294</v>
      </c>
      <c r="N131" s="143" t="s">
        <v>413</v>
      </c>
      <c r="O131" s="143" t="s">
        <v>414</v>
      </c>
      <c r="P131" s="143" t="s">
        <v>414</v>
      </c>
      <c r="Q131" s="143" t="s">
        <v>415</v>
      </c>
      <c r="R131" s="143" t="s">
        <v>416</v>
      </c>
      <c r="S131" s="117" t="s">
        <v>416</v>
      </c>
      <c r="BF131" s="130"/>
    </row>
    <row r="132" spans="2:58" ht="14">
      <c r="B132" s="144" t="s">
        <v>297</v>
      </c>
      <c r="C132" s="170" t="s">
        <v>418</v>
      </c>
      <c r="D132" s="143" t="s">
        <v>409</v>
      </c>
      <c r="E132" s="143" t="s">
        <v>419</v>
      </c>
      <c r="F132" s="143" t="s">
        <v>295</v>
      </c>
      <c r="G132" s="143" t="s">
        <v>156</v>
      </c>
      <c r="H132" s="143" t="s">
        <v>411</v>
      </c>
      <c r="I132" s="143" t="s">
        <v>420</v>
      </c>
      <c r="J132" s="143" t="s">
        <v>294</v>
      </c>
      <c r="K132" s="143" t="s">
        <v>294</v>
      </c>
      <c r="L132" s="143" t="s">
        <v>421</v>
      </c>
      <c r="M132" s="143" t="s">
        <v>294</v>
      </c>
      <c r="N132" s="143" t="s">
        <v>413</v>
      </c>
      <c r="O132" s="143" t="s">
        <v>414</v>
      </c>
      <c r="P132" s="143" t="s">
        <v>414</v>
      </c>
      <c r="Q132" s="143" t="s">
        <v>422</v>
      </c>
      <c r="R132" s="143" t="s">
        <v>416</v>
      </c>
      <c r="S132" s="117" t="s">
        <v>416</v>
      </c>
      <c r="BF132" s="130"/>
    </row>
    <row r="133" spans="2:58" ht="14">
      <c r="B133" s="144" t="s">
        <v>297</v>
      </c>
      <c r="C133" s="170" t="s">
        <v>423</v>
      </c>
      <c r="D133" s="143" t="s">
        <v>409</v>
      </c>
      <c r="E133" s="143" t="s">
        <v>410</v>
      </c>
      <c r="F133" s="143" t="s">
        <v>295</v>
      </c>
      <c r="G133" s="143" t="s">
        <v>156</v>
      </c>
      <c r="H133" s="143" t="s">
        <v>411</v>
      </c>
      <c r="I133" s="143" t="s">
        <v>420</v>
      </c>
      <c r="J133" s="143" t="s">
        <v>294</v>
      </c>
      <c r="K133" s="143" t="s">
        <v>294</v>
      </c>
      <c r="L133" s="143" t="s">
        <v>424</v>
      </c>
      <c r="M133" s="143" t="s">
        <v>294</v>
      </c>
      <c r="N133" s="143" t="s">
        <v>425</v>
      </c>
      <c r="O133" s="143" t="s">
        <v>426</v>
      </c>
      <c r="P133" s="143" t="s">
        <v>426</v>
      </c>
      <c r="Q133" s="143" t="s">
        <v>425</v>
      </c>
      <c r="R133" s="143" t="s">
        <v>426</v>
      </c>
      <c r="S133" s="117" t="s">
        <v>426</v>
      </c>
      <c r="BF133" s="130"/>
    </row>
    <row r="134" spans="2:58" ht="14">
      <c r="B134" s="144" t="s">
        <v>297</v>
      </c>
      <c r="C134" s="170" t="s">
        <v>427</v>
      </c>
      <c r="D134" s="143" t="s">
        <v>409</v>
      </c>
      <c r="E134" s="143" t="s">
        <v>410</v>
      </c>
      <c r="F134" s="143" t="s">
        <v>295</v>
      </c>
      <c r="G134" s="143" t="s">
        <v>156</v>
      </c>
      <c r="H134" s="143" t="s">
        <v>411</v>
      </c>
      <c r="I134" s="143" t="s">
        <v>420</v>
      </c>
      <c r="J134" s="143" t="s">
        <v>294</v>
      </c>
      <c r="K134" s="143" t="s">
        <v>294</v>
      </c>
      <c r="L134" s="143" t="s">
        <v>428</v>
      </c>
      <c r="M134" s="143" t="s">
        <v>294</v>
      </c>
      <c r="N134" s="143" t="s">
        <v>413</v>
      </c>
      <c r="O134" s="143" t="s">
        <v>414</v>
      </c>
      <c r="P134" s="143" t="s">
        <v>414</v>
      </c>
      <c r="Q134" s="143" t="s">
        <v>415</v>
      </c>
      <c r="R134" s="143" t="s">
        <v>416</v>
      </c>
      <c r="S134" s="117" t="s">
        <v>416</v>
      </c>
      <c r="BF134" s="130"/>
    </row>
    <row r="135" spans="2:58" ht="14">
      <c r="B135" s="148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57"/>
      <c r="BF135" s="130"/>
    </row>
    <row r="136" spans="2:58">
      <c r="B136" s="148"/>
      <c r="C136" s="175" t="s">
        <v>439</v>
      </c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BF136" s="130"/>
    </row>
    <row r="137" spans="2:58" ht="15">
      <c r="B137" s="148"/>
      <c r="C137" s="118"/>
      <c r="D137" s="174"/>
      <c r="E137" s="118"/>
      <c r="F137" s="118" t="s">
        <v>141</v>
      </c>
      <c r="G137" s="174"/>
      <c r="H137" s="174"/>
      <c r="I137" s="174"/>
      <c r="J137" s="174"/>
      <c r="K137" s="174"/>
      <c r="L137" s="174"/>
      <c r="M137" s="174"/>
      <c r="BF137" s="130"/>
    </row>
    <row r="138" spans="2:58">
      <c r="B138" s="148"/>
      <c r="C138" s="153" t="s">
        <v>448</v>
      </c>
      <c r="D138" s="117" t="s">
        <v>442</v>
      </c>
      <c r="E138" s="153" t="s">
        <v>449</v>
      </c>
      <c r="F138" s="117" t="s">
        <v>443</v>
      </c>
      <c r="G138" s="123" t="s">
        <v>222</v>
      </c>
      <c r="H138" s="123" t="s">
        <v>223</v>
      </c>
      <c r="I138" s="123" t="s">
        <v>224</v>
      </c>
      <c r="J138" s="123" t="s">
        <v>225</v>
      </c>
      <c r="K138" s="123" t="s">
        <v>123</v>
      </c>
      <c r="L138" s="123" t="s">
        <v>124</v>
      </c>
      <c r="M138" s="123" t="s">
        <v>226</v>
      </c>
      <c r="BF138" s="130"/>
    </row>
    <row r="139" spans="2:58" ht="14">
      <c r="B139" s="148"/>
      <c r="C139" s="187" t="s">
        <v>450</v>
      </c>
      <c r="D139" s="117" t="s">
        <v>440</v>
      </c>
      <c r="E139" s="187" t="s">
        <v>452</v>
      </c>
      <c r="F139" s="117" t="s">
        <v>441</v>
      </c>
      <c r="G139" s="117" t="s">
        <v>205</v>
      </c>
      <c r="H139" s="117" t="s">
        <v>206</v>
      </c>
      <c r="I139" s="117" t="s">
        <v>207</v>
      </c>
      <c r="J139" s="117" t="s">
        <v>208</v>
      </c>
      <c r="K139" s="117" t="s">
        <v>209</v>
      </c>
      <c r="L139" s="117" t="s">
        <v>210</v>
      </c>
      <c r="M139" s="117" t="s">
        <v>211</v>
      </c>
      <c r="BF139" s="130"/>
    </row>
    <row r="140" spans="2:58" ht="14">
      <c r="B140" s="148"/>
      <c r="C140" s="187" t="s">
        <v>451</v>
      </c>
      <c r="D140" s="149" t="s">
        <v>445</v>
      </c>
      <c r="E140" s="187" t="s">
        <v>453</v>
      </c>
      <c r="F140" s="149" t="s">
        <v>230</v>
      </c>
      <c r="G140" s="149" t="s">
        <v>444</v>
      </c>
      <c r="H140" s="149" t="s">
        <v>234</v>
      </c>
      <c r="I140" s="149" t="s">
        <v>235</v>
      </c>
      <c r="J140" s="149" t="s">
        <v>235</v>
      </c>
      <c r="K140" s="149" t="s">
        <v>147</v>
      </c>
      <c r="L140" s="149" t="s">
        <v>235</v>
      </c>
      <c r="M140" s="149" t="s">
        <v>235</v>
      </c>
      <c r="BF140" s="130"/>
    </row>
    <row r="141" spans="2:58" ht="14">
      <c r="B141" s="144" t="s">
        <v>297</v>
      </c>
      <c r="C141" s="170" t="s">
        <v>411</v>
      </c>
      <c r="D141" s="189" t="s">
        <v>454</v>
      </c>
      <c r="E141" s="170" t="s">
        <v>455</v>
      </c>
      <c r="F141" s="189" t="s">
        <v>294</v>
      </c>
      <c r="G141" s="189" t="s">
        <v>294</v>
      </c>
      <c r="H141" s="190" t="s">
        <v>456</v>
      </c>
      <c r="I141" s="189" t="s">
        <v>457</v>
      </c>
      <c r="J141" s="189" t="s">
        <v>457</v>
      </c>
      <c r="K141" s="189" t="s">
        <v>458</v>
      </c>
      <c r="L141" s="189" t="s">
        <v>459</v>
      </c>
      <c r="M141" s="189" t="s">
        <v>459</v>
      </c>
      <c r="BF141" s="130"/>
    </row>
    <row r="142" spans="2:58" ht="14">
      <c r="B142" s="144" t="s">
        <v>297</v>
      </c>
      <c r="C142" s="170" t="s">
        <v>460</v>
      </c>
      <c r="D142" s="189" t="s">
        <v>454</v>
      </c>
      <c r="E142" s="170" t="s">
        <v>455</v>
      </c>
      <c r="F142" s="189" t="s">
        <v>294</v>
      </c>
      <c r="G142" s="189" t="s">
        <v>294</v>
      </c>
      <c r="H142" s="190" t="s">
        <v>456</v>
      </c>
      <c r="I142" s="189" t="s">
        <v>457</v>
      </c>
      <c r="J142" s="189" t="s">
        <v>457</v>
      </c>
      <c r="K142" s="189" t="s">
        <v>458</v>
      </c>
      <c r="L142" s="189" t="s">
        <v>459</v>
      </c>
      <c r="M142" s="191" t="s">
        <v>459</v>
      </c>
      <c r="BF142" s="130"/>
    </row>
    <row r="143" spans="2:58" ht="14">
      <c r="B143" s="144" t="s">
        <v>297</v>
      </c>
      <c r="C143" s="170" t="s">
        <v>419</v>
      </c>
      <c r="D143" s="189" t="s">
        <v>454</v>
      </c>
      <c r="E143" s="170" t="s">
        <v>455</v>
      </c>
      <c r="F143" s="189" t="s">
        <v>294</v>
      </c>
      <c r="G143" s="189" t="s">
        <v>294</v>
      </c>
      <c r="H143" s="190" t="s">
        <v>456</v>
      </c>
      <c r="I143" s="189" t="s">
        <v>457</v>
      </c>
      <c r="J143" s="189" t="s">
        <v>457</v>
      </c>
      <c r="K143" s="189" t="s">
        <v>458</v>
      </c>
      <c r="L143" s="189" t="s">
        <v>459</v>
      </c>
      <c r="M143" s="191" t="s">
        <v>459</v>
      </c>
      <c r="BF143" s="130"/>
    </row>
    <row r="144" spans="2:58" ht="14">
      <c r="B144" s="144" t="s">
        <v>297</v>
      </c>
      <c r="C144" s="170" t="s">
        <v>299</v>
      </c>
      <c r="D144" s="189" t="s">
        <v>454</v>
      </c>
      <c r="E144" s="170" t="s">
        <v>455</v>
      </c>
      <c r="F144" s="189" t="s">
        <v>294</v>
      </c>
      <c r="G144" s="189" t="s">
        <v>294</v>
      </c>
      <c r="H144" s="192" t="s">
        <v>456</v>
      </c>
      <c r="I144" s="189" t="s">
        <v>457</v>
      </c>
      <c r="J144" s="189" t="s">
        <v>457</v>
      </c>
      <c r="K144" s="189" t="s">
        <v>458</v>
      </c>
      <c r="L144" s="189" t="s">
        <v>459</v>
      </c>
      <c r="M144" s="191" t="s">
        <v>459</v>
      </c>
      <c r="BF144" s="130"/>
    </row>
    <row r="145" spans="2:58" ht="14">
      <c r="B145" s="144" t="s">
        <v>297</v>
      </c>
      <c r="C145" s="188" t="s">
        <v>410</v>
      </c>
      <c r="D145" s="189" t="s">
        <v>454</v>
      </c>
      <c r="E145" s="170" t="s">
        <v>455</v>
      </c>
      <c r="F145" s="189" t="s">
        <v>294</v>
      </c>
      <c r="G145" s="189" t="s">
        <v>294</v>
      </c>
      <c r="H145" s="192" t="s">
        <v>456</v>
      </c>
      <c r="I145" s="189" t="s">
        <v>457</v>
      </c>
      <c r="J145" s="189" t="s">
        <v>457</v>
      </c>
      <c r="K145" s="189" t="s">
        <v>458</v>
      </c>
      <c r="L145" s="189" t="s">
        <v>459</v>
      </c>
      <c r="M145" s="191" t="s">
        <v>459</v>
      </c>
      <c r="BF145" s="130"/>
    </row>
    <row r="146" spans="2:58">
      <c r="B146" s="148"/>
      <c r="BF146" s="130"/>
    </row>
    <row r="147" spans="2:58" ht="13.5">
      <c r="B147" s="148"/>
      <c r="C147" s="136" t="s">
        <v>125</v>
      </c>
      <c r="D147" s="136"/>
      <c r="E147" s="136"/>
      <c r="F147" s="136"/>
      <c r="G147" s="136"/>
      <c r="BF147" s="130"/>
    </row>
    <row r="148" spans="2:58" ht="13.5">
      <c r="B148" s="148"/>
      <c r="C148" s="266" t="s">
        <v>401</v>
      </c>
      <c r="D148" s="266" t="s">
        <v>402</v>
      </c>
      <c r="E148" s="266" t="s">
        <v>131</v>
      </c>
      <c r="F148" s="266" t="s">
        <v>403</v>
      </c>
      <c r="G148" s="266" t="s">
        <v>404</v>
      </c>
      <c r="BF148" s="130"/>
    </row>
    <row r="149" spans="2:58" ht="13.5">
      <c r="B149" s="148"/>
      <c r="C149" s="266">
        <v>-2</v>
      </c>
      <c r="D149" s="266" t="s">
        <v>128</v>
      </c>
      <c r="E149" s="266" t="s">
        <v>700</v>
      </c>
      <c r="F149" s="266" t="s">
        <v>681</v>
      </c>
      <c r="G149" s="266" t="s">
        <v>437</v>
      </c>
      <c r="BF149" s="130"/>
    </row>
    <row r="150" spans="2:58" ht="13.5" thickBot="1">
      <c r="B150" s="148"/>
      <c r="BF150" s="130"/>
    </row>
    <row r="151" spans="2:58" ht="14" thickBot="1">
      <c r="B151" s="132" t="s">
        <v>467</v>
      </c>
      <c r="C151" s="133" t="s">
        <v>468</v>
      </c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236"/>
    </row>
    <row r="152" spans="2:58" ht="14" thickBot="1">
      <c r="B152" s="134" t="s">
        <v>736</v>
      </c>
      <c r="C152" s="133" t="s">
        <v>434</v>
      </c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236"/>
    </row>
    <row r="153" spans="2:58">
      <c r="B153" s="148"/>
      <c r="BF153" s="130"/>
    </row>
    <row r="154" spans="2:58" ht="13.5">
      <c r="B154" s="148"/>
      <c r="C154" s="136" t="s">
        <v>241</v>
      </c>
      <c r="BF154" s="130"/>
    </row>
    <row r="155" spans="2:58" ht="13.5">
      <c r="B155" s="148"/>
      <c r="C155" s="136" t="s">
        <v>469</v>
      </c>
      <c r="BF155" s="130"/>
    </row>
    <row r="156" spans="2:58">
      <c r="B156" s="148"/>
      <c r="BF156" s="130"/>
    </row>
    <row r="157" spans="2:58" ht="15">
      <c r="B157" s="135"/>
      <c r="C157" s="162" t="s">
        <v>212</v>
      </c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BF157" s="130"/>
    </row>
    <row r="158" spans="2:58" ht="15">
      <c r="B158" s="135"/>
      <c r="D158" s="119"/>
      <c r="E158" s="118" t="s">
        <v>141</v>
      </c>
      <c r="F158" s="119"/>
      <c r="G158" s="119"/>
      <c r="H158" s="119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BF158" s="130"/>
    </row>
    <row r="159" spans="2:58" ht="13.5">
      <c r="B159" s="135"/>
      <c r="C159" s="153" t="s">
        <v>417</v>
      </c>
      <c r="D159" s="117" t="s">
        <v>213</v>
      </c>
      <c r="E159" s="117" t="s">
        <v>214</v>
      </c>
      <c r="F159" s="117" t="s">
        <v>215</v>
      </c>
      <c r="G159" s="117" t="s">
        <v>216</v>
      </c>
      <c r="H159" s="117" t="s">
        <v>217</v>
      </c>
      <c r="I159" s="117" t="s">
        <v>218</v>
      </c>
      <c r="J159" s="121" t="s">
        <v>219</v>
      </c>
      <c r="K159" s="117" t="s">
        <v>220</v>
      </c>
      <c r="L159" s="122" t="s">
        <v>221</v>
      </c>
      <c r="M159" s="123" t="s">
        <v>222</v>
      </c>
      <c r="N159" s="123" t="s">
        <v>223</v>
      </c>
      <c r="O159" s="123" t="s">
        <v>224</v>
      </c>
      <c r="P159" s="123" t="s">
        <v>225</v>
      </c>
      <c r="Q159" s="123" t="s">
        <v>123</v>
      </c>
      <c r="R159" s="123" t="s">
        <v>124</v>
      </c>
      <c r="S159" s="117" t="s">
        <v>226</v>
      </c>
      <c r="BF159" s="130"/>
    </row>
    <row r="160" spans="2:58" ht="13.5">
      <c r="B160" s="135"/>
      <c r="C160" s="117" t="s">
        <v>195</v>
      </c>
      <c r="D160" s="117" t="s">
        <v>196</v>
      </c>
      <c r="E160" s="117" t="s">
        <v>197</v>
      </c>
      <c r="F160" s="117" t="s">
        <v>198</v>
      </c>
      <c r="G160" s="117" t="s">
        <v>199</v>
      </c>
      <c r="H160" s="117" t="s">
        <v>200</v>
      </c>
      <c r="I160" s="117" t="s">
        <v>201</v>
      </c>
      <c r="J160" s="117" t="s">
        <v>202</v>
      </c>
      <c r="K160" s="117" t="s">
        <v>203</v>
      </c>
      <c r="L160" s="117" t="s">
        <v>204</v>
      </c>
      <c r="M160" s="117" t="s">
        <v>205</v>
      </c>
      <c r="N160" s="117" t="s">
        <v>206</v>
      </c>
      <c r="O160" s="117" t="s">
        <v>207</v>
      </c>
      <c r="P160" s="117" t="s">
        <v>208</v>
      </c>
      <c r="Q160" s="117" t="s">
        <v>209</v>
      </c>
      <c r="R160" s="117" t="s">
        <v>210</v>
      </c>
      <c r="S160" s="117" t="s">
        <v>211</v>
      </c>
      <c r="BF160" s="130"/>
    </row>
    <row r="161" spans="2:58" ht="14">
      <c r="B161" s="142"/>
      <c r="C161" s="149" t="s">
        <v>227</v>
      </c>
      <c r="D161" s="150" t="s">
        <v>228</v>
      </c>
      <c r="E161" s="150" t="s">
        <v>228</v>
      </c>
      <c r="F161" s="150" t="s">
        <v>229</v>
      </c>
      <c r="G161" s="150" t="s">
        <v>230</v>
      </c>
      <c r="H161" s="150" t="s">
        <v>228</v>
      </c>
      <c r="I161" s="151" t="s">
        <v>231</v>
      </c>
      <c r="J161" s="150" t="s">
        <v>230</v>
      </c>
      <c r="K161" s="151" t="s">
        <v>230</v>
      </c>
      <c r="L161" s="151" t="s">
        <v>232</v>
      </c>
      <c r="M161" s="152" t="s">
        <v>233</v>
      </c>
      <c r="N161" s="150" t="s">
        <v>234</v>
      </c>
      <c r="O161" s="150" t="s">
        <v>235</v>
      </c>
      <c r="P161" s="151" t="s">
        <v>235</v>
      </c>
      <c r="Q161" s="151" t="s">
        <v>147</v>
      </c>
      <c r="R161" s="152" t="s">
        <v>235</v>
      </c>
      <c r="S161" s="117" t="s">
        <v>235</v>
      </c>
      <c r="BF161" s="130"/>
    </row>
    <row r="162" spans="2:58" ht="14">
      <c r="B162" s="142" t="s">
        <v>292</v>
      </c>
      <c r="C162" s="143" t="s">
        <v>408</v>
      </c>
      <c r="D162" s="143" t="s">
        <v>409</v>
      </c>
      <c r="E162" s="143" t="s">
        <v>410</v>
      </c>
      <c r="F162" s="143" t="s">
        <v>295</v>
      </c>
      <c r="G162" s="143" t="s">
        <v>156</v>
      </c>
      <c r="H162" s="143" t="s">
        <v>411</v>
      </c>
      <c r="I162" s="143" t="s">
        <v>298</v>
      </c>
      <c r="J162" s="143" t="s">
        <v>294</v>
      </c>
      <c r="K162" s="143" t="s">
        <v>294</v>
      </c>
      <c r="L162" s="143" t="s">
        <v>412</v>
      </c>
      <c r="M162" s="143" t="s">
        <v>294</v>
      </c>
      <c r="N162" s="143" t="s">
        <v>413</v>
      </c>
      <c r="O162" s="143" t="s">
        <v>414</v>
      </c>
      <c r="P162" s="143" t="s">
        <v>414</v>
      </c>
      <c r="Q162" s="143" t="s">
        <v>415</v>
      </c>
      <c r="R162" s="143" t="s">
        <v>416</v>
      </c>
      <c r="S162" s="117" t="s">
        <v>416</v>
      </c>
      <c r="BF162" s="130"/>
    </row>
    <row r="163" spans="2:58" ht="14">
      <c r="B163" s="144" t="s">
        <v>297</v>
      </c>
      <c r="C163" s="170" t="s">
        <v>418</v>
      </c>
      <c r="D163" s="143" t="s">
        <v>409</v>
      </c>
      <c r="E163" s="143" t="s">
        <v>419</v>
      </c>
      <c r="F163" s="143" t="s">
        <v>295</v>
      </c>
      <c r="G163" s="143" t="s">
        <v>156</v>
      </c>
      <c r="H163" s="143" t="s">
        <v>411</v>
      </c>
      <c r="I163" s="143" t="s">
        <v>420</v>
      </c>
      <c r="J163" s="143" t="s">
        <v>294</v>
      </c>
      <c r="K163" s="143" t="s">
        <v>294</v>
      </c>
      <c r="L163" s="143" t="s">
        <v>421</v>
      </c>
      <c r="M163" s="143" t="s">
        <v>294</v>
      </c>
      <c r="N163" s="143" t="s">
        <v>413</v>
      </c>
      <c r="O163" s="143" t="s">
        <v>414</v>
      </c>
      <c r="P163" s="143" t="s">
        <v>414</v>
      </c>
      <c r="Q163" s="143" t="s">
        <v>422</v>
      </c>
      <c r="R163" s="143" t="s">
        <v>416</v>
      </c>
      <c r="S163" s="117" t="s">
        <v>416</v>
      </c>
      <c r="BF163" s="130"/>
    </row>
    <row r="164" spans="2:58" ht="14">
      <c r="B164" s="144" t="s">
        <v>297</v>
      </c>
      <c r="C164" s="170" t="s">
        <v>423</v>
      </c>
      <c r="D164" s="143" t="s">
        <v>409</v>
      </c>
      <c r="E164" s="143" t="s">
        <v>410</v>
      </c>
      <c r="F164" s="143" t="s">
        <v>295</v>
      </c>
      <c r="G164" s="143" t="s">
        <v>156</v>
      </c>
      <c r="H164" s="143" t="s">
        <v>411</v>
      </c>
      <c r="I164" s="143" t="s">
        <v>420</v>
      </c>
      <c r="J164" s="143" t="s">
        <v>294</v>
      </c>
      <c r="K164" s="143" t="s">
        <v>294</v>
      </c>
      <c r="L164" s="143" t="s">
        <v>424</v>
      </c>
      <c r="M164" s="143" t="s">
        <v>294</v>
      </c>
      <c r="N164" s="143" t="s">
        <v>425</v>
      </c>
      <c r="O164" s="143" t="s">
        <v>426</v>
      </c>
      <c r="P164" s="143" t="s">
        <v>426</v>
      </c>
      <c r="Q164" s="143" t="s">
        <v>425</v>
      </c>
      <c r="R164" s="143" t="s">
        <v>426</v>
      </c>
      <c r="S164" s="117" t="s">
        <v>426</v>
      </c>
      <c r="BF164" s="130"/>
    </row>
    <row r="165" spans="2:58" ht="14">
      <c r="B165" s="144" t="s">
        <v>297</v>
      </c>
      <c r="C165" s="170" t="s">
        <v>427</v>
      </c>
      <c r="D165" s="143" t="s">
        <v>409</v>
      </c>
      <c r="E165" s="143" t="s">
        <v>410</v>
      </c>
      <c r="F165" s="143" t="s">
        <v>295</v>
      </c>
      <c r="G165" s="143" t="s">
        <v>156</v>
      </c>
      <c r="H165" s="143" t="s">
        <v>411</v>
      </c>
      <c r="I165" s="143" t="s">
        <v>420</v>
      </c>
      <c r="J165" s="143" t="s">
        <v>294</v>
      </c>
      <c r="K165" s="143" t="s">
        <v>294</v>
      </c>
      <c r="L165" s="143" t="s">
        <v>428</v>
      </c>
      <c r="M165" s="143" t="s">
        <v>294</v>
      </c>
      <c r="N165" s="143" t="s">
        <v>413</v>
      </c>
      <c r="O165" s="143" t="s">
        <v>414</v>
      </c>
      <c r="P165" s="143" t="s">
        <v>414</v>
      </c>
      <c r="Q165" s="143" t="s">
        <v>415</v>
      </c>
      <c r="R165" s="143" t="s">
        <v>416</v>
      </c>
      <c r="S165" s="117" t="s">
        <v>416</v>
      </c>
      <c r="BF165" s="130"/>
    </row>
    <row r="166" spans="2:58" ht="14">
      <c r="B166" s="148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57"/>
      <c r="BF166" s="130"/>
    </row>
    <row r="167" spans="2:58">
      <c r="B167" s="148"/>
      <c r="C167" s="175" t="s">
        <v>439</v>
      </c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BF167" s="130"/>
    </row>
    <row r="168" spans="2:58" ht="15">
      <c r="B168" s="148"/>
      <c r="C168" s="118"/>
      <c r="D168" s="174"/>
      <c r="E168" s="118"/>
      <c r="F168" s="118" t="s">
        <v>141</v>
      </c>
      <c r="G168" s="174"/>
      <c r="H168" s="174"/>
      <c r="I168" s="174"/>
      <c r="J168" s="174"/>
      <c r="K168" s="174"/>
      <c r="L168" s="174"/>
      <c r="M168" s="174"/>
      <c r="BF168" s="130"/>
    </row>
    <row r="169" spans="2:58">
      <c r="B169" s="148"/>
      <c r="C169" s="153" t="s">
        <v>448</v>
      </c>
      <c r="D169" s="117" t="s">
        <v>442</v>
      </c>
      <c r="E169" s="153" t="s">
        <v>449</v>
      </c>
      <c r="F169" s="117" t="s">
        <v>443</v>
      </c>
      <c r="G169" s="123" t="s">
        <v>222</v>
      </c>
      <c r="H169" s="123" t="s">
        <v>223</v>
      </c>
      <c r="I169" s="123" t="s">
        <v>224</v>
      </c>
      <c r="J169" s="123" t="s">
        <v>225</v>
      </c>
      <c r="K169" s="123" t="s">
        <v>123</v>
      </c>
      <c r="L169" s="123" t="s">
        <v>124</v>
      </c>
      <c r="M169" s="123" t="s">
        <v>226</v>
      </c>
      <c r="BF169" s="130"/>
    </row>
    <row r="170" spans="2:58" ht="14">
      <c r="B170" s="148"/>
      <c r="C170" s="187" t="s">
        <v>450</v>
      </c>
      <c r="D170" s="117" t="s">
        <v>440</v>
      </c>
      <c r="E170" s="187" t="s">
        <v>452</v>
      </c>
      <c r="F170" s="117" t="s">
        <v>441</v>
      </c>
      <c r="G170" s="117" t="s">
        <v>205</v>
      </c>
      <c r="H170" s="117" t="s">
        <v>206</v>
      </c>
      <c r="I170" s="117" t="s">
        <v>207</v>
      </c>
      <c r="J170" s="117" t="s">
        <v>208</v>
      </c>
      <c r="K170" s="117" t="s">
        <v>209</v>
      </c>
      <c r="L170" s="117" t="s">
        <v>210</v>
      </c>
      <c r="M170" s="117" t="s">
        <v>211</v>
      </c>
      <c r="BF170" s="130"/>
    </row>
    <row r="171" spans="2:58" ht="14">
      <c r="B171" s="148"/>
      <c r="C171" s="187" t="s">
        <v>451</v>
      </c>
      <c r="D171" s="149" t="s">
        <v>445</v>
      </c>
      <c r="E171" s="187" t="s">
        <v>453</v>
      </c>
      <c r="F171" s="149" t="s">
        <v>230</v>
      </c>
      <c r="G171" s="149" t="s">
        <v>444</v>
      </c>
      <c r="H171" s="149" t="s">
        <v>234</v>
      </c>
      <c r="I171" s="149" t="s">
        <v>235</v>
      </c>
      <c r="J171" s="149" t="s">
        <v>235</v>
      </c>
      <c r="K171" s="149" t="s">
        <v>147</v>
      </c>
      <c r="L171" s="149" t="s">
        <v>235</v>
      </c>
      <c r="M171" s="189" t="s">
        <v>235</v>
      </c>
      <c r="BF171" s="130"/>
    </row>
    <row r="172" spans="2:58" ht="14">
      <c r="B172" s="144" t="s">
        <v>297</v>
      </c>
      <c r="C172" s="170" t="s">
        <v>411</v>
      </c>
      <c r="D172" s="189" t="s">
        <v>454</v>
      </c>
      <c r="E172" s="170" t="s">
        <v>455</v>
      </c>
      <c r="F172" s="189" t="s">
        <v>294</v>
      </c>
      <c r="G172" s="189" t="s">
        <v>294</v>
      </c>
      <c r="H172" s="190" t="s">
        <v>456</v>
      </c>
      <c r="I172" s="189" t="s">
        <v>457</v>
      </c>
      <c r="J172" s="189" t="s">
        <v>457</v>
      </c>
      <c r="K172" s="189" t="s">
        <v>458</v>
      </c>
      <c r="L172" s="189" t="s">
        <v>459</v>
      </c>
      <c r="M172" s="189" t="s">
        <v>459</v>
      </c>
      <c r="BF172" s="130"/>
    </row>
    <row r="173" spans="2:58" ht="14">
      <c r="B173" s="144" t="s">
        <v>297</v>
      </c>
      <c r="C173" s="170" t="s">
        <v>460</v>
      </c>
      <c r="D173" s="189" t="s">
        <v>454</v>
      </c>
      <c r="E173" s="170" t="s">
        <v>455</v>
      </c>
      <c r="F173" s="189" t="s">
        <v>294</v>
      </c>
      <c r="G173" s="189" t="s">
        <v>294</v>
      </c>
      <c r="H173" s="190" t="s">
        <v>456</v>
      </c>
      <c r="I173" s="189" t="s">
        <v>457</v>
      </c>
      <c r="J173" s="189" t="s">
        <v>457</v>
      </c>
      <c r="K173" s="189" t="s">
        <v>458</v>
      </c>
      <c r="L173" s="189" t="s">
        <v>459</v>
      </c>
      <c r="M173" s="189" t="s">
        <v>459</v>
      </c>
      <c r="BF173" s="130"/>
    </row>
    <row r="174" spans="2:58" ht="14">
      <c r="B174" s="144" t="s">
        <v>297</v>
      </c>
      <c r="C174" s="170" t="s">
        <v>419</v>
      </c>
      <c r="D174" s="189" t="s">
        <v>454</v>
      </c>
      <c r="E174" s="170" t="s">
        <v>455</v>
      </c>
      <c r="F174" s="189" t="s">
        <v>294</v>
      </c>
      <c r="G174" s="189" t="s">
        <v>294</v>
      </c>
      <c r="H174" s="190" t="s">
        <v>456</v>
      </c>
      <c r="I174" s="189" t="s">
        <v>457</v>
      </c>
      <c r="J174" s="189" t="s">
        <v>457</v>
      </c>
      <c r="K174" s="189" t="s">
        <v>458</v>
      </c>
      <c r="L174" s="189" t="s">
        <v>459</v>
      </c>
      <c r="M174" s="189" t="s">
        <v>459</v>
      </c>
      <c r="BF174" s="130"/>
    </row>
    <row r="175" spans="2:58" ht="14">
      <c r="B175" s="144" t="s">
        <v>297</v>
      </c>
      <c r="C175" s="170" t="s">
        <v>299</v>
      </c>
      <c r="D175" s="189" t="s">
        <v>454</v>
      </c>
      <c r="E175" s="170" t="s">
        <v>455</v>
      </c>
      <c r="F175" s="189" t="s">
        <v>294</v>
      </c>
      <c r="G175" s="189" t="s">
        <v>294</v>
      </c>
      <c r="H175" s="192" t="s">
        <v>456</v>
      </c>
      <c r="I175" s="189" t="s">
        <v>457</v>
      </c>
      <c r="J175" s="189" t="s">
        <v>457</v>
      </c>
      <c r="K175" s="189" t="s">
        <v>458</v>
      </c>
      <c r="L175" s="189" t="s">
        <v>459</v>
      </c>
      <c r="M175" s="189" t="s">
        <v>459</v>
      </c>
      <c r="BF175" s="130"/>
    </row>
    <row r="176" spans="2:58" ht="14">
      <c r="B176" s="144" t="s">
        <v>297</v>
      </c>
      <c r="C176" s="188" t="s">
        <v>410</v>
      </c>
      <c r="D176" s="189" t="s">
        <v>454</v>
      </c>
      <c r="E176" s="170" t="s">
        <v>455</v>
      </c>
      <c r="F176" s="189" t="s">
        <v>294</v>
      </c>
      <c r="G176" s="189" t="s">
        <v>294</v>
      </c>
      <c r="H176" s="192" t="s">
        <v>456</v>
      </c>
      <c r="I176" s="189" t="s">
        <v>457</v>
      </c>
      <c r="J176" s="189" t="s">
        <v>457</v>
      </c>
      <c r="K176" s="189" t="s">
        <v>458</v>
      </c>
      <c r="L176" s="189" t="s">
        <v>459</v>
      </c>
      <c r="M176" s="189" t="s">
        <v>459</v>
      </c>
      <c r="BF176" s="130"/>
    </row>
    <row r="177" spans="2:58">
      <c r="B177" s="148"/>
      <c r="BF177" s="130"/>
    </row>
    <row r="178" spans="2:58" ht="13.5">
      <c r="B178" s="148"/>
      <c r="C178" s="136" t="s">
        <v>125</v>
      </c>
      <c r="BF178" s="130"/>
    </row>
    <row r="179" spans="2:58" ht="13.5">
      <c r="B179" s="148"/>
      <c r="C179" s="266" t="s">
        <v>401</v>
      </c>
      <c r="D179" s="266" t="s">
        <v>402</v>
      </c>
      <c r="E179" s="266" t="s">
        <v>131</v>
      </c>
      <c r="F179" s="266" t="s">
        <v>403</v>
      </c>
      <c r="G179" s="266" t="s">
        <v>404</v>
      </c>
      <c r="BF179" s="130"/>
    </row>
    <row r="180" spans="2:58" ht="13.5">
      <c r="B180" s="148"/>
      <c r="C180" s="266">
        <v>-2</v>
      </c>
      <c r="D180" s="266" t="s">
        <v>128</v>
      </c>
      <c r="E180" s="266" t="s">
        <v>700</v>
      </c>
      <c r="F180" s="266" t="s">
        <v>681</v>
      </c>
      <c r="G180" s="266" t="s">
        <v>437</v>
      </c>
      <c r="BF180" s="130"/>
    </row>
    <row r="181" spans="2:58" ht="13.5" thickBot="1">
      <c r="B181" s="148"/>
      <c r="BF181" s="130"/>
    </row>
    <row r="182" spans="2:58" ht="14" thickBot="1">
      <c r="B182" s="132" t="s">
        <v>470</v>
      </c>
      <c r="C182" s="133" t="s">
        <v>471</v>
      </c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236"/>
    </row>
    <row r="183" spans="2:58" ht="14" thickBot="1">
      <c r="B183" s="134" t="s">
        <v>736</v>
      </c>
      <c r="C183" s="133" t="s">
        <v>434</v>
      </c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236"/>
    </row>
    <row r="184" spans="2:58">
      <c r="B184" s="148"/>
      <c r="BF184" s="130"/>
    </row>
    <row r="185" spans="2:58" ht="13.5">
      <c r="B185" s="148"/>
      <c r="C185" s="136" t="s">
        <v>241</v>
      </c>
      <c r="BF185" s="130"/>
    </row>
    <row r="186" spans="2:58" ht="13.5">
      <c r="B186" s="148"/>
      <c r="C186" s="136" t="s">
        <v>482</v>
      </c>
      <c r="BF186" s="130"/>
    </row>
    <row r="187" spans="2:58">
      <c r="B187" s="148"/>
      <c r="BF187" s="130"/>
    </row>
    <row r="188" spans="2:58" ht="15">
      <c r="B188" s="135"/>
      <c r="C188" s="162" t="s">
        <v>212</v>
      </c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BF188" s="130"/>
    </row>
    <row r="189" spans="2:58" ht="15">
      <c r="B189" s="135"/>
      <c r="D189" s="119"/>
      <c r="E189" s="118" t="s">
        <v>141</v>
      </c>
      <c r="F189" s="119"/>
      <c r="G189" s="119"/>
      <c r="H189" s="119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BF189" s="130"/>
    </row>
    <row r="190" spans="2:58" ht="13.5">
      <c r="B190" s="135"/>
      <c r="C190" s="153" t="s">
        <v>417</v>
      </c>
      <c r="D190" s="117" t="s">
        <v>213</v>
      </c>
      <c r="E190" s="117" t="s">
        <v>214</v>
      </c>
      <c r="F190" s="117" t="s">
        <v>215</v>
      </c>
      <c r="G190" s="117" t="s">
        <v>216</v>
      </c>
      <c r="H190" s="117" t="s">
        <v>217</v>
      </c>
      <c r="I190" s="117" t="s">
        <v>218</v>
      </c>
      <c r="J190" s="121" t="s">
        <v>219</v>
      </c>
      <c r="K190" s="117" t="s">
        <v>220</v>
      </c>
      <c r="L190" s="122" t="s">
        <v>221</v>
      </c>
      <c r="M190" s="123" t="s">
        <v>222</v>
      </c>
      <c r="N190" s="123" t="s">
        <v>223</v>
      </c>
      <c r="O190" s="123" t="s">
        <v>224</v>
      </c>
      <c r="P190" s="123" t="s">
        <v>225</v>
      </c>
      <c r="Q190" s="123" t="s">
        <v>123</v>
      </c>
      <c r="R190" s="123" t="s">
        <v>124</v>
      </c>
      <c r="S190" s="117" t="s">
        <v>226</v>
      </c>
      <c r="BF190" s="130"/>
    </row>
    <row r="191" spans="2:58" ht="13.5">
      <c r="B191" s="135"/>
      <c r="C191" s="117" t="s">
        <v>195</v>
      </c>
      <c r="D191" s="117" t="s">
        <v>196</v>
      </c>
      <c r="E191" s="117" t="s">
        <v>197</v>
      </c>
      <c r="F191" s="117" t="s">
        <v>198</v>
      </c>
      <c r="G191" s="117" t="s">
        <v>199</v>
      </c>
      <c r="H191" s="117" t="s">
        <v>200</v>
      </c>
      <c r="I191" s="117" t="s">
        <v>201</v>
      </c>
      <c r="J191" s="117" t="s">
        <v>202</v>
      </c>
      <c r="K191" s="117" t="s">
        <v>203</v>
      </c>
      <c r="L191" s="117" t="s">
        <v>204</v>
      </c>
      <c r="M191" s="117" t="s">
        <v>205</v>
      </c>
      <c r="N191" s="117" t="s">
        <v>206</v>
      </c>
      <c r="O191" s="117" t="s">
        <v>207</v>
      </c>
      <c r="P191" s="117" t="s">
        <v>208</v>
      </c>
      <c r="Q191" s="117" t="s">
        <v>209</v>
      </c>
      <c r="R191" s="117" t="s">
        <v>210</v>
      </c>
      <c r="S191" s="117" t="s">
        <v>211</v>
      </c>
      <c r="BF191" s="130"/>
    </row>
    <row r="192" spans="2:58" ht="14">
      <c r="B192" s="142"/>
      <c r="C192" s="149" t="s">
        <v>227</v>
      </c>
      <c r="D192" s="150" t="s">
        <v>228</v>
      </c>
      <c r="E192" s="150" t="s">
        <v>228</v>
      </c>
      <c r="F192" s="150" t="s">
        <v>229</v>
      </c>
      <c r="G192" s="150" t="s">
        <v>230</v>
      </c>
      <c r="H192" s="150" t="s">
        <v>228</v>
      </c>
      <c r="I192" s="151" t="s">
        <v>231</v>
      </c>
      <c r="J192" s="150" t="s">
        <v>230</v>
      </c>
      <c r="K192" s="151" t="s">
        <v>230</v>
      </c>
      <c r="L192" s="151" t="s">
        <v>232</v>
      </c>
      <c r="M192" s="152" t="s">
        <v>233</v>
      </c>
      <c r="N192" s="150" t="s">
        <v>234</v>
      </c>
      <c r="O192" s="150" t="s">
        <v>235</v>
      </c>
      <c r="P192" s="151" t="s">
        <v>235</v>
      </c>
      <c r="Q192" s="151" t="s">
        <v>147</v>
      </c>
      <c r="R192" s="152" t="s">
        <v>235</v>
      </c>
      <c r="S192" s="117" t="s">
        <v>235</v>
      </c>
      <c r="BF192" s="130"/>
    </row>
    <row r="193" spans="2:58" ht="14">
      <c r="B193" s="142" t="s">
        <v>292</v>
      </c>
      <c r="C193" s="143" t="s">
        <v>408</v>
      </c>
      <c r="D193" s="143" t="s">
        <v>409</v>
      </c>
      <c r="E193" s="143" t="s">
        <v>410</v>
      </c>
      <c r="F193" s="143" t="s">
        <v>295</v>
      </c>
      <c r="G193" s="143" t="s">
        <v>156</v>
      </c>
      <c r="H193" s="143" t="s">
        <v>411</v>
      </c>
      <c r="I193" s="143" t="s">
        <v>298</v>
      </c>
      <c r="J193" s="143" t="s">
        <v>294</v>
      </c>
      <c r="K193" s="143" t="s">
        <v>294</v>
      </c>
      <c r="L193" s="143" t="s">
        <v>412</v>
      </c>
      <c r="M193" s="143" t="s">
        <v>294</v>
      </c>
      <c r="N193" s="143" t="s">
        <v>413</v>
      </c>
      <c r="O193" s="143" t="s">
        <v>414</v>
      </c>
      <c r="P193" s="143" t="s">
        <v>414</v>
      </c>
      <c r="Q193" s="143" t="s">
        <v>415</v>
      </c>
      <c r="R193" s="143" t="s">
        <v>416</v>
      </c>
      <c r="S193" s="117" t="s">
        <v>416</v>
      </c>
      <c r="BF193" s="130"/>
    </row>
    <row r="194" spans="2:58" ht="14">
      <c r="B194" s="144" t="s">
        <v>297</v>
      </c>
      <c r="C194" s="170" t="s">
        <v>418</v>
      </c>
      <c r="D194" s="143" t="s">
        <v>409</v>
      </c>
      <c r="E194" s="143" t="s">
        <v>419</v>
      </c>
      <c r="F194" s="143" t="s">
        <v>295</v>
      </c>
      <c r="G194" s="143" t="s">
        <v>156</v>
      </c>
      <c r="H194" s="143" t="s">
        <v>411</v>
      </c>
      <c r="I194" s="143" t="s">
        <v>420</v>
      </c>
      <c r="J194" s="143" t="s">
        <v>294</v>
      </c>
      <c r="K194" s="143" t="s">
        <v>294</v>
      </c>
      <c r="L194" s="143" t="s">
        <v>421</v>
      </c>
      <c r="M194" s="143" t="s">
        <v>294</v>
      </c>
      <c r="N194" s="143" t="s">
        <v>413</v>
      </c>
      <c r="O194" s="143" t="s">
        <v>414</v>
      </c>
      <c r="P194" s="143" t="s">
        <v>414</v>
      </c>
      <c r="Q194" s="143" t="s">
        <v>422</v>
      </c>
      <c r="R194" s="143" t="s">
        <v>416</v>
      </c>
      <c r="S194" s="117" t="s">
        <v>416</v>
      </c>
      <c r="BF194" s="130"/>
    </row>
    <row r="195" spans="2:58" ht="14">
      <c r="B195" s="144" t="s">
        <v>297</v>
      </c>
      <c r="C195" s="170" t="s">
        <v>423</v>
      </c>
      <c r="D195" s="143" t="s">
        <v>409</v>
      </c>
      <c r="E195" s="143" t="s">
        <v>410</v>
      </c>
      <c r="F195" s="143" t="s">
        <v>295</v>
      </c>
      <c r="G195" s="143" t="s">
        <v>156</v>
      </c>
      <c r="H195" s="143" t="s">
        <v>411</v>
      </c>
      <c r="I195" s="143" t="s">
        <v>420</v>
      </c>
      <c r="J195" s="143" t="s">
        <v>294</v>
      </c>
      <c r="K195" s="143" t="s">
        <v>294</v>
      </c>
      <c r="L195" s="143" t="s">
        <v>424</v>
      </c>
      <c r="M195" s="143" t="s">
        <v>294</v>
      </c>
      <c r="N195" s="143" t="s">
        <v>425</v>
      </c>
      <c r="O195" s="143" t="s">
        <v>426</v>
      </c>
      <c r="P195" s="143" t="s">
        <v>426</v>
      </c>
      <c r="Q195" s="143" t="s">
        <v>425</v>
      </c>
      <c r="R195" s="143" t="s">
        <v>426</v>
      </c>
      <c r="S195" s="117" t="s">
        <v>426</v>
      </c>
      <c r="BF195" s="130"/>
    </row>
    <row r="196" spans="2:58" ht="14">
      <c r="B196" s="144" t="s">
        <v>297</v>
      </c>
      <c r="C196" s="170" t="s">
        <v>427</v>
      </c>
      <c r="D196" s="143" t="s">
        <v>409</v>
      </c>
      <c r="E196" s="143" t="s">
        <v>410</v>
      </c>
      <c r="F196" s="143" t="s">
        <v>295</v>
      </c>
      <c r="G196" s="143" t="s">
        <v>156</v>
      </c>
      <c r="H196" s="143" t="s">
        <v>411</v>
      </c>
      <c r="I196" s="143" t="s">
        <v>420</v>
      </c>
      <c r="J196" s="143" t="s">
        <v>294</v>
      </c>
      <c r="K196" s="143" t="s">
        <v>294</v>
      </c>
      <c r="L196" s="143" t="s">
        <v>428</v>
      </c>
      <c r="M196" s="143" t="s">
        <v>294</v>
      </c>
      <c r="N196" s="143" t="s">
        <v>413</v>
      </c>
      <c r="O196" s="143" t="s">
        <v>414</v>
      </c>
      <c r="P196" s="143" t="s">
        <v>414</v>
      </c>
      <c r="Q196" s="143" t="s">
        <v>415</v>
      </c>
      <c r="R196" s="143" t="s">
        <v>416</v>
      </c>
      <c r="S196" s="117" t="s">
        <v>416</v>
      </c>
      <c r="BF196" s="130"/>
    </row>
    <row r="197" spans="2:58" ht="14">
      <c r="B197" s="148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57"/>
      <c r="BF197" s="130"/>
    </row>
    <row r="198" spans="2:58">
      <c r="B198" s="148"/>
      <c r="C198" s="175" t="s">
        <v>439</v>
      </c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BF198" s="130"/>
    </row>
    <row r="199" spans="2:58" ht="15">
      <c r="B199" s="148"/>
      <c r="C199" s="118"/>
      <c r="D199" s="174"/>
      <c r="E199" s="118"/>
      <c r="F199" s="118" t="s">
        <v>141</v>
      </c>
      <c r="G199" s="174"/>
      <c r="H199" s="174"/>
      <c r="I199" s="174"/>
      <c r="J199" s="174"/>
      <c r="K199" s="174"/>
      <c r="L199" s="174"/>
      <c r="M199" s="174"/>
      <c r="BF199" s="130"/>
    </row>
    <row r="200" spans="2:58">
      <c r="B200" s="148"/>
      <c r="C200" s="153" t="s">
        <v>448</v>
      </c>
      <c r="D200" s="117" t="s">
        <v>442</v>
      </c>
      <c r="E200" s="153" t="s">
        <v>449</v>
      </c>
      <c r="F200" s="117" t="s">
        <v>443</v>
      </c>
      <c r="G200" s="123" t="s">
        <v>222</v>
      </c>
      <c r="H200" s="123" t="s">
        <v>223</v>
      </c>
      <c r="I200" s="123" t="s">
        <v>224</v>
      </c>
      <c r="J200" s="123" t="s">
        <v>225</v>
      </c>
      <c r="K200" s="123" t="s">
        <v>123</v>
      </c>
      <c r="L200" s="123" t="s">
        <v>124</v>
      </c>
      <c r="M200" s="123" t="s">
        <v>226</v>
      </c>
      <c r="BF200" s="130"/>
    </row>
    <row r="201" spans="2:58" ht="14">
      <c r="B201" s="148"/>
      <c r="C201" s="187" t="s">
        <v>450</v>
      </c>
      <c r="D201" s="117" t="s">
        <v>440</v>
      </c>
      <c r="E201" s="187" t="s">
        <v>452</v>
      </c>
      <c r="F201" s="117" t="s">
        <v>441</v>
      </c>
      <c r="G201" s="117" t="s">
        <v>205</v>
      </c>
      <c r="H201" s="117" t="s">
        <v>206</v>
      </c>
      <c r="I201" s="117" t="s">
        <v>207</v>
      </c>
      <c r="J201" s="117" t="s">
        <v>208</v>
      </c>
      <c r="K201" s="117" t="s">
        <v>209</v>
      </c>
      <c r="L201" s="117" t="s">
        <v>210</v>
      </c>
      <c r="M201" s="117" t="s">
        <v>211</v>
      </c>
      <c r="BF201" s="130"/>
    </row>
    <row r="202" spans="2:58" ht="14">
      <c r="B202" s="148"/>
      <c r="C202" s="187" t="s">
        <v>451</v>
      </c>
      <c r="D202" s="149" t="s">
        <v>445</v>
      </c>
      <c r="E202" s="187" t="s">
        <v>453</v>
      </c>
      <c r="F202" s="149" t="s">
        <v>230</v>
      </c>
      <c r="G202" s="149" t="s">
        <v>444</v>
      </c>
      <c r="H202" s="149" t="s">
        <v>234</v>
      </c>
      <c r="I202" s="149" t="s">
        <v>235</v>
      </c>
      <c r="J202" s="149" t="s">
        <v>235</v>
      </c>
      <c r="K202" s="149" t="s">
        <v>147</v>
      </c>
      <c r="L202" s="149" t="s">
        <v>235</v>
      </c>
      <c r="M202" s="149" t="s">
        <v>235</v>
      </c>
      <c r="BF202" s="130"/>
    </row>
    <row r="203" spans="2:58" ht="14">
      <c r="B203" s="144" t="s">
        <v>297</v>
      </c>
      <c r="C203" s="170" t="s">
        <v>411</v>
      </c>
      <c r="D203" s="189" t="s">
        <v>454</v>
      </c>
      <c r="E203" s="170" t="s">
        <v>455</v>
      </c>
      <c r="F203" s="189" t="s">
        <v>294</v>
      </c>
      <c r="G203" s="189" t="s">
        <v>294</v>
      </c>
      <c r="H203" s="190" t="s">
        <v>456</v>
      </c>
      <c r="I203" s="189" t="s">
        <v>457</v>
      </c>
      <c r="J203" s="189" t="s">
        <v>457</v>
      </c>
      <c r="K203" s="189" t="s">
        <v>458</v>
      </c>
      <c r="L203" s="189" t="s">
        <v>459</v>
      </c>
      <c r="M203" s="149" t="s">
        <v>459</v>
      </c>
      <c r="BF203" s="130"/>
    </row>
    <row r="204" spans="2:58" ht="14">
      <c r="B204" s="144" t="s">
        <v>297</v>
      </c>
      <c r="C204" s="170" t="s">
        <v>460</v>
      </c>
      <c r="D204" s="189" t="s">
        <v>454</v>
      </c>
      <c r="E204" s="170" t="s">
        <v>455</v>
      </c>
      <c r="F204" s="189" t="s">
        <v>294</v>
      </c>
      <c r="G204" s="189" t="s">
        <v>294</v>
      </c>
      <c r="H204" s="190" t="s">
        <v>456</v>
      </c>
      <c r="I204" s="189" t="s">
        <v>457</v>
      </c>
      <c r="J204" s="189" t="s">
        <v>457</v>
      </c>
      <c r="K204" s="189" t="s">
        <v>458</v>
      </c>
      <c r="L204" s="189" t="s">
        <v>459</v>
      </c>
      <c r="M204" s="149" t="s">
        <v>459</v>
      </c>
      <c r="BF204" s="130"/>
    </row>
    <row r="205" spans="2:58" ht="14">
      <c r="B205" s="144" t="s">
        <v>297</v>
      </c>
      <c r="C205" s="170" t="s">
        <v>419</v>
      </c>
      <c r="D205" s="189" t="s">
        <v>454</v>
      </c>
      <c r="E205" s="170" t="s">
        <v>455</v>
      </c>
      <c r="F205" s="189" t="s">
        <v>294</v>
      </c>
      <c r="G205" s="189" t="s">
        <v>294</v>
      </c>
      <c r="H205" s="190" t="s">
        <v>456</v>
      </c>
      <c r="I205" s="189" t="s">
        <v>457</v>
      </c>
      <c r="J205" s="189" t="s">
        <v>457</v>
      </c>
      <c r="K205" s="189" t="s">
        <v>458</v>
      </c>
      <c r="L205" s="189" t="s">
        <v>459</v>
      </c>
      <c r="M205" s="149" t="s">
        <v>459</v>
      </c>
      <c r="BF205" s="130"/>
    </row>
    <row r="206" spans="2:58" ht="14">
      <c r="B206" s="144" t="s">
        <v>297</v>
      </c>
      <c r="C206" s="170" t="s">
        <v>299</v>
      </c>
      <c r="D206" s="189" t="s">
        <v>454</v>
      </c>
      <c r="E206" s="170" t="s">
        <v>455</v>
      </c>
      <c r="F206" s="189" t="s">
        <v>294</v>
      </c>
      <c r="G206" s="189" t="s">
        <v>294</v>
      </c>
      <c r="H206" s="192" t="s">
        <v>456</v>
      </c>
      <c r="I206" s="189" t="s">
        <v>457</v>
      </c>
      <c r="J206" s="189" t="s">
        <v>457</v>
      </c>
      <c r="K206" s="189" t="s">
        <v>458</v>
      </c>
      <c r="L206" s="189" t="s">
        <v>459</v>
      </c>
      <c r="M206" s="149" t="s">
        <v>459</v>
      </c>
      <c r="BF206" s="130"/>
    </row>
    <row r="207" spans="2:58" ht="14">
      <c r="B207" s="144" t="s">
        <v>297</v>
      </c>
      <c r="C207" s="188" t="s">
        <v>410</v>
      </c>
      <c r="D207" s="189" t="s">
        <v>454</v>
      </c>
      <c r="E207" s="170" t="s">
        <v>455</v>
      </c>
      <c r="F207" s="189" t="s">
        <v>294</v>
      </c>
      <c r="G207" s="189" t="s">
        <v>294</v>
      </c>
      <c r="H207" s="192" t="s">
        <v>456</v>
      </c>
      <c r="I207" s="189" t="s">
        <v>457</v>
      </c>
      <c r="J207" s="189" t="s">
        <v>457</v>
      </c>
      <c r="K207" s="189" t="s">
        <v>458</v>
      </c>
      <c r="L207" s="189" t="s">
        <v>459</v>
      </c>
      <c r="M207" s="149" t="s">
        <v>459</v>
      </c>
      <c r="BF207" s="130"/>
    </row>
    <row r="208" spans="2:58">
      <c r="B208" s="148"/>
      <c r="BF208" s="130"/>
    </row>
    <row r="209" spans="2:58" ht="13.5">
      <c r="B209" s="148"/>
      <c r="C209" s="136" t="s">
        <v>125</v>
      </c>
      <c r="D209" s="136"/>
      <c r="E209" s="136"/>
      <c r="F209" s="136"/>
      <c r="G209" s="136"/>
      <c r="BF209" s="130"/>
    </row>
    <row r="210" spans="2:58" ht="13.5">
      <c r="B210" s="148"/>
      <c r="C210" s="266" t="s">
        <v>401</v>
      </c>
      <c r="D210" s="266" t="s">
        <v>402</v>
      </c>
      <c r="E210" s="266" t="s">
        <v>131</v>
      </c>
      <c r="F210" s="266" t="s">
        <v>403</v>
      </c>
      <c r="G210" s="266" t="s">
        <v>404</v>
      </c>
      <c r="BF210" s="130"/>
    </row>
    <row r="211" spans="2:58" ht="13.5">
      <c r="B211" s="148"/>
      <c r="C211" s="266">
        <v>-2</v>
      </c>
      <c r="D211" s="266" t="s">
        <v>128</v>
      </c>
      <c r="E211" s="266" t="s">
        <v>700</v>
      </c>
      <c r="F211" s="266" t="s">
        <v>681</v>
      </c>
      <c r="G211" s="266" t="s">
        <v>437</v>
      </c>
      <c r="BF211" s="130"/>
    </row>
    <row r="212" spans="2:58" ht="13.5" thickBot="1">
      <c r="B212" s="148"/>
      <c r="BF212" s="130"/>
    </row>
    <row r="213" spans="2:58" ht="14" thickBot="1">
      <c r="B213" s="132" t="s">
        <v>738</v>
      </c>
      <c r="C213" s="133" t="s">
        <v>739</v>
      </c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236"/>
    </row>
    <row r="214" spans="2:58" ht="14" thickBot="1">
      <c r="B214" s="134" t="s">
        <v>736</v>
      </c>
      <c r="C214" s="133" t="s">
        <v>434</v>
      </c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236"/>
    </row>
    <row r="215" spans="2:58">
      <c r="B215" s="148"/>
      <c r="BF215" s="130"/>
    </row>
    <row r="216" spans="2:58" ht="13.5">
      <c r="B216" s="148"/>
      <c r="C216" s="136" t="s">
        <v>241</v>
      </c>
      <c r="BF216" s="130"/>
    </row>
    <row r="217" spans="2:58" ht="13.5">
      <c r="B217" s="148"/>
      <c r="C217" s="136" t="s">
        <v>742</v>
      </c>
      <c r="BF217" s="130"/>
    </row>
    <row r="218" spans="2:58">
      <c r="B218" s="148"/>
      <c r="BF218" s="130"/>
    </row>
    <row r="219" spans="2:58" ht="15">
      <c r="B219" s="148"/>
      <c r="C219" s="137" t="s">
        <v>472</v>
      </c>
      <c r="D219" s="138"/>
      <c r="E219" s="138"/>
      <c r="F219" s="138"/>
      <c r="G219" s="138"/>
      <c r="H219" s="95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93"/>
      <c r="T219" s="93"/>
      <c r="U219" s="93"/>
      <c r="V219" s="93"/>
      <c r="W219" s="93"/>
      <c r="X219" s="93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138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238"/>
    </row>
    <row r="220" spans="2:58" ht="15">
      <c r="B220" s="148"/>
      <c r="C220" s="140"/>
      <c r="D220" s="140"/>
      <c r="E220" s="140"/>
      <c r="F220" s="141" t="s">
        <v>141</v>
      </c>
      <c r="G220" s="146"/>
      <c r="H220" s="146"/>
      <c r="I220" s="141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1"/>
      <c r="AL220" s="147"/>
      <c r="AM220" s="147"/>
      <c r="AN220" s="147"/>
      <c r="AO220" s="141"/>
      <c r="AP220" s="147"/>
      <c r="AQ220" s="147"/>
      <c r="AR220" s="141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239"/>
    </row>
    <row r="221" spans="2:58" ht="25">
      <c r="B221" s="148"/>
      <c r="C221" s="116" t="s">
        <v>300</v>
      </c>
      <c r="D221" s="116" t="s">
        <v>301</v>
      </c>
      <c r="E221" s="116" t="s">
        <v>302</v>
      </c>
      <c r="F221" s="123" t="s">
        <v>337</v>
      </c>
      <c r="G221" s="123" t="s">
        <v>303</v>
      </c>
      <c r="H221" s="123" t="s">
        <v>244</v>
      </c>
      <c r="I221" s="123" t="s">
        <v>305</v>
      </c>
      <c r="J221" s="123" t="s">
        <v>306</v>
      </c>
      <c r="K221" s="123" t="s">
        <v>307</v>
      </c>
      <c r="L221" s="123" t="s">
        <v>308</v>
      </c>
      <c r="M221" s="123" t="s">
        <v>309</v>
      </c>
      <c r="N221" s="123" t="s">
        <v>310</v>
      </c>
      <c r="O221" s="123" t="s">
        <v>311</v>
      </c>
      <c r="P221" s="123" t="s">
        <v>312</v>
      </c>
      <c r="Q221" s="123" t="s">
        <v>313</v>
      </c>
      <c r="R221" s="123" t="s">
        <v>314</v>
      </c>
      <c r="S221" s="123" t="s">
        <v>315</v>
      </c>
      <c r="T221" s="123" t="s">
        <v>316</v>
      </c>
      <c r="U221" s="123" t="s">
        <v>317</v>
      </c>
      <c r="V221" s="123" t="s">
        <v>318</v>
      </c>
      <c r="W221" s="123" t="s">
        <v>319</v>
      </c>
      <c r="X221" s="123" t="s">
        <v>320</v>
      </c>
      <c r="Y221" s="123" t="s">
        <v>321</v>
      </c>
      <c r="Z221" s="123" t="s">
        <v>322</v>
      </c>
      <c r="AA221" s="123" t="s">
        <v>323</v>
      </c>
      <c r="AB221" s="123" t="s">
        <v>324</v>
      </c>
      <c r="AC221" s="123" t="s">
        <v>325</v>
      </c>
      <c r="AD221" s="123" t="s">
        <v>326</v>
      </c>
      <c r="AE221" s="123" t="s">
        <v>327</v>
      </c>
      <c r="AF221" s="123" t="s">
        <v>328</v>
      </c>
      <c r="AG221" s="123" t="s">
        <v>329</v>
      </c>
      <c r="AH221" s="123" t="s">
        <v>330</v>
      </c>
      <c r="AI221" s="123" t="s">
        <v>331</v>
      </c>
      <c r="AJ221" s="123" t="s">
        <v>332</v>
      </c>
      <c r="AK221" s="123" t="s">
        <v>333</v>
      </c>
      <c r="AL221" s="123" t="s">
        <v>334</v>
      </c>
      <c r="AM221" s="123" t="s">
        <v>335</v>
      </c>
      <c r="AN221" s="123" t="s">
        <v>336</v>
      </c>
      <c r="AO221" s="123" t="s">
        <v>304</v>
      </c>
      <c r="AP221" s="123" t="s">
        <v>338</v>
      </c>
      <c r="AQ221" s="123" t="s">
        <v>339</v>
      </c>
      <c r="AR221" s="123" t="s">
        <v>340</v>
      </c>
      <c r="AS221" s="123" t="s">
        <v>341</v>
      </c>
      <c r="AT221" s="123" t="s">
        <v>342</v>
      </c>
      <c r="AU221" s="123" t="s">
        <v>343</v>
      </c>
      <c r="AV221" s="123" t="s">
        <v>344</v>
      </c>
      <c r="AW221" s="123" t="s">
        <v>345</v>
      </c>
      <c r="AX221" s="123" t="s">
        <v>346</v>
      </c>
      <c r="AY221" s="123" t="s">
        <v>347</v>
      </c>
      <c r="AZ221" s="123" t="s">
        <v>222</v>
      </c>
      <c r="BA221" s="123" t="s">
        <v>223</v>
      </c>
      <c r="BB221" s="123" t="s">
        <v>224</v>
      </c>
      <c r="BC221" s="123" t="s">
        <v>225</v>
      </c>
      <c r="BD221" s="123" t="s">
        <v>123</v>
      </c>
      <c r="BE221" s="123" t="s">
        <v>124</v>
      </c>
      <c r="BF221" s="240" t="s">
        <v>226</v>
      </c>
    </row>
    <row r="222" spans="2:58">
      <c r="B222" s="148"/>
      <c r="C222" s="116" t="s">
        <v>261</v>
      </c>
      <c r="D222" s="116" t="s">
        <v>262</v>
      </c>
      <c r="E222" s="116" t="s">
        <v>263</v>
      </c>
      <c r="F222" s="117" t="s">
        <v>200</v>
      </c>
      <c r="G222" s="117" t="s">
        <v>266</v>
      </c>
      <c r="H222" s="117" t="s">
        <v>265</v>
      </c>
      <c r="I222" s="117" t="s">
        <v>349</v>
      </c>
      <c r="J222" s="117" t="s">
        <v>350</v>
      </c>
      <c r="K222" s="117" t="s">
        <v>351</v>
      </c>
      <c r="L222" s="117" t="s">
        <v>352</v>
      </c>
      <c r="M222" s="117" t="s">
        <v>353</v>
      </c>
      <c r="N222" s="117" t="s">
        <v>354</v>
      </c>
      <c r="O222" s="117" t="s">
        <v>355</v>
      </c>
      <c r="P222" s="117" t="s">
        <v>356</v>
      </c>
      <c r="Q222" s="117" t="s">
        <v>357</v>
      </c>
      <c r="R222" s="117" t="s">
        <v>358</v>
      </c>
      <c r="S222" s="117" t="s">
        <v>359</v>
      </c>
      <c r="T222" s="117" t="s">
        <v>360</v>
      </c>
      <c r="U222" s="117" t="s">
        <v>361</v>
      </c>
      <c r="V222" s="117" t="s">
        <v>362</v>
      </c>
      <c r="W222" s="117" t="s">
        <v>363</v>
      </c>
      <c r="X222" s="117" t="s">
        <v>364</v>
      </c>
      <c r="Y222" s="117" t="s">
        <v>365</v>
      </c>
      <c r="Z222" s="117" t="s">
        <v>366</v>
      </c>
      <c r="AA222" s="117" t="s">
        <v>367</v>
      </c>
      <c r="AB222" s="117" t="s">
        <v>368</v>
      </c>
      <c r="AC222" s="117" t="s">
        <v>369</v>
      </c>
      <c r="AD222" s="117" t="s">
        <v>370</v>
      </c>
      <c r="AE222" s="117" t="s">
        <v>371</v>
      </c>
      <c r="AF222" s="117" t="s">
        <v>372</v>
      </c>
      <c r="AG222" s="117" t="s">
        <v>373</v>
      </c>
      <c r="AH222" s="117" t="s">
        <v>374</v>
      </c>
      <c r="AI222" s="117" t="s">
        <v>375</v>
      </c>
      <c r="AJ222" s="117" t="s">
        <v>376</v>
      </c>
      <c r="AK222" s="117" t="s">
        <v>199</v>
      </c>
      <c r="AL222" s="117" t="s">
        <v>377</v>
      </c>
      <c r="AM222" s="117" t="s">
        <v>378</v>
      </c>
      <c r="AN222" s="117" t="s">
        <v>379</v>
      </c>
      <c r="AO222" s="117" t="s">
        <v>348</v>
      </c>
      <c r="AP222" s="117" t="s">
        <v>380</v>
      </c>
      <c r="AQ222" s="117" t="s">
        <v>381</v>
      </c>
      <c r="AR222" s="117" t="s">
        <v>382</v>
      </c>
      <c r="AS222" s="117" t="s">
        <v>383</v>
      </c>
      <c r="AT222" s="117" t="s">
        <v>384</v>
      </c>
      <c r="AU222" s="117" t="s">
        <v>385</v>
      </c>
      <c r="AV222" s="117" t="s">
        <v>386</v>
      </c>
      <c r="AW222" s="117" t="s">
        <v>387</v>
      </c>
      <c r="AX222" s="117" t="s">
        <v>388</v>
      </c>
      <c r="AY222" s="117" t="s">
        <v>389</v>
      </c>
      <c r="AZ222" s="117" t="s">
        <v>205</v>
      </c>
      <c r="BA222" s="117" t="s">
        <v>206</v>
      </c>
      <c r="BB222" s="117" t="s">
        <v>207</v>
      </c>
      <c r="BC222" s="117" t="s">
        <v>208</v>
      </c>
      <c r="BD222" s="117" t="s">
        <v>209</v>
      </c>
      <c r="BE222" s="117" t="s">
        <v>210</v>
      </c>
      <c r="BF222" s="241" t="s">
        <v>211</v>
      </c>
    </row>
    <row r="223" spans="2:58">
      <c r="B223" s="148"/>
      <c r="C223" s="116" t="s">
        <v>282</v>
      </c>
      <c r="D223" s="116" t="s">
        <v>390</v>
      </c>
      <c r="E223" s="116" t="s">
        <v>227</v>
      </c>
      <c r="F223" s="145" t="s">
        <v>228</v>
      </c>
      <c r="G223" s="145" t="s">
        <v>230</v>
      </c>
      <c r="H223" s="145" t="s">
        <v>230</v>
      </c>
      <c r="I223" s="145" t="s">
        <v>230</v>
      </c>
      <c r="J223" s="145" t="s">
        <v>230</v>
      </c>
      <c r="K223" s="145" t="s">
        <v>391</v>
      </c>
      <c r="L223" s="145" t="s">
        <v>391</v>
      </c>
      <c r="M223" s="145" t="s">
        <v>227</v>
      </c>
      <c r="N223" s="145" t="s">
        <v>392</v>
      </c>
      <c r="O223" s="145" t="s">
        <v>230</v>
      </c>
      <c r="P223" s="145" t="s">
        <v>288</v>
      </c>
      <c r="Q223" s="145" t="s">
        <v>284</v>
      </c>
      <c r="R223" s="145" t="s">
        <v>288</v>
      </c>
      <c r="S223" s="145" t="s">
        <v>284</v>
      </c>
      <c r="T223" s="145" t="s">
        <v>284</v>
      </c>
      <c r="U223" s="145" t="s">
        <v>230</v>
      </c>
      <c r="V223" s="145" t="s">
        <v>393</v>
      </c>
      <c r="W223" s="145" t="s">
        <v>393</v>
      </c>
      <c r="X223" s="145" t="s">
        <v>228</v>
      </c>
      <c r="Y223" s="145" t="s">
        <v>392</v>
      </c>
      <c r="Z223" s="145" t="s">
        <v>392</v>
      </c>
      <c r="AA223" s="145" t="s">
        <v>284</v>
      </c>
      <c r="AB223" s="145" t="s">
        <v>287</v>
      </c>
      <c r="AC223" s="145" t="s">
        <v>288</v>
      </c>
      <c r="AD223" s="145" t="s">
        <v>288</v>
      </c>
      <c r="AE223" s="145" t="s">
        <v>394</v>
      </c>
      <c r="AF223" s="145" t="s">
        <v>394</v>
      </c>
      <c r="AG223" s="145" t="s">
        <v>288</v>
      </c>
      <c r="AH223" s="145" t="s">
        <v>288</v>
      </c>
      <c r="AI223" s="145" t="s">
        <v>394</v>
      </c>
      <c r="AJ223" s="145" t="s">
        <v>394</v>
      </c>
      <c r="AK223" s="145" t="s">
        <v>230</v>
      </c>
      <c r="AL223" s="145" t="s">
        <v>230</v>
      </c>
      <c r="AM223" s="145" t="s">
        <v>230</v>
      </c>
      <c r="AN223" s="145" t="s">
        <v>230</v>
      </c>
      <c r="AO223" s="145" t="s">
        <v>230</v>
      </c>
      <c r="AP223" s="145" t="s">
        <v>227</v>
      </c>
      <c r="AQ223" s="145" t="s">
        <v>230</v>
      </c>
      <c r="AR223" s="145" t="s">
        <v>284</v>
      </c>
      <c r="AS223" s="145" t="s">
        <v>284</v>
      </c>
      <c r="AT223" s="145" t="s">
        <v>230</v>
      </c>
      <c r="AU223" s="145" t="s">
        <v>395</v>
      </c>
      <c r="AV223" s="145" t="s">
        <v>288</v>
      </c>
      <c r="AW223" s="145" t="s">
        <v>228</v>
      </c>
      <c r="AX223" s="145" t="s">
        <v>230</v>
      </c>
      <c r="AY223" s="145" t="s">
        <v>230</v>
      </c>
      <c r="AZ223" s="145" t="s">
        <v>233</v>
      </c>
      <c r="BA223" s="145" t="s">
        <v>234</v>
      </c>
      <c r="BB223" s="145" t="s">
        <v>235</v>
      </c>
      <c r="BC223" s="145" t="s">
        <v>235</v>
      </c>
      <c r="BD223" s="145" t="s">
        <v>234</v>
      </c>
      <c r="BE223" s="145" t="s">
        <v>235</v>
      </c>
      <c r="BF223" s="242" t="s">
        <v>235</v>
      </c>
    </row>
    <row r="224" spans="2:58" ht="14">
      <c r="B224" s="144" t="s">
        <v>297</v>
      </c>
      <c r="C224" s="188" t="s">
        <v>473</v>
      </c>
      <c r="D224" s="170" t="s">
        <v>408</v>
      </c>
      <c r="E224" s="188" t="s">
        <v>408</v>
      </c>
      <c r="F224" s="188">
        <v>1</v>
      </c>
      <c r="G224" s="188" t="s">
        <v>293</v>
      </c>
      <c r="H224" s="188" t="s">
        <v>293</v>
      </c>
      <c r="I224" s="188" t="s">
        <v>294</v>
      </c>
      <c r="J224" s="188" t="s">
        <v>294</v>
      </c>
      <c r="K224" s="188" t="s">
        <v>128</v>
      </c>
      <c r="L224" s="188" t="s">
        <v>128</v>
      </c>
      <c r="M224" s="188" t="s">
        <v>128</v>
      </c>
      <c r="N224" s="188" t="s">
        <v>128</v>
      </c>
      <c r="O224" s="188" t="s">
        <v>397</v>
      </c>
      <c r="P224" s="188" t="s">
        <v>294</v>
      </c>
      <c r="Q224" s="188" t="s">
        <v>474</v>
      </c>
      <c r="R224" s="188" t="s">
        <v>398</v>
      </c>
      <c r="S224" s="188" t="s">
        <v>475</v>
      </c>
      <c r="T224" s="188" t="s">
        <v>476</v>
      </c>
      <c r="U224" s="188" t="s">
        <v>156</v>
      </c>
      <c r="V224" s="188" t="s">
        <v>477</v>
      </c>
      <c r="W224" s="188" t="s">
        <v>477</v>
      </c>
      <c r="X224" s="188"/>
      <c r="Y224" s="188"/>
      <c r="Z224" s="188" t="s">
        <v>128</v>
      </c>
      <c r="AA224" s="188">
        <v>1</v>
      </c>
      <c r="AB224" s="188">
        <v>99999999</v>
      </c>
      <c r="AC224" s="188">
        <v>0</v>
      </c>
      <c r="AD224" s="188">
        <v>0</v>
      </c>
      <c r="AE224" s="188">
        <v>0</v>
      </c>
      <c r="AF224" s="188">
        <v>0</v>
      </c>
      <c r="AG224" s="188">
        <v>0</v>
      </c>
      <c r="AH224" s="188">
        <v>0</v>
      </c>
      <c r="AI224" s="188">
        <v>0</v>
      </c>
      <c r="AJ224" s="188">
        <v>0</v>
      </c>
      <c r="AK224" s="188">
        <v>1</v>
      </c>
      <c r="AL224" s="188">
        <v>1</v>
      </c>
      <c r="AM224" s="188">
        <v>0</v>
      </c>
      <c r="AN224" s="188">
        <v>0</v>
      </c>
      <c r="AO224" s="188" t="s">
        <v>396</v>
      </c>
      <c r="AP224" s="188" t="s">
        <v>128</v>
      </c>
      <c r="AQ224" s="188" t="s">
        <v>399</v>
      </c>
      <c r="AR224" s="188">
        <v>0</v>
      </c>
      <c r="AS224" s="188">
        <v>0</v>
      </c>
      <c r="AT224" s="188">
        <v>1</v>
      </c>
      <c r="AU224" s="188">
        <v>0</v>
      </c>
      <c r="AV224" s="188">
        <v>0</v>
      </c>
      <c r="AW224" s="188">
        <v>0</v>
      </c>
      <c r="AX224" s="188">
        <v>0</v>
      </c>
      <c r="AY224" s="188">
        <v>1</v>
      </c>
      <c r="AZ224" s="188">
        <v>0</v>
      </c>
      <c r="BA224" s="188">
        <v>39864.674351851849</v>
      </c>
      <c r="BB224" s="188">
        <v>440393</v>
      </c>
      <c r="BC224" s="188">
        <v>440393</v>
      </c>
      <c r="BD224" s="188">
        <v>45482.05810185185</v>
      </c>
      <c r="BE224" s="188" t="s">
        <v>400</v>
      </c>
      <c r="BF224" s="241" t="s">
        <v>400</v>
      </c>
    </row>
    <row r="225" spans="2:59" ht="14">
      <c r="B225" s="144" t="s">
        <v>297</v>
      </c>
      <c r="C225" s="188" t="s">
        <v>473</v>
      </c>
      <c r="D225" s="170" t="s">
        <v>408</v>
      </c>
      <c r="E225" s="170" t="s">
        <v>478</v>
      </c>
      <c r="F225" s="188">
        <v>1</v>
      </c>
      <c r="G225" s="188" t="s">
        <v>293</v>
      </c>
      <c r="H225" s="188" t="s">
        <v>293</v>
      </c>
      <c r="I225" s="188" t="s">
        <v>294</v>
      </c>
      <c r="J225" s="188" t="s">
        <v>294</v>
      </c>
      <c r="K225" s="188" t="s">
        <v>128</v>
      </c>
      <c r="L225" s="188" t="s">
        <v>128</v>
      </c>
      <c r="M225" s="188" t="s">
        <v>128</v>
      </c>
      <c r="N225" s="188" t="s">
        <v>128</v>
      </c>
      <c r="O225" s="188" t="s">
        <v>397</v>
      </c>
      <c r="P225" s="188" t="s">
        <v>294</v>
      </c>
      <c r="Q225" s="188" t="s">
        <v>474</v>
      </c>
      <c r="R225" s="188" t="s">
        <v>398</v>
      </c>
      <c r="S225" s="188" t="s">
        <v>475</v>
      </c>
      <c r="T225" s="188" t="s">
        <v>476</v>
      </c>
      <c r="U225" s="188" t="s">
        <v>156</v>
      </c>
      <c r="V225" s="188" t="s">
        <v>477</v>
      </c>
      <c r="W225" s="188" t="s">
        <v>477</v>
      </c>
      <c r="X225" s="188"/>
      <c r="Y225" s="188"/>
      <c r="Z225" s="188" t="s">
        <v>128</v>
      </c>
      <c r="AA225" s="188">
        <v>1</v>
      </c>
      <c r="AB225" s="188">
        <v>99999999</v>
      </c>
      <c r="AC225" s="188">
        <v>0</v>
      </c>
      <c r="AD225" s="188">
        <v>0</v>
      </c>
      <c r="AE225" s="188">
        <v>0</v>
      </c>
      <c r="AF225" s="188">
        <v>0</v>
      </c>
      <c r="AG225" s="188">
        <v>0</v>
      </c>
      <c r="AH225" s="188">
        <v>0</v>
      </c>
      <c r="AI225" s="188">
        <v>0</v>
      </c>
      <c r="AJ225" s="188">
        <v>0</v>
      </c>
      <c r="AK225" s="188">
        <v>1</v>
      </c>
      <c r="AL225" s="188">
        <v>1</v>
      </c>
      <c r="AM225" s="188">
        <v>0</v>
      </c>
      <c r="AN225" s="188">
        <v>0</v>
      </c>
      <c r="AO225" s="188" t="s">
        <v>396</v>
      </c>
      <c r="AP225" s="188" t="s">
        <v>128</v>
      </c>
      <c r="AQ225" s="188" t="s">
        <v>399</v>
      </c>
      <c r="AR225" s="188">
        <v>0</v>
      </c>
      <c r="AS225" s="188">
        <v>0</v>
      </c>
      <c r="AT225" s="188">
        <v>1</v>
      </c>
      <c r="AU225" s="188">
        <v>0</v>
      </c>
      <c r="AV225" s="188">
        <v>0</v>
      </c>
      <c r="AW225" s="188">
        <v>0</v>
      </c>
      <c r="AX225" s="188">
        <v>0</v>
      </c>
      <c r="AY225" s="188">
        <v>1</v>
      </c>
      <c r="AZ225" s="188">
        <v>0</v>
      </c>
      <c r="BA225" s="188">
        <v>39864.674351851849</v>
      </c>
      <c r="BB225" s="188">
        <v>440393</v>
      </c>
      <c r="BC225" s="188">
        <v>440393</v>
      </c>
      <c r="BD225" s="188">
        <v>45482.05810185185</v>
      </c>
      <c r="BE225" s="188" t="s">
        <v>400</v>
      </c>
      <c r="BF225" s="243" t="s">
        <v>400</v>
      </c>
    </row>
    <row r="226" spans="2:59" ht="14">
      <c r="B226" s="144" t="s">
        <v>297</v>
      </c>
      <c r="C226" s="188" t="s">
        <v>473</v>
      </c>
      <c r="D226" s="170" t="s">
        <v>478</v>
      </c>
      <c r="E226" s="169" t="s">
        <v>408</v>
      </c>
      <c r="F226" s="188">
        <v>1</v>
      </c>
      <c r="G226" s="188" t="s">
        <v>293</v>
      </c>
      <c r="H226" s="188" t="s">
        <v>293</v>
      </c>
      <c r="I226" s="188" t="s">
        <v>294</v>
      </c>
      <c r="J226" s="188" t="s">
        <v>294</v>
      </c>
      <c r="K226" s="188" t="s">
        <v>128</v>
      </c>
      <c r="L226" s="188" t="s">
        <v>128</v>
      </c>
      <c r="M226" s="188" t="s">
        <v>128</v>
      </c>
      <c r="N226" s="188" t="s">
        <v>128</v>
      </c>
      <c r="O226" s="188" t="s">
        <v>397</v>
      </c>
      <c r="P226" s="188" t="s">
        <v>294</v>
      </c>
      <c r="Q226" s="188" t="s">
        <v>474</v>
      </c>
      <c r="R226" s="188" t="s">
        <v>398</v>
      </c>
      <c r="S226" s="188" t="s">
        <v>475</v>
      </c>
      <c r="T226" s="188" t="s">
        <v>476</v>
      </c>
      <c r="U226" s="188" t="s">
        <v>156</v>
      </c>
      <c r="V226" s="188" t="s">
        <v>477</v>
      </c>
      <c r="W226" s="188" t="s">
        <v>477</v>
      </c>
      <c r="X226" s="188"/>
      <c r="Y226" s="188"/>
      <c r="Z226" s="188" t="s">
        <v>128</v>
      </c>
      <c r="AA226" s="188">
        <v>1</v>
      </c>
      <c r="AB226" s="188">
        <v>99999999</v>
      </c>
      <c r="AC226" s="188">
        <v>0</v>
      </c>
      <c r="AD226" s="188">
        <v>0</v>
      </c>
      <c r="AE226" s="188">
        <v>0</v>
      </c>
      <c r="AF226" s="188">
        <v>0</v>
      </c>
      <c r="AG226" s="188">
        <v>0</v>
      </c>
      <c r="AH226" s="188">
        <v>0</v>
      </c>
      <c r="AI226" s="188">
        <v>0</v>
      </c>
      <c r="AJ226" s="188">
        <v>0</v>
      </c>
      <c r="AK226" s="188">
        <v>1</v>
      </c>
      <c r="AL226" s="188">
        <v>1</v>
      </c>
      <c r="AM226" s="188">
        <v>0</v>
      </c>
      <c r="AN226" s="188">
        <v>0</v>
      </c>
      <c r="AO226" s="188" t="s">
        <v>396</v>
      </c>
      <c r="AP226" s="188" t="s">
        <v>128</v>
      </c>
      <c r="AQ226" s="188" t="s">
        <v>399</v>
      </c>
      <c r="AR226" s="188">
        <v>0</v>
      </c>
      <c r="AS226" s="188">
        <v>0</v>
      </c>
      <c r="AT226" s="188">
        <v>1</v>
      </c>
      <c r="AU226" s="188">
        <v>0</v>
      </c>
      <c r="AV226" s="188">
        <v>0</v>
      </c>
      <c r="AW226" s="188">
        <v>0</v>
      </c>
      <c r="AX226" s="188">
        <v>0</v>
      </c>
      <c r="AY226" s="188">
        <v>1</v>
      </c>
      <c r="AZ226" s="188">
        <v>0</v>
      </c>
      <c r="BA226" s="188">
        <v>39864.674351851849</v>
      </c>
      <c r="BB226" s="188">
        <v>440393</v>
      </c>
      <c r="BC226" s="188">
        <v>440393</v>
      </c>
      <c r="BD226" s="188">
        <v>45482.05810185185</v>
      </c>
      <c r="BE226" s="188" t="s">
        <v>400</v>
      </c>
      <c r="BF226" s="243" t="s">
        <v>400</v>
      </c>
    </row>
    <row r="227" spans="2:59" ht="14">
      <c r="B227" s="144" t="s">
        <v>297</v>
      </c>
      <c r="C227" s="188" t="s">
        <v>473</v>
      </c>
      <c r="D227" s="170" t="s">
        <v>408</v>
      </c>
      <c r="E227" s="170" t="s">
        <v>479</v>
      </c>
      <c r="F227" s="188">
        <v>1</v>
      </c>
      <c r="G227" s="188" t="s">
        <v>293</v>
      </c>
      <c r="H227" s="188" t="s">
        <v>293</v>
      </c>
      <c r="I227" s="188" t="s">
        <v>294</v>
      </c>
      <c r="J227" s="188" t="s">
        <v>294</v>
      </c>
      <c r="K227" s="188" t="s">
        <v>128</v>
      </c>
      <c r="L227" s="188" t="s">
        <v>128</v>
      </c>
      <c r="M227" s="188" t="s">
        <v>128</v>
      </c>
      <c r="N227" s="188" t="s">
        <v>128</v>
      </c>
      <c r="O227" s="188" t="s">
        <v>397</v>
      </c>
      <c r="P227" s="188" t="s">
        <v>294</v>
      </c>
      <c r="Q227" s="188" t="s">
        <v>474</v>
      </c>
      <c r="R227" s="188" t="s">
        <v>398</v>
      </c>
      <c r="S227" s="188" t="s">
        <v>475</v>
      </c>
      <c r="T227" s="188" t="s">
        <v>476</v>
      </c>
      <c r="U227" s="188" t="s">
        <v>156</v>
      </c>
      <c r="V227" s="188" t="s">
        <v>477</v>
      </c>
      <c r="W227" s="188" t="s">
        <v>477</v>
      </c>
      <c r="X227" s="188"/>
      <c r="Y227" s="188"/>
      <c r="Z227" s="188" t="s">
        <v>128</v>
      </c>
      <c r="AA227" s="188">
        <v>1</v>
      </c>
      <c r="AB227" s="188">
        <v>99999999</v>
      </c>
      <c r="AC227" s="188">
        <v>0</v>
      </c>
      <c r="AD227" s="188">
        <v>0</v>
      </c>
      <c r="AE227" s="188">
        <v>0</v>
      </c>
      <c r="AF227" s="188">
        <v>0</v>
      </c>
      <c r="AG227" s="188">
        <v>0</v>
      </c>
      <c r="AH227" s="188">
        <v>0</v>
      </c>
      <c r="AI227" s="188">
        <v>0</v>
      </c>
      <c r="AJ227" s="188">
        <v>0</v>
      </c>
      <c r="AK227" s="188">
        <v>1</v>
      </c>
      <c r="AL227" s="188">
        <v>1</v>
      </c>
      <c r="AM227" s="188">
        <v>0</v>
      </c>
      <c r="AN227" s="188">
        <v>0</v>
      </c>
      <c r="AO227" s="188" t="s">
        <v>396</v>
      </c>
      <c r="AP227" s="188" t="s">
        <v>128</v>
      </c>
      <c r="AQ227" s="188" t="s">
        <v>399</v>
      </c>
      <c r="AR227" s="188">
        <v>0</v>
      </c>
      <c r="AS227" s="188">
        <v>0</v>
      </c>
      <c r="AT227" s="188">
        <v>1</v>
      </c>
      <c r="AU227" s="188">
        <v>0</v>
      </c>
      <c r="AV227" s="188">
        <v>0</v>
      </c>
      <c r="AW227" s="188">
        <v>0</v>
      </c>
      <c r="AX227" s="188">
        <v>0</v>
      </c>
      <c r="AY227" s="188">
        <v>1</v>
      </c>
      <c r="AZ227" s="188">
        <v>0</v>
      </c>
      <c r="BA227" s="188">
        <v>39864.674351851849</v>
      </c>
      <c r="BB227" s="188">
        <v>440393</v>
      </c>
      <c r="BC227" s="188">
        <v>440393</v>
      </c>
      <c r="BD227" s="188">
        <v>45482.05810185185</v>
      </c>
      <c r="BE227" s="188" t="s">
        <v>400</v>
      </c>
      <c r="BF227" s="243" t="s">
        <v>400</v>
      </c>
    </row>
    <row r="228" spans="2:59">
      <c r="B228" s="148"/>
      <c r="BF228" s="130"/>
    </row>
    <row r="229" spans="2:59" ht="13.5">
      <c r="B229" s="148"/>
      <c r="C229" s="136" t="s">
        <v>125</v>
      </c>
      <c r="BF229" s="130"/>
    </row>
    <row r="230" spans="2:59" ht="13.5">
      <c r="B230" s="148"/>
      <c r="C230" s="266" t="s">
        <v>401</v>
      </c>
      <c r="D230" s="266" t="s">
        <v>402</v>
      </c>
      <c r="E230" s="266" t="s">
        <v>131</v>
      </c>
      <c r="F230" s="266" t="s">
        <v>403</v>
      </c>
      <c r="G230" s="266" t="s">
        <v>404</v>
      </c>
      <c r="BF230" s="130"/>
    </row>
    <row r="231" spans="2:59" ht="13.5">
      <c r="B231" s="148"/>
      <c r="C231" s="266">
        <v>-2</v>
      </c>
      <c r="D231" s="266" t="s">
        <v>405</v>
      </c>
      <c r="E231" s="266" t="s">
        <v>740</v>
      </c>
      <c r="F231" s="266" t="s">
        <v>741</v>
      </c>
      <c r="G231" s="266" t="s">
        <v>113</v>
      </c>
      <c r="BF231" s="130"/>
    </row>
    <row r="232" spans="2:59" ht="13.5" thickBot="1">
      <c r="B232" s="148"/>
      <c r="BF232" s="130"/>
    </row>
    <row r="233" spans="2:59" ht="14" thickBot="1">
      <c r="B233" s="132" t="s">
        <v>513</v>
      </c>
      <c r="C233" s="133" t="s">
        <v>514</v>
      </c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236"/>
    </row>
    <row r="234" spans="2:59" ht="14" thickBot="1">
      <c r="B234" s="134" t="s">
        <v>736</v>
      </c>
      <c r="C234" s="133" t="s">
        <v>434</v>
      </c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236"/>
    </row>
    <row r="235" spans="2:59">
      <c r="B235" s="148"/>
      <c r="BF235" s="130"/>
    </row>
    <row r="236" spans="2:59" ht="13.5">
      <c r="B236" s="148"/>
      <c r="C236" s="136" t="s">
        <v>241</v>
      </c>
      <c r="BF236" s="130"/>
    </row>
    <row r="237" spans="2:59" ht="13.5">
      <c r="B237" s="148"/>
      <c r="C237" s="136" t="s">
        <v>744</v>
      </c>
      <c r="BF237" s="130"/>
    </row>
    <row r="238" spans="2:59">
      <c r="B238" s="148"/>
      <c r="BF238" s="130"/>
    </row>
    <row r="239" spans="2:59" s="27" customFormat="1" ht="15">
      <c r="B239" s="226"/>
      <c r="C239" s="175" t="s">
        <v>483</v>
      </c>
      <c r="D239" s="176"/>
      <c r="E239" s="176"/>
      <c r="F239" s="176"/>
      <c r="G239" s="176"/>
      <c r="H239" s="176"/>
      <c r="I239" s="176"/>
      <c r="J239" s="176"/>
      <c r="K239" s="176"/>
      <c r="L239" s="176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 s="130"/>
      <c r="BG239"/>
    </row>
    <row r="240" spans="2:59" s="27" customFormat="1" ht="15">
      <c r="B240" s="226"/>
      <c r="C240" s="118"/>
      <c r="D240" s="118" t="s">
        <v>141</v>
      </c>
      <c r="E240" s="118"/>
      <c r="F240" s="118"/>
      <c r="G240" s="174"/>
      <c r="H240" s="174"/>
      <c r="I240" s="174"/>
      <c r="J240" s="174"/>
      <c r="K240" s="174"/>
      <c r="L240" s="174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 s="130"/>
      <c r="BG240"/>
    </row>
    <row r="241" spans="2:59" s="27" customFormat="1" ht="15">
      <c r="B241" s="226"/>
      <c r="C241" s="153" t="s">
        <v>487</v>
      </c>
      <c r="D241" s="117" t="s">
        <v>86</v>
      </c>
      <c r="E241" s="117" t="s">
        <v>488</v>
      </c>
      <c r="F241" s="123" t="s">
        <v>222</v>
      </c>
      <c r="G241" s="123" t="s">
        <v>223</v>
      </c>
      <c r="H241" s="123" t="s">
        <v>224</v>
      </c>
      <c r="I241" s="123" t="s">
        <v>225</v>
      </c>
      <c r="J241" s="123" t="s">
        <v>123</v>
      </c>
      <c r="K241" s="123" t="s">
        <v>124</v>
      </c>
      <c r="L241" s="123" t="s">
        <v>226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 s="130"/>
      <c r="BG241"/>
    </row>
    <row r="242" spans="2:59" s="27" customFormat="1" ht="15">
      <c r="B242" s="226"/>
      <c r="C242" s="187" t="s">
        <v>484</v>
      </c>
      <c r="D242" s="117" t="s">
        <v>485</v>
      </c>
      <c r="E242" s="117" t="s">
        <v>486</v>
      </c>
      <c r="F242" s="117" t="s">
        <v>205</v>
      </c>
      <c r="G242" s="117" t="s">
        <v>206</v>
      </c>
      <c r="H242" s="117" t="s">
        <v>207</v>
      </c>
      <c r="I242" s="117" t="s">
        <v>208</v>
      </c>
      <c r="J242" s="117" t="s">
        <v>209</v>
      </c>
      <c r="K242" s="117" t="s">
        <v>210</v>
      </c>
      <c r="L242" s="117" t="s">
        <v>211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 s="130"/>
      <c r="BG242"/>
    </row>
    <row r="243" spans="2:59" s="27" customFormat="1" ht="15">
      <c r="B243" s="226"/>
      <c r="C243" s="187" t="s">
        <v>232</v>
      </c>
      <c r="D243" s="149" t="s">
        <v>287</v>
      </c>
      <c r="E243" s="117" t="s">
        <v>234</v>
      </c>
      <c r="F243" s="149" t="s">
        <v>444</v>
      </c>
      <c r="G243" s="149" t="s">
        <v>234</v>
      </c>
      <c r="H243" s="149" t="s">
        <v>235</v>
      </c>
      <c r="I243" s="149" t="s">
        <v>235</v>
      </c>
      <c r="J243" s="149" t="s">
        <v>147</v>
      </c>
      <c r="K243" s="117" t="s">
        <v>235</v>
      </c>
      <c r="L243" s="117" t="s">
        <v>235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 s="130"/>
      <c r="BG243"/>
    </row>
    <row r="244" spans="2:59" s="27" customFormat="1" ht="15">
      <c r="B244" s="144" t="s">
        <v>297</v>
      </c>
      <c r="C244" s="170" t="s">
        <v>684</v>
      </c>
      <c r="D244" s="189" t="s">
        <v>495</v>
      </c>
      <c r="E244" s="189" t="s">
        <v>496</v>
      </c>
      <c r="F244" s="189" t="s">
        <v>497</v>
      </c>
      <c r="G244" s="189" t="s">
        <v>498</v>
      </c>
      <c r="H244" s="189" t="s">
        <v>499</v>
      </c>
      <c r="I244" s="189" t="s">
        <v>500</v>
      </c>
      <c r="J244" s="189" t="s">
        <v>501</v>
      </c>
      <c r="K244" s="189" t="s">
        <v>502</v>
      </c>
      <c r="L244" s="117" t="s">
        <v>502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 s="130"/>
      <c r="BG244"/>
    </row>
    <row r="245" spans="2:59" s="27" customFormat="1" ht="15">
      <c r="B245" s="144" t="s">
        <v>297</v>
      </c>
      <c r="C245" s="170" t="s">
        <v>685</v>
      </c>
      <c r="D245" s="189" t="s">
        <v>683</v>
      </c>
      <c r="E245" s="189" t="s">
        <v>491</v>
      </c>
      <c r="F245" s="189" t="s">
        <v>294</v>
      </c>
      <c r="G245" s="189" t="s">
        <v>491</v>
      </c>
      <c r="H245" s="189" t="s">
        <v>492</v>
      </c>
      <c r="I245" s="189" t="s">
        <v>493</v>
      </c>
      <c r="J245" s="189" t="s">
        <v>491</v>
      </c>
      <c r="K245" s="189" t="s">
        <v>492</v>
      </c>
      <c r="L245" s="117" t="s">
        <v>493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 s="130"/>
      <c r="BG245"/>
    </row>
    <row r="246" spans="2:59" s="27" customFormat="1" ht="15">
      <c r="B246" s="144" t="s">
        <v>297</v>
      </c>
      <c r="C246" s="170" t="s">
        <v>503</v>
      </c>
      <c r="D246" s="189" t="s">
        <v>504</v>
      </c>
      <c r="E246" s="189" t="s">
        <v>505</v>
      </c>
      <c r="F246" s="189" t="s">
        <v>296</v>
      </c>
      <c r="G246" s="189" t="s">
        <v>505</v>
      </c>
      <c r="H246" s="189" t="s">
        <v>506</v>
      </c>
      <c r="I246" s="189" t="s">
        <v>507</v>
      </c>
      <c r="J246" s="189" t="s">
        <v>505</v>
      </c>
      <c r="K246" s="189" t="s">
        <v>508</v>
      </c>
      <c r="L246" s="117" t="s">
        <v>510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 s="130"/>
      <c r="BG246"/>
    </row>
    <row r="247" spans="2:59" s="27" customFormat="1" ht="15">
      <c r="B247" s="144" t="s">
        <v>297</v>
      </c>
      <c r="C247" s="170" t="s">
        <v>509</v>
      </c>
      <c r="D247" s="189" t="s">
        <v>504</v>
      </c>
      <c r="E247" s="189" t="s">
        <v>505</v>
      </c>
      <c r="F247" s="189" t="s">
        <v>296</v>
      </c>
      <c r="G247" s="189" t="s">
        <v>505</v>
      </c>
      <c r="H247" s="189" t="s">
        <v>506</v>
      </c>
      <c r="I247" s="189" t="s">
        <v>507</v>
      </c>
      <c r="J247" s="189" t="s">
        <v>505</v>
      </c>
      <c r="K247" s="189" t="s">
        <v>508</v>
      </c>
      <c r="L247" s="117" t="s">
        <v>510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 s="130"/>
      <c r="BG247"/>
    </row>
    <row r="248" spans="2:59" ht="14">
      <c r="B248" s="148"/>
      <c r="E248" s="173"/>
      <c r="F248" s="173"/>
      <c r="G248" s="173"/>
      <c r="I248" s="173"/>
      <c r="J248" s="173"/>
      <c r="K248" s="173"/>
      <c r="L248" s="173"/>
      <c r="BF248" s="130"/>
    </row>
    <row r="249" spans="2:59" ht="13.5">
      <c r="B249" s="148"/>
      <c r="C249" s="136" t="s">
        <v>125</v>
      </c>
      <c r="D249" s="136"/>
      <c r="E249" s="136"/>
      <c r="F249" s="136"/>
      <c r="G249" s="136"/>
      <c r="BF249" s="130"/>
    </row>
    <row r="250" spans="2:59" ht="13.5">
      <c r="B250" s="148"/>
      <c r="C250" s="266" t="s">
        <v>401</v>
      </c>
      <c r="D250" s="266" t="s">
        <v>402</v>
      </c>
      <c r="E250" s="266" t="s">
        <v>131</v>
      </c>
      <c r="F250" s="266" t="s">
        <v>403</v>
      </c>
      <c r="G250" s="266" t="s">
        <v>404</v>
      </c>
      <c r="BF250" s="130"/>
    </row>
    <row r="251" spans="2:59" ht="13.5">
      <c r="B251" s="148"/>
      <c r="C251" s="266">
        <v>-2</v>
      </c>
      <c r="D251" s="266" t="s">
        <v>128</v>
      </c>
      <c r="E251" s="266" t="s">
        <v>702</v>
      </c>
      <c r="F251" s="266" t="s">
        <v>686</v>
      </c>
      <c r="G251" s="266" t="s">
        <v>437</v>
      </c>
      <c r="BF251" s="130"/>
    </row>
    <row r="252" spans="2:59" ht="13.5" thickBot="1">
      <c r="B252" s="148"/>
      <c r="BF252" s="130"/>
    </row>
    <row r="253" spans="2:59" ht="14" thickBot="1">
      <c r="B253" s="132" t="s">
        <v>552</v>
      </c>
      <c r="C253" s="133" t="s">
        <v>553</v>
      </c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236"/>
    </row>
    <row r="254" spans="2:59" ht="14" thickBot="1">
      <c r="B254" s="134" t="s">
        <v>736</v>
      </c>
      <c r="C254" s="133" t="s">
        <v>434</v>
      </c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236"/>
    </row>
    <row r="255" spans="2:59">
      <c r="B255" s="148"/>
      <c r="BF255" s="130"/>
    </row>
    <row r="256" spans="2:59" ht="13.5">
      <c r="B256" s="148"/>
      <c r="C256" s="136" t="s">
        <v>241</v>
      </c>
      <c r="BF256" s="130"/>
    </row>
    <row r="257" spans="2:59" ht="13.5">
      <c r="B257" s="148"/>
      <c r="C257" s="136" t="s">
        <v>407</v>
      </c>
      <c r="BF257" s="130"/>
    </row>
    <row r="258" spans="2:59">
      <c r="B258" s="148"/>
      <c r="BF258" s="130"/>
    </row>
    <row r="259" spans="2:59" s="27" customFormat="1" ht="15">
      <c r="B259" s="98"/>
      <c r="C259" s="175" t="s">
        <v>515</v>
      </c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 s="130"/>
      <c r="BG259"/>
    </row>
    <row r="260" spans="2:59" s="27" customFormat="1" ht="15">
      <c r="B260" s="98"/>
      <c r="C260" s="118"/>
      <c r="D260" s="174"/>
      <c r="E260" s="118" t="s">
        <v>141</v>
      </c>
      <c r="F260" s="118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 s="130"/>
      <c r="BG260"/>
    </row>
    <row r="261" spans="2:59" s="27" customFormat="1" ht="15">
      <c r="B261" s="98"/>
      <c r="C261" s="153" t="s">
        <v>516</v>
      </c>
      <c r="D261" s="153" t="s">
        <v>517</v>
      </c>
      <c r="E261" s="197" t="s">
        <v>518</v>
      </c>
      <c r="F261" s="117" t="s">
        <v>519</v>
      </c>
      <c r="G261" s="153" t="s">
        <v>520</v>
      </c>
      <c r="H261" s="123" t="s">
        <v>521</v>
      </c>
      <c r="I261" s="123" t="s">
        <v>522</v>
      </c>
      <c r="J261" s="123" t="s">
        <v>523</v>
      </c>
      <c r="K261" s="123" t="s">
        <v>222</v>
      </c>
      <c r="L261" s="123" t="s">
        <v>223</v>
      </c>
      <c r="M261" s="123" t="s">
        <v>224</v>
      </c>
      <c r="N261" s="123" t="s">
        <v>225</v>
      </c>
      <c r="O261" s="123" t="s">
        <v>123</v>
      </c>
      <c r="P261" s="123" t="s">
        <v>124</v>
      </c>
      <c r="Q261" s="123" t="s">
        <v>226</v>
      </c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 s="130"/>
      <c r="BG261"/>
    </row>
    <row r="262" spans="2:59" s="27" customFormat="1" ht="15">
      <c r="B262" s="98"/>
      <c r="C262" s="187" t="s">
        <v>524</v>
      </c>
      <c r="D262" s="187" t="s">
        <v>525</v>
      </c>
      <c r="E262" s="198" t="s">
        <v>526</v>
      </c>
      <c r="F262" s="117" t="s">
        <v>527</v>
      </c>
      <c r="G262" s="187" t="s">
        <v>528</v>
      </c>
      <c r="H262" s="117" t="s">
        <v>529</v>
      </c>
      <c r="I262" s="117" t="s">
        <v>530</v>
      </c>
      <c r="J262" s="117" t="s">
        <v>531</v>
      </c>
      <c r="K262" s="117" t="s">
        <v>205</v>
      </c>
      <c r="L262" s="117" t="s">
        <v>206</v>
      </c>
      <c r="M262" s="117" t="s">
        <v>207</v>
      </c>
      <c r="N262" s="117" t="s">
        <v>208</v>
      </c>
      <c r="O262" s="117" t="s">
        <v>209</v>
      </c>
      <c r="P262" s="117" t="s">
        <v>210</v>
      </c>
      <c r="Q262" s="117" t="s">
        <v>211</v>
      </c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 s="130"/>
      <c r="BG262"/>
    </row>
    <row r="263" spans="2:59" s="27" customFormat="1" ht="15">
      <c r="B263" s="98"/>
      <c r="C263" s="187" t="s">
        <v>451</v>
      </c>
      <c r="D263" s="187" t="s">
        <v>287</v>
      </c>
      <c r="E263" s="198" t="s">
        <v>532</v>
      </c>
      <c r="F263" s="149" t="s">
        <v>533</v>
      </c>
      <c r="G263" s="187" t="s">
        <v>534</v>
      </c>
      <c r="H263" s="149" t="s">
        <v>535</v>
      </c>
      <c r="I263" s="149" t="s">
        <v>535</v>
      </c>
      <c r="J263" s="149" t="s">
        <v>535</v>
      </c>
      <c r="K263" s="149" t="s">
        <v>444</v>
      </c>
      <c r="L263" s="149" t="s">
        <v>234</v>
      </c>
      <c r="M263" s="149" t="s">
        <v>235</v>
      </c>
      <c r="N263" s="149" t="s">
        <v>235</v>
      </c>
      <c r="O263" s="149" t="s">
        <v>147</v>
      </c>
      <c r="P263" s="149" t="s">
        <v>235</v>
      </c>
      <c r="Q263" s="149" t="s">
        <v>235</v>
      </c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 s="130"/>
      <c r="BG263"/>
    </row>
    <row r="264" spans="2:59" s="27" customFormat="1" ht="15">
      <c r="B264" s="144" t="s">
        <v>297</v>
      </c>
      <c r="C264" s="170" t="s">
        <v>546</v>
      </c>
      <c r="D264" s="170" t="s">
        <v>550</v>
      </c>
      <c r="E264" s="189" t="s">
        <v>538</v>
      </c>
      <c r="F264" s="189" t="s">
        <v>538</v>
      </c>
      <c r="G264" s="189" t="s">
        <v>539</v>
      </c>
      <c r="H264" s="192" t="s">
        <v>156</v>
      </c>
      <c r="I264" s="189" t="s">
        <v>293</v>
      </c>
      <c r="J264" s="189" t="s">
        <v>396</v>
      </c>
      <c r="K264" s="189" t="s">
        <v>294</v>
      </c>
      <c r="L264" s="188"/>
      <c r="M264" s="188"/>
      <c r="N264" s="188"/>
      <c r="O264" s="188"/>
      <c r="P264" s="188"/>
      <c r="Q264" s="188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 s="130"/>
      <c r="BG264"/>
    </row>
    <row r="265" spans="2:59" s="27" customFormat="1" ht="15">
      <c r="B265" s="144" t="s">
        <v>297</v>
      </c>
      <c r="C265" s="170" t="s">
        <v>546</v>
      </c>
      <c r="D265" s="170" t="s">
        <v>551</v>
      </c>
      <c r="E265" s="189" t="s">
        <v>538</v>
      </c>
      <c r="F265" s="189" t="s">
        <v>538</v>
      </c>
      <c r="G265" s="189" t="s">
        <v>539</v>
      </c>
      <c r="H265" s="192" t="s">
        <v>156</v>
      </c>
      <c r="I265" s="189" t="s">
        <v>293</v>
      </c>
      <c r="J265" s="189" t="s">
        <v>396</v>
      </c>
      <c r="K265" s="189" t="s">
        <v>294</v>
      </c>
      <c r="L265" s="188"/>
      <c r="M265" s="188"/>
      <c r="N265" s="188"/>
      <c r="O265" s="188"/>
      <c r="P265" s="188"/>
      <c r="Q265" s="188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 s="130"/>
      <c r="BG265"/>
    </row>
    <row r="266" spans="2:59" s="27" customFormat="1" ht="15">
      <c r="B266" s="144" t="s">
        <v>297</v>
      </c>
      <c r="C266" s="170" t="s">
        <v>536</v>
      </c>
      <c r="D266" s="170" t="s">
        <v>537</v>
      </c>
      <c r="E266" s="188" t="s">
        <v>538</v>
      </c>
      <c r="F266" s="188" t="s">
        <v>538</v>
      </c>
      <c r="G266" s="188" t="s">
        <v>539</v>
      </c>
      <c r="H266" s="188" t="s">
        <v>156</v>
      </c>
      <c r="I266" s="188" t="s">
        <v>293</v>
      </c>
      <c r="J266" s="188" t="s">
        <v>396</v>
      </c>
      <c r="K266" s="188" t="s">
        <v>294</v>
      </c>
      <c r="L266" s="188"/>
      <c r="M266" s="188"/>
      <c r="N266" s="188"/>
      <c r="O266" s="188"/>
      <c r="P266" s="188"/>
      <c r="Q266" s="188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 s="130"/>
      <c r="BG266"/>
    </row>
    <row r="267" spans="2:59" s="27" customFormat="1" ht="15">
      <c r="B267" s="144" t="s">
        <v>297</v>
      </c>
      <c r="C267" s="170" t="s">
        <v>540</v>
      </c>
      <c r="D267" s="170" t="s">
        <v>541</v>
      </c>
      <c r="E267" s="188" t="s">
        <v>293</v>
      </c>
      <c r="F267" s="188" t="s">
        <v>128</v>
      </c>
      <c r="G267" s="170" t="s">
        <v>542</v>
      </c>
      <c r="H267" s="188" t="s">
        <v>128</v>
      </c>
      <c r="I267" s="188" t="s">
        <v>128</v>
      </c>
      <c r="J267" s="188" t="s">
        <v>128</v>
      </c>
      <c r="K267" s="188" t="s">
        <v>294</v>
      </c>
      <c r="L267" s="188" t="s">
        <v>543</v>
      </c>
      <c r="M267" s="188" t="s">
        <v>544</v>
      </c>
      <c r="N267" s="188" t="s">
        <v>545</v>
      </c>
      <c r="O267" s="188" t="s">
        <v>543</v>
      </c>
      <c r="P267" s="188" t="s">
        <v>544</v>
      </c>
      <c r="Q267" s="188" t="s">
        <v>545</v>
      </c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 s="130"/>
      <c r="BG267"/>
    </row>
    <row r="268" spans="2:59" ht="14">
      <c r="B268" s="144" t="s">
        <v>297</v>
      </c>
      <c r="C268" s="170" t="s">
        <v>540</v>
      </c>
      <c r="D268" s="170" t="s">
        <v>541</v>
      </c>
      <c r="E268" s="188" t="s">
        <v>396</v>
      </c>
      <c r="F268" s="188" t="s">
        <v>128</v>
      </c>
      <c r="G268" s="188" t="s">
        <v>539</v>
      </c>
      <c r="H268" s="188" t="s">
        <v>128</v>
      </c>
      <c r="I268" s="188" t="s">
        <v>128</v>
      </c>
      <c r="J268" s="188" t="s">
        <v>128</v>
      </c>
      <c r="K268" s="188" t="s">
        <v>294</v>
      </c>
      <c r="L268" s="188" t="s">
        <v>543</v>
      </c>
      <c r="M268" s="188" t="s">
        <v>544</v>
      </c>
      <c r="N268" s="188" t="s">
        <v>545</v>
      </c>
      <c r="O268" s="188" t="s">
        <v>543</v>
      </c>
      <c r="P268" s="188" t="s">
        <v>544</v>
      </c>
      <c r="Q268" s="188" t="s">
        <v>545</v>
      </c>
      <c r="BF268" s="130"/>
    </row>
    <row r="269" spans="2:59">
      <c r="B269" s="148"/>
      <c r="BF269" s="130"/>
    </row>
    <row r="270" spans="2:59" ht="13.5">
      <c r="B270" s="148"/>
      <c r="C270" s="136" t="s">
        <v>125</v>
      </c>
      <c r="BF270" s="130"/>
    </row>
    <row r="271" spans="2:59" ht="13.5">
      <c r="B271" s="148"/>
      <c r="C271" s="266" t="s">
        <v>401</v>
      </c>
      <c r="D271" s="266" t="s">
        <v>402</v>
      </c>
      <c r="E271" s="266" t="s">
        <v>131</v>
      </c>
      <c r="F271" s="266" t="s">
        <v>403</v>
      </c>
      <c r="G271" s="266" t="s">
        <v>404</v>
      </c>
      <c r="BF271" s="130"/>
    </row>
    <row r="272" spans="2:59" ht="13.5">
      <c r="B272" s="148"/>
      <c r="C272" s="266">
        <v>-2</v>
      </c>
      <c r="D272" s="266" t="s">
        <v>128</v>
      </c>
      <c r="E272" s="266" t="s">
        <v>704</v>
      </c>
      <c r="F272" s="266" t="s">
        <v>678</v>
      </c>
      <c r="G272" s="266" t="s">
        <v>437</v>
      </c>
      <c r="BF272" s="130"/>
    </row>
    <row r="273" spans="2:59" ht="13.5" thickBot="1">
      <c r="B273" s="148"/>
      <c r="BF273" s="130"/>
    </row>
    <row r="274" spans="2:59" ht="14" thickBot="1">
      <c r="B274" s="132" t="s">
        <v>665</v>
      </c>
      <c r="C274" s="133" t="s">
        <v>664</v>
      </c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236"/>
    </row>
    <row r="275" spans="2:59" ht="14" thickBot="1">
      <c r="B275" s="134" t="s">
        <v>736</v>
      </c>
      <c r="C275" s="133" t="s">
        <v>434</v>
      </c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236"/>
    </row>
    <row r="276" spans="2:59">
      <c r="B276" s="148"/>
      <c r="BF276" s="130"/>
    </row>
    <row r="277" spans="2:59" ht="13.5">
      <c r="B277" s="148"/>
      <c r="C277" s="136" t="s">
        <v>241</v>
      </c>
      <c r="BF277" s="130"/>
    </row>
    <row r="278" spans="2:59" ht="13.5">
      <c r="B278" s="148"/>
      <c r="C278" s="136" t="s">
        <v>559</v>
      </c>
      <c r="BF278" s="130"/>
    </row>
    <row r="279" spans="2:59">
      <c r="B279" s="148"/>
      <c r="BF279" s="130"/>
    </row>
    <row r="280" spans="2:59" s="27" customFormat="1" ht="15">
      <c r="B280" s="98"/>
      <c r="C280" s="291" t="s">
        <v>242</v>
      </c>
      <c r="D280" s="292"/>
      <c r="E280" s="292"/>
      <c r="F280" s="293"/>
      <c r="G280" s="293"/>
      <c r="H280" s="293"/>
      <c r="I280" s="293"/>
      <c r="J280" s="293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4"/>
      <c r="Y280" s="68"/>
      <c r="Z280" s="68"/>
      <c r="AA280" s="68"/>
      <c r="AB280" s="68"/>
      <c r="AC280" s="68"/>
      <c r="AD280" s="139"/>
      <c r="BF280" s="99"/>
      <c r="BG280"/>
    </row>
    <row r="281" spans="2:59" s="27" customFormat="1" ht="15">
      <c r="B281" s="98"/>
      <c r="C281" s="140"/>
      <c r="D281" s="140"/>
      <c r="E281" s="140"/>
      <c r="F281" s="141" t="s">
        <v>141</v>
      </c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BF281" s="99"/>
      <c r="BG281"/>
    </row>
    <row r="282" spans="2:59" s="27" customFormat="1" ht="15">
      <c r="B282" s="98"/>
      <c r="C282" s="116" t="s">
        <v>144</v>
      </c>
      <c r="D282" s="116" t="s">
        <v>145</v>
      </c>
      <c r="E282" s="116" t="s">
        <v>146</v>
      </c>
      <c r="F282" s="123" t="s">
        <v>243</v>
      </c>
      <c r="G282" s="123" t="s">
        <v>244</v>
      </c>
      <c r="H282" s="123" t="s">
        <v>245</v>
      </c>
      <c r="I282" s="123" t="s">
        <v>246</v>
      </c>
      <c r="J282" s="123" t="s">
        <v>247</v>
      </c>
      <c r="K282" s="123" t="s">
        <v>248</v>
      </c>
      <c r="L282" s="123" t="s">
        <v>249</v>
      </c>
      <c r="M282" s="123" t="s">
        <v>250</v>
      </c>
      <c r="N282" s="123" t="s">
        <v>251</v>
      </c>
      <c r="O282" s="123" t="s">
        <v>252</v>
      </c>
      <c r="P282" s="123" t="s">
        <v>253</v>
      </c>
      <c r="Q282" s="123" t="s">
        <v>254</v>
      </c>
      <c r="R282" s="123" t="s">
        <v>255</v>
      </c>
      <c r="S282" s="123" t="s">
        <v>256</v>
      </c>
      <c r="T282" s="123" t="s">
        <v>257</v>
      </c>
      <c r="U282" s="123" t="s">
        <v>258</v>
      </c>
      <c r="V282" s="123" t="s">
        <v>259</v>
      </c>
      <c r="W282" s="123" t="s">
        <v>260</v>
      </c>
      <c r="X282" s="123" t="s">
        <v>222</v>
      </c>
      <c r="Y282" s="123" t="s">
        <v>223</v>
      </c>
      <c r="Z282" s="123" t="s">
        <v>224</v>
      </c>
      <c r="AA282" s="123" t="s">
        <v>225</v>
      </c>
      <c r="AB282" s="123" t="s">
        <v>123</v>
      </c>
      <c r="AC282" s="123" t="s">
        <v>124</v>
      </c>
      <c r="AD282" s="123" t="s">
        <v>226</v>
      </c>
      <c r="BF282" s="99"/>
      <c r="BG282"/>
    </row>
    <row r="283" spans="2:59" s="27" customFormat="1" ht="15">
      <c r="B283" s="98"/>
      <c r="C283" s="116" t="s">
        <v>261</v>
      </c>
      <c r="D283" s="116" t="s">
        <v>262</v>
      </c>
      <c r="E283" s="116" t="s">
        <v>263</v>
      </c>
      <c r="F283" s="117" t="s">
        <v>264</v>
      </c>
      <c r="G283" s="117" t="s">
        <v>265</v>
      </c>
      <c r="H283" s="117" t="s">
        <v>266</v>
      </c>
      <c r="I283" s="117" t="s">
        <v>267</v>
      </c>
      <c r="J283" s="117" t="s">
        <v>268</v>
      </c>
      <c r="K283" s="117" t="s">
        <v>269</v>
      </c>
      <c r="L283" s="117" t="s">
        <v>270</v>
      </c>
      <c r="M283" s="117" t="s">
        <v>271</v>
      </c>
      <c r="N283" s="117" t="s">
        <v>272</v>
      </c>
      <c r="O283" s="117" t="s">
        <v>273</v>
      </c>
      <c r="P283" s="117" t="s">
        <v>274</v>
      </c>
      <c r="Q283" s="117" t="s">
        <v>275</v>
      </c>
      <c r="R283" s="117" t="s">
        <v>276</v>
      </c>
      <c r="S283" s="117" t="s">
        <v>277</v>
      </c>
      <c r="T283" s="117" t="s">
        <v>278</v>
      </c>
      <c r="U283" s="117" t="s">
        <v>279</v>
      </c>
      <c r="V283" s="117" t="s">
        <v>280</v>
      </c>
      <c r="W283" s="117" t="s">
        <v>281</v>
      </c>
      <c r="X283" s="117" t="s">
        <v>205</v>
      </c>
      <c r="Y283" s="117" t="s">
        <v>206</v>
      </c>
      <c r="Z283" s="117" t="s">
        <v>207</v>
      </c>
      <c r="AA283" s="117" t="s">
        <v>208</v>
      </c>
      <c r="AB283" s="117" t="s">
        <v>209</v>
      </c>
      <c r="AC283" s="117" t="s">
        <v>210</v>
      </c>
      <c r="AD283" s="117" t="s">
        <v>211</v>
      </c>
      <c r="BF283" s="99"/>
      <c r="BG283"/>
    </row>
    <row r="284" spans="2:59" s="27" customFormat="1" ht="15">
      <c r="B284" s="98"/>
      <c r="C284" s="116" t="s">
        <v>282</v>
      </c>
      <c r="D284" s="116" t="s">
        <v>227</v>
      </c>
      <c r="E284" s="116" t="s">
        <v>227</v>
      </c>
      <c r="F284" s="123" t="s">
        <v>230</v>
      </c>
      <c r="G284" s="123" t="s">
        <v>230</v>
      </c>
      <c r="H284" s="123" t="s">
        <v>230</v>
      </c>
      <c r="I284" s="123" t="s">
        <v>283</v>
      </c>
      <c r="J284" s="123" t="s">
        <v>284</v>
      </c>
      <c r="K284" s="123" t="s">
        <v>285</v>
      </c>
      <c r="L284" s="117" t="s">
        <v>228</v>
      </c>
      <c r="M284" s="123" t="s">
        <v>228</v>
      </c>
      <c r="N284" s="123" t="s">
        <v>286</v>
      </c>
      <c r="O284" s="123" t="s">
        <v>230</v>
      </c>
      <c r="P284" s="123" t="s">
        <v>287</v>
      </c>
      <c r="Q284" s="123" t="s">
        <v>288</v>
      </c>
      <c r="R284" s="123" t="s">
        <v>287</v>
      </c>
      <c r="S284" s="123" t="s">
        <v>232</v>
      </c>
      <c r="T284" s="117" t="s">
        <v>289</v>
      </c>
      <c r="U284" s="123" t="s">
        <v>289</v>
      </c>
      <c r="V284" s="123" t="s">
        <v>290</v>
      </c>
      <c r="W284" s="123" t="s">
        <v>230</v>
      </c>
      <c r="X284" s="123" t="s">
        <v>233</v>
      </c>
      <c r="Y284" s="123" t="s">
        <v>291</v>
      </c>
      <c r="Z284" s="123" t="s">
        <v>235</v>
      </c>
      <c r="AA284" s="123" t="s">
        <v>235</v>
      </c>
      <c r="AB284" s="117" t="s">
        <v>234</v>
      </c>
      <c r="AC284" s="123" t="s">
        <v>235</v>
      </c>
      <c r="AD284" s="123" t="s">
        <v>235</v>
      </c>
      <c r="BF284" s="99"/>
      <c r="BG284"/>
    </row>
    <row r="285" spans="2:59" s="27" customFormat="1" ht="15">
      <c r="B285" s="144" t="s">
        <v>297</v>
      </c>
      <c r="C285" s="188" t="s">
        <v>473</v>
      </c>
      <c r="D285" s="188" t="s">
        <v>408</v>
      </c>
      <c r="E285" s="170" t="s">
        <v>408</v>
      </c>
      <c r="F285" s="188" t="s">
        <v>156</v>
      </c>
      <c r="G285" s="188" t="s">
        <v>293</v>
      </c>
      <c r="H285" s="188" t="s">
        <v>293</v>
      </c>
      <c r="I285" s="188" t="s">
        <v>157</v>
      </c>
      <c r="J285" s="188" t="s">
        <v>474</v>
      </c>
      <c r="K285" s="188" t="s">
        <v>474</v>
      </c>
      <c r="L285" s="188" t="s">
        <v>128</v>
      </c>
      <c r="M285" s="188" t="s">
        <v>295</v>
      </c>
      <c r="N285" s="188"/>
      <c r="O285" s="188" t="s">
        <v>293</v>
      </c>
      <c r="P285" s="188" t="s">
        <v>128</v>
      </c>
      <c r="Q285" s="188" t="s">
        <v>159</v>
      </c>
      <c r="R285" s="188" t="s">
        <v>554</v>
      </c>
      <c r="S285" s="188"/>
      <c r="T285" s="188" t="s">
        <v>555</v>
      </c>
      <c r="U285" s="188" t="s">
        <v>556</v>
      </c>
      <c r="V285" s="188" t="s">
        <v>128</v>
      </c>
      <c r="W285" s="188"/>
      <c r="X285" s="188" t="s">
        <v>294</v>
      </c>
      <c r="Y285" s="188">
        <v>39864.674351851849</v>
      </c>
      <c r="Z285" s="188">
        <v>440393</v>
      </c>
      <c r="AA285" s="188">
        <v>440393</v>
      </c>
      <c r="AB285" s="188">
        <v>40134.391365740739</v>
      </c>
      <c r="AC285" s="188">
        <v>330622</v>
      </c>
      <c r="AD285" s="188">
        <v>330622</v>
      </c>
      <c r="BF285" s="99"/>
      <c r="BG285"/>
    </row>
    <row r="286" spans="2:59" s="27" customFormat="1" ht="15">
      <c r="B286" s="144" t="s">
        <v>297</v>
      </c>
      <c r="C286" s="188" t="s">
        <v>473</v>
      </c>
      <c r="D286" s="188" t="s">
        <v>408</v>
      </c>
      <c r="E286" s="170" t="s">
        <v>478</v>
      </c>
      <c r="F286" s="188" t="s">
        <v>156</v>
      </c>
      <c r="G286" s="188" t="s">
        <v>293</v>
      </c>
      <c r="H286" s="188" t="s">
        <v>293</v>
      </c>
      <c r="I286" s="188" t="s">
        <v>157</v>
      </c>
      <c r="J286" s="188" t="s">
        <v>474</v>
      </c>
      <c r="K286" s="188" t="s">
        <v>474</v>
      </c>
      <c r="L286" s="188" t="s">
        <v>128</v>
      </c>
      <c r="M286" s="188" t="s">
        <v>295</v>
      </c>
      <c r="N286" s="188"/>
      <c r="O286" s="188" t="s">
        <v>293</v>
      </c>
      <c r="P286" s="188" t="s">
        <v>128</v>
      </c>
      <c r="Q286" s="188" t="s">
        <v>159</v>
      </c>
      <c r="R286" s="188" t="s">
        <v>554</v>
      </c>
      <c r="S286" s="188"/>
      <c r="T286" s="188" t="s">
        <v>555</v>
      </c>
      <c r="U286" s="188" t="s">
        <v>556</v>
      </c>
      <c r="V286" s="188" t="s">
        <v>128</v>
      </c>
      <c r="W286" s="188"/>
      <c r="X286" s="188" t="s">
        <v>294</v>
      </c>
      <c r="Y286" s="188">
        <v>39864.674351851849</v>
      </c>
      <c r="Z286" s="188">
        <v>440393</v>
      </c>
      <c r="AA286" s="188">
        <v>440393</v>
      </c>
      <c r="AB286" s="188">
        <v>40134.391365740739</v>
      </c>
      <c r="AC286" s="188">
        <v>330622</v>
      </c>
      <c r="AD286" s="188">
        <v>330622</v>
      </c>
      <c r="BF286" s="99"/>
      <c r="BG286"/>
    </row>
    <row r="287" spans="2:59" s="27" customFormat="1" ht="15">
      <c r="B287" s="144" t="s">
        <v>297</v>
      </c>
      <c r="C287" s="188" t="s">
        <v>473</v>
      </c>
      <c r="D287" s="170" t="s">
        <v>478</v>
      </c>
      <c r="E287" s="170" t="s">
        <v>408</v>
      </c>
      <c r="F287" s="188" t="s">
        <v>156</v>
      </c>
      <c r="G287" s="188" t="s">
        <v>293</v>
      </c>
      <c r="H287" s="188" t="s">
        <v>293</v>
      </c>
      <c r="I287" s="188" t="s">
        <v>157</v>
      </c>
      <c r="J287" s="188" t="s">
        <v>474</v>
      </c>
      <c r="K287" s="188" t="s">
        <v>474</v>
      </c>
      <c r="L287" s="188" t="s">
        <v>128</v>
      </c>
      <c r="M287" s="188" t="s">
        <v>295</v>
      </c>
      <c r="N287" s="188"/>
      <c r="O287" s="188" t="s">
        <v>293</v>
      </c>
      <c r="P287" s="188" t="s">
        <v>128</v>
      </c>
      <c r="Q287" s="188" t="s">
        <v>159</v>
      </c>
      <c r="R287" s="188" t="s">
        <v>554</v>
      </c>
      <c r="S287" s="188"/>
      <c r="T287" s="188" t="s">
        <v>555</v>
      </c>
      <c r="U287" s="188" t="s">
        <v>556</v>
      </c>
      <c r="V287" s="188" t="s">
        <v>128</v>
      </c>
      <c r="W287" s="188"/>
      <c r="X287" s="188" t="s">
        <v>294</v>
      </c>
      <c r="Y287" s="188">
        <v>39864.674351851849</v>
      </c>
      <c r="Z287" s="188">
        <v>440393</v>
      </c>
      <c r="AA287" s="188">
        <v>440393</v>
      </c>
      <c r="AB287" s="188">
        <v>40134.391365740739</v>
      </c>
      <c r="AC287" s="188">
        <v>330622</v>
      </c>
      <c r="AD287" s="188">
        <v>330622</v>
      </c>
      <c r="BF287" s="99"/>
      <c r="BG287"/>
    </row>
    <row r="288" spans="2:59" s="27" customFormat="1" ht="15">
      <c r="B288" s="144" t="s">
        <v>297</v>
      </c>
      <c r="C288" s="188" t="s">
        <v>473</v>
      </c>
      <c r="D288" s="188">
        <v>6206</v>
      </c>
      <c r="E288" s="170" t="s">
        <v>479</v>
      </c>
      <c r="F288" s="188" t="s">
        <v>156</v>
      </c>
      <c r="G288" s="188" t="s">
        <v>293</v>
      </c>
      <c r="H288" s="188" t="s">
        <v>293</v>
      </c>
      <c r="I288" s="188" t="s">
        <v>157</v>
      </c>
      <c r="J288" s="188" t="s">
        <v>474</v>
      </c>
      <c r="K288" s="188" t="s">
        <v>474</v>
      </c>
      <c r="L288" s="188" t="s">
        <v>128</v>
      </c>
      <c r="M288" s="188" t="s">
        <v>295</v>
      </c>
      <c r="N288" s="188"/>
      <c r="O288" s="188" t="s">
        <v>293</v>
      </c>
      <c r="P288" s="188" t="s">
        <v>128</v>
      </c>
      <c r="Q288" s="188" t="s">
        <v>159</v>
      </c>
      <c r="R288" s="188" t="s">
        <v>554</v>
      </c>
      <c r="S288" s="188"/>
      <c r="T288" s="188" t="s">
        <v>555</v>
      </c>
      <c r="U288" s="188" t="s">
        <v>556</v>
      </c>
      <c r="V288" s="188" t="s">
        <v>128</v>
      </c>
      <c r="W288" s="188"/>
      <c r="X288" s="188" t="s">
        <v>294</v>
      </c>
      <c r="Y288" s="188">
        <v>39864.674351851849</v>
      </c>
      <c r="Z288" s="188">
        <v>440393</v>
      </c>
      <c r="AA288" s="188">
        <v>440393</v>
      </c>
      <c r="AB288" s="188">
        <v>40134.391365740739</v>
      </c>
      <c r="AC288" s="188">
        <v>330622</v>
      </c>
      <c r="AD288" s="188">
        <v>330622</v>
      </c>
      <c r="BF288" s="99"/>
      <c r="BG288"/>
    </row>
    <row r="289" spans="2:58">
      <c r="B289" s="148"/>
      <c r="BF289" s="130"/>
    </row>
    <row r="290" spans="2:58" ht="13.5">
      <c r="B290" s="148"/>
      <c r="C290" s="136" t="s">
        <v>125</v>
      </c>
      <c r="BF290" s="130"/>
    </row>
    <row r="291" spans="2:58" ht="13.5">
      <c r="B291" s="148"/>
      <c r="C291" s="266" t="s">
        <v>401</v>
      </c>
      <c r="D291" s="266" t="s">
        <v>402</v>
      </c>
      <c r="E291" s="266" t="s">
        <v>131</v>
      </c>
      <c r="F291" s="266" t="s">
        <v>403</v>
      </c>
      <c r="G291" s="266" t="s">
        <v>404</v>
      </c>
      <c r="BF291" s="130"/>
    </row>
    <row r="292" spans="2:58" ht="13.5">
      <c r="B292" s="148"/>
      <c r="C292" s="266">
        <v>-2</v>
      </c>
      <c r="D292" s="266" t="s">
        <v>128</v>
      </c>
      <c r="E292" s="266" t="s">
        <v>706</v>
      </c>
      <c r="F292" s="266" t="s">
        <v>687</v>
      </c>
      <c r="G292" s="266" t="s">
        <v>437</v>
      </c>
      <c r="BF292" s="130"/>
    </row>
    <row r="293" spans="2:58" ht="13.5" thickBot="1">
      <c r="B293" s="148"/>
      <c r="BF293" s="130"/>
    </row>
    <row r="294" spans="2:58" ht="14" thickBot="1">
      <c r="B294" s="132" t="s">
        <v>562</v>
      </c>
      <c r="C294" s="133" t="s">
        <v>563</v>
      </c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236"/>
    </row>
    <row r="295" spans="2:58" ht="14" thickBot="1">
      <c r="B295" s="134" t="s">
        <v>736</v>
      </c>
      <c r="C295" s="133" t="s">
        <v>434</v>
      </c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236"/>
    </row>
    <row r="296" spans="2:58">
      <c r="B296" s="148"/>
      <c r="BF296" s="130"/>
    </row>
    <row r="297" spans="2:58" ht="13.5">
      <c r="B297" s="148"/>
      <c r="C297" s="136" t="s">
        <v>241</v>
      </c>
      <c r="BF297" s="130"/>
    </row>
    <row r="298" spans="2:58" ht="13.5">
      <c r="B298" s="148"/>
      <c r="C298" s="136" t="s">
        <v>564</v>
      </c>
      <c r="BF298" s="130"/>
    </row>
    <row r="299" spans="2:58">
      <c r="B299" s="148"/>
      <c r="BF299" s="130"/>
    </row>
    <row r="300" spans="2:58" ht="15">
      <c r="B300" s="135"/>
      <c r="C300" s="162" t="s">
        <v>212</v>
      </c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BF300" s="130"/>
    </row>
    <row r="301" spans="2:58" ht="15">
      <c r="B301" s="135"/>
      <c r="D301" s="119"/>
      <c r="E301" s="118" t="s">
        <v>141</v>
      </c>
      <c r="F301" s="119"/>
      <c r="G301" s="119"/>
      <c r="H301" s="119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BF301" s="130"/>
    </row>
    <row r="302" spans="2:58" ht="13.5">
      <c r="B302" s="135"/>
      <c r="C302" s="153" t="s">
        <v>417</v>
      </c>
      <c r="D302" s="117" t="s">
        <v>213</v>
      </c>
      <c r="E302" s="117" t="s">
        <v>214</v>
      </c>
      <c r="F302" s="117" t="s">
        <v>215</v>
      </c>
      <c r="G302" s="117" t="s">
        <v>216</v>
      </c>
      <c r="H302" s="117" t="s">
        <v>217</v>
      </c>
      <c r="I302" s="117" t="s">
        <v>218</v>
      </c>
      <c r="J302" s="121" t="s">
        <v>219</v>
      </c>
      <c r="K302" s="117" t="s">
        <v>220</v>
      </c>
      <c r="L302" s="122" t="s">
        <v>221</v>
      </c>
      <c r="M302" s="123" t="s">
        <v>222</v>
      </c>
      <c r="N302" s="123" t="s">
        <v>223</v>
      </c>
      <c r="O302" s="123" t="s">
        <v>224</v>
      </c>
      <c r="P302" s="123" t="s">
        <v>225</v>
      </c>
      <c r="Q302" s="123" t="s">
        <v>123</v>
      </c>
      <c r="R302" s="123" t="s">
        <v>124</v>
      </c>
      <c r="S302" s="117" t="s">
        <v>226</v>
      </c>
      <c r="BF302" s="130"/>
    </row>
    <row r="303" spans="2:58" ht="13.5">
      <c r="B303" s="135"/>
      <c r="C303" s="117" t="s">
        <v>195</v>
      </c>
      <c r="D303" s="117" t="s">
        <v>196</v>
      </c>
      <c r="E303" s="117" t="s">
        <v>197</v>
      </c>
      <c r="F303" s="117" t="s">
        <v>198</v>
      </c>
      <c r="G303" s="117" t="s">
        <v>199</v>
      </c>
      <c r="H303" s="117" t="s">
        <v>200</v>
      </c>
      <c r="I303" s="117" t="s">
        <v>201</v>
      </c>
      <c r="J303" s="117" t="s">
        <v>202</v>
      </c>
      <c r="K303" s="117" t="s">
        <v>203</v>
      </c>
      <c r="L303" s="117" t="s">
        <v>204</v>
      </c>
      <c r="M303" s="117" t="s">
        <v>205</v>
      </c>
      <c r="N303" s="117" t="s">
        <v>206</v>
      </c>
      <c r="O303" s="117" t="s">
        <v>207</v>
      </c>
      <c r="P303" s="117" t="s">
        <v>208</v>
      </c>
      <c r="Q303" s="117" t="s">
        <v>209</v>
      </c>
      <c r="R303" s="117" t="s">
        <v>210</v>
      </c>
      <c r="S303" s="117" t="s">
        <v>211</v>
      </c>
      <c r="BF303" s="130"/>
    </row>
    <row r="304" spans="2:58" ht="14">
      <c r="B304" s="142"/>
      <c r="C304" s="149" t="s">
        <v>227</v>
      </c>
      <c r="D304" s="150" t="s">
        <v>228</v>
      </c>
      <c r="E304" s="150" t="s">
        <v>228</v>
      </c>
      <c r="F304" s="150" t="s">
        <v>229</v>
      </c>
      <c r="G304" s="150" t="s">
        <v>230</v>
      </c>
      <c r="H304" s="150" t="s">
        <v>228</v>
      </c>
      <c r="I304" s="151" t="s">
        <v>231</v>
      </c>
      <c r="J304" s="150" t="s">
        <v>230</v>
      </c>
      <c r="K304" s="151" t="s">
        <v>230</v>
      </c>
      <c r="L304" s="151" t="s">
        <v>232</v>
      </c>
      <c r="M304" s="152" t="s">
        <v>233</v>
      </c>
      <c r="N304" s="150" t="s">
        <v>234</v>
      </c>
      <c r="O304" s="150" t="s">
        <v>235</v>
      </c>
      <c r="P304" s="151" t="s">
        <v>235</v>
      </c>
      <c r="Q304" s="151" t="s">
        <v>147</v>
      </c>
      <c r="R304" s="152" t="s">
        <v>235</v>
      </c>
      <c r="S304" s="117" t="s">
        <v>235</v>
      </c>
      <c r="BF304" s="130"/>
    </row>
    <row r="305" spans="2:58" ht="14">
      <c r="B305" s="142" t="s">
        <v>292</v>
      </c>
      <c r="C305" s="143" t="s">
        <v>408</v>
      </c>
      <c r="D305" s="143" t="s">
        <v>409</v>
      </c>
      <c r="E305" s="143" t="s">
        <v>410</v>
      </c>
      <c r="F305" s="143" t="s">
        <v>295</v>
      </c>
      <c r="G305" s="143" t="s">
        <v>156</v>
      </c>
      <c r="H305" s="143" t="s">
        <v>411</v>
      </c>
      <c r="I305" s="143" t="s">
        <v>298</v>
      </c>
      <c r="J305" s="143" t="s">
        <v>294</v>
      </c>
      <c r="K305" s="143" t="s">
        <v>294</v>
      </c>
      <c r="L305" s="143" t="s">
        <v>412</v>
      </c>
      <c r="M305" s="143" t="s">
        <v>294</v>
      </c>
      <c r="N305" s="143" t="s">
        <v>413</v>
      </c>
      <c r="O305" s="143" t="s">
        <v>414</v>
      </c>
      <c r="P305" s="143" t="s">
        <v>414</v>
      </c>
      <c r="Q305" s="143" t="s">
        <v>415</v>
      </c>
      <c r="R305" s="143" t="s">
        <v>416</v>
      </c>
      <c r="S305" s="117" t="s">
        <v>416</v>
      </c>
      <c r="BF305" s="130"/>
    </row>
    <row r="306" spans="2:58" ht="14">
      <c r="B306" s="144" t="s">
        <v>297</v>
      </c>
      <c r="C306" s="170" t="s">
        <v>418</v>
      </c>
      <c r="D306" s="143" t="s">
        <v>409</v>
      </c>
      <c r="E306" s="143" t="s">
        <v>419</v>
      </c>
      <c r="F306" s="143" t="s">
        <v>295</v>
      </c>
      <c r="G306" s="143" t="s">
        <v>156</v>
      </c>
      <c r="H306" s="143" t="s">
        <v>411</v>
      </c>
      <c r="I306" s="143" t="s">
        <v>420</v>
      </c>
      <c r="J306" s="143" t="s">
        <v>294</v>
      </c>
      <c r="K306" s="143" t="s">
        <v>294</v>
      </c>
      <c r="L306" s="143" t="s">
        <v>421</v>
      </c>
      <c r="M306" s="143" t="s">
        <v>294</v>
      </c>
      <c r="N306" s="143" t="s">
        <v>413</v>
      </c>
      <c r="O306" s="143" t="s">
        <v>414</v>
      </c>
      <c r="P306" s="143" t="s">
        <v>414</v>
      </c>
      <c r="Q306" s="143" t="s">
        <v>422</v>
      </c>
      <c r="R306" s="143" t="s">
        <v>416</v>
      </c>
      <c r="S306" s="117" t="s">
        <v>416</v>
      </c>
      <c r="BF306" s="130"/>
    </row>
    <row r="307" spans="2:58" ht="14">
      <c r="B307" s="144" t="s">
        <v>297</v>
      </c>
      <c r="C307" s="170" t="s">
        <v>423</v>
      </c>
      <c r="D307" s="143" t="s">
        <v>409</v>
      </c>
      <c r="E307" s="143" t="s">
        <v>410</v>
      </c>
      <c r="F307" s="143" t="s">
        <v>295</v>
      </c>
      <c r="G307" s="143" t="s">
        <v>156</v>
      </c>
      <c r="H307" s="143" t="s">
        <v>411</v>
      </c>
      <c r="I307" s="143" t="s">
        <v>420</v>
      </c>
      <c r="J307" s="143" t="s">
        <v>294</v>
      </c>
      <c r="K307" s="143" t="s">
        <v>294</v>
      </c>
      <c r="L307" s="143" t="s">
        <v>424</v>
      </c>
      <c r="M307" s="143" t="s">
        <v>294</v>
      </c>
      <c r="N307" s="143" t="s">
        <v>425</v>
      </c>
      <c r="O307" s="143" t="s">
        <v>426</v>
      </c>
      <c r="P307" s="143" t="s">
        <v>426</v>
      </c>
      <c r="Q307" s="143" t="s">
        <v>425</v>
      </c>
      <c r="R307" s="143" t="s">
        <v>426</v>
      </c>
      <c r="S307" s="117" t="s">
        <v>426</v>
      </c>
      <c r="BF307" s="130"/>
    </row>
    <row r="308" spans="2:58" ht="14">
      <c r="B308" s="144" t="s">
        <v>297</v>
      </c>
      <c r="C308" s="170" t="s">
        <v>427</v>
      </c>
      <c r="D308" s="143" t="s">
        <v>409</v>
      </c>
      <c r="E308" s="143" t="s">
        <v>410</v>
      </c>
      <c r="F308" s="143" t="s">
        <v>295</v>
      </c>
      <c r="G308" s="143" t="s">
        <v>156</v>
      </c>
      <c r="H308" s="143" t="s">
        <v>411</v>
      </c>
      <c r="I308" s="143" t="s">
        <v>420</v>
      </c>
      <c r="J308" s="143" t="s">
        <v>294</v>
      </c>
      <c r="K308" s="143" t="s">
        <v>294</v>
      </c>
      <c r="L308" s="143" t="s">
        <v>428</v>
      </c>
      <c r="M308" s="143" t="s">
        <v>294</v>
      </c>
      <c r="N308" s="143" t="s">
        <v>413</v>
      </c>
      <c r="O308" s="143" t="s">
        <v>414</v>
      </c>
      <c r="P308" s="143" t="s">
        <v>414</v>
      </c>
      <c r="Q308" s="143" t="s">
        <v>415</v>
      </c>
      <c r="R308" s="143" t="s">
        <v>416</v>
      </c>
      <c r="S308" s="117" t="s">
        <v>416</v>
      </c>
      <c r="BF308" s="130"/>
    </row>
    <row r="309" spans="2:58" ht="14">
      <c r="B309" s="148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BF309" s="130"/>
    </row>
    <row r="310" spans="2:58">
      <c r="B310" s="148"/>
      <c r="C310" s="175" t="s">
        <v>439</v>
      </c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BF310" s="130"/>
    </row>
    <row r="311" spans="2:58" ht="15">
      <c r="B311" s="148"/>
      <c r="C311" s="118"/>
      <c r="D311" s="174"/>
      <c r="E311" s="118"/>
      <c r="F311" s="118" t="s">
        <v>141</v>
      </c>
      <c r="G311" s="174"/>
      <c r="H311" s="174"/>
      <c r="I311" s="174"/>
      <c r="J311" s="174"/>
      <c r="K311" s="174"/>
      <c r="L311" s="174"/>
      <c r="M311" s="174"/>
      <c r="BF311" s="130"/>
    </row>
    <row r="312" spans="2:58">
      <c r="B312" s="148"/>
      <c r="C312" s="153" t="s">
        <v>448</v>
      </c>
      <c r="D312" s="117" t="s">
        <v>442</v>
      </c>
      <c r="E312" s="153" t="s">
        <v>449</v>
      </c>
      <c r="F312" s="117" t="s">
        <v>443</v>
      </c>
      <c r="G312" s="123" t="s">
        <v>222</v>
      </c>
      <c r="H312" s="123" t="s">
        <v>223</v>
      </c>
      <c r="I312" s="123" t="s">
        <v>224</v>
      </c>
      <c r="J312" s="123" t="s">
        <v>225</v>
      </c>
      <c r="K312" s="123" t="s">
        <v>123</v>
      </c>
      <c r="L312" s="123" t="s">
        <v>124</v>
      </c>
      <c r="M312" s="123" t="s">
        <v>226</v>
      </c>
      <c r="BF312" s="130"/>
    </row>
    <row r="313" spans="2:58" ht="14">
      <c r="B313" s="148"/>
      <c r="C313" s="187" t="s">
        <v>450</v>
      </c>
      <c r="D313" s="117" t="s">
        <v>440</v>
      </c>
      <c r="E313" s="187" t="s">
        <v>452</v>
      </c>
      <c r="F313" s="117" t="s">
        <v>441</v>
      </c>
      <c r="G313" s="117" t="s">
        <v>205</v>
      </c>
      <c r="H313" s="117" t="s">
        <v>206</v>
      </c>
      <c r="I313" s="117" t="s">
        <v>207</v>
      </c>
      <c r="J313" s="117" t="s">
        <v>208</v>
      </c>
      <c r="K313" s="117" t="s">
        <v>209</v>
      </c>
      <c r="L313" s="117" t="s">
        <v>210</v>
      </c>
      <c r="M313" s="117" t="s">
        <v>211</v>
      </c>
      <c r="BF313" s="130"/>
    </row>
    <row r="314" spans="2:58" ht="14">
      <c r="B314" s="148"/>
      <c r="C314" s="187" t="s">
        <v>451</v>
      </c>
      <c r="D314" s="149" t="s">
        <v>445</v>
      </c>
      <c r="E314" s="187" t="s">
        <v>453</v>
      </c>
      <c r="F314" s="149" t="s">
        <v>230</v>
      </c>
      <c r="G314" s="149" t="s">
        <v>444</v>
      </c>
      <c r="H314" s="149" t="s">
        <v>234</v>
      </c>
      <c r="I314" s="149" t="s">
        <v>235</v>
      </c>
      <c r="J314" s="149" t="s">
        <v>235</v>
      </c>
      <c r="K314" s="149" t="s">
        <v>147</v>
      </c>
      <c r="L314" s="149" t="s">
        <v>235</v>
      </c>
      <c r="M314" s="149" t="s">
        <v>235</v>
      </c>
      <c r="BF314" s="130"/>
    </row>
    <row r="315" spans="2:58" ht="14">
      <c r="B315" s="144" t="s">
        <v>297</v>
      </c>
      <c r="C315" s="170" t="s">
        <v>460</v>
      </c>
      <c r="D315" s="189" t="s">
        <v>454</v>
      </c>
      <c r="E315" s="189" t="s">
        <v>565</v>
      </c>
      <c r="F315" s="189" t="s">
        <v>156</v>
      </c>
      <c r="G315" s="189" t="s">
        <v>294</v>
      </c>
      <c r="H315" s="192" t="s">
        <v>456</v>
      </c>
      <c r="I315" s="189" t="s">
        <v>457</v>
      </c>
      <c r="J315" s="189" t="s">
        <v>457</v>
      </c>
      <c r="K315" s="189" t="s">
        <v>458</v>
      </c>
      <c r="L315" s="189" t="s">
        <v>459</v>
      </c>
      <c r="M315" s="191" t="s">
        <v>459</v>
      </c>
      <c r="BF315" s="130"/>
    </row>
    <row r="316" spans="2:58" ht="14">
      <c r="B316" s="144" t="s">
        <v>297</v>
      </c>
      <c r="C316" s="170" t="s">
        <v>419</v>
      </c>
      <c r="D316" s="189" t="s">
        <v>454</v>
      </c>
      <c r="E316" s="189" t="s">
        <v>565</v>
      </c>
      <c r="F316" s="189" t="s">
        <v>156</v>
      </c>
      <c r="G316" s="189" t="s">
        <v>294</v>
      </c>
      <c r="H316" s="190" t="s">
        <v>456</v>
      </c>
      <c r="I316" s="189" t="s">
        <v>457</v>
      </c>
      <c r="J316" s="189" t="s">
        <v>457</v>
      </c>
      <c r="K316" s="189" t="s">
        <v>458</v>
      </c>
      <c r="L316" s="189" t="s">
        <v>459</v>
      </c>
      <c r="M316" s="191" t="s">
        <v>459</v>
      </c>
      <c r="BF316" s="130"/>
    </row>
    <row r="317" spans="2:58" ht="14">
      <c r="B317" s="144" t="s">
        <v>297</v>
      </c>
      <c r="C317" s="170" t="s">
        <v>299</v>
      </c>
      <c r="D317" s="189" t="s">
        <v>454</v>
      </c>
      <c r="E317" s="189" t="s">
        <v>565</v>
      </c>
      <c r="F317" s="189" t="s">
        <v>156</v>
      </c>
      <c r="G317" s="189" t="s">
        <v>294</v>
      </c>
      <c r="H317" s="192" t="s">
        <v>456</v>
      </c>
      <c r="I317" s="189" t="s">
        <v>457</v>
      </c>
      <c r="J317" s="189" t="s">
        <v>457</v>
      </c>
      <c r="K317" s="189" t="s">
        <v>458</v>
      </c>
      <c r="L317" s="189" t="s">
        <v>459</v>
      </c>
      <c r="M317" s="191" t="s">
        <v>459</v>
      </c>
      <c r="BF317" s="130"/>
    </row>
    <row r="318" spans="2:58" ht="14">
      <c r="B318" s="142" t="s">
        <v>292</v>
      </c>
      <c r="C318" s="188" t="s">
        <v>410</v>
      </c>
      <c r="D318" s="188" t="s">
        <v>454</v>
      </c>
      <c r="E318" s="188" t="s">
        <v>565</v>
      </c>
      <c r="F318" s="251" t="s">
        <v>156</v>
      </c>
      <c r="G318" s="188" t="s">
        <v>294</v>
      </c>
      <c r="H318" s="188" t="s">
        <v>456</v>
      </c>
      <c r="I318" s="188" t="s">
        <v>457</v>
      </c>
      <c r="J318" s="188" t="s">
        <v>457</v>
      </c>
      <c r="K318" s="188" t="s">
        <v>458</v>
      </c>
      <c r="L318" s="188" t="s">
        <v>459</v>
      </c>
      <c r="M318" s="188" t="s">
        <v>459</v>
      </c>
      <c r="BF318" s="130"/>
    </row>
    <row r="319" spans="2:58">
      <c r="B319" s="148"/>
      <c r="BF319" s="130"/>
    </row>
    <row r="320" spans="2:58" ht="13.5">
      <c r="B320" s="148"/>
      <c r="C320" s="136" t="s">
        <v>125</v>
      </c>
      <c r="D320" s="136"/>
      <c r="E320" s="136"/>
      <c r="F320" s="136"/>
      <c r="G320" s="136"/>
      <c r="BF320" s="130"/>
    </row>
    <row r="321" spans="2:58" ht="13.5">
      <c r="B321" s="148"/>
      <c r="C321" s="266" t="s">
        <v>401</v>
      </c>
      <c r="D321" s="266" t="s">
        <v>402</v>
      </c>
      <c r="E321" s="266" t="s">
        <v>131</v>
      </c>
      <c r="F321" s="266" t="s">
        <v>403</v>
      </c>
      <c r="G321" s="266" t="s">
        <v>404</v>
      </c>
      <c r="BF321" s="130"/>
    </row>
    <row r="322" spans="2:58" ht="13.5">
      <c r="B322" s="148"/>
      <c r="C322" s="266">
        <v>-2</v>
      </c>
      <c r="D322" s="266" t="s">
        <v>128</v>
      </c>
      <c r="E322" s="266" t="s">
        <v>708</v>
      </c>
      <c r="F322" s="266" t="s">
        <v>688</v>
      </c>
      <c r="G322" s="266" t="s">
        <v>437</v>
      </c>
      <c r="BF322" s="130"/>
    </row>
    <row r="323" spans="2:58" ht="13.5" thickBot="1">
      <c r="B323" s="148"/>
      <c r="BF323" s="130"/>
    </row>
    <row r="324" spans="2:58" ht="14" thickBot="1">
      <c r="B324" s="132" t="s">
        <v>567</v>
      </c>
      <c r="C324" s="133" t="s">
        <v>568</v>
      </c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236"/>
    </row>
    <row r="325" spans="2:58" ht="14" thickBot="1">
      <c r="B325" s="134" t="s">
        <v>736</v>
      </c>
      <c r="C325" s="133" t="s">
        <v>434</v>
      </c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236"/>
    </row>
    <row r="326" spans="2:58">
      <c r="B326" s="148"/>
      <c r="BF326" s="130"/>
    </row>
    <row r="327" spans="2:58" ht="13.5">
      <c r="B327" s="148"/>
      <c r="C327" s="136" t="s">
        <v>241</v>
      </c>
      <c r="BF327" s="130"/>
    </row>
    <row r="328" spans="2:58" ht="13.5">
      <c r="B328" s="148"/>
      <c r="C328" s="136" t="s">
        <v>578</v>
      </c>
      <c r="BF328" s="130"/>
    </row>
    <row r="329" spans="2:58">
      <c r="B329" s="148"/>
      <c r="BF329" s="130"/>
    </row>
    <row r="330" spans="2:58" ht="15">
      <c r="B330" s="135"/>
      <c r="C330" s="162" t="s">
        <v>212</v>
      </c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BF330" s="130"/>
    </row>
    <row r="331" spans="2:58" ht="15">
      <c r="B331" s="135"/>
      <c r="D331" s="119"/>
      <c r="E331" s="118" t="s">
        <v>141</v>
      </c>
      <c r="F331" s="119"/>
      <c r="G331" s="119"/>
      <c r="H331" s="119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BF331" s="130"/>
    </row>
    <row r="332" spans="2:58" ht="13.5">
      <c r="B332" s="135"/>
      <c r="C332" s="153" t="s">
        <v>417</v>
      </c>
      <c r="D332" s="117" t="s">
        <v>213</v>
      </c>
      <c r="E332" s="117" t="s">
        <v>214</v>
      </c>
      <c r="F332" s="117" t="s">
        <v>215</v>
      </c>
      <c r="G332" s="117" t="s">
        <v>216</v>
      </c>
      <c r="H332" s="117" t="s">
        <v>217</v>
      </c>
      <c r="I332" s="117" t="s">
        <v>218</v>
      </c>
      <c r="J332" s="121" t="s">
        <v>219</v>
      </c>
      <c r="K332" s="117" t="s">
        <v>220</v>
      </c>
      <c r="L332" s="122" t="s">
        <v>221</v>
      </c>
      <c r="M332" s="123" t="s">
        <v>222</v>
      </c>
      <c r="N332" s="123" t="s">
        <v>223</v>
      </c>
      <c r="O332" s="123" t="s">
        <v>224</v>
      </c>
      <c r="P332" s="123" t="s">
        <v>225</v>
      </c>
      <c r="Q332" s="123" t="s">
        <v>123</v>
      </c>
      <c r="R332" s="123" t="s">
        <v>124</v>
      </c>
      <c r="S332" s="117" t="s">
        <v>226</v>
      </c>
      <c r="BF332" s="130"/>
    </row>
    <row r="333" spans="2:58" ht="13.5">
      <c r="B333" s="135"/>
      <c r="C333" s="117" t="s">
        <v>195</v>
      </c>
      <c r="D333" s="117" t="s">
        <v>196</v>
      </c>
      <c r="E333" s="117" t="s">
        <v>197</v>
      </c>
      <c r="F333" s="117" t="s">
        <v>198</v>
      </c>
      <c r="G333" s="117" t="s">
        <v>199</v>
      </c>
      <c r="H333" s="117" t="s">
        <v>200</v>
      </c>
      <c r="I333" s="117" t="s">
        <v>201</v>
      </c>
      <c r="J333" s="117" t="s">
        <v>202</v>
      </c>
      <c r="K333" s="117" t="s">
        <v>203</v>
      </c>
      <c r="L333" s="117" t="s">
        <v>204</v>
      </c>
      <c r="M333" s="117" t="s">
        <v>205</v>
      </c>
      <c r="N333" s="117" t="s">
        <v>206</v>
      </c>
      <c r="O333" s="117" t="s">
        <v>207</v>
      </c>
      <c r="P333" s="117" t="s">
        <v>208</v>
      </c>
      <c r="Q333" s="117" t="s">
        <v>209</v>
      </c>
      <c r="R333" s="117" t="s">
        <v>210</v>
      </c>
      <c r="S333" s="117" t="s">
        <v>211</v>
      </c>
      <c r="BF333" s="130"/>
    </row>
    <row r="334" spans="2:58" ht="14">
      <c r="B334" s="142"/>
      <c r="C334" s="149" t="s">
        <v>227</v>
      </c>
      <c r="D334" s="150" t="s">
        <v>228</v>
      </c>
      <c r="E334" s="150" t="s">
        <v>228</v>
      </c>
      <c r="F334" s="150" t="s">
        <v>229</v>
      </c>
      <c r="G334" s="150" t="s">
        <v>230</v>
      </c>
      <c r="H334" s="150" t="s">
        <v>228</v>
      </c>
      <c r="I334" s="151" t="s">
        <v>231</v>
      </c>
      <c r="J334" s="150" t="s">
        <v>230</v>
      </c>
      <c r="K334" s="151" t="s">
        <v>230</v>
      </c>
      <c r="L334" s="151" t="s">
        <v>232</v>
      </c>
      <c r="M334" s="152" t="s">
        <v>233</v>
      </c>
      <c r="N334" s="150" t="s">
        <v>234</v>
      </c>
      <c r="O334" s="150" t="s">
        <v>235</v>
      </c>
      <c r="P334" s="151" t="s">
        <v>235</v>
      </c>
      <c r="Q334" s="151" t="s">
        <v>147</v>
      </c>
      <c r="R334" s="152" t="s">
        <v>235</v>
      </c>
      <c r="S334" s="117" t="s">
        <v>235</v>
      </c>
      <c r="BF334" s="130"/>
    </row>
    <row r="335" spans="2:58" ht="14">
      <c r="B335" s="142" t="s">
        <v>292</v>
      </c>
      <c r="C335" s="143" t="s">
        <v>408</v>
      </c>
      <c r="D335" s="143" t="s">
        <v>409</v>
      </c>
      <c r="E335" s="143" t="s">
        <v>410</v>
      </c>
      <c r="F335" s="143" t="s">
        <v>295</v>
      </c>
      <c r="G335" s="143" t="s">
        <v>156</v>
      </c>
      <c r="H335" s="143" t="s">
        <v>411</v>
      </c>
      <c r="I335" s="143" t="s">
        <v>298</v>
      </c>
      <c r="J335" s="143" t="s">
        <v>294</v>
      </c>
      <c r="K335" s="143" t="s">
        <v>294</v>
      </c>
      <c r="L335" s="143" t="s">
        <v>412</v>
      </c>
      <c r="M335" s="143" t="s">
        <v>294</v>
      </c>
      <c r="N335" s="143" t="s">
        <v>413</v>
      </c>
      <c r="O335" s="143" t="s">
        <v>414</v>
      </c>
      <c r="P335" s="143" t="s">
        <v>414</v>
      </c>
      <c r="Q335" s="143" t="s">
        <v>415</v>
      </c>
      <c r="R335" s="143" t="s">
        <v>416</v>
      </c>
      <c r="S335" s="117" t="s">
        <v>416</v>
      </c>
      <c r="BF335" s="130"/>
    </row>
    <row r="336" spans="2:58" ht="14">
      <c r="B336" s="144" t="s">
        <v>297</v>
      </c>
      <c r="C336" s="170" t="s">
        <v>418</v>
      </c>
      <c r="D336" s="143" t="s">
        <v>409</v>
      </c>
      <c r="E336" s="143" t="s">
        <v>419</v>
      </c>
      <c r="F336" s="143" t="s">
        <v>295</v>
      </c>
      <c r="G336" s="143" t="s">
        <v>156</v>
      </c>
      <c r="H336" s="143" t="s">
        <v>411</v>
      </c>
      <c r="I336" s="143" t="s">
        <v>420</v>
      </c>
      <c r="J336" s="143" t="s">
        <v>294</v>
      </c>
      <c r="K336" s="143" t="s">
        <v>294</v>
      </c>
      <c r="L336" s="143" t="s">
        <v>421</v>
      </c>
      <c r="M336" s="143" t="s">
        <v>294</v>
      </c>
      <c r="N336" s="143" t="s">
        <v>413</v>
      </c>
      <c r="O336" s="143" t="s">
        <v>414</v>
      </c>
      <c r="P336" s="143" t="s">
        <v>414</v>
      </c>
      <c r="Q336" s="143" t="s">
        <v>422</v>
      </c>
      <c r="R336" s="143" t="s">
        <v>416</v>
      </c>
      <c r="S336" s="117" t="s">
        <v>416</v>
      </c>
      <c r="BF336" s="130"/>
    </row>
    <row r="337" spans="2:58" ht="14">
      <c r="B337" s="144" t="s">
        <v>297</v>
      </c>
      <c r="C337" s="170" t="s">
        <v>423</v>
      </c>
      <c r="D337" s="143" t="s">
        <v>409</v>
      </c>
      <c r="E337" s="143" t="s">
        <v>410</v>
      </c>
      <c r="F337" s="143" t="s">
        <v>295</v>
      </c>
      <c r="G337" s="143" t="s">
        <v>156</v>
      </c>
      <c r="H337" s="143" t="s">
        <v>411</v>
      </c>
      <c r="I337" s="143" t="s">
        <v>420</v>
      </c>
      <c r="J337" s="143" t="s">
        <v>294</v>
      </c>
      <c r="K337" s="143" t="s">
        <v>294</v>
      </c>
      <c r="L337" s="143" t="s">
        <v>424</v>
      </c>
      <c r="M337" s="143" t="s">
        <v>294</v>
      </c>
      <c r="N337" s="143" t="s">
        <v>425</v>
      </c>
      <c r="O337" s="143" t="s">
        <v>426</v>
      </c>
      <c r="P337" s="143" t="s">
        <v>426</v>
      </c>
      <c r="Q337" s="143" t="s">
        <v>425</v>
      </c>
      <c r="R337" s="143" t="s">
        <v>426</v>
      </c>
      <c r="S337" s="117" t="s">
        <v>426</v>
      </c>
      <c r="BF337" s="130"/>
    </row>
    <row r="338" spans="2:58" ht="14">
      <c r="B338" s="144" t="s">
        <v>297</v>
      </c>
      <c r="C338" s="170" t="s">
        <v>427</v>
      </c>
      <c r="D338" s="143" t="s">
        <v>409</v>
      </c>
      <c r="E338" s="143" t="s">
        <v>410</v>
      </c>
      <c r="F338" s="143" t="s">
        <v>295</v>
      </c>
      <c r="G338" s="143" t="s">
        <v>156</v>
      </c>
      <c r="H338" s="143" t="s">
        <v>411</v>
      </c>
      <c r="I338" s="143" t="s">
        <v>420</v>
      </c>
      <c r="J338" s="143" t="s">
        <v>294</v>
      </c>
      <c r="K338" s="143" t="s">
        <v>294</v>
      </c>
      <c r="L338" s="143" t="s">
        <v>428</v>
      </c>
      <c r="M338" s="143" t="s">
        <v>294</v>
      </c>
      <c r="N338" s="143" t="s">
        <v>413</v>
      </c>
      <c r="O338" s="143" t="s">
        <v>414</v>
      </c>
      <c r="P338" s="143" t="s">
        <v>414</v>
      </c>
      <c r="Q338" s="143" t="s">
        <v>415</v>
      </c>
      <c r="R338" s="143" t="s">
        <v>416</v>
      </c>
      <c r="S338" s="117" t="s">
        <v>416</v>
      </c>
      <c r="BF338" s="130"/>
    </row>
    <row r="339" spans="2:58" ht="14">
      <c r="B339" s="148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57"/>
      <c r="BF339" s="130"/>
    </row>
    <row r="340" spans="2:58">
      <c r="B340" s="148"/>
      <c r="C340" s="175" t="s">
        <v>439</v>
      </c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BF340" s="130"/>
    </row>
    <row r="341" spans="2:58" ht="15">
      <c r="B341" s="148"/>
      <c r="C341" s="118"/>
      <c r="D341" s="174"/>
      <c r="E341" s="118"/>
      <c r="F341" s="118" t="s">
        <v>141</v>
      </c>
      <c r="G341" s="174"/>
      <c r="H341" s="174"/>
      <c r="I341" s="174"/>
      <c r="J341" s="174"/>
      <c r="K341" s="174"/>
      <c r="L341" s="174"/>
      <c r="M341" s="174"/>
      <c r="BF341" s="130"/>
    </row>
    <row r="342" spans="2:58">
      <c r="B342" s="148"/>
      <c r="C342" s="153" t="s">
        <v>448</v>
      </c>
      <c r="D342" s="117" t="s">
        <v>442</v>
      </c>
      <c r="E342" s="153" t="s">
        <v>449</v>
      </c>
      <c r="F342" s="117" t="s">
        <v>443</v>
      </c>
      <c r="G342" s="123" t="s">
        <v>222</v>
      </c>
      <c r="H342" s="123" t="s">
        <v>223</v>
      </c>
      <c r="I342" s="123" t="s">
        <v>224</v>
      </c>
      <c r="J342" s="123" t="s">
        <v>225</v>
      </c>
      <c r="K342" s="123" t="s">
        <v>123</v>
      </c>
      <c r="L342" s="123" t="s">
        <v>124</v>
      </c>
      <c r="M342" s="123" t="s">
        <v>226</v>
      </c>
      <c r="BF342" s="130"/>
    </row>
    <row r="343" spans="2:58" ht="14">
      <c r="B343" s="148"/>
      <c r="C343" s="187" t="s">
        <v>450</v>
      </c>
      <c r="D343" s="117" t="s">
        <v>440</v>
      </c>
      <c r="E343" s="187" t="s">
        <v>452</v>
      </c>
      <c r="F343" s="117" t="s">
        <v>441</v>
      </c>
      <c r="G343" s="117" t="s">
        <v>205</v>
      </c>
      <c r="H343" s="117" t="s">
        <v>206</v>
      </c>
      <c r="I343" s="117" t="s">
        <v>207</v>
      </c>
      <c r="J343" s="117" t="s">
        <v>208</v>
      </c>
      <c r="K343" s="117" t="s">
        <v>209</v>
      </c>
      <c r="L343" s="117" t="s">
        <v>210</v>
      </c>
      <c r="M343" s="117" t="s">
        <v>211</v>
      </c>
      <c r="BF343" s="130"/>
    </row>
    <row r="344" spans="2:58" ht="14">
      <c r="B344" s="148"/>
      <c r="C344" s="187" t="s">
        <v>451</v>
      </c>
      <c r="D344" s="149" t="s">
        <v>445</v>
      </c>
      <c r="E344" s="187" t="s">
        <v>453</v>
      </c>
      <c r="F344" s="149" t="s">
        <v>230</v>
      </c>
      <c r="G344" s="149" t="s">
        <v>444</v>
      </c>
      <c r="H344" s="149" t="s">
        <v>234</v>
      </c>
      <c r="I344" s="149" t="s">
        <v>235</v>
      </c>
      <c r="J344" s="149" t="s">
        <v>235</v>
      </c>
      <c r="K344" s="149" t="s">
        <v>147</v>
      </c>
      <c r="L344" s="149" t="s">
        <v>235</v>
      </c>
      <c r="M344" s="149" t="s">
        <v>235</v>
      </c>
      <c r="BF344" s="130"/>
    </row>
    <row r="345" spans="2:58" ht="14">
      <c r="B345" s="144" t="s">
        <v>297</v>
      </c>
      <c r="C345" s="188" t="s">
        <v>410</v>
      </c>
      <c r="D345" s="188" t="s">
        <v>454</v>
      </c>
      <c r="E345" s="170" t="s">
        <v>565</v>
      </c>
      <c r="F345" s="188" t="s">
        <v>156</v>
      </c>
      <c r="G345" s="188" t="s">
        <v>294</v>
      </c>
      <c r="H345" s="188" t="s">
        <v>456</v>
      </c>
      <c r="I345" s="188" t="s">
        <v>457</v>
      </c>
      <c r="J345" s="188" t="s">
        <v>457</v>
      </c>
      <c r="K345" s="188" t="s">
        <v>458</v>
      </c>
      <c r="L345" s="188" t="s">
        <v>459</v>
      </c>
      <c r="M345" s="188" t="s">
        <v>459</v>
      </c>
      <c r="BF345" s="130"/>
    </row>
    <row r="346" spans="2:58" ht="14">
      <c r="B346" s="142" t="s">
        <v>292</v>
      </c>
      <c r="C346" s="193" t="s">
        <v>410</v>
      </c>
      <c r="D346" s="193" t="s">
        <v>569</v>
      </c>
      <c r="E346" s="193" t="s">
        <v>570</v>
      </c>
      <c r="F346" s="252" t="s">
        <v>156</v>
      </c>
      <c r="G346" s="193" t="s">
        <v>294</v>
      </c>
      <c r="H346" s="193" t="s">
        <v>456</v>
      </c>
      <c r="I346" s="193" t="s">
        <v>457</v>
      </c>
      <c r="J346" s="193" t="s">
        <v>457</v>
      </c>
      <c r="K346" s="193" t="s">
        <v>458</v>
      </c>
      <c r="L346" s="193" t="s">
        <v>459</v>
      </c>
      <c r="M346" s="193" t="s">
        <v>459</v>
      </c>
      <c r="BF346" s="130"/>
    </row>
    <row r="347" spans="2:58" ht="14">
      <c r="B347" s="144" t="s">
        <v>297</v>
      </c>
      <c r="C347" s="193" t="s">
        <v>410</v>
      </c>
      <c r="D347" s="193" t="s">
        <v>569</v>
      </c>
      <c r="E347" s="170" t="s">
        <v>571</v>
      </c>
      <c r="F347" s="193" t="s">
        <v>156</v>
      </c>
      <c r="G347" s="193" t="s">
        <v>294</v>
      </c>
      <c r="H347" s="193" t="s">
        <v>456</v>
      </c>
      <c r="I347" s="193" t="s">
        <v>457</v>
      </c>
      <c r="J347" s="193" t="s">
        <v>457</v>
      </c>
      <c r="K347" s="193" t="s">
        <v>458</v>
      </c>
      <c r="L347" s="193" t="s">
        <v>459</v>
      </c>
      <c r="M347" s="193" t="s">
        <v>459</v>
      </c>
      <c r="BF347" s="130"/>
    </row>
    <row r="348" spans="2:58" ht="14">
      <c r="B348" s="144" t="s">
        <v>297</v>
      </c>
      <c r="C348" s="193" t="s">
        <v>410</v>
      </c>
      <c r="D348" s="193" t="s">
        <v>569</v>
      </c>
      <c r="E348" s="170" t="s">
        <v>572</v>
      </c>
      <c r="F348" s="193" t="s">
        <v>294</v>
      </c>
      <c r="G348" s="193" t="s">
        <v>294</v>
      </c>
      <c r="H348" s="193" t="s">
        <v>456</v>
      </c>
      <c r="I348" s="193" t="s">
        <v>457</v>
      </c>
      <c r="J348" s="193" t="s">
        <v>457</v>
      </c>
      <c r="K348" s="193" t="s">
        <v>458</v>
      </c>
      <c r="L348" s="193" t="s">
        <v>459</v>
      </c>
      <c r="M348" s="193" t="s">
        <v>459</v>
      </c>
      <c r="BF348" s="130"/>
    </row>
    <row r="349" spans="2:58" ht="14">
      <c r="B349" s="144" t="s">
        <v>297</v>
      </c>
      <c r="C349" s="193" t="s">
        <v>410</v>
      </c>
      <c r="D349" s="193" t="s">
        <v>569</v>
      </c>
      <c r="E349" s="170" t="s">
        <v>573</v>
      </c>
      <c r="F349" s="193" t="s">
        <v>294</v>
      </c>
      <c r="G349" s="193" t="s">
        <v>294</v>
      </c>
      <c r="H349" s="193" t="s">
        <v>456</v>
      </c>
      <c r="I349" s="193" t="s">
        <v>457</v>
      </c>
      <c r="J349" s="193" t="s">
        <v>457</v>
      </c>
      <c r="K349" s="193" t="s">
        <v>458</v>
      </c>
      <c r="L349" s="193" t="s">
        <v>459</v>
      </c>
      <c r="M349" s="193" t="s">
        <v>459</v>
      </c>
      <c r="BF349" s="130"/>
    </row>
    <row r="350" spans="2:58">
      <c r="B350" s="148"/>
      <c r="BF350" s="130"/>
    </row>
    <row r="351" spans="2:58" ht="13.5">
      <c r="B351" s="148"/>
      <c r="C351" s="136" t="s">
        <v>125</v>
      </c>
      <c r="BF351" s="130"/>
    </row>
    <row r="352" spans="2:58" ht="13.5">
      <c r="B352" s="148"/>
      <c r="C352" s="266" t="s">
        <v>401</v>
      </c>
      <c r="D352" s="266" t="s">
        <v>402</v>
      </c>
      <c r="E352" s="266" t="s">
        <v>131</v>
      </c>
      <c r="F352" s="266" t="s">
        <v>403</v>
      </c>
      <c r="G352" s="266" t="s">
        <v>404</v>
      </c>
      <c r="BF352" s="130"/>
    </row>
    <row r="353" spans="1:59" ht="13.5">
      <c r="B353" s="148"/>
      <c r="C353" s="266">
        <v>-2</v>
      </c>
      <c r="D353" s="266" t="s">
        <v>128</v>
      </c>
      <c r="E353" s="266" t="s">
        <v>710</v>
      </c>
      <c r="F353" s="266" t="s">
        <v>689</v>
      </c>
      <c r="G353" s="266" t="s">
        <v>437</v>
      </c>
      <c r="BF353" s="130"/>
    </row>
    <row r="354" spans="1:59" ht="13.5" thickBot="1">
      <c r="B354" s="148"/>
      <c r="BF354" s="130"/>
    </row>
    <row r="355" spans="1:59" ht="14" thickBot="1">
      <c r="B355" s="132" t="s">
        <v>580</v>
      </c>
      <c r="C355" s="133" t="s">
        <v>581</v>
      </c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236"/>
    </row>
    <row r="356" spans="1:59" ht="14" thickBot="1">
      <c r="B356" s="134" t="s">
        <v>736</v>
      </c>
      <c r="C356" s="133" t="s">
        <v>434</v>
      </c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236"/>
    </row>
    <row r="357" spans="1:59">
      <c r="B357" s="148"/>
      <c r="BF357" s="130"/>
    </row>
    <row r="358" spans="1:59" ht="13.5">
      <c r="B358" s="148"/>
      <c r="C358" s="136" t="s">
        <v>241</v>
      </c>
      <c r="BF358" s="130"/>
    </row>
    <row r="359" spans="1:59" ht="13.5">
      <c r="B359" s="148"/>
      <c r="C359" s="136" t="s">
        <v>582</v>
      </c>
      <c r="BF359" s="130"/>
    </row>
    <row r="360" spans="1:59">
      <c r="B360" s="148"/>
      <c r="BF360" s="130"/>
    </row>
    <row r="361" spans="1:59" s="27" customFormat="1" ht="19.5" customHeight="1">
      <c r="B361" s="223"/>
      <c r="C361" s="137" t="s">
        <v>472</v>
      </c>
      <c r="D361" s="138"/>
      <c r="E361" s="138"/>
      <c r="F361" s="138"/>
      <c r="G361" s="138"/>
      <c r="H361" s="95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93"/>
      <c r="T361" s="93"/>
      <c r="U361" s="93"/>
      <c r="V361" s="93"/>
      <c r="W361" s="93"/>
      <c r="X361" s="93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138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238"/>
      <c r="BG361"/>
    </row>
    <row r="362" spans="1:59" s="73" customFormat="1" ht="16.5" customHeight="1">
      <c r="A362" s="71"/>
      <c r="B362" s="224"/>
      <c r="C362" s="140"/>
      <c r="D362" s="140"/>
      <c r="E362" s="140"/>
      <c r="F362" s="141" t="s">
        <v>141</v>
      </c>
      <c r="G362" s="146"/>
      <c r="H362" s="146"/>
      <c r="I362" s="141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1"/>
      <c r="AL362" s="147"/>
      <c r="AM362" s="147"/>
      <c r="AN362" s="147"/>
      <c r="AO362" s="141"/>
      <c r="AP362" s="147"/>
      <c r="AQ362" s="147"/>
      <c r="AR362" s="141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147"/>
      <c r="BF362" s="239"/>
      <c r="BG362"/>
    </row>
    <row r="363" spans="1:59" s="80" customFormat="1" ht="86" customHeight="1">
      <c r="B363" s="225"/>
      <c r="C363" s="116" t="s">
        <v>300</v>
      </c>
      <c r="D363" s="116" t="s">
        <v>301</v>
      </c>
      <c r="E363" s="116" t="s">
        <v>302</v>
      </c>
      <c r="F363" s="123" t="s">
        <v>337</v>
      </c>
      <c r="G363" s="123" t="s">
        <v>303</v>
      </c>
      <c r="H363" s="123" t="s">
        <v>244</v>
      </c>
      <c r="I363" s="123" t="s">
        <v>305</v>
      </c>
      <c r="J363" s="123" t="s">
        <v>306</v>
      </c>
      <c r="K363" s="123" t="s">
        <v>307</v>
      </c>
      <c r="L363" s="123" t="s">
        <v>308</v>
      </c>
      <c r="M363" s="123" t="s">
        <v>309</v>
      </c>
      <c r="N363" s="123" t="s">
        <v>310</v>
      </c>
      <c r="O363" s="123" t="s">
        <v>311</v>
      </c>
      <c r="P363" s="123" t="s">
        <v>312</v>
      </c>
      <c r="Q363" s="123" t="s">
        <v>313</v>
      </c>
      <c r="R363" s="123" t="s">
        <v>314</v>
      </c>
      <c r="S363" s="123" t="s">
        <v>315</v>
      </c>
      <c r="T363" s="123" t="s">
        <v>316</v>
      </c>
      <c r="U363" s="123" t="s">
        <v>317</v>
      </c>
      <c r="V363" s="123" t="s">
        <v>318</v>
      </c>
      <c r="W363" s="123" t="s">
        <v>319</v>
      </c>
      <c r="X363" s="123" t="s">
        <v>320</v>
      </c>
      <c r="Y363" s="123" t="s">
        <v>321</v>
      </c>
      <c r="Z363" s="123" t="s">
        <v>322</v>
      </c>
      <c r="AA363" s="123" t="s">
        <v>323</v>
      </c>
      <c r="AB363" s="123" t="s">
        <v>324</v>
      </c>
      <c r="AC363" s="123" t="s">
        <v>325</v>
      </c>
      <c r="AD363" s="123" t="s">
        <v>326</v>
      </c>
      <c r="AE363" s="123" t="s">
        <v>327</v>
      </c>
      <c r="AF363" s="123" t="s">
        <v>328</v>
      </c>
      <c r="AG363" s="123" t="s">
        <v>329</v>
      </c>
      <c r="AH363" s="123" t="s">
        <v>330</v>
      </c>
      <c r="AI363" s="123" t="s">
        <v>331</v>
      </c>
      <c r="AJ363" s="123" t="s">
        <v>332</v>
      </c>
      <c r="AK363" s="123" t="s">
        <v>333</v>
      </c>
      <c r="AL363" s="123" t="s">
        <v>334</v>
      </c>
      <c r="AM363" s="123" t="s">
        <v>335</v>
      </c>
      <c r="AN363" s="123" t="s">
        <v>336</v>
      </c>
      <c r="AO363" s="123" t="s">
        <v>304</v>
      </c>
      <c r="AP363" s="123" t="s">
        <v>338</v>
      </c>
      <c r="AQ363" s="123" t="s">
        <v>339</v>
      </c>
      <c r="AR363" s="123" t="s">
        <v>340</v>
      </c>
      <c r="AS363" s="123" t="s">
        <v>341</v>
      </c>
      <c r="AT363" s="123" t="s">
        <v>342</v>
      </c>
      <c r="AU363" s="123" t="s">
        <v>343</v>
      </c>
      <c r="AV363" s="123" t="s">
        <v>344</v>
      </c>
      <c r="AW363" s="123" t="s">
        <v>345</v>
      </c>
      <c r="AX363" s="123" t="s">
        <v>346</v>
      </c>
      <c r="AY363" s="123" t="s">
        <v>347</v>
      </c>
      <c r="AZ363" s="123" t="s">
        <v>222</v>
      </c>
      <c r="BA363" s="123" t="s">
        <v>223</v>
      </c>
      <c r="BB363" s="123" t="s">
        <v>224</v>
      </c>
      <c r="BC363" s="123" t="s">
        <v>225</v>
      </c>
      <c r="BD363" s="123" t="s">
        <v>123</v>
      </c>
      <c r="BE363" s="123" t="s">
        <v>124</v>
      </c>
      <c r="BF363" s="240" t="s">
        <v>226</v>
      </c>
      <c r="BG363"/>
    </row>
    <row r="364" spans="1:59" s="80" customFormat="1">
      <c r="B364" s="225"/>
      <c r="C364" s="116" t="s">
        <v>261</v>
      </c>
      <c r="D364" s="116" t="s">
        <v>262</v>
      </c>
      <c r="E364" s="116" t="s">
        <v>263</v>
      </c>
      <c r="F364" s="117" t="s">
        <v>200</v>
      </c>
      <c r="G364" s="117" t="s">
        <v>266</v>
      </c>
      <c r="H364" s="117" t="s">
        <v>265</v>
      </c>
      <c r="I364" s="117" t="s">
        <v>349</v>
      </c>
      <c r="J364" s="117" t="s">
        <v>350</v>
      </c>
      <c r="K364" s="117" t="s">
        <v>351</v>
      </c>
      <c r="L364" s="117" t="s">
        <v>352</v>
      </c>
      <c r="M364" s="117" t="s">
        <v>353</v>
      </c>
      <c r="N364" s="117" t="s">
        <v>354</v>
      </c>
      <c r="O364" s="117" t="s">
        <v>355</v>
      </c>
      <c r="P364" s="117" t="s">
        <v>356</v>
      </c>
      <c r="Q364" s="117" t="s">
        <v>357</v>
      </c>
      <c r="R364" s="117" t="s">
        <v>358</v>
      </c>
      <c r="S364" s="117" t="s">
        <v>359</v>
      </c>
      <c r="T364" s="117" t="s">
        <v>360</v>
      </c>
      <c r="U364" s="117" t="s">
        <v>361</v>
      </c>
      <c r="V364" s="117" t="s">
        <v>362</v>
      </c>
      <c r="W364" s="117" t="s">
        <v>363</v>
      </c>
      <c r="X364" s="117" t="s">
        <v>364</v>
      </c>
      <c r="Y364" s="117" t="s">
        <v>365</v>
      </c>
      <c r="Z364" s="117" t="s">
        <v>366</v>
      </c>
      <c r="AA364" s="117" t="s">
        <v>367</v>
      </c>
      <c r="AB364" s="117" t="s">
        <v>368</v>
      </c>
      <c r="AC364" s="117" t="s">
        <v>369</v>
      </c>
      <c r="AD364" s="117" t="s">
        <v>370</v>
      </c>
      <c r="AE364" s="117" t="s">
        <v>371</v>
      </c>
      <c r="AF364" s="117" t="s">
        <v>372</v>
      </c>
      <c r="AG364" s="117" t="s">
        <v>373</v>
      </c>
      <c r="AH364" s="117" t="s">
        <v>374</v>
      </c>
      <c r="AI364" s="117" t="s">
        <v>375</v>
      </c>
      <c r="AJ364" s="117" t="s">
        <v>376</v>
      </c>
      <c r="AK364" s="117" t="s">
        <v>199</v>
      </c>
      <c r="AL364" s="117" t="s">
        <v>377</v>
      </c>
      <c r="AM364" s="117" t="s">
        <v>378</v>
      </c>
      <c r="AN364" s="117" t="s">
        <v>379</v>
      </c>
      <c r="AO364" s="117" t="s">
        <v>348</v>
      </c>
      <c r="AP364" s="117" t="s">
        <v>380</v>
      </c>
      <c r="AQ364" s="117" t="s">
        <v>381</v>
      </c>
      <c r="AR364" s="117" t="s">
        <v>382</v>
      </c>
      <c r="AS364" s="117" t="s">
        <v>383</v>
      </c>
      <c r="AT364" s="117" t="s">
        <v>384</v>
      </c>
      <c r="AU364" s="117" t="s">
        <v>385</v>
      </c>
      <c r="AV364" s="117" t="s">
        <v>386</v>
      </c>
      <c r="AW364" s="117" t="s">
        <v>387</v>
      </c>
      <c r="AX364" s="117" t="s">
        <v>388</v>
      </c>
      <c r="AY364" s="117" t="s">
        <v>389</v>
      </c>
      <c r="AZ364" s="117" t="s">
        <v>205</v>
      </c>
      <c r="BA364" s="117" t="s">
        <v>206</v>
      </c>
      <c r="BB364" s="117" t="s">
        <v>207</v>
      </c>
      <c r="BC364" s="117" t="s">
        <v>208</v>
      </c>
      <c r="BD364" s="117" t="s">
        <v>209</v>
      </c>
      <c r="BE364" s="117" t="s">
        <v>210</v>
      </c>
      <c r="BF364" s="241" t="s">
        <v>211</v>
      </c>
      <c r="BG364"/>
    </row>
    <row r="365" spans="1:59" s="70" customFormat="1" ht="13.5" customHeight="1">
      <c r="B365" s="226"/>
      <c r="C365" s="116" t="s">
        <v>282</v>
      </c>
      <c r="D365" s="116" t="s">
        <v>390</v>
      </c>
      <c r="E365" s="116" t="s">
        <v>227</v>
      </c>
      <c r="F365" s="145" t="s">
        <v>228</v>
      </c>
      <c r="G365" s="145" t="s">
        <v>230</v>
      </c>
      <c r="H365" s="145" t="s">
        <v>230</v>
      </c>
      <c r="I365" s="145" t="s">
        <v>230</v>
      </c>
      <c r="J365" s="145" t="s">
        <v>230</v>
      </c>
      <c r="K365" s="145" t="s">
        <v>391</v>
      </c>
      <c r="L365" s="145" t="s">
        <v>391</v>
      </c>
      <c r="M365" s="145" t="s">
        <v>227</v>
      </c>
      <c r="N365" s="145" t="s">
        <v>392</v>
      </c>
      <c r="O365" s="145" t="s">
        <v>230</v>
      </c>
      <c r="P365" s="145" t="s">
        <v>288</v>
      </c>
      <c r="Q365" s="145" t="s">
        <v>284</v>
      </c>
      <c r="R365" s="145" t="s">
        <v>288</v>
      </c>
      <c r="S365" s="145" t="s">
        <v>284</v>
      </c>
      <c r="T365" s="145" t="s">
        <v>284</v>
      </c>
      <c r="U365" s="145" t="s">
        <v>230</v>
      </c>
      <c r="V365" s="145" t="s">
        <v>393</v>
      </c>
      <c r="W365" s="145" t="s">
        <v>393</v>
      </c>
      <c r="X365" s="145" t="s">
        <v>228</v>
      </c>
      <c r="Y365" s="145" t="s">
        <v>392</v>
      </c>
      <c r="Z365" s="145" t="s">
        <v>392</v>
      </c>
      <c r="AA365" s="145" t="s">
        <v>284</v>
      </c>
      <c r="AB365" s="145" t="s">
        <v>287</v>
      </c>
      <c r="AC365" s="145" t="s">
        <v>288</v>
      </c>
      <c r="AD365" s="145" t="s">
        <v>288</v>
      </c>
      <c r="AE365" s="145" t="s">
        <v>394</v>
      </c>
      <c r="AF365" s="145" t="s">
        <v>394</v>
      </c>
      <c r="AG365" s="145" t="s">
        <v>288</v>
      </c>
      <c r="AH365" s="145" t="s">
        <v>288</v>
      </c>
      <c r="AI365" s="145" t="s">
        <v>394</v>
      </c>
      <c r="AJ365" s="145" t="s">
        <v>394</v>
      </c>
      <c r="AK365" s="145" t="s">
        <v>230</v>
      </c>
      <c r="AL365" s="145" t="s">
        <v>230</v>
      </c>
      <c r="AM365" s="145" t="s">
        <v>230</v>
      </c>
      <c r="AN365" s="145" t="s">
        <v>230</v>
      </c>
      <c r="AO365" s="145" t="s">
        <v>230</v>
      </c>
      <c r="AP365" s="145" t="s">
        <v>227</v>
      </c>
      <c r="AQ365" s="145" t="s">
        <v>230</v>
      </c>
      <c r="AR365" s="145" t="s">
        <v>284</v>
      </c>
      <c r="AS365" s="145" t="s">
        <v>284</v>
      </c>
      <c r="AT365" s="145" t="s">
        <v>230</v>
      </c>
      <c r="AU365" s="145" t="s">
        <v>395</v>
      </c>
      <c r="AV365" s="145" t="s">
        <v>288</v>
      </c>
      <c r="AW365" s="145" t="s">
        <v>228</v>
      </c>
      <c r="AX365" s="145" t="s">
        <v>230</v>
      </c>
      <c r="AY365" s="145" t="s">
        <v>230</v>
      </c>
      <c r="AZ365" s="145" t="s">
        <v>233</v>
      </c>
      <c r="BA365" s="145" t="s">
        <v>234</v>
      </c>
      <c r="BB365" s="145" t="s">
        <v>235</v>
      </c>
      <c r="BC365" s="145" t="s">
        <v>235</v>
      </c>
      <c r="BD365" s="145" t="s">
        <v>234</v>
      </c>
      <c r="BE365" s="145" t="s">
        <v>235</v>
      </c>
      <c r="BF365" s="242" t="s">
        <v>235</v>
      </c>
      <c r="BG365"/>
    </row>
    <row r="366" spans="1:59" s="27" customFormat="1" ht="15">
      <c r="B366" s="142" t="s">
        <v>292</v>
      </c>
      <c r="C366" s="188" t="s">
        <v>473</v>
      </c>
      <c r="D366" s="188" t="s">
        <v>408</v>
      </c>
      <c r="E366" s="188" t="s">
        <v>408</v>
      </c>
      <c r="F366" s="188">
        <v>1</v>
      </c>
      <c r="G366" s="251" t="s">
        <v>293</v>
      </c>
      <c r="H366" s="188" t="s">
        <v>293</v>
      </c>
      <c r="I366" s="188" t="s">
        <v>294</v>
      </c>
      <c r="J366" s="188" t="s">
        <v>294</v>
      </c>
      <c r="K366" s="188" t="s">
        <v>128</v>
      </c>
      <c r="L366" s="188" t="s">
        <v>128</v>
      </c>
      <c r="M366" s="188" t="s">
        <v>128</v>
      </c>
      <c r="N366" s="188" t="s">
        <v>128</v>
      </c>
      <c r="O366" s="188" t="s">
        <v>397</v>
      </c>
      <c r="P366" s="188" t="s">
        <v>294</v>
      </c>
      <c r="Q366" s="188" t="s">
        <v>474</v>
      </c>
      <c r="R366" s="188" t="s">
        <v>398</v>
      </c>
      <c r="S366" s="188" t="s">
        <v>475</v>
      </c>
      <c r="T366" s="188" t="s">
        <v>476</v>
      </c>
      <c r="U366" s="188" t="s">
        <v>156</v>
      </c>
      <c r="V366" s="188" t="s">
        <v>477</v>
      </c>
      <c r="W366" s="188" t="s">
        <v>477</v>
      </c>
      <c r="X366" s="188"/>
      <c r="Y366" s="188"/>
      <c r="Z366" s="188" t="s">
        <v>128</v>
      </c>
      <c r="AA366" s="188">
        <v>1</v>
      </c>
      <c r="AB366" s="188">
        <v>99999999</v>
      </c>
      <c r="AC366" s="188">
        <v>0</v>
      </c>
      <c r="AD366" s="188">
        <v>0</v>
      </c>
      <c r="AE366" s="188">
        <v>0</v>
      </c>
      <c r="AF366" s="188">
        <v>0</v>
      </c>
      <c r="AG366" s="188">
        <v>0</v>
      </c>
      <c r="AH366" s="188">
        <v>0</v>
      </c>
      <c r="AI366" s="188">
        <v>0</v>
      </c>
      <c r="AJ366" s="188">
        <v>0</v>
      </c>
      <c r="AK366" s="188">
        <v>1</v>
      </c>
      <c r="AL366" s="188">
        <v>1</v>
      </c>
      <c r="AM366" s="188">
        <v>0</v>
      </c>
      <c r="AN366" s="188">
        <v>0</v>
      </c>
      <c r="AO366" s="188" t="s">
        <v>396</v>
      </c>
      <c r="AP366" s="188" t="s">
        <v>128</v>
      </c>
      <c r="AQ366" s="188" t="s">
        <v>399</v>
      </c>
      <c r="AR366" s="188">
        <v>0</v>
      </c>
      <c r="AS366" s="188">
        <v>0</v>
      </c>
      <c r="AT366" s="188">
        <v>1</v>
      </c>
      <c r="AU366" s="188">
        <v>0</v>
      </c>
      <c r="AV366" s="188">
        <v>0</v>
      </c>
      <c r="AW366" s="188">
        <v>0</v>
      </c>
      <c r="AX366" s="188">
        <v>0</v>
      </c>
      <c r="AY366" s="188">
        <v>1</v>
      </c>
      <c r="AZ366" s="188">
        <v>0</v>
      </c>
      <c r="BA366" s="188">
        <v>39864.674351851849</v>
      </c>
      <c r="BB366" s="188">
        <v>440393</v>
      </c>
      <c r="BC366" s="188">
        <v>440393</v>
      </c>
      <c r="BD366" s="188">
        <v>45482.05810185185</v>
      </c>
      <c r="BE366" s="188" t="s">
        <v>400</v>
      </c>
      <c r="BF366" s="243" t="s">
        <v>400</v>
      </c>
      <c r="BG366"/>
    </row>
    <row r="367" spans="1:59" s="27" customFormat="1" ht="15">
      <c r="B367" s="144" t="s">
        <v>297</v>
      </c>
      <c r="C367" s="188" t="s">
        <v>473</v>
      </c>
      <c r="D367" s="188" t="s">
        <v>408</v>
      </c>
      <c r="E367" s="170" t="s">
        <v>478</v>
      </c>
      <c r="F367" s="188">
        <v>1</v>
      </c>
      <c r="G367" s="188" t="s">
        <v>293</v>
      </c>
      <c r="H367" s="188" t="s">
        <v>293</v>
      </c>
      <c r="I367" s="188" t="s">
        <v>294</v>
      </c>
      <c r="J367" s="188" t="s">
        <v>294</v>
      </c>
      <c r="K367" s="188" t="s">
        <v>128</v>
      </c>
      <c r="L367" s="188" t="s">
        <v>128</v>
      </c>
      <c r="M367" s="188" t="s">
        <v>128</v>
      </c>
      <c r="N367" s="188" t="s">
        <v>128</v>
      </c>
      <c r="O367" s="188" t="s">
        <v>397</v>
      </c>
      <c r="P367" s="188" t="s">
        <v>294</v>
      </c>
      <c r="Q367" s="188" t="s">
        <v>474</v>
      </c>
      <c r="R367" s="188" t="s">
        <v>398</v>
      </c>
      <c r="S367" s="188" t="s">
        <v>475</v>
      </c>
      <c r="T367" s="188" t="s">
        <v>476</v>
      </c>
      <c r="U367" s="188" t="s">
        <v>156</v>
      </c>
      <c r="V367" s="188" t="s">
        <v>477</v>
      </c>
      <c r="W367" s="188" t="s">
        <v>477</v>
      </c>
      <c r="X367" s="188"/>
      <c r="Y367" s="188"/>
      <c r="Z367" s="188" t="s">
        <v>128</v>
      </c>
      <c r="AA367" s="188">
        <v>1</v>
      </c>
      <c r="AB367" s="188">
        <v>99999999</v>
      </c>
      <c r="AC367" s="188">
        <v>0</v>
      </c>
      <c r="AD367" s="188">
        <v>0</v>
      </c>
      <c r="AE367" s="188">
        <v>0</v>
      </c>
      <c r="AF367" s="188">
        <v>0</v>
      </c>
      <c r="AG367" s="188">
        <v>0</v>
      </c>
      <c r="AH367" s="188">
        <v>0</v>
      </c>
      <c r="AI367" s="188">
        <v>0</v>
      </c>
      <c r="AJ367" s="188">
        <v>0</v>
      </c>
      <c r="AK367" s="188">
        <v>1</v>
      </c>
      <c r="AL367" s="188">
        <v>1</v>
      </c>
      <c r="AM367" s="188">
        <v>0</v>
      </c>
      <c r="AN367" s="188">
        <v>0</v>
      </c>
      <c r="AO367" s="188" t="s">
        <v>396</v>
      </c>
      <c r="AP367" s="188" t="s">
        <v>128</v>
      </c>
      <c r="AQ367" s="188" t="s">
        <v>399</v>
      </c>
      <c r="AR367" s="188">
        <v>0</v>
      </c>
      <c r="AS367" s="188">
        <v>0</v>
      </c>
      <c r="AT367" s="188">
        <v>1</v>
      </c>
      <c r="AU367" s="188">
        <v>0</v>
      </c>
      <c r="AV367" s="188">
        <v>0</v>
      </c>
      <c r="AW367" s="188">
        <v>0</v>
      </c>
      <c r="AX367" s="188">
        <v>0</v>
      </c>
      <c r="AY367" s="188">
        <v>1</v>
      </c>
      <c r="AZ367" s="188">
        <v>0</v>
      </c>
      <c r="BA367" s="188">
        <v>39864.674351851849</v>
      </c>
      <c r="BB367" s="188">
        <v>440393</v>
      </c>
      <c r="BC367" s="188">
        <v>440393</v>
      </c>
      <c r="BD367" s="188">
        <v>45482.05810185185</v>
      </c>
      <c r="BE367" s="188" t="s">
        <v>400</v>
      </c>
      <c r="BF367" s="243" t="s">
        <v>400</v>
      </c>
      <c r="BG367"/>
    </row>
    <row r="368" spans="1:59" s="27" customFormat="1" ht="15">
      <c r="B368" s="144" t="s">
        <v>297</v>
      </c>
      <c r="C368" s="188" t="s">
        <v>473</v>
      </c>
      <c r="D368" s="170" t="s">
        <v>478</v>
      </c>
      <c r="E368" s="169" t="s">
        <v>408</v>
      </c>
      <c r="F368" s="188">
        <v>1</v>
      </c>
      <c r="G368" s="188" t="s">
        <v>293</v>
      </c>
      <c r="H368" s="188" t="s">
        <v>293</v>
      </c>
      <c r="I368" s="188" t="s">
        <v>294</v>
      </c>
      <c r="J368" s="188" t="s">
        <v>294</v>
      </c>
      <c r="K368" s="188" t="s">
        <v>128</v>
      </c>
      <c r="L368" s="188" t="s">
        <v>128</v>
      </c>
      <c r="M368" s="188" t="s">
        <v>128</v>
      </c>
      <c r="N368" s="188" t="s">
        <v>128</v>
      </c>
      <c r="O368" s="188" t="s">
        <v>397</v>
      </c>
      <c r="P368" s="188" t="s">
        <v>294</v>
      </c>
      <c r="Q368" s="188" t="s">
        <v>474</v>
      </c>
      <c r="R368" s="188" t="s">
        <v>398</v>
      </c>
      <c r="S368" s="188" t="s">
        <v>475</v>
      </c>
      <c r="T368" s="188" t="s">
        <v>476</v>
      </c>
      <c r="U368" s="188" t="s">
        <v>156</v>
      </c>
      <c r="V368" s="188" t="s">
        <v>477</v>
      </c>
      <c r="W368" s="188" t="s">
        <v>477</v>
      </c>
      <c r="X368" s="188"/>
      <c r="Y368" s="188"/>
      <c r="Z368" s="188" t="s">
        <v>128</v>
      </c>
      <c r="AA368" s="188">
        <v>1</v>
      </c>
      <c r="AB368" s="188">
        <v>99999999</v>
      </c>
      <c r="AC368" s="188">
        <v>0</v>
      </c>
      <c r="AD368" s="188">
        <v>0</v>
      </c>
      <c r="AE368" s="188">
        <v>0</v>
      </c>
      <c r="AF368" s="188">
        <v>0</v>
      </c>
      <c r="AG368" s="188">
        <v>0</v>
      </c>
      <c r="AH368" s="188">
        <v>0</v>
      </c>
      <c r="AI368" s="188">
        <v>0</v>
      </c>
      <c r="AJ368" s="188">
        <v>0</v>
      </c>
      <c r="AK368" s="188">
        <v>1</v>
      </c>
      <c r="AL368" s="188">
        <v>1</v>
      </c>
      <c r="AM368" s="188">
        <v>0</v>
      </c>
      <c r="AN368" s="188">
        <v>0</v>
      </c>
      <c r="AO368" s="188" t="s">
        <v>396</v>
      </c>
      <c r="AP368" s="188" t="s">
        <v>128</v>
      </c>
      <c r="AQ368" s="188" t="s">
        <v>399</v>
      </c>
      <c r="AR368" s="188">
        <v>0</v>
      </c>
      <c r="AS368" s="188">
        <v>0</v>
      </c>
      <c r="AT368" s="188">
        <v>1</v>
      </c>
      <c r="AU368" s="188">
        <v>0</v>
      </c>
      <c r="AV368" s="188">
        <v>0</v>
      </c>
      <c r="AW368" s="188">
        <v>0</v>
      </c>
      <c r="AX368" s="188">
        <v>0</v>
      </c>
      <c r="AY368" s="188">
        <v>1</v>
      </c>
      <c r="AZ368" s="188">
        <v>0</v>
      </c>
      <c r="BA368" s="188">
        <v>39864.674351851849</v>
      </c>
      <c r="BB368" s="188">
        <v>440393</v>
      </c>
      <c r="BC368" s="188">
        <v>440393</v>
      </c>
      <c r="BD368" s="188">
        <v>45482.05810185185</v>
      </c>
      <c r="BE368" s="188" t="s">
        <v>400</v>
      </c>
      <c r="BF368" s="243" t="s">
        <v>400</v>
      </c>
      <c r="BG368"/>
    </row>
    <row r="369" spans="2:59" s="27" customFormat="1" ht="15">
      <c r="B369" s="144" t="s">
        <v>297</v>
      </c>
      <c r="C369" s="188" t="s">
        <v>473</v>
      </c>
      <c r="D369" s="169" t="s">
        <v>408</v>
      </c>
      <c r="E369" s="170" t="s">
        <v>479</v>
      </c>
      <c r="F369" s="188">
        <v>1</v>
      </c>
      <c r="G369" s="188" t="s">
        <v>293</v>
      </c>
      <c r="H369" s="188" t="s">
        <v>293</v>
      </c>
      <c r="I369" s="188" t="s">
        <v>294</v>
      </c>
      <c r="J369" s="188" t="s">
        <v>294</v>
      </c>
      <c r="K369" s="188" t="s">
        <v>128</v>
      </c>
      <c r="L369" s="188" t="s">
        <v>128</v>
      </c>
      <c r="M369" s="188" t="s">
        <v>128</v>
      </c>
      <c r="N369" s="188" t="s">
        <v>128</v>
      </c>
      <c r="O369" s="188" t="s">
        <v>397</v>
      </c>
      <c r="P369" s="188" t="s">
        <v>294</v>
      </c>
      <c r="Q369" s="188" t="s">
        <v>474</v>
      </c>
      <c r="R369" s="188" t="s">
        <v>398</v>
      </c>
      <c r="S369" s="188" t="s">
        <v>475</v>
      </c>
      <c r="T369" s="188" t="s">
        <v>476</v>
      </c>
      <c r="U369" s="188" t="s">
        <v>156</v>
      </c>
      <c r="V369" s="188" t="s">
        <v>477</v>
      </c>
      <c r="W369" s="188" t="s">
        <v>477</v>
      </c>
      <c r="X369" s="188"/>
      <c r="Y369" s="188"/>
      <c r="Z369" s="188" t="s">
        <v>128</v>
      </c>
      <c r="AA369" s="188">
        <v>1</v>
      </c>
      <c r="AB369" s="188">
        <v>99999999</v>
      </c>
      <c r="AC369" s="188">
        <v>0</v>
      </c>
      <c r="AD369" s="188">
        <v>0</v>
      </c>
      <c r="AE369" s="188">
        <v>0</v>
      </c>
      <c r="AF369" s="188">
        <v>0</v>
      </c>
      <c r="AG369" s="188">
        <v>0</v>
      </c>
      <c r="AH369" s="188">
        <v>0</v>
      </c>
      <c r="AI369" s="188">
        <v>0</v>
      </c>
      <c r="AJ369" s="188">
        <v>0</v>
      </c>
      <c r="AK369" s="188">
        <v>1</v>
      </c>
      <c r="AL369" s="188">
        <v>1</v>
      </c>
      <c r="AM369" s="188">
        <v>0</v>
      </c>
      <c r="AN369" s="188">
        <v>0</v>
      </c>
      <c r="AO369" s="188" t="s">
        <v>396</v>
      </c>
      <c r="AP369" s="188" t="s">
        <v>128</v>
      </c>
      <c r="AQ369" s="188" t="s">
        <v>399</v>
      </c>
      <c r="AR369" s="188">
        <v>0</v>
      </c>
      <c r="AS369" s="188">
        <v>0</v>
      </c>
      <c r="AT369" s="188">
        <v>1</v>
      </c>
      <c r="AU369" s="188">
        <v>0</v>
      </c>
      <c r="AV369" s="188">
        <v>0</v>
      </c>
      <c r="AW369" s="188">
        <v>0</v>
      </c>
      <c r="AX369" s="188">
        <v>0</v>
      </c>
      <c r="AY369" s="188">
        <v>1</v>
      </c>
      <c r="AZ369" s="188">
        <v>0</v>
      </c>
      <c r="BA369" s="188">
        <v>39864.674351851849</v>
      </c>
      <c r="BB369" s="188">
        <v>440393</v>
      </c>
      <c r="BC369" s="188">
        <v>440393</v>
      </c>
      <c r="BD369" s="188">
        <v>45482.05810185185</v>
      </c>
      <c r="BE369" s="188" t="s">
        <v>400</v>
      </c>
      <c r="BF369" s="243" t="s">
        <v>400</v>
      </c>
      <c r="BG369"/>
    </row>
    <row r="370" spans="2:59">
      <c r="B370" s="148"/>
      <c r="BF370" s="130"/>
    </row>
    <row r="371" spans="2:59">
      <c r="B371" s="148"/>
      <c r="C371" s="175" t="s">
        <v>439</v>
      </c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BF371" s="130"/>
    </row>
    <row r="372" spans="2:59" ht="15">
      <c r="B372" s="148"/>
      <c r="C372" s="118"/>
      <c r="D372" s="174"/>
      <c r="E372" s="118"/>
      <c r="F372" s="118" t="s">
        <v>141</v>
      </c>
      <c r="G372" s="174"/>
      <c r="H372" s="174"/>
      <c r="I372" s="174"/>
      <c r="J372" s="174"/>
      <c r="K372" s="174"/>
      <c r="L372" s="174"/>
      <c r="M372" s="174"/>
      <c r="BF372" s="130"/>
    </row>
    <row r="373" spans="2:59">
      <c r="B373" s="148"/>
      <c r="C373" s="153" t="s">
        <v>448</v>
      </c>
      <c r="D373" s="117" t="s">
        <v>442</v>
      </c>
      <c r="E373" s="153" t="s">
        <v>449</v>
      </c>
      <c r="F373" s="117" t="s">
        <v>443</v>
      </c>
      <c r="G373" s="123" t="s">
        <v>222</v>
      </c>
      <c r="H373" s="123" t="s">
        <v>223</v>
      </c>
      <c r="I373" s="123" t="s">
        <v>224</v>
      </c>
      <c r="J373" s="123" t="s">
        <v>225</v>
      </c>
      <c r="K373" s="123" t="s">
        <v>123</v>
      </c>
      <c r="L373" s="123" t="s">
        <v>124</v>
      </c>
      <c r="M373" s="123" t="s">
        <v>226</v>
      </c>
      <c r="BF373" s="130"/>
    </row>
    <row r="374" spans="2:59" ht="14">
      <c r="B374" s="148"/>
      <c r="C374" s="187" t="s">
        <v>450</v>
      </c>
      <c r="D374" s="117" t="s">
        <v>440</v>
      </c>
      <c r="E374" s="187" t="s">
        <v>452</v>
      </c>
      <c r="F374" s="117" t="s">
        <v>441</v>
      </c>
      <c r="G374" s="117" t="s">
        <v>205</v>
      </c>
      <c r="H374" s="117" t="s">
        <v>206</v>
      </c>
      <c r="I374" s="117" t="s">
        <v>207</v>
      </c>
      <c r="J374" s="117" t="s">
        <v>208</v>
      </c>
      <c r="K374" s="117" t="s">
        <v>209</v>
      </c>
      <c r="L374" s="117" t="s">
        <v>210</v>
      </c>
      <c r="M374" s="117" t="s">
        <v>211</v>
      </c>
      <c r="BF374" s="130"/>
    </row>
    <row r="375" spans="2:59" ht="14">
      <c r="B375" s="148"/>
      <c r="C375" s="187" t="s">
        <v>451</v>
      </c>
      <c r="D375" s="149" t="s">
        <v>445</v>
      </c>
      <c r="E375" s="187" t="s">
        <v>453</v>
      </c>
      <c r="F375" s="149" t="s">
        <v>230</v>
      </c>
      <c r="G375" s="149" t="s">
        <v>444</v>
      </c>
      <c r="H375" s="149" t="s">
        <v>234</v>
      </c>
      <c r="I375" s="149" t="s">
        <v>235</v>
      </c>
      <c r="J375" s="149" t="s">
        <v>235</v>
      </c>
      <c r="K375" s="149" t="s">
        <v>147</v>
      </c>
      <c r="L375" s="149" t="s">
        <v>235</v>
      </c>
      <c r="M375" s="149" t="s">
        <v>235</v>
      </c>
      <c r="BF375" s="130"/>
    </row>
    <row r="376" spans="2:59" ht="14">
      <c r="B376" s="144" t="s">
        <v>297</v>
      </c>
      <c r="C376" s="188" t="s">
        <v>410</v>
      </c>
      <c r="D376" s="188" t="s">
        <v>454</v>
      </c>
      <c r="E376" s="170" t="s">
        <v>565</v>
      </c>
      <c r="F376" s="188" t="s">
        <v>156</v>
      </c>
      <c r="G376" s="188" t="s">
        <v>294</v>
      </c>
      <c r="H376" s="188" t="s">
        <v>456</v>
      </c>
      <c r="I376" s="188" t="s">
        <v>457</v>
      </c>
      <c r="J376" s="188" t="s">
        <v>457</v>
      </c>
      <c r="K376" s="188" t="s">
        <v>458</v>
      </c>
      <c r="L376" s="188" t="s">
        <v>459</v>
      </c>
      <c r="M376" s="188" t="s">
        <v>459</v>
      </c>
      <c r="BF376" s="130"/>
    </row>
    <row r="377" spans="2:59" ht="14">
      <c r="B377" s="142" t="s">
        <v>292</v>
      </c>
      <c r="C377" s="193" t="s">
        <v>410</v>
      </c>
      <c r="D377" s="193" t="s">
        <v>569</v>
      </c>
      <c r="E377" s="193" t="s">
        <v>570</v>
      </c>
      <c r="F377" s="252" t="s">
        <v>156</v>
      </c>
      <c r="G377" s="193" t="s">
        <v>294</v>
      </c>
      <c r="H377" s="193" t="s">
        <v>456</v>
      </c>
      <c r="I377" s="193" t="s">
        <v>457</v>
      </c>
      <c r="J377" s="193" t="s">
        <v>457</v>
      </c>
      <c r="K377" s="193" t="s">
        <v>458</v>
      </c>
      <c r="L377" s="193" t="s">
        <v>459</v>
      </c>
      <c r="M377" s="193" t="s">
        <v>459</v>
      </c>
      <c r="BF377" s="130"/>
    </row>
    <row r="378" spans="2:59" ht="14">
      <c r="B378" s="144" t="s">
        <v>297</v>
      </c>
      <c r="C378" s="193" t="s">
        <v>410</v>
      </c>
      <c r="D378" s="193" t="s">
        <v>569</v>
      </c>
      <c r="E378" s="170" t="s">
        <v>571</v>
      </c>
      <c r="F378" s="193" t="s">
        <v>156</v>
      </c>
      <c r="G378" s="193" t="s">
        <v>294</v>
      </c>
      <c r="H378" s="193" t="s">
        <v>456</v>
      </c>
      <c r="I378" s="193" t="s">
        <v>457</v>
      </c>
      <c r="J378" s="193" t="s">
        <v>457</v>
      </c>
      <c r="K378" s="193" t="s">
        <v>458</v>
      </c>
      <c r="L378" s="193" t="s">
        <v>459</v>
      </c>
      <c r="M378" s="193" t="s">
        <v>459</v>
      </c>
      <c r="BF378" s="130"/>
    </row>
    <row r="379" spans="2:59" ht="14">
      <c r="B379" s="144" t="s">
        <v>297</v>
      </c>
      <c r="C379" s="193" t="s">
        <v>410</v>
      </c>
      <c r="D379" s="193" t="s">
        <v>569</v>
      </c>
      <c r="E379" s="170" t="s">
        <v>572</v>
      </c>
      <c r="F379" s="193" t="s">
        <v>294</v>
      </c>
      <c r="G379" s="193" t="s">
        <v>294</v>
      </c>
      <c r="H379" s="193" t="s">
        <v>456</v>
      </c>
      <c r="I379" s="193" t="s">
        <v>457</v>
      </c>
      <c r="J379" s="193" t="s">
        <v>457</v>
      </c>
      <c r="K379" s="193" t="s">
        <v>458</v>
      </c>
      <c r="L379" s="193" t="s">
        <v>459</v>
      </c>
      <c r="M379" s="193" t="s">
        <v>459</v>
      </c>
      <c r="BF379" s="130"/>
    </row>
    <row r="380" spans="2:59" ht="14">
      <c r="B380" s="144" t="s">
        <v>297</v>
      </c>
      <c r="C380" s="193" t="s">
        <v>410</v>
      </c>
      <c r="D380" s="193" t="s">
        <v>569</v>
      </c>
      <c r="E380" s="170" t="s">
        <v>573</v>
      </c>
      <c r="F380" s="193" t="s">
        <v>294</v>
      </c>
      <c r="G380" s="193" t="s">
        <v>294</v>
      </c>
      <c r="H380" s="193" t="s">
        <v>456</v>
      </c>
      <c r="I380" s="193" t="s">
        <v>457</v>
      </c>
      <c r="J380" s="193" t="s">
        <v>457</v>
      </c>
      <c r="K380" s="193" t="s">
        <v>458</v>
      </c>
      <c r="L380" s="193" t="s">
        <v>459</v>
      </c>
      <c r="M380" s="193" t="s">
        <v>459</v>
      </c>
      <c r="BF380" s="130"/>
    </row>
    <row r="381" spans="2:59">
      <c r="B381" s="148"/>
      <c r="BF381" s="130"/>
    </row>
    <row r="382" spans="2:59" ht="13.5">
      <c r="B382" s="148"/>
      <c r="C382" s="136" t="s">
        <v>125</v>
      </c>
      <c r="BF382" s="130"/>
    </row>
    <row r="383" spans="2:59" ht="13.5">
      <c r="B383" s="148"/>
      <c r="C383" s="266" t="s">
        <v>401</v>
      </c>
      <c r="D383" s="266" t="s">
        <v>402</v>
      </c>
      <c r="E383" s="266" t="s">
        <v>131</v>
      </c>
      <c r="F383" s="266" t="s">
        <v>403</v>
      </c>
      <c r="G383" s="266" t="s">
        <v>404</v>
      </c>
      <c r="BF383" s="130"/>
    </row>
    <row r="384" spans="2:59" ht="13.5">
      <c r="B384" s="148"/>
      <c r="C384" s="266">
        <v>-2</v>
      </c>
      <c r="D384" s="266" t="s">
        <v>128</v>
      </c>
      <c r="E384" s="266" t="s">
        <v>712</v>
      </c>
      <c r="F384" s="266" t="s">
        <v>690</v>
      </c>
      <c r="G384" s="266" t="s">
        <v>437</v>
      </c>
      <c r="BF384" s="130"/>
    </row>
    <row r="385" spans="1:59" ht="13.5" thickBot="1">
      <c r="B385" s="148"/>
      <c r="BF385" s="130"/>
    </row>
    <row r="386" spans="1:59" ht="14" thickBot="1">
      <c r="B386" s="132" t="s">
        <v>584</v>
      </c>
      <c r="C386" s="133" t="s">
        <v>585</v>
      </c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236"/>
    </row>
    <row r="387" spans="1:59" ht="14" thickBot="1">
      <c r="B387" s="134" t="s">
        <v>736</v>
      </c>
      <c r="C387" s="133" t="s">
        <v>434</v>
      </c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236"/>
    </row>
    <row r="388" spans="1:59">
      <c r="B388" s="148"/>
      <c r="BF388" s="130"/>
    </row>
    <row r="389" spans="1:59" ht="13.5">
      <c r="B389" s="148"/>
      <c r="C389" s="136" t="s">
        <v>241</v>
      </c>
      <c r="BF389" s="130"/>
    </row>
    <row r="390" spans="1:59" ht="13.5">
      <c r="B390" s="148"/>
      <c r="C390" s="136" t="s">
        <v>586</v>
      </c>
      <c r="BF390" s="130"/>
    </row>
    <row r="391" spans="1:59">
      <c r="B391" s="148"/>
      <c r="BF391" s="130"/>
    </row>
    <row r="392" spans="1:59" s="27" customFormat="1" ht="19.5" customHeight="1">
      <c r="B392" s="223"/>
      <c r="C392" s="137" t="s">
        <v>472</v>
      </c>
      <c r="D392" s="138"/>
      <c r="E392" s="138"/>
      <c r="F392" s="138"/>
      <c r="G392" s="138"/>
      <c r="H392" s="95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93"/>
      <c r="T392" s="93"/>
      <c r="U392" s="93"/>
      <c r="V392" s="93"/>
      <c r="W392" s="93"/>
      <c r="X392" s="93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138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238"/>
      <c r="BG392"/>
    </row>
    <row r="393" spans="1:59" s="73" customFormat="1" ht="16.5" customHeight="1">
      <c r="A393" s="71"/>
      <c r="B393" s="224"/>
      <c r="C393" s="140"/>
      <c r="D393" s="140"/>
      <c r="E393" s="140"/>
      <c r="F393" s="141" t="s">
        <v>141</v>
      </c>
      <c r="G393" s="146"/>
      <c r="H393" s="146"/>
      <c r="I393" s="141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1"/>
      <c r="AL393" s="147"/>
      <c r="AM393" s="147"/>
      <c r="AN393" s="147"/>
      <c r="AO393" s="141"/>
      <c r="AP393" s="147"/>
      <c r="AQ393" s="147"/>
      <c r="AR393" s="141"/>
      <c r="AS393" s="147"/>
      <c r="AT393" s="147"/>
      <c r="AU393" s="147"/>
      <c r="AV393" s="147"/>
      <c r="AW393" s="147"/>
      <c r="AX393" s="147"/>
      <c r="AY393" s="147"/>
      <c r="AZ393" s="147"/>
      <c r="BA393" s="147"/>
      <c r="BB393" s="147"/>
      <c r="BC393" s="147"/>
      <c r="BD393" s="147"/>
      <c r="BE393" s="147"/>
      <c r="BF393" s="239"/>
      <c r="BG393"/>
    </row>
    <row r="394" spans="1:59" s="80" customFormat="1" ht="86" customHeight="1">
      <c r="B394" s="225"/>
      <c r="C394" s="116" t="s">
        <v>300</v>
      </c>
      <c r="D394" s="116" t="s">
        <v>301</v>
      </c>
      <c r="E394" s="116" t="s">
        <v>302</v>
      </c>
      <c r="F394" s="123" t="s">
        <v>337</v>
      </c>
      <c r="G394" s="123" t="s">
        <v>303</v>
      </c>
      <c r="H394" s="123" t="s">
        <v>244</v>
      </c>
      <c r="I394" s="123" t="s">
        <v>305</v>
      </c>
      <c r="J394" s="123" t="s">
        <v>306</v>
      </c>
      <c r="K394" s="123" t="s">
        <v>307</v>
      </c>
      <c r="L394" s="123" t="s">
        <v>308</v>
      </c>
      <c r="M394" s="123" t="s">
        <v>309</v>
      </c>
      <c r="N394" s="123" t="s">
        <v>310</v>
      </c>
      <c r="O394" s="123" t="s">
        <v>311</v>
      </c>
      <c r="P394" s="123" t="s">
        <v>312</v>
      </c>
      <c r="Q394" s="123" t="s">
        <v>313</v>
      </c>
      <c r="R394" s="123" t="s">
        <v>314</v>
      </c>
      <c r="S394" s="123" t="s">
        <v>315</v>
      </c>
      <c r="T394" s="123" t="s">
        <v>316</v>
      </c>
      <c r="U394" s="123" t="s">
        <v>317</v>
      </c>
      <c r="V394" s="123" t="s">
        <v>318</v>
      </c>
      <c r="W394" s="123" t="s">
        <v>319</v>
      </c>
      <c r="X394" s="123" t="s">
        <v>320</v>
      </c>
      <c r="Y394" s="123" t="s">
        <v>321</v>
      </c>
      <c r="Z394" s="123" t="s">
        <v>322</v>
      </c>
      <c r="AA394" s="123" t="s">
        <v>323</v>
      </c>
      <c r="AB394" s="123" t="s">
        <v>324</v>
      </c>
      <c r="AC394" s="123" t="s">
        <v>325</v>
      </c>
      <c r="AD394" s="123" t="s">
        <v>326</v>
      </c>
      <c r="AE394" s="123" t="s">
        <v>327</v>
      </c>
      <c r="AF394" s="123" t="s">
        <v>328</v>
      </c>
      <c r="AG394" s="123" t="s">
        <v>329</v>
      </c>
      <c r="AH394" s="123" t="s">
        <v>330</v>
      </c>
      <c r="AI394" s="123" t="s">
        <v>331</v>
      </c>
      <c r="AJ394" s="123" t="s">
        <v>332</v>
      </c>
      <c r="AK394" s="123" t="s">
        <v>333</v>
      </c>
      <c r="AL394" s="123" t="s">
        <v>334</v>
      </c>
      <c r="AM394" s="123" t="s">
        <v>335</v>
      </c>
      <c r="AN394" s="123" t="s">
        <v>336</v>
      </c>
      <c r="AO394" s="123" t="s">
        <v>304</v>
      </c>
      <c r="AP394" s="123" t="s">
        <v>338</v>
      </c>
      <c r="AQ394" s="123" t="s">
        <v>339</v>
      </c>
      <c r="AR394" s="123" t="s">
        <v>340</v>
      </c>
      <c r="AS394" s="123" t="s">
        <v>341</v>
      </c>
      <c r="AT394" s="123" t="s">
        <v>342</v>
      </c>
      <c r="AU394" s="123" t="s">
        <v>343</v>
      </c>
      <c r="AV394" s="123" t="s">
        <v>344</v>
      </c>
      <c r="AW394" s="123" t="s">
        <v>345</v>
      </c>
      <c r="AX394" s="123" t="s">
        <v>346</v>
      </c>
      <c r="AY394" s="123" t="s">
        <v>347</v>
      </c>
      <c r="AZ394" s="123" t="s">
        <v>222</v>
      </c>
      <c r="BA394" s="123" t="s">
        <v>223</v>
      </c>
      <c r="BB394" s="123" t="s">
        <v>224</v>
      </c>
      <c r="BC394" s="123" t="s">
        <v>225</v>
      </c>
      <c r="BD394" s="123" t="s">
        <v>123</v>
      </c>
      <c r="BE394" s="123" t="s">
        <v>124</v>
      </c>
      <c r="BF394" s="240" t="s">
        <v>226</v>
      </c>
      <c r="BG394"/>
    </row>
    <row r="395" spans="1:59" s="80" customFormat="1">
      <c r="B395" s="225"/>
      <c r="C395" s="116" t="s">
        <v>261</v>
      </c>
      <c r="D395" s="116" t="s">
        <v>262</v>
      </c>
      <c r="E395" s="116" t="s">
        <v>263</v>
      </c>
      <c r="F395" s="117" t="s">
        <v>200</v>
      </c>
      <c r="G395" s="117" t="s">
        <v>266</v>
      </c>
      <c r="H395" s="117" t="s">
        <v>265</v>
      </c>
      <c r="I395" s="117" t="s">
        <v>349</v>
      </c>
      <c r="J395" s="117" t="s">
        <v>350</v>
      </c>
      <c r="K395" s="117" t="s">
        <v>351</v>
      </c>
      <c r="L395" s="117" t="s">
        <v>352</v>
      </c>
      <c r="M395" s="117" t="s">
        <v>353</v>
      </c>
      <c r="N395" s="117" t="s">
        <v>354</v>
      </c>
      <c r="O395" s="117" t="s">
        <v>355</v>
      </c>
      <c r="P395" s="117" t="s">
        <v>356</v>
      </c>
      <c r="Q395" s="117" t="s">
        <v>357</v>
      </c>
      <c r="R395" s="117" t="s">
        <v>358</v>
      </c>
      <c r="S395" s="117" t="s">
        <v>359</v>
      </c>
      <c r="T395" s="117" t="s">
        <v>360</v>
      </c>
      <c r="U395" s="117" t="s">
        <v>361</v>
      </c>
      <c r="V395" s="117" t="s">
        <v>362</v>
      </c>
      <c r="W395" s="117" t="s">
        <v>363</v>
      </c>
      <c r="X395" s="117" t="s">
        <v>364</v>
      </c>
      <c r="Y395" s="117" t="s">
        <v>365</v>
      </c>
      <c r="Z395" s="117" t="s">
        <v>366</v>
      </c>
      <c r="AA395" s="117" t="s">
        <v>367</v>
      </c>
      <c r="AB395" s="117" t="s">
        <v>368</v>
      </c>
      <c r="AC395" s="117" t="s">
        <v>369</v>
      </c>
      <c r="AD395" s="117" t="s">
        <v>370</v>
      </c>
      <c r="AE395" s="117" t="s">
        <v>371</v>
      </c>
      <c r="AF395" s="117" t="s">
        <v>372</v>
      </c>
      <c r="AG395" s="117" t="s">
        <v>373</v>
      </c>
      <c r="AH395" s="117" t="s">
        <v>374</v>
      </c>
      <c r="AI395" s="117" t="s">
        <v>375</v>
      </c>
      <c r="AJ395" s="117" t="s">
        <v>376</v>
      </c>
      <c r="AK395" s="117" t="s">
        <v>199</v>
      </c>
      <c r="AL395" s="117" t="s">
        <v>377</v>
      </c>
      <c r="AM395" s="117" t="s">
        <v>378</v>
      </c>
      <c r="AN395" s="117" t="s">
        <v>379</v>
      </c>
      <c r="AO395" s="117" t="s">
        <v>348</v>
      </c>
      <c r="AP395" s="117" t="s">
        <v>380</v>
      </c>
      <c r="AQ395" s="117" t="s">
        <v>381</v>
      </c>
      <c r="AR395" s="117" t="s">
        <v>382</v>
      </c>
      <c r="AS395" s="117" t="s">
        <v>383</v>
      </c>
      <c r="AT395" s="117" t="s">
        <v>384</v>
      </c>
      <c r="AU395" s="117" t="s">
        <v>385</v>
      </c>
      <c r="AV395" s="117" t="s">
        <v>386</v>
      </c>
      <c r="AW395" s="117" t="s">
        <v>387</v>
      </c>
      <c r="AX395" s="117" t="s">
        <v>388</v>
      </c>
      <c r="AY395" s="117" t="s">
        <v>389</v>
      </c>
      <c r="AZ395" s="117" t="s">
        <v>205</v>
      </c>
      <c r="BA395" s="117" t="s">
        <v>206</v>
      </c>
      <c r="BB395" s="117" t="s">
        <v>207</v>
      </c>
      <c r="BC395" s="117" t="s">
        <v>208</v>
      </c>
      <c r="BD395" s="117" t="s">
        <v>209</v>
      </c>
      <c r="BE395" s="117" t="s">
        <v>210</v>
      </c>
      <c r="BF395" s="241" t="s">
        <v>211</v>
      </c>
      <c r="BG395"/>
    </row>
    <row r="396" spans="1:59" s="70" customFormat="1" ht="13.5" customHeight="1">
      <c r="B396" s="226"/>
      <c r="C396" s="116" t="s">
        <v>282</v>
      </c>
      <c r="D396" s="116" t="s">
        <v>390</v>
      </c>
      <c r="E396" s="116" t="s">
        <v>227</v>
      </c>
      <c r="F396" s="145" t="s">
        <v>228</v>
      </c>
      <c r="G396" s="145" t="s">
        <v>230</v>
      </c>
      <c r="H396" s="145" t="s">
        <v>230</v>
      </c>
      <c r="I396" s="145" t="s">
        <v>230</v>
      </c>
      <c r="J396" s="145" t="s">
        <v>230</v>
      </c>
      <c r="K396" s="145" t="s">
        <v>391</v>
      </c>
      <c r="L396" s="145" t="s">
        <v>391</v>
      </c>
      <c r="M396" s="145" t="s">
        <v>227</v>
      </c>
      <c r="N396" s="145" t="s">
        <v>392</v>
      </c>
      <c r="O396" s="145" t="s">
        <v>230</v>
      </c>
      <c r="P396" s="145" t="s">
        <v>288</v>
      </c>
      <c r="Q396" s="145" t="s">
        <v>284</v>
      </c>
      <c r="R396" s="145" t="s">
        <v>288</v>
      </c>
      <c r="S396" s="145" t="s">
        <v>284</v>
      </c>
      <c r="T396" s="145" t="s">
        <v>284</v>
      </c>
      <c r="U396" s="145" t="s">
        <v>230</v>
      </c>
      <c r="V396" s="145" t="s">
        <v>393</v>
      </c>
      <c r="W396" s="145" t="s">
        <v>393</v>
      </c>
      <c r="X396" s="145" t="s">
        <v>228</v>
      </c>
      <c r="Y396" s="145" t="s">
        <v>392</v>
      </c>
      <c r="Z396" s="145" t="s">
        <v>392</v>
      </c>
      <c r="AA396" s="145" t="s">
        <v>284</v>
      </c>
      <c r="AB396" s="145" t="s">
        <v>287</v>
      </c>
      <c r="AC396" s="145" t="s">
        <v>288</v>
      </c>
      <c r="AD396" s="145" t="s">
        <v>288</v>
      </c>
      <c r="AE396" s="145" t="s">
        <v>394</v>
      </c>
      <c r="AF396" s="145" t="s">
        <v>394</v>
      </c>
      <c r="AG396" s="145" t="s">
        <v>288</v>
      </c>
      <c r="AH396" s="145" t="s">
        <v>288</v>
      </c>
      <c r="AI396" s="145" t="s">
        <v>394</v>
      </c>
      <c r="AJ396" s="145" t="s">
        <v>394</v>
      </c>
      <c r="AK396" s="145" t="s">
        <v>230</v>
      </c>
      <c r="AL396" s="145" t="s">
        <v>230</v>
      </c>
      <c r="AM396" s="145" t="s">
        <v>230</v>
      </c>
      <c r="AN396" s="145" t="s">
        <v>230</v>
      </c>
      <c r="AO396" s="145" t="s">
        <v>230</v>
      </c>
      <c r="AP396" s="145" t="s">
        <v>227</v>
      </c>
      <c r="AQ396" s="145" t="s">
        <v>230</v>
      </c>
      <c r="AR396" s="145" t="s">
        <v>284</v>
      </c>
      <c r="AS396" s="145" t="s">
        <v>284</v>
      </c>
      <c r="AT396" s="145" t="s">
        <v>230</v>
      </c>
      <c r="AU396" s="145" t="s">
        <v>395</v>
      </c>
      <c r="AV396" s="145" t="s">
        <v>288</v>
      </c>
      <c r="AW396" s="145" t="s">
        <v>228</v>
      </c>
      <c r="AX396" s="145" t="s">
        <v>230</v>
      </c>
      <c r="AY396" s="145" t="s">
        <v>230</v>
      </c>
      <c r="AZ396" s="145" t="s">
        <v>233</v>
      </c>
      <c r="BA396" s="145" t="s">
        <v>234</v>
      </c>
      <c r="BB396" s="145" t="s">
        <v>235</v>
      </c>
      <c r="BC396" s="145" t="s">
        <v>235</v>
      </c>
      <c r="BD396" s="145" t="s">
        <v>234</v>
      </c>
      <c r="BE396" s="145" t="s">
        <v>235</v>
      </c>
      <c r="BF396" s="242" t="s">
        <v>235</v>
      </c>
      <c r="BG396"/>
    </row>
    <row r="397" spans="1:59" s="27" customFormat="1" ht="15">
      <c r="B397" s="142" t="s">
        <v>292</v>
      </c>
      <c r="C397" s="188" t="s">
        <v>473</v>
      </c>
      <c r="D397" s="188" t="s">
        <v>408</v>
      </c>
      <c r="E397" s="188" t="s">
        <v>408</v>
      </c>
      <c r="F397" s="188">
        <v>1</v>
      </c>
      <c r="G397" s="188" t="s">
        <v>293</v>
      </c>
      <c r="H397" s="188" t="s">
        <v>293</v>
      </c>
      <c r="I397" s="188" t="s">
        <v>294</v>
      </c>
      <c r="J397" s="188" t="s">
        <v>294</v>
      </c>
      <c r="K397" s="188" t="s">
        <v>128</v>
      </c>
      <c r="L397" s="188" t="s">
        <v>128</v>
      </c>
      <c r="M397" s="188" t="s">
        <v>128</v>
      </c>
      <c r="N397" s="188" t="s">
        <v>128</v>
      </c>
      <c r="O397" s="188" t="s">
        <v>397</v>
      </c>
      <c r="P397" s="188" t="s">
        <v>294</v>
      </c>
      <c r="Q397" s="188" t="s">
        <v>474</v>
      </c>
      <c r="R397" s="188" t="s">
        <v>398</v>
      </c>
      <c r="S397" s="188" t="s">
        <v>475</v>
      </c>
      <c r="T397" s="188" t="s">
        <v>476</v>
      </c>
      <c r="U397" s="188" t="s">
        <v>156</v>
      </c>
      <c r="V397" s="188" t="s">
        <v>477</v>
      </c>
      <c r="W397" s="188" t="s">
        <v>477</v>
      </c>
      <c r="X397" s="188"/>
      <c r="Y397" s="188"/>
      <c r="Z397" s="188" t="s">
        <v>128</v>
      </c>
      <c r="AA397" s="188">
        <v>1</v>
      </c>
      <c r="AB397" s="188">
        <v>99999999</v>
      </c>
      <c r="AC397" s="188">
        <v>0</v>
      </c>
      <c r="AD397" s="188">
        <v>0</v>
      </c>
      <c r="AE397" s="188">
        <v>0</v>
      </c>
      <c r="AF397" s="188">
        <v>0</v>
      </c>
      <c r="AG397" s="188">
        <v>0</v>
      </c>
      <c r="AH397" s="188">
        <v>0</v>
      </c>
      <c r="AI397" s="188">
        <v>0</v>
      </c>
      <c r="AJ397" s="188">
        <v>0</v>
      </c>
      <c r="AK397" s="188">
        <v>1</v>
      </c>
      <c r="AL397" s="188">
        <v>1</v>
      </c>
      <c r="AM397" s="188">
        <v>0</v>
      </c>
      <c r="AN397" s="188">
        <v>0</v>
      </c>
      <c r="AO397" s="251" t="s">
        <v>396</v>
      </c>
      <c r="AP397" s="188" t="s">
        <v>128</v>
      </c>
      <c r="AQ397" s="188" t="s">
        <v>399</v>
      </c>
      <c r="AR397" s="188">
        <v>0</v>
      </c>
      <c r="AS397" s="188">
        <v>0</v>
      </c>
      <c r="AT397" s="188">
        <v>1</v>
      </c>
      <c r="AU397" s="188">
        <v>0</v>
      </c>
      <c r="AV397" s="188">
        <v>0</v>
      </c>
      <c r="AW397" s="188">
        <v>0</v>
      </c>
      <c r="AX397" s="188">
        <v>0</v>
      </c>
      <c r="AY397" s="188">
        <v>1</v>
      </c>
      <c r="AZ397" s="188">
        <v>0</v>
      </c>
      <c r="BA397" s="188">
        <v>39864.674351851849</v>
      </c>
      <c r="BB397" s="188">
        <v>440393</v>
      </c>
      <c r="BC397" s="188">
        <v>440393</v>
      </c>
      <c r="BD397" s="188">
        <v>45482.05810185185</v>
      </c>
      <c r="BE397" s="188" t="s">
        <v>400</v>
      </c>
      <c r="BF397" s="243" t="s">
        <v>400</v>
      </c>
      <c r="BG397"/>
    </row>
    <row r="398" spans="1:59" s="27" customFormat="1" ht="15">
      <c r="B398" s="144" t="s">
        <v>297</v>
      </c>
      <c r="C398" s="188" t="s">
        <v>473</v>
      </c>
      <c r="D398" s="188" t="s">
        <v>408</v>
      </c>
      <c r="E398" s="170" t="s">
        <v>478</v>
      </c>
      <c r="F398" s="188">
        <v>1</v>
      </c>
      <c r="G398" s="188" t="s">
        <v>293</v>
      </c>
      <c r="H398" s="188" t="s">
        <v>293</v>
      </c>
      <c r="I398" s="188" t="s">
        <v>294</v>
      </c>
      <c r="J398" s="188" t="s">
        <v>294</v>
      </c>
      <c r="K398" s="188" t="s">
        <v>128</v>
      </c>
      <c r="L398" s="188" t="s">
        <v>128</v>
      </c>
      <c r="M398" s="188" t="s">
        <v>128</v>
      </c>
      <c r="N398" s="188" t="s">
        <v>128</v>
      </c>
      <c r="O398" s="188" t="s">
        <v>397</v>
      </c>
      <c r="P398" s="188" t="s">
        <v>294</v>
      </c>
      <c r="Q398" s="188" t="s">
        <v>474</v>
      </c>
      <c r="R398" s="188" t="s">
        <v>398</v>
      </c>
      <c r="S398" s="188" t="s">
        <v>475</v>
      </c>
      <c r="T398" s="188" t="s">
        <v>476</v>
      </c>
      <c r="U398" s="188" t="s">
        <v>156</v>
      </c>
      <c r="V398" s="188" t="s">
        <v>477</v>
      </c>
      <c r="W398" s="188" t="s">
        <v>477</v>
      </c>
      <c r="X398" s="188"/>
      <c r="Y398" s="188"/>
      <c r="Z398" s="188" t="s">
        <v>128</v>
      </c>
      <c r="AA398" s="188">
        <v>1</v>
      </c>
      <c r="AB398" s="188">
        <v>99999999</v>
      </c>
      <c r="AC398" s="188">
        <v>0</v>
      </c>
      <c r="AD398" s="188">
        <v>0</v>
      </c>
      <c r="AE398" s="188">
        <v>0</v>
      </c>
      <c r="AF398" s="188">
        <v>0</v>
      </c>
      <c r="AG398" s="188">
        <v>0</v>
      </c>
      <c r="AH398" s="188">
        <v>0</v>
      </c>
      <c r="AI398" s="188">
        <v>0</v>
      </c>
      <c r="AJ398" s="188">
        <v>0</v>
      </c>
      <c r="AK398" s="188">
        <v>1</v>
      </c>
      <c r="AL398" s="188">
        <v>1</v>
      </c>
      <c r="AM398" s="188">
        <v>0</v>
      </c>
      <c r="AN398" s="188">
        <v>0</v>
      </c>
      <c r="AO398" s="188" t="s">
        <v>396</v>
      </c>
      <c r="AP398" s="188" t="s">
        <v>128</v>
      </c>
      <c r="AQ398" s="188" t="s">
        <v>399</v>
      </c>
      <c r="AR398" s="188">
        <v>0</v>
      </c>
      <c r="AS398" s="188">
        <v>0</v>
      </c>
      <c r="AT398" s="188">
        <v>1</v>
      </c>
      <c r="AU398" s="188">
        <v>0</v>
      </c>
      <c r="AV398" s="188">
        <v>0</v>
      </c>
      <c r="AW398" s="188">
        <v>0</v>
      </c>
      <c r="AX398" s="188">
        <v>0</v>
      </c>
      <c r="AY398" s="188">
        <v>1</v>
      </c>
      <c r="AZ398" s="188">
        <v>0</v>
      </c>
      <c r="BA398" s="188">
        <v>39864.674351851849</v>
      </c>
      <c r="BB398" s="188">
        <v>440393</v>
      </c>
      <c r="BC398" s="188">
        <v>440393</v>
      </c>
      <c r="BD398" s="188">
        <v>45482.05810185185</v>
      </c>
      <c r="BE398" s="188" t="s">
        <v>400</v>
      </c>
      <c r="BF398" s="243" t="s">
        <v>400</v>
      </c>
      <c r="BG398"/>
    </row>
    <row r="399" spans="1:59" s="27" customFormat="1" ht="15">
      <c r="B399" s="144" t="s">
        <v>297</v>
      </c>
      <c r="C399" s="188" t="s">
        <v>473</v>
      </c>
      <c r="D399" s="170" t="s">
        <v>478</v>
      </c>
      <c r="E399" s="169" t="s">
        <v>408</v>
      </c>
      <c r="F399" s="188">
        <v>1</v>
      </c>
      <c r="G399" s="188" t="s">
        <v>293</v>
      </c>
      <c r="H399" s="188" t="s">
        <v>293</v>
      </c>
      <c r="I399" s="188" t="s">
        <v>294</v>
      </c>
      <c r="J399" s="188" t="s">
        <v>294</v>
      </c>
      <c r="K399" s="188" t="s">
        <v>128</v>
      </c>
      <c r="L399" s="188" t="s">
        <v>128</v>
      </c>
      <c r="M399" s="188" t="s">
        <v>128</v>
      </c>
      <c r="N399" s="188" t="s">
        <v>128</v>
      </c>
      <c r="O399" s="188" t="s">
        <v>397</v>
      </c>
      <c r="P399" s="188" t="s">
        <v>294</v>
      </c>
      <c r="Q399" s="188" t="s">
        <v>474</v>
      </c>
      <c r="R399" s="188" t="s">
        <v>398</v>
      </c>
      <c r="S399" s="188" t="s">
        <v>475</v>
      </c>
      <c r="T399" s="188" t="s">
        <v>476</v>
      </c>
      <c r="U399" s="188" t="s">
        <v>156</v>
      </c>
      <c r="V399" s="188" t="s">
        <v>477</v>
      </c>
      <c r="W399" s="188" t="s">
        <v>477</v>
      </c>
      <c r="X399" s="188"/>
      <c r="Y399" s="188"/>
      <c r="Z399" s="188" t="s">
        <v>128</v>
      </c>
      <c r="AA399" s="188">
        <v>1</v>
      </c>
      <c r="AB399" s="188">
        <v>99999999</v>
      </c>
      <c r="AC399" s="188">
        <v>0</v>
      </c>
      <c r="AD399" s="188">
        <v>0</v>
      </c>
      <c r="AE399" s="188">
        <v>0</v>
      </c>
      <c r="AF399" s="188">
        <v>0</v>
      </c>
      <c r="AG399" s="188">
        <v>0</v>
      </c>
      <c r="AH399" s="188">
        <v>0</v>
      </c>
      <c r="AI399" s="188">
        <v>0</v>
      </c>
      <c r="AJ399" s="188">
        <v>0</v>
      </c>
      <c r="AK399" s="188">
        <v>1</v>
      </c>
      <c r="AL399" s="188">
        <v>1</v>
      </c>
      <c r="AM399" s="188">
        <v>0</v>
      </c>
      <c r="AN399" s="188">
        <v>0</v>
      </c>
      <c r="AO399" s="188" t="s">
        <v>396</v>
      </c>
      <c r="AP399" s="188" t="s">
        <v>128</v>
      </c>
      <c r="AQ399" s="188" t="s">
        <v>399</v>
      </c>
      <c r="AR399" s="188">
        <v>0</v>
      </c>
      <c r="AS399" s="188">
        <v>0</v>
      </c>
      <c r="AT399" s="188">
        <v>1</v>
      </c>
      <c r="AU399" s="188">
        <v>0</v>
      </c>
      <c r="AV399" s="188">
        <v>0</v>
      </c>
      <c r="AW399" s="188">
        <v>0</v>
      </c>
      <c r="AX399" s="188">
        <v>0</v>
      </c>
      <c r="AY399" s="188">
        <v>1</v>
      </c>
      <c r="AZ399" s="188">
        <v>0</v>
      </c>
      <c r="BA399" s="188">
        <v>39864.674351851849</v>
      </c>
      <c r="BB399" s="188">
        <v>440393</v>
      </c>
      <c r="BC399" s="188">
        <v>440393</v>
      </c>
      <c r="BD399" s="188">
        <v>45482.05810185185</v>
      </c>
      <c r="BE399" s="188" t="s">
        <v>400</v>
      </c>
      <c r="BF399" s="243" t="s">
        <v>400</v>
      </c>
      <c r="BG399"/>
    </row>
    <row r="400" spans="1:59" s="27" customFormat="1" ht="15">
      <c r="B400" s="144" t="s">
        <v>297</v>
      </c>
      <c r="C400" s="188" t="s">
        <v>473</v>
      </c>
      <c r="D400" s="169" t="s">
        <v>408</v>
      </c>
      <c r="E400" s="170" t="s">
        <v>479</v>
      </c>
      <c r="F400" s="188">
        <v>1</v>
      </c>
      <c r="G400" s="188" t="s">
        <v>293</v>
      </c>
      <c r="H400" s="188" t="s">
        <v>293</v>
      </c>
      <c r="I400" s="188" t="s">
        <v>294</v>
      </c>
      <c r="J400" s="188" t="s">
        <v>294</v>
      </c>
      <c r="K400" s="188" t="s">
        <v>128</v>
      </c>
      <c r="L400" s="188" t="s">
        <v>128</v>
      </c>
      <c r="M400" s="188" t="s">
        <v>128</v>
      </c>
      <c r="N400" s="188" t="s">
        <v>128</v>
      </c>
      <c r="O400" s="188" t="s">
        <v>397</v>
      </c>
      <c r="P400" s="188" t="s">
        <v>294</v>
      </c>
      <c r="Q400" s="188" t="s">
        <v>474</v>
      </c>
      <c r="R400" s="188" t="s">
        <v>398</v>
      </c>
      <c r="S400" s="188" t="s">
        <v>475</v>
      </c>
      <c r="T400" s="188" t="s">
        <v>476</v>
      </c>
      <c r="U400" s="188" t="s">
        <v>156</v>
      </c>
      <c r="V400" s="188" t="s">
        <v>477</v>
      </c>
      <c r="W400" s="188" t="s">
        <v>477</v>
      </c>
      <c r="X400" s="188"/>
      <c r="Y400" s="188"/>
      <c r="Z400" s="188" t="s">
        <v>128</v>
      </c>
      <c r="AA400" s="188">
        <v>1</v>
      </c>
      <c r="AB400" s="188">
        <v>99999999</v>
      </c>
      <c r="AC400" s="188">
        <v>0</v>
      </c>
      <c r="AD400" s="188">
        <v>0</v>
      </c>
      <c r="AE400" s="188">
        <v>0</v>
      </c>
      <c r="AF400" s="188">
        <v>0</v>
      </c>
      <c r="AG400" s="188">
        <v>0</v>
      </c>
      <c r="AH400" s="188">
        <v>0</v>
      </c>
      <c r="AI400" s="188">
        <v>0</v>
      </c>
      <c r="AJ400" s="188">
        <v>0</v>
      </c>
      <c r="AK400" s="188">
        <v>1</v>
      </c>
      <c r="AL400" s="188">
        <v>1</v>
      </c>
      <c r="AM400" s="188">
        <v>0</v>
      </c>
      <c r="AN400" s="188">
        <v>0</v>
      </c>
      <c r="AO400" s="188" t="s">
        <v>396</v>
      </c>
      <c r="AP400" s="188" t="s">
        <v>128</v>
      </c>
      <c r="AQ400" s="188" t="s">
        <v>399</v>
      </c>
      <c r="AR400" s="188">
        <v>0</v>
      </c>
      <c r="AS400" s="188">
        <v>0</v>
      </c>
      <c r="AT400" s="188">
        <v>1</v>
      </c>
      <c r="AU400" s="188">
        <v>0</v>
      </c>
      <c r="AV400" s="188">
        <v>0</v>
      </c>
      <c r="AW400" s="188">
        <v>0</v>
      </c>
      <c r="AX400" s="188">
        <v>0</v>
      </c>
      <c r="AY400" s="188">
        <v>1</v>
      </c>
      <c r="AZ400" s="188">
        <v>0</v>
      </c>
      <c r="BA400" s="188">
        <v>39864.674351851849</v>
      </c>
      <c r="BB400" s="188">
        <v>440393</v>
      </c>
      <c r="BC400" s="188">
        <v>440393</v>
      </c>
      <c r="BD400" s="188">
        <v>45482.05810185185</v>
      </c>
      <c r="BE400" s="188" t="s">
        <v>400</v>
      </c>
      <c r="BF400" s="243" t="s">
        <v>400</v>
      </c>
      <c r="BG400"/>
    </row>
    <row r="401" spans="2:58">
      <c r="B401" s="148"/>
      <c r="BF401" s="130"/>
    </row>
    <row r="402" spans="2:58">
      <c r="B402" s="148"/>
      <c r="C402" s="175" t="s">
        <v>439</v>
      </c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BF402" s="130"/>
    </row>
    <row r="403" spans="2:58" ht="15">
      <c r="B403" s="148"/>
      <c r="C403" s="118"/>
      <c r="D403" s="174"/>
      <c r="E403" s="118"/>
      <c r="F403" s="118" t="s">
        <v>141</v>
      </c>
      <c r="G403" s="174"/>
      <c r="H403" s="174"/>
      <c r="I403" s="174"/>
      <c r="J403" s="174"/>
      <c r="K403" s="174"/>
      <c r="L403" s="174"/>
      <c r="M403" s="174"/>
      <c r="BF403" s="130"/>
    </row>
    <row r="404" spans="2:58">
      <c r="B404" s="148"/>
      <c r="C404" s="153" t="s">
        <v>448</v>
      </c>
      <c r="D404" s="117" t="s">
        <v>442</v>
      </c>
      <c r="E404" s="153" t="s">
        <v>449</v>
      </c>
      <c r="F404" s="117" t="s">
        <v>443</v>
      </c>
      <c r="G404" s="123" t="s">
        <v>222</v>
      </c>
      <c r="H404" s="123" t="s">
        <v>223</v>
      </c>
      <c r="I404" s="123" t="s">
        <v>224</v>
      </c>
      <c r="J404" s="123" t="s">
        <v>225</v>
      </c>
      <c r="K404" s="123" t="s">
        <v>123</v>
      </c>
      <c r="L404" s="123" t="s">
        <v>124</v>
      </c>
      <c r="M404" s="123" t="s">
        <v>226</v>
      </c>
      <c r="BF404" s="130"/>
    </row>
    <row r="405" spans="2:58" ht="14">
      <c r="B405" s="148"/>
      <c r="C405" s="187" t="s">
        <v>450</v>
      </c>
      <c r="D405" s="117" t="s">
        <v>440</v>
      </c>
      <c r="E405" s="187" t="s">
        <v>452</v>
      </c>
      <c r="F405" s="117" t="s">
        <v>441</v>
      </c>
      <c r="G405" s="117" t="s">
        <v>205</v>
      </c>
      <c r="H405" s="117" t="s">
        <v>206</v>
      </c>
      <c r="I405" s="117" t="s">
        <v>207</v>
      </c>
      <c r="J405" s="117" t="s">
        <v>208</v>
      </c>
      <c r="K405" s="117" t="s">
        <v>209</v>
      </c>
      <c r="L405" s="117" t="s">
        <v>210</v>
      </c>
      <c r="M405" s="117" t="s">
        <v>211</v>
      </c>
      <c r="BF405" s="130"/>
    </row>
    <row r="406" spans="2:58" ht="14">
      <c r="B406" s="148"/>
      <c r="C406" s="187" t="s">
        <v>451</v>
      </c>
      <c r="D406" s="149" t="s">
        <v>445</v>
      </c>
      <c r="E406" s="187" t="s">
        <v>453</v>
      </c>
      <c r="F406" s="149" t="s">
        <v>230</v>
      </c>
      <c r="G406" s="149" t="s">
        <v>444</v>
      </c>
      <c r="H406" s="149" t="s">
        <v>234</v>
      </c>
      <c r="I406" s="149" t="s">
        <v>235</v>
      </c>
      <c r="J406" s="149" t="s">
        <v>235</v>
      </c>
      <c r="K406" s="149" t="s">
        <v>147</v>
      </c>
      <c r="L406" s="149" t="s">
        <v>235</v>
      </c>
      <c r="M406" s="149" t="s">
        <v>235</v>
      </c>
      <c r="BF406" s="130"/>
    </row>
    <row r="407" spans="2:58" ht="14">
      <c r="B407" s="144" t="s">
        <v>297</v>
      </c>
      <c r="C407" s="188" t="s">
        <v>410</v>
      </c>
      <c r="D407" s="188" t="s">
        <v>454</v>
      </c>
      <c r="E407" s="170" t="s">
        <v>565</v>
      </c>
      <c r="F407" s="188" t="s">
        <v>156</v>
      </c>
      <c r="G407" s="188" t="s">
        <v>294</v>
      </c>
      <c r="H407" s="188" t="s">
        <v>456</v>
      </c>
      <c r="I407" s="188" t="s">
        <v>457</v>
      </c>
      <c r="J407" s="188" t="s">
        <v>457</v>
      </c>
      <c r="K407" s="188" t="s">
        <v>458</v>
      </c>
      <c r="L407" s="188" t="s">
        <v>459</v>
      </c>
      <c r="M407" s="188" t="s">
        <v>459</v>
      </c>
      <c r="BF407" s="130"/>
    </row>
    <row r="408" spans="2:58" ht="14">
      <c r="B408" s="144" t="s">
        <v>297</v>
      </c>
      <c r="C408" s="193" t="s">
        <v>410</v>
      </c>
      <c r="D408" s="193" t="s">
        <v>569</v>
      </c>
      <c r="E408" s="170" t="s">
        <v>570</v>
      </c>
      <c r="F408" s="193" t="s">
        <v>156</v>
      </c>
      <c r="G408" s="193" t="s">
        <v>294</v>
      </c>
      <c r="H408" s="193" t="s">
        <v>456</v>
      </c>
      <c r="I408" s="193" t="s">
        <v>457</v>
      </c>
      <c r="J408" s="193" t="s">
        <v>457</v>
      </c>
      <c r="K408" s="193" t="s">
        <v>458</v>
      </c>
      <c r="L408" s="193" t="s">
        <v>459</v>
      </c>
      <c r="M408" s="193" t="s">
        <v>459</v>
      </c>
      <c r="BF408" s="130"/>
    </row>
    <row r="409" spans="2:58" ht="14">
      <c r="B409" s="144" t="s">
        <v>297</v>
      </c>
      <c r="C409" s="193" t="s">
        <v>410</v>
      </c>
      <c r="D409" s="193" t="s">
        <v>569</v>
      </c>
      <c r="E409" s="170" t="s">
        <v>571</v>
      </c>
      <c r="F409" s="193" t="s">
        <v>156</v>
      </c>
      <c r="G409" s="193" t="s">
        <v>294</v>
      </c>
      <c r="H409" s="193" t="s">
        <v>456</v>
      </c>
      <c r="I409" s="193" t="s">
        <v>457</v>
      </c>
      <c r="J409" s="193" t="s">
        <v>457</v>
      </c>
      <c r="K409" s="193" t="s">
        <v>458</v>
      </c>
      <c r="L409" s="193" t="s">
        <v>459</v>
      </c>
      <c r="M409" s="193" t="s">
        <v>459</v>
      </c>
      <c r="BF409" s="130"/>
    </row>
    <row r="410" spans="2:58" ht="14">
      <c r="B410" s="142" t="s">
        <v>292</v>
      </c>
      <c r="C410" s="193" t="s">
        <v>410</v>
      </c>
      <c r="D410" s="193" t="s">
        <v>569</v>
      </c>
      <c r="E410" s="253" t="s">
        <v>572</v>
      </c>
      <c r="F410" s="193" t="s">
        <v>294</v>
      </c>
      <c r="G410" s="193" t="s">
        <v>294</v>
      </c>
      <c r="H410" s="193" t="s">
        <v>456</v>
      </c>
      <c r="I410" s="193" t="s">
        <v>457</v>
      </c>
      <c r="J410" s="193" t="s">
        <v>457</v>
      </c>
      <c r="K410" s="193" t="s">
        <v>458</v>
      </c>
      <c r="L410" s="193" t="s">
        <v>459</v>
      </c>
      <c r="M410" s="193" t="s">
        <v>459</v>
      </c>
      <c r="BF410" s="130"/>
    </row>
    <row r="411" spans="2:58" ht="14">
      <c r="B411" s="144" t="s">
        <v>297</v>
      </c>
      <c r="C411" s="193" t="s">
        <v>410</v>
      </c>
      <c r="D411" s="193" t="s">
        <v>569</v>
      </c>
      <c r="E411" s="170" t="s">
        <v>573</v>
      </c>
      <c r="F411" s="193" t="s">
        <v>294</v>
      </c>
      <c r="G411" s="193" t="s">
        <v>294</v>
      </c>
      <c r="H411" s="193" t="s">
        <v>456</v>
      </c>
      <c r="I411" s="193" t="s">
        <v>457</v>
      </c>
      <c r="J411" s="193" t="s">
        <v>457</v>
      </c>
      <c r="K411" s="193" t="s">
        <v>458</v>
      </c>
      <c r="L411" s="193" t="s">
        <v>459</v>
      </c>
      <c r="M411" s="193" t="s">
        <v>459</v>
      </c>
      <c r="BF411" s="130"/>
    </row>
    <row r="412" spans="2:58">
      <c r="B412" s="148"/>
      <c r="BF412" s="130"/>
    </row>
    <row r="413" spans="2:58" ht="13.5">
      <c r="B413" s="148"/>
      <c r="C413" s="136" t="s">
        <v>125</v>
      </c>
      <c r="D413" s="136"/>
      <c r="E413" s="136"/>
      <c r="F413" s="136"/>
      <c r="G413" s="136"/>
      <c r="BF413" s="130"/>
    </row>
    <row r="414" spans="2:58" ht="13.5">
      <c r="B414" s="148"/>
      <c r="C414" s="266" t="s">
        <v>401</v>
      </c>
      <c r="D414" s="266" t="s">
        <v>402</v>
      </c>
      <c r="E414" s="266" t="s">
        <v>131</v>
      </c>
      <c r="F414" s="266" t="s">
        <v>403</v>
      </c>
      <c r="G414" s="266" t="s">
        <v>404</v>
      </c>
      <c r="BF414" s="130"/>
    </row>
    <row r="415" spans="2:58" ht="13.5">
      <c r="B415" s="148"/>
      <c r="C415" s="266">
        <v>-2</v>
      </c>
      <c r="D415" s="266" t="s">
        <v>128</v>
      </c>
      <c r="E415" s="266" t="s">
        <v>714</v>
      </c>
      <c r="F415" s="266" t="s">
        <v>587</v>
      </c>
      <c r="G415" s="266" t="s">
        <v>437</v>
      </c>
      <c r="BF415" s="130"/>
    </row>
    <row r="416" spans="2:58" ht="13.5" thickBot="1">
      <c r="B416" s="148"/>
      <c r="BF416" s="130"/>
    </row>
    <row r="417" spans="1:59" ht="14" thickBot="1">
      <c r="B417" s="132" t="s">
        <v>588</v>
      </c>
      <c r="C417" s="133" t="s">
        <v>759</v>
      </c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236"/>
    </row>
    <row r="418" spans="1:59" ht="14" thickBot="1">
      <c r="B418" s="134" t="s">
        <v>435</v>
      </c>
      <c r="C418" s="133" t="s">
        <v>240</v>
      </c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236"/>
    </row>
    <row r="419" spans="1:59">
      <c r="B419" s="148"/>
      <c r="BF419" s="130"/>
    </row>
    <row r="420" spans="1:59" ht="13.5">
      <c r="B420" s="148"/>
      <c r="C420" s="136" t="s">
        <v>241</v>
      </c>
      <c r="BF420" s="130"/>
    </row>
    <row r="421" spans="1:59" ht="13.5">
      <c r="B421" s="148"/>
      <c r="C421" s="136" t="s">
        <v>589</v>
      </c>
      <c r="BF421" s="130"/>
    </row>
    <row r="422" spans="1:59">
      <c r="B422" s="148"/>
      <c r="BF422" s="130"/>
    </row>
    <row r="423" spans="1:59" s="27" customFormat="1" ht="19.5" customHeight="1">
      <c r="B423" s="223"/>
      <c r="C423" s="137" t="s">
        <v>472</v>
      </c>
      <c r="D423" s="138"/>
      <c r="E423" s="138"/>
      <c r="F423" s="138"/>
      <c r="G423" s="138"/>
      <c r="H423" s="95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93"/>
      <c r="T423" s="93"/>
      <c r="U423" s="93"/>
      <c r="V423" s="93"/>
      <c r="W423" s="93"/>
      <c r="X423" s="93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138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238"/>
      <c r="BG423"/>
    </row>
    <row r="424" spans="1:59" s="73" customFormat="1" ht="16.5" customHeight="1">
      <c r="A424" s="71"/>
      <c r="B424" s="224"/>
      <c r="C424" s="140"/>
      <c r="D424" s="140"/>
      <c r="E424" s="140"/>
      <c r="F424" s="141" t="s">
        <v>141</v>
      </c>
      <c r="G424" s="146"/>
      <c r="H424" s="146"/>
      <c r="I424" s="141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1"/>
      <c r="AL424" s="147"/>
      <c r="AM424" s="147"/>
      <c r="AN424" s="147"/>
      <c r="AO424" s="141"/>
      <c r="AP424" s="147"/>
      <c r="AQ424" s="147"/>
      <c r="AR424" s="141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147"/>
      <c r="BF424" s="239"/>
      <c r="BG424"/>
    </row>
    <row r="425" spans="1:59" s="80" customFormat="1" ht="86" customHeight="1">
      <c r="B425" s="225"/>
      <c r="C425" s="116" t="s">
        <v>300</v>
      </c>
      <c r="D425" s="116" t="s">
        <v>301</v>
      </c>
      <c r="E425" s="116" t="s">
        <v>302</v>
      </c>
      <c r="F425" s="123" t="s">
        <v>337</v>
      </c>
      <c r="G425" s="123" t="s">
        <v>303</v>
      </c>
      <c r="H425" s="123" t="s">
        <v>244</v>
      </c>
      <c r="I425" s="123" t="s">
        <v>305</v>
      </c>
      <c r="J425" s="123" t="s">
        <v>306</v>
      </c>
      <c r="K425" s="123" t="s">
        <v>307</v>
      </c>
      <c r="L425" s="123" t="s">
        <v>308</v>
      </c>
      <c r="M425" s="123" t="s">
        <v>309</v>
      </c>
      <c r="N425" s="123" t="s">
        <v>310</v>
      </c>
      <c r="O425" s="123" t="s">
        <v>311</v>
      </c>
      <c r="P425" s="123" t="s">
        <v>312</v>
      </c>
      <c r="Q425" s="123" t="s">
        <v>313</v>
      </c>
      <c r="R425" s="123" t="s">
        <v>314</v>
      </c>
      <c r="S425" s="123" t="s">
        <v>315</v>
      </c>
      <c r="T425" s="123" t="s">
        <v>316</v>
      </c>
      <c r="U425" s="123" t="s">
        <v>317</v>
      </c>
      <c r="V425" s="123" t="s">
        <v>318</v>
      </c>
      <c r="W425" s="123" t="s">
        <v>319</v>
      </c>
      <c r="X425" s="123" t="s">
        <v>320</v>
      </c>
      <c r="Y425" s="123" t="s">
        <v>321</v>
      </c>
      <c r="Z425" s="123" t="s">
        <v>322</v>
      </c>
      <c r="AA425" s="123" t="s">
        <v>323</v>
      </c>
      <c r="AB425" s="123" t="s">
        <v>324</v>
      </c>
      <c r="AC425" s="123" t="s">
        <v>325</v>
      </c>
      <c r="AD425" s="123" t="s">
        <v>326</v>
      </c>
      <c r="AE425" s="123" t="s">
        <v>327</v>
      </c>
      <c r="AF425" s="123" t="s">
        <v>328</v>
      </c>
      <c r="AG425" s="123" t="s">
        <v>329</v>
      </c>
      <c r="AH425" s="123" t="s">
        <v>330</v>
      </c>
      <c r="AI425" s="123" t="s">
        <v>331</v>
      </c>
      <c r="AJ425" s="123" t="s">
        <v>332</v>
      </c>
      <c r="AK425" s="123" t="s">
        <v>333</v>
      </c>
      <c r="AL425" s="123" t="s">
        <v>334</v>
      </c>
      <c r="AM425" s="123" t="s">
        <v>335</v>
      </c>
      <c r="AN425" s="123" t="s">
        <v>336</v>
      </c>
      <c r="AO425" s="123" t="s">
        <v>304</v>
      </c>
      <c r="AP425" s="123" t="s">
        <v>338</v>
      </c>
      <c r="AQ425" s="123" t="s">
        <v>339</v>
      </c>
      <c r="AR425" s="123" t="s">
        <v>340</v>
      </c>
      <c r="AS425" s="123" t="s">
        <v>341</v>
      </c>
      <c r="AT425" s="123" t="s">
        <v>342</v>
      </c>
      <c r="AU425" s="123" t="s">
        <v>343</v>
      </c>
      <c r="AV425" s="123" t="s">
        <v>344</v>
      </c>
      <c r="AW425" s="123" t="s">
        <v>345</v>
      </c>
      <c r="AX425" s="123" t="s">
        <v>346</v>
      </c>
      <c r="AY425" s="123" t="s">
        <v>347</v>
      </c>
      <c r="AZ425" s="123" t="s">
        <v>222</v>
      </c>
      <c r="BA425" s="123" t="s">
        <v>223</v>
      </c>
      <c r="BB425" s="123" t="s">
        <v>224</v>
      </c>
      <c r="BC425" s="123" t="s">
        <v>225</v>
      </c>
      <c r="BD425" s="123" t="s">
        <v>123</v>
      </c>
      <c r="BE425" s="123" t="s">
        <v>124</v>
      </c>
      <c r="BF425" s="240" t="s">
        <v>226</v>
      </c>
      <c r="BG425"/>
    </row>
    <row r="426" spans="1:59" s="80" customFormat="1">
      <c r="B426" s="225"/>
      <c r="C426" s="116" t="s">
        <v>261</v>
      </c>
      <c r="D426" s="116" t="s">
        <v>262</v>
      </c>
      <c r="E426" s="116" t="s">
        <v>263</v>
      </c>
      <c r="F426" s="117" t="s">
        <v>200</v>
      </c>
      <c r="G426" s="117" t="s">
        <v>266</v>
      </c>
      <c r="H426" s="117" t="s">
        <v>265</v>
      </c>
      <c r="I426" s="117" t="s">
        <v>349</v>
      </c>
      <c r="J426" s="117" t="s">
        <v>350</v>
      </c>
      <c r="K426" s="117" t="s">
        <v>351</v>
      </c>
      <c r="L426" s="117" t="s">
        <v>352</v>
      </c>
      <c r="M426" s="117" t="s">
        <v>353</v>
      </c>
      <c r="N426" s="117" t="s">
        <v>354</v>
      </c>
      <c r="O426" s="117" t="s">
        <v>355</v>
      </c>
      <c r="P426" s="117" t="s">
        <v>356</v>
      </c>
      <c r="Q426" s="117" t="s">
        <v>357</v>
      </c>
      <c r="R426" s="117" t="s">
        <v>358</v>
      </c>
      <c r="S426" s="117" t="s">
        <v>359</v>
      </c>
      <c r="T426" s="117" t="s">
        <v>360</v>
      </c>
      <c r="U426" s="117" t="s">
        <v>361</v>
      </c>
      <c r="V426" s="117" t="s">
        <v>362</v>
      </c>
      <c r="W426" s="117" t="s">
        <v>363</v>
      </c>
      <c r="X426" s="117" t="s">
        <v>364</v>
      </c>
      <c r="Y426" s="117" t="s">
        <v>365</v>
      </c>
      <c r="Z426" s="117" t="s">
        <v>366</v>
      </c>
      <c r="AA426" s="117" t="s">
        <v>367</v>
      </c>
      <c r="AB426" s="117" t="s">
        <v>368</v>
      </c>
      <c r="AC426" s="117" t="s">
        <v>369</v>
      </c>
      <c r="AD426" s="117" t="s">
        <v>370</v>
      </c>
      <c r="AE426" s="117" t="s">
        <v>371</v>
      </c>
      <c r="AF426" s="117" t="s">
        <v>372</v>
      </c>
      <c r="AG426" s="117" t="s">
        <v>373</v>
      </c>
      <c r="AH426" s="117" t="s">
        <v>374</v>
      </c>
      <c r="AI426" s="117" t="s">
        <v>375</v>
      </c>
      <c r="AJ426" s="117" t="s">
        <v>376</v>
      </c>
      <c r="AK426" s="117" t="s">
        <v>199</v>
      </c>
      <c r="AL426" s="117" t="s">
        <v>377</v>
      </c>
      <c r="AM426" s="117" t="s">
        <v>378</v>
      </c>
      <c r="AN426" s="117" t="s">
        <v>379</v>
      </c>
      <c r="AO426" s="117" t="s">
        <v>348</v>
      </c>
      <c r="AP426" s="117" t="s">
        <v>380</v>
      </c>
      <c r="AQ426" s="117" t="s">
        <v>381</v>
      </c>
      <c r="AR426" s="117" t="s">
        <v>382</v>
      </c>
      <c r="AS426" s="117" t="s">
        <v>383</v>
      </c>
      <c r="AT426" s="117" t="s">
        <v>384</v>
      </c>
      <c r="AU426" s="117" t="s">
        <v>385</v>
      </c>
      <c r="AV426" s="117" t="s">
        <v>386</v>
      </c>
      <c r="AW426" s="117" t="s">
        <v>387</v>
      </c>
      <c r="AX426" s="117" t="s">
        <v>388</v>
      </c>
      <c r="AY426" s="117" t="s">
        <v>389</v>
      </c>
      <c r="AZ426" s="117" t="s">
        <v>205</v>
      </c>
      <c r="BA426" s="117" t="s">
        <v>206</v>
      </c>
      <c r="BB426" s="117" t="s">
        <v>207</v>
      </c>
      <c r="BC426" s="117" t="s">
        <v>208</v>
      </c>
      <c r="BD426" s="117" t="s">
        <v>209</v>
      </c>
      <c r="BE426" s="117" t="s">
        <v>210</v>
      </c>
      <c r="BF426" s="241" t="s">
        <v>211</v>
      </c>
      <c r="BG426"/>
    </row>
    <row r="427" spans="1:59" s="70" customFormat="1" ht="13.5" customHeight="1">
      <c r="B427" s="226"/>
      <c r="C427" s="116" t="s">
        <v>282</v>
      </c>
      <c r="D427" s="116" t="s">
        <v>390</v>
      </c>
      <c r="E427" s="116" t="s">
        <v>227</v>
      </c>
      <c r="F427" s="145" t="s">
        <v>228</v>
      </c>
      <c r="G427" s="145" t="s">
        <v>230</v>
      </c>
      <c r="H427" s="145" t="s">
        <v>230</v>
      </c>
      <c r="I427" s="145" t="s">
        <v>230</v>
      </c>
      <c r="J427" s="145" t="s">
        <v>230</v>
      </c>
      <c r="K427" s="145" t="s">
        <v>391</v>
      </c>
      <c r="L427" s="145" t="s">
        <v>391</v>
      </c>
      <c r="M427" s="145" t="s">
        <v>227</v>
      </c>
      <c r="N427" s="145" t="s">
        <v>392</v>
      </c>
      <c r="O427" s="145" t="s">
        <v>230</v>
      </c>
      <c r="P427" s="145" t="s">
        <v>288</v>
      </c>
      <c r="Q427" s="145" t="s">
        <v>284</v>
      </c>
      <c r="R427" s="145" t="s">
        <v>288</v>
      </c>
      <c r="S427" s="145" t="s">
        <v>284</v>
      </c>
      <c r="T427" s="145" t="s">
        <v>284</v>
      </c>
      <c r="U427" s="145" t="s">
        <v>230</v>
      </c>
      <c r="V427" s="145" t="s">
        <v>393</v>
      </c>
      <c r="W427" s="145" t="s">
        <v>393</v>
      </c>
      <c r="X427" s="145" t="s">
        <v>228</v>
      </c>
      <c r="Y427" s="145" t="s">
        <v>392</v>
      </c>
      <c r="Z427" s="145" t="s">
        <v>392</v>
      </c>
      <c r="AA427" s="145" t="s">
        <v>284</v>
      </c>
      <c r="AB427" s="145" t="s">
        <v>287</v>
      </c>
      <c r="AC427" s="145" t="s">
        <v>288</v>
      </c>
      <c r="AD427" s="145" t="s">
        <v>288</v>
      </c>
      <c r="AE427" s="145" t="s">
        <v>394</v>
      </c>
      <c r="AF427" s="145" t="s">
        <v>394</v>
      </c>
      <c r="AG427" s="145" t="s">
        <v>288</v>
      </c>
      <c r="AH427" s="145" t="s">
        <v>288</v>
      </c>
      <c r="AI427" s="145" t="s">
        <v>394</v>
      </c>
      <c r="AJ427" s="145" t="s">
        <v>394</v>
      </c>
      <c r="AK427" s="145" t="s">
        <v>230</v>
      </c>
      <c r="AL427" s="145" t="s">
        <v>230</v>
      </c>
      <c r="AM427" s="145" t="s">
        <v>230</v>
      </c>
      <c r="AN427" s="145" t="s">
        <v>230</v>
      </c>
      <c r="AO427" s="145" t="s">
        <v>230</v>
      </c>
      <c r="AP427" s="145" t="s">
        <v>227</v>
      </c>
      <c r="AQ427" s="145" t="s">
        <v>230</v>
      </c>
      <c r="AR427" s="145" t="s">
        <v>284</v>
      </c>
      <c r="AS427" s="145" t="s">
        <v>284</v>
      </c>
      <c r="AT427" s="145" t="s">
        <v>230</v>
      </c>
      <c r="AU427" s="145" t="s">
        <v>395</v>
      </c>
      <c r="AV427" s="145" t="s">
        <v>288</v>
      </c>
      <c r="AW427" s="145" t="s">
        <v>228</v>
      </c>
      <c r="AX427" s="145" t="s">
        <v>230</v>
      </c>
      <c r="AY427" s="145" t="s">
        <v>230</v>
      </c>
      <c r="AZ427" s="145" t="s">
        <v>233</v>
      </c>
      <c r="BA427" s="145" t="s">
        <v>234</v>
      </c>
      <c r="BB427" s="145" t="s">
        <v>235</v>
      </c>
      <c r="BC427" s="145" t="s">
        <v>235</v>
      </c>
      <c r="BD427" s="145" t="s">
        <v>234</v>
      </c>
      <c r="BE427" s="145" t="s">
        <v>235</v>
      </c>
      <c r="BF427" s="242" t="s">
        <v>235</v>
      </c>
      <c r="BG427"/>
    </row>
    <row r="428" spans="1:59" s="27" customFormat="1" ht="15">
      <c r="B428" s="142" t="s">
        <v>292</v>
      </c>
      <c r="C428" s="188" t="s">
        <v>473</v>
      </c>
      <c r="D428" s="188" t="s">
        <v>408</v>
      </c>
      <c r="E428" s="188" t="s">
        <v>408</v>
      </c>
      <c r="F428" s="188">
        <v>1</v>
      </c>
      <c r="G428" s="188" t="s">
        <v>293</v>
      </c>
      <c r="H428" s="188" t="s">
        <v>293</v>
      </c>
      <c r="I428" s="188" t="s">
        <v>294</v>
      </c>
      <c r="J428" s="188" t="s">
        <v>294</v>
      </c>
      <c r="K428" s="188" t="s">
        <v>128</v>
      </c>
      <c r="L428" s="188" t="s">
        <v>128</v>
      </c>
      <c r="M428" s="188" t="s">
        <v>128</v>
      </c>
      <c r="N428" s="188" t="s">
        <v>128</v>
      </c>
      <c r="O428" s="188" t="s">
        <v>397</v>
      </c>
      <c r="P428" s="188" t="s">
        <v>294</v>
      </c>
      <c r="Q428" s="188" t="s">
        <v>474</v>
      </c>
      <c r="R428" s="188" t="s">
        <v>398</v>
      </c>
      <c r="S428" s="188" t="s">
        <v>475</v>
      </c>
      <c r="T428" s="188" t="s">
        <v>476</v>
      </c>
      <c r="U428" s="188" t="s">
        <v>156</v>
      </c>
      <c r="V428" s="188" t="s">
        <v>477</v>
      </c>
      <c r="W428" s="188" t="s">
        <v>477</v>
      </c>
      <c r="X428" s="188"/>
      <c r="Y428" s="188"/>
      <c r="Z428" s="188" t="s">
        <v>128</v>
      </c>
      <c r="AA428" s="188">
        <v>1</v>
      </c>
      <c r="AB428" s="188">
        <v>99999999</v>
      </c>
      <c r="AC428" s="188">
        <v>0</v>
      </c>
      <c r="AD428" s="188">
        <v>0</v>
      </c>
      <c r="AE428" s="188">
        <v>0</v>
      </c>
      <c r="AF428" s="188">
        <v>0</v>
      </c>
      <c r="AG428" s="188">
        <v>0</v>
      </c>
      <c r="AH428" s="188">
        <v>0</v>
      </c>
      <c r="AI428" s="188">
        <v>0</v>
      </c>
      <c r="AJ428" s="188">
        <v>0</v>
      </c>
      <c r="AK428" s="188">
        <v>1</v>
      </c>
      <c r="AL428" s="188">
        <v>1</v>
      </c>
      <c r="AM428" s="188">
        <v>0</v>
      </c>
      <c r="AN428" s="188">
        <v>0</v>
      </c>
      <c r="AO428" s="251" t="s">
        <v>396</v>
      </c>
      <c r="AP428" s="188" t="s">
        <v>128</v>
      </c>
      <c r="AQ428" s="188" t="s">
        <v>399</v>
      </c>
      <c r="AR428" s="188">
        <v>0</v>
      </c>
      <c r="AS428" s="188">
        <v>0</v>
      </c>
      <c r="AT428" s="188">
        <v>1</v>
      </c>
      <c r="AU428" s="188">
        <v>0</v>
      </c>
      <c r="AV428" s="188">
        <v>0</v>
      </c>
      <c r="AW428" s="188">
        <v>0</v>
      </c>
      <c r="AX428" s="188">
        <v>0</v>
      </c>
      <c r="AY428" s="188">
        <v>1</v>
      </c>
      <c r="AZ428" s="188">
        <v>0</v>
      </c>
      <c r="BA428" s="188">
        <v>39864.674351851849</v>
      </c>
      <c r="BB428" s="188">
        <v>440393</v>
      </c>
      <c r="BC428" s="188">
        <v>440393</v>
      </c>
      <c r="BD428" s="188">
        <v>45482.05810185185</v>
      </c>
      <c r="BE428" s="188" t="s">
        <v>400</v>
      </c>
      <c r="BF428" s="243" t="s">
        <v>400</v>
      </c>
      <c r="BG428"/>
    </row>
    <row r="429" spans="1:59" s="27" customFormat="1" ht="15">
      <c r="B429" s="144" t="s">
        <v>297</v>
      </c>
      <c r="C429" s="188" t="s">
        <v>473</v>
      </c>
      <c r="D429" s="188" t="s">
        <v>408</v>
      </c>
      <c r="E429" s="170" t="s">
        <v>478</v>
      </c>
      <c r="F429" s="188">
        <v>1</v>
      </c>
      <c r="G429" s="188" t="s">
        <v>293</v>
      </c>
      <c r="H429" s="188" t="s">
        <v>293</v>
      </c>
      <c r="I429" s="188" t="s">
        <v>294</v>
      </c>
      <c r="J429" s="188" t="s">
        <v>294</v>
      </c>
      <c r="K429" s="188" t="s">
        <v>128</v>
      </c>
      <c r="L429" s="188" t="s">
        <v>128</v>
      </c>
      <c r="M429" s="188" t="s">
        <v>128</v>
      </c>
      <c r="N429" s="188" t="s">
        <v>128</v>
      </c>
      <c r="O429" s="188" t="s">
        <v>397</v>
      </c>
      <c r="P429" s="188" t="s">
        <v>294</v>
      </c>
      <c r="Q429" s="188" t="s">
        <v>474</v>
      </c>
      <c r="R429" s="188" t="s">
        <v>398</v>
      </c>
      <c r="S429" s="188" t="s">
        <v>475</v>
      </c>
      <c r="T429" s="188" t="s">
        <v>476</v>
      </c>
      <c r="U429" s="188" t="s">
        <v>156</v>
      </c>
      <c r="V429" s="188" t="s">
        <v>477</v>
      </c>
      <c r="W429" s="188" t="s">
        <v>477</v>
      </c>
      <c r="X429" s="188"/>
      <c r="Y429" s="188"/>
      <c r="Z429" s="188" t="s">
        <v>128</v>
      </c>
      <c r="AA429" s="188">
        <v>1</v>
      </c>
      <c r="AB429" s="188">
        <v>99999999</v>
      </c>
      <c r="AC429" s="188">
        <v>0</v>
      </c>
      <c r="AD429" s="188">
        <v>0</v>
      </c>
      <c r="AE429" s="188">
        <v>0</v>
      </c>
      <c r="AF429" s="188">
        <v>0</v>
      </c>
      <c r="AG429" s="188">
        <v>0</v>
      </c>
      <c r="AH429" s="188">
        <v>0</v>
      </c>
      <c r="AI429" s="188">
        <v>0</v>
      </c>
      <c r="AJ429" s="188">
        <v>0</v>
      </c>
      <c r="AK429" s="188">
        <v>1</v>
      </c>
      <c r="AL429" s="188">
        <v>1</v>
      </c>
      <c r="AM429" s="188">
        <v>0</v>
      </c>
      <c r="AN429" s="188">
        <v>0</v>
      </c>
      <c r="AO429" s="188" t="s">
        <v>396</v>
      </c>
      <c r="AP429" s="188" t="s">
        <v>128</v>
      </c>
      <c r="AQ429" s="188" t="s">
        <v>399</v>
      </c>
      <c r="AR429" s="188">
        <v>0</v>
      </c>
      <c r="AS429" s="188">
        <v>0</v>
      </c>
      <c r="AT429" s="188">
        <v>1</v>
      </c>
      <c r="AU429" s="188">
        <v>0</v>
      </c>
      <c r="AV429" s="188">
        <v>0</v>
      </c>
      <c r="AW429" s="188">
        <v>0</v>
      </c>
      <c r="AX429" s="188">
        <v>0</v>
      </c>
      <c r="AY429" s="188">
        <v>1</v>
      </c>
      <c r="AZ429" s="188">
        <v>0</v>
      </c>
      <c r="BA429" s="188">
        <v>39864.674351851849</v>
      </c>
      <c r="BB429" s="188">
        <v>440393</v>
      </c>
      <c r="BC429" s="188">
        <v>440393</v>
      </c>
      <c r="BD429" s="188">
        <v>45482.05810185185</v>
      </c>
      <c r="BE429" s="188" t="s">
        <v>400</v>
      </c>
      <c r="BF429" s="243" t="s">
        <v>400</v>
      </c>
      <c r="BG429"/>
    </row>
    <row r="430" spans="1:59" s="27" customFormat="1" ht="15">
      <c r="B430" s="144" t="s">
        <v>297</v>
      </c>
      <c r="C430" s="188" t="s">
        <v>473</v>
      </c>
      <c r="D430" s="170" t="s">
        <v>478</v>
      </c>
      <c r="E430" s="169" t="s">
        <v>408</v>
      </c>
      <c r="F430" s="188">
        <v>1</v>
      </c>
      <c r="G430" s="188" t="s">
        <v>293</v>
      </c>
      <c r="H430" s="188" t="s">
        <v>293</v>
      </c>
      <c r="I430" s="188" t="s">
        <v>294</v>
      </c>
      <c r="J430" s="188" t="s">
        <v>294</v>
      </c>
      <c r="K430" s="188" t="s">
        <v>128</v>
      </c>
      <c r="L430" s="188" t="s">
        <v>128</v>
      </c>
      <c r="M430" s="188" t="s">
        <v>128</v>
      </c>
      <c r="N430" s="188" t="s">
        <v>128</v>
      </c>
      <c r="O430" s="188" t="s">
        <v>397</v>
      </c>
      <c r="P430" s="188" t="s">
        <v>294</v>
      </c>
      <c r="Q430" s="188" t="s">
        <v>474</v>
      </c>
      <c r="R430" s="188" t="s">
        <v>398</v>
      </c>
      <c r="S430" s="188" t="s">
        <v>475</v>
      </c>
      <c r="T430" s="188" t="s">
        <v>476</v>
      </c>
      <c r="U430" s="188" t="s">
        <v>156</v>
      </c>
      <c r="V430" s="188" t="s">
        <v>477</v>
      </c>
      <c r="W430" s="188" t="s">
        <v>477</v>
      </c>
      <c r="X430" s="188"/>
      <c r="Y430" s="188"/>
      <c r="Z430" s="188" t="s">
        <v>128</v>
      </c>
      <c r="AA430" s="188">
        <v>1</v>
      </c>
      <c r="AB430" s="188">
        <v>99999999</v>
      </c>
      <c r="AC430" s="188">
        <v>0</v>
      </c>
      <c r="AD430" s="188">
        <v>0</v>
      </c>
      <c r="AE430" s="188">
        <v>0</v>
      </c>
      <c r="AF430" s="188">
        <v>0</v>
      </c>
      <c r="AG430" s="188">
        <v>0</v>
      </c>
      <c r="AH430" s="188">
        <v>0</v>
      </c>
      <c r="AI430" s="188">
        <v>0</v>
      </c>
      <c r="AJ430" s="188">
        <v>0</v>
      </c>
      <c r="AK430" s="188">
        <v>1</v>
      </c>
      <c r="AL430" s="188">
        <v>1</v>
      </c>
      <c r="AM430" s="188">
        <v>0</v>
      </c>
      <c r="AN430" s="188">
        <v>0</v>
      </c>
      <c r="AO430" s="188" t="s">
        <v>396</v>
      </c>
      <c r="AP430" s="188" t="s">
        <v>128</v>
      </c>
      <c r="AQ430" s="188" t="s">
        <v>399</v>
      </c>
      <c r="AR430" s="188">
        <v>0</v>
      </c>
      <c r="AS430" s="188">
        <v>0</v>
      </c>
      <c r="AT430" s="188">
        <v>1</v>
      </c>
      <c r="AU430" s="188">
        <v>0</v>
      </c>
      <c r="AV430" s="188">
        <v>0</v>
      </c>
      <c r="AW430" s="188">
        <v>0</v>
      </c>
      <c r="AX430" s="188">
        <v>0</v>
      </c>
      <c r="AY430" s="188">
        <v>1</v>
      </c>
      <c r="AZ430" s="188">
        <v>0</v>
      </c>
      <c r="BA430" s="188">
        <v>39864.674351851849</v>
      </c>
      <c r="BB430" s="188">
        <v>440393</v>
      </c>
      <c r="BC430" s="188">
        <v>440393</v>
      </c>
      <c r="BD430" s="188">
        <v>45482.05810185185</v>
      </c>
      <c r="BE430" s="188" t="s">
        <v>400</v>
      </c>
      <c r="BF430" s="243" t="s">
        <v>400</v>
      </c>
      <c r="BG430"/>
    </row>
    <row r="431" spans="1:59" s="27" customFormat="1" ht="15">
      <c r="B431" s="144" t="s">
        <v>297</v>
      </c>
      <c r="C431" s="188" t="s">
        <v>473</v>
      </c>
      <c r="D431" s="169" t="s">
        <v>408</v>
      </c>
      <c r="E431" s="170" t="s">
        <v>479</v>
      </c>
      <c r="F431" s="188">
        <v>1</v>
      </c>
      <c r="G431" s="188" t="s">
        <v>293</v>
      </c>
      <c r="H431" s="188" t="s">
        <v>293</v>
      </c>
      <c r="I431" s="188" t="s">
        <v>294</v>
      </c>
      <c r="J431" s="188" t="s">
        <v>294</v>
      </c>
      <c r="K431" s="188" t="s">
        <v>128</v>
      </c>
      <c r="L431" s="188" t="s">
        <v>128</v>
      </c>
      <c r="M431" s="188" t="s">
        <v>128</v>
      </c>
      <c r="N431" s="188" t="s">
        <v>128</v>
      </c>
      <c r="O431" s="188" t="s">
        <v>397</v>
      </c>
      <c r="P431" s="188" t="s">
        <v>294</v>
      </c>
      <c r="Q431" s="188" t="s">
        <v>474</v>
      </c>
      <c r="R431" s="188" t="s">
        <v>398</v>
      </c>
      <c r="S431" s="188" t="s">
        <v>475</v>
      </c>
      <c r="T431" s="188" t="s">
        <v>476</v>
      </c>
      <c r="U431" s="188" t="s">
        <v>156</v>
      </c>
      <c r="V431" s="188" t="s">
        <v>477</v>
      </c>
      <c r="W431" s="188" t="s">
        <v>477</v>
      </c>
      <c r="X431" s="188"/>
      <c r="Y431" s="188"/>
      <c r="Z431" s="188" t="s">
        <v>128</v>
      </c>
      <c r="AA431" s="188">
        <v>1</v>
      </c>
      <c r="AB431" s="188">
        <v>99999999</v>
      </c>
      <c r="AC431" s="188">
        <v>0</v>
      </c>
      <c r="AD431" s="188">
        <v>0</v>
      </c>
      <c r="AE431" s="188">
        <v>0</v>
      </c>
      <c r="AF431" s="188">
        <v>0</v>
      </c>
      <c r="AG431" s="188">
        <v>0</v>
      </c>
      <c r="AH431" s="188">
        <v>0</v>
      </c>
      <c r="AI431" s="188">
        <v>0</v>
      </c>
      <c r="AJ431" s="188">
        <v>0</v>
      </c>
      <c r="AK431" s="188">
        <v>1</v>
      </c>
      <c r="AL431" s="188">
        <v>1</v>
      </c>
      <c r="AM431" s="188">
        <v>0</v>
      </c>
      <c r="AN431" s="188">
        <v>0</v>
      </c>
      <c r="AO431" s="188" t="s">
        <v>396</v>
      </c>
      <c r="AP431" s="188" t="s">
        <v>128</v>
      </c>
      <c r="AQ431" s="188" t="s">
        <v>399</v>
      </c>
      <c r="AR431" s="188">
        <v>0</v>
      </c>
      <c r="AS431" s="188">
        <v>0</v>
      </c>
      <c r="AT431" s="188">
        <v>1</v>
      </c>
      <c r="AU431" s="188">
        <v>0</v>
      </c>
      <c r="AV431" s="188">
        <v>0</v>
      </c>
      <c r="AW431" s="188">
        <v>0</v>
      </c>
      <c r="AX431" s="188">
        <v>0</v>
      </c>
      <c r="AY431" s="188">
        <v>1</v>
      </c>
      <c r="AZ431" s="188">
        <v>0</v>
      </c>
      <c r="BA431" s="188">
        <v>39864.674351851849</v>
      </c>
      <c r="BB431" s="188">
        <v>440393</v>
      </c>
      <c r="BC431" s="188">
        <v>440393</v>
      </c>
      <c r="BD431" s="188">
        <v>45482.05810185185</v>
      </c>
      <c r="BE431" s="188" t="s">
        <v>400</v>
      </c>
      <c r="BF431" s="243" t="s">
        <v>400</v>
      </c>
      <c r="BG431"/>
    </row>
    <row r="432" spans="1:59">
      <c r="B432" s="148"/>
      <c r="BF432" s="130"/>
    </row>
    <row r="433" spans="2:58">
      <c r="B433" s="148"/>
      <c r="C433" s="175" t="s">
        <v>439</v>
      </c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BF433" s="130"/>
    </row>
    <row r="434" spans="2:58" ht="15">
      <c r="B434" s="148"/>
      <c r="C434" s="118"/>
      <c r="D434" s="174"/>
      <c r="E434" s="118"/>
      <c r="F434" s="118" t="s">
        <v>141</v>
      </c>
      <c r="G434" s="174"/>
      <c r="H434" s="174"/>
      <c r="I434" s="174"/>
      <c r="J434" s="174"/>
      <c r="K434" s="174"/>
      <c r="L434" s="174"/>
      <c r="M434" s="174"/>
      <c r="BF434" s="130"/>
    </row>
    <row r="435" spans="2:58">
      <c r="B435" s="148"/>
      <c r="C435" s="153" t="s">
        <v>448</v>
      </c>
      <c r="D435" s="117" t="s">
        <v>442</v>
      </c>
      <c r="E435" s="153" t="s">
        <v>449</v>
      </c>
      <c r="F435" s="117" t="s">
        <v>443</v>
      </c>
      <c r="G435" s="123" t="s">
        <v>222</v>
      </c>
      <c r="H435" s="123" t="s">
        <v>223</v>
      </c>
      <c r="I435" s="123" t="s">
        <v>224</v>
      </c>
      <c r="J435" s="123" t="s">
        <v>225</v>
      </c>
      <c r="K435" s="123" t="s">
        <v>123</v>
      </c>
      <c r="L435" s="123" t="s">
        <v>124</v>
      </c>
      <c r="M435" s="123" t="s">
        <v>226</v>
      </c>
      <c r="BF435" s="130"/>
    </row>
    <row r="436" spans="2:58" ht="14">
      <c r="B436" s="148"/>
      <c r="C436" s="187" t="s">
        <v>450</v>
      </c>
      <c r="D436" s="117" t="s">
        <v>440</v>
      </c>
      <c r="E436" s="187" t="s">
        <v>452</v>
      </c>
      <c r="F436" s="117" t="s">
        <v>441</v>
      </c>
      <c r="G436" s="117" t="s">
        <v>205</v>
      </c>
      <c r="H436" s="117" t="s">
        <v>206</v>
      </c>
      <c r="I436" s="117" t="s">
        <v>207</v>
      </c>
      <c r="J436" s="117" t="s">
        <v>208</v>
      </c>
      <c r="K436" s="117" t="s">
        <v>209</v>
      </c>
      <c r="L436" s="117" t="s">
        <v>210</v>
      </c>
      <c r="M436" s="117" t="s">
        <v>211</v>
      </c>
      <c r="BF436" s="130"/>
    </row>
    <row r="437" spans="2:58" ht="14">
      <c r="B437" s="148"/>
      <c r="C437" s="187" t="s">
        <v>451</v>
      </c>
      <c r="D437" s="149" t="s">
        <v>445</v>
      </c>
      <c r="E437" s="187" t="s">
        <v>453</v>
      </c>
      <c r="F437" s="149" t="s">
        <v>230</v>
      </c>
      <c r="G437" s="149" t="s">
        <v>444</v>
      </c>
      <c r="H437" s="149" t="s">
        <v>234</v>
      </c>
      <c r="I437" s="149" t="s">
        <v>235</v>
      </c>
      <c r="J437" s="149" t="s">
        <v>235</v>
      </c>
      <c r="K437" s="149" t="s">
        <v>147</v>
      </c>
      <c r="L437" s="149" t="s">
        <v>235</v>
      </c>
      <c r="M437" s="149" t="s">
        <v>235</v>
      </c>
      <c r="BF437" s="130"/>
    </row>
    <row r="438" spans="2:58" ht="14">
      <c r="B438" s="144" t="s">
        <v>297</v>
      </c>
      <c r="C438" s="188" t="s">
        <v>410</v>
      </c>
      <c r="D438" s="188" t="s">
        <v>454</v>
      </c>
      <c r="E438" s="170" t="s">
        <v>565</v>
      </c>
      <c r="F438" s="188" t="s">
        <v>156</v>
      </c>
      <c r="G438" s="188" t="s">
        <v>294</v>
      </c>
      <c r="H438" s="188" t="s">
        <v>456</v>
      </c>
      <c r="I438" s="188" t="s">
        <v>457</v>
      </c>
      <c r="J438" s="188" t="s">
        <v>457</v>
      </c>
      <c r="K438" s="188" t="s">
        <v>458</v>
      </c>
      <c r="L438" s="188" t="s">
        <v>459</v>
      </c>
      <c r="M438" s="188" t="s">
        <v>459</v>
      </c>
      <c r="BF438" s="130"/>
    </row>
    <row r="439" spans="2:58" ht="14">
      <c r="B439" s="144" t="s">
        <v>297</v>
      </c>
      <c r="C439" s="193" t="s">
        <v>410</v>
      </c>
      <c r="D439" s="193" t="s">
        <v>569</v>
      </c>
      <c r="E439" s="170" t="s">
        <v>570</v>
      </c>
      <c r="F439" s="193" t="s">
        <v>156</v>
      </c>
      <c r="G439" s="193" t="s">
        <v>294</v>
      </c>
      <c r="H439" s="193" t="s">
        <v>456</v>
      </c>
      <c r="I439" s="193" t="s">
        <v>457</v>
      </c>
      <c r="J439" s="193" t="s">
        <v>457</v>
      </c>
      <c r="K439" s="193" t="s">
        <v>458</v>
      </c>
      <c r="L439" s="193" t="s">
        <v>459</v>
      </c>
      <c r="M439" s="193" t="s">
        <v>459</v>
      </c>
      <c r="BF439" s="130"/>
    </row>
    <row r="440" spans="2:58" ht="14">
      <c r="B440" s="144" t="s">
        <v>297</v>
      </c>
      <c r="C440" s="193" t="s">
        <v>410</v>
      </c>
      <c r="D440" s="193" t="s">
        <v>569</v>
      </c>
      <c r="E440" s="170" t="s">
        <v>571</v>
      </c>
      <c r="F440" s="193" t="s">
        <v>156</v>
      </c>
      <c r="G440" s="193" t="s">
        <v>294</v>
      </c>
      <c r="H440" s="193" t="s">
        <v>456</v>
      </c>
      <c r="I440" s="193" t="s">
        <v>457</v>
      </c>
      <c r="J440" s="193" t="s">
        <v>457</v>
      </c>
      <c r="K440" s="193" t="s">
        <v>458</v>
      </c>
      <c r="L440" s="193" t="s">
        <v>459</v>
      </c>
      <c r="M440" s="193" t="s">
        <v>459</v>
      </c>
      <c r="BF440" s="130"/>
    </row>
    <row r="441" spans="2:58" ht="14">
      <c r="B441" s="142" t="s">
        <v>292</v>
      </c>
      <c r="C441" s="188" t="s">
        <v>410</v>
      </c>
      <c r="D441" s="189" t="s">
        <v>454</v>
      </c>
      <c r="E441" s="189" t="s">
        <v>455</v>
      </c>
      <c r="F441" s="189" t="s">
        <v>294</v>
      </c>
      <c r="G441" s="189" t="s">
        <v>294</v>
      </c>
      <c r="H441" s="192" t="s">
        <v>456</v>
      </c>
      <c r="I441" s="189" t="s">
        <v>457</v>
      </c>
      <c r="J441" s="189" t="s">
        <v>457</v>
      </c>
      <c r="K441" s="189" t="s">
        <v>458</v>
      </c>
      <c r="L441" s="189" t="s">
        <v>459</v>
      </c>
      <c r="M441" s="193" t="s">
        <v>459</v>
      </c>
      <c r="BF441" s="130"/>
    </row>
    <row r="442" spans="2:58" ht="14">
      <c r="B442" s="144" t="s">
        <v>297</v>
      </c>
      <c r="C442" s="193" t="s">
        <v>410</v>
      </c>
      <c r="D442" s="193" t="s">
        <v>569</v>
      </c>
      <c r="E442" s="170" t="s">
        <v>573</v>
      </c>
      <c r="F442" s="193" t="s">
        <v>294</v>
      </c>
      <c r="G442" s="193" t="s">
        <v>294</v>
      </c>
      <c r="H442" s="193" t="s">
        <v>456</v>
      </c>
      <c r="I442" s="193" t="s">
        <v>457</v>
      </c>
      <c r="J442" s="193" t="s">
        <v>457</v>
      </c>
      <c r="K442" s="193" t="s">
        <v>458</v>
      </c>
      <c r="L442" s="193" t="s">
        <v>459</v>
      </c>
      <c r="M442" s="193" t="s">
        <v>459</v>
      </c>
      <c r="BF442" s="130"/>
    </row>
    <row r="443" spans="2:58">
      <c r="B443" s="148"/>
      <c r="BF443" s="130"/>
    </row>
    <row r="444" spans="2:58" ht="13.5">
      <c r="B444" s="148"/>
      <c r="C444" s="136" t="s">
        <v>125</v>
      </c>
      <c r="BF444" s="130"/>
    </row>
    <row r="445" spans="2:58" ht="13.5">
      <c r="B445" s="148"/>
      <c r="C445" s="266" t="s">
        <v>401</v>
      </c>
      <c r="D445" s="266" t="s">
        <v>402</v>
      </c>
      <c r="E445" s="266" t="s">
        <v>131</v>
      </c>
      <c r="F445" s="266" t="s">
        <v>403</v>
      </c>
      <c r="G445" s="266" t="s">
        <v>404</v>
      </c>
      <c r="BF445" s="130"/>
    </row>
    <row r="446" spans="2:58" ht="13.5">
      <c r="B446" s="148"/>
      <c r="C446" s="266">
        <v>0</v>
      </c>
      <c r="D446" s="266"/>
      <c r="E446" s="266"/>
      <c r="F446" s="266"/>
      <c r="G446" s="266"/>
      <c r="BF446" s="130"/>
    </row>
    <row r="447" spans="2:58" ht="13.5" thickBot="1">
      <c r="B447" s="148"/>
      <c r="BF447" s="130"/>
    </row>
    <row r="448" spans="2:58" ht="14" thickBot="1">
      <c r="B448" s="132" t="s">
        <v>591</v>
      </c>
      <c r="C448" s="133" t="s">
        <v>590</v>
      </c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236"/>
    </row>
    <row r="449" spans="1:59" ht="14" thickBot="1">
      <c r="B449" s="134" t="s">
        <v>736</v>
      </c>
      <c r="C449" s="133" t="s">
        <v>434</v>
      </c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236"/>
    </row>
    <row r="450" spans="1:59">
      <c r="B450" s="148"/>
      <c r="BF450" s="130"/>
    </row>
    <row r="451" spans="1:59" ht="13.5">
      <c r="B451" s="148"/>
      <c r="C451" s="136" t="s">
        <v>241</v>
      </c>
      <c r="BF451" s="130"/>
    </row>
    <row r="452" spans="1:59" ht="13.5">
      <c r="B452" s="148"/>
      <c r="C452" s="136" t="s">
        <v>592</v>
      </c>
      <c r="BF452" s="130"/>
    </row>
    <row r="453" spans="1:59">
      <c r="B453" s="148"/>
      <c r="BF453" s="130"/>
    </row>
    <row r="454" spans="1:59" s="27" customFormat="1" ht="19.5" customHeight="1">
      <c r="B454" s="223"/>
      <c r="C454" s="137" t="s">
        <v>472</v>
      </c>
      <c r="D454" s="138"/>
      <c r="E454" s="138"/>
      <c r="F454" s="138"/>
      <c r="G454" s="138"/>
      <c r="H454" s="95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93"/>
      <c r="T454" s="93"/>
      <c r="U454" s="93"/>
      <c r="V454" s="93"/>
      <c r="W454" s="93"/>
      <c r="X454" s="93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138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238"/>
      <c r="BG454"/>
    </row>
    <row r="455" spans="1:59" s="73" customFormat="1" ht="16.5" customHeight="1">
      <c r="A455" s="71"/>
      <c r="B455" s="224"/>
      <c r="C455" s="140"/>
      <c r="D455" s="140"/>
      <c r="E455" s="140"/>
      <c r="F455" s="141" t="s">
        <v>141</v>
      </c>
      <c r="G455" s="146"/>
      <c r="H455" s="146"/>
      <c r="I455" s="141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1"/>
      <c r="AL455" s="147"/>
      <c r="AM455" s="147"/>
      <c r="AN455" s="147"/>
      <c r="AO455" s="141"/>
      <c r="AP455" s="147"/>
      <c r="AQ455" s="147"/>
      <c r="AR455" s="141"/>
      <c r="AS455" s="147"/>
      <c r="AT455" s="147"/>
      <c r="AU455" s="147"/>
      <c r="AV455" s="147"/>
      <c r="AW455" s="147"/>
      <c r="AX455" s="147"/>
      <c r="AY455" s="147"/>
      <c r="AZ455" s="147"/>
      <c r="BA455" s="147"/>
      <c r="BB455" s="147"/>
      <c r="BC455" s="147"/>
      <c r="BD455" s="147"/>
      <c r="BE455" s="147"/>
      <c r="BF455" s="239"/>
      <c r="BG455"/>
    </row>
    <row r="456" spans="1:59" s="80" customFormat="1" ht="86" customHeight="1">
      <c r="B456" s="225"/>
      <c r="C456" s="116" t="s">
        <v>300</v>
      </c>
      <c r="D456" s="116" t="s">
        <v>301</v>
      </c>
      <c r="E456" s="116" t="s">
        <v>302</v>
      </c>
      <c r="F456" s="123" t="s">
        <v>337</v>
      </c>
      <c r="G456" s="123" t="s">
        <v>303</v>
      </c>
      <c r="H456" s="123" t="s">
        <v>244</v>
      </c>
      <c r="I456" s="123" t="s">
        <v>305</v>
      </c>
      <c r="J456" s="123" t="s">
        <v>306</v>
      </c>
      <c r="K456" s="123" t="s">
        <v>307</v>
      </c>
      <c r="L456" s="123" t="s">
        <v>308</v>
      </c>
      <c r="M456" s="123" t="s">
        <v>309</v>
      </c>
      <c r="N456" s="123" t="s">
        <v>310</v>
      </c>
      <c r="O456" s="123" t="s">
        <v>311</v>
      </c>
      <c r="P456" s="123" t="s">
        <v>312</v>
      </c>
      <c r="Q456" s="123" t="s">
        <v>313</v>
      </c>
      <c r="R456" s="123" t="s">
        <v>314</v>
      </c>
      <c r="S456" s="123" t="s">
        <v>315</v>
      </c>
      <c r="T456" s="123" t="s">
        <v>316</v>
      </c>
      <c r="U456" s="123" t="s">
        <v>317</v>
      </c>
      <c r="V456" s="123" t="s">
        <v>318</v>
      </c>
      <c r="W456" s="123" t="s">
        <v>319</v>
      </c>
      <c r="X456" s="123" t="s">
        <v>320</v>
      </c>
      <c r="Y456" s="123" t="s">
        <v>321</v>
      </c>
      <c r="Z456" s="123" t="s">
        <v>322</v>
      </c>
      <c r="AA456" s="123" t="s">
        <v>323</v>
      </c>
      <c r="AB456" s="123" t="s">
        <v>324</v>
      </c>
      <c r="AC456" s="123" t="s">
        <v>325</v>
      </c>
      <c r="AD456" s="123" t="s">
        <v>326</v>
      </c>
      <c r="AE456" s="123" t="s">
        <v>327</v>
      </c>
      <c r="AF456" s="123" t="s">
        <v>328</v>
      </c>
      <c r="AG456" s="123" t="s">
        <v>329</v>
      </c>
      <c r="AH456" s="123" t="s">
        <v>330</v>
      </c>
      <c r="AI456" s="123" t="s">
        <v>331</v>
      </c>
      <c r="AJ456" s="123" t="s">
        <v>332</v>
      </c>
      <c r="AK456" s="123" t="s">
        <v>333</v>
      </c>
      <c r="AL456" s="123" t="s">
        <v>334</v>
      </c>
      <c r="AM456" s="123" t="s">
        <v>335</v>
      </c>
      <c r="AN456" s="123" t="s">
        <v>336</v>
      </c>
      <c r="AO456" s="123" t="s">
        <v>304</v>
      </c>
      <c r="AP456" s="123" t="s">
        <v>338</v>
      </c>
      <c r="AQ456" s="123" t="s">
        <v>339</v>
      </c>
      <c r="AR456" s="123" t="s">
        <v>340</v>
      </c>
      <c r="AS456" s="123" t="s">
        <v>341</v>
      </c>
      <c r="AT456" s="123" t="s">
        <v>342</v>
      </c>
      <c r="AU456" s="123" t="s">
        <v>343</v>
      </c>
      <c r="AV456" s="123" t="s">
        <v>344</v>
      </c>
      <c r="AW456" s="123" t="s">
        <v>345</v>
      </c>
      <c r="AX456" s="123" t="s">
        <v>346</v>
      </c>
      <c r="AY456" s="123" t="s">
        <v>347</v>
      </c>
      <c r="AZ456" s="123" t="s">
        <v>222</v>
      </c>
      <c r="BA456" s="123" t="s">
        <v>223</v>
      </c>
      <c r="BB456" s="123" t="s">
        <v>224</v>
      </c>
      <c r="BC456" s="123" t="s">
        <v>225</v>
      </c>
      <c r="BD456" s="123" t="s">
        <v>123</v>
      </c>
      <c r="BE456" s="123" t="s">
        <v>124</v>
      </c>
      <c r="BF456" s="240" t="s">
        <v>226</v>
      </c>
      <c r="BG456"/>
    </row>
    <row r="457" spans="1:59" s="80" customFormat="1">
      <c r="B457" s="225"/>
      <c r="C457" s="116" t="s">
        <v>261</v>
      </c>
      <c r="D457" s="116" t="s">
        <v>262</v>
      </c>
      <c r="E457" s="116" t="s">
        <v>263</v>
      </c>
      <c r="F457" s="117" t="s">
        <v>200</v>
      </c>
      <c r="G457" s="117" t="s">
        <v>266</v>
      </c>
      <c r="H457" s="117" t="s">
        <v>265</v>
      </c>
      <c r="I457" s="117" t="s">
        <v>349</v>
      </c>
      <c r="J457" s="117" t="s">
        <v>350</v>
      </c>
      <c r="K457" s="117" t="s">
        <v>351</v>
      </c>
      <c r="L457" s="117" t="s">
        <v>352</v>
      </c>
      <c r="M457" s="117" t="s">
        <v>353</v>
      </c>
      <c r="N457" s="117" t="s">
        <v>354</v>
      </c>
      <c r="O457" s="117" t="s">
        <v>355</v>
      </c>
      <c r="P457" s="117" t="s">
        <v>356</v>
      </c>
      <c r="Q457" s="117" t="s">
        <v>357</v>
      </c>
      <c r="R457" s="117" t="s">
        <v>358</v>
      </c>
      <c r="S457" s="117" t="s">
        <v>359</v>
      </c>
      <c r="T457" s="117" t="s">
        <v>360</v>
      </c>
      <c r="U457" s="117" t="s">
        <v>361</v>
      </c>
      <c r="V457" s="117" t="s">
        <v>362</v>
      </c>
      <c r="W457" s="117" t="s">
        <v>363</v>
      </c>
      <c r="X457" s="117" t="s">
        <v>364</v>
      </c>
      <c r="Y457" s="117" t="s">
        <v>365</v>
      </c>
      <c r="Z457" s="117" t="s">
        <v>366</v>
      </c>
      <c r="AA457" s="117" t="s">
        <v>367</v>
      </c>
      <c r="AB457" s="117" t="s">
        <v>368</v>
      </c>
      <c r="AC457" s="117" t="s">
        <v>369</v>
      </c>
      <c r="AD457" s="117" t="s">
        <v>370</v>
      </c>
      <c r="AE457" s="117" t="s">
        <v>371</v>
      </c>
      <c r="AF457" s="117" t="s">
        <v>372</v>
      </c>
      <c r="AG457" s="117" t="s">
        <v>373</v>
      </c>
      <c r="AH457" s="117" t="s">
        <v>374</v>
      </c>
      <c r="AI457" s="117" t="s">
        <v>375</v>
      </c>
      <c r="AJ457" s="117" t="s">
        <v>376</v>
      </c>
      <c r="AK457" s="117" t="s">
        <v>199</v>
      </c>
      <c r="AL457" s="117" t="s">
        <v>377</v>
      </c>
      <c r="AM457" s="117" t="s">
        <v>378</v>
      </c>
      <c r="AN457" s="117" t="s">
        <v>379</v>
      </c>
      <c r="AO457" s="117" t="s">
        <v>348</v>
      </c>
      <c r="AP457" s="117" t="s">
        <v>380</v>
      </c>
      <c r="AQ457" s="117" t="s">
        <v>381</v>
      </c>
      <c r="AR457" s="117" t="s">
        <v>382</v>
      </c>
      <c r="AS457" s="117" t="s">
        <v>383</v>
      </c>
      <c r="AT457" s="117" t="s">
        <v>384</v>
      </c>
      <c r="AU457" s="117" t="s">
        <v>385</v>
      </c>
      <c r="AV457" s="117" t="s">
        <v>386</v>
      </c>
      <c r="AW457" s="117" t="s">
        <v>387</v>
      </c>
      <c r="AX457" s="117" t="s">
        <v>388</v>
      </c>
      <c r="AY457" s="117" t="s">
        <v>389</v>
      </c>
      <c r="AZ457" s="117" t="s">
        <v>205</v>
      </c>
      <c r="BA457" s="117" t="s">
        <v>206</v>
      </c>
      <c r="BB457" s="117" t="s">
        <v>207</v>
      </c>
      <c r="BC457" s="117" t="s">
        <v>208</v>
      </c>
      <c r="BD457" s="117" t="s">
        <v>209</v>
      </c>
      <c r="BE457" s="117" t="s">
        <v>210</v>
      </c>
      <c r="BF457" s="241" t="s">
        <v>211</v>
      </c>
      <c r="BG457"/>
    </row>
    <row r="458" spans="1:59" s="70" customFormat="1" ht="13.5" customHeight="1">
      <c r="B458" s="226"/>
      <c r="C458" s="116" t="s">
        <v>282</v>
      </c>
      <c r="D458" s="116" t="s">
        <v>390</v>
      </c>
      <c r="E458" s="116" t="s">
        <v>227</v>
      </c>
      <c r="F458" s="145" t="s">
        <v>228</v>
      </c>
      <c r="G458" s="145" t="s">
        <v>230</v>
      </c>
      <c r="H458" s="145" t="s">
        <v>230</v>
      </c>
      <c r="I458" s="145" t="s">
        <v>230</v>
      </c>
      <c r="J458" s="145" t="s">
        <v>230</v>
      </c>
      <c r="K458" s="145" t="s">
        <v>391</v>
      </c>
      <c r="L458" s="145" t="s">
        <v>391</v>
      </c>
      <c r="M458" s="145" t="s">
        <v>227</v>
      </c>
      <c r="N458" s="145" t="s">
        <v>392</v>
      </c>
      <c r="O458" s="145" t="s">
        <v>230</v>
      </c>
      <c r="P458" s="145" t="s">
        <v>288</v>
      </c>
      <c r="Q458" s="145" t="s">
        <v>284</v>
      </c>
      <c r="R458" s="145" t="s">
        <v>288</v>
      </c>
      <c r="S458" s="145" t="s">
        <v>284</v>
      </c>
      <c r="T458" s="145" t="s">
        <v>284</v>
      </c>
      <c r="U458" s="145" t="s">
        <v>230</v>
      </c>
      <c r="V458" s="145" t="s">
        <v>393</v>
      </c>
      <c r="W458" s="145" t="s">
        <v>393</v>
      </c>
      <c r="X458" s="145" t="s">
        <v>228</v>
      </c>
      <c r="Y458" s="145" t="s">
        <v>392</v>
      </c>
      <c r="Z458" s="145" t="s">
        <v>392</v>
      </c>
      <c r="AA458" s="145" t="s">
        <v>284</v>
      </c>
      <c r="AB458" s="145" t="s">
        <v>287</v>
      </c>
      <c r="AC458" s="145" t="s">
        <v>288</v>
      </c>
      <c r="AD458" s="145" t="s">
        <v>288</v>
      </c>
      <c r="AE458" s="145" t="s">
        <v>394</v>
      </c>
      <c r="AF458" s="145" t="s">
        <v>394</v>
      </c>
      <c r="AG458" s="145" t="s">
        <v>288</v>
      </c>
      <c r="AH458" s="145" t="s">
        <v>288</v>
      </c>
      <c r="AI458" s="145" t="s">
        <v>394</v>
      </c>
      <c r="AJ458" s="145" t="s">
        <v>394</v>
      </c>
      <c r="AK458" s="145" t="s">
        <v>230</v>
      </c>
      <c r="AL458" s="145" t="s">
        <v>230</v>
      </c>
      <c r="AM458" s="145" t="s">
        <v>230</v>
      </c>
      <c r="AN458" s="145" t="s">
        <v>230</v>
      </c>
      <c r="AO458" s="145" t="s">
        <v>230</v>
      </c>
      <c r="AP458" s="145" t="s">
        <v>227</v>
      </c>
      <c r="AQ458" s="145" t="s">
        <v>230</v>
      </c>
      <c r="AR458" s="145" t="s">
        <v>284</v>
      </c>
      <c r="AS458" s="145" t="s">
        <v>284</v>
      </c>
      <c r="AT458" s="145" t="s">
        <v>230</v>
      </c>
      <c r="AU458" s="145" t="s">
        <v>395</v>
      </c>
      <c r="AV458" s="145" t="s">
        <v>288</v>
      </c>
      <c r="AW458" s="145" t="s">
        <v>228</v>
      </c>
      <c r="AX458" s="145" t="s">
        <v>230</v>
      </c>
      <c r="AY458" s="145" t="s">
        <v>230</v>
      </c>
      <c r="AZ458" s="145" t="s">
        <v>233</v>
      </c>
      <c r="BA458" s="145" t="s">
        <v>234</v>
      </c>
      <c r="BB458" s="145" t="s">
        <v>235</v>
      </c>
      <c r="BC458" s="145" t="s">
        <v>235</v>
      </c>
      <c r="BD458" s="145" t="s">
        <v>234</v>
      </c>
      <c r="BE458" s="145" t="s">
        <v>235</v>
      </c>
      <c r="BF458" s="242" t="s">
        <v>235</v>
      </c>
      <c r="BG458"/>
    </row>
    <row r="459" spans="1:59" s="27" customFormat="1" ht="15">
      <c r="B459" s="142" t="s">
        <v>292</v>
      </c>
      <c r="C459" s="188" t="s">
        <v>473</v>
      </c>
      <c r="D459" s="188" t="s">
        <v>408</v>
      </c>
      <c r="E459" s="188" t="s">
        <v>408</v>
      </c>
      <c r="F459" s="188">
        <v>1</v>
      </c>
      <c r="G459" s="188" t="s">
        <v>293</v>
      </c>
      <c r="H459" s="188" t="s">
        <v>293</v>
      </c>
      <c r="I459" s="188" t="s">
        <v>294</v>
      </c>
      <c r="J459" s="188" t="s">
        <v>294</v>
      </c>
      <c r="K459" s="188" t="s">
        <v>128</v>
      </c>
      <c r="L459" s="188" t="s">
        <v>128</v>
      </c>
      <c r="M459" s="188" t="s">
        <v>128</v>
      </c>
      <c r="N459" s="188" t="s">
        <v>128</v>
      </c>
      <c r="O459" s="188" t="s">
        <v>397</v>
      </c>
      <c r="P459" s="188" t="s">
        <v>294</v>
      </c>
      <c r="Q459" s="188" t="s">
        <v>474</v>
      </c>
      <c r="R459" s="188" t="s">
        <v>398</v>
      </c>
      <c r="S459" s="188" t="s">
        <v>475</v>
      </c>
      <c r="T459" s="188" t="s">
        <v>476</v>
      </c>
      <c r="U459" s="188" t="s">
        <v>156</v>
      </c>
      <c r="V459" s="188" t="s">
        <v>477</v>
      </c>
      <c r="W459" s="188" t="s">
        <v>477</v>
      </c>
      <c r="X459" s="188"/>
      <c r="Y459" s="188"/>
      <c r="Z459" s="188" t="s">
        <v>128</v>
      </c>
      <c r="AA459" s="188">
        <v>1</v>
      </c>
      <c r="AB459" s="188">
        <v>99999999</v>
      </c>
      <c r="AC459" s="188">
        <v>0</v>
      </c>
      <c r="AD459" s="188">
        <v>0</v>
      </c>
      <c r="AE459" s="188">
        <v>0</v>
      </c>
      <c r="AF459" s="188">
        <v>0</v>
      </c>
      <c r="AG459" s="188">
        <v>0</v>
      </c>
      <c r="AH459" s="188">
        <v>0</v>
      </c>
      <c r="AI459" s="188">
        <v>0</v>
      </c>
      <c r="AJ459" s="188">
        <v>0</v>
      </c>
      <c r="AK459" s="188">
        <v>1</v>
      </c>
      <c r="AL459" s="188">
        <v>1</v>
      </c>
      <c r="AM459" s="188">
        <v>0</v>
      </c>
      <c r="AN459" s="188">
        <v>0</v>
      </c>
      <c r="AO459" s="251" t="s">
        <v>396</v>
      </c>
      <c r="AP459" s="188" t="s">
        <v>128</v>
      </c>
      <c r="AQ459" s="188" t="s">
        <v>399</v>
      </c>
      <c r="AR459" s="188">
        <v>0</v>
      </c>
      <c r="AS459" s="188">
        <v>0</v>
      </c>
      <c r="AT459" s="188">
        <v>1</v>
      </c>
      <c r="AU459" s="188">
        <v>0</v>
      </c>
      <c r="AV459" s="188">
        <v>0</v>
      </c>
      <c r="AW459" s="188">
        <v>0</v>
      </c>
      <c r="AX459" s="188">
        <v>0</v>
      </c>
      <c r="AY459" s="188">
        <v>1</v>
      </c>
      <c r="AZ459" s="188">
        <v>0</v>
      </c>
      <c r="BA459" s="188">
        <v>39864.674351851849</v>
      </c>
      <c r="BB459" s="188">
        <v>440393</v>
      </c>
      <c r="BC459" s="188">
        <v>440393</v>
      </c>
      <c r="BD459" s="188">
        <v>45482.05810185185</v>
      </c>
      <c r="BE459" s="188" t="s">
        <v>400</v>
      </c>
      <c r="BF459" s="243" t="s">
        <v>400</v>
      </c>
      <c r="BG459"/>
    </row>
    <row r="460" spans="1:59" s="27" customFormat="1" ht="15">
      <c r="B460" s="144" t="s">
        <v>297</v>
      </c>
      <c r="C460" s="188" t="s">
        <v>473</v>
      </c>
      <c r="D460" s="188" t="s">
        <v>408</v>
      </c>
      <c r="E460" s="170" t="s">
        <v>478</v>
      </c>
      <c r="F460" s="188">
        <v>1</v>
      </c>
      <c r="G460" s="188" t="s">
        <v>293</v>
      </c>
      <c r="H460" s="188" t="s">
        <v>293</v>
      </c>
      <c r="I460" s="188" t="s">
        <v>294</v>
      </c>
      <c r="J460" s="188" t="s">
        <v>294</v>
      </c>
      <c r="K460" s="188" t="s">
        <v>128</v>
      </c>
      <c r="L460" s="188" t="s">
        <v>128</v>
      </c>
      <c r="M460" s="188" t="s">
        <v>128</v>
      </c>
      <c r="N460" s="188" t="s">
        <v>128</v>
      </c>
      <c r="O460" s="188" t="s">
        <v>397</v>
      </c>
      <c r="P460" s="188" t="s">
        <v>294</v>
      </c>
      <c r="Q460" s="188" t="s">
        <v>474</v>
      </c>
      <c r="R460" s="188" t="s">
        <v>398</v>
      </c>
      <c r="S460" s="188" t="s">
        <v>475</v>
      </c>
      <c r="T460" s="188" t="s">
        <v>476</v>
      </c>
      <c r="U460" s="188" t="s">
        <v>156</v>
      </c>
      <c r="V460" s="188" t="s">
        <v>477</v>
      </c>
      <c r="W460" s="188" t="s">
        <v>477</v>
      </c>
      <c r="X460" s="188"/>
      <c r="Y460" s="188"/>
      <c r="Z460" s="188" t="s">
        <v>128</v>
      </c>
      <c r="AA460" s="188">
        <v>1</v>
      </c>
      <c r="AB460" s="188">
        <v>99999999</v>
      </c>
      <c r="AC460" s="188">
        <v>0</v>
      </c>
      <c r="AD460" s="188">
        <v>0</v>
      </c>
      <c r="AE460" s="188">
        <v>0</v>
      </c>
      <c r="AF460" s="188">
        <v>0</v>
      </c>
      <c r="AG460" s="188">
        <v>0</v>
      </c>
      <c r="AH460" s="188">
        <v>0</v>
      </c>
      <c r="AI460" s="188">
        <v>0</v>
      </c>
      <c r="AJ460" s="188">
        <v>0</v>
      </c>
      <c r="AK460" s="188">
        <v>1</v>
      </c>
      <c r="AL460" s="188">
        <v>1</v>
      </c>
      <c r="AM460" s="188">
        <v>0</v>
      </c>
      <c r="AN460" s="188">
        <v>0</v>
      </c>
      <c r="AO460" s="188" t="s">
        <v>396</v>
      </c>
      <c r="AP460" s="188" t="s">
        <v>128</v>
      </c>
      <c r="AQ460" s="188" t="s">
        <v>399</v>
      </c>
      <c r="AR460" s="188">
        <v>0</v>
      </c>
      <c r="AS460" s="188">
        <v>0</v>
      </c>
      <c r="AT460" s="188">
        <v>1</v>
      </c>
      <c r="AU460" s="188">
        <v>0</v>
      </c>
      <c r="AV460" s="188">
        <v>0</v>
      </c>
      <c r="AW460" s="188">
        <v>0</v>
      </c>
      <c r="AX460" s="188">
        <v>0</v>
      </c>
      <c r="AY460" s="188">
        <v>1</v>
      </c>
      <c r="AZ460" s="188">
        <v>0</v>
      </c>
      <c r="BA460" s="188">
        <v>39864.674351851849</v>
      </c>
      <c r="BB460" s="188">
        <v>440393</v>
      </c>
      <c r="BC460" s="188">
        <v>440393</v>
      </c>
      <c r="BD460" s="188">
        <v>45482.05810185185</v>
      </c>
      <c r="BE460" s="188" t="s">
        <v>400</v>
      </c>
      <c r="BF460" s="243" t="s">
        <v>400</v>
      </c>
      <c r="BG460"/>
    </row>
    <row r="461" spans="1:59" s="27" customFormat="1" ht="15">
      <c r="B461" s="144" t="s">
        <v>297</v>
      </c>
      <c r="C461" s="188" t="s">
        <v>473</v>
      </c>
      <c r="D461" s="170" t="s">
        <v>478</v>
      </c>
      <c r="E461" s="169" t="s">
        <v>408</v>
      </c>
      <c r="F461" s="188">
        <v>1</v>
      </c>
      <c r="G461" s="188" t="s">
        <v>293</v>
      </c>
      <c r="H461" s="188" t="s">
        <v>293</v>
      </c>
      <c r="I461" s="188" t="s">
        <v>294</v>
      </c>
      <c r="J461" s="188" t="s">
        <v>294</v>
      </c>
      <c r="K461" s="188" t="s">
        <v>128</v>
      </c>
      <c r="L461" s="188" t="s">
        <v>128</v>
      </c>
      <c r="M461" s="188" t="s">
        <v>128</v>
      </c>
      <c r="N461" s="188" t="s">
        <v>128</v>
      </c>
      <c r="O461" s="188" t="s">
        <v>397</v>
      </c>
      <c r="P461" s="188" t="s">
        <v>294</v>
      </c>
      <c r="Q461" s="188" t="s">
        <v>474</v>
      </c>
      <c r="R461" s="188" t="s">
        <v>398</v>
      </c>
      <c r="S461" s="188" t="s">
        <v>475</v>
      </c>
      <c r="T461" s="188" t="s">
        <v>476</v>
      </c>
      <c r="U461" s="188" t="s">
        <v>156</v>
      </c>
      <c r="V461" s="188" t="s">
        <v>477</v>
      </c>
      <c r="W461" s="188" t="s">
        <v>477</v>
      </c>
      <c r="X461" s="188"/>
      <c r="Y461" s="188"/>
      <c r="Z461" s="188" t="s">
        <v>128</v>
      </c>
      <c r="AA461" s="188">
        <v>1</v>
      </c>
      <c r="AB461" s="188">
        <v>99999999</v>
      </c>
      <c r="AC461" s="188">
        <v>0</v>
      </c>
      <c r="AD461" s="188">
        <v>0</v>
      </c>
      <c r="AE461" s="188">
        <v>0</v>
      </c>
      <c r="AF461" s="188">
        <v>0</v>
      </c>
      <c r="AG461" s="188">
        <v>0</v>
      </c>
      <c r="AH461" s="188">
        <v>0</v>
      </c>
      <c r="AI461" s="188">
        <v>0</v>
      </c>
      <c r="AJ461" s="188">
        <v>0</v>
      </c>
      <c r="AK461" s="188">
        <v>1</v>
      </c>
      <c r="AL461" s="188">
        <v>1</v>
      </c>
      <c r="AM461" s="188">
        <v>0</v>
      </c>
      <c r="AN461" s="188">
        <v>0</v>
      </c>
      <c r="AO461" s="188" t="s">
        <v>396</v>
      </c>
      <c r="AP461" s="188" t="s">
        <v>128</v>
      </c>
      <c r="AQ461" s="188" t="s">
        <v>399</v>
      </c>
      <c r="AR461" s="188">
        <v>0</v>
      </c>
      <c r="AS461" s="188">
        <v>0</v>
      </c>
      <c r="AT461" s="188">
        <v>1</v>
      </c>
      <c r="AU461" s="188">
        <v>0</v>
      </c>
      <c r="AV461" s="188">
        <v>0</v>
      </c>
      <c r="AW461" s="188">
        <v>0</v>
      </c>
      <c r="AX461" s="188">
        <v>0</v>
      </c>
      <c r="AY461" s="188">
        <v>1</v>
      </c>
      <c r="AZ461" s="188">
        <v>0</v>
      </c>
      <c r="BA461" s="188">
        <v>39864.674351851849</v>
      </c>
      <c r="BB461" s="188">
        <v>440393</v>
      </c>
      <c r="BC461" s="188">
        <v>440393</v>
      </c>
      <c r="BD461" s="188">
        <v>45482.05810185185</v>
      </c>
      <c r="BE461" s="188" t="s">
        <v>400</v>
      </c>
      <c r="BF461" s="243" t="s">
        <v>400</v>
      </c>
      <c r="BG461"/>
    </row>
    <row r="462" spans="1:59" s="27" customFormat="1" ht="15">
      <c r="B462" s="144" t="s">
        <v>297</v>
      </c>
      <c r="C462" s="188" t="s">
        <v>473</v>
      </c>
      <c r="D462" s="169" t="s">
        <v>408</v>
      </c>
      <c r="E462" s="170" t="s">
        <v>479</v>
      </c>
      <c r="F462" s="188">
        <v>1</v>
      </c>
      <c r="G462" s="188" t="s">
        <v>293</v>
      </c>
      <c r="H462" s="188" t="s">
        <v>293</v>
      </c>
      <c r="I462" s="188" t="s">
        <v>294</v>
      </c>
      <c r="J462" s="188" t="s">
        <v>294</v>
      </c>
      <c r="K462" s="188" t="s">
        <v>128</v>
      </c>
      <c r="L462" s="188" t="s">
        <v>128</v>
      </c>
      <c r="M462" s="188" t="s">
        <v>128</v>
      </c>
      <c r="N462" s="188" t="s">
        <v>128</v>
      </c>
      <c r="O462" s="188" t="s">
        <v>397</v>
      </c>
      <c r="P462" s="188" t="s">
        <v>294</v>
      </c>
      <c r="Q462" s="188" t="s">
        <v>474</v>
      </c>
      <c r="R462" s="188" t="s">
        <v>398</v>
      </c>
      <c r="S462" s="188" t="s">
        <v>475</v>
      </c>
      <c r="T462" s="188" t="s">
        <v>476</v>
      </c>
      <c r="U462" s="188" t="s">
        <v>156</v>
      </c>
      <c r="V462" s="188" t="s">
        <v>477</v>
      </c>
      <c r="W462" s="188" t="s">
        <v>477</v>
      </c>
      <c r="X462" s="188"/>
      <c r="Y462" s="188"/>
      <c r="Z462" s="188" t="s">
        <v>128</v>
      </c>
      <c r="AA462" s="188">
        <v>1</v>
      </c>
      <c r="AB462" s="188">
        <v>99999999</v>
      </c>
      <c r="AC462" s="188">
        <v>0</v>
      </c>
      <c r="AD462" s="188">
        <v>0</v>
      </c>
      <c r="AE462" s="188">
        <v>0</v>
      </c>
      <c r="AF462" s="188">
        <v>0</v>
      </c>
      <c r="AG462" s="188">
        <v>0</v>
      </c>
      <c r="AH462" s="188">
        <v>0</v>
      </c>
      <c r="AI462" s="188">
        <v>0</v>
      </c>
      <c r="AJ462" s="188">
        <v>0</v>
      </c>
      <c r="AK462" s="188">
        <v>1</v>
      </c>
      <c r="AL462" s="188">
        <v>1</v>
      </c>
      <c r="AM462" s="188">
        <v>0</v>
      </c>
      <c r="AN462" s="188">
        <v>0</v>
      </c>
      <c r="AO462" s="188" t="s">
        <v>396</v>
      </c>
      <c r="AP462" s="188" t="s">
        <v>128</v>
      </c>
      <c r="AQ462" s="188" t="s">
        <v>399</v>
      </c>
      <c r="AR462" s="188">
        <v>0</v>
      </c>
      <c r="AS462" s="188">
        <v>0</v>
      </c>
      <c r="AT462" s="188">
        <v>1</v>
      </c>
      <c r="AU462" s="188">
        <v>0</v>
      </c>
      <c r="AV462" s="188">
        <v>0</v>
      </c>
      <c r="AW462" s="188">
        <v>0</v>
      </c>
      <c r="AX462" s="188">
        <v>0</v>
      </c>
      <c r="AY462" s="188">
        <v>1</v>
      </c>
      <c r="AZ462" s="188">
        <v>0</v>
      </c>
      <c r="BA462" s="188">
        <v>39864.674351851849</v>
      </c>
      <c r="BB462" s="188">
        <v>440393</v>
      </c>
      <c r="BC462" s="188">
        <v>440393</v>
      </c>
      <c r="BD462" s="188">
        <v>45482.05810185185</v>
      </c>
      <c r="BE462" s="188" t="s">
        <v>400</v>
      </c>
      <c r="BF462" s="243" t="s">
        <v>400</v>
      </c>
      <c r="BG462"/>
    </row>
    <row r="463" spans="1:59">
      <c r="B463" s="148"/>
      <c r="BF463" s="130"/>
    </row>
    <row r="464" spans="1:59">
      <c r="B464" s="148"/>
      <c r="C464" s="175" t="s">
        <v>439</v>
      </c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BF464" s="130"/>
    </row>
    <row r="465" spans="2:58" ht="15">
      <c r="B465" s="148"/>
      <c r="C465" s="118"/>
      <c r="D465" s="174"/>
      <c r="E465" s="118"/>
      <c r="F465" s="118" t="s">
        <v>141</v>
      </c>
      <c r="G465" s="174"/>
      <c r="H465" s="174"/>
      <c r="I465" s="174"/>
      <c r="J465" s="174"/>
      <c r="K465" s="174"/>
      <c r="L465" s="174"/>
      <c r="M465" s="174"/>
      <c r="BF465" s="130"/>
    </row>
    <row r="466" spans="2:58">
      <c r="B466" s="148"/>
      <c r="C466" s="153" t="s">
        <v>448</v>
      </c>
      <c r="D466" s="117" t="s">
        <v>442</v>
      </c>
      <c r="E466" s="153" t="s">
        <v>449</v>
      </c>
      <c r="F466" s="117" t="s">
        <v>443</v>
      </c>
      <c r="G466" s="123" t="s">
        <v>222</v>
      </c>
      <c r="H466" s="123" t="s">
        <v>223</v>
      </c>
      <c r="I466" s="123" t="s">
        <v>224</v>
      </c>
      <c r="J466" s="123" t="s">
        <v>225</v>
      </c>
      <c r="K466" s="123" t="s">
        <v>123</v>
      </c>
      <c r="L466" s="123" t="s">
        <v>124</v>
      </c>
      <c r="M466" s="123" t="s">
        <v>226</v>
      </c>
      <c r="BF466" s="130"/>
    </row>
    <row r="467" spans="2:58" ht="14">
      <c r="B467" s="148"/>
      <c r="C467" s="187" t="s">
        <v>450</v>
      </c>
      <c r="D467" s="117" t="s">
        <v>440</v>
      </c>
      <c r="E467" s="187" t="s">
        <v>452</v>
      </c>
      <c r="F467" s="117" t="s">
        <v>441</v>
      </c>
      <c r="G467" s="117" t="s">
        <v>205</v>
      </c>
      <c r="H467" s="117" t="s">
        <v>206</v>
      </c>
      <c r="I467" s="117" t="s">
        <v>207</v>
      </c>
      <c r="J467" s="117" t="s">
        <v>208</v>
      </c>
      <c r="K467" s="117" t="s">
        <v>209</v>
      </c>
      <c r="L467" s="117" t="s">
        <v>210</v>
      </c>
      <c r="M467" s="117" t="s">
        <v>211</v>
      </c>
      <c r="BF467" s="130"/>
    </row>
    <row r="468" spans="2:58" ht="14">
      <c r="B468" s="148"/>
      <c r="C468" s="187" t="s">
        <v>451</v>
      </c>
      <c r="D468" s="149" t="s">
        <v>445</v>
      </c>
      <c r="E468" s="187" t="s">
        <v>453</v>
      </c>
      <c r="F468" s="149" t="s">
        <v>230</v>
      </c>
      <c r="G468" s="149" t="s">
        <v>444</v>
      </c>
      <c r="H468" s="149" t="s">
        <v>234</v>
      </c>
      <c r="I468" s="149" t="s">
        <v>235</v>
      </c>
      <c r="J468" s="149" t="s">
        <v>235</v>
      </c>
      <c r="K468" s="149" t="s">
        <v>147</v>
      </c>
      <c r="L468" s="149" t="s">
        <v>235</v>
      </c>
      <c r="M468" s="149" t="s">
        <v>235</v>
      </c>
      <c r="BF468" s="130"/>
    </row>
    <row r="469" spans="2:58" ht="14">
      <c r="B469" s="144" t="s">
        <v>297</v>
      </c>
      <c r="C469" s="188" t="s">
        <v>410</v>
      </c>
      <c r="D469" s="188" t="s">
        <v>454</v>
      </c>
      <c r="E469" s="170" t="s">
        <v>565</v>
      </c>
      <c r="F469" s="188" t="s">
        <v>156</v>
      </c>
      <c r="G469" s="188" t="s">
        <v>294</v>
      </c>
      <c r="H469" s="188" t="s">
        <v>456</v>
      </c>
      <c r="I469" s="188" t="s">
        <v>457</v>
      </c>
      <c r="J469" s="188" t="s">
        <v>457</v>
      </c>
      <c r="K469" s="188" t="s">
        <v>458</v>
      </c>
      <c r="L469" s="188" t="s">
        <v>459</v>
      </c>
      <c r="M469" s="188" t="s">
        <v>459</v>
      </c>
      <c r="BF469" s="130"/>
    </row>
    <row r="470" spans="2:58" ht="14">
      <c r="B470" s="144" t="s">
        <v>297</v>
      </c>
      <c r="C470" s="193" t="s">
        <v>410</v>
      </c>
      <c r="D470" s="193" t="s">
        <v>569</v>
      </c>
      <c r="E470" s="170" t="s">
        <v>570</v>
      </c>
      <c r="F470" s="193" t="s">
        <v>156</v>
      </c>
      <c r="G470" s="193" t="s">
        <v>294</v>
      </c>
      <c r="H470" s="193" t="s">
        <v>456</v>
      </c>
      <c r="I470" s="193" t="s">
        <v>457</v>
      </c>
      <c r="J470" s="193" t="s">
        <v>457</v>
      </c>
      <c r="K470" s="193" t="s">
        <v>458</v>
      </c>
      <c r="L470" s="193" t="s">
        <v>459</v>
      </c>
      <c r="M470" s="193" t="s">
        <v>459</v>
      </c>
      <c r="BF470" s="130"/>
    </row>
    <row r="471" spans="2:58" ht="14">
      <c r="B471" s="144" t="s">
        <v>297</v>
      </c>
      <c r="C471" s="193" t="s">
        <v>410</v>
      </c>
      <c r="D471" s="193" t="s">
        <v>569</v>
      </c>
      <c r="E471" s="170" t="s">
        <v>571</v>
      </c>
      <c r="F471" s="193" t="s">
        <v>156</v>
      </c>
      <c r="G471" s="193" t="s">
        <v>294</v>
      </c>
      <c r="H471" s="193" t="s">
        <v>456</v>
      </c>
      <c r="I471" s="193" t="s">
        <v>457</v>
      </c>
      <c r="J471" s="193" t="s">
        <v>457</v>
      </c>
      <c r="K471" s="193" t="s">
        <v>458</v>
      </c>
      <c r="L471" s="193" t="s">
        <v>459</v>
      </c>
      <c r="M471" s="193" t="s">
        <v>459</v>
      </c>
      <c r="BF471" s="130"/>
    </row>
    <row r="472" spans="2:58" ht="14">
      <c r="B472" s="142" t="s">
        <v>292</v>
      </c>
      <c r="C472" s="193" t="s">
        <v>410</v>
      </c>
      <c r="D472" s="193" t="s">
        <v>569</v>
      </c>
      <c r="E472" s="169" t="s">
        <v>572</v>
      </c>
      <c r="F472" s="193" t="s">
        <v>294</v>
      </c>
      <c r="G472" s="193" t="s">
        <v>294</v>
      </c>
      <c r="H472" s="193" t="s">
        <v>456</v>
      </c>
      <c r="I472" s="193" t="s">
        <v>457</v>
      </c>
      <c r="J472" s="193" t="s">
        <v>457</v>
      </c>
      <c r="K472" s="193" t="s">
        <v>458</v>
      </c>
      <c r="L472" s="193" t="s">
        <v>459</v>
      </c>
      <c r="M472" s="193" t="s">
        <v>459</v>
      </c>
      <c r="BF472" s="130"/>
    </row>
    <row r="473" spans="2:58" ht="14">
      <c r="B473" s="144" t="s">
        <v>297</v>
      </c>
      <c r="C473" s="193" t="s">
        <v>410</v>
      </c>
      <c r="D473" s="193" t="s">
        <v>569</v>
      </c>
      <c r="E473" s="170" t="s">
        <v>573</v>
      </c>
      <c r="F473" s="193" t="s">
        <v>294</v>
      </c>
      <c r="G473" s="193" t="s">
        <v>294</v>
      </c>
      <c r="H473" s="193" t="s">
        <v>456</v>
      </c>
      <c r="I473" s="193" t="s">
        <v>457</v>
      </c>
      <c r="J473" s="193" t="s">
        <v>457</v>
      </c>
      <c r="K473" s="193" t="s">
        <v>458</v>
      </c>
      <c r="L473" s="193" t="s">
        <v>459</v>
      </c>
      <c r="M473" s="193" t="s">
        <v>459</v>
      </c>
      <c r="BF473" s="130"/>
    </row>
    <row r="474" spans="2:58">
      <c r="B474" s="148"/>
      <c r="BF474" s="130"/>
    </row>
    <row r="475" spans="2:58" ht="13.5">
      <c r="B475" s="148"/>
      <c r="C475" s="136" t="s">
        <v>125</v>
      </c>
      <c r="BF475" s="130"/>
    </row>
    <row r="476" spans="2:58" ht="13.5">
      <c r="B476" s="148"/>
      <c r="C476" s="266" t="s">
        <v>401</v>
      </c>
      <c r="D476" s="266" t="s">
        <v>402</v>
      </c>
      <c r="E476" s="266" t="s">
        <v>131</v>
      </c>
      <c r="F476" s="266" t="s">
        <v>403</v>
      </c>
      <c r="G476" s="266" t="s">
        <v>404</v>
      </c>
      <c r="BF476" s="130"/>
    </row>
    <row r="477" spans="2:58" ht="13.5">
      <c r="B477" s="148"/>
      <c r="C477" s="266">
        <v>-2</v>
      </c>
      <c r="D477" s="266" t="s">
        <v>128</v>
      </c>
      <c r="E477" s="266" t="s">
        <v>714</v>
      </c>
      <c r="F477" s="266" t="s">
        <v>587</v>
      </c>
      <c r="G477" s="266" t="s">
        <v>437</v>
      </c>
      <c r="BF477" s="130"/>
    </row>
    <row r="478" spans="2:58" ht="13.5" thickBot="1">
      <c r="B478" s="148"/>
      <c r="BF478" s="130"/>
    </row>
    <row r="479" spans="2:58" ht="14" thickBot="1">
      <c r="B479" s="132" t="s">
        <v>595</v>
      </c>
      <c r="C479" s="133" t="s">
        <v>597</v>
      </c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236"/>
    </row>
    <row r="480" spans="2:58" ht="14" thickBot="1">
      <c r="B480" s="132" t="s">
        <v>602</v>
      </c>
      <c r="C480" s="133" t="s">
        <v>601</v>
      </c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236"/>
    </row>
    <row r="481" spans="1:59" ht="14" thickBot="1">
      <c r="B481" s="134" t="s">
        <v>435</v>
      </c>
      <c r="C481" s="133" t="s">
        <v>240</v>
      </c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236"/>
    </row>
    <row r="482" spans="1:59">
      <c r="B482" s="148"/>
      <c r="BF482" s="130"/>
    </row>
    <row r="483" spans="1:59" ht="13.5">
      <c r="B483" s="148"/>
      <c r="C483" s="136" t="s">
        <v>241</v>
      </c>
      <c r="BF483" s="130"/>
    </row>
    <row r="484" spans="1:59" ht="13.5">
      <c r="B484" s="148"/>
      <c r="C484" s="136" t="s">
        <v>599</v>
      </c>
      <c r="BF484" s="130"/>
    </row>
    <row r="485" spans="1:59">
      <c r="B485" s="148"/>
      <c r="BF485" s="130"/>
    </row>
    <row r="486" spans="1:59" s="27" customFormat="1" ht="19.5" customHeight="1">
      <c r="B486" s="223"/>
      <c r="C486" s="137" t="s">
        <v>472</v>
      </c>
      <c r="D486" s="138"/>
      <c r="E486" s="138"/>
      <c r="F486" s="138"/>
      <c r="G486" s="138"/>
      <c r="H486" s="95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93"/>
      <c r="T486" s="93"/>
      <c r="U486" s="93"/>
      <c r="V486" s="93"/>
      <c r="W486" s="93"/>
      <c r="X486" s="93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138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238"/>
      <c r="BG486"/>
    </row>
    <row r="487" spans="1:59" s="73" customFormat="1" ht="16.5" customHeight="1">
      <c r="A487" s="71"/>
      <c r="B487" s="224"/>
      <c r="C487" s="140"/>
      <c r="D487" s="140"/>
      <c r="E487" s="140"/>
      <c r="F487" s="141" t="s">
        <v>141</v>
      </c>
      <c r="G487" s="146"/>
      <c r="H487" s="146"/>
      <c r="I487" s="141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1"/>
      <c r="AL487" s="147"/>
      <c r="AM487" s="147"/>
      <c r="AN487" s="147"/>
      <c r="AO487" s="141"/>
      <c r="AP487" s="147"/>
      <c r="AQ487" s="147"/>
      <c r="AR487" s="141"/>
      <c r="AS487" s="147"/>
      <c r="AT487" s="147"/>
      <c r="AU487" s="147"/>
      <c r="AV487" s="147"/>
      <c r="AW487" s="147"/>
      <c r="AX487" s="147"/>
      <c r="AY487" s="147"/>
      <c r="AZ487" s="147"/>
      <c r="BA487" s="147"/>
      <c r="BB487" s="147"/>
      <c r="BC487" s="147"/>
      <c r="BD487" s="147"/>
      <c r="BE487" s="147"/>
      <c r="BF487" s="239"/>
      <c r="BG487"/>
    </row>
    <row r="488" spans="1:59" s="80" customFormat="1" ht="86" customHeight="1">
      <c r="B488" s="225"/>
      <c r="C488" s="116" t="s">
        <v>300</v>
      </c>
      <c r="D488" s="116" t="s">
        <v>301</v>
      </c>
      <c r="E488" s="116" t="s">
        <v>302</v>
      </c>
      <c r="F488" s="123" t="s">
        <v>337</v>
      </c>
      <c r="G488" s="123" t="s">
        <v>303</v>
      </c>
      <c r="H488" s="123" t="s">
        <v>244</v>
      </c>
      <c r="I488" s="123" t="s">
        <v>305</v>
      </c>
      <c r="J488" s="123" t="s">
        <v>306</v>
      </c>
      <c r="K488" s="123" t="s">
        <v>307</v>
      </c>
      <c r="L488" s="123" t="s">
        <v>308</v>
      </c>
      <c r="M488" s="123" t="s">
        <v>309</v>
      </c>
      <c r="N488" s="123" t="s">
        <v>310</v>
      </c>
      <c r="O488" s="123" t="s">
        <v>311</v>
      </c>
      <c r="P488" s="123" t="s">
        <v>312</v>
      </c>
      <c r="Q488" s="123" t="s">
        <v>313</v>
      </c>
      <c r="R488" s="123" t="s">
        <v>314</v>
      </c>
      <c r="S488" s="123" t="s">
        <v>315</v>
      </c>
      <c r="T488" s="123" t="s">
        <v>316</v>
      </c>
      <c r="U488" s="123" t="s">
        <v>317</v>
      </c>
      <c r="V488" s="123" t="s">
        <v>318</v>
      </c>
      <c r="W488" s="123" t="s">
        <v>319</v>
      </c>
      <c r="X488" s="123" t="s">
        <v>320</v>
      </c>
      <c r="Y488" s="123" t="s">
        <v>321</v>
      </c>
      <c r="Z488" s="123" t="s">
        <v>322</v>
      </c>
      <c r="AA488" s="123" t="s">
        <v>323</v>
      </c>
      <c r="AB488" s="123" t="s">
        <v>324</v>
      </c>
      <c r="AC488" s="123" t="s">
        <v>325</v>
      </c>
      <c r="AD488" s="123" t="s">
        <v>326</v>
      </c>
      <c r="AE488" s="123" t="s">
        <v>327</v>
      </c>
      <c r="AF488" s="123" t="s">
        <v>328</v>
      </c>
      <c r="AG488" s="123" t="s">
        <v>329</v>
      </c>
      <c r="AH488" s="123" t="s">
        <v>330</v>
      </c>
      <c r="AI488" s="123" t="s">
        <v>331</v>
      </c>
      <c r="AJ488" s="123" t="s">
        <v>332</v>
      </c>
      <c r="AK488" s="123" t="s">
        <v>333</v>
      </c>
      <c r="AL488" s="123" t="s">
        <v>334</v>
      </c>
      <c r="AM488" s="123" t="s">
        <v>335</v>
      </c>
      <c r="AN488" s="123" t="s">
        <v>336</v>
      </c>
      <c r="AO488" s="123" t="s">
        <v>304</v>
      </c>
      <c r="AP488" s="123" t="s">
        <v>338</v>
      </c>
      <c r="AQ488" s="123" t="s">
        <v>339</v>
      </c>
      <c r="AR488" s="123" t="s">
        <v>340</v>
      </c>
      <c r="AS488" s="123" t="s">
        <v>341</v>
      </c>
      <c r="AT488" s="123" t="s">
        <v>342</v>
      </c>
      <c r="AU488" s="123" t="s">
        <v>343</v>
      </c>
      <c r="AV488" s="123" t="s">
        <v>344</v>
      </c>
      <c r="AW488" s="123" t="s">
        <v>345</v>
      </c>
      <c r="AX488" s="123" t="s">
        <v>346</v>
      </c>
      <c r="AY488" s="123" t="s">
        <v>347</v>
      </c>
      <c r="AZ488" s="123" t="s">
        <v>222</v>
      </c>
      <c r="BA488" s="123" t="s">
        <v>223</v>
      </c>
      <c r="BB488" s="123" t="s">
        <v>224</v>
      </c>
      <c r="BC488" s="123" t="s">
        <v>225</v>
      </c>
      <c r="BD488" s="123" t="s">
        <v>123</v>
      </c>
      <c r="BE488" s="123" t="s">
        <v>124</v>
      </c>
      <c r="BF488" s="240" t="s">
        <v>226</v>
      </c>
      <c r="BG488"/>
    </row>
    <row r="489" spans="1:59" s="80" customFormat="1">
      <c r="B489" s="225"/>
      <c r="C489" s="116" t="s">
        <v>261</v>
      </c>
      <c r="D489" s="116" t="s">
        <v>262</v>
      </c>
      <c r="E489" s="116" t="s">
        <v>263</v>
      </c>
      <c r="F489" s="117" t="s">
        <v>200</v>
      </c>
      <c r="G489" s="117" t="s">
        <v>266</v>
      </c>
      <c r="H489" s="117" t="s">
        <v>265</v>
      </c>
      <c r="I489" s="117" t="s">
        <v>349</v>
      </c>
      <c r="J489" s="117" t="s">
        <v>350</v>
      </c>
      <c r="K489" s="117" t="s">
        <v>351</v>
      </c>
      <c r="L489" s="117" t="s">
        <v>352</v>
      </c>
      <c r="M489" s="117" t="s">
        <v>353</v>
      </c>
      <c r="N489" s="117" t="s">
        <v>354</v>
      </c>
      <c r="O489" s="117" t="s">
        <v>355</v>
      </c>
      <c r="P489" s="117" t="s">
        <v>356</v>
      </c>
      <c r="Q489" s="117" t="s">
        <v>357</v>
      </c>
      <c r="R489" s="117" t="s">
        <v>358</v>
      </c>
      <c r="S489" s="117" t="s">
        <v>359</v>
      </c>
      <c r="T489" s="117" t="s">
        <v>360</v>
      </c>
      <c r="U489" s="117" t="s">
        <v>361</v>
      </c>
      <c r="V489" s="117" t="s">
        <v>362</v>
      </c>
      <c r="W489" s="117" t="s">
        <v>363</v>
      </c>
      <c r="X489" s="117" t="s">
        <v>364</v>
      </c>
      <c r="Y489" s="117" t="s">
        <v>365</v>
      </c>
      <c r="Z489" s="117" t="s">
        <v>366</v>
      </c>
      <c r="AA489" s="117" t="s">
        <v>367</v>
      </c>
      <c r="AB489" s="117" t="s">
        <v>368</v>
      </c>
      <c r="AC489" s="117" t="s">
        <v>369</v>
      </c>
      <c r="AD489" s="117" t="s">
        <v>370</v>
      </c>
      <c r="AE489" s="117" t="s">
        <v>371</v>
      </c>
      <c r="AF489" s="117" t="s">
        <v>372</v>
      </c>
      <c r="AG489" s="117" t="s">
        <v>373</v>
      </c>
      <c r="AH489" s="117" t="s">
        <v>374</v>
      </c>
      <c r="AI489" s="117" t="s">
        <v>375</v>
      </c>
      <c r="AJ489" s="117" t="s">
        <v>376</v>
      </c>
      <c r="AK489" s="117" t="s">
        <v>199</v>
      </c>
      <c r="AL489" s="117" t="s">
        <v>377</v>
      </c>
      <c r="AM489" s="117" t="s">
        <v>378</v>
      </c>
      <c r="AN489" s="117" t="s">
        <v>379</v>
      </c>
      <c r="AO489" s="117" t="s">
        <v>348</v>
      </c>
      <c r="AP489" s="117" t="s">
        <v>380</v>
      </c>
      <c r="AQ489" s="117" t="s">
        <v>381</v>
      </c>
      <c r="AR489" s="117" t="s">
        <v>382</v>
      </c>
      <c r="AS489" s="117" t="s">
        <v>383</v>
      </c>
      <c r="AT489" s="117" t="s">
        <v>384</v>
      </c>
      <c r="AU489" s="117" t="s">
        <v>385</v>
      </c>
      <c r="AV489" s="117" t="s">
        <v>386</v>
      </c>
      <c r="AW489" s="117" t="s">
        <v>387</v>
      </c>
      <c r="AX489" s="117" t="s">
        <v>388</v>
      </c>
      <c r="AY489" s="117" t="s">
        <v>389</v>
      </c>
      <c r="AZ489" s="117" t="s">
        <v>205</v>
      </c>
      <c r="BA489" s="117" t="s">
        <v>206</v>
      </c>
      <c r="BB489" s="117" t="s">
        <v>207</v>
      </c>
      <c r="BC489" s="117" t="s">
        <v>208</v>
      </c>
      <c r="BD489" s="117" t="s">
        <v>209</v>
      </c>
      <c r="BE489" s="117" t="s">
        <v>210</v>
      </c>
      <c r="BF489" s="241" t="s">
        <v>211</v>
      </c>
      <c r="BG489"/>
    </row>
    <row r="490" spans="1:59" s="70" customFormat="1" ht="13.5" customHeight="1">
      <c r="B490" s="226"/>
      <c r="C490" s="116" t="s">
        <v>282</v>
      </c>
      <c r="D490" s="116" t="s">
        <v>390</v>
      </c>
      <c r="E490" s="116" t="s">
        <v>227</v>
      </c>
      <c r="F490" s="145" t="s">
        <v>228</v>
      </c>
      <c r="G490" s="145" t="s">
        <v>230</v>
      </c>
      <c r="H490" s="145" t="s">
        <v>230</v>
      </c>
      <c r="I490" s="145" t="s">
        <v>230</v>
      </c>
      <c r="J490" s="145" t="s">
        <v>230</v>
      </c>
      <c r="K490" s="145" t="s">
        <v>391</v>
      </c>
      <c r="L490" s="145" t="s">
        <v>391</v>
      </c>
      <c r="M490" s="145" t="s">
        <v>227</v>
      </c>
      <c r="N490" s="145" t="s">
        <v>392</v>
      </c>
      <c r="O490" s="145" t="s">
        <v>230</v>
      </c>
      <c r="P490" s="145" t="s">
        <v>288</v>
      </c>
      <c r="Q490" s="145" t="s">
        <v>284</v>
      </c>
      <c r="R490" s="145" t="s">
        <v>288</v>
      </c>
      <c r="S490" s="145" t="s">
        <v>284</v>
      </c>
      <c r="T490" s="145" t="s">
        <v>284</v>
      </c>
      <c r="U490" s="145" t="s">
        <v>230</v>
      </c>
      <c r="V490" s="145" t="s">
        <v>393</v>
      </c>
      <c r="W490" s="145" t="s">
        <v>393</v>
      </c>
      <c r="X490" s="145" t="s">
        <v>228</v>
      </c>
      <c r="Y490" s="145" t="s">
        <v>392</v>
      </c>
      <c r="Z490" s="145" t="s">
        <v>392</v>
      </c>
      <c r="AA490" s="145" t="s">
        <v>284</v>
      </c>
      <c r="AB490" s="145" t="s">
        <v>287</v>
      </c>
      <c r="AC490" s="145" t="s">
        <v>288</v>
      </c>
      <c r="AD490" s="145" t="s">
        <v>288</v>
      </c>
      <c r="AE490" s="145" t="s">
        <v>394</v>
      </c>
      <c r="AF490" s="145" t="s">
        <v>394</v>
      </c>
      <c r="AG490" s="145" t="s">
        <v>288</v>
      </c>
      <c r="AH490" s="145" t="s">
        <v>288</v>
      </c>
      <c r="AI490" s="145" t="s">
        <v>394</v>
      </c>
      <c r="AJ490" s="145" t="s">
        <v>394</v>
      </c>
      <c r="AK490" s="145" t="s">
        <v>230</v>
      </c>
      <c r="AL490" s="145" t="s">
        <v>230</v>
      </c>
      <c r="AM490" s="145" t="s">
        <v>230</v>
      </c>
      <c r="AN490" s="145" t="s">
        <v>230</v>
      </c>
      <c r="AO490" s="145" t="s">
        <v>230</v>
      </c>
      <c r="AP490" s="145" t="s">
        <v>227</v>
      </c>
      <c r="AQ490" s="145" t="s">
        <v>230</v>
      </c>
      <c r="AR490" s="145" t="s">
        <v>284</v>
      </c>
      <c r="AS490" s="145" t="s">
        <v>284</v>
      </c>
      <c r="AT490" s="145" t="s">
        <v>230</v>
      </c>
      <c r="AU490" s="145" t="s">
        <v>395</v>
      </c>
      <c r="AV490" s="145" t="s">
        <v>288</v>
      </c>
      <c r="AW490" s="145" t="s">
        <v>228</v>
      </c>
      <c r="AX490" s="145" t="s">
        <v>230</v>
      </c>
      <c r="AY490" s="145" t="s">
        <v>230</v>
      </c>
      <c r="AZ490" s="145" t="s">
        <v>233</v>
      </c>
      <c r="BA490" s="145" t="s">
        <v>234</v>
      </c>
      <c r="BB490" s="145" t="s">
        <v>235</v>
      </c>
      <c r="BC490" s="145" t="s">
        <v>235</v>
      </c>
      <c r="BD490" s="145" t="s">
        <v>234</v>
      </c>
      <c r="BE490" s="145" t="s">
        <v>235</v>
      </c>
      <c r="BF490" s="242" t="s">
        <v>235</v>
      </c>
      <c r="BG490"/>
    </row>
    <row r="491" spans="1:59" s="27" customFormat="1" ht="15">
      <c r="B491" s="142" t="s">
        <v>292</v>
      </c>
      <c r="C491" s="188" t="s">
        <v>473</v>
      </c>
      <c r="D491" s="188" t="s">
        <v>408</v>
      </c>
      <c r="E491" s="188" t="s">
        <v>408</v>
      </c>
      <c r="F491" s="188">
        <v>1</v>
      </c>
      <c r="G491" s="188" t="s">
        <v>293</v>
      </c>
      <c r="H491" s="188" t="s">
        <v>293</v>
      </c>
      <c r="I491" s="188" t="s">
        <v>294</v>
      </c>
      <c r="J491" s="188" t="s">
        <v>294</v>
      </c>
      <c r="K491" s="188" t="s">
        <v>128</v>
      </c>
      <c r="L491" s="188" t="s">
        <v>128</v>
      </c>
      <c r="M491" s="188" t="s">
        <v>128</v>
      </c>
      <c r="N491" s="188" t="s">
        <v>128</v>
      </c>
      <c r="O491" s="188" t="s">
        <v>397</v>
      </c>
      <c r="P491" s="188" t="s">
        <v>294</v>
      </c>
      <c r="Q491" s="188" t="s">
        <v>474</v>
      </c>
      <c r="R491" s="188" t="s">
        <v>398</v>
      </c>
      <c r="S491" s="188" t="s">
        <v>475</v>
      </c>
      <c r="T491" s="188" t="s">
        <v>476</v>
      </c>
      <c r="U491" s="188" t="s">
        <v>156</v>
      </c>
      <c r="V491" s="188" t="s">
        <v>477</v>
      </c>
      <c r="W491" s="188" t="s">
        <v>477</v>
      </c>
      <c r="X491" s="188"/>
      <c r="Y491" s="188"/>
      <c r="Z491" s="188" t="s">
        <v>128</v>
      </c>
      <c r="AA491" s="188">
        <v>1</v>
      </c>
      <c r="AB491" s="188">
        <v>99999999</v>
      </c>
      <c r="AC491" s="188">
        <v>0</v>
      </c>
      <c r="AD491" s="188">
        <v>0</v>
      </c>
      <c r="AE491" s="188">
        <v>0</v>
      </c>
      <c r="AF491" s="188">
        <v>0</v>
      </c>
      <c r="AG491" s="188">
        <v>0</v>
      </c>
      <c r="AH491" s="188">
        <v>0</v>
      </c>
      <c r="AI491" s="188">
        <v>0</v>
      </c>
      <c r="AJ491" s="188">
        <v>0</v>
      </c>
      <c r="AK491" s="188">
        <v>1</v>
      </c>
      <c r="AL491" s="188">
        <v>1</v>
      </c>
      <c r="AM491" s="188">
        <v>0</v>
      </c>
      <c r="AN491" s="188">
        <v>0</v>
      </c>
      <c r="AO491" s="188" t="s">
        <v>396</v>
      </c>
      <c r="AP491" s="188" t="s">
        <v>128</v>
      </c>
      <c r="AQ491" s="188" t="s">
        <v>399</v>
      </c>
      <c r="AR491" s="188">
        <v>0</v>
      </c>
      <c r="AS491" s="188">
        <v>0</v>
      </c>
      <c r="AT491" s="188">
        <v>1</v>
      </c>
      <c r="AU491" s="188">
        <v>0</v>
      </c>
      <c r="AV491" s="188">
        <v>0</v>
      </c>
      <c r="AW491" s="188">
        <v>0</v>
      </c>
      <c r="AX491" s="188">
        <v>0</v>
      </c>
      <c r="AY491" s="188">
        <v>1</v>
      </c>
      <c r="AZ491" s="188">
        <v>0</v>
      </c>
      <c r="BA491" s="188">
        <v>39864.674351851849</v>
      </c>
      <c r="BB491" s="188">
        <v>440393</v>
      </c>
      <c r="BC491" s="188">
        <v>440393</v>
      </c>
      <c r="BD491" s="188">
        <v>45482.05810185185</v>
      </c>
      <c r="BE491" s="188" t="s">
        <v>400</v>
      </c>
      <c r="BF491" s="243" t="s">
        <v>400</v>
      </c>
      <c r="BG491"/>
    </row>
    <row r="492" spans="1:59" s="27" customFormat="1" ht="15">
      <c r="B492" s="144" t="s">
        <v>297</v>
      </c>
      <c r="C492" s="188" t="s">
        <v>473</v>
      </c>
      <c r="D492" s="188" t="s">
        <v>408</v>
      </c>
      <c r="E492" s="170" t="s">
        <v>478</v>
      </c>
      <c r="F492" s="188">
        <v>1</v>
      </c>
      <c r="G492" s="188" t="s">
        <v>293</v>
      </c>
      <c r="H492" s="188" t="s">
        <v>293</v>
      </c>
      <c r="I492" s="188" t="s">
        <v>294</v>
      </c>
      <c r="J492" s="188" t="s">
        <v>294</v>
      </c>
      <c r="K492" s="188" t="s">
        <v>128</v>
      </c>
      <c r="L492" s="188" t="s">
        <v>128</v>
      </c>
      <c r="M492" s="188" t="s">
        <v>128</v>
      </c>
      <c r="N492" s="188" t="s">
        <v>128</v>
      </c>
      <c r="O492" s="188" t="s">
        <v>397</v>
      </c>
      <c r="P492" s="188" t="s">
        <v>294</v>
      </c>
      <c r="Q492" s="188" t="s">
        <v>474</v>
      </c>
      <c r="R492" s="188" t="s">
        <v>398</v>
      </c>
      <c r="S492" s="188" t="s">
        <v>475</v>
      </c>
      <c r="T492" s="188" t="s">
        <v>476</v>
      </c>
      <c r="U492" s="188" t="s">
        <v>156</v>
      </c>
      <c r="V492" s="188" t="s">
        <v>477</v>
      </c>
      <c r="W492" s="188" t="s">
        <v>477</v>
      </c>
      <c r="X492" s="188"/>
      <c r="Y492" s="188"/>
      <c r="Z492" s="188" t="s">
        <v>128</v>
      </c>
      <c r="AA492" s="188">
        <v>1</v>
      </c>
      <c r="AB492" s="188">
        <v>99999999</v>
      </c>
      <c r="AC492" s="188">
        <v>0</v>
      </c>
      <c r="AD492" s="188">
        <v>0</v>
      </c>
      <c r="AE492" s="188">
        <v>0</v>
      </c>
      <c r="AF492" s="188">
        <v>0</v>
      </c>
      <c r="AG492" s="188">
        <v>0</v>
      </c>
      <c r="AH492" s="188">
        <v>0</v>
      </c>
      <c r="AI492" s="188">
        <v>0</v>
      </c>
      <c r="AJ492" s="188">
        <v>0</v>
      </c>
      <c r="AK492" s="188">
        <v>1</v>
      </c>
      <c r="AL492" s="188">
        <v>1</v>
      </c>
      <c r="AM492" s="188">
        <v>0</v>
      </c>
      <c r="AN492" s="188">
        <v>0</v>
      </c>
      <c r="AO492" s="188" t="s">
        <v>396</v>
      </c>
      <c r="AP492" s="188" t="s">
        <v>128</v>
      </c>
      <c r="AQ492" s="188" t="s">
        <v>399</v>
      </c>
      <c r="AR492" s="188">
        <v>0</v>
      </c>
      <c r="AS492" s="188">
        <v>0</v>
      </c>
      <c r="AT492" s="188">
        <v>1</v>
      </c>
      <c r="AU492" s="188">
        <v>0</v>
      </c>
      <c r="AV492" s="188">
        <v>0</v>
      </c>
      <c r="AW492" s="188">
        <v>0</v>
      </c>
      <c r="AX492" s="188">
        <v>0</v>
      </c>
      <c r="AY492" s="188">
        <v>1</v>
      </c>
      <c r="AZ492" s="188">
        <v>0</v>
      </c>
      <c r="BA492" s="188">
        <v>39864.674351851849</v>
      </c>
      <c r="BB492" s="188">
        <v>440393</v>
      </c>
      <c r="BC492" s="188">
        <v>440393</v>
      </c>
      <c r="BD492" s="188">
        <v>45482.05810185185</v>
      </c>
      <c r="BE492" s="188" t="s">
        <v>400</v>
      </c>
      <c r="BF492" s="243" t="s">
        <v>400</v>
      </c>
      <c r="BG492"/>
    </row>
    <row r="493" spans="1:59" s="27" customFormat="1" ht="15">
      <c r="B493" s="144" t="s">
        <v>297</v>
      </c>
      <c r="C493" s="188" t="s">
        <v>473</v>
      </c>
      <c r="D493" s="170" t="s">
        <v>478</v>
      </c>
      <c r="E493" s="169" t="s">
        <v>408</v>
      </c>
      <c r="F493" s="188">
        <v>1</v>
      </c>
      <c r="G493" s="188" t="s">
        <v>293</v>
      </c>
      <c r="H493" s="188" t="s">
        <v>293</v>
      </c>
      <c r="I493" s="188" t="s">
        <v>294</v>
      </c>
      <c r="J493" s="188" t="s">
        <v>294</v>
      </c>
      <c r="K493" s="188" t="s">
        <v>128</v>
      </c>
      <c r="L493" s="188" t="s">
        <v>128</v>
      </c>
      <c r="M493" s="188" t="s">
        <v>128</v>
      </c>
      <c r="N493" s="188" t="s">
        <v>128</v>
      </c>
      <c r="O493" s="188" t="s">
        <v>397</v>
      </c>
      <c r="P493" s="188" t="s">
        <v>294</v>
      </c>
      <c r="Q493" s="188" t="s">
        <v>474</v>
      </c>
      <c r="R493" s="188" t="s">
        <v>398</v>
      </c>
      <c r="S493" s="188" t="s">
        <v>475</v>
      </c>
      <c r="T493" s="188" t="s">
        <v>476</v>
      </c>
      <c r="U493" s="188" t="s">
        <v>156</v>
      </c>
      <c r="V493" s="188" t="s">
        <v>477</v>
      </c>
      <c r="W493" s="188" t="s">
        <v>477</v>
      </c>
      <c r="X493" s="188"/>
      <c r="Y493" s="188"/>
      <c r="Z493" s="188" t="s">
        <v>128</v>
      </c>
      <c r="AA493" s="188">
        <v>1</v>
      </c>
      <c r="AB493" s="188">
        <v>99999999</v>
      </c>
      <c r="AC493" s="188">
        <v>0</v>
      </c>
      <c r="AD493" s="188">
        <v>0</v>
      </c>
      <c r="AE493" s="188">
        <v>0</v>
      </c>
      <c r="AF493" s="188">
        <v>0</v>
      </c>
      <c r="AG493" s="188">
        <v>0</v>
      </c>
      <c r="AH493" s="188">
        <v>0</v>
      </c>
      <c r="AI493" s="188">
        <v>0</v>
      </c>
      <c r="AJ493" s="188">
        <v>0</v>
      </c>
      <c r="AK493" s="188">
        <v>1</v>
      </c>
      <c r="AL493" s="188">
        <v>1</v>
      </c>
      <c r="AM493" s="188">
        <v>0</v>
      </c>
      <c r="AN493" s="188">
        <v>0</v>
      </c>
      <c r="AO493" s="188" t="s">
        <v>396</v>
      </c>
      <c r="AP493" s="188" t="s">
        <v>128</v>
      </c>
      <c r="AQ493" s="188" t="s">
        <v>399</v>
      </c>
      <c r="AR493" s="188">
        <v>0</v>
      </c>
      <c r="AS493" s="188">
        <v>0</v>
      </c>
      <c r="AT493" s="188">
        <v>1</v>
      </c>
      <c r="AU493" s="188">
        <v>0</v>
      </c>
      <c r="AV493" s="188">
        <v>0</v>
      </c>
      <c r="AW493" s="188">
        <v>0</v>
      </c>
      <c r="AX493" s="188">
        <v>0</v>
      </c>
      <c r="AY493" s="188">
        <v>1</v>
      </c>
      <c r="AZ493" s="188">
        <v>0</v>
      </c>
      <c r="BA493" s="188">
        <v>39864.674351851849</v>
      </c>
      <c r="BB493" s="188">
        <v>440393</v>
      </c>
      <c r="BC493" s="188">
        <v>440393</v>
      </c>
      <c r="BD493" s="188">
        <v>45482.05810185185</v>
      </c>
      <c r="BE493" s="188" t="s">
        <v>400</v>
      </c>
      <c r="BF493" s="243" t="s">
        <v>400</v>
      </c>
      <c r="BG493"/>
    </row>
    <row r="494" spans="1:59" s="27" customFormat="1" ht="15">
      <c r="B494" s="144" t="s">
        <v>297</v>
      </c>
      <c r="C494" s="188" t="s">
        <v>473</v>
      </c>
      <c r="D494" s="169" t="s">
        <v>408</v>
      </c>
      <c r="E494" s="170" t="s">
        <v>479</v>
      </c>
      <c r="F494" s="188">
        <v>1</v>
      </c>
      <c r="G494" s="188" t="s">
        <v>293</v>
      </c>
      <c r="H494" s="188" t="s">
        <v>293</v>
      </c>
      <c r="I494" s="188" t="s">
        <v>294</v>
      </c>
      <c r="J494" s="188" t="s">
        <v>294</v>
      </c>
      <c r="K494" s="188" t="s">
        <v>128</v>
      </c>
      <c r="L494" s="188" t="s">
        <v>128</v>
      </c>
      <c r="M494" s="188" t="s">
        <v>128</v>
      </c>
      <c r="N494" s="188" t="s">
        <v>128</v>
      </c>
      <c r="O494" s="188" t="s">
        <v>397</v>
      </c>
      <c r="P494" s="188" t="s">
        <v>294</v>
      </c>
      <c r="Q494" s="188" t="s">
        <v>474</v>
      </c>
      <c r="R494" s="188" t="s">
        <v>398</v>
      </c>
      <c r="S494" s="188" t="s">
        <v>475</v>
      </c>
      <c r="T494" s="188" t="s">
        <v>476</v>
      </c>
      <c r="U494" s="188" t="s">
        <v>156</v>
      </c>
      <c r="V494" s="188" t="s">
        <v>477</v>
      </c>
      <c r="W494" s="188" t="s">
        <v>477</v>
      </c>
      <c r="X494" s="188"/>
      <c r="Y494" s="188"/>
      <c r="Z494" s="188" t="s">
        <v>128</v>
      </c>
      <c r="AA494" s="188">
        <v>1</v>
      </c>
      <c r="AB494" s="188">
        <v>99999999</v>
      </c>
      <c r="AC494" s="188">
        <v>0</v>
      </c>
      <c r="AD494" s="188">
        <v>0</v>
      </c>
      <c r="AE494" s="188">
        <v>0</v>
      </c>
      <c r="AF494" s="188">
        <v>0</v>
      </c>
      <c r="AG494" s="188">
        <v>0</v>
      </c>
      <c r="AH494" s="188">
        <v>0</v>
      </c>
      <c r="AI494" s="188">
        <v>0</v>
      </c>
      <c r="AJ494" s="188">
        <v>0</v>
      </c>
      <c r="AK494" s="188">
        <v>1</v>
      </c>
      <c r="AL494" s="188">
        <v>1</v>
      </c>
      <c r="AM494" s="188">
        <v>0</v>
      </c>
      <c r="AN494" s="188">
        <v>0</v>
      </c>
      <c r="AO494" s="188" t="s">
        <v>396</v>
      </c>
      <c r="AP494" s="188" t="s">
        <v>128</v>
      </c>
      <c r="AQ494" s="188" t="s">
        <v>399</v>
      </c>
      <c r="AR494" s="188">
        <v>0</v>
      </c>
      <c r="AS494" s="188">
        <v>0</v>
      </c>
      <c r="AT494" s="188">
        <v>1</v>
      </c>
      <c r="AU494" s="188">
        <v>0</v>
      </c>
      <c r="AV494" s="188">
        <v>0</v>
      </c>
      <c r="AW494" s="188">
        <v>0</v>
      </c>
      <c r="AX494" s="188">
        <v>0</v>
      </c>
      <c r="AY494" s="188">
        <v>1</v>
      </c>
      <c r="AZ494" s="188">
        <v>0</v>
      </c>
      <c r="BA494" s="188">
        <v>39864.674351851849</v>
      </c>
      <c r="BB494" s="188">
        <v>440393</v>
      </c>
      <c r="BC494" s="188">
        <v>440393</v>
      </c>
      <c r="BD494" s="188">
        <v>45482.05810185185</v>
      </c>
      <c r="BE494" s="188" t="s">
        <v>400</v>
      </c>
      <c r="BF494" s="243" t="s">
        <v>400</v>
      </c>
      <c r="BG494"/>
    </row>
    <row r="495" spans="1:59">
      <c r="B495" s="148"/>
      <c r="BF495" s="130"/>
    </row>
    <row r="496" spans="1:59">
      <c r="B496" s="148"/>
      <c r="C496" s="175" t="s">
        <v>439</v>
      </c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BF496" s="130"/>
    </row>
    <row r="497" spans="2:62" ht="15">
      <c r="B497" s="148"/>
      <c r="C497" s="118"/>
      <c r="D497" s="174"/>
      <c r="E497" s="118"/>
      <c r="F497" s="118" t="s">
        <v>141</v>
      </c>
      <c r="G497" s="174"/>
      <c r="H497" s="174"/>
      <c r="I497" s="174"/>
      <c r="J497" s="174"/>
      <c r="K497" s="174"/>
      <c r="L497" s="174"/>
      <c r="M497" s="174"/>
      <c r="BF497" s="130"/>
    </row>
    <row r="498" spans="2:62">
      <c r="B498" s="148"/>
      <c r="C498" s="153" t="s">
        <v>448</v>
      </c>
      <c r="D498" s="117" t="s">
        <v>442</v>
      </c>
      <c r="E498" s="153" t="s">
        <v>449</v>
      </c>
      <c r="F498" s="117" t="s">
        <v>443</v>
      </c>
      <c r="G498" s="123" t="s">
        <v>222</v>
      </c>
      <c r="H498" s="123" t="s">
        <v>223</v>
      </c>
      <c r="I498" s="123" t="s">
        <v>224</v>
      </c>
      <c r="J498" s="123" t="s">
        <v>225</v>
      </c>
      <c r="K498" s="123" t="s">
        <v>123</v>
      </c>
      <c r="L498" s="123" t="s">
        <v>124</v>
      </c>
      <c r="M498" s="123" t="s">
        <v>226</v>
      </c>
      <c r="BF498" s="130"/>
    </row>
    <row r="499" spans="2:62" ht="14">
      <c r="B499" s="148"/>
      <c r="C499" s="187" t="s">
        <v>450</v>
      </c>
      <c r="D499" s="117" t="s">
        <v>440</v>
      </c>
      <c r="E499" s="187" t="s">
        <v>452</v>
      </c>
      <c r="F499" s="117" t="s">
        <v>441</v>
      </c>
      <c r="G499" s="117" t="s">
        <v>205</v>
      </c>
      <c r="H499" s="117" t="s">
        <v>206</v>
      </c>
      <c r="I499" s="117" t="s">
        <v>207</v>
      </c>
      <c r="J499" s="117" t="s">
        <v>208</v>
      </c>
      <c r="K499" s="117" t="s">
        <v>209</v>
      </c>
      <c r="L499" s="117" t="s">
        <v>210</v>
      </c>
      <c r="M499" s="117" t="s">
        <v>211</v>
      </c>
      <c r="BF499" s="130"/>
    </row>
    <row r="500" spans="2:62" ht="14">
      <c r="B500" s="148"/>
      <c r="C500" s="187" t="s">
        <v>451</v>
      </c>
      <c r="D500" s="149" t="s">
        <v>445</v>
      </c>
      <c r="E500" s="187" t="s">
        <v>453</v>
      </c>
      <c r="F500" s="149" t="s">
        <v>230</v>
      </c>
      <c r="G500" s="149" t="s">
        <v>444</v>
      </c>
      <c r="H500" s="149" t="s">
        <v>234</v>
      </c>
      <c r="I500" s="149" t="s">
        <v>235</v>
      </c>
      <c r="J500" s="149" t="s">
        <v>235</v>
      </c>
      <c r="K500" s="149" t="s">
        <v>147</v>
      </c>
      <c r="L500" s="149" t="s">
        <v>235</v>
      </c>
      <c r="M500" s="149" t="s">
        <v>235</v>
      </c>
      <c r="BF500" s="130"/>
    </row>
    <row r="501" spans="2:62" ht="14">
      <c r="B501" s="144" t="s">
        <v>297</v>
      </c>
      <c r="C501" s="188" t="s">
        <v>410</v>
      </c>
      <c r="D501" s="188" t="s">
        <v>454</v>
      </c>
      <c r="E501" s="170" t="s">
        <v>565</v>
      </c>
      <c r="F501" s="188" t="s">
        <v>156</v>
      </c>
      <c r="G501" s="188" t="s">
        <v>294</v>
      </c>
      <c r="H501" s="188" t="s">
        <v>456</v>
      </c>
      <c r="I501" s="188" t="s">
        <v>457</v>
      </c>
      <c r="J501" s="188" t="s">
        <v>457</v>
      </c>
      <c r="K501" s="188" t="s">
        <v>458</v>
      </c>
      <c r="L501" s="188" t="s">
        <v>459</v>
      </c>
      <c r="M501" s="188" t="s">
        <v>459</v>
      </c>
      <c r="BF501" s="130"/>
    </row>
    <row r="502" spans="2:62" ht="14">
      <c r="B502" s="144" t="s">
        <v>297</v>
      </c>
      <c r="C502" s="193" t="s">
        <v>410</v>
      </c>
      <c r="D502" s="193" t="s">
        <v>569</v>
      </c>
      <c r="E502" s="170" t="s">
        <v>570</v>
      </c>
      <c r="F502" s="193" t="s">
        <v>156</v>
      </c>
      <c r="G502" s="193" t="s">
        <v>294</v>
      </c>
      <c r="H502" s="193" t="s">
        <v>456</v>
      </c>
      <c r="I502" s="193" t="s">
        <v>457</v>
      </c>
      <c r="J502" s="193" t="s">
        <v>457</v>
      </c>
      <c r="K502" s="193" t="s">
        <v>458</v>
      </c>
      <c r="L502" s="193" t="s">
        <v>459</v>
      </c>
      <c r="M502" s="193" t="s">
        <v>459</v>
      </c>
      <c r="BF502" s="130"/>
    </row>
    <row r="503" spans="2:62" ht="14">
      <c r="B503" s="144" t="s">
        <v>297</v>
      </c>
      <c r="C503" s="193" t="s">
        <v>410</v>
      </c>
      <c r="D503" s="193" t="s">
        <v>569</v>
      </c>
      <c r="E503" s="170" t="s">
        <v>571</v>
      </c>
      <c r="F503" s="193" t="s">
        <v>156</v>
      </c>
      <c r="G503" s="193" t="s">
        <v>294</v>
      </c>
      <c r="H503" s="193" t="s">
        <v>456</v>
      </c>
      <c r="I503" s="193" t="s">
        <v>457</v>
      </c>
      <c r="J503" s="193" t="s">
        <v>457</v>
      </c>
      <c r="K503" s="193" t="s">
        <v>458</v>
      </c>
      <c r="L503" s="193" t="s">
        <v>459</v>
      </c>
      <c r="M503" s="193" t="s">
        <v>459</v>
      </c>
      <c r="BF503" s="130"/>
    </row>
    <row r="504" spans="2:62" ht="14">
      <c r="B504" s="142" t="s">
        <v>292</v>
      </c>
      <c r="C504" s="188" t="s">
        <v>410</v>
      </c>
      <c r="D504" s="189" t="s">
        <v>454</v>
      </c>
      <c r="E504" s="254" t="s">
        <v>455</v>
      </c>
      <c r="F504" s="189" t="s">
        <v>294</v>
      </c>
      <c r="G504" s="189" t="s">
        <v>294</v>
      </c>
      <c r="H504" s="192" t="s">
        <v>456</v>
      </c>
      <c r="I504" s="189" t="s">
        <v>457</v>
      </c>
      <c r="J504" s="189" t="s">
        <v>457</v>
      </c>
      <c r="K504" s="189" t="s">
        <v>458</v>
      </c>
      <c r="L504" s="189" t="s">
        <v>459</v>
      </c>
      <c r="M504" s="193" t="s">
        <v>459</v>
      </c>
      <c r="BF504" s="130"/>
    </row>
    <row r="505" spans="2:62" ht="14">
      <c r="B505" s="144" t="s">
        <v>297</v>
      </c>
      <c r="C505" s="193" t="s">
        <v>410</v>
      </c>
      <c r="D505" s="193" t="s">
        <v>569</v>
      </c>
      <c r="E505" s="170" t="s">
        <v>573</v>
      </c>
      <c r="F505" s="193" t="s">
        <v>294</v>
      </c>
      <c r="G505" s="193" t="s">
        <v>294</v>
      </c>
      <c r="H505" s="193" t="s">
        <v>456</v>
      </c>
      <c r="I505" s="193" t="s">
        <v>457</v>
      </c>
      <c r="J505" s="193" t="s">
        <v>457</v>
      </c>
      <c r="K505" s="193" t="s">
        <v>458</v>
      </c>
      <c r="L505" s="193" t="s">
        <v>459</v>
      </c>
      <c r="M505" s="193" t="s">
        <v>459</v>
      </c>
      <c r="BF505" s="130"/>
    </row>
    <row r="506" spans="2:62" s="27" customFormat="1" ht="15">
      <c r="B506" s="98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 s="130"/>
      <c r="BG506"/>
      <c r="BH506"/>
      <c r="BI506"/>
      <c r="BJ506"/>
    </row>
    <row r="507" spans="2:62" s="27" customFormat="1" ht="15">
      <c r="B507" s="226"/>
      <c r="C507" s="175" t="s">
        <v>483</v>
      </c>
      <c r="D507" s="176"/>
      <c r="E507" s="176"/>
      <c r="F507" s="176"/>
      <c r="G507" s="176"/>
      <c r="H507" s="176"/>
      <c r="I507" s="176"/>
      <c r="J507" s="176"/>
      <c r="K507" s="176"/>
      <c r="L507" s="176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 s="130"/>
      <c r="BG507"/>
      <c r="BH507"/>
      <c r="BI507"/>
      <c r="BJ507"/>
    </row>
    <row r="508" spans="2:62" s="27" customFormat="1" ht="15">
      <c r="B508" s="226"/>
      <c r="C508" s="118"/>
      <c r="D508" s="118" t="s">
        <v>141</v>
      </c>
      <c r="E508" s="118"/>
      <c r="F508" s="118"/>
      <c r="G508" s="174"/>
      <c r="H508" s="174"/>
      <c r="I508" s="174"/>
      <c r="J508" s="174"/>
      <c r="K508" s="174"/>
      <c r="L508" s="174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 s="130"/>
      <c r="BG508"/>
      <c r="BH508"/>
      <c r="BI508"/>
      <c r="BJ508"/>
    </row>
    <row r="509" spans="2:62" s="27" customFormat="1" ht="15">
      <c r="B509" s="226"/>
      <c r="C509" s="153" t="s">
        <v>487</v>
      </c>
      <c r="D509" s="117" t="s">
        <v>86</v>
      </c>
      <c r="E509" s="117" t="s">
        <v>488</v>
      </c>
      <c r="F509" s="123" t="s">
        <v>222</v>
      </c>
      <c r="G509" s="123" t="s">
        <v>223</v>
      </c>
      <c r="H509" s="123" t="s">
        <v>224</v>
      </c>
      <c r="I509" s="123" t="s">
        <v>225</v>
      </c>
      <c r="J509" s="123" t="s">
        <v>123</v>
      </c>
      <c r="K509" s="123" t="s">
        <v>124</v>
      </c>
      <c r="L509" s="123" t="s">
        <v>226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 s="130"/>
      <c r="BG509"/>
      <c r="BH509"/>
      <c r="BI509"/>
      <c r="BJ509"/>
    </row>
    <row r="510" spans="2:62" s="27" customFormat="1" ht="15">
      <c r="B510" s="226"/>
      <c r="C510" s="187" t="s">
        <v>484</v>
      </c>
      <c r="D510" s="117" t="s">
        <v>485</v>
      </c>
      <c r="E510" s="117" t="s">
        <v>486</v>
      </c>
      <c r="F510" s="117" t="s">
        <v>205</v>
      </c>
      <c r="G510" s="117" t="s">
        <v>206</v>
      </c>
      <c r="H510" s="117" t="s">
        <v>207</v>
      </c>
      <c r="I510" s="117" t="s">
        <v>208</v>
      </c>
      <c r="J510" s="117" t="s">
        <v>209</v>
      </c>
      <c r="K510" s="117" t="s">
        <v>210</v>
      </c>
      <c r="L510" s="117" t="s">
        <v>211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 s="130"/>
      <c r="BG510"/>
      <c r="BH510"/>
      <c r="BI510"/>
      <c r="BJ510"/>
    </row>
    <row r="511" spans="2:62" s="27" customFormat="1" ht="15">
      <c r="B511" s="226"/>
      <c r="C511" s="187" t="s">
        <v>232</v>
      </c>
      <c r="D511" s="149" t="s">
        <v>287</v>
      </c>
      <c r="E511" s="117" t="s">
        <v>234</v>
      </c>
      <c r="F511" s="149" t="s">
        <v>444</v>
      </c>
      <c r="G511" s="149" t="s">
        <v>234</v>
      </c>
      <c r="H511" s="149" t="s">
        <v>235</v>
      </c>
      <c r="I511" s="149" t="s">
        <v>235</v>
      </c>
      <c r="J511" s="149" t="s">
        <v>147</v>
      </c>
      <c r="K511" s="117" t="s">
        <v>235</v>
      </c>
      <c r="L511" s="117" t="s">
        <v>235</v>
      </c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 s="130"/>
      <c r="BG511"/>
      <c r="BH511"/>
      <c r="BI511"/>
      <c r="BJ511"/>
    </row>
    <row r="512" spans="2:62" s="27" customFormat="1" ht="15">
      <c r="B512" s="144" t="s">
        <v>297</v>
      </c>
      <c r="C512" s="170" t="s">
        <v>494</v>
      </c>
      <c r="D512" s="189" t="s">
        <v>495</v>
      </c>
      <c r="E512" s="189" t="s">
        <v>496</v>
      </c>
      <c r="F512" s="189" t="s">
        <v>497</v>
      </c>
      <c r="G512" s="189" t="s">
        <v>498</v>
      </c>
      <c r="H512" s="190" t="s">
        <v>499</v>
      </c>
      <c r="I512" s="189" t="s">
        <v>500</v>
      </c>
      <c r="J512" s="189" t="s">
        <v>501</v>
      </c>
      <c r="K512" s="189" t="s">
        <v>502</v>
      </c>
      <c r="L512" s="117" t="s">
        <v>502</v>
      </c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 s="130"/>
      <c r="BG512"/>
      <c r="BH512"/>
      <c r="BI512"/>
      <c r="BJ512"/>
    </row>
    <row r="513" spans="2:63" s="27" customFormat="1" ht="15">
      <c r="B513" s="142" t="s">
        <v>292</v>
      </c>
      <c r="C513" s="169" t="s">
        <v>489</v>
      </c>
      <c r="D513" s="254" t="s">
        <v>605</v>
      </c>
      <c r="E513" s="189" t="s">
        <v>491</v>
      </c>
      <c r="F513" s="189" t="s">
        <v>294</v>
      </c>
      <c r="G513" s="189" t="s">
        <v>491</v>
      </c>
      <c r="H513" s="190" t="s">
        <v>492</v>
      </c>
      <c r="I513" s="189" t="s">
        <v>493</v>
      </c>
      <c r="J513" s="189" t="s">
        <v>491</v>
      </c>
      <c r="K513" s="189" t="s">
        <v>492</v>
      </c>
      <c r="L513" s="117" t="s">
        <v>493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 s="130"/>
      <c r="BG513"/>
      <c r="BH513"/>
      <c r="BI513"/>
      <c r="BJ513"/>
    </row>
    <row r="514" spans="2:63" s="27" customFormat="1" ht="15">
      <c r="B514" s="144" t="s">
        <v>297</v>
      </c>
      <c r="C514" s="170" t="s">
        <v>503</v>
      </c>
      <c r="D514" s="189" t="s">
        <v>504</v>
      </c>
      <c r="E514" s="189" t="s">
        <v>505</v>
      </c>
      <c r="F514" s="189" t="s">
        <v>296</v>
      </c>
      <c r="G514" s="189" t="s">
        <v>505</v>
      </c>
      <c r="H514" s="190" t="s">
        <v>506</v>
      </c>
      <c r="I514" s="189" t="s">
        <v>507</v>
      </c>
      <c r="J514" s="189" t="s">
        <v>505</v>
      </c>
      <c r="K514" s="189" t="s">
        <v>508</v>
      </c>
      <c r="L514" s="117" t="s">
        <v>510</v>
      </c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 s="130"/>
      <c r="BG514"/>
      <c r="BH514"/>
      <c r="BI514"/>
      <c r="BJ514"/>
      <c r="BK514"/>
    </row>
    <row r="515" spans="2:63" s="27" customFormat="1" ht="15">
      <c r="B515" s="144" t="s">
        <v>297</v>
      </c>
      <c r="C515" s="170" t="s">
        <v>509</v>
      </c>
      <c r="D515" s="189" t="s">
        <v>504</v>
      </c>
      <c r="E515" s="189" t="s">
        <v>505</v>
      </c>
      <c r="F515" s="189" t="s">
        <v>296</v>
      </c>
      <c r="G515" s="189" t="s">
        <v>505</v>
      </c>
      <c r="H515" s="192" t="s">
        <v>506</v>
      </c>
      <c r="I515" s="189" t="s">
        <v>507</v>
      </c>
      <c r="J515" s="189" t="s">
        <v>505</v>
      </c>
      <c r="K515" s="189" t="s">
        <v>508</v>
      </c>
      <c r="L515" s="117" t="s">
        <v>510</v>
      </c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 s="130"/>
      <c r="BG515"/>
      <c r="BH515"/>
      <c r="BI515"/>
      <c r="BJ515"/>
      <c r="BK515"/>
    </row>
    <row r="516" spans="2:63">
      <c r="B516" s="148"/>
      <c r="BF516" s="130"/>
    </row>
    <row r="517" spans="2:63">
      <c r="B517" s="148"/>
      <c r="C517" t="s">
        <v>768</v>
      </c>
      <c r="BF517" s="130"/>
    </row>
    <row r="518" spans="2:63" s="136" customFormat="1" ht="13.5">
      <c r="B518" s="135"/>
      <c r="C518" s="136" t="s">
        <v>401</v>
      </c>
      <c r="D518" s="136" t="s">
        <v>402</v>
      </c>
      <c r="E518" s="136" t="s">
        <v>131</v>
      </c>
      <c r="F518" s="136" t="s">
        <v>403</v>
      </c>
      <c r="G518" s="136" t="s">
        <v>606</v>
      </c>
      <c r="H518" s="136" t="s">
        <v>607</v>
      </c>
      <c r="I518" s="136" t="s">
        <v>608</v>
      </c>
      <c r="J518" s="136" t="s">
        <v>609</v>
      </c>
      <c r="K518" s="136" t="s">
        <v>610</v>
      </c>
      <c r="L518" s="136" t="s">
        <v>611</v>
      </c>
      <c r="M518" s="136" t="s">
        <v>612</v>
      </c>
      <c r="N518" s="136" t="s">
        <v>613</v>
      </c>
      <c r="O518" s="136" t="s">
        <v>614</v>
      </c>
      <c r="P518" s="136" t="s">
        <v>615</v>
      </c>
      <c r="Q518" s="136" t="s">
        <v>616</v>
      </c>
      <c r="R518" s="136" t="s">
        <v>617</v>
      </c>
      <c r="S518" s="136" t="s">
        <v>618</v>
      </c>
      <c r="T518" s="136" t="s">
        <v>619</v>
      </c>
      <c r="U518" s="136" t="s">
        <v>620</v>
      </c>
      <c r="BF518" s="228"/>
      <c r="BG518"/>
    </row>
    <row r="519" spans="2:63" s="136" customFormat="1" ht="13.5">
      <c r="B519" s="135"/>
      <c r="C519" s="136">
        <v>0</v>
      </c>
      <c r="D519" s="136" t="s">
        <v>405</v>
      </c>
      <c r="E519" s="136" t="s">
        <v>405</v>
      </c>
      <c r="F519" s="136" t="s">
        <v>405</v>
      </c>
      <c r="G519" s="136" t="s">
        <v>405</v>
      </c>
      <c r="I519" s="136" t="s">
        <v>405</v>
      </c>
      <c r="J519" s="136" t="s">
        <v>405</v>
      </c>
      <c r="K519" s="136" t="s">
        <v>405</v>
      </c>
      <c r="L519" s="136">
        <v>2025010</v>
      </c>
      <c r="M519" s="136">
        <v>20250518</v>
      </c>
      <c r="N519" s="255">
        <v>20250531</v>
      </c>
      <c r="O519" s="136">
        <v>20250508</v>
      </c>
      <c r="P519" s="136">
        <v>20250508</v>
      </c>
      <c r="Q519" s="136" t="s">
        <v>405</v>
      </c>
      <c r="R519" s="136" t="s">
        <v>405</v>
      </c>
      <c r="S519" s="136" t="s">
        <v>405</v>
      </c>
      <c r="T519" s="136" t="s">
        <v>405</v>
      </c>
      <c r="U519" s="136" t="s">
        <v>405</v>
      </c>
      <c r="AO519" s="136" t="s">
        <v>405</v>
      </c>
      <c r="BF519" s="228"/>
      <c r="BG519"/>
    </row>
    <row r="520" spans="2:63" s="136" customFormat="1" ht="13.5">
      <c r="B520" s="135"/>
      <c r="BF520" s="228"/>
      <c r="BG520"/>
    </row>
    <row r="521" spans="2:63" ht="13.5">
      <c r="B521" s="148"/>
      <c r="C521" s="136" t="s">
        <v>125</v>
      </c>
      <c r="BF521" s="130"/>
    </row>
    <row r="522" spans="2:63" ht="13.5">
      <c r="B522" s="148"/>
      <c r="C522" s="266" t="s">
        <v>401</v>
      </c>
      <c r="D522" s="266" t="s">
        <v>402</v>
      </c>
      <c r="E522" s="266" t="s">
        <v>131</v>
      </c>
      <c r="F522" s="266" t="s">
        <v>403</v>
      </c>
      <c r="G522" s="266" t="s">
        <v>404</v>
      </c>
      <c r="BF522" s="130"/>
    </row>
    <row r="523" spans="2:63" ht="13.5">
      <c r="B523" s="148"/>
      <c r="C523" s="266">
        <v>0</v>
      </c>
      <c r="D523" s="266"/>
      <c r="E523" s="266"/>
      <c r="F523" s="266"/>
      <c r="G523" s="266"/>
      <c r="BF523" s="130"/>
    </row>
    <row r="524" spans="2:63" ht="13.5" thickBot="1">
      <c r="B524" s="148"/>
      <c r="BF524" s="130"/>
    </row>
    <row r="525" spans="2:63" ht="14" thickBot="1">
      <c r="B525" s="132" t="s">
        <v>593</v>
      </c>
      <c r="C525" s="133" t="s">
        <v>95</v>
      </c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236"/>
    </row>
    <row r="526" spans="2:63" ht="14" thickBot="1">
      <c r="B526" s="134" t="s">
        <v>736</v>
      </c>
      <c r="C526" s="133" t="s">
        <v>434</v>
      </c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236"/>
    </row>
    <row r="527" spans="2:63">
      <c r="B527" s="148"/>
      <c r="BF527" s="130"/>
    </row>
    <row r="528" spans="2:63" ht="13.5">
      <c r="B528" s="148"/>
      <c r="C528" s="136" t="s">
        <v>241</v>
      </c>
      <c r="BF528" s="130"/>
    </row>
    <row r="529" spans="1:59" ht="13.5">
      <c r="B529" s="148"/>
      <c r="C529" s="136" t="s">
        <v>598</v>
      </c>
      <c r="BF529" s="130"/>
    </row>
    <row r="530" spans="1:59">
      <c r="B530" s="148"/>
      <c r="BF530" s="130"/>
    </row>
    <row r="531" spans="1:59" s="27" customFormat="1" ht="19.5" customHeight="1">
      <c r="B531" s="223"/>
      <c r="C531" s="137" t="s">
        <v>472</v>
      </c>
      <c r="D531" s="138"/>
      <c r="E531" s="138"/>
      <c r="F531" s="138"/>
      <c r="G531" s="138"/>
      <c r="H531" s="95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93"/>
      <c r="T531" s="93"/>
      <c r="U531" s="93"/>
      <c r="V531" s="93"/>
      <c r="W531" s="93"/>
      <c r="X531" s="93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138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238"/>
      <c r="BG531"/>
    </row>
    <row r="532" spans="1:59" s="73" customFormat="1" ht="16.5" customHeight="1">
      <c r="A532" s="71"/>
      <c r="B532" s="224"/>
      <c r="C532" s="140"/>
      <c r="D532" s="140"/>
      <c r="E532" s="140"/>
      <c r="F532" s="141" t="s">
        <v>141</v>
      </c>
      <c r="G532" s="146"/>
      <c r="H532" s="146"/>
      <c r="I532" s="141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1"/>
      <c r="AL532" s="147"/>
      <c r="AM532" s="147"/>
      <c r="AN532" s="147"/>
      <c r="AO532" s="141"/>
      <c r="AP532" s="147"/>
      <c r="AQ532" s="147"/>
      <c r="AR532" s="141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147"/>
      <c r="BF532" s="239"/>
      <c r="BG532"/>
    </row>
    <row r="533" spans="1:59" s="80" customFormat="1" ht="86" customHeight="1">
      <c r="B533" s="225"/>
      <c r="C533" s="116" t="s">
        <v>300</v>
      </c>
      <c r="D533" s="116" t="s">
        <v>301</v>
      </c>
      <c r="E533" s="116" t="s">
        <v>302</v>
      </c>
      <c r="F533" s="123" t="s">
        <v>337</v>
      </c>
      <c r="G533" s="123" t="s">
        <v>303</v>
      </c>
      <c r="H533" s="123" t="s">
        <v>244</v>
      </c>
      <c r="I533" s="123" t="s">
        <v>305</v>
      </c>
      <c r="J533" s="123" t="s">
        <v>306</v>
      </c>
      <c r="K533" s="123" t="s">
        <v>307</v>
      </c>
      <c r="L533" s="123" t="s">
        <v>308</v>
      </c>
      <c r="M533" s="123" t="s">
        <v>309</v>
      </c>
      <c r="N533" s="123" t="s">
        <v>310</v>
      </c>
      <c r="O533" s="123" t="s">
        <v>311</v>
      </c>
      <c r="P533" s="123" t="s">
        <v>312</v>
      </c>
      <c r="Q533" s="123" t="s">
        <v>313</v>
      </c>
      <c r="R533" s="123" t="s">
        <v>314</v>
      </c>
      <c r="S533" s="123" t="s">
        <v>315</v>
      </c>
      <c r="T533" s="123" t="s">
        <v>316</v>
      </c>
      <c r="U533" s="123" t="s">
        <v>317</v>
      </c>
      <c r="V533" s="123" t="s">
        <v>318</v>
      </c>
      <c r="W533" s="123" t="s">
        <v>319</v>
      </c>
      <c r="X533" s="123" t="s">
        <v>320</v>
      </c>
      <c r="Y533" s="123" t="s">
        <v>321</v>
      </c>
      <c r="Z533" s="123" t="s">
        <v>322</v>
      </c>
      <c r="AA533" s="123" t="s">
        <v>323</v>
      </c>
      <c r="AB533" s="123" t="s">
        <v>324</v>
      </c>
      <c r="AC533" s="123" t="s">
        <v>325</v>
      </c>
      <c r="AD533" s="123" t="s">
        <v>326</v>
      </c>
      <c r="AE533" s="123" t="s">
        <v>327</v>
      </c>
      <c r="AF533" s="123" t="s">
        <v>328</v>
      </c>
      <c r="AG533" s="123" t="s">
        <v>329</v>
      </c>
      <c r="AH533" s="123" t="s">
        <v>330</v>
      </c>
      <c r="AI533" s="123" t="s">
        <v>331</v>
      </c>
      <c r="AJ533" s="123" t="s">
        <v>332</v>
      </c>
      <c r="AK533" s="123" t="s">
        <v>333</v>
      </c>
      <c r="AL533" s="123" t="s">
        <v>334</v>
      </c>
      <c r="AM533" s="123" t="s">
        <v>335</v>
      </c>
      <c r="AN533" s="123" t="s">
        <v>336</v>
      </c>
      <c r="AO533" s="123" t="s">
        <v>304</v>
      </c>
      <c r="AP533" s="123" t="s">
        <v>338</v>
      </c>
      <c r="AQ533" s="123" t="s">
        <v>339</v>
      </c>
      <c r="AR533" s="123" t="s">
        <v>340</v>
      </c>
      <c r="AS533" s="123" t="s">
        <v>341</v>
      </c>
      <c r="AT533" s="123" t="s">
        <v>342</v>
      </c>
      <c r="AU533" s="123" t="s">
        <v>343</v>
      </c>
      <c r="AV533" s="123" t="s">
        <v>344</v>
      </c>
      <c r="AW533" s="123" t="s">
        <v>345</v>
      </c>
      <c r="AX533" s="123" t="s">
        <v>346</v>
      </c>
      <c r="AY533" s="123" t="s">
        <v>347</v>
      </c>
      <c r="AZ533" s="123" t="s">
        <v>222</v>
      </c>
      <c r="BA533" s="123" t="s">
        <v>223</v>
      </c>
      <c r="BB533" s="123" t="s">
        <v>224</v>
      </c>
      <c r="BC533" s="123" t="s">
        <v>225</v>
      </c>
      <c r="BD533" s="123" t="s">
        <v>123</v>
      </c>
      <c r="BE533" s="123" t="s">
        <v>124</v>
      </c>
      <c r="BF533" s="240" t="s">
        <v>226</v>
      </c>
      <c r="BG533"/>
    </row>
    <row r="534" spans="1:59" s="80" customFormat="1">
      <c r="B534" s="225"/>
      <c r="C534" s="116" t="s">
        <v>261</v>
      </c>
      <c r="D534" s="116" t="s">
        <v>262</v>
      </c>
      <c r="E534" s="116" t="s">
        <v>263</v>
      </c>
      <c r="F534" s="117" t="s">
        <v>200</v>
      </c>
      <c r="G534" s="117" t="s">
        <v>266</v>
      </c>
      <c r="H534" s="117" t="s">
        <v>265</v>
      </c>
      <c r="I534" s="117" t="s">
        <v>349</v>
      </c>
      <c r="J534" s="117" t="s">
        <v>350</v>
      </c>
      <c r="K534" s="117" t="s">
        <v>351</v>
      </c>
      <c r="L534" s="117" t="s">
        <v>352</v>
      </c>
      <c r="M534" s="117" t="s">
        <v>353</v>
      </c>
      <c r="N534" s="117" t="s">
        <v>354</v>
      </c>
      <c r="O534" s="117" t="s">
        <v>355</v>
      </c>
      <c r="P534" s="117" t="s">
        <v>356</v>
      </c>
      <c r="Q534" s="117" t="s">
        <v>357</v>
      </c>
      <c r="R534" s="117" t="s">
        <v>358</v>
      </c>
      <c r="S534" s="117" t="s">
        <v>359</v>
      </c>
      <c r="T534" s="117" t="s">
        <v>360</v>
      </c>
      <c r="U534" s="117" t="s">
        <v>361</v>
      </c>
      <c r="V534" s="117" t="s">
        <v>362</v>
      </c>
      <c r="W534" s="117" t="s">
        <v>363</v>
      </c>
      <c r="X534" s="117" t="s">
        <v>364</v>
      </c>
      <c r="Y534" s="117" t="s">
        <v>365</v>
      </c>
      <c r="Z534" s="117" t="s">
        <v>366</v>
      </c>
      <c r="AA534" s="117" t="s">
        <v>367</v>
      </c>
      <c r="AB534" s="117" t="s">
        <v>368</v>
      </c>
      <c r="AC534" s="117" t="s">
        <v>369</v>
      </c>
      <c r="AD534" s="117" t="s">
        <v>370</v>
      </c>
      <c r="AE534" s="117" t="s">
        <v>371</v>
      </c>
      <c r="AF534" s="117" t="s">
        <v>372</v>
      </c>
      <c r="AG534" s="117" t="s">
        <v>373</v>
      </c>
      <c r="AH534" s="117" t="s">
        <v>374</v>
      </c>
      <c r="AI534" s="117" t="s">
        <v>375</v>
      </c>
      <c r="AJ534" s="117" t="s">
        <v>376</v>
      </c>
      <c r="AK534" s="117" t="s">
        <v>199</v>
      </c>
      <c r="AL534" s="117" t="s">
        <v>377</v>
      </c>
      <c r="AM534" s="117" t="s">
        <v>378</v>
      </c>
      <c r="AN534" s="117" t="s">
        <v>379</v>
      </c>
      <c r="AO534" s="117" t="s">
        <v>348</v>
      </c>
      <c r="AP534" s="117" t="s">
        <v>380</v>
      </c>
      <c r="AQ534" s="117" t="s">
        <v>381</v>
      </c>
      <c r="AR534" s="117" t="s">
        <v>382</v>
      </c>
      <c r="AS534" s="117" t="s">
        <v>383</v>
      </c>
      <c r="AT534" s="117" t="s">
        <v>384</v>
      </c>
      <c r="AU534" s="117" t="s">
        <v>385</v>
      </c>
      <c r="AV534" s="117" t="s">
        <v>386</v>
      </c>
      <c r="AW534" s="117" t="s">
        <v>387</v>
      </c>
      <c r="AX534" s="117" t="s">
        <v>388</v>
      </c>
      <c r="AY534" s="117" t="s">
        <v>389</v>
      </c>
      <c r="AZ534" s="117" t="s">
        <v>205</v>
      </c>
      <c r="BA534" s="117" t="s">
        <v>206</v>
      </c>
      <c r="BB534" s="117" t="s">
        <v>207</v>
      </c>
      <c r="BC534" s="117" t="s">
        <v>208</v>
      </c>
      <c r="BD534" s="117" t="s">
        <v>209</v>
      </c>
      <c r="BE534" s="117" t="s">
        <v>210</v>
      </c>
      <c r="BF534" s="241" t="s">
        <v>211</v>
      </c>
      <c r="BG534"/>
    </row>
    <row r="535" spans="1:59" s="70" customFormat="1" ht="13.5" customHeight="1">
      <c r="B535" s="226"/>
      <c r="C535" s="116" t="s">
        <v>282</v>
      </c>
      <c r="D535" s="116" t="s">
        <v>390</v>
      </c>
      <c r="E535" s="116" t="s">
        <v>227</v>
      </c>
      <c r="F535" s="241" t="s">
        <v>228</v>
      </c>
      <c r="G535" s="241" t="s">
        <v>230</v>
      </c>
      <c r="H535" s="241" t="s">
        <v>230</v>
      </c>
      <c r="I535" s="241" t="s">
        <v>230</v>
      </c>
      <c r="J535" s="241" t="s">
        <v>230</v>
      </c>
      <c r="K535" s="241" t="s">
        <v>391</v>
      </c>
      <c r="L535" s="241" t="s">
        <v>391</v>
      </c>
      <c r="M535" s="241" t="s">
        <v>227</v>
      </c>
      <c r="N535" s="241" t="s">
        <v>392</v>
      </c>
      <c r="O535" s="241" t="s">
        <v>230</v>
      </c>
      <c r="P535" s="241" t="s">
        <v>288</v>
      </c>
      <c r="Q535" s="241" t="s">
        <v>284</v>
      </c>
      <c r="R535" s="241" t="s">
        <v>288</v>
      </c>
      <c r="S535" s="241" t="s">
        <v>284</v>
      </c>
      <c r="T535" s="241" t="s">
        <v>284</v>
      </c>
      <c r="U535" s="241" t="s">
        <v>230</v>
      </c>
      <c r="V535" s="241" t="s">
        <v>393</v>
      </c>
      <c r="W535" s="241" t="s">
        <v>393</v>
      </c>
      <c r="X535" s="241" t="s">
        <v>228</v>
      </c>
      <c r="Y535" s="241" t="s">
        <v>392</v>
      </c>
      <c r="Z535" s="241" t="s">
        <v>392</v>
      </c>
      <c r="AA535" s="241" t="s">
        <v>284</v>
      </c>
      <c r="AB535" s="241" t="s">
        <v>287</v>
      </c>
      <c r="AC535" s="241" t="s">
        <v>288</v>
      </c>
      <c r="AD535" s="241" t="s">
        <v>288</v>
      </c>
      <c r="AE535" s="241" t="s">
        <v>394</v>
      </c>
      <c r="AF535" s="241" t="s">
        <v>394</v>
      </c>
      <c r="AG535" s="241" t="s">
        <v>288</v>
      </c>
      <c r="AH535" s="241" t="s">
        <v>288</v>
      </c>
      <c r="AI535" s="241" t="s">
        <v>394</v>
      </c>
      <c r="AJ535" s="241" t="s">
        <v>394</v>
      </c>
      <c r="AK535" s="241" t="s">
        <v>230</v>
      </c>
      <c r="AL535" s="241" t="s">
        <v>230</v>
      </c>
      <c r="AM535" s="241" t="s">
        <v>230</v>
      </c>
      <c r="AN535" s="241" t="s">
        <v>230</v>
      </c>
      <c r="AO535" s="241" t="s">
        <v>230</v>
      </c>
      <c r="AP535" s="241" t="s">
        <v>227</v>
      </c>
      <c r="AQ535" s="241" t="s">
        <v>230</v>
      </c>
      <c r="AR535" s="241" t="s">
        <v>284</v>
      </c>
      <c r="AS535" s="241" t="s">
        <v>284</v>
      </c>
      <c r="AT535" s="241" t="s">
        <v>230</v>
      </c>
      <c r="AU535" s="241" t="s">
        <v>395</v>
      </c>
      <c r="AV535" s="241" t="s">
        <v>288</v>
      </c>
      <c r="AW535" s="241" t="s">
        <v>228</v>
      </c>
      <c r="AX535" s="241" t="s">
        <v>230</v>
      </c>
      <c r="AY535" s="241" t="s">
        <v>230</v>
      </c>
      <c r="AZ535" s="241" t="s">
        <v>233</v>
      </c>
      <c r="BA535" s="241" t="s">
        <v>234</v>
      </c>
      <c r="BB535" s="241" t="s">
        <v>235</v>
      </c>
      <c r="BC535" s="241" t="s">
        <v>235</v>
      </c>
      <c r="BD535" s="241" t="s">
        <v>234</v>
      </c>
      <c r="BE535" s="241" t="s">
        <v>235</v>
      </c>
      <c r="BF535" s="241" t="s">
        <v>235</v>
      </c>
      <c r="BG535"/>
    </row>
    <row r="536" spans="1:59" s="27" customFormat="1" ht="15">
      <c r="B536" s="142" t="s">
        <v>292</v>
      </c>
      <c r="C536" s="188" t="s">
        <v>473</v>
      </c>
      <c r="D536" s="188" t="s">
        <v>408</v>
      </c>
      <c r="E536" s="188" t="s">
        <v>408</v>
      </c>
      <c r="F536" s="193">
        <v>1</v>
      </c>
      <c r="G536" s="193" t="s">
        <v>293</v>
      </c>
      <c r="H536" s="193" t="s">
        <v>293</v>
      </c>
      <c r="I536" s="193" t="s">
        <v>294</v>
      </c>
      <c r="J536" s="193" t="s">
        <v>294</v>
      </c>
      <c r="K536" s="193" t="s">
        <v>128</v>
      </c>
      <c r="L536" s="193" t="s">
        <v>128</v>
      </c>
      <c r="M536" s="193" t="s">
        <v>128</v>
      </c>
      <c r="N536" s="193" t="s">
        <v>128</v>
      </c>
      <c r="O536" s="193" t="s">
        <v>397</v>
      </c>
      <c r="P536" s="193" t="s">
        <v>294</v>
      </c>
      <c r="Q536" s="193" t="s">
        <v>474</v>
      </c>
      <c r="R536" s="193" t="s">
        <v>398</v>
      </c>
      <c r="S536" s="193" t="s">
        <v>475</v>
      </c>
      <c r="T536" s="193" t="s">
        <v>476</v>
      </c>
      <c r="U536" s="193" t="s">
        <v>156</v>
      </c>
      <c r="V536" s="193" t="s">
        <v>477</v>
      </c>
      <c r="W536" s="193" t="s">
        <v>477</v>
      </c>
      <c r="X536" s="193"/>
      <c r="Y536" s="193"/>
      <c r="Z536" s="193" t="s">
        <v>128</v>
      </c>
      <c r="AA536" s="193">
        <v>1</v>
      </c>
      <c r="AB536" s="193">
        <v>99999999</v>
      </c>
      <c r="AC536" s="193">
        <v>0</v>
      </c>
      <c r="AD536" s="193">
        <v>0</v>
      </c>
      <c r="AE536" s="193">
        <v>0</v>
      </c>
      <c r="AF536" s="193">
        <v>0</v>
      </c>
      <c r="AG536" s="193">
        <v>0</v>
      </c>
      <c r="AH536" s="193">
        <v>0</v>
      </c>
      <c r="AI536" s="193">
        <v>0</v>
      </c>
      <c r="AJ536" s="193">
        <v>0</v>
      </c>
      <c r="AK536" s="193">
        <v>1</v>
      </c>
      <c r="AL536" s="193">
        <v>1</v>
      </c>
      <c r="AM536" s="193">
        <v>0</v>
      </c>
      <c r="AN536" s="193">
        <v>0</v>
      </c>
      <c r="AO536" s="193" t="s">
        <v>396</v>
      </c>
      <c r="AP536" s="193" t="s">
        <v>128</v>
      </c>
      <c r="AQ536" s="193" t="s">
        <v>399</v>
      </c>
      <c r="AR536" s="193">
        <v>0</v>
      </c>
      <c r="AS536" s="193">
        <v>0</v>
      </c>
      <c r="AT536" s="193">
        <v>1</v>
      </c>
      <c r="AU536" s="193">
        <v>0</v>
      </c>
      <c r="AV536" s="193">
        <v>0</v>
      </c>
      <c r="AW536" s="193">
        <v>0</v>
      </c>
      <c r="AX536" s="193">
        <v>0</v>
      </c>
      <c r="AY536" s="193">
        <v>1</v>
      </c>
      <c r="AZ536" s="193">
        <v>0</v>
      </c>
      <c r="BA536" s="193">
        <v>39864.674351851849</v>
      </c>
      <c r="BB536" s="193">
        <v>440393</v>
      </c>
      <c r="BC536" s="193">
        <v>440393</v>
      </c>
      <c r="BD536" s="193">
        <v>45482.05810185185</v>
      </c>
      <c r="BE536" s="193" t="s">
        <v>400</v>
      </c>
      <c r="BF536" s="259" t="s">
        <v>400</v>
      </c>
      <c r="BG536"/>
    </row>
    <row r="537" spans="1:59" s="27" customFormat="1" ht="15">
      <c r="B537" s="144" t="s">
        <v>297</v>
      </c>
      <c r="C537" s="188" t="s">
        <v>473</v>
      </c>
      <c r="D537" s="188" t="s">
        <v>408</v>
      </c>
      <c r="E537" s="170" t="s">
        <v>478</v>
      </c>
      <c r="F537" s="193">
        <v>1</v>
      </c>
      <c r="G537" s="193" t="s">
        <v>293</v>
      </c>
      <c r="H537" s="193" t="s">
        <v>293</v>
      </c>
      <c r="I537" s="193" t="s">
        <v>294</v>
      </c>
      <c r="J537" s="193" t="s">
        <v>294</v>
      </c>
      <c r="K537" s="193" t="s">
        <v>128</v>
      </c>
      <c r="L537" s="193" t="s">
        <v>128</v>
      </c>
      <c r="M537" s="193" t="s">
        <v>128</v>
      </c>
      <c r="N537" s="193" t="s">
        <v>128</v>
      </c>
      <c r="O537" s="193" t="s">
        <v>397</v>
      </c>
      <c r="P537" s="193" t="s">
        <v>294</v>
      </c>
      <c r="Q537" s="193" t="s">
        <v>474</v>
      </c>
      <c r="R537" s="193" t="s">
        <v>398</v>
      </c>
      <c r="S537" s="193" t="s">
        <v>475</v>
      </c>
      <c r="T537" s="193" t="s">
        <v>476</v>
      </c>
      <c r="U537" s="193" t="s">
        <v>156</v>
      </c>
      <c r="V537" s="193" t="s">
        <v>477</v>
      </c>
      <c r="W537" s="193" t="s">
        <v>477</v>
      </c>
      <c r="X537" s="193"/>
      <c r="Y537" s="193"/>
      <c r="Z537" s="193" t="s">
        <v>128</v>
      </c>
      <c r="AA537" s="193">
        <v>1</v>
      </c>
      <c r="AB537" s="193">
        <v>99999999</v>
      </c>
      <c r="AC537" s="193">
        <v>0</v>
      </c>
      <c r="AD537" s="193">
        <v>0</v>
      </c>
      <c r="AE537" s="193">
        <v>0</v>
      </c>
      <c r="AF537" s="193">
        <v>0</v>
      </c>
      <c r="AG537" s="193">
        <v>0</v>
      </c>
      <c r="AH537" s="193">
        <v>0</v>
      </c>
      <c r="AI537" s="193">
        <v>0</v>
      </c>
      <c r="AJ537" s="193">
        <v>0</v>
      </c>
      <c r="AK537" s="193">
        <v>1</v>
      </c>
      <c r="AL537" s="193">
        <v>1</v>
      </c>
      <c r="AM537" s="193">
        <v>0</v>
      </c>
      <c r="AN537" s="193">
        <v>0</v>
      </c>
      <c r="AO537" s="193" t="s">
        <v>396</v>
      </c>
      <c r="AP537" s="193" t="s">
        <v>128</v>
      </c>
      <c r="AQ537" s="193" t="s">
        <v>399</v>
      </c>
      <c r="AR537" s="193">
        <v>0</v>
      </c>
      <c r="AS537" s="193">
        <v>0</v>
      </c>
      <c r="AT537" s="193">
        <v>1</v>
      </c>
      <c r="AU537" s="193">
        <v>0</v>
      </c>
      <c r="AV537" s="193">
        <v>0</v>
      </c>
      <c r="AW537" s="193">
        <v>0</v>
      </c>
      <c r="AX537" s="193">
        <v>0</v>
      </c>
      <c r="AY537" s="193">
        <v>1</v>
      </c>
      <c r="AZ537" s="193">
        <v>0</v>
      </c>
      <c r="BA537" s="193">
        <v>39864.674351851849</v>
      </c>
      <c r="BB537" s="193">
        <v>440393</v>
      </c>
      <c r="BC537" s="193">
        <v>440393</v>
      </c>
      <c r="BD537" s="193">
        <v>45482.05810185185</v>
      </c>
      <c r="BE537" s="193" t="s">
        <v>400</v>
      </c>
      <c r="BF537" s="259" t="s">
        <v>400</v>
      </c>
      <c r="BG537"/>
    </row>
    <row r="538" spans="1:59" s="27" customFormat="1" ht="15">
      <c r="B538" s="144" t="s">
        <v>297</v>
      </c>
      <c r="C538" s="188" t="s">
        <v>473</v>
      </c>
      <c r="D538" s="170" t="s">
        <v>478</v>
      </c>
      <c r="E538" s="169" t="s">
        <v>408</v>
      </c>
      <c r="F538" s="193">
        <v>1</v>
      </c>
      <c r="G538" s="193" t="s">
        <v>293</v>
      </c>
      <c r="H538" s="193" t="s">
        <v>293</v>
      </c>
      <c r="I538" s="193" t="s">
        <v>294</v>
      </c>
      <c r="J538" s="193" t="s">
        <v>294</v>
      </c>
      <c r="K538" s="193" t="s">
        <v>128</v>
      </c>
      <c r="L538" s="193" t="s">
        <v>128</v>
      </c>
      <c r="M538" s="193" t="s">
        <v>128</v>
      </c>
      <c r="N538" s="193" t="s">
        <v>128</v>
      </c>
      <c r="O538" s="193" t="s">
        <v>397</v>
      </c>
      <c r="P538" s="193" t="s">
        <v>294</v>
      </c>
      <c r="Q538" s="193" t="s">
        <v>474</v>
      </c>
      <c r="R538" s="193" t="s">
        <v>398</v>
      </c>
      <c r="S538" s="193" t="s">
        <v>475</v>
      </c>
      <c r="T538" s="193" t="s">
        <v>476</v>
      </c>
      <c r="U538" s="193" t="s">
        <v>156</v>
      </c>
      <c r="V538" s="193" t="s">
        <v>477</v>
      </c>
      <c r="W538" s="193" t="s">
        <v>477</v>
      </c>
      <c r="X538" s="193"/>
      <c r="Y538" s="193"/>
      <c r="Z538" s="193" t="s">
        <v>128</v>
      </c>
      <c r="AA538" s="193">
        <v>1</v>
      </c>
      <c r="AB538" s="193">
        <v>99999999</v>
      </c>
      <c r="AC538" s="193">
        <v>0</v>
      </c>
      <c r="AD538" s="193">
        <v>0</v>
      </c>
      <c r="AE538" s="193">
        <v>0</v>
      </c>
      <c r="AF538" s="193">
        <v>0</v>
      </c>
      <c r="AG538" s="193">
        <v>0</v>
      </c>
      <c r="AH538" s="193">
        <v>0</v>
      </c>
      <c r="AI538" s="193">
        <v>0</v>
      </c>
      <c r="AJ538" s="193">
        <v>0</v>
      </c>
      <c r="AK538" s="193">
        <v>1</v>
      </c>
      <c r="AL538" s="193">
        <v>1</v>
      </c>
      <c r="AM538" s="193">
        <v>0</v>
      </c>
      <c r="AN538" s="193">
        <v>0</v>
      </c>
      <c r="AO538" s="193" t="s">
        <v>396</v>
      </c>
      <c r="AP538" s="193" t="s">
        <v>128</v>
      </c>
      <c r="AQ538" s="193" t="s">
        <v>399</v>
      </c>
      <c r="AR538" s="193">
        <v>0</v>
      </c>
      <c r="AS538" s="193">
        <v>0</v>
      </c>
      <c r="AT538" s="193">
        <v>1</v>
      </c>
      <c r="AU538" s="193">
        <v>0</v>
      </c>
      <c r="AV538" s="193">
        <v>0</v>
      </c>
      <c r="AW538" s="193">
        <v>0</v>
      </c>
      <c r="AX538" s="193">
        <v>0</v>
      </c>
      <c r="AY538" s="193">
        <v>1</v>
      </c>
      <c r="AZ538" s="193">
        <v>0</v>
      </c>
      <c r="BA538" s="193">
        <v>39864.674351851849</v>
      </c>
      <c r="BB538" s="193">
        <v>440393</v>
      </c>
      <c r="BC538" s="193">
        <v>440393</v>
      </c>
      <c r="BD538" s="193">
        <v>45482.05810185185</v>
      </c>
      <c r="BE538" s="193" t="s">
        <v>400</v>
      </c>
      <c r="BF538" s="259" t="s">
        <v>400</v>
      </c>
      <c r="BG538"/>
    </row>
    <row r="539" spans="1:59" s="27" customFormat="1" ht="15">
      <c r="B539" s="144" t="s">
        <v>297</v>
      </c>
      <c r="C539" s="188" t="s">
        <v>473</v>
      </c>
      <c r="D539" s="169" t="s">
        <v>408</v>
      </c>
      <c r="E539" s="170" t="s">
        <v>479</v>
      </c>
      <c r="F539" s="193">
        <v>1</v>
      </c>
      <c r="G539" s="193" t="s">
        <v>293</v>
      </c>
      <c r="H539" s="193" t="s">
        <v>293</v>
      </c>
      <c r="I539" s="193" t="s">
        <v>294</v>
      </c>
      <c r="J539" s="193" t="s">
        <v>294</v>
      </c>
      <c r="K539" s="193" t="s">
        <v>128</v>
      </c>
      <c r="L539" s="193" t="s">
        <v>128</v>
      </c>
      <c r="M539" s="193" t="s">
        <v>128</v>
      </c>
      <c r="N539" s="193" t="s">
        <v>128</v>
      </c>
      <c r="O539" s="193" t="s">
        <v>397</v>
      </c>
      <c r="P539" s="193" t="s">
        <v>294</v>
      </c>
      <c r="Q539" s="193" t="s">
        <v>474</v>
      </c>
      <c r="R539" s="193" t="s">
        <v>398</v>
      </c>
      <c r="S539" s="193" t="s">
        <v>475</v>
      </c>
      <c r="T539" s="193" t="s">
        <v>476</v>
      </c>
      <c r="U539" s="193" t="s">
        <v>156</v>
      </c>
      <c r="V539" s="193" t="s">
        <v>477</v>
      </c>
      <c r="W539" s="193" t="s">
        <v>477</v>
      </c>
      <c r="X539" s="193"/>
      <c r="Y539" s="193"/>
      <c r="Z539" s="193" t="s">
        <v>128</v>
      </c>
      <c r="AA539" s="193">
        <v>1</v>
      </c>
      <c r="AB539" s="193">
        <v>99999999</v>
      </c>
      <c r="AC539" s="193">
        <v>0</v>
      </c>
      <c r="AD539" s="193">
        <v>0</v>
      </c>
      <c r="AE539" s="193">
        <v>0</v>
      </c>
      <c r="AF539" s="193">
        <v>0</v>
      </c>
      <c r="AG539" s="193">
        <v>0</v>
      </c>
      <c r="AH539" s="193">
        <v>0</v>
      </c>
      <c r="AI539" s="193">
        <v>0</v>
      </c>
      <c r="AJ539" s="193">
        <v>0</v>
      </c>
      <c r="AK539" s="193">
        <v>1</v>
      </c>
      <c r="AL539" s="193">
        <v>1</v>
      </c>
      <c r="AM539" s="193">
        <v>0</v>
      </c>
      <c r="AN539" s="193">
        <v>0</v>
      </c>
      <c r="AO539" s="193" t="s">
        <v>396</v>
      </c>
      <c r="AP539" s="193" t="s">
        <v>128</v>
      </c>
      <c r="AQ539" s="193" t="s">
        <v>399</v>
      </c>
      <c r="AR539" s="193">
        <v>0</v>
      </c>
      <c r="AS539" s="193">
        <v>0</v>
      </c>
      <c r="AT539" s="193">
        <v>1</v>
      </c>
      <c r="AU539" s="193">
        <v>0</v>
      </c>
      <c r="AV539" s="193">
        <v>0</v>
      </c>
      <c r="AW539" s="193">
        <v>0</v>
      </c>
      <c r="AX539" s="193">
        <v>0</v>
      </c>
      <c r="AY539" s="193">
        <v>1</v>
      </c>
      <c r="AZ539" s="193">
        <v>0</v>
      </c>
      <c r="BA539" s="193">
        <v>39864.674351851849</v>
      </c>
      <c r="BB539" s="193">
        <v>440393</v>
      </c>
      <c r="BC539" s="193">
        <v>440393</v>
      </c>
      <c r="BD539" s="193">
        <v>45482.05810185185</v>
      </c>
      <c r="BE539" s="193" t="s">
        <v>400</v>
      </c>
      <c r="BF539" s="259" t="s">
        <v>400</v>
      </c>
      <c r="BG539"/>
    </row>
    <row r="540" spans="1:59">
      <c r="B540" s="148"/>
      <c r="BF540" s="130"/>
    </row>
    <row r="541" spans="1:59">
      <c r="B541" s="148"/>
      <c r="C541" s="175" t="s">
        <v>439</v>
      </c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BF541" s="130"/>
    </row>
    <row r="542" spans="1:59" ht="15">
      <c r="B542" s="148"/>
      <c r="C542" s="118"/>
      <c r="D542" s="174"/>
      <c r="E542" s="118"/>
      <c r="F542" s="118" t="s">
        <v>141</v>
      </c>
      <c r="G542" s="174"/>
      <c r="H542" s="174"/>
      <c r="I542" s="174"/>
      <c r="J542" s="174"/>
      <c r="K542" s="174"/>
      <c r="L542" s="174"/>
      <c r="M542" s="174"/>
      <c r="BF542" s="130"/>
    </row>
    <row r="543" spans="1:59">
      <c r="B543" s="148"/>
      <c r="C543" s="153" t="s">
        <v>448</v>
      </c>
      <c r="D543" s="117" t="s">
        <v>442</v>
      </c>
      <c r="E543" s="153" t="s">
        <v>449</v>
      </c>
      <c r="F543" s="117" t="s">
        <v>443</v>
      </c>
      <c r="G543" s="123" t="s">
        <v>222</v>
      </c>
      <c r="H543" s="123" t="s">
        <v>223</v>
      </c>
      <c r="I543" s="123" t="s">
        <v>224</v>
      </c>
      <c r="J543" s="123" t="s">
        <v>225</v>
      </c>
      <c r="K543" s="123" t="s">
        <v>123</v>
      </c>
      <c r="L543" s="123" t="s">
        <v>124</v>
      </c>
      <c r="M543" s="123" t="s">
        <v>226</v>
      </c>
      <c r="BF543" s="130"/>
    </row>
    <row r="544" spans="1:59" ht="14">
      <c r="B544" s="148"/>
      <c r="C544" s="187" t="s">
        <v>450</v>
      </c>
      <c r="D544" s="117" t="s">
        <v>440</v>
      </c>
      <c r="E544" s="187" t="s">
        <v>452</v>
      </c>
      <c r="F544" s="117" t="s">
        <v>441</v>
      </c>
      <c r="G544" s="117" t="s">
        <v>205</v>
      </c>
      <c r="H544" s="117" t="s">
        <v>206</v>
      </c>
      <c r="I544" s="117" t="s">
        <v>207</v>
      </c>
      <c r="J544" s="117" t="s">
        <v>208</v>
      </c>
      <c r="K544" s="117" t="s">
        <v>209</v>
      </c>
      <c r="L544" s="117" t="s">
        <v>210</v>
      </c>
      <c r="M544" s="117" t="s">
        <v>211</v>
      </c>
      <c r="BF544" s="130"/>
    </row>
    <row r="545" spans="2:58" ht="14">
      <c r="B545" s="148"/>
      <c r="C545" s="187" t="s">
        <v>451</v>
      </c>
      <c r="D545" s="117" t="s">
        <v>445</v>
      </c>
      <c r="E545" s="187" t="s">
        <v>453</v>
      </c>
      <c r="F545" s="117" t="s">
        <v>230</v>
      </c>
      <c r="G545" s="117" t="s">
        <v>444</v>
      </c>
      <c r="H545" s="117" t="s">
        <v>234</v>
      </c>
      <c r="I545" s="117" t="s">
        <v>235</v>
      </c>
      <c r="J545" s="117" t="s">
        <v>235</v>
      </c>
      <c r="K545" s="117" t="s">
        <v>147</v>
      </c>
      <c r="L545" s="117" t="s">
        <v>235</v>
      </c>
      <c r="M545" s="117" t="s">
        <v>235</v>
      </c>
      <c r="BF545" s="130"/>
    </row>
    <row r="546" spans="2:58" ht="14">
      <c r="B546" s="144" t="s">
        <v>297</v>
      </c>
      <c r="C546" s="188" t="s">
        <v>410</v>
      </c>
      <c r="D546" s="188" t="s">
        <v>454</v>
      </c>
      <c r="E546" s="170" t="s">
        <v>565</v>
      </c>
      <c r="F546" s="188" t="s">
        <v>156</v>
      </c>
      <c r="G546" s="188" t="s">
        <v>294</v>
      </c>
      <c r="H546" s="188" t="s">
        <v>456</v>
      </c>
      <c r="I546" s="188" t="s">
        <v>457</v>
      </c>
      <c r="J546" s="188" t="s">
        <v>457</v>
      </c>
      <c r="K546" s="188" t="s">
        <v>458</v>
      </c>
      <c r="L546" s="188" t="s">
        <v>459</v>
      </c>
      <c r="M546" s="188" t="s">
        <v>459</v>
      </c>
      <c r="BF546" s="130"/>
    </row>
    <row r="547" spans="2:58" ht="14">
      <c r="B547" s="144" t="s">
        <v>297</v>
      </c>
      <c r="C547" s="193" t="s">
        <v>410</v>
      </c>
      <c r="D547" s="193" t="s">
        <v>569</v>
      </c>
      <c r="E547" s="170" t="s">
        <v>570</v>
      </c>
      <c r="F547" s="193" t="s">
        <v>156</v>
      </c>
      <c r="G547" s="193" t="s">
        <v>294</v>
      </c>
      <c r="H547" s="193" t="s">
        <v>456</v>
      </c>
      <c r="I547" s="193" t="s">
        <v>457</v>
      </c>
      <c r="J547" s="193" t="s">
        <v>457</v>
      </c>
      <c r="K547" s="193" t="s">
        <v>458</v>
      </c>
      <c r="L547" s="193" t="s">
        <v>459</v>
      </c>
      <c r="M547" s="193" t="s">
        <v>459</v>
      </c>
      <c r="BF547" s="130"/>
    </row>
    <row r="548" spans="2:58" ht="14">
      <c r="B548" s="144" t="s">
        <v>297</v>
      </c>
      <c r="C548" s="193" t="s">
        <v>410</v>
      </c>
      <c r="D548" s="193" t="s">
        <v>569</v>
      </c>
      <c r="E548" s="170" t="s">
        <v>571</v>
      </c>
      <c r="F548" s="193" t="s">
        <v>156</v>
      </c>
      <c r="G548" s="193" t="s">
        <v>294</v>
      </c>
      <c r="H548" s="193" t="s">
        <v>456</v>
      </c>
      <c r="I548" s="193" t="s">
        <v>457</v>
      </c>
      <c r="J548" s="193" t="s">
        <v>457</v>
      </c>
      <c r="K548" s="193" t="s">
        <v>458</v>
      </c>
      <c r="L548" s="193" t="s">
        <v>459</v>
      </c>
      <c r="M548" s="193" t="s">
        <v>459</v>
      </c>
      <c r="BF548" s="130"/>
    </row>
    <row r="549" spans="2:58" ht="14">
      <c r="B549" s="142" t="s">
        <v>292</v>
      </c>
      <c r="C549" s="193" t="s">
        <v>410</v>
      </c>
      <c r="D549" s="193" t="s">
        <v>569</v>
      </c>
      <c r="E549" s="169" t="s">
        <v>572</v>
      </c>
      <c r="F549" s="193" t="s">
        <v>294</v>
      </c>
      <c r="G549" s="193" t="s">
        <v>294</v>
      </c>
      <c r="H549" s="193" t="s">
        <v>456</v>
      </c>
      <c r="I549" s="193" t="s">
        <v>457</v>
      </c>
      <c r="J549" s="193" t="s">
        <v>457</v>
      </c>
      <c r="K549" s="193" t="s">
        <v>458</v>
      </c>
      <c r="L549" s="193" t="s">
        <v>459</v>
      </c>
      <c r="M549" s="193" t="s">
        <v>459</v>
      </c>
      <c r="BF549" s="130"/>
    </row>
    <row r="550" spans="2:58" ht="14">
      <c r="B550" s="144" t="s">
        <v>297</v>
      </c>
      <c r="C550" s="193" t="s">
        <v>410</v>
      </c>
      <c r="D550" s="193" t="s">
        <v>569</v>
      </c>
      <c r="E550" s="170" t="s">
        <v>573</v>
      </c>
      <c r="F550" s="193" t="s">
        <v>294</v>
      </c>
      <c r="G550" s="193" t="s">
        <v>294</v>
      </c>
      <c r="H550" s="193" t="s">
        <v>456</v>
      </c>
      <c r="I550" s="193" t="s">
        <v>457</v>
      </c>
      <c r="J550" s="193" t="s">
        <v>457</v>
      </c>
      <c r="K550" s="193" t="s">
        <v>458</v>
      </c>
      <c r="L550" s="193" t="s">
        <v>459</v>
      </c>
      <c r="M550" s="193" t="s">
        <v>459</v>
      </c>
      <c r="BF550" s="130"/>
    </row>
    <row r="551" spans="2:58">
      <c r="B551" s="148"/>
      <c r="BF551" s="130"/>
    </row>
    <row r="552" spans="2:58">
      <c r="B552" s="148"/>
      <c r="BF552" s="130"/>
    </row>
    <row r="553" spans="2:58" ht="13.5">
      <c r="B553" s="148"/>
      <c r="C553" s="136" t="s">
        <v>125</v>
      </c>
      <c r="D553" s="136"/>
      <c r="E553" s="136"/>
      <c r="F553" s="136"/>
      <c r="G553" s="136"/>
      <c r="BF553" s="130"/>
    </row>
    <row r="554" spans="2:58" ht="13.5">
      <c r="B554" s="148"/>
      <c r="C554" s="266" t="s">
        <v>401</v>
      </c>
      <c r="D554" s="266" t="s">
        <v>402</v>
      </c>
      <c r="E554" s="266" t="s">
        <v>131</v>
      </c>
      <c r="F554" s="266" t="s">
        <v>403</v>
      </c>
      <c r="G554" s="266" t="s">
        <v>404</v>
      </c>
      <c r="BF554" s="130"/>
    </row>
    <row r="555" spans="2:58" ht="13.5">
      <c r="B555" s="148"/>
      <c r="C555" s="266">
        <v>-2</v>
      </c>
      <c r="D555" s="266" t="s">
        <v>405</v>
      </c>
      <c r="E555" s="266" t="s">
        <v>714</v>
      </c>
      <c r="F555" s="266" t="s">
        <v>775</v>
      </c>
      <c r="G555" s="266" t="s">
        <v>113</v>
      </c>
      <c r="BF555" s="130"/>
    </row>
    <row r="556" spans="2:58" ht="13.5" thickBot="1">
      <c r="B556" s="148"/>
      <c r="BF556" s="130"/>
    </row>
    <row r="557" spans="2:58" ht="14" thickBot="1">
      <c r="B557" s="132" t="s">
        <v>603</v>
      </c>
      <c r="C557" s="133" t="s">
        <v>604</v>
      </c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236"/>
    </row>
    <row r="558" spans="2:58" ht="14" thickBot="1">
      <c r="B558" s="134" t="s">
        <v>736</v>
      </c>
      <c r="C558" s="133" t="s">
        <v>434</v>
      </c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236"/>
    </row>
    <row r="559" spans="2:58">
      <c r="B559" s="148"/>
      <c r="BF559" s="130"/>
    </row>
    <row r="560" spans="2:58" ht="13.5">
      <c r="B560" s="148"/>
      <c r="C560" s="136" t="s">
        <v>241</v>
      </c>
      <c r="BF560" s="130"/>
    </row>
    <row r="561" spans="1:59" ht="13.5">
      <c r="B561" s="148"/>
      <c r="C561" s="136" t="s">
        <v>621</v>
      </c>
      <c r="BF561" s="130"/>
    </row>
    <row r="562" spans="1:59">
      <c r="B562" s="148"/>
      <c r="BF562" s="130"/>
    </row>
    <row r="563" spans="1:59" s="27" customFormat="1" ht="19.5" customHeight="1">
      <c r="B563" s="223"/>
      <c r="C563" s="137" t="s">
        <v>472</v>
      </c>
      <c r="D563" s="138"/>
      <c r="E563" s="138"/>
      <c r="F563" s="138"/>
      <c r="G563" s="138"/>
      <c r="H563" s="95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93"/>
      <c r="T563" s="93"/>
      <c r="U563" s="93"/>
      <c r="V563" s="93"/>
      <c r="W563" s="93"/>
      <c r="X563" s="93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138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238"/>
      <c r="BG563"/>
    </row>
    <row r="564" spans="1:59" s="73" customFormat="1" ht="16.5" customHeight="1">
      <c r="A564" s="71"/>
      <c r="B564" s="224"/>
      <c r="C564" s="140"/>
      <c r="D564" s="140"/>
      <c r="E564" s="140"/>
      <c r="F564" s="141" t="s">
        <v>141</v>
      </c>
      <c r="G564" s="146"/>
      <c r="H564" s="146"/>
      <c r="I564" s="141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1"/>
      <c r="AL564" s="147"/>
      <c r="AM564" s="147"/>
      <c r="AN564" s="147"/>
      <c r="AO564" s="141"/>
      <c r="AP564" s="147"/>
      <c r="AQ564" s="147"/>
      <c r="AR564" s="141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147"/>
      <c r="BF564" s="239"/>
      <c r="BG564"/>
    </row>
    <row r="565" spans="1:59" s="80" customFormat="1" ht="86" customHeight="1">
      <c r="B565" s="225"/>
      <c r="C565" s="116" t="s">
        <v>300</v>
      </c>
      <c r="D565" s="116" t="s">
        <v>301</v>
      </c>
      <c r="E565" s="116" t="s">
        <v>302</v>
      </c>
      <c r="F565" s="123" t="s">
        <v>337</v>
      </c>
      <c r="G565" s="123" t="s">
        <v>303</v>
      </c>
      <c r="H565" s="123" t="s">
        <v>244</v>
      </c>
      <c r="I565" s="123" t="s">
        <v>305</v>
      </c>
      <c r="J565" s="123" t="s">
        <v>306</v>
      </c>
      <c r="K565" s="123" t="s">
        <v>307</v>
      </c>
      <c r="L565" s="123" t="s">
        <v>308</v>
      </c>
      <c r="M565" s="123" t="s">
        <v>309</v>
      </c>
      <c r="N565" s="123" t="s">
        <v>310</v>
      </c>
      <c r="O565" s="123" t="s">
        <v>311</v>
      </c>
      <c r="P565" s="123" t="s">
        <v>312</v>
      </c>
      <c r="Q565" s="123" t="s">
        <v>313</v>
      </c>
      <c r="R565" s="123" t="s">
        <v>314</v>
      </c>
      <c r="S565" s="123" t="s">
        <v>315</v>
      </c>
      <c r="T565" s="123" t="s">
        <v>316</v>
      </c>
      <c r="U565" s="123" t="s">
        <v>317</v>
      </c>
      <c r="V565" s="123" t="s">
        <v>318</v>
      </c>
      <c r="W565" s="123" t="s">
        <v>319</v>
      </c>
      <c r="X565" s="123" t="s">
        <v>320</v>
      </c>
      <c r="Y565" s="123" t="s">
        <v>321</v>
      </c>
      <c r="Z565" s="123" t="s">
        <v>322</v>
      </c>
      <c r="AA565" s="123" t="s">
        <v>323</v>
      </c>
      <c r="AB565" s="123" t="s">
        <v>324</v>
      </c>
      <c r="AC565" s="123" t="s">
        <v>325</v>
      </c>
      <c r="AD565" s="123" t="s">
        <v>326</v>
      </c>
      <c r="AE565" s="123" t="s">
        <v>327</v>
      </c>
      <c r="AF565" s="123" t="s">
        <v>328</v>
      </c>
      <c r="AG565" s="123" t="s">
        <v>329</v>
      </c>
      <c r="AH565" s="123" t="s">
        <v>330</v>
      </c>
      <c r="AI565" s="123" t="s">
        <v>331</v>
      </c>
      <c r="AJ565" s="123" t="s">
        <v>332</v>
      </c>
      <c r="AK565" s="123" t="s">
        <v>333</v>
      </c>
      <c r="AL565" s="123" t="s">
        <v>334</v>
      </c>
      <c r="AM565" s="123" t="s">
        <v>335</v>
      </c>
      <c r="AN565" s="123" t="s">
        <v>336</v>
      </c>
      <c r="AO565" s="123" t="s">
        <v>304</v>
      </c>
      <c r="AP565" s="123" t="s">
        <v>338</v>
      </c>
      <c r="AQ565" s="123" t="s">
        <v>339</v>
      </c>
      <c r="AR565" s="123" t="s">
        <v>340</v>
      </c>
      <c r="AS565" s="123" t="s">
        <v>341</v>
      </c>
      <c r="AT565" s="123" t="s">
        <v>342</v>
      </c>
      <c r="AU565" s="123" t="s">
        <v>343</v>
      </c>
      <c r="AV565" s="123" t="s">
        <v>344</v>
      </c>
      <c r="AW565" s="123" t="s">
        <v>345</v>
      </c>
      <c r="AX565" s="123" t="s">
        <v>346</v>
      </c>
      <c r="AY565" s="123" t="s">
        <v>347</v>
      </c>
      <c r="AZ565" s="123" t="s">
        <v>222</v>
      </c>
      <c r="BA565" s="123" t="s">
        <v>223</v>
      </c>
      <c r="BB565" s="123" t="s">
        <v>224</v>
      </c>
      <c r="BC565" s="123" t="s">
        <v>225</v>
      </c>
      <c r="BD565" s="123" t="s">
        <v>123</v>
      </c>
      <c r="BE565" s="123" t="s">
        <v>124</v>
      </c>
      <c r="BF565" s="240" t="s">
        <v>226</v>
      </c>
      <c r="BG565"/>
    </row>
    <row r="566" spans="1:59" s="80" customFormat="1">
      <c r="B566" s="225"/>
      <c r="C566" s="116" t="s">
        <v>261</v>
      </c>
      <c r="D566" s="116" t="s">
        <v>262</v>
      </c>
      <c r="E566" s="116" t="s">
        <v>263</v>
      </c>
      <c r="F566" s="117" t="s">
        <v>200</v>
      </c>
      <c r="G566" s="117" t="s">
        <v>266</v>
      </c>
      <c r="H566" s="117" t="s">
        <v>265</v>
      </c>
      <c r="I566" s="117" t="s">
        <v>349</v>
      </c>
      <c r="J566" s="117" t="s">
        <v>350</v>
      </c>
      <c r="K566" s="117" t="s">
        <v>351</v>
      </c>
      <c r="L566" s="117" t="s">
        <v>352</v>
      </c>
      <c r="M566" s="117" t="s">
        <v>353</v>
      </c>
      <c r="N566" s="117" t="s">
        <v>354</v>
      </c>
      <c r="O566" s="117" t="s">
        <v>355</v>
      </c>
      <c r="P566" s="117" t="s">
        <v>356</v>
      </c>
      <c r="Q566" s="117" t="s">
        <v>357</v>
      </c>
      <c r="R566" s="117" t="s">
        <v>358</v>
      </c>
      <c r="S566" s="117" t="s">
        <v>359</v>
      </c>
      <c r="T566" s="117" t="s">
        <v>360</v>
      </c>
      <c r="U566" s="117" t="s">
        <v>361</v>
      </c>
      <c r="V566" s="117" t="s">
        <v>362</v>
      </c>
      <c r="W566" s="117" t="s">
        <v>363</v>
      </c>
      <c r="X566" s="117" t="s">
        <v>364</v>
      </c>
      <c r="Y566" s="117" t="s">
        <v>365</v>
      </c>
      <c r="Z566" s="117" t="s">
        <v>366</v>
      </c>
      <c r="AA566" s="117" t="s">
        <v>367</v>
      </c>
      <c r="AB566" s="117" t="s">
        <v>368</v>
      </c>
      <c r="AC566" s="117" t="s">
        <v>369</v>
      </c>
      <c r="AD566" s="117" t="s">
        <v>370</v>
      </c>
      <c r="AE566" s="117" t="s">
        <v>371</v>
      </c>
      <c r="AF566" s="117" t="s">
        <v>372</v>
      </c>
      <c r="AG566" s="117" t="s">
        <v>373</v>
      </c>
      <c r="AH566" s="117" t="s">
        <v>374</v>
      </c>
      <c r="AI566" s="117" t="s">
        <v>375</v>
      </c>
      <c r="AJ566" s="117" t="s">
        <v>376</v>
      </c>
      <c r="AK566" s="117" t="s">
        <v>199</v>
      </c>
      <c r="AL566" s="117" t="s">
        <v>377</v>
      </c>
      <c r="AM566" s="117" t="s">
        <v>378</v>
      </c>
      <c r="AN566" s="117" t="s">
        <v>379</v>
      </c>
      <c r="AO566" s="117" t="s">
        <v>348</v>
      </c>
      <c r="AP566" s="117" t="s">
        <v>380</v>
      </c>
      <c r="AQ566" s="117" t="s">
        <v>381</v>
      </c>
      <c r="AR566" s="117" t="s">
        <v>382</v>
      </c>
      <c r="AS566" s="117" t="s">
        <v>383</v>
      </c>
      <c r="AT566" s="117" t="s">
        <v>384</v>
      </c>
      <c r="AU566" s="117" t="s">
        <v>385</v>
      </c>
      <c r="AV566" s="117" t="s">
        <v>386</v>
      </c>
      <c r="AW566" s="117" t="s">
        <v>387</v>
      </c>
      <c r="AX566" s="117" t="s">
        <v>388</v>
      </c>
      <c r="AY566" s="117" t="s">
        <v>389</v>
      </c>
      <c r="AZ566" s="117" t="s">
        <v>205</v>
      </c>
      <c r="BA566" s="117" t="s">
        <v>206</v>
      </c>
      <c r="BB566" s="117" t="s">
        <v>207</v>
      </c>
      <c r="BC566" s="117" t="s">
        <v>208</v>
      </c>
      <c r="BD566" s="117" t="s">
        <v>209</v>
      </c>
      <c r="BE566" s="117" t="s">
        <v>210</v>
      </c>
      <c r="BF566" s="241" t="s">
        <v>211</v>
      </c>
      <c r="BG566"/>
    </row>
    <row r="567" spans="1:59" s="70" customFormat="1" ht="13.5" customHeight="1">
      <c r="B567" s="226"/>
      <c r="C567" s="116" t="s">
        <v>282</v>
      </c>
      <c r="D567" s="116" t="s">
        <v>390</v>
      </c>
      <c r="E567" s="116" t="s">
        <v>227</v>
      </c>
      <c r="F567" s="241" t="s">
        <v>228</v>
      </c>
      <c r="G567" s="241" t="s">
        <v>230</v>
      </c>
      <c r="H567" s="241" t="s">
        <v>230</v>
      </c>
      <c r="I567" s="241" t="s">
        <v>230</v>
      </c>
      <c r="J567" s="241" t="s">
        <v>230</v>
      </c>
      <c r="K567" s="241" t="s">
        <v>391</v>
      </c>
      <c r="L567" s="241" t="s">
        <v>391</v>
      </c>
      <c r="M567" s="241" t="s">
        <v>227</v>
      </c>
      <c r="N567" s="241" t="s">
        <v>392</v>
      </c>
      <c r="O567" s="241" t="s">
        <v>230</v>
      </c>
      <c r="P567" s="241" t="s">
        <v>288</v>
      </c>
      <c r="Q567" s="241" t="s">
        <v>284</v>
      </c>
      <c r="R567" s="241" t="s">
        <v>288</v>
      </c>
      <c r="S567" s="241" t="s">
        <v>284</v>
      </c>
      <c r="T567" s="241" t="s">
        <v>284</v>
      </c>
      <c r="U567" s="241" t="s">
        <v>230</v>
      </c>
      <c r="V567" s="241" t="s">
        <v>393</v>
      </c>
      <c r="W567" s="241" t="s">
        <v>393</v>
      </c>
      <c r="X567" s="241" t="s">
        <v>228</v>
      </c>
      <c r="Y567" s="241" t="s">
        <v>392</v>
      </c>
      <c r="Z567" s="241" t="s">
        <v>392</v>
      </c>
      <c r="AA567" s="241" t="s">
        <v>284</v>
      </c>
      <c r="AB567" s="241" t="s">
        <v>287</v>
      </c>
      <c r="AC567" s="241" t="s">
        <v>288</v>
      </c>
      <c r="AD567" s="241" t="s">
        <v>288</v>
      </c>
      <c r="AE567" s="241" t="s">
        <v>394</v>
      </c>
      <c r="AF567" s="241" t="s">
        <v>394</v>
      </c>
      <c r="AG567" s="241" t="s">
        <v>288</v>
      </c>
      <c r="AH567" s="241" t="s">
        <v>288</v>
      </c>
      <c r="AI567" s="241" t="s">
        <v>394</v>
      </c>
      <c r="AJ567" s="241" t="s">
        <v>394</v>
      </c>
      <c r="AK567" s="241" t="s">
        <v>230</v>
      </c>
      <c r="AL567" s="241" t="s">
        <v>230</v>
      </c>
      <c r="AM567" s="241" t="s">
        <v>230</v>
      </c>
      <c r="AN567" s="241" t="s">
        <v>230</v>
      </c>
      <c r="AO567" s="241" t="s">
        <v>230</v>
      </c>
      <c r="AP567" s="241" t="s">
        <v>227</v>
      </c>
      <c r="AQ567" s="241" t="s">
        <v>230</v>
      </c>
      <c r="AR567" s="241" t="s">
        <v>284</v>
      </c>
      <c r="AS567" s="241" t="s">
        <v>284</v>
      </c>
      <c r="AT567" s="241" t="s">
        <v>230</v>
      </c>
      <c r="AU567" s="241" t="s">
        <v>395</v>
      </c>
      <c r="AV567" s="241" t="s">
        <v>288</v>
      </c>
      <c r="AW567" s="241" t="s">
        <v>228</v>
      </c>
      <c r="AX567" s="241" t="s">
        <v>230</v>
      </c>
      <c r="AY567" s="241" t="s">
        <v>230</v>
      </c>
      <c r="AZ567" s="241" t="s">
        <v>233</v>
      </c>
      <c r="BA567" s="241" t="s">
        <v>234</v>
      </c>
      <c r="BB567" s="241" t="s">
        <v>235</v>
      </c>
      <c r="BC567" s="241" t="s">
        <v>235</v>
      </c>
      <c r="BD567" s="241" t="s">
        <v>234</v>
      </c>
      <c r="BE567" s="241" t="s">
        <v>235</v>
      </c>
      <c r="BF567" s="241" t="s">
        <v>235</v>
      </c>
      <c r="BG567"/>
    </row>
    <row r="568" spans="1:59" s="27" customFormat="1" ht="15">
      <c r="B568" s="142" t="s">
        <v>292</v>
      </c>
      <c r="C568" s="188" t="s">
        <v>473</v>
      </c>
      <c r="D568" s="188" t="s">
        <v>408</v>
      </c>
      <c r="E568" s="188" t="s">
        <v>408</v>
      </c>
      <c r="F568" s="189">
        <v>1</v>
      </c>
      <c r="G568" s="189" t="s">
        <v>293</v>
      </c>
      <c r="H568" s="189" t="s">
        <v>293</v>
      </c>
      <c r="I568" s="189" t="s">
        <v>294</v>
      </c>
      <c r="J568" s="189" t="s">
        <v>294</v>
      </c>
      <c r="K568" s="189" t="s">
        <v>128</v>
      </c>
      <c r="L568" s="189" t="s">
        <v>128</v>
      </c>
      <c r="M568" s="189" t="s">
        <v>128</v>
      </c>
      <c r="N568" s="189" t="s">
        <v>128</v>
      </c>
      <c r="O568" s="189" t="s">
        <v>397</v>
      </c>
      <c r="P568" s="189" t="s">
        <v>294</v>
      </c>
      <c r="Q568" s="189" t="s">
        <v>474</v>
      </c>
      <c r="R568" s="189" t="s">
        <v>398</v>
      </c>
      <c r="S568" s="189" t="s">
        <v>475</v>
      </c>
      <c r="T568" s="189" t="s">
        <v>476</v>
      </c>
      <c r="U568" s="189" t="s">
        <v>156</v>
      </c>
      <c r="V568" s="189" t="s">
        <v>477</v>
      </c>
      <c r="W568" s="189" t="s">
        <v>477</v>
      </c>
      <c r="X568" s="189"/>
      <c r="Y568" s="189"/>
      <c r="Z568" s="189" t="s">
        <v>128</v>
      </c>
      <c r="AA568" s="189">
        <v>1</v>
      </c>
      <c r="AB568" s="189">
        <v>99999999</v>
      </c>
      <c r="AC568" s="189">
        <v>0</v>
      </c>
      <c r="AD568" s="189">
        <v>0</v>
      </c>
      <c r="AE568" s="189">
        <v>0</v>
      </c>
      <c r="AF568" s="189">
        <v>0</v>
      </c>
      <c r="AG568" s="189">
        <v>0</v>
      </c>
      <c r="AH568" s="189">
        <v>0</v>
      </c>
      <c r="AI568" s="189">
        <v>0</v>
      </c>
      <c r="AJ568" s="189">
        <v>0</v>
      </c>
      <c r="AK568" s="189">
        <v>1</v>
      </c>
      <c r="AL568" s="189">
        <v>1</v>
      </c>
      <c r="AM568" s="189">
        <v>0</v>
      </c>
      <c r="AN568" s="189">
        <v>0</v>
      </c>
      <c r="AO568" s="189" t="s">
        <v>396</v>
      </c>
      <c r="AP568" s="189" t="s">
        <v>128</v>
      </c>
      <c r="AQ568" s="189" t="s">
        <v>399</v>
      </c>
      <c r="AR568" s="189">
        <v>0</v>
      </c>
      <c r="AS568" s="189">
        <v>0</v>
      </c>
      <c r="AT568" s="189">
        <v>1</v>
      </c>
      <c r="AU568" s="189">
        <v>0</v>
      </c>
      <c r="AV568" s="189">
        <v>0</v>
      </c>
      <c r="AW568" s="189">
        <v>0</v>
      </c>
      <c r="AX568" s="189">
        <v>0</v>
      </c>
      <c r="AY568" s="189">
        <v>1</v>
      </c>
      <c r="AZ568" s="189">
        <v>0</v>
      </c>
      <c r="BA568" s="189">
        <v>39864.674351851849</v>
      </c>
      <c r="BB568" s="189">
        <v>440393</v>
      </c>
      <c r="BC568" s="189">
        <v>440393</v>
      </c>
      <c r="BD568" s="189">
        <v>45482.05810185185</v>
      </c>
      <c r="BE568" s="189" t="s">
        <v>400</v>
      </c>
      <c r="BF568" s="258" t="s">
        <v>400</v>
      </c>
      <c r="BG568"/>
    </row>
    <row r="569" spans="1:59" s="27" customFormat="1" ht="15">
      <c r="B569" s="144" t="s">
        <v>297</v>
      </c>
      <c r="C569" s="188" t="s">
        <v>473</v>
      </c>
      <c r="D569" s="188" t="s">
        <v>408</v>
      </c>
      <c r="E569" s="170" t="s">
        <v>478</v>
      </c>
      <c r="F569" s="189">
        <v>1</v>
      </c>
      <c r="G569" s="189" t="s">
        <v>293</v>
      </c>
      <c r="H569" s="189" t="s">
        <v>293</v>
      </c>
      <c r="I569" s="189" t="s">
        <v>294</v>
      </c>
      <c r="J569" s="189" t="s">
        <v>294</v>
      </c>
      <c r="K569" s="189" t="s">
        <v>128</v>
      </c>
      <c r="L569" s="189" t="s">
        <v>128</v>
      </c>
      <c r="M569" s="189" t="s">
        <v>128</v>
      </c>
      <c r="N569" s="189" t="s">
        <v>128</v>
      </c>
      <c r="O569" s="189" t="s">
        <v>397</v>
      </c>
      <c r="P569" s="189" t="s">
        <v>294</v>
      </c>
      <c r="Q569" s="189" t="s">
        <v>474</v>
      </c>
      <c r="R569" s="189" t="s">
        <v>398</v>
      </c>
      <c r="S569" s="189" t="s">
        <v>475</v>
      </c>
      <c r="T569" s="189" t="s">
        <v>476</v>
      </c>
      <c r="U569" s="189" t="s">
        <v>156</v>
      </c>
      <c r="V569" s="189" t="s">
        <v>477</v>
      </c>
      <c r="W569" s="189" t="s">
        <v>477</v>
      </c>
      <c r="X569" s="189"/>
      <c r="Y569" s="189"/>
      <c r="Z569" s="189" t="s">
        <v>128</v>
      </c>
      <c r="AA569" s="189">
        <v>1</v>
      </c>
      <c r="AB569" s="189">
        <v>99999999</v>
      </c>
      <c r="AC569" s="189">
        <v>0</v>
      </c>
      <c r="AD569" s="189">
        <v>0</v>
      </c>
      <c r="AE569" s="189">
        <v>0</v>
      </c>
      <c r="AF569" s="189">
        <v>0</v>
      </c>
      <c r="AG569" s="189">
        <v>0</v>
      </c>
      <c r="AH569" s="189">
        <v>0</v>
      </c>
      <c r="AI569" s="189">
        <v>0</v>
      </c>
      <c r="AJ569" s="189">
        <v>0</v>
      </c>
      <c r="AK569" s="189">
        <v>1</v>
      </c>
      <c r="AL569" s="189">
        <v>1</v>
      </c>
      <c r="AM569" s="189">
        <v>0</v>
      </c>
      <c r="AN569" s="189">
        <v>0</v>
      </c>
      <c r="AO569" s="189" t="s">
        <v>396</v>
      </c>
      <c r="AP569" s="189" t="s">
        <v>128</v>
      </c>
      <c r="AQ569" s="189" t="s">
        <v>399</v>
      </c>
      <c r="AR569" s="189">
        <v>0</v>
      </c>
      <c r="AS569" s="189">
        <v>0</v>
      </c>
      <c r="AT569" s="189">
        <v>1</v>
      </c>
      <c r="AU569" s="189">
        <v>0</v>
      </c>
      <c r="AV569" s="189">
        <v>0</v>
      </c>
      <c r="AW569" s="189">
        <v>0</v>
      </c>
      <c r="AX569" s="189">
        <v>0</v>
      </c>
      <c r="AY569" s="189">
        <v>1</v>
      </c>
      <c r="AZ569" s="189">
        <v>0</v>
      </c>
      <c r="BA569" s="189">
        <v>39864.674351851849</v>
      </c>
      <c r="BB569" s="189">
        <v>440393</v>
      </c>
      <c r="BC569" s="189">
        <v>440393</v>
      </c>
      <c r="BD569" s="189">
        <v>45482.05810185185</v>
      </c>
      <c r="BE569" s="189" t="s">
        <v>400</v>
      </c>
      <c r="BF569" s="258" t="s">
        <v>400</v>
      </c>
      <c r="BG569"/>
    </row>
    <row r="570" spans="1:59" s="27" customFormat="1" ht="15">
      <c r="B570" s="144" t="s">
        <v>297</v>
      </c>
      <c r="C570" s="188" t="s">
        <v>473</v>
      </c>
      <c r="D570" s="170" t="s">
        <v>478</v>
      </c>
      <c r="E570" s="169" t="s">
        <v>408</v>
      </c>
      <c r="F570" s="189">
        <v>1</v>
      </c>
      <c r="G570" s="189" t="s">
        <v>293</v>
      </c>
      <c r="H570" s="189" t="s">
        <v>293</v>
      </c>
      <c r="I570" s="189" t="s">
        <v>294</v>
      </c>
      <c r="J570" s="189" t="s">
        <v>294</v>
      </c>
      <c r="K570" s="189" t="s">
        <v>128</v>
      </c>
      <c r="L570" s="189" t="s">
        <v>128</v>
      </c>
      <c r="M570" s="189" t="s">
        <v>128</v>
      </c>
      <c r="N570" s="189" t="s">
        <v>128</v>
      </c>
      <c r="O570" s="189" t="s">
        <v>397</v>
      </c>
      <c r="P570" s="189" t="s">
        <v>294</v>
      </c>
      <c r="Q570" s="189" t="s">
        <v>474</v>
      </c>
      <c r="R570" s="189" t="s">
        <v>398</v>
      </c>
      <c r="S570" s="189" t="s">
        <v>475</v>
      </c>
      <c r="T570" s="189" t="s">
        <v>476</v>
      </c>
      <c r="U570" s="189" t="s">
        <v>156</v>
      </c>
      <c r="V570" s="189" t="s">
        <v>477</v>
      </c>
      <c r="W570" s="189" t="s">
        <v>477</v>
      </c>
      <c r="X570" s="189"/>
      <c r="Y570" s="189"/>
      <c r="Z570" s="189" t="s">
        <v>128</v>
      </c>
      <c r="AA570" s="189">
        <v>1</v>
      </c>
      <c r="AB570" s="189">
        <v>99999999</v>
      </c>
      <c r="AC570" s="189">
        <v>0</v>
      </c>
      <c r="AD570" s="189">
        <v>0</v>
      </c>
      <c r="AE570" s="189">
        <v>0</v>
      </c>
      <c r="AF570" s="189">
        <v>0</v>
      </c>
      <c r="AG570" s="189">
        <v>0</v>
      </c>
      <c r="AH570" s="189">
        <v>0</v>
      </c>
      <c r="AI570" s="189">
        <v>0</v>
      </c>
      <c r="AJ570" s="189">
        <v>0</v>
      </c>
      <c r="AK570" s="189">
        <v>1</v>
      </c>
      <c r="AL570" s="189">
        <v>1</v>
      </c>
      <c r="AM570" s="189">
        <v>0</v>
      </c>
      <c r="AN570" s="189">
        <v>0</v>
      </c>
      <c r="AO570" s="189" t="s">
        <v>396</v>
      </c>
      <c r="AP570" s="189" t="s">
        <v>128</v>
      </c>
      <c r="AQ570" s="189" t="s">
        <v>399</v>
      </c>
      <c r="AR570" s="189">
        <v>0</v>
      </c>
      <c r="AS570" s="189">
        <v>0</v>
      </c>
      <c r="AT570" s="189">
        <v>1</v>
      </c>
      <c r="AU570" s="189">
        <v>0</v>
      </c>
      <c r="AV570" s="189">
        <v>0</v>
      </c>
      <c r="AW570" s="189">
        <v>0</v>
      </c>
      <c r="AX570" s="189">
        <v>0</v>
      </c>
      <c r="AY570" s="189">
        <v>1</v>
      </c>
      <c r="AZ570" s="189">
        <v>0</v>
      </c>
      <c r="BA570" s="189">
        <v>39864.674351851849</v>
      </c>
      <c r="BB570" s="189">
        <v>440393</v>
      </c>
      <c r="BC570" s="189">
        <v>440393</v>
      </c>
      <c r="BD570" s="189">
        <v>45482.05810185185</v>
      </c>
      <c r="BE570" s="189" t="s">
        <v>400</v>
      </c>
      <c r="BF570" s="258" t="s">
        <v>400</v>
      </c>
      <c r="BG570"/>
    </row>
    <row r="571" spans="1:59" s="27" customFormat="1" ht="15">
      <c r="B571" s="144" t="s">
        <v>297</v>
      </c>
      <c r="C571" s="188" t="s">
        <v>473</v>
      </c>
      <c r="D571" s="169" t="s">
        <v>408</v>
      </c>
      <c r="E571" s="170" t="s">
        <v>479</v>
      </c>
      <c r="F571" s="189">
        <v>1</v>
      </c>
      <c r="G571" s="189" t="s">
        <v>293</v>
      </c>
      <c r="H571" s="189" t="s">
        <v>293</v>
      </c>
      <c r="I571" s="189" t="s">
        <v>294</v>
      </c>
      <c r="J571" s="189" t="s">
        <v>294</v>
      </c>
      <c r="K571" s="189" t="s">
        <v>128</v>
      </c>
      <c r="L571" s="189" t="s">
        <v>128</v>
      </c>
      <c r="M571" s="189" t="s">
        <v>128</v>
      </c>
      <c r="N571" s="189" t="s">
        <v>128</v>
      </c>
      <c r="O571" s="189" t="s">
        <v>397</v>
      </c>
      <c r="P571" s="189" t="s">
        <v>294</v>
      </c>
      <c r="Q571" s="189" t="s">
        <v>474</v>
      </c>
      <c r="R571" s="189" t="s">
        <v>398</v>
      </c>
      <c r="S571" s="189" t="s">
        <v>475</v>
      </c>
      <c r="T571" s="189" t="s">
        <v>476</v>
      </c>
      <c r="U571" s="189" t="s">
        <v>156</v>
      </c>
      <c r="V571" s="189" t="s">
        <v>477</v>
      </c>
      <c r="W571" s="189" t="s">
        <v>477</v>
      </c>
      <c r="X571" s="189"/>
      <c r="Y571" s="189"/>
      <c r="Z571" s="189" t="s">
        <v>128</v>
      </c>
      <c r="AA571" s="189">
        <v>1</v>
      </c>
      <c r="AB571" s="189">
        <v>99999999</v>
      </c>
      <c r="AC571" s="189">
        <v>0</v>
      </c>
      <c r="AD571" s="189">
        <v>0</v>
      </c>
      <c r="AE571" s="189">
        <v>0</v>
      </c>
      <c r="AF571" s="189">
        <v>0</v>
      </c>
      <c r="AG571" s="189">
        <v>0</v>
      </c>
      <c r="AH571" s="189">
        <v>0</v>
      </c>
      <c r="AI571" s="189">
        <v>0</v>
      </c>
      <c r="AJ571" s="189">
        <v>0</v>
      </c>
      <c r="AK571" s="189">
        <v>1</v>
      </c>
      <c r="AL571" s="189">
        <v>1</v>
      </c>
      <c r="AM571" s="189">
        <v>0</v>
      </c>
      <c r="AN571" s="189">
        <v>0</v>
      </c>
      <c r="AO571" s="189" t="s">
        <v>396</v>
      </c>
      <c r="AP571" s="189" t="s">
        <v>128</v>
      </c>
      <c r="AQ571" s="189" t="s">
        <v>399</v>
      </c>
      <c r="AR571" s="189">
        <v>0</v>
      </c>
      <c r="AS571" s="189">
        <v>0</v>
      </c>
      <c r="AT571" s="189">
        <v>1</v>
      </c>
      <c r="AU571" s="189">
        <v>0</v>
      </c>
      <c r="AV571" s="189">
        <v>0</v>
      </c>
      <c r="AW571" s="189">
        <v>0</v>
      </c>
      <c r="AX571" s="189">
        <v>0</v>
      </c>
      <c r="AY571" s="189">
        <v>1</v>
      </c>
      <c r="AZ571" s="189">
        <v>0</v>
      </c>
      <c r="BA571" s="189">
        <v>39864.674351851849</v>
      </c>
      <c r="BB571" s="189">
        <v>440393</v>
      </c>
      <c r="BC571" s="189">
        <v>440393</v>
      </c>
      <c r="BD571" s="189">
        <v>45482.05810185185</v>
      </c>
      <c r="BE571" s="189" t="s">
        <v>400</v>
      </c>
      <c r="BF571" s="258" t="s">
        <v>400</v>
      </c>
      <c r="BG571"/>
    </row>
    <row r="572" spans="1:59">
      <c r="B572" s="148"/>
      <c r="BF572" s="130"/>
    </row>
    <row r="573" spans="1:59" ht="14">
      <c r="B573" s="226"/>
      <c r="C573" s="175" t="s">
        <v>483</v>
      </c>
      <c r="D573" s="176"/>
      <c r="E573" s="176"/>
      <c r="F573" s="176"/>
      <c r="G573" s="176"/>
      <c r="H573" s="176"/>
      <c r="I573" s="176"/>
      <c r="J573" s="176"/>
      <c r="K573" s="176"/>
      <c r="L573" s="176"/>
      <c r="BF573" s="130"/>
    </row>
    <row r="574" spans="1:59" ht="15">
      <c r="B574" s="226"/>
      <c r="C574" s="118"/>
      <c r="D574" s="118" t="s">
        <v>141</v>
      </c>
      <c r="E574" s="118"/>
      <c r="F574" s="118"/>
      <c r="G574" s="174"/>
      <c r="H574" s="174"/>
      <c r="I574" s="174"/>
      <c r="J574" s="174"/>
      <c r="K574" s="174"/>
      <c r="L574" s="174"/>
      <c r="BF574" s="130"/>
    </row>
    <row r="575" spans="1:59" ht="14">
      <c r="B575" s="226"/>
      <c r="C575" s="153" t="s">
        <v>487</v>
      </c>
      <c r="D575" s="117" t="s">
        <v>86</v>
      </c>
      <c r="E575" s="117" t="s">
        <v>488</v>
      </c>
      <c r="F575" s="123" t="s">
        <v>222</v>
      </c>
      <c r="G575" s="123" t="s">
        <v>223</v>
      </c>
      <c r="H575" s="123" t="s">
        <v>224</v>
      </c>
      <c r="I575" s="123" t="s">
        <v>225</v>
      </c>
      <c r="J575" s="123" t="s">
        <v>123</v>
      </c>
      <c r="K575" s="123" t="s">
        <v>124</v>
      </c>
      <c r="L575" s="123" t="s">
        <v>226</v>
      </c>
      <c r="BF575" s="130"/>
    </row>
    <row r="576" spans="1:59" ht="14">
      <c r="B576" s="226"/>
      <c r="C576" s="187" t="s">
        <v>484</v>
      </c>
      <c r="D576" s="117" t="s">
        <v>485</v>
      </c>
      <c r="E576" s="117" t="s">
        <v>486</v>
      </c>
      <c r="F576" s="117" t="s">
        <v>205</v>
      </c>
      <c r="G576" s="117" t="s">
        <v>206</v>
      </c>
      <c r="H576" s="117" t="s">
        <v>207</v>
      </c>
      <c r="I576" s="117" t="s">
        <v>208</v>
      </c>
      <c r="J576" s="117" t="s">
        <v>209</v>
      </c>
      <c r="K576" s="117" t="s">
        <v>210</v>
      </c>
      <c r="L576" s="117" t="s">
        <v>211</v>
      </c>
      <c r="BF576" s="130"/>
    </row>
    <row r="577" spans="2:58" ht="14">
      <c r="B577" s="226"/>
      <c r="C577" s="187" t="s">
        <v>232</v>
      </c>
      <c r="D577" s="117" t="s">
        <v>287</v>
      </c>
      <c r="E577" s="117" t="s">
        <v>234</v>
      </c>
      <c r="F577" s="117" t="s">
        <v>444</v>
      </c>
      <c r="G577" s="117" t="s">
        <v>234</v>
      </c>
      <c r="H577" s="117" t="s">
        <v>235</v>
      </c>
      <c r="I577" s="117" t="s">
        <v>235</v>
      </c>
      <c r="J577" s="117" t="s">
        <v>147</v>
      </c>
      <c r="K577" s="117" t="s">
        <v>235</v>
      </c>
      <c r="L577" s="117" t="s">
        <v>235</v>
      </c>
      <c r="BF577" s="130"/>
    </row>
    <row r="578" spans="2:58" ht="14">
      <c r="B578" s="144" t="s">
        <v>297</v>
      </c>
      <c r="C578" s="170" t="s">
        <v>494</v>
      </c>
      <c r="D578" s="189" t="s">
        <v>495</v>
      </c>
      <c r="E578" s="189" t="s">
        <v>496</v>
      </c>
      <c r="F578" s="189" t="s">
        <v>497</v>
      </c>
      <c r="G578" s="189" t="s">
        <v>498</v>
      </c>
      <c r="H578" s="189" t="s">
        <v>499</v>
      </c>
      <c r="I578" s="189" t="s">
        <v>500</v>
      </c>
      <c r="J578" s="189" t="s">
        <v>501</v>
      </c>
      <c r="K578" s="189" t="s">
        <v>502</v>
      </c>
      <c r="L578" s="189" t="s">
        <v>502</v>
      </c>
      <c r="BF578" s="130"/>
    </row>
    <row r="579" spans="2:58" ht="14">
      <c r="B579" s="142" t="s">
        <v>292</v>
      </c>
      <c r="C579" s="169" t="s">
        <v>489</v>
      </c>
      <c r="D579" s="254" t="s">
        <v>605</v>
      </c>
      <c r="E579" s="189" t="s">
        <v>491</v>
      </c>
      <c r="F579" s="189" t="s">
        <v>294</v>
      </c>
      <c r="G579" s="189" t="s">
        <v>491</v>
      </c>
      <c r="H579" s="189" t="s">
        <v>492</v>
      </c>
      <c r="I579" s="189" t="s">
        <v>493</v>
      </c>
      <c r="J579" s="189" t="s">
        <v>491</v>
      </c>
      <c r="K579" s="189" t="s">
        <v>492</v>
      </c>
      <c r="L579" s="189" t="s">
        <v>493</v>
      </c>
      <c r="BF579" s="130"/>
    </row>
    <row r="580" spans="2:58" ht="14">
      <c r="B580" s="144" t="s">
        <v>297</v>
      </c>
      <c r="C580" s="170" t="s">
        <v>503</v>
      </c>
      <c r="D580" s="189" t="s">
        <v>504</v>
      </c>
      <c r="E580" s="189" t="s">
        <v>505</v>
      </c>
      <c r="F580" s="189" t="s">
        <v>296</v>
      </c>
      <c r="G580" s="189" t="s">
        <v>505</v>
      </c>
      <c r="H580" s="189" t="s">
        <v>506</v>
      </c>
      <c r="I580" s="189" t="s">
        <v>507</v>
      </c>
      <c r="J580" s="189" t="s">
        <v>505</v>
      </c>
      <c r="K580" s="189" t="s">
        <v>508</v>
      </c>
      <c r="L580" s="189" t="s">
        <v>510</v>
      </c>
      <c r="BF580" s="130"/>
    </row>
    <row r="581" spans="2:58" ht="14">
      <c r="B581" s="144" t="s">
        <v>297</v>
      </c>
      <c r="C581" s="170" t="s">
        <v>509</v>
      </c>
      <c r="D581" s="189" t="s">
        <v>504</v>
      </c>
      <c r="E581" s="189" t="s">
        <v>505</v>
      </c>
      <c r="F581" s="189" t="s">
        <v>296</v>
      </c>
      <c r="G581" s="189" t="s">
        <v>505</v>
      </c>
      <c r="H581" s="189" t="s">
        <v>506</v>
      </c>
      <c r="I581" s="189" t="s">
        <v>507</v>
      </c>
      <c r="J581" s="189" t="s">
        <v>505</v>
      </c>
      <c r="K581" s="189" t="s">
        <v>508</v>
      </c>
      <c r="L581" s="189" t="s">
        <v>510</v>
      </c>
      <c r="BF581" s="130"/>
    </row>
    <row r="582" spans="2:58">
      <c r="B582" s="148"/>
      <c r="BF582" s="130"/>
    </row>
    <row r="583" spans="2:58" ht="13.5">
      <c r="B583" s="148"/>
      <c r="C583" s="136" t="s">
        <v>125</v>
      </c>
      <c r="BF583" s="130"/>
    </row>
    <row r="584" spans="2:58" ht="13.5">
      <c r="B584" s="148"/>
      <c r="C584" s="266" t="s">
        <v>401</v>
      </c>
      <c r="D584" s="266" t="s">
        <v>402</v>
      </c>
      <c r="E584" s="266" t="s">
        <v>131</v>
      </c>
      <c r="F584" s="266" t="s">
        <v>403</v>
      </c>
      <c r="G584" s="266" t="s">
        <v>404</v>
      </c>
      <c r="BF584" s="130"/>
    </row>
    <row r="585" spans="2:58" ht="13.5">
      <c r="B585" s="148"/>
      <c r="C585" s="266">
        <v>-2</v>
      </c>
      <c r="D585" s="266" t="s">
        <v>405</v>
      </c>
      <c r="E585" s="266" t="s">
        <v>716</v>
      </c>
      <c r="F585" s="266" t="s">
        <v>776</v>
      </c>
      <c r="G585" s="266" t="s">
        <v>113</v>
      </c>
      <c r="BF585" s="130"/>
    </row>
    <row r="586" spans="2:58" ht="13.5" thickBot="1">
      <c r="B586" s="148"/>
      <c r="BF586" s="130"/>
    </row>
    <row r="587" spans="2:58" ht="14" thickBot="1">
      <c r="B587" s="132" t="s">
        <v>629</v>
      </c>
      <c r="C587" s="133" t="s">
        <v>630</v>
      </c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236"/>
    </row>
    <row r="588" spans="2:58" ht="14" thickBot="1">
      <c r="B588" s="134" t="s">
        <v>736</v>
      </c>
      <c r="C588" s="133" t="s">
        <v>434</v>
      </c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236"/>
    </row>
    <row r="589" spans="2:58">
      <c r="B589" s="148"/>
      <c r="BF589" s="130"/>
    </row>
    <row r="590" spans="2:58" ht="13.5">
      <c r="B590" s="148"/>
      <c r="C590" s="136" t="s">
        <v>241</v>
      </c>
      <c r="BF590" s="130"/>
    </row>
    <row r="591" spans="2:58" ht="13.5">
      <c r="B591" s="148"/>
      <c r="C591" s="136" t="s">
        <v>631</v>
      </c>
      <c r="BF591" s="130"/>
    </row>
    <row r="592" spans="2:58">
      <c r="B592" s="148"/>
      <c r="BF592" s="130"/>
    </row>
    <row r="593" spans="2:59" s="27" customFormat="1" ht="15">
      <c r="B593" s="98"/>
      <c r="C593" s="175" t="s">
        <v>515</v>
      </c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P593" s="169"/>
      <c r="AQ593" s="169"/>
      <c r="AR593" s="169"/>
      <c r="AS593" s="169"/>
      <c r="AT593" s="169"/>
      <c r="AU593" s="169"/>
      <c r="AV593" s="169"/>
      <c r="AW593" s="169"/>
      <c r="AX593" s="169"/>
      <c r="AY593" s="169"/>
      <c r="AZ593" s="169"/>
      <c r="BA593" s="169"/>
      <c r="BB593" s="169"/>
      <c r="BC593" s="169"/>
      <c r="BD593" s="169"/>
      <c r="BE593" s="169"/>
      <c r="BF593" s="244"/>
      <c r="BG593"/>
    </row>
    <row r="594" spans="2:59" s="27" customFormat="1" ht="15">
      <c r="B594" s="98"/>
      <c r="C594" s="118"/>
      <c r="D594" s="174"/>
      <c r="E594" s="118" t="s">
        <v>141</v>
      </c>
      <c r="F594" s="118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169"/>
      <c r="AN594" s="169"/>
      <c r="AP594" s="169"/>
      <c r="AQ594" s="169"/>
      <c r="AR594" s="169"/>
      <c r="AS594" s="169"/>
      <c r="AT594" s="169"/>
      <c r="AU594" s="169"/>
      <c r="AV594" s="169"/>
      <c r="AW594" s="169"/>
      <c r="AX594" s="169"/>
      <c r="AY594" s="169"/>
      <c r="AZ594" s="169"/>
      <c r="BA594" s="169"/>
      <c r="BB594" s="169"/>
      <c r="BC594" s="169"/>
      <c r="BD594" s="169"/>
      <c r="BE594" s="169"/>
      <c r="BF594" s="244"/>
      <c r="BG594"/>
    </row>
    <row r="595" spans="2:59" s="27" customFormat="1" ht="15">
      <c r="B595" s="98"/>
      <c r="C595" s="153" t="s">
        <v>516</v>
      </c>
      <c r="D595" s="153" t="s">
        <v>517</v>
      </c>
      <c r="E595" s="197" t="s">
        <v>518</v>
      </c>
      <c r="F595" s="117" t="s">
        <v>519</v>
      </c>
      <c r="G595" s="153" t="s">
        <v>520</v>
      </c>
      <c r="H595" s="123" t="s">
        <v>521</v>
      </c>
      <c r="I595" s="123" t="s">
        <v>522</v>
      </c>
      <c r="J595" s="123" t="s">
        <v>523</v>
      </c>
      <c r="K595" s="123" t="s">
        <v>222</v>
      </c>
      <c r="L595" s="123" t="s">
        <v>223</v>
      </c>
      <c r="M595" s="123" t="s">
        <v>224</v>
      </c>
      <c r="N595" s="123" t="s">
        <v>225</v>
      </c>
      <c r="O595" s="123" t="s">
        <v>123</v>
      </c>
      <c r="P595" s="123" t="s">
        <v>124</v>
      </c>
      <c r="Q595" s="123" t="s">
        <v>226</v>
      </c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169"/>
      <c r="AN595" s="169"/>
      <c r="AP595" s="169"/>
      <c r="AQ595" s="169"/>
      <c r="AR595" s="169"/>
      <c r="AS595" s="169"/>
      <c r="AT595" s="169"/>
      <c r="AU595" s="169"/>
      <c r="AV595" s="169"/>
      <c r="AW595" s="169"/>
      <c r="AX595" s="169"/>
      <c r="AY595" s="169"/>
      <c r="AZ595" s="169"/>
      <c r="BA595" s="169"/>
      <c r="BB595" s="169"/>
      <c r="BC595" s="169"/>
      <c r="BD595" s="169"/>
      <c r="BE595" s="169"/>
      <c r="BF595" s="244"/>
      <c r="BG595"/>
    </row>
    <row r="596" spans="2:59" s="27" customFormat="1" ht="15">
      <c r="B596" s="98"/>
      <c r="C596" s="187" t="s">
        <v>524</v>
      </c>
      <c r="D596" s="187" t="s">
        <v>525</v>
      </c>
      <c r="E596" s="198" t="s">
        <v>526</v>
      </c>
      <c r="F596" s="117" t="s">
        <v>527</v>
      </c>
      <c r="G596" s="187" t="s">
        <v>528</v>
      </c>
      <c r="H596" s="117" t="s">
        <v>529</v>
      </c>
      <c r="I596" s="117" t="s">
        <v>530</v>
      </c>
      <c r="J596" s="117" t="s">
        <v>531</v>
      </c>
      <c r="K596" s="117" t="s">
        <v>205</v>
      </c>
      <c r="L596" s="117" t="s">
        <v>206</v>
      </c>
      <c r="M596" s="117" t="s">
        <v>207</v>
      </c>
      <c r="N596" s="117" t="s">
        <v>208</v>
      </c>
      <c r="O596" s="117" t="s">
        <v>209</v>
      </c>
      <c r="P596" s="117" t="s">
        <v>210</v>
      </c>
      <c r="Q596" s="117" t="s">
        <v>211</v>
      </c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169"/>
      <c r="AN596" s="169"/>
      <c r="AP596" s="169"/>
      <c r="AQ596" s="169"/>
      <c r="AR596" s="169"/>
      <c r="AS596" s="169"/>
      <c r="AT596" s="169"/>
      <c r="AU596" s="169"/>
      <c r="AV596" s="169"/>
      <c r="AW596" s="169"/>
      <c r="AX596" s="169"/>
      <c r="AY596" s="169"/>
      <c r="AZ596" s="169"/>
      <c r="BA596" s="169"/>
      <c r="BB596" s="169"/>
      <c r="BC596" s="169"/>
      <c r="BD596" s="169"/>
      <c r="BE596" s="169"/>
      <c r="BF596" s="244"/>
      <c r="BG596"/>
    </row>
    <row r="597" spans="2:59" s="27" customFormat="1" ht="15">
      <c r="B597" s="98"/>
      <c r="C597" s="187" t="s">
        <v>451</v>
      </c>
      <c r="D597" s="187" t="s">
        <v>287</v>
      </c>
      <c r="E597" s="198" t="s">
        <v>532</v>
      </c>
      <c r="F597" s="117" t="s">
        <v>533</v>
      </c>
      <c r="G597" s="187" t="s">
        <v>534</v>
      </c>
      <c r="H597" s="117" t="s">
        <v>535</v>
      </c>
      <c r="I597" s="117" t="s">
        <v>766</v>
      </c>
      <c r="J597" s="117" t="s">
        <v>535</v>
      </c>
      <c r="K597" s="117" t="s">
        <v>444</v>
      </c>
      <c r="L597" s="117" t="s">
        <v>234</v>
      </c>
      <c r="M597" s="117" t="s">
        <v>767</v>
      </c>
      <c r="N597" s="117" t="s">
        <v>235</v>
      </c>
      <c r="O597" s="117" t="s">
        <v>147</v>
      </c>
      <c r="P597" s="117" t="s">
        <v>235</v>
      </c>
      <c r="Q597" s="117" t="s">
        <v>235</v>
      </c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169"/>
      <c r="AN597" s="169"/>
      <c r="AP597" s="169"/>
      <c r="AQ597" s="169"/>
      <c r="AR597" s="169"/>
      <c r="AS597" s="169"/>
      <c r="AT597" s="169"/>
      <c r="AU597" s="169"/>
      <c r="AV597" s="169"/>
      <c r="AW597" s="169"/>
      <c r="AX597" s="169"/>
      <c r="AY597" s="169"/>
      <c r="AZ597" s="169"/>
      <c r="BA597" s="169"/>
      <c r="BB597" s="169"/>
      <c r="BC597" s="169"/>
      <c r="BD597" s="169"/>
      <c r="BE597" s="169"/>
      <c r="BF597" s="244"/>
      <c r="BG597"/>
    </row>
    <row r="598" spans="2:59" s="27" customFormat="1" ht="15">
      <c r="B598" s="144" t="s">
        <v>297</v>
      </c>
      <c r="C598" s="170" t="s">
        <v>546</v>
      </c>
      <c r="D598" s="170" t="s">
        <v>550</v>
      </c>
      <c r="E598" s="189" t="s">
        <v>538</v>
      </c>
      <c r="F598" s="189" t="s">
        <v>538</v>
      </c>
      <c r="G598" s="189" t="s">
        <v>539</v>
      </c>
      <c r="H598" s="189" t="s">
        <v>156</v>
      </c>
      <c r="I598" s="189" t="s">
        <v>293</v>
      </c>
      <c r="J598" s="189" t="s">
        <v>396</v>
      </c>
      <c r="K598" s="189" t="s">
        <v>294</v>
      </c>
      <c r="L598" s="189"/>
      <c r="M598" s="189"/>
      <c r="N598" s="189"/>
      <c r="O598" s="189"/>
      <c r="P598" s="189"/>
      <c r="Q598" s="18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169"/>
      <c r="AN598" s="169"/>
      <c r="AP598" s="169"/>
      <c r="AQ598" s="169"/>
      <c r="AR598" s="169"/>
      <c r="AS598" s="169"/>
      <c r="AT598" s="169"/>
      <c r="AU598" s="169"/>
      <c r="AV598" s="169"/>
      <c r="AW598" s="169"/>
      <c r="AX598" s="169"/>
      <c r="AY598" s="169"/>
      <c r="AZ598" s="169"/>
      <c r="BA598" s="169"/>
      <c r="BB598" s="169"/>
      <c r="BC598" s="169"/>
      <c r="BD598" s="169"/>
      <c r="BE598" s="169"/>
      <c r="BF598" s="244"/>
      <c r="BG598"/>
    </row>
    <row r="599" spans="2:59" s="27" customFormat="1" ht="15">
      <c r="B599" s="144" t="s">
        <v>297</v>
      </c>
      <c r="C599" s="170" t="s">
        <v>546</v>
      </c>
      <c r="D599" s="170" t="s">
        <v>551</v>
      </c>
      <c r="E599" s="189" t="s">
        <v>538</v>
      </c>
      <c r="F599" s="189" t="s">
        <v>538</v>
      </c>
      <c r="G599" s="189" t="s">
        <v>539</v>
      </c>
      <c r="H599" s="189" t="s">
        <v>156</v>
      </c>
      <c r="I599" s="189" t="s">
        <v>293</v>
      </c>
      <c r="J599" s="189" t="s">
        <v>396</v>
      </c>
      <c r="K599" s="189" t="s">
        <v>294</v>
      </c>
      <c r="L599" s="189"/>
      <c r="M599" s="189"/>
      <c r="N599" s="189"/>
      <c r="O599" s="189"/>
      <c r="P599" s="189"/>
      <c r="Q599" s="18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169"/>
      <c r="AN599" s="169"/>
      <c r="AP599" s="169"/>
      <c r="AQ599" s="169"/>
      <c r="AR599" s="169"/>
      <c r="AS599" s="169"/>
      <c r="AT599" s="169"/>
      <c r="AU599" s="169"/>
      <c r="AV599" s="169"/>
      <c r="AW599" s="169"/>
      <c r="AX599" s="169"/>
      <c r="AY599" s="169"/>
      <c r="AZ599" s="169"/>
      <c r="BA599" s="169"/>
      <c r="BB599" s="169"/>
      <c r="BC599" s="169"/>
      <c r="BD599" s="169"/>
      <c r="BE599" s="169"/>
      <c r="BF599" s="244"/>
      <c r="BG599"/>
    </row>
    <row r="600" spans="2:59" s="27" customFormat="1" ht="15">
      <c r="B600" s="144" t="s">
        <v>297</v>
      </c>
      <c r="C600" s="170" t="s">
        <v>546</v>
      </c>
      <c r="D600" s="170" t="s">
        <v>547</v>
      </c>
      <c r="E600" s="189" t="s">
        <v>538</v>
      </c>
      <c r="F600" s="189" t="s">
        <v>538</v>
      </c>
      <c r="G600" s="170" t="s">
        <v>542</v>
      </c>
      <c r="H600" s="189" t="s">
        <v>156</v>
      </c>
      <c r="I600" s="189" t="s">
        <v>293</v>
      </c>
      <c r="J600" s="189" t="s">
        <v>396</v>
      </c>
      <c r="K600" s="189" t="s">
        <v>294</v>
      </c>
      <c r="L600" s="189"/>
      <c r="M600" s="189"/>
      <c r="N600" s="189"/>
      <c r="O600" s="189"/>
      <c r="P600" s="189"/>
      <c r="Q600" s="18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P600" s="169"/>
      <c r="AQ600" s="169"/>
      <c r="AR600" s="169"/>
      <c r="AS600" s="169"/>
      <c r="AT600" s="169"/>
      <c r="AU600" s="169"/>
      <c r="AV600" s="169"/>
      <c r="AW600" s="169"/>
      <c r="AX600" s="169"/>
      <c r="AY600" s="169"/>
      <c r="AZ600" s="169"/>
      <c r="BA600" s="169"/>
      <c r="BB600" s="169"/>
      <c r="BC600" s="169"/>
      <c r="BD600" s="169"/>
      <c r="BE600" s="169"/>
      <c r="BF600" s="244"/>
      <c r="BG600"/>
    </row>
    <row r="601" spans="2:59" s="27" customFormat="1" ht="15">
      <c r="B601" s="142" t="s">
        <v>292</v>
      </c>
      <c r="C601" s="193" t="s">
        <v>679</v>
      </c>
      <c r="D601" s="189" t="s">
        <v>680</v>
      </c>
      <c r="E601" s="189" t="s">
        <v>769</v>
      </c>
      <c r="F601" s="189" t="s">
        <v>538</v>
      </c>
      <c r="G601" s="193" t="s">
        <v>539</v>
      </c>
      <c r="H601" s="189" t="s">
        <v>156</v>
      </c>
      <c r="I601" s="189" t="s">
        <v>293</v>
      </c>
      <c r="J601" s="189" t="s">
        <v>396</v>
      </c>
      <c r="K601" s="189" t="s">
        <v>294</v>
      </c>
      <c r="L601" s="189"/>
      <c r="M601" s="189"/>
      <c r="N601" s="189"/>
      <c r="O601" s="189"/>
      <c r="P601" s="189"/>
      <c r="Q601" s="18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169"/>
      <c r="AN601" s="169"/>
      <c r="AP601" s="169"/>
      <c r="AQ601" s="169"/>
      <c r="AR601" s="169"/>
      <c r="AS601" s="169"/>
      <c r="AT601" s="169"/>
      <c r="AU601" s="169"/>
      <c r="AV601" s="169"/>
      <c r="AW601" s="169"/>
      <c r="AX601" s="169"/>
      <c r="AY601" s="169"/>
      <c r="AZ601" s="169"/>
      <c r="BA601" s="169"/>
      <c r="BB601" s="169"/>
      <c r="BC601" s="169"/>
      <c r="BD601" s="169"/>
      <c r="BE601" s="169"/>
      <c r="BF601" s="244"/>
      <c r="BG601"/>
    </row>
    <row r="602" spans="2:59">
      <c r="B602" s="148"/>
      <c r="BF602" s="130"/>
    </row>
    <row r="603" spans="2:59" ht="15">
      <c r="B603" s="148"/>
      <c r="C603" s="137" t="s">
        <v>242</v>
      </c>
      <c r="D603" s="138"/>
      <c r="E603" s="138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7"/>
      <c r="BF603" s="130"/>
    </row>
    <row r="604" spans="2:59" ht="15">
      <c r="B604" s="148"/>
      <c r="C604" s="140"/>
      <c r="D604" s="140"/>
      <c r="E604" s="140"/>
      <c r="F604" s="141" t="s">
        <v>141</v>
      </c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BF604" s="130"/>
    </row>
    <row r="605" spans="2:59">
      <c r="B605" s="148"/>
      <c r="C605" s="116" t="s">
        <v>144</v>
      </c>
      <c r="D605" s="116" t="s">
        <v>145</v>
      </c>
      <c r="E605" s="116" t="s">
        <v>146</v>
      </c>
      <c r="F605" s="123" t="s">
        <v>243</v>
      </c>
      <c r="G605" s="123" t="s">
        <v>244</v>
      </c>
      <c r="H605" s="123" t="s">
        <v>245</v>
      </c>
      <c r="I605" s="123" t="s">
        <v>246</v>
      </c>
      <c r="J605" s="123" t="s">
        <v>247</v>
      </c>
      <c r="K605" s="123" t="s">
        <v>248</v>
      </c>
      <c r="L605" s="123" t="s">
        <v>249</v>
      </c>
      <c r="M605" s="123" t="s">
        <v>250</v>
      </c>
      <c r="N605" s="123" t="s">
        <v>251</v>
      </c>
      <c r="O605" s="123" t="s">
        <v>252</v>
      </c>
      <c r="P605" s="123" t="s">
        <v>253</v>
      </c>
      <c r="Q605" s="123" t="s">
        <v>254</v>
      </c>
      <c r="R605" s="123" t="s">
        <v>255</v>
      </c>
      <c r="S605" s="123" t="s">
        <v>256</v>
      </c>
      <c r="T605" s="123" t="s">
        <v>257</v>
      </c>
      <c r="U605" s="123" t="s">
        <v>258</v>
      </c>
      <c r="V605" s="123" t="s">
        <v>259</v>
      </c>
      <c r="W605" s="123" t="s">
        <v>260</v>
      </c>
      <c r="X605" s="123" t="s">
        <v>222</v>
      </c>
      <c r="BF605" s="130"/>
    </row>
    <row r="606" spans="2:59">
      <c r="B606" s="148"/>
      <c r="C606" s="116" t="s">
        <v>261</v>
      </c>
      <c r="D606" s="116" t="s">
        <v>262</v>
      </c>
      <c r="E606" s="116" t="s">
        <v>263</v>
      </c>
      <c r="F606" s="117" t="s">
        <v>264</v>
      </c>
      <c r="G606" s="117" t="s">
        <v>265</v>
      </c>
      <c r="H606" s="117" t="s">
        <v>266</v>
      </c>
      <c r="I606" s="117" t="s">
        <v>267</v>
      </c>
      <c r="J606" s="117" t="s">
        <v>268</v>
      </c>
      <c r="K606" s="117" t="s">
        <v>269</v>
      </c>
      <c r="L606" s="117" t="s">
        <v>270</v>
      </c>
      <c r="M606" s="117" t="s">
        <v>271</v>
      </c>
      <c r="N606" s="117" t="s">
        <v>272</v>
      </c>
      <c r="O606" s="117" t="s">
        <v>273</v>
      </c>
      <c r="P606" s="117" t="s">
        <v>274</v>
      </c>
      <c r="Q606" s="117" t="s">
        <v>275</v>
      </c>
      <c r="R606" s="117" t="s">
        <v>276</v>
      </c>
      <c r="S606" s="117" t="s">
        <v>277</v>
      </c>
      <c r="T606" s="117" t="s">
        <v>278</v>
      </c>
      <c r="U606" s="117" t="s">
        <v>279</v>
      </c>
      <c r="V606" s="117" t="s">
        <v>280</v>
      </c>
      <c r="W606" s="117" t="s">
        <v>281</v>
      </c>
      <c r="X606" s="117" t="s">
        <v>205</v>
      </c>
      <c r="BF606" s="130"/>
    </row>
    <row r="607" spans="2:59">
      <c r="B607" s="148"/>
      <c r="C607" s="116" t="s">
        <v>282</v>
      </c>
      <c r="D607" s="116" t="s">
        <v>227</v>
      </c>
      <c r="E607" s="116" t="s">
        <v>227</v>
      </c>
      <c r="F607" s="123" t="s">
        <v>230</v>
      </c>
      <c r="G607" s="123" t="s">
        <v>230</v>
      </c>
      <c r="H607" s="123" t="s">
        <v>230</v>
      </c>
      <c r="I607" s="123" t="s">
        <v>283</v>
      </c>
      <c r="J607" s="123" t="s">
        <v>284</v>
      </c>
      <c r="K607" s="123" t="s">
        <v>285</v>
      </c>
      <c r="L607" s="117" t="s">
        <v>228</v>
      </c>
      <c r="M607" s="123" t="s">
        <v>228</v>
      </c>
      <c r="N607" s="123" t="s">
        <v>286</v>
      </c>
      <c r="O607" s="123" t="s">
        <v>230</v>
      </c>
      <c r="P607" s="123" t="s">
        <v>287</v>
      </c>
      <c r="Q607" s="123" t="s">
        <v>288</v>
      </c>
      <c r="R607" s="123" t="s">
        <v>287</v>
      </c>
      <c r="S607" s="123" t="s">
        <v>232</v>
      </c>
      <c r="T607" s="117" t="s">
        <v>289</v>
      </c>
      <c r="U607" s="123" t="s">
        <v>289</v>
      </c>
      <c r="V607" s="123" t="s">
        <v>290</v>
      </c>
      <c r="W607" s="123" t="s">
        <v>230</v>
      </c>
      <c r="X607" s="123" t="s">
        <v>233</v>
      </c>
      <c r="BF607" s="130"/>
    </row>
    <row r="608" spans="2:59" ht="14">
      <c r="B608" s="142" t="s">
        <v>292</v>
      </c>
      <c r="C608" s="189" t="s">
        <v>473</v>
      </c>
      <c r="D608" s="189" t="s">
        <v>408</v>
      </c>
      <c r="E608" s="189" t="s">
        <v>408</v>
      </c>
      <c r="F608" s="251" t="s">
        <v>156</v>
      </c>
      <c r="G608" s="189" t="s">
        <v>293</v>
      </c>
      <c r="H608" s="189" t="s">
        <v>293</v>
      </c>
      <c r="I608" s="189" t="s">
        <v>157</v>
      </c>
      <c r="J608" s="189" t="s">
        <v>474</v>
      </c>
      <c r="K608" s="189" t="s">
        <v>474</v>
      </c>
      <c r="L608" s="189" t="s">
        <v>128</v>
      </c>
      <c r="M608" s="189" t="s">
        <v>295</v>
      </c>
      <c r="N608" s="189"/>
      <c r="O608" s="189" t="s">
        <v>293</v>
      </c>
      <c r="P608" s="189" t="s">
        <v>128</v>
      </c>
      <c r="Q608" s="189" t="s">
        <v>159</v>
      </c>
      <c r="R608" s="189" t="s">
        <v>554</v>
      </c>
      <c r="S608" s="189"/>
      <c r="T608" s="189" t="s">
        <v>555</v>
      </c>
      <c r="U608" s="189" t="s">
        <v>556</v>
      </c>
      <c r="V608" s="189" t="s">
        <v>128</v>
      </c>
      <c r="W608" s="189"/>
      <c r="X608" s="189" t="s">
        <v>294</v>
      </c>
      <c r="BF608" s="130"/>
    </row>
    <row r="609" spans="2:63" ht="14">
      <c r="B609" s="144" t="s">
        <v>297</v>
      </c>
      <c r="C609" s="189" t="s">
        <v>473</v>
      </c>
      <c r="D609" s="189" t="s">
        <v>408</v>
      </c>
      <c r="E609" s="189" t="s">
        <v>478</v>
      </c>
      <c r="F609" s="188" t="s">
        <v>156</v>
      </c>
      <c r="G609" s="189" t="s">
        <v>293</v>
      </c>
      <c r="H609" s="189" t="s">
        <v>293</v>
      </c>
      <c r="I609" s="189" t="s">
        <v>157</v>
      </c>
      <c r="J609" s="189" t="s">
        <v>474</v>
      </c>
      <c r="K609" s="189" t="s">
        <v>474</v>
      </c>
      <c r="L609" s="189" t="s">
        <v>128</v>
      </c>
      <c r="M609" s="189" t="s">
        <v>295</v>
      </c>
      <c r="N609" s="189"/>
      <c r="O609" s="189" t="s">
        <v>293</v>
      </c>
      <c r="P609" s="189" t="s">
        <v>128</v>
      </c>
      <c r="Q609" s="189" t="s">
        <v>159</v>
      </c>
      <c r="R609" s="189" t="s">
        <v>554</v>
      </c>
      <c r="S609" s="189"/>
      <c r="T609" s="189" t="s">
        <v>555</v>
      </c>
      <c r="U609" s="189" t="s">
        <v>556</v>
      </c>
      <c r="V609" s="189" t="s">
        <v>128</v>
      </c>
      <c r="W609" s="189"/>
      <c r="X609" s="189" t="s">
        <v>294</v>
      </c>
      <c r="BF609" s="130"/>
    </row>
    <row r="610" spans="2:63" ht="14">
      <c r="B610" s="144" t="s">
        <v>297</v>
      </c>
      <c r="C610" s="189" t="s">
        <v>473</v>
      </c>
      <c r="D610" s="189" t="s">
        <v>478</v>
      </c>
      <c r="E610" s="189" t="s">
        <v>408</v>
      </c>
      <c r="F610" s="188" t="s">
        <v>156</v>
      </c>
      <c r="G610" s="189" t="s">
        <v>293</v>
      </c>
      <c r="H610" s="189" t="s">
        <v>293</v>
      </c>
      <c r="I610" s="189" t="s">
        <v>157</v>
      </c>
      <c r="J610" s="189" t="s">
        <v>474</v>
      </c>
      <c r="K610" s="189" t="s">
        <v>474</v>
      </c>
      <c r="L610" s="189" t="s">
        <v>128</v>
      </c>
      <c r="M610" s="189" t="s">
        <v>295</v>
      </c>
      <c r="N610" s="189"/>
      <c r="O610" s="189" t="s">
        <v>293</v>
      </c>
      <c r="P610" s="189" t="s">
        <v>128</v>
      </c>
      <c r="Q610" s="189" t="s">
        <v>159</v>
      </c>
      <c r="R610" s="189" t="s">
        <v>554</v>
      </c>
      <c r="S610" s="189"/>
      <c r="T610" s="189" t="s">
        <v>555</v>
      </c>
      <c r="U610" s="189" t="s">
        <v>556</v>
      </c>
      <c r="V610" s="189" t="s">
        <v>128</v>
      </c>
      <c r="W610" s="189"/>
      <c r="X610" s="189" t="s">
        <v>294</v>
      </c>
      <c r="BF610" s="130"/>
    </row>
    <row r="611" spans="2:63" ht="14">
      <c r="B611" s="144" t="s">
        <v>297</v>
      </c>
      <c r="C611" s="189" t="s">
        <v>473</v>
      </c>
      <c r="D611" s="189">
        <v>6206</v>
      </c>
      <c r="E611" s="189" t="s">
        <v>479</v>
      </c>
      <c r="F611" s="188" t="s">
        <v>156</v>
      </c>
      <c r="G611" s="189" t="s">
        <v>293</v>
      </c>
      <c r="H611" s="189" t="s">
        <v>293</v>
      </c>
      <c r="I611" s="189" t="s">
        <v>157</v>
      </c>
      <c r="J611" s="189" t="s">
        <v>474</v>
      </c>
      <c r="K611" s="189" t="s">
        <v>474</v>
      </c>
      <c r="L611" s="189" t="s">
        <v>128</v>
      </c>
      <c r="M611" s="189" t="s">
        <v>295</v>
      </c>
      <c r="N611" s="189"/>
      <c r="O611" s="189" t="s">
        <v>293</v>
      </c>
      <c r="P611" s="189" t="s">
        <v>128</v>
      </c>
      <c r="Q611" s="189" t="s">
        <v>159</v>
      </c>
      <c r="R611" s="189" t="s">
        <v>554</v>
      </c>
      <c r="S611" s="189"/>
      <c r="T611" s="189" t="s">
        <v>555</v>
      </c>
      <c r="U611" s="189" t="s">
        <v>556</v>
      </c>
      <c r="V611" s="189" t="s">
        <v>128</v>
      </c>
      <c r="W611" s="189"/>
      <c r="X611" s="189" t="s">
        <v>294</v>
      </c>
      <c r="BF611" s="130"/>
    </row>
    <row r="612" spans="2:63">
      <c r="B612" s="148"/>
      <c r="BF612" s="130"/>
    </row>
    <row r="613" spans="2:63" s="27" customFormat="1" ht="15">
      <c r="B613" s="226"/>
      <c r="C613" s="175" t="s">
        <v>483</v>
      </c>
      <c r="D613" s="176"/>
      <c r="E613" s="176"/>
      <c r="F613" s="176"/>
      <c r="G613" s="176"/>
      <c r="H613" s="176"/>
      <c r="I613" s="176"/>
      <c r="J613" s="176"/>
      <c r="K613" s="176"/>
      <c r="L613" s="176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 s="130"/>
      <c r="BG613"/>
      <c r="BH613"/>
      <c r="BI613"/>
      <c r="BJ613"/>
    </row>
    <row r="614" spans="2:63" s="27" customFormat="1" ht="15">
      <c r="B614" s="226"/>
      <c r="C614" s="118"/>
      <c r="D614" s="118" t="s">
        <v>141</v>
      </c>
      <c r="E614" s="118"/>
      <c r="F614" s="118"/>
      <c r="G614" s="174"/>
      <c r="H614" s="174"/>
      <c r="I614" s="174"/>
      <c r="J614" s="174"/>
      <c r="K614" s="174"/>
      <c r="L614" s="17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 s="130"/>
      <c r="BG614"/>
      <c r="BH614"/>
      <c r="BI614"/>
      <c r="BJ614"/>
    </row>
    <row r="615" spans="2:63" s="27" customFormat="1" ht="15">
      <c r="B615" s="226"/>
      <c r="C615" s="153" t="s">
        <v>487</v>
      </c>
      <c r="D615" s="117" t="s">
        <v>86</v>
      </c>
      <c r="E615" s="117" t="s">
        <v>488</v>
      </c>
      <c r="F615" s="123" t="s">
        <v>222</v>
      </c>
      <c r="G615" s="123" t="s">
        <v>223</v>
      </c>
      <c r="H615" s="123" t="s">
        <v>224</v>
      </c>
      <c r="I615" s="123" t="s">
        <v>225</v>
      </c>
      <c r="J615" s="123" t="s">
        <v>123</v>
      </c>
      <c r="K615" s="123" t="s">
        <v>124</v>
      </c>
      <c r="L615" s="123" t="s">
        <v>226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 s="130"/>
      <c r="BG615"/>
      <c r="BH615"/>
      <c r="BI615"/>
      <c r="BJ615"/>
    </row>
    <row r="616" spans="2:63" s="27" customFormat="1" ht="15">
      <c r="B616" s="226"/>
      <c r="C616" s="187" t="s">
        <v>484</v>
      </c>
      <c r="D616" s="117" t="s">
        <v>485</v>
      </c>
      <c r="E616" s="117" t="s">
        <v>486</v>
      </c>
      <c r="F616" s="117" t="s">
        <v>205</v>
      </c>
      <c r="G616" s="117" t="s">
        <v>206</v>
      </c>
      <c r="H616" s="117" t="s">
        <v>207</v>
      </c>
      <c r="I616" s="117" t="s">
        <v>208</v>
      </c>
      <c r="J616" s="117" t="s">
        <v>209</v>
      </c>
      <c r="K616" s="117" t="s">
        <v>210</v>
      </c>
      <c r="L616" s="117" t="s">
        <v>211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 s="130"/>
      <c r="BG616"/>
      <c r="BH616"/>
      <c r="BI616"/>
      <c r="BJ616"/>
    </row>
    <row r="617" spans="2:63" s="27" customFormat="1" ht="15">
      <c r="B617" s="226"/>
      <c r="C617" s="187" t="s">
        <v>232</v>
      </c>
      <c r="D617" s="117" t="s">
        <v>287</v>
      </c>
      <c r="E617" s="117" t="s">
        <v>234</v>
      </c>
      <c r="F617" s="117" t="s">
        <v>444</v>
      </c>
      <c r="G617" s="117" t="s">
        <v>234</v>
      </c>
      <c r="H617" s="117" t="s">
        <v>235</v>
      </c>
      <c r="I617" s="117" t="s">
        <v>235</v>
      </c>
      <c r="J617" s="117" t="s">
        <v>147</v>
      </c>
      <c r="K617" s="117" t="s">
        <v>235</v>
      </c>
      <c r="L617" s="117" t="s">
        <v>235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 s="130"/>
      <c r="BG617"/>
      <c r="BH617"/>
      <c r="BI617"/>
      <c r="BJ617"/>
    </row>
    <row r="618" spans="2:63" s="27" customFormat="1" ht="15">
      <c r="B618" s="144" t="s">
        <v>297</v>
      </c>
      <c r="C618" s="170" t="s">
        <v>494</v>
      </c>
      <c r="D618" s="189" t="s">
        <v>495</v>
      </c>
      <c r="E618" s="189" t="s">
        <v>496</v>
      </c>
      <c r="F618" s="189" t="s">
        <v>497</v>
      </c>
      <c r="G618" s="189" t="s">
        <v>498</v>
      </c>
      <c r="H618" s="189" t="s">
        <v>499</v>
      </c>
      <c r="I618" s="189" t="s">
        <v>500</v>
      </c>
      <c r="J618" s="189" t="s">
        <v>501</v>
      </c>
      <c r="K618" s="189" t="s">
        <v>502</v>
      </c>
      <c r="L618" s="189" t="s">
        <v>502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 s="130"/>
      <c r="BG618"/>
      <c r="BH618"/>
      <c r="BI618"/>
      <c r="BJ618"/>
    </row>
    <row r="619" spans="2:63" s="27" customFormat="1" ht="15">
      <c r="B619" s="142" t="s">
        <v>292</v>
      </c>
      <c r="C619" s="169" t="s">
        <v>627</v>
      </c>
      <c r="D619" s="189" t="s">
        <v>628</v>
      </c>
      <c r="E619" s="189" t="s">
        <v>491</v>
      </c>
      <c r="F619" s="189" t="s">
        <v>294</v>
      </c>
      <c r="G619" s="189" t="s">
        <v>491</v>
      </c>
      <c r="H619" s="189" t="s">
        <v>492</v>
      </c>
      <c r="I619" s="189" t="s">
        <v>493</v>
      </c>
      <c r="J619" s="189" t="s">
        <v>491</v>
      </c>
      <c r="K619" s="189" t="s">
        <v>492</v>
      </c>
      <c r="L619" s="189" t="s">
        <v>493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 s="130"/>
      <c r="BG619"/>
      <c r="BH619"/>
      <c r="BI619"/>
      <c r="BJ619"/>
    </row>
    <row r="620" spans="2:63" s="27" customFormat="1" ht="15">
      <c r="B620" s="144" t="s">
        <v>297</v>
      </c>
      <c r="C620" s="170" t="s">
        <v>503</v>
      </c>
      <c r="D620" s="189" t="s">
        <v>504</v>
      </c>
      <c r="E620" s="189" t="s">
        <v>505</v>
      </c>
      <c r="F620" s="189" t="s">
        <v>296</v>
      </c>
      <c r="G620" s="189" t="s">
        <v>505</v>
      </c>
      <c r="H620" s="189" t="s">
        <v>506</v>
      </c>
      <c r="I620" s="189" t="s">
        <v>507</v>
      </c>
      <c r="J620" s="189" t="s">
        <v>505</v>
      </c>
      <c r="K620" s="189" t="s">
        <v>508</v>
      </c>
      <c r="L620" s="189" t="s">
        <v>510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 s="130"/>
      <c r="BG620"/>
      <c r="BH620"/>
      <c r="BI620"/>
      <c r="BJ620"/>
      <c r="BK620"/>
    </row>
    <row r="621" spans="2:63" s="27" customFormat="1" ht="15">
      <c r="B621" s="144" t="s">
        <v>297</v>
      </c>
      <c r="C621" s="170" t="s">
        <v>509</v>
      </c>
      <c r="D621" s="189" t="s">
        <v>504</v>
      </c>
      <c r="E621" s="189" t="s">
        <v>505</v>
      </c>
      <c r="F621" s="189" t="s">
        <v>296</v>
      </c>
      <c r="G621" s="189" t="s">
        <v>505</v>
      </c>
      <c r="H621" s="189" t="s">
        <v>506</v>
      </c>
      <c r="I621" s="189" t="s">
        <v>507</v>
      </c>
      <c r="J621" s="189" t="s">
        <v>505</v>
      </c>
      <c r="K621" s="189" t="s">
        <v>508</v>
      </c>
      <c r="L621" s="189" t="s">
        <v>510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 s="130"/>
      <c r="BG621"/>
      <c r="BH621"/>
      <c r="BI621"/>
      <c r="BJ621"/>
      <c r="BK621"/>
    </row>
    <row r="622" spans="2:63">
      <c r="B622" s="148"/>
      <c r="BF622" s="130"/>
    </row>
    <row r="623" spans="2:63" ht="13.5">
      <c r="B623" s="148"/>
      <c r="C623" s="136" t="s">
        <v>125</v>
      </c>
      <c r="D623" s="136"/>
      <c r="E623" s="136"/>
      <c r="F623" s="136"/>
      <c r="G623" s="136"/>
      <c r="BF623" s="130"/>
    </row>
    <row r="624" spans="2:63" ht="13.5">
      <c r="B624" s="148"/>
      <c r="C624" s="266" t="s">
        <v>401</v>
      </c>
      <c r="D624" s="266" t="s">
        <v>402</v>
      </c>
      <c r="E624" s="266" t="s">
        <v>131</v>
      </c>
      <c r="F624" s="266" t="s">
        <v>403</v>
      </c>
      <c r="G624" s="266" t="s">
        <v>404</v>
      </c>
      <c r="BF624" s="130"/>
    </row>
    <row r="625" spans="2:59" ht="13.5">
      <c r="B625" s="148"/>
      <c r="C625" s="266">
        <v>-2</v>
      </c>
      <c r="D625" s="266" t="s">
        <v>405</v>
      </c>
      <c r="E625" s="266" t="s">
        <v>718</v>
      </c>
      <c r="F625" s="266" t="s">
        <v>777</v>
      </c>
      <c r="G625" s="266" t="s">
        <v>113</v>
      </c>
      <c r="BF625" s="130"/>
    </row>
    <row r="626" spans="2:59" ht="13.5" thickBot="1">
      <c r="B626" s="148"/>
      <c r="BF626" s="130"/>
    </row>
    <row r="627" spans="2:59" ht="14" thickBot="1">
      <c r="B627" s="132" t="s">
        <v>632</v>
      </c>
      <c r="C627" s="133" t="s">
        <v>634</v>
      </c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236"/>
    </row>
    <row r="628" spans="2:59" ht="14" thickBot="1">
      <c r="B628" s="134" t="s">
        <v>435</v>
      </c>
      <c r="C628" s="133" t="s">
        <v>240</v>
      </c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236"/>
    </row>
    <row r="629" spans="2:59">
      <c r="B629" s="148"/>
      <c r="BF629" s="130"/>
    </row>
    <row r="630" spans="2:59" ht="13.5">
      <c r="B630" s="148"/>
      <c r="C630" s="136" t="s">
        <v>241</v>
      </c>
      <c r="BF630" s="130"/>
    </row>
    <row r="631" spans="2:59" ht="13.5">
      <c r="B631" s="148"/>
      <c r="C631" s="136" t="s">
        <v>626</v>
      </c>
      <c r="BF631" s="130"/>
    </row>
    <row r="632" spans="2:59">
      <c r="B632" s="148"/>
      <c r="BF632" s="130"/>
    </row>
    <row r="633" spans="2:59" s="27" customFormat="1" ht="15">
      <c r="B633" s="98"/>
      <c r="C633" s="175" t="s">
        <v>515</v>
      </c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P633" s="169"/>
      <c r="AQ633" s="169"/>
      <c r="AR633" s="169"/>
      <c r="AS633" s="169"/>
      <c r="AT633" s="169"/>
      <c r="AU633" s="169"/>
      <c r="AV633" s="169"/>
      <c r="AW633" s="169"/>
      <c r="AX633" s="169"/>
      <c r="AY633" s="169"/>
      <c r="AZ633" s="169"/>
      <c r="BA633" s="169"/>
      <c r="BB633" s="169"/>
      <c r="BC633" s="169"/>
      <c r="BD633" s="169"/>
      <c r="BE633" s="169"/>
      <c r="BF633" s="244"/>
      <c r="BG633"/>
    </row>
    <row r="634" spans="2:59" s="27" customFormat="1" ht="15">
      <c r="B634" s="98"/>
      <c r="C634" s="118"/>
      <c r="D634" s="174"/>
      <c r="E634" s="118" t="s">
        <v>141</v>
      </c>
      <c r="F634" s="118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P634" s="169"/>
      <c r="AQ634" s="169"/>
      <c r="AR634" s="169"/>
      <c r="AS634" s="169"/>
      <c r="AT634" s="169"/>
      <c r="AU634" s="169"/>
      <c r="AV634" s="169"/>
      <c r="AW634" s="169"/>
      <c r="AX634" s="169"/>
      <c r="AY634" s="169"/>
      <c r="AZ634" s="169"/>
      <c r="BA634" s="169"/>
      <c r="BB634" s="169"/>
      <c r="BC634" s="169"/>
      <c r="BD634" s="169"/>
      <c r="BE634" s="169"/>
      <c r="BF634" s="244"/>
      <c r="BG634"/>
    </row>
    <row r="635" spans="2:59" s="27" customFormat="1" ht="15">
      <c r="B635" s="98"/>
      <c r="C635" s="153" t="s">
        <v>516</v>
      </c>
      <c r="D635" s="153" t="s">
        <v>517</v>
      </c>
      <c r="E635" s="197" t="s">
        <v>518</v>
      </c>
      <c r="F635" s="117" t="s">
        <v>519</v>
      </c>
      <c r="G635" s="153" t="s">
        <v>520</v>
      </c>
      <c r="H635" s="123" t="s">
        <v>521</v>
      </c>
      <c r="I635" s="123" t="s">
        <v>522</v>
      </c>
      <c r="J635" s="123" t="s">
        <v>523</v>
      </c>
      <c r="K635" s="123" t="s">
        <v>222</v>
      </c>
      <c r="L635" s="123" t="s">
        <v>223</v>
      </c>
      <c r="M635" s="123" t="s">
        <v>224</v>
      </c>
      <c r="N635" s="123" t="s">
        <v>225</v>
      </c>
      <c r="O635" s="123" t="s">
        <v>123</v>
      </c>
      <c r="P635" s="123" t="s">
        <v>124</v>
      </c>
      <c r="Q635" s="123" t="s">
        <v>226</v>
      </c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P635" s="169"/>
      <c r="AQ635" s="169"/>
      <c r="AR635" s="169"/>
      <c r="AS635" s="169"/>
      <c r="AT635" s="169"/>
      <c r="AU635" s="169"/>
      <c r="AV635" s="169"/>
      <c r="AW635" s="169"/>
      <c r="AX635" s="169"/>
      <c r="AY635" s="169"/>
      <c r="AZ635" s="169"/>
      <c r="BA635" s="169"/>
      <c r="BB635" s="169"/>
      <c r="BC635" s="169"/>
      <c r="BD635" s="169"/>
      <c r="BE635" s="169"/>
      <c r="BF635" s="244"/>
      <c r="BG635"/>
    </row>
    <row r="636" spans="2:59" s="27" customFormat="1" ht="15">
      <c r="B636" s="98"/>
      <c r="C636" s="187" t="s">
        <v>524</v>
      </c>
      <c r="D636" s="187" t="s">
        <v>525</v>
      </c>
      <c r="E636" s="198" t="s">
        <v>526</v>
      </c>
      <c r="F636" s="117" t="s">
        <v>527</v>
      </c>
      <c r="G636" s="187" t="s">
        <v>528</v>
      </c>
      <c r="H636" s="117" t="s">
        <v>529</v>
      </c>
      <c r="I636" s="117" t="s">
        <v>530</v>
      </c>
      <c r="J636" s="117" t="s">
        <v>531</v>
      </c>
      <c r="K636" s="117" t="s">
        <v>205</v>
      </c>
      <c r="L636" s="117" t="s">
        <v>206</v>
      </c>
      <c r="M636" s="117" t="s">
        <v>207</v>
      </c>
      <c r="N636" s="117" t="s">
        <v>208</v>
      </c>
      <c r="O636" s="117" t="s">
        <v>209</v>
      </c>
      <c r="P636" s="117" t="s">
        <v>210</v>
      </c>
      <c r="Q636" s="117" t="s">
        <v>211</v>
      </c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P636" s="169"/>
      <c r="AQ636" s="169"/>
      <c r="AR636" s="169"/>
      <c r="AS636" s="169"/>
      <c r="AT636" s="169"/>
      <c r="AU636" s="169"/>
      <c r="AV636" s="169"/>
      <c r="AW636" s="169"/>
      <c r="AX636" s="169"/>
      <c r="AY636" s="169"/>
      <c r="AZ636" s="169"/>
      <c r="BA636" s="169"/>
      <c r="BB636" s="169"/>
      <c r="BC636" s="169"/>
      <c r="BD636" s="169"/>
      <c r="BE636" s="169"/>
      <c r="BF636" s="244"/>
      <c r="BG636"/>
    </row>
    <row r="637" spans="2:59" s="27" customFormat="1" ht="15">
      <c r="B637" s="98"/>
      <c r="C637" s="187" t="s">
        <v>451</v>
      </c>
      <c r="D637" s="187" t="s">
        <v>287</v>
      </c>
      <c r="E637" s="198" t="s">
        <v>532</v>
      </c>
      <c r="F637" s="149" t="s">
        <v>533</v>
      </c>
      <c r="G637" s="187" t="s">
        <v>534</v>
      </c>
      <c r="H637" s="149" t="s">
        <v>535</v>
      </c>
      <c r="I637" s="149" t="s">
        <v>535</v>
      </c>
      <c r="J637" s="149" t="s">
        <v>535</v>
      </c>
      <c r="K637" s="149" t="s">
        <v>444</v>
      </c>
      <c r="L637" s="149" t="s">
        <v>234</v>
      </c>
      <c r="M637" s="149" t="s">
        <v>235</v>
      </c>
      <c r="N637" s="149" t="s">
        <v>235</v>
      </c>
      <c r="O637" s="149" t="s">
        <v>147</v>
      </c>
      <c r="P637" s="149" t="s">
        <v>235</v>
      </c>
      <c r="Q637" s="149" t="s">
        <v>235</v>
      </c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169"/>
      <c r="AN637" s="169"/>
      <c r="AP637" s="169"/>
      <c r="AQ637" s="169"/>
      <c r="AR637" s="169"/>
      <c r="AS637" s="169"/>
      <c r="AT637" s="169"/>
      <c r="AU637" s="169"/>
      <c r="AV637" s="169"/>
      <c r="AW637" s="169"/>
      <c r="AX637" s="169"/>
      <c r="AY637" s="169"/>
      <c r="AZ637" s="169"/>
      <c r="BA637" s="169"/>
      <c r="BB637" s="169"/>
      <c r="BC637" s="169"/>
      <c r="BD637" s="169"/>
      <c r="BE637" s="169"/>
      <c r="BF637" s="244"/>
      <c r="BG637"/>
    </row>
    <row r="638" spans="2:59" s="27" customFormat="1" ht="15">
      <c r="B638" s="144" t="s">
        <v>297</v>
      </c>
      <c r="C638" s="170" t="s">
        <v>546</v>
      </c>
      <c r="D638" s="170" t="s">
        <v>550</v>
      </c>
      <c r="E638" s="189" t="s">
        <v>538</v>
      </c>
      <c r="F638" s="189" t="s">
        <v>538</v>
      </c>
      <c r="G638" s="189" t="s">
        <v>539</v>
      </c>
      <c r="H638" s="189" t="s">
        <v>156</v>
      </c>
      <c r="I638" s="189" t="s">
        <v>293</v>
      </c>
      <c r="J638" s="189" t="s">
        <v>396</v>
      </c>
      <c r="K638" s="189" t="s">
        <v>294</v>
      </c>
      <c r="L638" s="189"/>
      <c r="M638" s="189"/>
      <c r="N638" s="189"/>
      <c r="O638" s="189"/>
      <c r="P638" s="189"/>
      <c r="Q638" s="18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P638" s="169"/>
      <c r="AQ638" s="169"/>
      <c r="AR638" s="169"/>
      <c r="AS638" s="169"/>
      <c r="AT638" s="169"/>
      <c r="AU638" s="169"/>
      <c r="AV638" s="169"/>
      <c r="AW638" s="169"/>
      <c r="AX638" s="169"/>
      <c r="AY638" s="169"/>
      <c r="AZ638" s="169"/>
      <c r="BA638" s="169"/>
      <c r="BB638" s="169"/>
      <c r="BC638" s="169"/>
      <c r="BD638" s="169"/>
      <c r="BE638" s="169"/>
      <c r="BF638" s="244"/>
      <c r="BG638"/>
    </row>
    <row r="639" spans="2:59" s="27" customFormat="1" ht="15">
      <c r="B639" s="144" t="s">
        <v>297</v>
      </c>
      <c r="C639" s="170" t="s">
        <v>546</v>
      </c>
      <c r="D639" s="170" t="s">
        <v>551</v>
      </c>
      <c r="E639" s="189" t="s">
        <v>538</v>
      </c>
      <c r="F639" s="189" t="s">
        <v>538</v>
      </c>
      <c r="G639" s="189" t="s">
        <v>539</v>
      </c>
      <c r="H639" s="189" t="s">
        <v>156</v>
      </c>
      <c r="I639" s="189" t="s">
        <v>293</v>
      </c>
      <c r="J639" s="189" t="s">
        <v>396</v>
      </c>
      <c r="K639" s="189" t="s">
        <v>294</v>
      </c>
      <c r="L639" s="189"/>
      <c r="M639" s="189"/>
      <c r="N639" s="189"/>
      <c r="O639" s="189"/>
      <c r="P639" s="189"/>
      <c r="Q639" s="18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169"/>
      <c r="AN639" s="169"/>
      <c r="AP639" s="169"/>
      <c r="AQ639" s="169"/>
      <c r="AR639" s="169"/>
      <c r="AS639" s="169"/>
      <c r="AT639" s="169"/>
      <c r="AU639" s="169"/>
      <c r="AV639" s="169"/>
      <c r="AW639" s="169"/>
      <c r="AX639" s="169"/>
      <c r="AY639" s="169"/>
      <c r="AZ639" s="169"/>
      <c r="BA639" s="169"/>
      <c r="BB639" s="169"/>
      <c r="BC639" s="169"/>
      <c r="BD639" s="169"/>
      <c r="BE639" s="169"/>
      <c r="BF639" s="244"/>
      <c r="BG639"/>
    </row>
    <row r="640" spans="2:59" s="27" customFormat="1" ht="15">
      <c r="B640" s="144" t="s">
        <v>297</v>
      </c>
      <c r="C640" s="170" t="s">
        <v>546</v>
      </c>
      <c r="D640" s="170" t="s">
        <v>547</v>
      </c>
      <c r="E640" s="189" t="s">
        <v>538</v>
      </c>
      <c r="F640" s="189" t="s">
        <v>538</v>
      </c>
      <c r="G640" s="170" t="s">
        <v>542</v>
      </c>
      <c r="H640" s="189" t="s">
        <v>156</v>
      </c>
      <c r="I640" s="189" t="s">
        <v>293</v>
      </c>
      <c r="J640" s="189" t="s">
        <v>396</v>
      </c>
      <c r="K640" s="189" t="s">
        <v>294</v>
      </c>
      <c r="L640" s="189"/>
      <c r="M640" s="189"/>
      <c r="N640" s="189"/>
      <c r="O640" s="189"/>
      <c r="P640" s="189"/>
      <c r="Q640" s="18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169"/>
      <c r="AN640" s="169"/>
      <c r="AP640" s="169"/>
      <c r="AQ640" s="169"/>
      <c r="AR640" s="169"/>
      <c r="AS640" s="169"/>
      <c r="AT640" s="169"/>
      <c r="AU640" s="169"/>
      <c r="AV640" s="169"/>
      <c r="AW640" s="169"/>
      <c r="AX640" s="169"/>
      <c r="AY640" s="169"/>
      <c r="AZ640" s="169"/>
      <c r="BA640" s="169"/>
      <c r="BB640" s="169"/>
      <c r="BC640" s="169"/>
      <c r="BD640" s="169"/>
      <c r="BE640" s="169"/>
      <c r="BF640" s="244"/>
      <c r="BG640"/>
    </row>
    <row r="641" spans="2:63" s="27" customFormat="1" ht="15">
      <c r="B641" s="142" t="s">
        <v>292</v>
      </c>
      <c r="C641" s="189" t="s">
        <v>679</v>
      </c>
      <c r="D641" s="189" t="s">
        <v>680</v>
      </c>
      <c r="E641" s="189" t="s">
        <v>538</v>
      </c>
      <c r="F641" s="189" t="s">
        <v>538</v>
      </c>
      <c r="G641" s="193" t="s">
        <v>539</v>
      </c>
      <c r="H641" s="189" t="s">
        <v>156</v>
      </c>
      <c r="I641" s="189" t="s">
        <v>293</v>
      </c>
      <c r="J641" s="189" t="s">
        <v>396</v>
      </c>
      <c r="K641" s="189" t="s">
        <v>294</v>
      </c>
      <c r="L641" s="189"/>
      <c r="M641" s="189"/>
      <c r="N641" s="189"/>
      <c r="O641" s="189"/>
      <c r="P641" s="189"/>
      <c r="Q641" s="18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169"/>
      <c r="AN641" s="169"/>
      <c r="AP641" s="169"/>
      <c r="AQ641" s="169"/>
      <c r="AR641" s="169"/>
      <c r="AS641" s="169"/>
      <c r="AT641" s="169"/>
      <c r="AU641" s="169"/>
      <c r="AV641" s="169"/>
      <c r="AW641" s="169"/>
      <c r="AX641" s="169"/>
      <c r="AY641" s="169"/>
      <c r="AZ641" s="169"/>
      <c r="BA641" s="169"/>
      <c r="BB641" s="169"/>
      <c r="BC641" s="169"/>
      <c r="BD641" s="169"/>
      <c r="BE641" s="169"/>
      <c r="BF641" s="244"/>
      <c r="BG641"/>
    </row>
    <row r="642" spans="2:63" ht="14">
      <c r="B642" s="148"/>
      <c r="D642" s="189"/>
      <c r="E642" s="189"/>
      <c r="F642" s="189"/>
      <c r="BF642" s="130"/>
    </row>
    <row r="643" spans="2:63" s="27" customFormat="1" ht="15">
      <c r="B643" s="226"/>
      <c r="C643" s="175" t="s">
        <v>483</v>
      </c>
      <c r="D643" s="176"/>
      <c r="E643" s="176"/>
      <c r="F643" s="176"/>
      <c r="G643" s="176"/>
      <c r="H643" s="176"/>
      <c r="I643" s="176"/>
      <c r="J643" s="176"/>
      <c r="K643" s="176"/>
      <c r="L643" s="176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 s="130"/>
      <c r="BG643"/>
      <c r="BH643"/>
      <c r="BI643"/>
      <c r="BJ643"/>
    </row>
    <row r="644" spans="2:63" s="27" customFormat="1" ht="15">
      <c r="B644" s="226"/>
      <c r="C644" s="118"/>
      <c r="D644" s="118" t="s">
        <v>141</v>
      </c>
      <c r="E644" s="118"/>
      <c r="F644" s="118"/>
      <c r="G644" s="174"/>
      <c r="H644" s="174"/>
      <c r="I644" s="174"/>
      <c r="J644" s="174"/>
      <c r="K644" s="174"/>
      <c r="L644" s="17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 s="130"/>
      <c r="BG644"/>
      <c r="BH644"/>
      <c r="BI644"/>
      <c r="BJ644"/>
    </row>
    <row r="645" spans="2:63" s="27" customFormat="1" ht="15">
      <c r="B645" s="226"/>
      <c r="C645" s="153" t="s">
        <v>487</v>
      </c>
      <c r="D645" s="117" t="s">
        <v>86</v>
      </c>
      <c r="E645" s="117" t="s">
        <v>488</v>
      </c>
      <c r="F645" s="123" t="s">
        <v>222</v>
      </c>
      <c r="G645" s="123" t="s">
        <v>223</v>
      </c>
      <c r="H645" s="123" t="s">
        <v>224</v>
      </c>
      <c r="I645" s="123" t="s">
        <v>225</v>
      </c>
      <c r="J645" s="123" t="s">
        <v>123</v>
      </c>
      <c r="K645" s="123" t="s">
        <v>124</v>
      </c>
      <c r="L645" s="123" t="s">
        <v>226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 s="130"/>
      <c r="BG645"/>
      <c r="BH645"/>
      <c r="BI645"/>
      <c r="BJ645"/>
    </row>
    <row r="646" spans="2:63" s="27" customFormat="1" ht="15">
      <c r="B646" s="226"/>
      <c r="C646" s="187" t="s">
        <v>484</v>
      </c>
      <c r="D646" s="117" t="s">
        <v>485</v>
      </c>
      <c r="E646" s="117" t="s">
        <v>486</v>
      </c>
      <c r="F646" s="117" t="s">
        <v>205</v>
      </c>
      <c r="G646" s="117" t="s">
        <v>206</v>
      </c>
      <c r="H646" s="117" t="s">
        <v>207</v>
      </c>
      <c r="I646" s="117" t="s">
        <v>208</v>
      </c>
      <c r="J646" s="117" t="s">
        <v>209</v>
      </c>
      <c r="K646" s="117" t="s">
        <v>210</v>
      </c>
      <c r="L646" s="117" t="s">
        <v>211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 s="130"/>
      <c r="BG646"/>
      <c r="BH646"/>
      <c r="BI646"/>
      <c r="BJ646"/>
    </row>
    <row r="647" spans="2:63" s="27" customFormat="1" ht="15">
      <c r="B647" s="226"/>
      <c r="C647" s="187" t="s">
        <v>232</v>
      </c>
      <c r="D647" s="117" t="s">
        <v>287</v>
      </c>
      <c r="E647" s="117" t="s">
        <v>234</v>
      </c>
      <c r="F647" s="117" t="s">
        <v>444</v>
      </c>
      <c r="G647" s="117" t="s">
        <v>234</v>
      </c>
      <c r="H647" s="117" t="s">
        <v>235</v>
      </c>
      <c r="I647" s="117" t="s">
        <v>235</v>
      </c>
      <c r="J647" s="117" t="s">
        <v>147</v>
      </c>
      <c r="K647" s="117" t="s">
        <v>235</v>
      </c>
      <c r="L647" s="117" t="s">
        <v>235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 s="130"/>
      <c r="BG647"/>
      <c r="BH647"/>
      <c r="BI647"/>
      <c r="BJ647"/>
    </row>
    <row r="648" spans="2:63" s="27" customFormat="1" ht="15">
      <c r="B648" s="144" t="s">
        <v>297</v>
      </c>
      <c r="C648" s="170" t="s">
        <v>494</v>
      </c>
      <c r="D648" s="189" t="s">
        <v>495</v>
      </c>
      <c r="E648" s="189" t="s">
        <v>496</v>
      </c>
      <c r="F648" s="189" t="s">
        <v>497</v>
      </c>
      <c r="G648" s="189" t="s">
        <v>498</v>
      </c>
      <c r="H648" s="190" t="s">
        <v>499</v>
      </c>
      <c r="I648" s="189" t="s">
        <v>500</v>
      </c>
      <c r="J648" s="189" t="s">
        <v>501</v>
      </c>
      <c r="K648" s="189" t="s">
        <v>502</v>
      </c>
      <c r="L648" s="189" t="s">
        <v>502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 s="130"/>
      <c r="BG648"/>
      <c r="BH648"/>
      <c r="BI648"/>
      <c r="BJ648"/>
    </row>
    <row r="649" spans="2:63" s="27" customFormat="1" ht="15">
      <c r="B649" s="142" t="s">
        <v>292</v>
      </c>
      <c r="C649" s="169" t="s">
        <v>627</v>
      </c>
      <c r="D649" s="189" t="s">
        <v>628</v>
      </c>
      <c r="E649" s="189" t="s">
        <v>491</v>
      </c>
      <c r="F649" s="189" t="s">
        <v>294</v>
      </c>
      <c r="G649" s="189" t="s">
        <v>491</v>
      </c>
      <c r="H649" s="189" t="s">
        <v>492</v>
      </c>
      <c r="I649" s="189" t="s">
        <v>493</v>
      </c>
      <c r="J649" s="189" t="s">
        <v>491</v>
      </c>
      <c r="K649" s="189" t="s">
        <v>492</v>
      </c>
      <c r="L649" s="189" t="s">
        <v>493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 s="130"/>
      <c r="BG649"/>
      <c r="BH649"/>
      <c r="BI649"/>
      <c r="BJ649"/>
    </row>
    <row r="650" spans="2:63" s="27" customFormat="1" ht="15">
      <c r="B650" s="144" t="s">
        <v>297</v>
      </c>
      <c r="C650" s="170" t="s">
        <v>503</v>
      </c>
      <c r="D650" s="189" t="s">
        <v>504</v>
      </c>
      <c r="E650" s="189" t="s">
        <v>505</v>
      </c>
      <c r="F650" s="189" t="s">
        <v>296</v>
      </c>
      <c r="G650" s="189" t="s">
        <v>505</v>
      </c>
      <c r="H650" s="189" t="s">
        <v>506</v>
      </c>
      <c r="I650" s="189" t="s">
        <v>507</v>
      </c>
      <c r="J650" s="189" t="s">
        <v>505</v>
      </c>
      <c r="K650" s="189" t="s">
        <v>508</v>
      </c>
      <c r="L650" s="189" t="s">
        <v>510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 s="130"/>
      <c r="BG650"/>
      <c r="BH650"/>
      <c r="BI650"/>
      <c r="BJ650"/>
      <c r="BK650"/>
    </row>
    <row r="651" spans="2:63" s="27" customFormat="1" ht="15">
      <c r="B651" s="144" t="s">
        <v>297</v>
      </c>
      <c r="C651" s="170" t="s">
        <v>509</v>
      </c>
      <c r="D651" s="189" t="s">
        <v>504</v>
      </c>
      <c r="E651" s="189" t="s">
        <v>505</v>
      </c>
      <c r="F651" s="189" t="s">
        <v>296</v>
      </c>
      <c r="G651" s="189" t="s">
        <v>505</v>
      </c>
      <c r="H651" s="189" t="s">
        <v>506</v>
      </c>
      <c r="I651" s="189" t="s">
        <v>507</v>
      </c>
      <c r="J651" s="189" t="s">
        <v>505</v>
      </c>
      <c r="K651" s="189" t="s">
        <v>508</v>
      </c>
      <c r="L651" s="189" t="s">
        <v>510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 s="130"/>
      <c r="BG651"/>
      <c r="BH651"/>
      <c r="BI651"/>
      <c r="BJ651"/>
      <c r="BK651"/>
    </row>
    <row r="652" spans="2:63">
      <c r="B652" s="148"/>
      <c r="BF652" s="130"/>
    </row>
    <row r="653" spans="2:63" ht="13.5">
      <c r="B653" s="148"/>
      <c r="C653" s="136" t="s">
        <v>125</v>
      </c>
      <c r="BF653" s="130"/>
    </row>
    <row r="654" spans="2:63" ht="13.5">
      <c r="B654" s="148"/>
      <c r="C654" s="266" t="s">
        <v>401</v>
      </c>
      <c r="D654" s="266" t="s">
        <v>402</v>
      </c>
      <c r="E654" s="266" t="s">
        <v>131</v>
      </c>
      <c r="F654" s="266" t="s">
        <v>403</v>
      </c>
      <c r="G654" s="266" t="s">
        <v>404</v>
      </c>
      <c r="BF654" s="130"/>
    </row>
    <row r="655" spans="2:63" ht="13.5">
      <c r="B655" s="148"/>
      <c r="C655" s="266">
        <v>0</v>
      </c>
      <c r="D655" s="266"/>
      <c r="E655" s="266"/>
      <c r="F655" s="266"/>
      <c r="G655" s="266"/>
      <c r="BF655" s="130"/>
    </row>
    <row r="656" spans="2:63" ht="13.5" thickBot="1">
      <c r="B656" s="148"/>
      <c r="BF656" s="130"/>
    </row>
    <row r="657" spans="2:59" ht="14" thickBot="1">
      <c r="B657" s="132" t="s">
        <v>636</v>
      </c>
      <c r="C657" s="133" t="s">
        <v>635</v>
      </c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236"/>
    </row>
    <row r="658" spans="2:59" ht="14" thickBot="1">
      <c r="B658" s="134" t="s">
        <v>736</v>
      </c>
      <c r="C658" s="133" t="s">
        <v>434</v>
      </c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236"/>
    </row>
    <row r="659" spans="2:59">
      <c r="B659" s="148"/>
      <c r="BF659" s="130"/>
    </row>
    <row r="660" spans="2:59" ht="13.5">
      <c r="B660" s="148"/>
      <c r="C660" s="136" t="s">
        <v>241</v>
      </c>
      <c r="BF660" s="130"/>
    </row>
    <row r="661" spans="2:59" ht="13.5">
      <c r="B661" s="148"/>
      <c r="C661" s="136" t="s">
        <v>631</v>
      </c>
      <c r="BF661" s="130"/>
    </row>
    <row r="662" spans="2:59">
      <c r="B662" s="148"/>
      <c r="BF662" s="130"/>
    </row>
    <row r="663" spans="2:59" s="27" customFormat="1" ht="15">
      <c r="B663" s="98"/>
      <c r="C663" s="175" t="s">
        <v>515</v>
      </c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169"/>
      <c r="AN663" s="169"/>
      <c r="AP663" s="169"/>
      <c r="AQ663" s="169"/>
      <c r="AR663" s="169"/>
      <c r="AS663" s="169"/>
      <c r="AT663" s="169"/>
      <c r="AU663" s="169"/>
      <c r="AV663" s="169"/>
      <c r="AW663" s="169"/>
      <c r="AX663" s="169"/>
      <c r="AY663" s="169"/>
      <c r="AZ663" s="169"/>
      <c r="BA663" s="169"/>
      <c r="BB663" s="169"/>
      <c r="BC663" s="169"/>
      <c r="BD663" s="169"/>
      <c r="BE663" s="169"/>
      <c r="BF663" s="244"/>
      <c r="BG663"/>
    </row>
    <row r="664" spans="2:59" s="27" customFormat="1" ht="15">
      <c r="B664" s="98"/>
      <c r="C664" s="118"/>
      <c r="D664" s="174"/>
      <c r="E664" s="118" t="s">
        <v>141</v>
      </c>
      <c r="F664" s="118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169"/>
      <c r="AN664" s="169"/>
      <c r="AP664" s="169"/>
      <c r="AQ664" s="169"/>
      <c r="AR664" s="169"/>
      <c r="AS664" s="169"/>
      <c r="AT664" s="169"/>
      <c r="AU664" s="169"/>
      <c r="AV664" s="169"/>
      <c r="AW664" s="169"/>
      <c r="AX664" s="169"/>
      <c r="AY664" s="169"/>
      <c r="AZ664" s="169"/>
      <c r="BA664" s="169"/>
      <c r="BB664" s="169"/>
      <c r="BC664" s="169"/>
      <c r="BD664" s="169"/>
      <c r="BE664" s="169"/>
      <c r="BF664" s="244"/>
      <c r="BG664"/>
    </row>
    <row r="665" spans="2:59" s="27" customFormat="1" ht="15">
      <c r="B665" s="98"/>
      <c r="C665" s="153" t="s">
        <v>516</v>
      </c>
      <c r="D665" s="153" t="s">
        <v>517</v>
      </c>
      <c r="E665" s="197" t="s">
        <v>518</v>
      </c>
      <c r="F665" s="117" t="s">
        <v>519</v>
      </c>
      <c r="G665" s="153" t="s">
        <v>520</v>
      </c>
      <c r="H665" s="123" t="s">
        <v>521</v>
      </c>
      <c r="I665" s="123" t="s">
        <v>522</v>
      </c>
      <c r="J665" s="123" t="s">
        <v>523</v>
      </c>
      <c r="K665" s="123" t="s">
        <v>222</v>
      </c>
      <c r="L665" s="123" t="s">
        <v>223</v>
      </c>
      <c r="M665" s="123" t="s">
        <v>224</v>
      </c>
      <c r="N665" s="123" t="s">
        <v>225</v>
      </c>
      <c r="O665" s="123" t="s">
        <v>123</v>
      </c>
      <c r="P665" s="123" t="s">
        <v>124</v>
      </c>
      <c r="Q665" s="123" t="s">
        <v>226</v>
      </c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169"/>
      <c r="AN665" s="169"/>
      <c r="AP665" s="169"/>
      <c r="AQ665" s="169"/>
      <c r="AR665" s="169"/>
      <c r="AS665" s="169"/>
      <c r="AT665" s="169"/>
      <c r="AU665" s="169"/>
      <c r="AV665" s="169"/>
      <c r="AW665" s="169"/>
      <c r="AX665" s="169"/>
      <c r="AY665" s="169"/>
      <c r="AZ665" s="169"/>
      <c r="BA665" s="169"/>
      <c r="BB665" s="169"/>
      <c r="BC665" s="169"/>
      <c r="BD665" s="169"/>
      <c r="BE665" s="169"/>
      <c r="BF665" s="244"/>
      <c r="BG665"/>
    </row>
    <row r="666" spans="2:59" s="27" customFormat="1" ht="15">
      <c r="B666" s="98"/>
      <c r="C666" s="187" t="s">
        <v>524</v>
      </c>
      <c r="D666" s="187" t="s">
        <v>525</v>
      </c>
      <c r="E666" s="198" t="s">
        <v>526</v>
      </c>
      <c r="F666" s="117" t="s">
        <v>527</v>
      </c>
      <c r="G666" s="187" t="s">
        <v>528</v>
      </c>
      <c r="H666" s="117" t="s">
        <v>529</v>
      </c>
      <c r="I666" s="117" t="s">
        <v>530</v>
      </c>
      <c r="J666" s="117" t="s">
        <v>531</v>
      </c>
      <c r="K666" s="117" t="s">
        <v>205</v>
      </c>
      <c r="L666" s="117" t="s">
        <v>206</v>
      </c>
      <c r="M666" s="117" t="s">
        <v>207</v>
      </c>
      <c r="N666" s="117" t="s">
        <v>208</v>
      </c>
      <c r="O666" s="117" t="s">
        <v>209</v>
      </c>
      <c r="P666" s="117" t="s">
        <v>210</v>
      </c>
      <c r="Q666" s="117" t="s">
        <v>211</v>
      </c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169"/>
      <c r="AN666" s="169"/>
      <c r="AP666" s="169"/>
      <c r="AQ666" s="169"/>
      <c r="AR666" s="169"/>
      <c r="AS666" s="169"/>
      <c r="AT666" s="169"/>
      <c r="AU666" s="169"/>
      <c r="AV666" s="169"/>
      <c r="AW666" s="169"/>
      <c r="AX666" s="169"/>
      <c r="AY666" s="169"/>
      <c r="AZ666" s="169"/>
      <c r="BA666" s="169"/>
      <c r="BB666" s="169"/>
      <c r="BC666" s="169"/>
      <c r="BD666" s="169"/>
      <c r="BE666" s="169"/>
      <c r="BF666" s="244"/>
      <c r="BG666"/>
    </row>
    <row r="667" spans="2:59" s="27" customFormat="1" ht="15">
      <c r="B667" s="98"/>
      <c r="C667" s="187" t="s">
        <v>451</v>
      </c>
      <c r="D667" s="187" t="s">
        <v>287</v>
      </c>
      <c r="E667" s="117" t="s">
        <v>532</v>
      </c>
      <c r="F667" s="117" t="s">
        <v>533</v>
      </c>
      <c r="G667" s="187" t="s">
        <v>534</v>
      </c>
      <c r="H667" s="117" t="s">
        <v>535</v>
      </c>
      <c r="I667" s="117" t="s">
        <v>535</v>
      </c>
      <c r="J667" s="117" t="s">
        <v>535</v>
      </c>
      <c r="K667" s="117" t="s">
        <v>444</v>
      </c>
      <c r="L667" s="117" t="s">
        <v>234</v>
      </c>
      <c r="M667" s="117" t="s">
        <v>235</v>
      </c>
      <c r="N667" s="117" t="s">
        <v>235</v>
      </c>
      <c r="O667" s="117" t="s">
        <v>147</v>
      </c>
      <c r="P667" s="117" t="s">
        <v>235</v>
      </c>
      <c r="Q667" s="117" t="s">
        <v>235</v>
      </c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169"/>
      <c r="AN667" s="169"/>
      <c r="AP667" s="169"/>
      <c r="AQ667" s="169"/>
      <c r="AR667" s="169"/>
      <c r="AS667" s="169"/>
      <c r="AT667" s="169"/>
      <c r="AU667" s="169"/>
      <c r="AV667" s="169"/>
      <c r="AW667" s="169"/>
      <c r="AX667" s="169"/>
      <c r="AY667" s="169"/>
      <c r="AZ667" s="169"/>
      <c r="BA667" s="169"/>
      <c r="BB667" s="169"/>
      <c r="BC667" s="169"/>
      <c r="BD667" s="169"/>
      <c r="BE667" s="169"/>
      <c r="BF667" s="244"/>
      <c r="BG667"/>
    </row>
    <row r="668" spans="2:59" s="27" customFormat="1" ht="15">
      <c r="B668" s="144" t="s">
        <v>297</v>
      </c>
      <c r="C668" s="170" t="s">
        <v>546</v>
      </c>
      <c r="D668" s="170" t="s">
        <v>550</v>
      </c>
      <c r="E668" s="189" t="s">
        <v>538</v>
      </c>
      <c r="F668" s="189" t="s">
        <v>538</v>
      </c>
      <c r="G668" s="189" t="s">
        <v>539</v>
      </c>
      <c r="H668" s="189" t="s">
        <v>156</v>
      </c>
      <c r="I668" s="189" t="s">
        <v>293</v>
      </c>
      <c r="J668" s="189" t="s">
        <v>396</v>
      </c>
      <c r="K668" s="189" t="s">
        <v>294</v>
      </c>
      <c r="L668" s="189"/>
      <c r="M668" s="189"/>
      <c r="N668" s="189"/>
      <c r="O668" s="189"/>
      <c r="P668" s="189"/>
      <c r="Q668" s="18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169"/>
      <c r="AN668" s="169"/>
      <c r="AP668" s="169"/>
      <c r="AQ668" s="169"/>
      <c r="AR668" s="169"/>
      <c r="AS668" s="169"/>
      <c r="AT668" s="169"/>
      <c r="AU668" s="169"/>
      <c r="AV668" s="169"/>
      <c r="AW668" s="169"/>
      <c r="AX668" s="169"/>
      <c r="AY668" s="169"/>
      <c r="AZ668" s="169"/>
      <c r="BA668" s="169"/>
      <c r="BB668" s="169"/>
      <c r="BC668" s="169"/>
      <c r="BD668" s="169"/>
      <c r="BE668" s="169"/>
      <c r="BF668" s="244"/>
      <c r="BG668"/>
    </row>
    <row r="669" spans="2:59" s="27" customFormat="1" ht="15">
      <c r="B669" s="144" t="s">
        <v>297</v>
      </c>
      <c r="C669" s="170" t="s">
        <v>546</v>
      </c>
      <c r="D669" s="170" t="s">
        <v>551</v>
      </c>
      <c r="E669" s="189" t="s">
        <v>538</v>
      </c>
      <c r="F669" s="189" t="s">
        <v>538</v>
      </c>
      <c r="G669" s="189" t="s">
        <v>539</v>
      </c>
      <c r="H669" s="189" t="s">
        <v>156</v>
      </c>
      <c r="I669" s="189" t="s">
        <v>293</v>
      </c>
      <c r="J669" s="189" t="s">
        <v>396</v>
      </c>
      <c r="K669" s="189" t="s">
        <v>294</v>
      </c>
      <c r="L669" s="189"/>
      <c r="M669" s="189"/>
      <c r="N669" s="189"/>
      <c r="O669" s="189"/>
      <c r="P669" s="189"/>
      <c r="Q669" s="18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169"/>
      <c r="AN669" s="169"/>
      <c r="AP669" s="169"/>
      <c r="AQ669" s="169"/>
      <c r="AR669" s="169"/>
      <c r="AS669" s="169"/>
      <c r="AT669" s="169"/>
      <c r="AU669" s="169"/>
      <c r="AV669" s="169"/>
      <c r="AW669" s="169"/>
      <c r="AX669" s="169"/>
      <c r="AY669" s="169"/>
      <c r="AZ669" s="169"/>
      <c r="BA669" s="169"/>
      <c r="BB669" s="169"/>
      <c r="BC669" s="169"/>
      <c r="BD669" s="169"/>
      <c r="BE669" s="169"/>
      <c r="BF669" s="244"/>
      <c r="BG669"/>
    </row>
    <row r="670" spans="2:59" s="27" customFormat="1" ht="15">
      <c r="B670" s="144" t="s">
        <v>297</v>
      </c>
      <c r="C670" s="170" t="s">
        <v>546</v>
      </c>
      <c r="D670" s="170" t="s">
        <v>547</v>
      </c>
      <c r="E670" s="189" t="s">
        <v>538</v>
      </c>
      <c r="F670" s="189" t="s">
        <v>538</v>
      </c>
      <c r="G670" s="170" t="s">
        <v>542</v>
      </c>
      <c r="H670" s="189" t="s">
        <v>156</v>
      </c>
      <c r="I670" s="189" t="s">
        <v>293</v>
      </c>
      <c r="J670" s="189" t="s">
        <v>396</v>
      </c>
      <c r="K670" s="189" t="s">
        <v>294</v>
      </c>
      <c r="L670" s="189"/>
      <c r="M670" s="189"/>
      <c r="N670" s="189"/>
      <c r="O670" s="189"/>
      <c r="P670" s="189"/>
      <c r="Q670" s="18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169"/>
      <c r="AN670" s="169"/>
      <c r="AP670" s="169"/>
      <c r="AQ670" s="169"/>
      <c r="AR670" s="169"/>
      <c r="AS670" s="169"/>
      <c r="AT670" s="169"/>
      <c r="AU670" s="169"/>
      <c r="AV670" s="169"/>
      <c r="AW670" s="169"/>
      <c r="AX670" s="169"/>
      <c r="AY670" s="169"/>
      <c r="AZ670" s="169"/>
      <c r="BA670" s="169"/>
      <c r="BB670" s="169"/>
      <c r="BC670" s="169"/>
      <c r="BD670" s="169"/>
      <c r="BE670" s="169"/>
      <c r="BF670" s="244"/>
      <c r="BG670"/>
    </row>
    <row r="671" spans="2:59" s="27" customFormat="1" ht="15">
      <c r="B671" s="142" t="s">
        <v>292</v>
      </c>
      <c r="C671" s="189" t="s">
        <v>679</v>
      </c>
      <c r="D671" s="193" t="s">
        <v>680</v>
      </c>
      <c r="E671" s="189" t="s">
        <v>538</v>
      </c>
      <c r="F671" s="189" t="s">
        <v>538</v>
      </c>
      <c r="G671" s="193" t="s">
        <v>539</v>
      </c>
      <c r="H671" s="189" t="s">
        <v>156</v>
      </c>
      <c r="I671" s="189" t="s">
        <v>293</v>
      </c>
      <c r="J671" s="189" t="s">
        <v>396</v>
      </c>
      <c r="K671" s="189" t="s">
        <v>294</v>
      </c>
      <c r="L671" s="189"/>
      <c r="M671" s="189"/>
      <c r="N671" s="189"/>
      <c r="O671" s="189"/>
      <c r="P671" s="189"/>
      <c r="Q671" s="18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P671" s="169"/>
      <c r="AQ671" s="169"/>
      <c r="AR671" s="169"/>
      <c r="AS671" s="169"/>
      <c r="AT671" s="169"/>
      <c r="AU671" s="169"/>
      <c r="AV671" s="169"/>
      <c r="AW671" s="169"/>
      <c r="AX671" s="169"/>
      <c r="AY671" s="169"/>
      <c r="AZ671" s="169"/>
      <c r="BA671" s="169"/>
      <c r="BB671" s="169"/>
      <c r="BC671" s="169"/>
      <c r="BD671" s="169"/>
      <c r="BE671" s="169"/>
      <c r="BF671" s="244"/>
      <c r="BG671"/>
    </row>
    <row r="672" spans="2:59">
      <c r="B672" s="148"/>
      <c r="BF672" s="130"/>
    </row>
    <row r="673" spans="2:63" s="27" customFormat="1" ht="15">
      <c r="B673" s="226"/>
      <c r="C673" s="175" t="s">
        <v>483</v>
      </c>
      <c r="D673" s="176"/>
      <c r="E673" s="176"/>
      <c r="F673" s="176"/>
      <c r="G673" s="176"/>
      <c r="H673" s="176"/>
      <c r="I673" s="176"/>
      <c r="J673" s="176"/>
      <c r="K673" s="176"/>
      <c r="L673" s="176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 s="130"/>
      <c r="BG673"/>
      <c r="BH673"/>
      <c r="BI673"/>
      <c r="BJ673"/>
    </row>
    <row r="674" spans="2:63" s="27" customFormat="1" ht="15">
      <c r="B674" s="226"/>
      <c r="C674" s="118"/>
      <c r="D674" s="118" t="s">
        <v>141</v>
      </c>
      <c r="E674" s="118"/>
      <c r="F674" s="118"/>
      <c r="G674" s="174"/>
      <c r="H674" s="174"/>
      <c r="I674" s="174"/>
      <c r="J674" s="174"/>
      <c r="K674" s="174"/>
      <c r="L674" s="1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 s="130"/>
      <c r="BG674"/>
      <c r="BH674"/>
      <c r="BI674"/>
      <c r="BJ674"/>
    </row>
    <row r="675" spans="2:63" s="27" customFormat="1" ht="15">
      <c r="B675" s="226"/>
      <c r="C675" s="153" t="s">
        <v>487</v>
      </c>
      <c r="D675" s="117" t="s">
        <v>86</v>
      </c>
      <c r="E675" s="117" t="s">
        <v>488</v>
      </c>
      <c r="F675" s="123" t="s">
        <v>222</v>
      </c>
      <c r="G675" s="123" t="s">
        <v>223</v>
      </c>
      <c r="H675" s="123" t="s">
        <v>224</v>
      </c>
      <c r="I675" s="123" t="s">
        <v>225</v>
      </c>
      <c r="J675" s="123" t="s">
        <v>123</v>
      </c>
      <c r="K675" s="123" t="s">
        <v>124</v>
      </c>
      <c r="L675" s="123" t="s">
        <v>226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 s="130"/>
      <c r="BG675"/>
      <c r="BH675"/>
      <c r="BI675"/>
      <c r="BJ675"/>
    </row>
    <row r="676" spans="2:63" s="27" customFormat="1" ht="15">
      <c r="B676" s="226"/>
      <c r="C676" s="187" t="s">
        <v>484</v>
      </c>
      <c r="D676" s="117" t="s">
        <v>485</v>
      </c>
      <c r="E676" s="117" t="s">
        <v>486</v>
      </c>
      <c r="F676" s="117" t="s">
        <v>205</v>
      </c>
      <c r="G676" s="117" t="s">
        <v>206</v>
      </c>
      <c r="H676" s="117" t="s">
        <v>207</v>
      </c>
      <c r="I676" s="117" t="s">
        <v>208</v>
      </c>
      <c r="J676" s="117" t="s">
        <v>209</v>
      </c>
      <c r="K676" s="117" t="s">
        <v>210</v>
      </c>
      <c r="L676" s="117" t="s">
        <v>211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 s="130"/>
      <c r="BG676"/>
      <c r="BH676"/>
      <c r="BI676"/>
      <c r="BJ676"/>
    </row>
    <row r="677" spans="2:63" s="27" customFormat="1" ht="15">
      <c r="B677" s="226"/>
      <c r="C677" s="187" t="s">
        <v>232</v>
      </c>
      <c r="D677" s="117" t="s">
        <v>287</v>
      </c>
      <c r="E677" s="117" t="s">
        <v>234</v>
      </c>
      <c r="F677" s="117" t="s">
        <v>444</v>
      </c>
      <c r="G677" s="117" t="s">
        <v>234</v>
      </c>
      <c r="H677" s="117" t="s">
        <v>235</v>
      </c>
      <c r="I677" s="117" t="s">
        <v>235</v>
      </c>
      <c r="J677" s="117" t="s">
        <v>147</v>
      </c>
      <c r="K677" s="117" t="s">
        <v>235</v>
      </c>
      <c r="L677" s="117" t="s">
        <v>235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 s="130"/>
      <c r="BG677"/>
      <c r="BH677"/>
      <c r="BI677"/>
      <c r="BJ677"/>
    </row>
    <row r="678" spans="2:63" s="27" customFormat="1" ht="15">
      <c r="B678" s="144" t="s">
        <v>297</v>
      </c>
      <c r="C678" s="170" t="s">
        <v>494</v>
      </c>
      <c r="D678" s="189" t="s">
        <v>495</v>
      </c>
      <c r="E678" s="189" t="s">
        <v>496</v>
      </c>
      <c r="F678" s="189" t="s">
        <v>497</v>
      </c>
      <c r="G678" s="189" t="s">
        <v>498</v>
      </c>
      <c r="H678" s="189" t="s">
        <v>499</v>
      </c>
      <c r="I678" s="189" t="s">
        <v>500</v>
      </c>
      <c r="J678" s="189" t="s">
        <v>501</v>
      </c>
      <c r="K678" s="189" t="s">
        <v>502</v>
      </c>
      <c r="L678" s="189" t="s">
        <v>502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 s="130"/>
      <c r="BG678"/>
      <c r="BH678"/>
      <c r="BI678"/>
      <c r="BJ678"/>
    </row>
    <row r="679" spans="2:63" s="27" customFormat="1" ht="15">
      <c r="B679" s="142" t="s">
        <v>292</v>
      </c>
      <c r="C679" s="169" t="s">
        <v>627</v>
      </c>
      <c r="D679" s="189" t="s">
        <v>628</v>
      </c>
      <c r="E679" s="189" t="s">
        <v>491</v>
      </c>
      <c r="F679" s="189" t="s">
        <v>294</v>
      </c>
      <c r="G679" s="189" t="s">
        <v>491</v>
      </c>
      <c r="H679" s="189" t="s">
        <v>492</v>
      </c>
      <c r="I679" s="189" t="s">
        <v>493</v>
      </c>
      <c r="J679" s="189" t="s">
        <v>491</v>
      </c>
      <c r="K679" s="189" t="s">
        <v>492</v>
      </c>
      <c r="L679" s="189" t="s">
        <v>493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 s="130"/>
      <c r="BG679"/>
      <c r="BH679"/>
      <c r="BI679"/>
      <c r="BJ679"/>
    </row>
    <row r="680" spans="2:63" s="27" customFormat="1" ht="15">
      <c r="B680" s="144" t="s">
        <v>297</v>
      </c>
      <c r="C680" s="170" t="s">
        <v>503</v>
      </c>
      <c r="D680" s="189" t="s">
        <v>504</v>
      </c>
      <c r="E680" s="189" t="s">
        <v>505</v>
      </c>
      <c r="F680" s="189" t="s">
        <v>296</v>
      </c>
      <c r="G680" s="189" t="s">
        <v>505</v>
      </c>
      <c r="H680" s="189" t="s">
        <v>506</v>
      </c>
      <c r="I680" s="189" t="s">
        <v>507</v>
      </c>
      <c r="J680" s="189" t="s">
        <v>505</v>
      </c>
      <c r="K680" s="189" t="s">
        <v>508</v>
      </c>
      <c r="L680" s="189" t="s">
        <v>510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 s="130"/>
      <c r="BG680"/>
      <c r="BH680"/>
      <c r="BI680"/>
      <c r="BJ680"/>
      <c r="BK680"/>
    </row>
    <row r="681" spans="2:63" s="27" customFormat="1" ht="15">
      <c r="B681" s="144" t="s">
        <v>297</v>
      </c>
      <c r="C681" s="170" t="s">
        <v>509</v>
      </c>
      <c r="D681" s="189" t="s">
        <v>504</v>
      </c>
      <c r="E681" s="189" t="s">
        <v>505</v>
      </c>
      <c r="F681" s="189" t="s">
        <v>296</v>
      </c>
      <c r="G681" s="189" t="s">
        <v>505</v>
      </c>
      <c r="H681" s="189" t="s">
        <v>506</v>
      </c>
      <c r="I681" s="189" t="s">
        <v>507</v>
      </c>
      <c r="J681" s="189" t="s">
        <v>505</v>
      </c>
      <c r="K681" s="189" t="s">
        <v>508</v>
      </c>
      <c r="L681" s="189" t="s">
        <v>510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 s="130"/>
      <c r="BG681"/>
      <c r="BH681"/>
      <c r="BI681"/>
      <c r="BJ681"/>
      <c r="BK681"/>
    </row>
    <row r="682" spans="2:63">
      <c r="B682" s="148"/>
      <c r="BF682" s="130"/>
    </row>
    <row r="683" spans="2:63" ht="13.5">
      <c r="B683" s="148"/>
      <c r="C683" s="136" t="s">
        <v>125</v>
      </c>
      <c r="D683" s="136"/>
      <c r="E683" s="136"/>
      <c r="F683" s="136"/>
      <c r="G683" s="136"/>
      <c r="BF683" s="130"/>
    </row>
    <row r="684" spans="2:63" ht="13.5">
      <c r="B684" s="148"/>
      <c r="C684" s="266" t="s">
        <v>401</v>
      </c>
      <c r="D684" s="266" t="s">
        <v>402</v>
      </c>
      <c r="E684" s="266" t="s">
        <v>131</v>
      </c>
      <c r="F684" s="266" t="s">
        <v>403</v>
      </c>
      <c r="G684" s="266" t="s">
        <v>404</v>
      </c>
      <c r="BF684" s="130"/>
    </row>
    <row r="685" spans="2:63" ht="13.5">
      <c r="B685" s="148"/>
      <c r="C685" s="266">
        <v>-2</v>
      </c>
      <c r="D685" s="266" t="s">
        <v>405</v>
      </c>
      <c r="E685" s="266" t="s">
        <v>718</v>
      </c>
      <c r="F685" s="266" t="s">
        <v>777</v>
      </c>
      <c r="G685" s="266" t="s">
        <v>113</v>
      </c>
      <c r="BF685" s="130"/>
    </row>
    <row r="686" spans="2:63" ht="13.5" thickBot="1">
      <c r="B686" s="148"/>
      <c r="BF686" s="130"/>
    </row>
    <row r="687" spans="2:63" ht="14" thickBot="1">
      <c r="B687" s="132" t="s">
        <v>646</v>
      </c>
      <c r="C687" s="133" t="s">
        <v>647</v>
      </c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236"/>
    </row>
    <row r="688" spans="2:63" ht="14" thickBot="1">
      <c r="B688" s="134" t="s">
        <v>736</v>
      </c>
      <c r="C688" s="133" t="s">
        <v>434</v>
      </c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236"/>
    </row>
    <row r="689" spans="2:58">
      <c r="B689" s="148"/>
      <c r="BF689" s="130"/>
    </row>
    <row r="690" spans="2:58" ht="13.5">
      <c r="B690" s="148"/>
      <c r="C690" s="136" t="s">
        <v>241</v>
      </c>
      <c r="BF690" s="130"/>
    </row>
    <row r="691" spans="2:58" ht="13.5">
      <c r="B691" s="148"/>
      <c r="C691" s="136" t="s">
        <v>648</v>
      </c>
      <c r="BF691" s="130"/>
    </row>
    <row r="692" spans="2:58">
      <c r="B692" s="148"/>
      <c r="BF692" s="130"/>
    </row>
    <row r="693" spans="2:58">
      <c r="B693" s="148"/>
      <c r="BF693" s="130"/>
    </row>
    <row r="694" spans="2:58" ht="13.5">
      <c r="B694" s="148"/>
      <c r="C694" s="136" t="s">
        <v>125</v>
      </c>
      <c r="BF694" s="130"/>
    </row>
    <row r="695" spans="2:58" ht="13.5">
      <c r="B695" s="148"/>
      <c r="C695" s="266" t="s">
        <v>401</v>
      </c>
      <c r="D695" s="266" t="s">
        <v>402</v>
      </c>
      <c r="E695" s="266" t="s">
        <v>131</v>
      </c>
      <c r="F695" s="266" t="s">
        <v>403</v>
      </c>
      <c r="G695" s="266" t="s">
        <v>404</v>
      </c>
      <c r="BF695" s="130"/>
    </row>
    <row r="696" spans="2:58" ht="13.5">
      <c r="B696" s="148"/>
      <c r="C696" s="266">
        <v>-2</v>
      </c>
      <c r="D696" s="266" t="s">
        <v>405</v>
      </c>
      <c r="E696" s="266" t="s">
        <v>721</v>
      </c>
      <c r="F696" s="266" t="s">
        <v>778</v>
      </c>
      <c r="G696" s="266" t="s">
        <v>113</v>
      </c>
      <c r="BF696" s="130"/>
    </row>
    <row r="697" spans="2:58" ht="14" thickBot="1">
      <c r="B697" s="148"/>
      <c r="C697" s="136"/>
      <c r="D697" s="136"/>
      <c r="E697" s="136"/>
      <c r="F697" s="136"/>
      <c r="G697" s="136"/>
      <c r="BF697" s="130"/>
    </row>
    <row r="698" spans="2:58" ht="14" thickBot="1">
      <c r="B698" s="132" t="s">
        <v>639</v>
      </c>
      <c r="C698" s="133" t="s">
        <v>649</v>
      </c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236"/>
    </row>
    <row r="699" spans="2:58" ht="14" thickBot="1">
      <c r="B699" s="134" t="s">
        <v>736</v>
      </c>
      <c r="C699" s="133" t="s">
        <v>434</v>
      </c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236"/>
    </row>
    <row r="700" spans="2:58">
      <c r="B700" s="148"/>
      <c r="BF700" s="130"/>
    </row>
    <row r="701" spans="2:58" ht="15" customHeight="1">
      <c r="B701" s="148"/>
      <c r="C701" s="136" t="s">
        <v>241</v>
      </c>
      <c r="BF701" s="130"/>
    </row>
    <row r="702" spans="2:58" ht="13.5">
      <c r="B702" s="148"/>
      <c r="C702" s="136" t="s">
        <v>651</v>
      </c>
      <c r="BF702" s="130"/>
    </row>
    <row r="703" spans="2:58">
      <c r="B703" s="148"/>
      <c r="BF703" s="130"/>
    </row>
    <row r="704" spans="2:58">
      <c r="B704" s="148"/>
      <c r="BF704" s="130"/>
    </row>
    <row r="705" spans="2:58" ht="13.5">
      <c r="B705" s="148"/>
      <c r="C705" s="136" t="s">
        <v>125</v>
      </c>
      <c r="BF705" s="130"/>
    </row>
    <row r="706" spans="2:58" ht="13.5">
      <c r="B706" s="148"/>
      <c r="C706" s="266" t="s">
        <v>401</v>
      </c>
      <c r="D706" s="266" t="s">
        <v>402</v>
      </c>
      <c r="E706" s="266" t="s">
        <v>131</v>
      </c>
      <c r="F706" s="266" t="s">
        <v>403</v>
      </c>
      <c r="G706" s="266" t="s">
        <v>404</v>
      </c>
      <c r="BF706" s="130"/>
    </row>
    <row r="707" spans="2:58" ht="13.5">
      <c r="B707" s="148"/>
      <c r="C707" s="266">
        <v>-2</v>
      </c>
      <c r="D707" s="266" t="s">
        <v>405</v>
      </c>
      <c r="E707" s="266" t="s">
        <v>721</v>
      </c>
      <c r="F707" s="266" t="s">
        <v>778</v>
      </c>
      <c r="G707" s="266" t="s">
        <v>113</v>
      </c>
      <c r="BF707" s="130"/>
    </row>
    <row r="708" spans="2:58" ht="13.5" thickBot="1">
      <c r="B708" s="148"/>
      <c r="BF708" s="130"/>
    </row>
    <row r="709" spans="2:58" ht="14" thickBot="1">
      <c r="B709" s="132" t="s">
        <v>650</v>
      </c>
      <c r="C709" s="133" t="s">
        <v>653</v>
      </c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236"/>
    </row>
    <row r="710" spans="2:58" ht="14" thickBot="1">
      <c r="B710" s="134" t="s">
        <v>736</v>
      </c>
      <c r="C710" s="133" t="s">
        <v>434</v>
      </c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236"/>
    </row>
    <row r="711" spans="2:58">
      <c r="B711" s="148"/>
      <c r="BF711" s="130"/>
    </row>
    <row r="712" spans="2:58" ht="15" customHeight="1">
      <c r="B712" s="148"/>
      <c r="C712" s="136" t="s">
        <v>241</v>
      </c>
      <c r="BF712" s="130"/>
    </row>
    <row r="713" spans="2:58" ht="13.5">
      <c r="B713" s="148"/>
      <c r="C713" s="136" t="s">
        <v>691</v>
      </c>
      <c r="BF713" s="130"/>
    </row>
    <row r="714" spans="2:58">
      <c r="B714" s="148"/>
      <c r="BF714" s="130"/>
    </row>
    <row r="715" spans="2:58">
      <c r="B715" s="148"/>
      <c r="BF715" s="130"/>
    </row>
    <row r="716" spans="2:58" ht="13.5">
      <c r="B716" s="148"/>
      <c r="C716" s="136" t="s">
        <v>125</v>
      </c>
      <c r="BF716" s="130"/>
    </row>
    <row r="717" spans="2:58" ht="13.5">
      <c r="B717" s="148"/>
      <c r="C717" s="266" t="s">
        <v>401</v>
      </c>
      <c r="D717" s="266" t="s">
        <v>402</v>
      </c>
      <c r="E717" s="266" t="s">
        <v>131</v>
      </c>
      <c r="F717" s="266" t="s">
        <v>403</v>
      </c>
      <c r="G717" s="266" t="s">
        <v>404</v>
      </c>
      <c r="BF717" s="130"/>
    </row>
    <row r="718" spans="2:58" ht="13.5">
      <c r="B718" s="148"/>
      <c r="C718" s="266">
        <v>-2</v>
      </c>
      <c r="D718" s="266" t="s">
        <v>405</v>
      </c>
      <c r="E718" s="266" t="s">
        <v>723</v>
      </c>
      <c r="F718" s="266" t="s">
        <v>779</v>
      </c>
      <c r="G718" s="266" t="s">
        <v>113</v>
      </c>
      <c r="BF718" s="130"/>
    </row>
    <row r="719" spans="2:58" ht="14" thickBot="1">
      <c r="B719" s="148"/>
      <c r="C719" s="136"/>
      <c r="D719" s="136"/>
      <c r="E719" s="136"/>
      <c r="F719" s="136"/>
      <c r="G719" s="136"/>
      <c r="BF719" s="130"/>
    </row>
    <row r="720" spans="2:58" ht="14" thickBot="1">
      <c r="B720" s="132" t="s">
        <v>652</v>
      </c>
      <c r="C720" s="133" t="s">
        <v>655</v>
      </c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236"/>
    </row>
    <row r="721" spans="2:58" ht="14" thickBot="1">
      <c r="B721" s="134" t="s">
        <v>736</v>
      </c>
      <c r="C721" s="133" t="s">
        <v>434</v>
      </c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236"/>
    </row>
    <row r="722" spans="2:58">
      <c r="B722" s="148"/>
      <c r="BF722" s="130"/>
    </row>
    <row r="723" spans="2:58" ht="13.5">
      <c r="B723" s="148"/>
      <c r="C723" s="136" t="s">
        <v>241</v>
      </c>
      <c r="D723" s="136"/>
      <c r="E723" s="136"/>
      <c r="F723" s="136"/>
      <c r="G723" s="136"/>
      <c r="BF723" s="130"/>
    </row>
    <row r="724" spans="2:58" ht="13.5">
      <c r="B724" s="148"/>
      <c r="C724" s="136" t="s">
        <v>656</v>
      </c>
      <c r="D724" s="136"/>
      <c r="E724" s="136"/>
      <c r="F724" s="136"/>
      <c r="G724" s="136"/>
      <c r="BF724" s="130"/>
    </row>
    <row r="725" spans="2:58" ht="13.5">
      <c r="B725" s="148"/>
      <c r="C725" s="136"/>
      <c r="D725" s="136"/>
      <c r="E725" s="136"/>
      <c r="F725" s="136"/>
      <c r="G725" s="136"/>
      <c r="BF725" s="130"/>
    </row>
    <row r="726" spans="2:58" ht="13.5">
      <c r="B726" s="148"/>
      <c r="C726" s="136" t="s">
        <v>125</v>
      </c>
      <c r="D726" s="136"/>
      <c r="E726" s="136"/>
      <c r="F726" s="136"/>
      <c r="G726" s="136"/>
      <c r="BF726" s="130"/>
    </row>
    <row r="727" spans="2:58" ht="13.5">
      <c r="B727" s="148"/>
      <c r="C727" s="266" t="s">
        <v>401</v>
      </c>
      <c r="D727" s="266" t="s">
        <v>402</v>
      </c>
      <c r="E727" s="266" t="s">
        <v>131</v>
      </c>
      <c r="F727" s="266" t="s">
        <v>403</v>
      </c>
      <c r="G727" s="266" t="s">
        <v>404</v>
      </c>
      <c r="BF727" s="130"/>
    </row>
    <row r="728" spans="2:58" ht="13.5">
      <c r="B728" s="148"/>
      <c r="C728" s="266">
        <v>-2</v>
      </c>
      <c r="D728" s="266" t="s">
        <v>405</v>
      </c>
      <c r="E728" s="266" t="s">
        <v>725</v>
      </c>
      <c r="F728" s="266" t="s">
        <v>780</v>
      </c>
      <c r="G728" s="266" t="s">
        <v>113</v>
      </c>
      <c r="BF728" s="130"/>
    </row>
    <row r="729" spans="2:58" ht="13.5" thickBot="1">
      <c r="B729" s="148"/>
      <c r="BF729" s="130"/>
    </row>
    <row r="730" spans="2:58" ht="14" thickBot="1">
      <c r="B730" s="132" t="s">
        <v>654</v>
      </c>
      <c r="C730" s="133" t="s">
        <v>657</v>
      </c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236"/>
    </row>
    <row r="731" spans="2:58" ht="14" thickBot="1">
      <c r="B731" s="134" t="s">
        <v>736</v>
      </c>
      <c r="C731" s="133" t="s">
        <v>434</v>
      </c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236"/>
    </row>
    <row r="732" spans="2:58">
      <c r="B732" s="148"/>
      <c r="BF732" s="130"/>
    </row>
    <row r="733" spans="2:58" ht="13.5">
      <c r="B733" s="148"/>
      <c r="C733" s="136" t="s">
        <v>241</v>
      </c>
      <c r="BF733" s="130"/>
    </row>
    <row r="734" spans="2:58" ht="13.5">
      <c r="B734" s="148"/>
      <c r="C734" s="136" t="s">
        <v>661</v>
      </c>
      <c r="BF734" s="130"/>
    </row>
    <row r="735" spans="2:58">
      <c r="B735" s="148"/>
      <c r="BF735" s="130"/>
    </row>
    <row r="736" spans="2:58" ht="13.5">
      <c r="B736" s="148"/>
      <c r="C736" s="136" t="s">
        <v>125</v>
      </c>
      <c r="BF736" s="130"/>
    </row>
    <row r="737" spans="2:58" ht="13.5">
      <c r="B737" s="148"/>
      <c r="C737" s="266" t="s">
        <v>401</v>
      </c>
      <c r="D737" s="266" t="s">
        <v>402</v>
      </c>
      <c r="E737" s="266" t="s">
        <v>131</v>
      </c>
      <c r="F737" s="266" t="s">
        <v>403</v>
      </c>
      <c r="G737" s="266" t="s">
        <v>404</v>
      </c>
      <c r="BF737" s="130"/>
    </row>
    <row r="738" spans="2:58" ht="13.5">
      <c r="B738" s="148"/>
      <c r="C738" s="266">
        <v>-2</v>
      </c>
      <c r="D738" s="266" t="s">
        <v>405</v>
      </c>
      <c r="E738" s="266" t="s">
        <v>727</v>
      </c>
      <c r="F738" s="266" t="s">
        <v>781</v>
      </c>
      <c r="G738" s="266" t="s">
        <v>113</v>
      </c>
      <c r="BF738" s="130"/>
    </row>
    <row r="739" spans="2:58" ht="13.5" thickBot="1">
      <c r="B739" s="148"/>
      <c r="BF739" s="130"/>
    </row>
    <row r="740" spans="2:58" ht="14" thickBot="1">
      <c r="B740" s="132" t="s">
        <v>645</v>
      </c>
      <c r="C740" s="133" t="s">
        <v>660</v>
      </c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236"/>
    </row>
    <row r="741" spans="2:58" ht="14" thickBot="1">
      <c r="B741" s="134" t="s">
        <v>435</v>
      </c>
      <c r="C741" s="133" t="s">
        <v>240</v>
      </c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236"/>
    </row>
    <row r="742" spans="2:58">
      <c r="B742" s="148"/>
      <c r="BF742" s="130"/>
    </row>
    <row r="743" spans="2:58" ht="13.5">
      <c r="B743" s="148"/>
      <c r="C743" s="136" t="s">
        <v>241</v>
      </c>
      <c r="D743" s="136"/>
      <c r="E743" s="136"/>
      <c r="F743" s="136"/>
      <c r="G743" s="136"/>
      <c r="BF743" s="130"/>
    </row>
    <row r="744" spans="2:58" ht="13.5">
      <c r="B744" s="148"/>
      <c r="C744" s="136" t="s">
        <v>662</v>
      </c>
      <c r="D744" s="136"/>
      <c r="E744" s="136"/>
      <c r="F744" s="136"/>
      <c r="G744" s="136"/>
      <c r="BF744" s="130"/>
    </row>
    <row r="745" spans="2:58" ht="13.5">
      <c r="B745" s="148"/>
      <c r="C745" s="136"/>
      <c r="D745" s="136"/>
      <c r="E745" s="136"/>
      <c r="F745" s="136"/>
      <c r="G745" s="136"/>
      <c r="BF745" s="130"/>
    </row>
    <row r="746" spans="2:58" ht="13.5">
      <c r="B746" s="148"/>
      <c r="C746" s="136" t="s">
        <v>125</v>
      </c>
      <c r="D746" s="136"/>
      <c r="E746" s="136"/>
      <c r="F746" s="136"/>
      <c r="G746" s="136"/>
      <c r="BF746" s="130"/>
    </row>
    <row r="747" spans="2:58" ht="13.5">
      <c r="B747" s="148"/>
      <c r="C747" s="266" t="s">
        <v>401</v>
      </c>
      <c r="D747" s="266" t="s">
        <v>402</v>
      </c>
      <c r="E747" s="266" t="s">
        <v>131</v>
      </c>
      <c r="F747" s="266" t="s">
        <v>403</v>
      </c>
      <c r="G747" s="266" t="s">
        <v>404</v>
      </c>
      <c r="BF747" s="130"/>
    </row>
    <row r="748" spans="2:58" ht="13.5">
      <c r="B748" s="148"/>
      <c r="C748" s="266">
        <v>0</v>
      </c>
      <c r="D748" s="266"/>
      <c r="E748" s="266"/>
      <c r="F748" s="266"/>
      <c r="G748" s="266"/>
      <c r="BF748" s="130"/>
    </row>
    <row r="749" spans="2:58" ht="13.5" thickBot="1">
      <c r="B749" s="148"/>
      <c r="BF749" s="130"/>
    </row>
    <row r="750" spans="2:58" ht="14" thickBot="1">
      <c r="B750" s="132" t="s">
        <v>658</v>
      </c>
      <c r="C750" s="133" t="s">
        <v>663</v>
      </c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236"/>
    </row>
    <row r="751" spans="2:58" ht="14" thickBot="1">
      <c r="B751" s="134" t="s">
        <v>736</v>
      </c>
      <c r="C751" s="133" t="s">
        <v>434</v>
      </c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236"/>
    </row>
    <row r="752" spans="2:58">
      <c r="B752" s="148"/>
      <c r="BF752" s="130"/>
    </row>
    <row r="753" spans="2:58" ht="13.5">
      <c r="B753" s="148"/>
      <c r="C753" s="136" t="s">
        <v>241</v>
      </c>
      <c r="D753" s="136"/>
      <c r="E753" s="136"/>
      <c r="F753" s="136"/>
      <c r="G753" s="136"/>
      <c r="BF753" s="130"/>
    </row>
    <row r="754" spans="2:58" ht="13.5">
      <c r="B754" s="148"/>
      <c r="C754" s="136" t="s">
        <v>659</v>
      </c>
      <c r="D754" s="136"/>
      <c r="E754" s="136"/>
      <c r="F754" s="136"/>
      <c r="G754" s="136"/>
      <c r="BF754" s="130"/>
    </row>
    <row r="755" spans="2:58" ht="13.5">
      <c r="B755" s="148"/>
      <c r="C755" s="136"/>
      <c r="D755" s="136"/>
      <c r="E755" s="136"/>
      <c r="F755" s="136"/>
      <c r="G755" s="136"/>
      <c r="BF755" s="130"/>
    </row>
    <row r="756" spans="2:58" ht="13.5">
      <c r="B756" s="148"/>
      <c r="C756" s="136" t="s">
        <v>125</v>
      </c>
      <c r="D756" s="136"/>
      <c r="E756" s="136"/>
      <c r="F756" s="136"/>
      <c r="G756" s="136"/>
      <c r="BF756" s="130"/>
    </row>
    <row r="757" spans="2:58" ht="13.5">
      <c r="B757" s="148"/>
      <c r="C757" s="266" t="s">
        <v>401</v>
      </c>
      <c r="D757" s="266" t="s">
        <v>402</v>
      </c>
      <c r="E757" s="266" t="s">
        <v>131</v>
      </c>
      <c r="F757" s="266" t="s">
        <v>403</v>
      </c>
      <c r="G757" s="266" t="s">
        <v>404</v>
      </c>
      <c r="BF757" s="130"/>
    </row>
    <row r="758" spans="2:58" ht="13.5">
      <c r="B758" s="148"/>
      <c r="C758" s="266">
        <v>-2</v>
      </c>
      <c r="D758" s="266" t="s">
        <v>405</v>
      </c>
      <c r="E758" s="266" t="s">
        <v>727</v>
      </c>
      <c r="F758" s="266" t="s">
        <v>781</v>
      </c>
      <c r="G758" s="266" t="s">
        <v>113</v>
      </c>
      <c r="BF758" s="130"/>
    </row>
    <row r="759" spans="2:58" ht="13.5" thickBot="1">
      <c r="B759" s="148"/>
      <c r="BF759" s="130"/>
    </row>
    <row r="760" spans="2:58" ht="14" thickBot="1">
      <c r="B760" s="132" t="s">
        <v>667</v>
      </c>
      <c r="C760" s="133" t="s">
        <v>669</v>
      </c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236"/>
    </row>
    <row r="761" spans="2:58" ht="14" thickBot="1">
      <c r="B761" s="134" t="s">
        <v>435</v>
      </c>
      <c r="C761" s="133" t="s">
        <v>240</v>
      </c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236"/>
    </row>
    <row r="762" spans="2:58">
      <c r="B762" s="148"/>
      <c r="BF762" s="130"/>
    </row>
    <row r="763" spans="2:58" ht="13.5">
      <c r="B763" s="148"/>
      <c r="C763" s="136" t="s">
        <v>241</v>
      </c>
      <c r="D763" s="136"/>
      <c r="E763" s="136"/>
      <c r="F763" s="136"/>
      <c r="G763" s="136"/>
      <c r="I763" s="136"/>
      <c r="AO763" s="136"/>
      <c r="BF763" s="130"/>
    </row>
    <row r="764" spans="2:58" ht="13.5">
      <c r="B764" s="148"/>
      <c r="C764" s="136" t="s">
        <v>659</v>
      </c>
      <c r="D764" s="136"/>
      <c r="E764" s="136"/>
      <c r="F764" s="136"/>
      <c r="G764" s="136"/>
      <c r="I764" s="136"/>
      <c r="AO764" s="136"/>
      <c r="BF764" s="130"/>
    </row>
    <row r="765" spans="2:58" ht="13.5">
      <c r="B765" s="148"/>
      <c r="C765" s="136"/>
      <c r="D765" s="136"/>
      <c r="E765" s="136"/>
      <c r="F765" s="136"/>
      <c r="G765" s="136"/>
      <c r="I765" s="136"/>
      <c r="AO765" s="136"/>
      <c r="BF765" s="130"/>
    </row>
    <row r="766" spans="2:58" ht="13.5">
      <c r="B766" s="148"/>
      <c r="C766" s="136" t="s">
        <v>125</v>
      </c>
      <c r="D766" s="136"/>
      <c r="E766" s="136"/>
      <c r="F766" s="136"/>
      <c r="G766" s="136"/>
      <c r="I766" s="136"/>
      <c r="AO766" s="136"/>
      <c r="BF766" s="130"/>
    </row>
    <row r="767" spans="2:58" ht="13.5">
      <c r="B767" s="148"/>
      <c r="C767" s="266" t="s">
        <v>401</v>
      </c>
      <c r="D767" s="266" t="s">
        <v>402</v>
      </c>
      <c r="E767" s="266" t="s">
        <v>131</v>
      </c>
      <c r="F767" s="266" t="s">
        <v>403</v>
      </c>
      <c r="G767" s="266" t="s">
        <v>404</v>
      </c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BF767" s="130"/>
    </row>
    <row r="768" spans="2:58" ht="13.5">
      <c r="B768" s="148"/>
      <c r="C768" s="266">
        <v>-2</v>
      </c>
      <c r="D768" s="266" t="s">
        <v>405</v>
      </c>
      <c r="E768" s="266" t="s">
        <v>727</v>
      </c>
      <c r="F768" s="266" t="s">
        <v>781</v>
      </c>
      <c r="G768" s="266" t="s">
        <v>113</v>
      </c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AO768" s="136" t="s">
        <v>405</v>
      </c>
      <c r="BF768" s="130"/>
    </row>
    <row r="769" spans="2:58" ht="14" thickBot="1">
      <c r="B769" s="148"/>
      <c r="C769" s="136"/>
      <c r="D769" s="136"/>
      <c r="E769" s="136"/>
      <c r="F769" s="136"/>
      <c r="G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AO769" s="136"/>
      <c r="BF769" s="130"/>
    </row>
    <row r="770" spans="2:58" ht="14" thickBot="1">
      <c r="B770" s="132" t="s">
        <v>668</v>
      </c>
      <c r="C770" s="133" t="s">
        <v>670</v>
      </c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236"/>
    </row>
    <row r="771" spans="2:58" ht="14" thickBot="1">
      <c r="B771" s="134" t="s">
        <v>736</v>
      </c>
      <c r="C771" s="133" t="s">
        <v>434</v>
      </c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236"/>
    </row>
    <row r="772" spans="2:58" ht="13.5">
      <c r="B772" s="148"/>
      <c r="C772" s="136"/>
      <c r="D772" s="136"/>
      <c r="E772" s="136"/>
      <c r="F772" s="136"/>
      <c r="G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AO772" s="136"/>
      <c r="BF772" s="130"/>
    </row>
    <row r="773" spans="2:58" ht="13.5">
      <c r="B773" s="148"/>
      <c r="C773" s="136" t="s">
        <v>241</v>
      </c>
      <c r="D773" s="136"/>
      <c r="E773" s="136"/>
      <c r="F773" s="136"/>
      <c r="G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AO773" s="136"/>
      <c r="BF773" s="130"/>
    </row>
    <row r="774" spans="2:58" ht="13.5">
      <c r="B774" s="148"/>
      <c r="C774" s="136" t="s">
        <v>672</v>
      </c>
      <c r="D774" s="136"/>
      <c r="E774" s="136"/>
      <c r="F774" s="136"/>
      <c r="G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AO774" s="136"/>
      <c r="BF774" s="130"/>
    </row>
    <row r="775" spans="2:58" ht="13.5">
      <c r="B775" s="148"/>
      <c r="C775" s="136"/>
      <c r="D775" s="136"/>
      <c r="E775" s="136"/>
      <c r="F775" s="136"/>
      <c r="G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AO775" s="136"/>
      <c r="BF775" s="130"/>
    </row>
    <row r="776" spans="2:58" ht="13.5">
      <c r="B776" s="148"/>
      <c r="C776" s="136" t="s">
        <v>125</v>
      </c>
      <c r="D776" s="136"/>
      <c r="E776" s="136"/>
      <c r="F776" s="136"/>
      <c r="G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AO776" s="136"/>
      <c r="BF776" s="130"/>
    </row>
    <row r="777" spans="2:58" ht="13.5">
      <c r="B777" s="148"/>
      <c r="C777" s="266" t="s">
        <v>401</v>
      </c>
      <c r="D777" s="266" t="s">
        <v>402</v>
      </c>
      <c r="E777" s="266" t="s">
        <v>131</v>
      </c>
      <c r="F777" s="266" t="s">
        <v>403</v>
      </c>
      <c r="G777" s="266" t="s">
        <v>404</v>
      </c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AO777" s="136"/>
      <c r="BF777" s="130"/>
    </row>
    <row r="778" spans="2:58" ht="13.5">
      <c r="B778" s="148"/>
      <c r="C778" s="266">
        <v>-2</v>
      </c>
      <c r="D778" s="266"/>
      <c r="E778" s="266"/>
      <c r="F778" s="266" t="s">
        <v>773</v>
      </c>
      <c r="G778" s="266" t="s">
        <v>113</v>
      </c>
      <c r="I778" s="136" t="s">
        <v>128</v>
      </c>
      <c r="J778" s="136" t="s">
        <v>128</v>
      </c>
      <c r="K778" s="136" t="s">
        <v>128</v>
      </c>
      <c r="L778" s="136" t="s">
        <v>128</v>
      </c>
      <c r="M778" s="136" t="s">
        <v>128</v>
      </c>
      <c r="N778" s="136" t="s">
        <v>128</v>
      </c>
      <c r="O778" s="136" t="s">
        <v>128</v>
      </c>
      <c r="P778" s="136" t="s">
        <v>128</v>
      </c>
      <c r="Q778" s="136" t="s">
        <v>128</v>
      </c>
      <c r="R778" s="136" t="s">
        <v>128</v>
      </c>
      <c r="S778" s="136" t="s">
        <v>128</v>
      </c>
      <c r="T778" s="136" t="s">
        <v>128</v>
      </c>
      <c r="U778" s="136" t="s">
        <v>128</v>
      </c>
      <c r="AO778" s="136" t="s">
        <v>128</v>
      </c>
      <c r="BF778" s="130"/>
    </row>
    <row r="779" spans="2:58" ht="14" thickBot="1">
      <c r="B779" s="148"/>
      <c r="C779" s="136"/>
      <c r="D779" s="136"/>
      <c r="E779" s="136"/>
      <c r="F779" s="136"/>
      <c r="G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AO779" s="136"/>
      <c r="BF779" s="130"/>
    </row>
    <row r="780" spans="2:58" ht="15" thickBot="1">
      <c r="B780" s="132" t="s">
        <v>674</v>
      </c>
      <c r="C780" s="133" t="s">
        <v>671</v>
      </c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236"/>
    </row>
    <row r="781" spans="2:58" ht="14" thickBot="1">
      <c r="B781" s="134" t="s">
        <v>736</v>
      </c>
      <c r="C781" s="133" t="s">
        <v>434</v>
      </c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236"/>
    </row>
    <row r="782" spans="2:58" ht="13.5">
      <c r="B782" s="148"/>
      <c r="C782" s="136"/>
      <c r="D782" s="136"/>
      <c r="E782" s="136"/>
      <c r="F782" s="136"/>
      <c r="G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AO782" s="136"/>
      <c r="BF782" s="130"/>
    </row>
    <row r="783" spans="2:58" ht="13.5">
      <c r="B783" s="148"/>
      <c r="C783" s="136" t="s">
        <v>241</v>
      </c>
      <c r="D783" s="136"/>
      <c r="E783" s="136"/>
      <c r="F783" s="136"/>
      <c r="G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AO783" s="136"/>
      <c r="BF783" s="130"/>
    </row>
    <row r="784" spans="2:58" ht="13.5">
      <c r="B784" s="148"/>
      <c r="C784" s="136" t="s">
        <v>772</v>
      </c>
      <c r="D784" s="136"/>
      <c r="E784" s="136"/>
      <c r="F784" s="136"/>
      <c r="G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AO784" s="136"/>
      <c r="BF784" s="130"/>
    </row>
    <row r="785" spans="2:58" ht="13.5">
      <c r="B785" s="148"/>
      <c r="C785" s="136"/>
      <c r="D785" s="136"/>
      <c r="E785" s="136"/>
      <c r="F785" s="136"/>
      <c r="G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AO785" s="136"/>
      <c r="BF785" s="130"/>
    </row>
    <row r="786" spans="2:58" ht="13.5">
      <c r="B786" s="148"/>
      <c r="C786" s="136" t="s">
        <v>125</v>
      </c>
      <c r="D786" s="136"/>
      <c r="E786" s="136"/>
      <c r="F786" s="136"/>
      <c r="G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AO786" s="136"/>
      <c r="BF786" s="130"/>
    </row>
    <row r="787" spans="2:58" ht="13.5">
      <c r="B787" s="148"/>
      <c r="C787" s="266" t="s">
        <v>401</v>
      </c>
      <c r="D787" s="266" t="s">
        <v>402</v>
      </c>
      <c r="E787" s="266" t="s">
        <v>131</v>
      </c>
      <c r="F787" s="266" t="s">
        <v>403</v>
      </c>
      <c r="G787" s="266" t="s">
        <v>404</v>
      </c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AO787" s="136"/>
      <c r="BF787" s="130"/>
    </row>
    <row r="788" spans="2:58" ht="13.5">
      <c r="B788" s="148"/>
      <c r="C788" s="266">
        <v>-2</v>
      </c>
      <c r="D788" s="266"/>
      <c r="E788" s="266"/>
      <c r="F788" s="266" t="s">
        <v>782</v>
      </c>
      <c r="G788" s="266" t="s">
        <v>113</v>
      </c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AO788" s="136" t="s">
        <v>128</v>
      </c>
      <c r="BF788" s="130"/>
    </row>
    <row r="789" spans="2:58" ht="13.5">
      <c r="B789" s="148"/>
      <c r="C789" s="136"/>
      <c r="D789" s="136"/>
      <c r="E789" s="136"/>
      <c r="F789" s="136"/>
      <c r="G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AO789" s="136"/>
      <c r="BF789" s="130"/>
    </row>
    <row r="790" spans="2:58" ht="13.5">
      <c r="B790" s="148"/>
      <c r="C790" s="136"/>
      <c r="D790" s="136"/>
      <c r="E790" s="136"/>
      <c r="F790" s="136"/>
      <c r="G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AO790" s="136"/>
      <c r="BF790" s="130"/>
    </row>
    <row r="791" spans="2:58" ht="14" thickBot="1">
      <c r="B791" s="229"/>
      <c r="C791" s="235"/>
      <c r="D791" s="235"/>
      <c r="E791" s="235"/>
      <c r="F791" s="235"/>
      <c r="G791" s="235"/>
      <c r="H791" s="230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  <c r="AJ791" s="230"/>
      <c r="AK791" s="230"/>
      <c r="AL791" s="230"/>
      <c r="AM791" s="230"/>
      <c r="AN791" s="230"/>
      <c r="AO791" s="235"/>
      <c r="AP791" s="230"/>
      <c r="AQ791" s="230"/>
      <c r="AR791" s="230"/>
      <c r="AS791" s="230"/>
      <c r="AT791" s="230"/>
      <c r="AU791" s="230"/>
      <c r="AV791" s="230"/>
      <c r="AW791" s="230"/>
      <c r="AX791" s="230"/>
      <c r="AY791" s="230"/>
      <c r="AZ791" s="230"/>
      <c r="BA791" s="230"/>
      <c r="BB791" s="230"/>
      <c r="BC791" s="230"/>
      <c r="BD791" s="230"/>
      <c r="BE791" s="230"/>
      <c r="BF791" s="231"/>
    </row>
    <row r="792" spans="2:58" ht="13.5">
      <c r="C792" s="136"/>
      <c r="D792" s="136"/>
      <c r="E792" s="136"/>
      <c r="F792" s="136"/>
      <c r="G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AO792" s="136"/>
    </row>
    <row r="793" spans="2:58" ht="13.5">
      <c r="C793" s="136"/>
      <c r="D793" s="136"/>
      <c r="E793" s="136"/>
      <c r="F793" s="136"/>
      <c r="G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AO793" s="136"/>
    </row>
    <row r="794" spans="2:58" ht="13.5">
      <c r="C794" s="136"/>
      <c r="D794" s="136"/>
      <c r="E794" s="136"/>
      <c r="F794" s="136"/>
      <c r="G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AO794" s="136"/>
    </row>
    <row r="795" spans="2:58" ht="13.5">
      <c r="C795" s="136"/>
      <c r="D795" s="136"/>
      <c r="E795" s="136"/>
      <c r="F795" s="136"/>
      <c r="G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AO795" s="136"/>
    </row>
    <row r="796" spans="2:58" ht="13.5">
      <c r="C796" s="136"/>
      <c r="D796" s="136"/>
      <c r="E796" s="136"/>
      <c r="F796" s="136"/>
      <c r="G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AO796" s="136"/>
    </row>
    <row r="797" spans="2:58" ht="13.5">
      <c r="C797" s="136"/>
      <c r="D797" s="136"/>
      <c r="E797" s="136"/>
      <c r="F797" s="136"/>
      <c r="G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AO797" s="136"/>
    </row>
    <row r="798" spans="2:58" ht="13.5">
      <c r="C798" s="136"/>
      <c r="D798" s="136"/>
      <c r="E798" s="136"/>
      <c r="F798" s="136"/>
      <c r="G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AO798" s="136"/>
    </row>
    <row r="799" spans="2:58" ht="13.5">
      <c r="C799" s="136"/>
      <c r="D799" s="136"/>
      <c r="E799" s="136"/>
      <c r="F799" s="136"/>
      <c r="G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AO799" s="136"/>
    </row>
    <row r="800" spans="2:58" ht="13.5">
      <c r="C800" s="136"/>
      <c r="D800" s="136"/>
      <c r="E800" s="136"/>
      <c r="F800" s="136"/>
      <c r="G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AO800" s="136"/>
    </row>
    <row r="801" spans="3:41" ht="13.5">
      <c r="C801" s="136"/>
      <c r="D801" s="136"/>
      <c r="E801" s="136"/>
      <c r="F801" s="136"/>
      <c r="G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AO801" s="136"/>
    </row>
    <row r="802" spans="3:41" ht="13.5">
      <c r="C802" s="136"/>
      <c r="D802" s="136"/>
      <c r="E802" s="136"/>
      <c r="F802" s="136"/>
      <c r="G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AO802" s="136"/>
    </row>
    <row r="803" spans="3:41" ht="13.5">
      <c r="C803" s="136"/>
      <c r="D803" s="136"/>
      <c r="E803" s="136"/>
      <c r="F803" s="136"/>
      <c r="G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AO803" s="136"/>
    </row>
    <row r="804" spans="3:41" ht="13.5">
      <c r="C804" s="136"/>
      <c r="D804" s="136"/>
      <c r="E804" s="136"/>
      <c r="F804" s="136"/>
      <c r="G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AO804" s="136"/>
    </row>
    <row r="805" spans="3:41" ht="13.5">
      <c r="C805" s="136"/>
      <c r="D805" s="136"/>
      <c r="E805" s="136"/>
      <c r="F805" s="136"/>
      <c r="G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AO805" s="136"/>
    </row>
    <row r="806" spans="3:41" ht="13.5">
      <c r="C806" s="136"/>
      <c r="D806" s="136"/>
      <c r="E806" s="136"/>
      <c r="F806" s="136"/>
      <c r="G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AO806" s="136"/>
    </row>
    <row r="807" spans="3:41" ht="13.5">
      <c r="C807" s="136"/>
      <c r="D807" s="136"/>
      <c r="E807" s="136"/>
      <c r="F807" s="136"/>
      <c r="G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AO807" s="136"/>
    </row>
    <row r="808" spans="3:41" ht="13.5">
      <c r="C808" s="136"/>
      <c r="D808" s="136"/>
      <c r="E808" s="136"/>
      <c r="F808" s="136"/>
      <c r="G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AO808" s="136"/>
    </row>
    <row r="809" spans="3:41" ht="13.5">
      <c r="C809" s="136"/>
      <c r="D809" s="136"/>
      <c r="E809" s="136"/>
      <c r="F809" s="136"/>
      <c r="G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AO809" s="136"/>
    </row>
    <row r="810" spans="3:41" ht="13.5">
      <c r="C810" s="136"/>
      <c r="D810" s="136"/>
      <c r="E810" s="136"/>
      <c r="F810" s="136"/>
      <c r="G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AO810" s="136"/>
    </row>
    <row r="811" spans="3:41" ht="13.5">
      <c r="C811" s="136"/>
      <c r="D811" s="136"/>
      <c r="E811" s="136"/>
      <c r="F811" s="136"/>
      <c r="G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AO811" s="136"/>
    </row>
    <row r="812" spans="3:41" ht="13.5">
      <c r="C812" s="136"/>
      <c r="D812" s="136"/>
      <c r="E812" s="136"/>
      <c r="F812" s="136"/>
      <c r="G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AO812" s="136"/>
    </row>
    <row r="813" spans="3:41" ht="13.5">
      <c r="C813" s="136"/>
      <c r="D813" s="136"/>
      <c r="E813" s="136"/>
      <c r="F813" s="136"/>
      <c r="G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AO813" s="136"/>
    </row>
    <row r="814" spans="3:41" ht="13.5">
      <c r="C814" s="136"/>
      <c r="D814" s="136"/>
      <c r="E814" s="136"/>
      <c r="F814" s="136"/>
      <c r="G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AO814" s="136"/>
    </row>
    <row r="815" spans="3:41" ht="13.5">
      <c r="C815" s="136"/>
      <c r="D815" s="136"/>
      <c r="E815" s="136"/>
      <c r="F815" s="136"/>
      <c r="G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AO815" s="136"/>
    </row>
    <row r="816" spans="3:41" ht="13.5">
      <c r="C816" s="136"/>
      <c r="D816" s="136"/>
      <c r="E816" s="136"/>
      <c r="F816" s="136"/>
      <c r="G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AO816" s="136"/>
    </row>
    <row r="817" spans="3:41" ht="13.5">
      <c r="C817" s="136"/>
      <c r="D817" s="136"/>
      <c r="E817" s="136"/>
      <c r="F817" s="136"/>
      <c r="G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AO817" s="136"/>
    </row>
    <row r="818" spans="3:41" ht="13.5">
      <c r="C818" s="136"/>
      <c r="D818" s="136"/>
      <c r="E818" s="136"/>
      <c r="F818" s="136"/>
      <c r="G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AO818" s="136"/>
    </row>
    <row r="819" spans="3:41" ht="13.5">
      <c r="C819" s="136"/>
      <c r="D819" s="136"/>
      <c r="E819" s="136"/>
      <c r="F819" s="136"/>
      <c r="G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AO819" s="136"/>
    </row>
    <row r="820" spans="3:41" ht="13.5">
      <c r="C820" s="136"/>
      <c r="D820" s="136"/>
      <c r="E820" s="136"/>
      <c r="F820" s="136"/>
      <c r="G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AO820" s="136"/>
    </row>
    <row r="821" spans="3:41" ht="13.5">
      <c r="C821" s="136"/>
      <c r="D821" s="136"/>
      <c r="E821" s="136"/>
      <c r="F821" s="136"/>
      <c r="G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AO821" s="136"/>
    </row>
    <row r="822" spans="3:41" ht="13.5">
      <c r="C822" s="136"/>
      <c r="D822" s="136"/>
      <c r="E822" s="136"/>
      <c r="F822" s="136"/>
      <c r="G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AO822" s="136"/>
    </row>
    <row r="823" spans="3:41" ht="13.5">
      <c r="C823" s="136"/>
      <c r="D823" s="136"/>
      <c r="E823" s="136"/>
      <c r="F823" s="136"/>
      <c r="G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AO823" s="136"/>
    </row>
    <row r="824" spans="3:41" ht="13.5">
      <c r="C824" s="136"/>
      <c r="D824" s="136"/>
      <c r="E824" s="136"/>
      <c r="F824" s="136"/>
      <c r="G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AO824" s="136"/>
    </row>
    <row r="825" spans="3:41" ht="13.5">
      <c r="C825" s="136"/>
      <c r="D825" s="136"/>
      <c r="E825" s="136"/>
      <c r="F825" s="136"/>
      <c r="G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AO825" s="136"/>
    </row>
    <row r="826" spans="3:41" ht="13.5">
      <c r="C826" s="136"/>
      <c r="D826" s="136"/>
      <c r="E826" s="136"/>
      <c r="F826" s="136"/>
      <c r="G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AO826" s="136"/>
    </row>
    <row r="827" spans="3:41" ht="13.5">
      <c r="C827" s="136"/>
      <c r="D827" s="136"/>
      <c r="E827" s="136"/>
      <c r="F827" s="136"/>
      <c r="G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AO827" s="136"/>
    </row>
    <row r="828" spans="3:41" ht="13.5">
      <c r="C828" s="136"/>
      <c r="D828" s="136"/>
      <c r="E828" s="136"/>
      <c r="F828" s="136"/>
      <c r="G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AO828" s="136"/>
    </row>
    <row r="829" spans="3:41" ht="13.5">
      <c r="C829" s="136"/>
      <c r="D829" s="136"/>
      <c r="E829" s="136"/>
      <c r="F829" s="136"/>
      <c r="G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AO829" s="136"/>
    </row>
    <row r="830" spans="3:41" ht="13.5">
      <c r="C830" s="136"/>
      <c r="D830" s="136"/>
      <c r="E830" s="136"/>
      <c r="F830" s="136"/>
      <c r="G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AO830" s="136"/>
    </row>
    <row r="831" spans="3:41" ht="13.5">
      <c r="C831" s="136"/>
      <c r="D831" s="136"/>
      <c r="E831" s="136"/>
      <c r="F831" s="136"/>
      <c r="G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AO831" s="136"/>
    </row>
    <row r="832" spans="3:41" ht="13.5">
      <c r="C832" s="136"/>
      <c r="D832" s="136"/>
      <c r="E832" s="136"/>
      <c r="F832" s="136"/>
      <c r="G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AO832" s="136"/>
    </row>
    <row r="833" spans="3:41" ht="13.5">
      <c r="C833" s="136"/>
      <c r="D833" s="136"/>
      <c r="E833" s="136"/>
      <c r="F833" s="136"/>
      <c r="G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AO833" s="136"/>
    </row>
    <row r="834" spans="3:41" ht="13.5">
      <c r="C834" s="136"/>
      <c r="D834" s="136"/>
      <c r="E834" s="136"/>
      <c r="F834" s="136"/>
      <c r="G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AO834" s="136"/>
    </row>
    <row r="835" spans="3:41" ht="13.5">
      <c r="C835" s="136"/>
      <c r="D835" s="136"/>
      <c r="E835" s="136"/>
      <c r="F835" s="136"/>
      <c r="G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AO835" s="136"/>
    </row>
    <row r="836" spans="3:41" ht="13.5">
      <c r="C836" s="136"/>
      <c r="D836" s="136"/>
      <c r="E836" s="136"/>
      <c r="F836" s="136"/>
      <c r="G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AO836" s="136"/>
    </row>
    <row r="837" spans="3:41" ht="13.5">
      <c r="C837" s="136"/>
      <c r="D837" s="136"/>
      <c r="E837" s="136"/>
      <c r="F837" s="136"/>
      <c r="G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AO837" s="136"/>
    </row>
    <row r="838" spans="3:41" ht="13.5">
      <c r="C838" s="136"/>
      <c r="D838" s="136"/>
      <c r="E838" s="136"/>
      <c r="F838" s="136"/>
      <c r="G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AO838" s="136"/>
    </row>
    <row r="839" spans="3:41" ht="13.5">
      <c r="C839" s="136"/>
      <c r="D839" s="136"/>
      <c r="E839" s="136"/>
      <c r="F839" s="136"/>
      <c r="G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AO839" s="136"/>
    </row>
    <row r="840" spans="3:41" ht="13.5">
      <c r="C840" s="136"/>
      <c r="D840" s="136"/>
      <c r="E840" s="136"/>
      <c r="F840" s="136"/>
      <c r="G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AO840" s="136"/>
    </row>
    <row r="841" spans="3:41" ht="13.5">
      <c r="C841" s="136"/>
      <c r="D841" s="136"/>
      <c r="E841" s="136"/>
      <c r="F841" s="136"/>
      <c r="G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AO841" s="136"/>
    </row>
    <row r="842" spans="3:41" ht="13.5">
      <c r="C842" s="136"/>
      <c r="D842" s="136"/>
      <c r="E842" s="136"/>
      <c r="F842" s="136"/>
      <c r="G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AO842" s="136"/>
    </row>
    <row r="843" spans="3:41" ht="13.5">
      <c r="C843" s="136"/>
      <c r="D843" s="136"/>
      <c r="E843" s="136"/>
      <c r="F843" s="136"/>
      <c r="G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AO843" s="136"/>
    </row>
    <row r="844" spans="3:41" ht="13.5">
      <c r="C844" s="136"/>
      <c r="D844" s="136"/>
      <c r="E844" s="136"/>
      <c r="F844" s="136"/>
      <c r="G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AO844" s="136"/>
    </row>
    <row r="845" spans="3:41" ht="13.5">
      <c r="C845" s="136"/>
      <c r="D845" s="136"/>
      <c r="E845" s="136"/>
      <c r="F845" s="136"/>
      <c r="G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AO845" s="136"/>
    </row>
    <row r="846" spans="3:41" ht="13.5">
      <c r="C846" s="136"/>
      <c r="D846" s="136"/>
      <c r="E846" s="136"/>
      <c r="F846" s="136"/>
      <c r="G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AO846" s="136"/>
    </row>
    <row r="847" spans="3:41" ht="13.5">
      <c r="C847" s="136"/>
      <c r="D847" s="136"/>
      <c r="E847" s="136"/>
      <c r="F847" s="136"/>
      <c r="G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AO847" s="136"/>
    </row>
    <row r="848" spans="3:41" ht="13.5">
      <c r="C848" s="136"/>
      <c r="D848" s="136"/>
      <c r="E848" s="136"/>
      <c r="F848" s="136"/>
      <c r="G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AO848" s="136"/>
    </row>
    <row r="849" spans="3:41" ht="13.5">
      <c r="C849" s="136"/>
      <c r="D849" s="136"/>
      <c r="E849" s="136"/>
      <c r="F849" s="136"/>
      <c r="G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AO849" s="136"/>
    </row>
    <row r="850" spans="3:41" ht="13.5">
      <c r="C850" s="136"/>
      <c r="D850" s="136"/>
      <c r="E850" s="136"/>
      <c r="F850" s="136"/>
      <c r="G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AO850" s="136"/>
    </row>
    <row r="851" spans="3:41" ht="13.5">
      <c r="C851" s="136"/>
      <c r="D851" s="136"/>
      <c r="E851" s="136"/>
      <c r="F851" s="136"/>
      <c r="G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AO851" s="136"/>
    </row>
    <row r="852" spans="3:41" ht="13.5">
      <c r="C852" s="136"/>
      <c r="D852" s="136"/>
      <c r="E852" s="136"/>
      <c r="F852" s="136"/>
      <c r="G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AO852" s="136"/>
    </row>
    <row r="853" spans="3:41" ht="13.5">
      <c r="C853" s="136"/>
      <c r="D853" s="136"/>
      <c r="E853" s="136"/>
      <c r="F853" s="136"/>
      <c r="G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AO853" s="136"/>
    </row>
    <row r="854" spans="3:41" ht="13.5">
      <c r="C854" s="136"/>
      <c r="D854" s="136"/>
      <c r="E854" s="136"/>
      <c r="F854" s="136"/>
      <c r="G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AO854" s="136"/>
    </row>
    <row r="855" spans="3:41" ht="13.5">
      <c r="C855" s="136"/>
      <c r="D855" s="136"/>
      <c r="E855" s="136"/>
      <c r="F855" s="136"/>
      <c r="G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AO855" s="136"/>
    </row>
    <row r="856" spans="3:41" ht="13.5">
      <c r="C856" s="136"/>
      <c r="D856" s="136"/>
      <c r="E856" s="136"/>
      <c r="F856" s="136"/>
      <c r="G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AO856" s="136"/>
    </row>
    <row r="857" spans="3:41" ht="13.5">
      <c r="C857" s="136"/>
      <c r="D857" s="136"/>
      <c r="E857" s="136"/>
      <c r="F857" s="136"/>
      <c r="G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AO857" s="136"/>
    </row>
    <row r="858" spans="3:41" ht="13.5">
      <c r="C858" s="136"/>
      <c r="D858" s="136"/>
      <c r="E858" s="136"/>
      <c r="F858" s="136"/>
      <c r="G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AO858" s="136"/>
    </row>
    <row r="859" spans="3:41" ht="13.5">
      <c r="C859" s="136"/>
      <c r="D859" s="136"/>
      <c r="E859" s="136"/>
      <c r="F859" s="136"/>
      <c r="G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AO859" s="136"/>
    </row>
    <row r="860" spans="3:41" ht="13.5">
      <c r="C860" s="136"/>
      <c r="D860" s="136"/>
      <c r="E860" s="136"/>
      <c r="F860" s="136"/>
      <c r="G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AO860" s="136"/>
    </row>
    <row r="861" spans="3:41" ht="13.5">
      <c r="C861" s="136"/>
      <c r="D861" s="136"/>
      <c r="E861" s="136"/>
      <c r="F861" s="136"/>
      <c r="G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AO861" s="136"/>
    </row>
    <row r="862" spans="3:41" ht="13.5">
      <c r="C862" s="136"/>
      <c r="D862" s="136"/>
      <c r="E862" s="136"/>
      <c r="F862" s="136"/>
      <c r="G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AO862" s="136"/>
    </row>
    <row r="863" spans="3:41" ht="13.5">
      <c r="C863" s="136"/>
      <c r="D863" s="136"/>
      <c r="E863" s="136"/>
      <c r="F863" s="136"/>
      <c r="G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AO863" s="136"/>
    </row>
    <row r="864" spans="3:41" ht="13.5">
      <c r="C864" s="136"/>
      <c r="D864" s="136"/>
      <c r="E864" s="136"/>
      <c r="F864" s="136"/>
      <c r="G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AO864" s="136"/>
    </row>
    <row r="865" spans="3:41" ht="13.5">
      <c r="C865" s="136"/>
      <c r="D865" s="136"/>
      <c r="E865" s="136"/>
      <c r="F865" s="136"/>
      <c r="G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AO865" s="136"/>
    </row>
    <row r="866" spans="3:41" ht="13.5">
      <c r="C866" s="136"/>
      <c r="D866" s="136"/>
      <c r="E866" s="136"/>
      <c r="F866" s="136"/>
      <c r="G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AO866" s="136"/>
    </row>
    <row r="867" spans="3:41" ht="13.5">
      <c r="C867" s="136"/>
      <c r="D867" s="136"/>
      <c r="E867" s="136"/>
      <c r="F867" s="136"/>
      <c r="G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AO867" s="136"/>
    </row>
    <row r="868" spans="3:41" ht="13.5">
      <c r="C868" s="136"/>
      <c r="D868" s="136"/>
      <c r="E868" s="136"/>
      <c r="F868" s="136"/>
      <c r="G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AO868" s="136"/>
    </row>
    <row r="869" spans="3:41" ht="13.5">
      <c r="C869" s="136"/>
      <c r="D869" s="136"/>
      <c r="E869" s="136"/>
      <c r="F869" s="136"/>
      <c r="G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AO869" s="136"/>
    </row>
    <row r="870" spans="3:41" ht="13.5">
      <c r="C870" s="136"/>
      <c r="D870" s="136"/>
      <c r="E870" s="136"/>
      <c r="F870" s="136"/>
      <c r="G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AO870" s="136"/>
    </row>
    <row r="871" spans="3:41" ht="13.5">
      <c r="C871" s="136"/>
      <c r="D871" s="136"/>
      <c r="E871" s="136"/>
      <c r="F871" s="136"/>
      <c r="G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AO871" s="136"/>
    </row>
    <row r="872" spans="3:41" ht="13.5">
      <c r="C872" s="136"/>
      <c r="D872" s="136"/>
      <c r="E872" s="136"/>
      <c r="F872" s="136"/>
      <c r="G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AO872" s="136"/>
    </row>
    <row r="873" spans="3:41" ht="13.5">
      <c r="C873" s="136"/>
      <c r="D873" s="136"/>
      <c r="E873" s="136"/>
      <c r="F873" s="136"/>
      <c r="G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AO873" s="136"/>
    </row>
    <row r="874" spans="3:41" ht="13.5">
      <c r="C874" s="136"/>
      <c r="D874" s="136"/>
      <c r="E874" s="136"/>
      <c r="F874" s="136"/>
      <c r="G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AO874" s="136"/>
    </row>
    <row r="875" spans="3:41" ht="13.5">
      <c r="C875" s="136"/>
      <c r="D875" s="136"/>
      <c r="E875" s="136"/>
      <c r="F875" s="136"/>
      <c r="G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AO875" s="136"/>
    </row>
    <row r="876" spans="3:41" ht="13.5">
      <c r="C876" s="136"/>
      <c r="D876" s="136"/>
      <c r="E876" s="136"/>
      <c r="F876" s="136"/>
      <c r="G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AO876" s="136"/>
    </row>
    <row r="877" spans="3:41" ht="13.5">
      <c r="C877" s="136"/>
      <c r="D877" s="136"/>
      <c r="E877" s="136"/>
      <c r="F877" s="136"/>
      <c r="G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AO877" s="136"/>
    </row>
    <row r="878" spans="3:41" ht="13.5">
      <c r="C878" s="136"/>
      <c r="D878" s="136"/>
      <c r="E878" s="136"/>
      <c r="F878" s="136"/>
      <c r="G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AO878" s="136"/>
    </row>
    <row r="879" spans="3:41" ht="13.5">
      <c r="C879" s="136"/>
      <c r="D879" s="136"/>
      <c r="E879" s="136"/>
      <c r="F879" s="136"/>
      <c r="G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AO879" s="136"/>
    </row>
    <row r="880" spans="3:41" ht="13.5">
      <c r="C880" s="136"/>
      <c r="D880" s="136"/>
      <c r="E880" s="136"/>
      <c r="F880" s="136"/>
      <c r="G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AO880" s="136"/>
    </row>
    <row r="881" spans="3:41" ht="13.5">
      <c r="C881" s="136"/>
      <c r="D881" s="136"/>
      <c r="E881" s="136"/>
      <c r="F881" s="136"/>
      <c r="G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AO881" s="136"/>
    </row>
    <row r="882" spans="3:41" ht="13.5">
      <c r="C882" s="136"/>
      <c r="D882" s="136"/>
      <c r="E882" s="136"/>
      <c r="F882" s="136"/>
      <c r="G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AO882" s="136"/>
    </row>
    <row r="883" spans="3:41" ht="13.5">
      <c r="C883" s="136"/>
      <c r="D883" s="136"/>
      <c r="E883" s="136"/>
      <c r="F883" s="136"/>
      <c r="G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AO883" s="136"/>
    </row>
    <row r="884" spans="3:41" ht="13.5">
      <c r="C884" s="136"/>
      <c r="D884" s="136"/>
      <c r="E884" s="136"/>
      <c r="F884" s="136"/>
      <c r="G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AO884" s="136"/>
    </row>
    <row r="885" spans="3:41" ht="13.5">
      <c r="C885" s="136"/>
      <c r="D885" s="136"/>
      <c r="E885" s="136"/>
      <c r="F885" s="136"/>
      <c r="G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AO885" s="136"/>
    </row>
    <row r="886" spans="3:41" ht="13.5">
      <c r="C886" s="136"/>
      <c r="D886" s="136"/>
      <c r="E886" s="136"/>
      <c r="F886" s="136"/>
      <c r="G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AO886" s="136"/>
    </row>
    <row r="887" spans="3:41" ht="13.5">
      <c r="C887" s="136"/>
      <c r="D887" s="136"/>
      <c r="E887" s="136"/>
      <c r="F887" s="136"/>
      <c r="G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AO887" s="136"/>
    </row>
    <row r="888" spans="3:41" ht="13.5">
      <c r="C888" s="136"/>
      <c r="D888" s="136"/>
      <c r="E888" s="136"/>
      <c r="F888" s="136"/>
      <c r="G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AO888" s="136"/>
    </row>
    <row r="889" spans="3:41" ht="13.5">
      <c r="C889" s="136"/>
      <c r="D889" s="136"/>
      <c r="E889" s="136"/>
      <c r="F889" s="136"/>
      <c r="G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AO889" s="136"/>
    </row>
    <row r="890" spans="3:41" ht="13.5">
      <c r="C890" s="136"/>
      <c r="D890" s="136"/>
      <c r="E890" s="136"/>
      <c r="F890" s="136"/>
      <c r="G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AO890" s="136"/>
    </row>
    <row r="891" spans="3:41" ht="13.5">
      <c r="C891" s="136"/>
      <c r="D891" s="136"/>
      <c r="E891" s="136"/>
      <c r="F891" s="136"/>
      <c r="G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AO891" s="136"/>
    </row>
    <row r="892" spans="3:41" ht="13.5">
      <c r="C892" s="136"/>
      <c r="D892" s="136"/>
      <c r="E892" s="136"/>
      <c r="F892" s="136"/>
      <c r="G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AO892" s="136"/>
    </row>
    <row r="893" spans="3:41" ht="13.5">
      <c r="C893" s="136"/>
      <c r="D893" s="136"/>
      <c r="E893" s="136"/>
      <c r="F893" s="136"/>
      <c r="G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AO893" s="136"/>
    </row>
    <row r="894" spans="3:41" ht="13.5">
      <c r="C894" s="136"/>
      <c r="D894" s="136"/>
      <c r="E894" s="136"/>
      <c r="F894" s="136"/>
      <c r="G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AO894" s="136"/>
    </row>
    <row r="895" spans="3:41" ht="13.5">
      <c r="C895" s="136"/>
      <c r="D895" s="136"/>
      <c r="E895" s="136"/>
      <c r="F895" s="136"/>
      <c r="G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AO895" s="136"/>
    </row>
    <row r="896" spans="3:41" ht="13.5">
      <c r="C896" s="136"/>
      <c r="D896" s="136"/>
      <c r="E896" s="136"/>
      <c r="F896" s="136"/>
      <c r="G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AO896" s="136"/>
    </row>
    <row r="897" spans="3:41" ht="13.5">
      <c r="C897" s="136"/>
      <c r="D897" s="136"/>
      <c r="E897" s="136"/>
      <c r="F897" s="136"/>
      <c r="G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AO897" s="136"/>
    </row>
    <row r="898" spans="3:41" ht="13.5">
      <c r="C898" s="136"/>
      <c r="D898" s="136"/>
      <c r="E898" s="136"/>
      <c r="F898" s="136"/>
      <c r="G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AO898" s="136"/>
    </row>
    <row r="899" spans="3:41" ht="13.5">
      <c r="C899" s="136"/>
      <c r="D899" s="136"/>
      <c r="E899" s="136"/>
      <c r="F899" s="136"/>
      <c r="G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AO899" s="136"/>
    </row>
    <row r="900" spans="3:41" ht="13.5">
      <c r="C900" s="136"/>
      <c r="D900" s="136"/>
      <c r="E900" s="136"/>
      <c r="F900" s="136"/>
      <c r="G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AO900" s="136"/>
    </row>
    <row r="901" spans="3:41" ht="13.5">
      <c r="C901" s="136"/>
      <c r="D901" s="136"/>
      <c r="E901" s="136"/>
      <c r="F901" s="136"/>
      <c r="G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AO901" s="136"/>
    </row>
    <row r="902" spans="3:41" ht="13.5">
      <c r="C902" s="136"/>
      <c r="D902" s="136"/>
      <c r="E902" s="136"/>
      <c r="F902" s="136"/>
      <c r="G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AO902" s="136"/>
    </row>
    <row r="903" spans="3:41" ht="13.5">
      <c r="C903" s="136"/>
      <c r="D903" s="136"/>
      <c r="E903" s="136"/>
      <c r="F903" s="136"/>
      <c r="G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AO903" s="136"/>
    </row>
    <row r="904" spans="3:41" ht="13.5">
      <c r="C904" s="136"/>
      <c r="D904" s="136"/>
      <c r="E904" s="136"/>
      <c r="F904" s="136"/>
      <c r="G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AO904" s="136"/>
    </row>
    <row r="905" spans="3:41" ht="13.5">
      <c r="C905" s="136"/>
      <c r="D905" s="136"/>
      <c r="E905" s="136"/>
      <c r="F905" s="136"/>
      <c r="G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AO905" s="136"/>
    </row>
    <row r="906" spans="3:41" ht="13.5">
      <c r="C906" s="136"/>
      <c r="D906" s="136"/>
      <c r="E906" s="136"/>
      <c r="F906" s="136"/>
      <c r="G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AO906" s="136"/>
    </row>
    <row r="907" spans="3:41" ht="13.5">
      <c r="C907" s="136"/>
      <c r="D907" s="136"/>
      <c r="E907" s="136"/>
      <c r="F907" s="136"/>
      <c r="G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AO907" s="136"/>
    </row>
    <row r="908" spans="3:41" ht="13.5">
      <c r="C908" s="136"/>
      <c r="D908" s="136"/>
      <c r="E908" s="136"/>
      <c r="F908" s="136"/>
      <c r="G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AO908" s="136"/>
    </row>
    <row r="909" spans="3:41" ht="13.5">
      <c r="C909" s="136"/>
      <c r="D909" s="136"/>
      <c r="E909" s="136"/>
      <c r="F909" s="136"/>
      <c r="G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AO909" s="136"/>
    </row>
    <row r="910" spans="3:41" ht="13.5">
      <c r="C910" s="136"/>
      <c r="D910" s="136"/>
      <c r="E910" s="136"/>
      <c r="F910" s="136"/>
      <c r="G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AO910" s="136"/>
    </row>
    <row r="911" spans="3:41" ht="13.5">
      <c r="C911" s="136"/>
      <c r="D911" s="136"/>
      <c r="E911" s="136"/>
      <c r="F911" s="136"/>
      <c r="G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AO911" s="136"/>
    </row>
    <row r="912" spans="3:41" ht="13.5">
      <c r="C912" s="136"/>
      <c r="D912" s="136"/>
      <c r="E912" s="136"/>
      <c r="F912" s="136"/>
      <c r="G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AO912" s="136"/>
    </row>
    <row r="913" spans="3:41" ht="13.5">
      <c r="C913" s="136"/>
      <c r="D913" s="136"/>
      <c r="E913" s="136"/>
      <c r="F913" s="136"/>
      <c r="G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AO913" s="136"/>
    </row>
    <row r="914" spans="3:41" ht="13.5">
      <c r="C914" s="136"/>
      <c r="D914" s="136"/>
      <c r="E914" s="136"/>
      <c r="F914" s="136"/>
      <c r="G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AO914" s="136"/>
    </row>
    <row r="915" spans="3:41" ht="13.5">
      <c r="C915" s="136"/>
      <c r="D915" s="136"/>
      <c r="E915" s="136"/>
      <c r="F915" s="136"/>
      <c r="G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AO915" s="136"/>
    </row>
    <row r="916" spans="3:41" ht="13.5">
      <c r="C916" s="136"/>
      <c r="D916" s="136"/>
      <c r="E916" s="136"/>
      <c r="F916" s="136"/>
      <c r="G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AO916" s="136"/>
    </row>
    <row r="917" spans="3:41" ht="13.5">
      <c r="C917" s="136"/>
      <c r="D917" s="136"/>
      <c r="E917" s="136"/>
      <c r="F917" s="136"/>
      <c r="G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AO917" s="136"/>
    </row>
    <row r="918" spans="3:41" ht="13.5">
      <c r="C918" s="136"/>
      <c r="D918" s="136"/>
      <c r="E918" s="136"/>
      <c r="F918" s="136"/>
      <c r="G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AO918" s="136"/>
    </row>
    <row r="919" spans="3:41" ht="13.5">
      <c r="C919" s="136"/>
      <c r="D919" s="136"/>
      <c r="E919" s="136"/>
      <c r="F919" s="136"/>
      <c r="G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AO919" s="136"/>
    </row>
    <row r="920" spans="3:41" ht="13.5">
      <c r="C920" s="136"/>
      <c r="D920" s="136"/>
      <c r="E920" s="136"/>
      <c r="F920" s="136"/>
      <c r="G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AO920" s="136"/>
    </row>
    <row r="921" spans="3:41" ht="13.5">
      <c r="C921" s="136"/>
      <c r="D921" s="136"/>
      <c r="E921" s="136"/>
      <c r="F921" s="136"/>
      <c r="G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AO921" s="136"/>
    </row>
  </sheetData>
  <mergeCells count="1">
    <mergeCell ref="C280:X280"/>
  </mergeCells>
  <phoneticPr fontId="3"/>
  <hyperlinks>
    <hyperlink ref="A1" location="TCS!A1" display="戻る" xr:uid="{BFFFBE4B-31FC-407F-95DB-CA1D51263B83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2FADD67-DD7C-4D45-8940-C6EB8B5BA1F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d5f495e-8872-4613-b41e-44adb53a887e"/>
    <ds:schemaRef ds:uri="http://purl.org/dc/terms/"/>
    <ds:schemaRef ds:uri="http://schemas.microsoft.com/office/2006/documentManagement/types"/>
    <ds:schemaRef ds:uri="e47b21de-6aa2-4397-bc9c-dfadd9f0c5d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B6BF48-E3F6-4B13-9192-4EFFE4280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EEBDC7-076F-4ACD-8DBF-C49B4CC77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F2B1990-BD69-40EB-A43C-6C4C780A6DE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更新履歴</vt:lpstr>
      <vt:lpstr>TCS</vt:lpstr>
      <vt:lpstr>テストデータ</vt:lpstr>
      <vt:lpstr>引数チェック</vt:lpstr>
      <vt:lpstr>主処理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Sun Sheng</cp:lastModifiedBy>
  <cp:lastPrinted>2012-11-07T00:24:04Z</cp:lastPrinted>
  <dcterms:created xsi:type="dcterms:W3CDTF">2006-06-14T00:06:44Z</dcterms:created>
  <dcterms:modified xsi:type="dcterms:W3CDTF">2025-11-04T00:31:00Z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0x010100CE4925CEB4767D4088405B3A37F02A88</vt:lpwstr>
  </property>
  <property fmtid="{D5CDD505-2E9C-101B-9397-08002B2CF9AE}" pid="3" name="MediaServiceImageTags">
    <vt:lpwstr/>
  </property>
</Properties>
</file>