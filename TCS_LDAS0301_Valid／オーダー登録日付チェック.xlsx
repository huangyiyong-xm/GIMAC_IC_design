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D:\tcs\"/>
    </mc:Choice>
  </mc:AlternateContent>
  <xr:revisionPtr revIDLastSave="0" documentId="13_ncr:1_{FE381EF3-466F-431A-A1A4-D59A6367B45C}" xr6:coauthVersionLast="47" xr6:coauthVersionMax="47" xr10:uidLastSave="{00000000-0000-0000-0000-000000000000}"/>
  <bookViews>
    <workbookView xWindow="28680" yWindow="-120" windowWidth="38640" windowHeight="21120" tabRatio="815" xr2:uid="{00000000-000D-0000-FFFF-FFFF00000000}"/>
  </bookViews>
  <sheets>
    <sheet name="Cover" sheetId="115" r:id="rId1"/>
    <sheet name="更新履歴" sheetId="116" r:id="rId2"/>
    <sheet name="TCS" sheetId="117" r:id="rId3"/>
    <sheet name="テストデータ" sheetId="120" r:id="rId4"/>
    <sheet name="引数チェック" sheetId="121" r:id="rId5"/>
    <sheet name="主処理" sheetId="128" r:id="rId6"/>
    <sheet name="⇒参考資料用雛形" sheetId="118" r:id="rId7"/>
    <sheet name="確認資料1" sheetId="119" r:id="rId8"/>
    <sheet name="検索" sheetId="122" r:id="rId9"/>
    <sheet name="更新" sheetId="123" r:id="rId10"/>
    <sheet name="処理ﾊﾟﾀｰﾝ" sheetId="124" r:id="rId11"/>
    <sheet name="追加" sheetId="125" r:id="rId12"/>
    <sheet name="削除" sheetId="126" r:id="rId13"/>
    <sheet name="その他" sheetId="127" r:id="rId14"/>
  </sheets>
  <externalReferences>
    <externalReference r:id="rId15"/>
    <externalReference r:id="rId16"/>
    <externalReference r:id="rId17"/>
    <externalReference r:id="rId18"/>
    <externalReference r:id="rId19"/>
    <externalReference r:id="rId20"/>
    <externalReference r:id="rId21"/>
  </externalReferences>
  <definedNames>
    <definedName name="_xlnm._FilterDatabase" localSheetId="2" hidden="1">#REF!</definedName>
    <definedName name="_xlnm._FilterDatabase" hidden="1">#REF!</definedName>
    <definedName name="_Key1" localSheetId="2" hidden="1">#REF!</definedName>
    <definedName name="_Key1" hidden="1">#REF!</definedName>
    <definedName name="_Order1" hidden="1">255</definedName>
    <definedName name="_Regression_X" localSheetId="2" hidden="1">#REF!</definedName>
    <definedName name="_Regression_X" hidden="1">#REF!</definedName>
    <definedName name="_Sort" localSheetId="2" hidden="1">#REF!</definedName>
    <definedName name="_Sort" hidden="1">#REF!</definedName>
    <definedName name="Access_Button" hidden="1">"名簿_ｱｸｾｽ_List1"</definedName>
    <definedName name="AccessDatabase" hidden="1">"G:\_資金部\1総括\総括庶務\ｱｸｾｽ\ｱﾅｱｸｾｽ.MDB"</definedName>
    <definedName name="AS2DocOpenMode" hidden="1">"AS2DocumentEdit"</definedName>
    <definedName name="BS入力">[1]!BS入力</definedName>
    <definedName name="EditBack" localSheetId="2">#REF!</definedName>
    <definedName name="EditBack">#REF!</definedName>
    <definedName name="EditBar" localSheetId="2">#REF!</definedName>
    <definedName name="EditBar">#REF!</definedName>
    <definedName name="EditCommon" localSheetId="2">#REF!</definedName>
    <definedName name="EditCommon">#REF!</definedName>
    <definedName name="EditConf" localSheetId="2">#REF!</definedName>
    <definedName name="EditConf">#REF!</definedName>
    <definedName name="EditConfirm" localSheetId="2">#REF!</definedName>
    <definedName name="EditConfirm">#REF!</definedName>
    <definedName name="EditCopyUpdate" localSheetId="2">#REF!</definedName>
    <definedName name="EditCopyUpdate">#REF!</definedName>
    <definedName name="EditDelete" localSheetId="2">#REF!</definedName>
    <definedName name="EditDelete">#REF!</definedName>
    <definedName name="EditDeleteS" localSheetId="2">#REF!</definedName>
    <definedName name="EditDeleteS">#REF!</definedName>
    <definedName name="EditDeleteUpdate" localSheetId="2">#REF!</definedName>
    <definedName name="EditDeleteUpdate">#REF!</definedName>
    <definedName name="EditDetail" localSheetId="2">#REF!</definedName>
    <definedName name="EditDetail">#REF!</definedName>
    <definedName name="EditDetailTran" localSheetId="2">#REF!</definedName>
    <definedName name="EditDetailTran">#REF!</definedName>
    <definedName name="EditDetailTransaction" localSheetId="2">#REF!</definedName>
    <definedName name="EditDetailTransaction">#REF!</definedName>
    <definedName name="EditDownload" localSheetId="2">#REF!</definedName>
    <definedName name="EditDownload">#REF!</definedName>
    <definedName name="EditEdit" localSheetId="2">#REF!</definedName>
    <definedName name="EditEdit">#REF!</definedName>
    <definedName name="EditEditTran" localSheetId="2">#REF!</definedName>
    <definedName name="EditEditTran">#REF!</definedName>
    <definedName name="EditEditUpdate" localSheetId="2">#REF!</definedName>
    <definedName name="EditEditUpdate">#REF!</definedName>
    <definedName name="EditInitial" localSheetId="2">#REF!</definedName>
    <definedName name="EditInitial">#REF!</definedName>
    <definedName name="EditInsert" localSheetId="2">#REF!</definedName>
    <definedName name="EditInsert">#REF!</definedName>
    <definedName name="EditItemChange" localSheetId="2">#REF!</definedName>
    <definedName name="EditItemChange">#REF!</definedName>
    <definedName name="EditLoseFocus" localSheetId="2">#REF!</definedName>
    <definedName name="EditLoseFocus">#REF!</definedName>
    <definedName name="EditLoseFocus1" localSheetId="2">#REF!</definedName>
    <definedName name="EditLoseFocus1">#REF!</definedName>
    <definedName name="EditLoseFocus2" localSheetId="2">#REF!</definedName>
    <definedName name="EditLoseFocus2">#REF!</definedName>
    <definedName name="EditLoseFocus3" localSheetId="2">#REF!</definedName>
    <definedName name="EditLoseFocus3">#REF!</definedName>
    <definedName name="EditLoseFocus4" localSheetId="2">#REF!</definedName>
    <definedName name="EditLoseFocus4">#REF!</definedName>
    <definedName name="EditLoseFocus5" localSheetId="2">#REF!</definedName>
    <definedName name="EditLoseFocus5">#REF!</definedName>
    <definedName name="EditNew" localSheetId="2">#REF!</definedName>
    <definedName name="EditNew">#REF!</definedName>
    <definedName name="EditNewS" localSheetId="2">#REF!</definedName>
    <definedName name="EditNewS">#REF!</definedName>
    <definedName name="EditNewTran" localSheetId="2">#REF!</definedName>
    <definedName name="EditNewTran">#REF!</definedName>
    <definedName name="EditPrev" localSheetId="2">#REF!</definedName>
    <definedName name="EditPrev">#REF!</definedName>
    <definedName name="EditPrint" localSheetId="2">#REF!</definedName>
    <definedName name="EditPrint">#REF!</definedName>
    <definedName name="EditReset" localSheetId="2">#REF!</definedName>
    <definedName name="EditReset">#REF!</definedName>
    <definedName name="EditRetrieve" localSheetId="2">#REF!</definedName>
    <definedName name="EditRetrieve">#REF!</definedName>
    <definedName name="EditUpdateS" localSheetId="2">#REF!</definedName>
    <definedName name="EditUpdateS">#REF!</definedName>
    <definedName name="EditUpload" localSheetId="2">#REF!</definedName>
    <definedName name="EditUpload">#REF!</definedName>
    <definedName name="EditValuesList" localSheetId="2">#REF!</definedName>
    <definedName name="EditValuesList">#REF!</definedName>
    <definedName name="Event" localSheetId="2">#REF!</definedName>
    <definedName name="Event">#REF!</definedName>
    <definedName name="fl01AS1" localSheetId="2" hidden="1">[2]分录!#REF!</definedName>
    <definedName name="fl01AS1" hidden="1">[2]分录!#REF!</definedName>
    <definedName name="fl04AF1" localSheetId="2" hidden="1">[3]分录!#REF!</definedName>
    <definedName name="fl04AF1" hidden="1">[3]分录!#REF!</definedName>
    <definedName name="HeaderItemChanged" localSheetId="2">#REF!</definedName>
    <definedName name="HeaderItemChanged">#REF!</definedName>
    <definedName name="PL入力">[1]!PL入力</definedName>
    <definedName name="test" localSheetId="2">#REF!</definedName>
    <definedName name="test">#REF!</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pdateConfirm" localSheetId="2">#REF!</definedName>
    <definedName name="UpdateConfirm">#REF!</definedName>
    <definedName name="UpdatePrint" localSheetId="2">#REF!</definedName>
    <definedName name="UpdatePrint">#REF!</definedName>
    <definedName name="ValidationCommon" localSheetId="2">#REF!</definedName>
    <definedName name="ValidationCommon">#REF!</definedName>
    <definedName name="ValidationConfirm" localSheetId="2">#REF!</definedName>
    <definedName name="ValidationConfirm">#REF!</definedName>
    <definedName name="ValidationDelete" localSheetId="2">#REF!</definedName>
    <definedName name="ValidationDelete">#REF!</definedName>
    <definedName name="ValidationDetail" localSheetId="2">#REF!</definedName>
    <definedName name="ValidationDetail">#REF!</definedName>
    <definedName name="ValidationEdit" localSheetId="2">#REF!</definedName>
    <definedName name="ValidationEdit">#REF!</definedName>
    <definedName name="ValidationLoseFocus" localSheetId="2">#REF!</definedName>
    <definedName name="ValidationLoseFocus">#REF!</definedName>
    <definedName name="ValidationPrint" localSheetId="2">#REF!</definedName>
    <definedName name="ValidationPrint">#REF!</definedName>
    <definedName name="ValidationRetrieve" localSheetId="2">#REF!</definedName>
    <definedName name="ValidationRetrieve">#REF!</definedName>
    <definedName name="ValidRet" localSheetId="2">#REF!</definedName>
    <definedName name="ValidRet">#REF!</definedName>
    <definedName name="xxjj36" localSheetId="2">[4]已审CF!#REF!</definedName>
    <definedName name="xxjj36">[4]已审CF!#REF!</definedName>
    <definedName name="xxjj44" localSheetId="2">[4]已审CF!#REF!</definedName>
    <definedName name="xxjj44">[4]已审CF!#REF!</definedName>
    <definedName name="xxjj48" localSheetId="2">[4]已审CF!#REF!</definedName>
    <definedName name="xxjj48">[4]已审CF!#REF!</definedName>
    <definedName name="コメント入力">[1]!コメント入力</definedName>
    <definedName name="データ形式">[5]!テーブル56[ファイルデータ形式]</definedName>
    <definedName name="データ型">[5]!テーブル5[データ型]</definedName>
    <definedName name="データ型2">[5]!テーブル69[データ型]</definedName>
    <definedName name="デリミタ">[5]!テーブル3[デリミタ]</definedName>
    <definedName name="改行コード">[5]!テーブル6[改行コード]</definedName>
    <definedName name="固定可変">[5]!テーブル43[固定長/可変長]</definedName>
    <definedName name="関連表" localSheetId="2" hidden="1">#REF!</definedName>
    <definedName name="関連表" hidden="1">#REF!</definedName>
    <definedName name="稼働日" localSheetId="2">#REF!</definedName>
    <definedName name="稼働日">#REF!</definedName>
    <definedName name="客户">[6]索引!$C$4</definedName>
    <definedName name="栏目设置">[6]索引!$C$8</definedName>
    <definedName name="売上入力">[1]!売上入力</definedName>
    <definedName name="末尾デリミタ">[5]!テーブル7[末尾デリミタ文字]</definedName>
    <definedName name="期间">[6]索引!$C$6</definedName>
    <definedName name="人員入力">[1]!人員入力</definedName>
    <definedName name="入出力対象">[5]!テーブル4[入出力対象]</definedName>
    <definedName name="深夜開始">[7]初期値!$G$3</definedName>
    <definedName name="始業時間">[7]初期値!$C$3</definedName>
    <definedName name="文字コード">[5]!テーブル1[文字コード]</definedName>
    <definedName name="曜日" localSheetId="2">#REF!</definedName>
    <definedName name="曜日">#REF!</definedName>
    <definedName name="应付票据mxb" localSheetId="2" hidden="1">#REF!</definedName>
    <definedName name="应付票据mxb" hidden="1">#REF!</definedName>
    <definedName name="終業時間">[7]初期値!$F$3</definedName>
    <definedName name="総表印刷">[1]!総表印刷</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2" i="117" l="1"/>
  <c r="J2" i="117"/>
  <c r="G2" i="117"/>
  <c r="L2" i="117" l="1"/>
  <c r="G3" i="117"/>
  <c r="J3" i="1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Suzuki Yusuke</author>
  </authors>
  <commentList>
    <comment ref="F5" authorId="0" shapeId="0" xr:uid="{5C1326A4-549E-413B-BE9E-ED5283DCD2F7}">
      <text>
        <r>
          <rPr>
            <sz val="9"/>
            <color indexed="81"/>
            <rFont val="MS P ゴシック"/>
            <family val="3"/>
            <charset val="128"/>
          </rPr>
          <t>結果が保存されているシート名を記載する。
ファイルがない場合は「なし」と記載してください</t>
        </r>
      </text>
    </comment>
  </commentList>
</comments>
</file>

<file path=xl/sharedStrings.xml><?xml version="1.0" encoding="utf-8"?>
<sst xmlns="http://schemas.openxmlformats.org/spreadsheetml/2006/main" count="10170" uniqueCount="1027">
  <si>
    <t>確認者</t>
    <rPh sb="0" eb="2">
      <t>カクニン</t>
    </rPh>
    <rPh sb="2" eb="3">
      <t>シャ</t>
    </rPh>
    <phoneticPr fontId="3"/>
  </si>
  <si>
    <t>作成者</t>
    <rPh sb="0" eb="3">
      <t>サクセイシャ</t>
    </rPh>
    <phoneticPr fontId="3"/>
  </si>
  <si>
    <t>日付</t>
    <rPh sb="0" eb="2">
      <t>ヒヅケ</t>
    </rPh>
    <phoneticPr fontId="3"/>
  </si>
  <si>
    <t>IC</t>
    <phoneticPr fontId="3"/>
  </si>
  <si>
    <t>更新者</t>
    <rPh sb="0" eb="3">
      <t>コウシンシャ</t>
    </rPh>
    <phoneticPr fontId="3"/>
  </si>
  <si>
    <t>モジュール名</t>
    <rPh sb="5" eb="6">
      <t>メイ</t>
    </rPh>
    <phoneticPr fontId="11"/>
  </si>
  <si>
    <t>プログラムID</t>
    <phoneticPr fontId="11"/>
  </si>
  <si>
    <t>プログラム名</t>
    <phoneticPr fontId="11"/>
  </si>
  <si>
    <t>Project Name</t>
    <phoneticPr fontId="11"/>
  </si>
  <si>
    <t>Yamaha-motor Next Stage</t>
    <phoneticPr fontId="11"/>
  </si>
  <si>
    <t>Workstream</t>
    <phoneticPr fontId="11"/>
  </si>
  <si>
    <t>Document Scope</t>
    <phoneticPr fontId="11"/>
  </si>
  <si>
    <t>TCS作成</t>
    <rPh sb="3" eb="5">
      <t>サクセイ</t>
    </rPh>
    <phoneticPr fontId="11"/>
  </si>
  <si>
    <t>承認者</t>
    <rPh sb="0" eb="3">
      <t>ショウニンシャ</t>
    </rPh>
    <phoneticPr fontId="3"/>
  </si>
  <si>
    <t>名前</t>
    <rPh sb="0" eb="2">
      <t>ナマエ</t>
    </rPh>
    <phoneticPr fontId="3"/>
  </si>
  <si>
    <t>テスト実施</t>
    <rPh sb="3" eb="5">
      <t>ジッシ</t>
    </rPh>
    <phoneticPr fontId="11"/>
  </si>
  <si>
    <t>テスト担当者</t>
    <rPh sb="3" eb="6">
      <t>タントウシャ</t>
    </rPh>
    <phoneticPr fontId="3"/>
  </si>
  <si>
    <t>Ver</t>
    <phoneticPr fontId="3"/>
  </si>
  <si>
    <t>更新日</t>
    <rPh sb="0" eb="2">
      <t>コウシン</t>
    </rPh>
    <rPh sb="2" eb="3">
      <t>ビ</t>
    </rPh>
    <phoneticPr fontId="3"/>
  </si>
  <si>
    <t>更新シート</t>
    <rPh sb="0" eb="2">
      <t>コウシン</t>
    </rPh>
    <phoneticPr fontId="3"/>
  </si>
  <si>
    <t>更新内容</t>
    <rPh sb="0" eb="2">
      <t>コウシン</t>
    </rPh>
    <rPh sb="2" eb="4">
      <t>ナイヨウ</t>
    </rPh>
    <phoneticPr fontId="3"/>
  </si>
  <si>
    <t>確認日</t>
    <rPh sb="0" eb="2">
      <t>カクニン</t>
    </rPh>
    <rPh sb="2" eb="3">
      <t>ビ</t>
    </rPh>
    <phoneticPr fontId="11"/>
  </si>
  <si>
    <t>確認者</t>
    <rPh sb="0" eb="2">
      <t>カクニン</t>
    </rPh>
    <rPh sb="2" eb="3">
      <t>シャ</t>
    </rPh>
    <phoneticPr fontId="11"/>
  </si>
  <si>
    <t>承認日</t>
    <rPh sb="0" eb="2">
      <t>ショウニン</t>
    </rPh>
    <rPh sb="2" eb="3">
      <t>ビ</t>
    </rPh>
    <phoneticPr fontId="11"/>
  </si>
  <si>
    <t>承認者</t>
    <rPh sb="0" eb="2">
      <t>ショウニン</t>
    </rPh>
    <rPh sb="2" eb="3">
      <t>シャ</t>
    </rPh>
    <phoneticPr fontId="11"/>
  </si>
  <si>
    <t>備考</t>
    <rPh sb="0" eb="2">
      <t>ビコウ</t>
    </rPh>
    <phoneticPr fontId="3"/>
  </si>
  <si>
    <t>*</t>
    <phoneticPr fontId="11"/>
  </si>
  <si>
    <t>テスト概要</t>
    <rPh sb="3" eb="5">
      <t>ｶﾞｲﾖｳ</t>
    </rPh>
    <phoneticPr fontId="18" type="noConversion"/>
  </si>
  <si>
    <t>テストケース数</t>
    <rPh sb="6" eb="7">
      <t>ｽｳ</t>
    </rPh>
    <phoneticPr fontId="18" type="noConversion"/>
  </si>
  <si>
    <t>テスト実施数</t>
    <rPh sb="3" eb="5">
      <t>ｼﾞｯｼ</t>
    </rPh>
    <rPh sb="5" eb="6">
      <t>ｽｳ</t>
    </rPh>
    <phoneticPr fontId="18" type="noConversion"/>
  </si>
  <si>
    <t>テスト未実施数</t>
    <rPh sb="3" eb="6">
      <t>ﾐｼﾞｯｼ</t>
    </rPh>
    <rPh sb="6" eb="7">
      <t>ｽｳ</t>
    </rPh>
    <phoneticPr fontId="18" type="noConversion"/>
  </si>
  <si>
    <t>合格ケース数</t>
    <rPh sb="0" eb="2">
      <t>ｺﾞｳｶｸ</t>
    </rPh>
    <rPh sb="5" eb="6">
      <t>ｽｳ</t>
    </rPh>
    <phoneticPr fontId="18" type="noConversion"/>
  </si>
  <si>
    <t>進捗率</t>
    <rPh sb="0" eb="2">
      <t>ｼﾝﾁｮｸ</t>
    </rPh>
    <rPh sb="2" eb="3">
      <t>ﾘﾂ</t>
    </rPh>
    <phoneticPr fontId="18" type="noConversion"/>
  </si>
  <si>
    <t>ケース合格率</t>
    <rPh sb="3" eb="5">
      <t>ｺﾞｳｶｸ</t>
    </rPh>
    <rPh sb="5" eb="6">
      <t>ﾘﾂ</t>
    </rPh>
    <phoneticPr fontId="18" type="noConversion"/>
  </si>
  <si>
    <t>開発者</t>
    <rPh sb="0" eb="3">
      <t>ｶｲﾊﾂｼｬ</t>
    </rPh>
    <phoneticPr fontId="18" type="noConversion"/>
  </si>
  <si>
    <t>検収者</t>
    <rPh sb="0" eb="2">
      <t>ｹﾝｼｭｳ</t>
    </rPh>
    <rPh sb="2" eb="3">
      <t>ｼｬ</t>
    </rPh>
    <phoneticPr fontId="18" type="noConversion"/>
  </si>
  <si>
    <t>No</t>
    <phoneticPr fontId="18" type="noConversion"/>
  </si>
  <si>
    <t>テスト動作</t>
  </si>
  <si>
    <t>項目名</t>
    <rPh sb="0" eb="2">
      <t>ｺｳﾓｸ</t>
    </rPh>
    <rPh sb="2" eb="3">
      <t>ﾒｲ</t>
    </rPh>
    <phoneticPr fontId="18" type="noConversion"/>
  </si>
  <si>
    <t>テストケース</t>
    <phoneticPr fontId="18" type="noConversion"/>
  </si>
  <si>
    <t>チェックポイント</t>
    <phoneticPr fontId="18" type="noConversion"/>
  </si>
  <si>
    <t>確認資料</t>
    <rPh sb="0" eb="4">
      <t>ｶｸﾆﾝｼﾘｮｳ</t>
    </rPh>
    <phoneticPr fontId="18" type="noConversion"/>
  </si>
  <si>
    <t>生成AI/手動</t>
    <rPh sb="0" eb="2">
      <t>ｾｲｾｲ</t>
    </rPh>
    <rPh sb="5" eb="7">
      <t>ｼｭﾄﾞｳ</t>
    </rPh>
    <phoneticPr fontId="18" type="noConversion"/>
  </si>
  <si>
    <t>テスト方法</t>
    <rPh sb="3" eb="5">
      <t>ﾎｳﾎｳ</t>
    </rPh>
    <phoneticPr fontId="18" type="noConversion"/>
  </si>
  <si>
    <t>エビデンス
要否</t>
    <rPh sb="6" eb="8">
      <t>ﾖｳﾋ</t>
    </rPh>
    <phoneticPr fontId="18" type="noConversion"/>
  </si>
  <si>
    <t>ケース
レビュー</t>
    <phoneticPr fontId="18" type="noConversion"/>
  </si>
  <si>
    <t>テスト担当者</t>
    <rPh sb="3" eb="6">
      <t>ﾀﾝﾄｳｼｬ</t>
    </rPh>
    <phoneticPr fontId="18" type="noConversion"/>
  </si>
  <si>
    <t>テスト
結果</t>
    <rPh sb="4" eb="6">
      <t>ｹｯｶ</t>
    </rPh>
    <phoneticPr fontId="18" type="noConversion"/>
  </si>
  <si>
    <t>テスト実施
レビュー</t>
    <rPh sb="3" eb="5">
      <t>ｼﾞｯｼ</t>
    </rPh>
    <phoneticPr fontId="18" type="noConversion"/>
  </si>
  <si>
    <t>コメント</t>
    <phoneticPr fontId="18" type="noConversion"/>
  </si>
  <si>
    <t>1.引数チェック</t>
  </si>
  <si>
    <t>引数</t>
  </si>
  <si>
    <t>生成AI</t>
  </si>
  <si>
    <t>2.検索(select)</t>
  </si>
  <si>
    <t>検索</t>
  </si>
  <si>
    <t>品目マスター</t>
  </si>
  <si>
    <t>MRP情報値</t>
  </si>
  <si>
    <t>正常終了</t>
  </si>
  <si>
    <t>処理ステータス</t>
  </si>
  <si>
    <t>正常終了時の処理ステータス</t>
  </si>
  <si>
    <t>処理ステータスが0で設定されている</t>
  </si>
  <si>
    <t>SQLコード</t>
  </si>
  <si>
    <t>正常終了時のSQLコード</t>
  </si>
  <si>
    <t>エラーコード</t>
  </si>
  <si>
    <t>正常終了時のエラーコード</t>
  </si>
  <si>
    <t>エラーメッセージ</t>
  </si>
  <si>
    <t>正常終了時のエラーメッセージ</t>
  </si>
  <si>
    <t>エラーメッセージがスペースで設定されている</t>
  </si>
  <si>
    <t>エラー位置</t>
  </si>
  <si>
    <t>正常終了時のエラー位置</t>
  </si>
  <si>
    <t>エラー位置がスペースで設定されている</t>
  </si>
  <si>
    <t>SQLエラー発生時の処理ステータス</t>
  </si>
  <si>
    <t>処理ステータスが-1で設定されている</t>
  </si>
  <si>
    <t>PGMエラー発生時の処理ステータス</t>
  </si>
  <si>
    <t>処理ステータスが-2で設定されている</t>
  </si>
  <si>
    <t>エラー発生時のエラー位置</t>
  </si>
  <si>
    <t>着手日</t>
  </si>
  <si>
    <t>完了日</t>
  </si>
  <si>
    <t>引数.完了日がブランクの場合</t>
  </si>
  <si>
    <t>払出日</t>
  </si>
  <si>
    <t>SUマスタ</t>
  </si>
  <si>
    <t>指定使用者に該当する現在有効カレンダーが正常に取得されている</t>
  </si>
  <si>
    <t>日別カレンダーマスタ</t>
  </si>
  <si>
    <t>着手日に該当する稼働日区分が正常に取得されている</t>
  </si>
  <si>
    <t>完了日に該当する稼働日区分が正常に取得されている</t>
  </si>
  <si>
    <t>払出日に該当する稼働日区分が正常に取得されている</t>
  </si>
  <si>
    <t>IC工場処理日</t>
  </si>
  <si>
    <t>処理タイプ='STD'に該当するIC工場処理日が正常に取得されている</t>
  </si>
  <si>
    <t>機能オプションパラメータ</t>
  </si>
  <si>
    <t>品目マスターから品目タイプを正常に検索</t>
  </si>
  <si>
    <t>品目番号、供給者、使用者に該当する品目タイプが正常に取得されている</t>
  </si>
  <si>
    <t>稼働日チェック</t>
  </si>
  <si>
    <t>確定期間チェック</t>
  </si>
  <si>
    <t>確定期間最終日</t>
  </si>
  <si>
    <t>正常に処理されている</t>
  </si>
  <si>
    <t>処理識別='LD71'かつ着手日&gt;確定期間最終日の場合</t>
  </si>
  <si>
    <t>IC工場処理日チェック</t>
  </si>
  <si>
    <t>着手日比較チェック</t>
  </si>
  <si>
    <t>着手日・完了日</t>
  </si>
  <si>
    <t>完了日比較チェック</t>
  </si>
  <si>
    <t>払出日・完了日</t>
  </si>
  <si>
    <t>期間チェック</t>
  </si>
  <si>
    <t>着手日・払出日</t>
  </si>
  <si>
    <t>着手日と払出日の月差が6ヶ月以内の場合</t>
  </si>
  <si>
    <t>LEBS0010</t>
  </si>
  <si>
    <t>確定期間検索</t>
  </si>
  <si>
    <t>エラーが返され処理が異常終了している</t>
  </si>
  <si>
    <t>SQLコードがスペースで設定されている</t>
  </si>
  <si>
    <t>エラーコードがスペースで設定されている</t>
  </si>
  <si>
    <t>エラー位置が'LDAS0301'で設定されている</t>
  </si>
  <si>
    <t>3. 処理パターン</t>
    <phoneticPr fontId="3"/>
  </si>
  <si>
    <t>4.共通関数呼び出し</t>
    <phoneticPr fontId="3"/>
  </si>
  <si>
    <t>5. 戻り値</t>
    <phoneticPr fontId="3"/>
  </si>
  <si>
    <t>LDAS0301</t>
    <phoneticPr fontId="3"/>
  </si>
  <si>
    <t>Valid／オーダー登録日付チェック</t>
    <phoneticPr fontId="3"/>
  </si>
  <si>
    <t>余</t>
    <phoneticPr fontId="3"/>
  </si>
  <si>
    <t>要</t>
  </si>
  <si>
    <t>手動</t>
  </si>
  <si>
    <t>戻る</t>
    <rPh sb="0" eb="1">
      <t>モド</t>
    </rPh>
    <phoneticPr fontId="3"/>
  </si>
  <si>
    <t>引数チェック</t>
    <phoneticPr fontId="3"/>
  </si>
  <si>
    <t>No.</t>
    <phoneticPr fontId="3"/>
  </si>
  <si>
    <t>テスト項目</t>
    <rPh sb="3" eb="5">
      <t>コウモク</t>
    </rPh>
    <phoneticPr fontId="3"/>
  </si>
  <si>
    <t>引数としてNULLを受け取った場合</t>
  </si>
  <si>
    <t>a1</t>
    <phoneticPr fontId="3"/>
  </si>
  <si>
    <t>● 仕様：</t>
    <rPh sb="2" eb="4">
      <t>シヨウ</t>
    </rPh>
    <phoneticPr fontId="3"/>
  </si>
  <si>
    <t>引数.拠点コード が スペース または NULL の場合</t>
  </si>
  <si>
    <t>【実行形式】</t>
    <rPh sb="1" eb="3">
      <t>ジッコウ</t>
    </rPh>
    <rPh sb="3" eb="5">
      <t>ケイシキ</t>
    </rPh>
    <phoneticPr fontId="3"/>
  </si>
  <si>
    <t>SELECT</t>
  </si>
  <si>
    <t>*</t>
  </si>
  <si>
    <t xml:space="preserve">FROM </t>
  </si>
  <si>
    <t>DHBS9002</t>
  </si>
  <si>
    <t>拠点コード</t>
  </si>
  <si>
    <t>(</t>
  </si>
  <si>
    <t>NULL</t>
  </si>
  <si>
    <t>部品番号</t>
  </si>
  <si>
    <t>,</t>
  </si>
  <si>
    <t>'PARTS-NO'</t>
  </si>
  <si>
    <t>工程</t>
  </si>
  <si>
    <t>'00'</t>
  </si>
  <si>
    <t>色</t>
  </si>
  <si>
    <t>供給者</t>
  </si>
  <si>
    <t>'1234'</t>
  </si>
  <si>
    <t>変更前 部品別調達担当</t>
  </si>
  <si>
    <t>'11A'</t>
  </si>
  <si>
    <t>変更後 部品別調達担当</t>
  </si>
  <si>
    <t>'22B'</t>
  </si>
  <si>
    <t>更新日時</t>
  </si>
  <si>
    <t>'2019-02-15 00:00:00'</t>
  </si>
  <si>
    <t>更新者</t>
  </si>
  <si>
    <t>'AL00238'</t>
  </si>
  <si>
    <t>更新ＰＧＩＤ</t>
  </si>
  <si>
    <t>'dhbs9002'</t>
  </si>
  <si>
    <t>);</t>
  </si>
  <si>
    <t>【戻り値】</t>
    <rPh sb="1" eb="2">
      <t>モド</t>
    </rPh>
    <rPh sb="3" eb="4">
      <t>チ</t>
    </rPh>
    <phoneticPr fontId="3"/>
  </si>
  <si>
    <t>rn_status</t>
  </si>
  <si>
    <t>rs_sql_code</t>
  </si>
  <si>
    <t xml:space="preserve"> </t>
  </si>
  <si>
    <t>rs_err_code</t>
  </si>
  <si>
    <t>E.DHP10002</t>
  </si>
  <si>
    <t>rs_err_msg</t>
  </si>
  <si>
    <t>Argument Error : [ ps_site_code ] = NULL</t>
  </si>
  <si>
    <t>引数.部品番号 が スペース または NULL の場合</t>
  </si>
  <si>
    <t>'0000'</t>
  </si>
  <si>
    <t>E.DHP10031</t>
  </si>
  <si>
    <t>Argument Error : [ ps_part_no ] = NULL</t>
  </si>
  <si>
    <t>引数.工程 が スペース または NULL の場合</t>
  </si>
  <si>
    <t>E.DHP10089</t>
  </si>
  <si>
    <t>Argument Error : [ ps_process_no ] = NULL</t>
  </si>
  <si>
    <t>引数.色 が スペース または NULL の場合</t>
  </si>
  <si>
    <t>E.DHP10092</t>
  </si>
  <si>
    <t>Argument Error : [ ps_color_indicat_no ] = NULL</t>
  </si>
  <si>
    <t>引数.供給者 が NULL の場合 (※1)</t>
  </si>
  <si>
    <t>(※1)：スペースの場合があるため、NULL判定のみ行う</t>
  </si>
  <si>
    <t>'01'</t>
  </si>
  <si>
    <t>E.DHP10075</t>
  </si>
  <si>
    <t>Argument Error : [ ps_supplier ] = NULL</t>
  </si>
  <si>
    <t>引数.変更前部品別調達担当 が NULL の場合 (※1)</t>
  </si>
  <si>
    <t>E.DHP10100</t>
  </si>
  <si>
    <t>Argument Error : [ ps_before_su_charge_cd ] = NULL</t>
  </si>
  <si>
    <t>引数.変更後部品別調達担当 が スペース または NULL の場合</t>
  </si>
  <si>
    <t>Argument Error : [ ps_after_su_charge_cd ] = NULL</t>
  </si>
  <si>
    <t>引数.更新日時 が NULL の場合</t>
    <phoneticPr fontId="3"/>
  </si>
  <si>
    <t>invalid input syntax for type timestamp: "NULL"</t>
  </si>
  <si>
    <t>引数.更新者 が スペース または NULL の場合</t>
  </si>
  <si>
    <t>E.DHP10068</t>
  </si>
  <si>
    <t>Argument Error : [ ps_update_author ] = NULL</t>
  </si>
  <si>
    <t>引数.更新ＰＧＩＤ が スペース または NULL の場合</t>
  </si>
  <si>
    <t>E.DHP10085</t>
  </si>
  <si>
    <t>Argument Error : [ ps_update_pgmid ] = NULL</t>
  </si>
  <si>
    <t>⇒</t>
    <phoneticPr fontId="3"/>
  </si>
  <si>
    <t>仕様通りの処理を行っている（エラー出力して終了）</t>
    <rPh sb="17" eb="19">
      <t>シュツリョク</t>
    </rPh>
    <rPh sb="21" eb="23">
      <t>シュウリョウ</t>
    </rPh>
    <phoneticPr fontId="2"/>
  </si>
  <si>
    <t>引数としてスペースを受け取った場合</t>
  </si>
  <si>
    <t>a2</t>
    <phoneticPr fontId="3"/>
  </si>
  <si>
    <t>''</t>
  </si>
  <si>
    <t xml:space="preserve">Argument Error : [ ps_site_code ] = </t>
  </si>
  <si>
    <t xml:space="preserve">Argument Error : [ ps_part_no ] = </t>
  </si>
  <si>
    <t xml:space="preserve">Argument Error : [ ps_process_no ] = </t>
  </si>
  <si>
    <t xml:space="preserve">Argument Error : [ ps_color_indicat_no ] = </t>
  </si>
  <si>
    <t>⇒ スペースの判定は無し、正常に処理が続行している</t>
    <rPh sb="7" eb="9">
      <t>ハンテイ</t>
    </rPh>
    <rPh sb="10" eb="11">
      <t>ナ</t>
    </rPh>
    <rPh sb="13" eb="15">
      <t>セイジョウ</t>
    </rPh>
    <rPh sb="16" eb="18">
      <t>ショリ</t>
    </rPh>
    <rPh sb="19" eb="21">
      <t>ゾッコウ</t>
    </rPh>
    <phoneticPr fontId="3"/>
  </si>
  <si>
    <t>Update Count  : [ dh_job_seq_detail ] = 0 : [ dh_pre_unit_assy_master ] = 0 : [ dh_price_reg_status ] = 0 : [ dh_novelty_survey_request ] = 0 : [ dh_su_charge_cd_chg_history ] = 1</t>
  </si>
  <si>
    <t xml:space="preserve">Argument Error : [ ps_after_su_charge_cd ] = </t>
  </si>
  <si>
    <t>⇒ Timeｓtamp型の引数にブランクは渡せないため、実行エラーになる。</t>
    <rPh sb="11" eb="12">
      <t>ガタ</t>
    </rPh>
    <rPh sb="13" eb="15">
      <t>ヒキスウ</t>
    </rPh>
    <rPh sb="21" eb="22">
      <t>ワタ</t>
    </rPh>
    <rPh sb="28" eb="30">
      <t>ジッコウ</t>
    </rPh>
    <phoneticPr fontId="3"/>
  </si>
  <si>
    <t>拠点コード</t>
    <phoneticPr fontId="3"/>
  </si>
  <si>
    <t>部品番号</t>
    <phoneticPr fontId="3"/>
  </si>
  <si>
    <t>工程</t>
    <phoneticPr fontId="3"/>
  </si>
  <si>
    <t>rs_err_code</t>
    <phoneticPr fontId="3"/>
  </si>
  <si>
    <t xml:space="preserve">Argument Error : [ ps_update_author ] = </t>
  </si>
  <si>
    <t xml:space="preserve">Argument Error : [ ps_update_pgmid ] = </t>
  </si>
  <si>
    <t>テストデータ</t>
    <phoneticPr fontId="3"/>
  </si>
  <si>
    <t>色説明 ：</t>
    <rPh sb="0" eb="1">
      <t>イロ</t>
    </rPh>
    <rPh sb="1" eb="3">
      <t>セツメイ</t>
    </rPh>
    <phoneticPr fontId="3"/>
  </si>
  <si>
    <t>条件項目</t>
    <rPh sb="0" eb="2">
      <t>ジョウケン</t>
    </rPh>
    <rPh sb="2" eb="4">
      <t>コウモク</t>
    </rPh>
    <phoneticPr fontId="3"/>
  </si>
  <si>
    <t>使用しない項目</t>
    <rPh sb="0" eb="2">
      <t>シヨウ</t>
    </rPh>
    <rPh sb="5" eb="7">
      <t>コウモク</t>
    </rPh>
    <phoneticPr fontId="3"/>
  </si>
  <si>
    <t>対象外の値</t>
    <rPh sb="0" eb="3">
      <t>タイショウガイ</t>
    </rPh>
    <rPh sb="4" eb="5">
      <t>アタイ</t>
    </rPh>
    <phoneticPr fontId="3"/>
  </si>
  <si>
    <t>更新項目</t>
    <rPh sb="0" eb="2">
      <t>コウシン</t>
    </rPh>
    <rPh sb="2" eb="4">
      <t>コウモク</t>
    </rPh>
    <phoneticPr fontId="3"/>
  </si>
  <si>
    <t>追加項目</t>
    <rPh sb="0" eb="2">
      <t>ツイカ</t>
    </rPh>
    <rPh sb="2" eb="4">
      <t>コウモク</t>
    </rPh>
    <phoneticPr fontId="3"/>
  </si>
  <si>
    <t>削除項目</t>
    <rPh sb="0" eb="2">
      <t>サクジョ</t>
    </rPh>
    <rPh sb="2" eb="4">
      <t>コウモク</t>
    </rPh>
    <phoneticPr fontId="3"/>
  </si>
  <si>
    <t>検索項目</t>
    <rPh sb="0" eb="2">
      <t>ケンサク</t>
    </rPh>
    <rPh sb="2" eb="4">
      <t>コウモク</t>
    </rPh>
    <phoneticPr fontId="3"/>
  </si>
  <si>
    <t>●</t>
    <phoneticPr fontId="3"/>
  </si>
  <si>
    <t>データNo</t>
    <phoneticPr fontId="3"/>
  </si>
  <si>
    <t>抽出レコード</t>
    <rPh sb="0" eb="2">
      <t>チュウシュツ</t>
    </rPh>
    <phoneticPr fontId="3"/>
  </si>
  <si>
    <t>品目番号</t>
    <rPh sb="0" eb="2">
      <t>ヒンモク</t>
    </rPh>
    <rPh sb="2" eb="4">
      <t>バンゴウ</t>
    </rPh>
    <phoneticPr fontId="3"/>
  </si>
  <si>
    <t>供給者</t>
    <rPh sb="0" eb="3">
      <t>キョウキュウシャ</t>
    </rPh>
    <phoneticPr fontId="3"/>
  </si>
  <si>
    <t>使用者</t>
    <rPh sb="0" eb="3">
      <t>シヨウシャ</t>
    </rPh>
    <phoneticPr fontId="3"/>
  </si>
  <si>
    <t>char6</t>
    <phoneticPr fontId="3"/>
  </si>
  <si>
    <t>2</t>
    <phoneticPr fontId="3"/>
  </si>
  <si>
    <t>7</t>
    <phoneticPr fontId="3"/>
  </si>
  <si>
    <t>8</t>
    <phoneticPr fontId="3"/>
  </si>
  <si>
    <t>3</t>
    <phoneticPr fontId="3"/>
  </si>
  <si>
    <t>×</t>
    <phoneticPr fontId="3"/>
  </si>
  <si>
    <t>1</t>
    <phoneticPr fontId="3"/>
  </si>
  <si>
    <t>4</t>
    <phoneticPr fontId="3"/>
  </si>
  <si>
    <t>抽出</t>
    <rPh sb="0" eb="2">
      <t>チュウシュツ</t>
    </rPh>
    <phoneticPr fontId="3"/>
  </si>
  <si>
    <t>1</t>
  </si>
  <si>
    <t>4</t>
  </si>
  <si>
    <t>5</t>
  </si>
  <si>
    <t>8</t>
  </si>
  <si>
    <t>9</t>
  </si>
  <si>
    <r>
      <t>【ﾁｪｯｸﾘｽﾄの解説資料】　</t>
    </r>
    <r>
      <rPr>
        <b/>
        <sz val="18"/>
        <color indexed="18"/>
        <rFont val="Meiryo UI"/>
        <family val="3"/>
        <charset val="128"/>
      </rPr>
      <t>検索</t>
    </r>
    <rPh sb="9" eb="11">
      <t>カイセツ</t>
    </rPh>
    <rPh sb="11" eb="13">
      <t>シリョウ</t>
    </rPh>
    <rPh sb="15" eb="17">
      <t>ケンサク</t>
    </rPh>
    <phoneticPr fontId="3"/>
  </si>
  <si>
    <t>b1～b2</t>
    <phoneticPr fontId="3"/>
  </si>
  <si>
    <t>　検索条件がある場合</t>
    <phoneticPr fontId="3"/>
  </si>
  <si>
    <t>実行結果：</t>
    <rPh sb="0" eb="2">
      <t>ジッコウ</t>
    </rPh>
    <rPh sb="2" eb="4">
      <t>ケッカ</t>
    </rPh>
    <phoneticPr fontId="3"/>
  </si>
  <si>
    <t>b3</t>
    <phoneticPr fontId="3"/>
  </si>
  <si>
    <t>　グループ化を行う場合</t>
    <rPh sb="5" eb="6">
      <t>カ</t>
    </rPh>
    <rPh sb="7" eb="8">
      <t>オコナ</t>
    </rPh>
    <rPh sb="9" eb="11">
      <t>バアイ</t>
    </rPh>
    <phoneticPr fontId="3"/>
  </si>
  <si>
    <t>b4～b6</t>
    <phoneticPr fontId="3"/>
  </si>
  <si>
    <t>　複数のテーブルを結合する場合</t>
  </si>
  <si>
    <t>■内部（単純） 結合</t>
    <rPh sb="1" eb="3">
      <t>ナイブ</t>
    </rPh>
    <rPh sb="4" eb="6">
      <t>タンジュン</t>
    </rPh>
    <rPh sb="8" eb="10">
      <t>ケツゴウ</t>
    </rPh>
    <phoneticPr fontId="3"/>
  </si>
  <si>
    <t>■外部（OUTER ) 結合</t>
    <rPh sb="1" eb="3">
      <t>ガイブ</t>
    </rPh>
    <rPh sb="12" eb="14">
      <t>ケツゴウ</t>
    </rPh>
    <phoneticPr fontId="3"/>
  </si>
  <si>
    <t>■UNION 結合</t>
    <rPh sb="7" eb="9">
      <t>ケツゴウ</t>
    </rPh>
    <phoneticPr fontId="3"/>
  </si>
  <si>
    <t>b7</t>
    <phoneticPr fontId="3"/>
  </si>
  <si>
    <t>　検索対象レコードが存在しない場合</t>
  </si>
  <si>
    <r>
      <t>　　　　　◆　例として示すプログラムは、検索対象レコードが存在しない場合に　</t>
    </r>
    <r>
      <rPr>
        <b/>
        <sz val="9"/>
        <color indexed="48"/>
        <rFont val="Meiryo UI"/>
        <family val="3"/>
        <charset val="128"/>
      </rPr>
      <t>return -3,　0,　0,　"0009",　" ",　" ",　0;</t>
    </r>
    <r>
      <rPr>
        <b/>
        <sz val="9"/>
        <color indexed="59"/>
        <rFont val="Meiryo UI"/>
        <family val="3"/>
        <charset val="128"/>
      </rPr>
      <t>　</t>
    </r>
    <r>
      <rPr>
        <sz val="9"/>
        <color indexed="59"/>
        <rFont val="Meiryo UI"/>
        <family val="3"/>
        <charset val="128"/>
      </rPr>
      <t>を実行する</t>
    </r>
    <rPh sb="7" eb="8">
      <t>レイ</t>
    </rPh>
    <rPh sb="11" eb="12">
      <t>シメ</t>
    </rPh>
    <rPh sb="20" eb="22">
      <t>ケンサク</t>
    </rPh>
    <rPh sb="22" eb="24">
      <t>タイショウ</t>
    </rPh>
    <rPh sb="29" eb="31">
      <t>ソンザイ</t>
    </rPh>
    <rPh sb="34" eb="36">
      <t>バアイ</t>
    </rPh>
    <rPh sb="77" eb="79">
      <t>ジッコウ</t>
    </rPh>
    <phoneticPr fontId="3"/>
  </si>
  <si>
    <t>→　仕様通りの戻り値を確認。</t>
    <rPh sb="2" eb="4">
      <t>シヨウ</t>
    </rPh>
    <rPh sb="4" eb="5">
      <t>トオ</t>
    </rPh>
    <rPh sb="7" eb="8">
      <t>モド</t>
    </rPh>
    <rPh sb="9" eb="10">
      <t>チ</t>
    </rPh>
    <rPh sb="11" eb="13">
      <t>カクニン</t>
    </rPh>
    <phoneticPr fontId="3"/>
  </si>
  <si>
    <t>b8</t>
    <phoneticPr fontId="3"/>
  </si>
  <si>
    <t>　1件しか入っていないはずのテーブルに複数件のデータが存在する場合</t>
    <rPh sb="2" eb="3">
      <t>ケン</t>
    </rPh>
    <rPh sb="5" eb="6">
      <t>ハイ</t>
    </rPh>
    <rPh sb="19" eb="21">
      <t>フクスウ</t>
    </rPh>
    <rPh sb="21" eb="22">
      <t>ケン</t>
    </rPh>
    <rPh sb="27" eb="29">
      <t>ソンザイ</t>
    </rPh>
    <rPh sb="31" eb="33">
      <t>バアイ</t>
    </rPh>
    <phoneticPr fontId="3"/>
  </si>
  <si>
    <t>→　SQLエラーコードの戻り値を確認。</t>
    <rPh sb="12" eb="13">
      <t>モド</t>
    </rPh>
    <rPh sb="14" eb="15">
      <t>チ</t>
    </rPh>
    <rPh sb="16" eb="18">
      <t>カクニン</t>
    </rPh>
    <phoneticPr fontId="3"/>
  </si>
  <si>
    <t>b9</t>
    <phoneticPr fontId="3"/>
  </si>
  <si>
    <t>　検索対象テーブルが存在しない場合</t>
  </si>
  <si>
    <t>b10</t>
    <phoneticPr fontId="3"/>
  </si>
  <si>
    <t>　検索対象テーブルがロックされている場合</t>
  </si>
  <si>
    <r>
      <t>【ﾁｪｯｸﾘｽﾄの解説資料】　</t>
    </r>
    <r>
      <rPr>
        <b/>
        <sz val="18"/>
        <color indexed="18"/>
        <rFont val="Meiryo UI"/>
        <family val="3"/>
        <charset val="128"/>
      </rPr>
      <t>更新</t>
    </r>
    <rPh sb="9" eb="11">
      <t>カイセツ</t>
    </rPh>
    <rPh sb="11" eb="13">
      <t>シリョウ</t>
    </rPh>
    <rPh sb="15" eb="17">
      <t>コウシン</t>
    </rPh>
    <phoneticPr fontId="3"/>
  </si>
  <si>
    <t>d1～d5</t>
    <phoneticPr fontId="3"/>
  </si>
  <si>
    <t>　更新</t>
  </si>
  <si>
    <t>　</t>
    <phoneticPr fontId="3"/>
  </si>
  <si>
    <t>実行前</t>
    <rPh sb="0" eb="2">
      <t>ジッコウ</t>
    </rPh>
    <rPh sb="2" eb="3">
      <t>マエ</t>
    </rPh>
    <phoneticPr fontId="3"/>
  </si>
  <si>
    <t xml:space="preserve">　　在庫マスタ　　kkzaiko </t>
    <rPh sb="2" eb="4">
      <t>ザイコ</t>
    </rPh>
    <phoneticPr fontId="3"/>
  </si>
  <si>
    <t>倉庫番号</t>
  </si>
  <si>
    <t>商品コード</t>
  </si>
  <si>
    <t>在庫台数</t>
  </si>
  <si>
    <t>登録日時</t>
    <rPh sb="0" eb="2">
      <t>トウロク</t>
    </rPh>
    <rPh sb="2" eb="4">
      <t>ニチジ</t>
    </rPh>
    <phoneticPr fontId="78"/>
  </si>
  <si>
    <t>登録者</t>
    <rPh sb="0" eb="2">
      <t>トウロク</t>
    </rPh>
    <rPh sb="2" eb="3">
      <t>モノ</t>
    </rPh>
    <phoneticPr fontId="78"/>
  </si>
  <si>
    <t>更新日時</t>
    <rPh sb="0" eb="2">
      <t>コウシン</t>
    </rPh>
    <rPh sb="2" eb="4">
      <t>ニチジ</t>
    </rPh>
    <phoneticPr fontId="78"/>
  </si>
  <si>
    <t>更新者</t>
    <rPh sb="0" eb="2">
      <t>コウシン</t>
    </rPh>
    <rPh sb="2" eb="3">
      <t>シャ</t>
    </rPh>
    <phoneticPr fontId="78"/>
  </si>
  <si>
    <t>char （4）</t>
    <phoneticPr fontId="3"/>
  </si>
  <si>
    <t>char （10）</t>
    <phoneticPr fontId="3"/>
  </si>
  <si>
    <t>decimal(15,0)</t>
    <phoneticPr fontId="3"/>
  </si>
  <si>
    <t>regdate</t>
  </si>
  <si>
    <t>regid</t>
  </si>
  <si>
    <t>upddate</t>
    <phoneticPr fontId="78"/>
  </si>
  <si>
    <t>updid</t>
  </si>
  <si>
    <t>W001</t>
    <phoneticPr fontId="3"/>
  </si>
  <si>
    <t>Y_BIKE_002</t>
    <phoneticPr fontId="3"/>
  </si>
  <si>
    <t>2006-08-24 08:49:44</t>
  </si>
  <si>
    <t>LE_M010</t>
    <phoneticPr fontId="3"/>
  </si>
  <si>
    <t>Y_SHIP_001</t>
    <phoneticPr fontId="3"/>
  </si>
  <si>
    <t>W002</t>
    <phoneticPr fontId="3"/>
  </si>
  <si>
    <t>Y_BIKE_003</t>
    <phoneticPr fontId="3"/>
  </si>
  <si>
    <t>Y_BIKE_004</t>
    <phoneticPr fontId="3"/>
  </si>
  <si>
    <t>Y_SHIP_002</t>
    <phoneticPr fontId="3"/>
  </si>
  <si>
    <t>W003</t>
    <phoneticPr fontId="3"/>
  </si>
  <si>
    <t>LE_M010</t>
  </si>
  <si>
    <t>W004</t>
    <phoneticPr fontId="3"/>
  </si>
  <si>
    <t>W005</t>
    <phoneticPr fontId="3"/>
  </si>
  <si>
    <t>Y_BIKE_001</t>
    <phoneticPr fontId="3"/>
  </si>
  <si>
    <t>Y_SHIP_003</t>
    <phoneticPr fontId="3"/>
  </si>
  <si>
    <t>Y_SHIP_004</t>
    <phoneticPr fontId="3"/>
  </si>
  <si>
    <t>Y_SHIP_005</t>
    <phoneticPr fontId="3"/>
  </si>
  <si>
    <t>Y_SHIP_006</t>
    <phoneticPr fontId="3"/>
  </si>
  <si>
    <t>Y_ZZZZ_001</t>
    <phoneticPr fontId="3"/>
  </si>
  <si>
    <t>W006</t>
    <phoneticPr fontId="3"/>
  </si>
  <si>
    <t>Y_ｱa1*_002</t>
    <phoneticPr fontId="3"/>
  </si>
  <si>
    <t>実行後</t>
    <rPh sb="0" eb="2">
      <t>ジッコウ</t>
    </rPh>
    <rPh sb="2" eb="3">
      <t>ゴ</t>
    </rPh>
    <phoneticPr fontId="3"/>
  </si>
  <si>
    <t>2006-10-25 15:03:28</t>
    <phoneticPr fontId="3"/>
  </si>
  <si>
    <t>SYSTEM</t>
  </si>
  <si>
    <t>2006-10-25 15:03:28</t>
  </si>
  <si>
    <t>d6</t>
    <phoneticPr fontId="3"/>
  </si>
  <si>
    <t>　正常に処理が終了した場合の戻り値</t>
  </si>
  <si>
    <r>
      <t>　　　　　◆　例として示すプログラムは、　</t>
    </r>
    <r>
      <rPr>
        <b/>
        <sz val="9"/>
        <color indexed="48"/>
        <rFont val="Meiryo UI"/>
        <family val="3"/>
        <charset val="128"/>
      </rPr>
      <t>return 0,　0,　0,　" ",  " ",  " ",  0;</t>
    </r>
    <r>
      <rPr>
        <b/>
        <sz val="9"/>
        <color indexed="59"/>
        <rFont val="Meiryo UI"/>
        <family val="3"/>
        <charset val="128"/>
      </rPr>
      <t>　</t>
    </r>
    <r>
      <rPr>
        <sz val="9"/>
        <color indexed="59"/>
        <rFont val="Meiryo UI"/>
        <family val="3"/>
        <charset val="128"/>
      </rPr>
      <t>を実行する</t>
    </r>
    <rPh sb="7" eb="8">
      <t>レイ</t>
    </rPh>
    <rPh sb="11" eb="12">
      <t>シメ</t>
    </rPh>
    <rPh sb="59" eb="61">
      <t>ジッコウ</t>
    </rPh>
    <phoneticPr fontId="3"/>
  </si>
  <si>
    <t>d7</t>
    <phoneticPr fontId="3"/>
  </si>
  <si>
    <t>　更新対象レコードが存在しない場合</t>
    <phoneticPr fontId="3"/>
  </si>
  <si>
    <r>
      <t>　　　　　◆　例として示すプログラムは、　</t>
    </r>
    <r>
      <rPr>
        <b/>
        <sz val="9"/>
        <color indexed="48"/>
        <rFont val="Meiryo UI"/>
        <family val="3"/>
        <charset val="128"/>
      </rPr>
      <t>return -3,　0,　0,　"0009",　" ",　" ",　0;</t>
    </r>
    <r>
      <rPr>
        <b/>
        <sz val="9"/>
        <color indexed="59"/>
        <rFont val="Meiryo UI"/>
        <family val="3"/>
        <charset val="128"/>
      </rPr>
      <t>　</t>
    </r>
    <r>
      <rPr>
        <sz val="9"/>
        <color indexed="59"/>
        <rFont val="Meiryo UI"/>
        <family val="3"/>
        <charset val="128"/>
      </rPr>
      <t>を実行する</t>
    </r>
    <rPh sb="7" eb="8">
      <t>レイ</t>
    </rPh>
    <rPh sb="11" eb="12">
      <t>シメ</t>
    </rPh>
    <rPh sb="60" eb="62">
      <t>ジッコウ</t>
    </rPh>
    <phoneticPr fontId="3"/>
  </si>
  <si>
    <t>d8</t>
    <phoneticPr fontId="3"/>
  </si>
  <si>
    <t>　更新対象テーブルが存在しない場合</t>
    <phoneticPr fontId="3"/>
  </si>
  <si>
    <t>d9</t>
    <phoneticPr fontId="3"/>
  </si>
  <si>
    <t>　更新対象テーブルがロックされている場合</t>
    <phoneticPr fontId="3"/>
  </si>
  <si>
    <r>
      <t>【ﾁｪｯｸﾘｽﾄの解説資料】　</t>
    </r>
    <r>
      <rPr>
        <b/>
        <sz val="18"/>
        <color indexed="18"/>
        <rFont val="Meiryo UI"/>
        <family val="3"/>
        <charset val="128"/>
      </rPr>
      <t>処理パターン</t>
    </r>
    <rPh sb="9" eb="11">
      <t>カイセツ</t>
    </rPh>
    <rPh sb="11" eb="13">
      <t>シリョウ</t>
    </rPh>
    <rPh sb="15" eb="17">
      <t>ショリ</t>
    </rPh>
    <phoneticPr fontId="3"/>
  </si>
  <si>
    <t>c1</t>
    <phoneticPr fontId="3"/>
  </si>
  <si>
    <t>　受け取った引数によって処理が分岐する場合</t>
    <rPh sb="1" eb="2">
      <t>ウ</t>
    </rPh>
    <rPh sb="3" eb="4">
      <t>ト</t>
    </rPh>
    <rPh sb="6" eb="8">
      <t>ヒキスウ</t>
    </rPh>
    <rPh sb="12" eb="14">
      <t>ショリ</t>
    </rPh>
    <rPh sb="15" eb="17">
      <t>ブンキ</t>
    </rPh>
    <rPh sb="19" eb="21">
      <t>バアイ</t>
    </rPh>
    <phoneticPr fontId="3"/>
  </si>
  <si>
    <t>　計算値</t>
    <rPh sb="1" eb="4">
      <t>ケイサンチ</t>
    </rPh>
    <phoneticPr fontId="3"/>
  </si>
  <si>
    <r>
      <t>　　　</t>
    </r>
    <r>
      <rPr>
        <b/>
        <sz val="10"/>
        <color indexed="8"/>
        <rFont val="Meiryo UI"/>
        <family val="3"/>
        <charset val="128"/>
      </rPr>
      <t>第1引数</t>
    </r>
    <r>
      <rPr>
        <sz val="10"/>
        <color indexed="8"/>
        <rFont val="Meiryo UI"/>
        <family val="3"/>
        <charset val="128"/>
      </rPr>
      <t>が1の時はテーブルに追加し、２の時はテーブルから削除する</t>
    </r>
    <rPh sb="3" eb="4">
      <t>ダイ</t>
    </rPh>
    <rPh sb="5" eb="7">
      <t>ヒキスウ</t>
    </rPh>
    <rPh sb="10" eb="11">
      <t>トキ</t>
    </rPh>
    <rPh sb="17" eb="19">
      <t>ツイカ</t>
    </rPh>
    <rPh sb="23" eb="24">
      <t>トキ</t>
    </rPh>
    <rPh sb="31" eb="33">
      <t>サクジョ</t>
    </rPh>
    <phoneticPr fontId="3"/>
  </si>
  <si>
    <r>
      <t>lh0slm330(</t>
    </r>
    <r>
      <rPr>
        <b/>
        <sz val="10"/>
        <color indexed="59"/>
        <rFont val="Meiryo UI"/>
        <family val="3"/>
        <charset val="128"/>
      </rPr>
      <t>処理区分</t>
    </r>
    <r>
      <rPr>
        <sz val="10"/>
        <color indexed="59"/>
        <rFont val="Meiryo UI"/>
        <family val="3"/>
        <charset val="128"/>
      </rPr>
      <t>、</t>
    </r>
    <r>
      <rPr>
        <sz val="10"/>
        <color indexed="12"/>
        <rFont val="Meiryo UI"/>
        <family val="3"/>
        <charset val="128"/>
      </rPr>
      <t>倉庫番号</t>
    </r>
    <r>
      <rPr>
        <sz val="10"/>
        <color indexed="59"/>
        <rFont val="Meiryo UI"/>
        <family val="3"/>
        <charset val="128"/>
      </rPr>
      <t>、</t>
    </r>
    <r>
      <rPr>
        <sz val="10"/>
        <color indexed="12"/>
        <rFont val="Meiryo UI"/>
        <family val="3"/>
        <charset val="128"/>
      </rPr>
      <t>商品コード</t>
    </r>
    <r>
      <rPr>
        <sz val="10"/>
        <color indexed="59"/>
        <rFont val="Meiryo UI"/>
        <family val="3"/>
        <charset val="128"/>
      </rPr>
      <t>、在庫台数)</t>
    </r>
    <rPh sb="10" eb="12">
      <t>ショリ</t>
    </rPh>
    <rPh sb="12" eb="14">
      <t>クブン</t>
    </rPh>
    <rPh sb="15" eb="17">
      <t>ソウコ</t>
    </rPh>
    <rPh sb="17" eb="19">
      <t>バンゴウ</t>
    </rPh>
    <rPh sb="20" eb="22">
      <t>ショウヒン</t>
    </rPh>
    <rPh sb="26" eb="28">
      <t>ザイコ</t>
    </rPh>
    <rPh sb="28" eb="30">
      <t>ダイスウ</t>
    </rPh>
    <phoneticPr fontId="3"/>
  </si>
  <si>
    <t>※第2，3引数はそれぞれ倉庫番号、商品コードを表し、追加、削除の条件キーとする</t>
    <rPh sb="1" eb="2">
      <t>ダイ</t>
    </rPh>
    <rPh sb="5" eb="7">
      <t>ヒキスウ</t>
    </rPh>
    <rPh sb="12" eb="14">
      <t>ソウコ</t>
    </rPh>
    <rPh sb="14" eb="16">
      <t>バンゴウ</t>
    </rPh>
    <rPh sb="17" eb="19">
      <t>ショウヒン</t>
    </rPh>
    <rPh sb="23" eb="24">
      <t>アラワ</t>
    </rPh>
    <rPh sb="26" eb="28">
      <t>ツイカ</t>
    </rPh>
    <rPh sb="29" eb="31">
      <t>サクジョ</t>
    </rPh>
    <rPh sb="32" eb="34">
      <t>ジョウケン</t>
    </rPh>
    <phoneticPr fontId="3"/>
  </si>
  <si>
    <t xml:space="preserve">    実行例１</t>
    <rPh sb="4" eb="6">
      <t>ジッコウ</t>
    </rPh>
    <rPh sb="6" eb="7">
      <t>レイ</t>
    </rPh>
    <phoneticPr fontId="3"/>
  </si>
  <si>
    <t>execute　procedure　lh0slm330("1", " W001", "Y_BIKE_003", "100")</t>
    <phoneticPr fontId="3"/>
  </si>
  <si>
    <t>　execute　procedure　lh0slm330("1", " W001", "Y_BIKE_003", "100")</t>
    <phoneticPr fontId="3"/>
  </si>
  <si>
    <t xml:space="preserve">    実行例2</t>
    <rPh sb="4" eb="6">
      <t>ジッコウ</t>
    </rPh>
    <rPh sb="6" eb="7">
      <t>レイ</t>
    </rPh>
    <phoneticPr fontId="3"/>
  </si>
  <si>
    <t>　execute　procedure　lh0slm330("2", " W001", "Y_BIKE_002", "")</t>
    <phoneticPr fontId="3"/>
  </si>
  <si>
    <t>c2</t>
    <phoneticPr fontId="3"/>
  </si>
  <si>
    <t>例として示すプログラムでは、レコードを1件ずつ読み込んで、計算結果をreturnする仕様になっている</t>
    <rPh sb="0" eb="1">
      <t>レイ</t>
    </rPh>
    <rPh sb="4" eb="5">
      <t>シメ</t>
    </rPh>
    <rPh sb="20" eb="21">
      <t>ケン</t>
    </rPh>
    <rPh sb="23" eb="24">
      <t>ヨ</t>
    </rPh>
    <rPh sb="25" eb="26">
      <t>コ</t>
    </rPh>
    <rPh sb="29" eb="31">
      <t>ケイサン</t>
    </rPh>
    <rPh sb="31" eb="33">
      <t>ケッカ</t>
    </rPh>
    <rPh sb="42" eb="44">
      <t>シヨウ</t>
    </rPh>
    <phoneticPr fontId="3"/>
  </si>
  <si>
    <r>
      <t xml:space="preserve">　　　計算後のデータ </t>
    </r>
    <r>
      <rPr>
        <sz val="10"/>
        <color indexed="59"/>
        <rFont val="Meiryo UI"/>
        <family val="3"/>
        <charset val="128"/>
      </rPr>
      <t>( 売上高 ＝ 営業価格 ＊ 数量 )</t>
    </r>
    <rPh sb="3" eb="5">
      <t>ケイサン</t>
    </rPh>
    <rPh sb="5" eb="6">
      <t>ゴ</t>
    </rPh>
    <rPh sb="13" eb="15">
      <t>ウリアゲ</t>
    </rPh>
    <rPh sb="15" eb="16">
      <t>ダカ</t>
    </rPh>
    <rPh sb="19" eb="21">
      <t>エイギョウ</t>
    </rPh>
    <rPh sb="21" eb="23">
      <t>カカク</t>
    </rPh>
    <rPh sb="26" eb="28">
      <t>スウリョウ</t>
    </rPh>
    <phoneticPr fontId="3"/>
  </si>
  <si>
    <t>c3</t>
    <phoneticPr fontId="3"/>
  </si>
  <si>
    <t>　小数の計算</t>
    <rPh sb="1" eb="3">
      <t>ショウスウ</t>
    </rPh>
    <rPh sb="4" eb="6">
      <t>ケイサン</t>
    </rPh>
    <phoneticPr fontId="3"/>
  </si>
  <si>
    <t>　小数点計算</t>
    <rPh sb="1" eb="4">
      <t>ショウスウテン</t>
    </rPh>
    <rPh sb="4" eb="6">
      <t>ケイサン</t>
    </rPh>
    <phoneticPr fontId="3"/>
  </si>
  <si>
    <r>
      <t xml:space="preserve">　　　計算後のデータ </t>
    </r>
    <r>
      <rPr>
        <sz val="10"/>
        <color indexed="59"/>
        <rFont val="Meiryo UI"/>
        <family val="3"/>
        <charset val="128"/>
      </rPr>
      <t xml:space="preserve">( </t>
    </r>
    <r>
      <rPr>
        <sz val="10"/>
        <color indexed="53"/>
        <rFont val="Meiryo UI"/>
        <family val="3"/>
        <charset val="128"/>
      </rPr>
      <t>調達合計費</t>
    </r>
    <r>
      <rPr>
        <sz val="10"/>
        <color indexed="59"/>
        <rFont val="Meiryo UI"/>
        <family val="3"/>
        <charset val="128"/>
      </rPr>
      <t xml:space="preserve"> ＝ 調達材料費 ＋ 調達加工費 ＋ 調達２４回型費 )</t>
    </r>
    <rPh sb="3" eb="5">
      <t>ケイサン</t>
    </rPh>
    <rPh sb="5" eb="6">
      <t>ゴ</t>
    </rPh>
    <phoneticPr fontId="3"/>
  </si>
  <si>
    <t>c4</t>
    <phoneticPr fontId="3"/>
  </si>
  <si>
    <t>　端数処理</t>
    <rPh sb="1" eb="3">
      <t>ハスウ</t>
    </rPh>
    <rPh sb="3" eb="5">
      <t>ショリ</t>
    </rPh>
    <phoneticPr fontId="3"/>
  </si>
  <si>
    <t>　四捨五入</t>
    <rPh sb="1" eb="5">
      <t>シシャゴニュウ</t>
    </rPh>
    <phoneticPr fontId="3"/>
  </si>
  <si>
    <r>
      <t>例として示すプログラムでは、レコードを1件ずつ読み込んで、3つの小数型データを少数第1位で</t>
    </r>
    <r>
      <rPr>
        <sz val="10"/>
        <color indexed="10"/>
        <rFont val="Meiryo UI"/>
        <family val="3"/>
        <charset val="128"/>
      </rPr>
      <t>四捨五入</t>
    </r>
    <r>
      <rPr>
        <sz val="10"/>
        <color indexed="8"/>
        <rFont val="Meiryo UI"/>
        <family val="3"/>
        <charset val="128"/>
      </rPr>
      <t>し、returnする仕様になっている</t>
    </r>
    <rPh sb="0" eb="1">
      <t>レイ</t>
    </rPh>
    <rPh sb="4" eb="5">
      <t>シメ</t>
    </rPh>
    <rPh sb="20" eb="21">
      <t>ケン</t>
    </rPh>
    <rPh sb="23" eb="24">
      <t>ヨ</t>
    </rPh>
    <rPh sb="25" eb="26">
      <t>コ</t>
    </rPh>
    <rPh sb="32" eb="34">
      <t>ショウスウ</t>
    </rPh>
    <rPh sb="34" eb="35">
      <t>カタ</t>
    </rPh>
    <rPh sb="39" eb="41">
      <t>ショウスウ</t>
    </rPh>
    <rPh sb="41" eb="42">
      <t>ダイ</t>
    </rPh>
    <rPh sb="43" eb="44">
      <t>イ</t>
    </rPh>
    <rPh sb="45" eb="49">
      <t>シシャゴニュウ</t>
    </rPh>
    <rPh sb="59" eb="61">
      <t>シヨウ</t>
    </rPh>
    <phoneticPr fontId="3"/>
  </si>
  <si>
    <r>
      <t>例として示すプログラムでは、レコードを1件ずつ読み込んで、3つの小数型データの少数点以下を</t>
    </r>
    <r>
      <rPr>
        <sz val="10"/>
        <color indexed="10"/>
        <rFont val="Meiryo UI"/>
        <family val="3"/>
        <charset val="128"/>
      </rPr>
      <t>切り上げて</t>
    </r>
    <r>
      <rPr>
        <sz val="10"/>
        <color indexed="8"/>
        <rFont val="Meiryo UI"/>
        <family val="3"/>
        <charset val="128"/>
      </rPr>
      <t>、returnする仕様になっている</t>
    </r>
    <rPh sb="0" eb="1">
      <t>レイ</t>
    </rPh>
    <rPh sb="4" eb="5">
      <t>シメ</t>
    </rPh>
    <rPh sb="20" eb="21">
      <t>ケン</t>
    </rPh>
    <rPh sb="23" eb="24">
      <t>ヨ</t>
    </rPh>
    <rPh sb="25" eb="26">
      <t>コ</t>
    </rPh>
    <rPh sb="32" eb="34">
      <t>ショウスウ</t>
    </rPh>
    <rPh sb="34" eb="35">
      <t>カタ</t>
    </rPh>
    <rPh sb="39" eb="41">
      <t>ショウスウ</t>
    </rPh>
    <rPh sb="41" eb="42">
      <t>テン</t>
    </rPh>
    <rPh sb="42" eb="44">
      <t>イカ</t>
    </rPh>
    <rPh sb="45" eb="46">
      <t>キ</t>
    </rPh>
    <rPh sb="47" eb="48">
      <t>ア</t>
    </rPh>
    <rPh sb="59" eb="61">
      <t>シヨウ</t>
    </rPh>
    <phoneticPr fontId="3"/>
  </si>
  <si>
    <r>
      <t>例として示すプログラムでは、レコードを1件ずつ読み込んで、3つの小数型データの少数点以下を</t>
    </r>
    <r>
      <rPr>
        <sz val="10"/>
        <color indexed="10"/>
        <rFont val="Meiryo UI"/>
        <family val="3"/>
        <charset val="128"/>
      </rPr>
      <t>切り捨て</t>
    </r>
    <r>
      <rPr>
        <sz val="10"/>
        <color indexed="8"/>
        <rFont val="Meiryo UI"/>
        <family val="3"/>
        <charset val="128"/>
      </rPr>
      <t>、returnする仕様になっている</t>
    </r>
    <rPh sb="0" eb="1">
      <t>レイ</t>
    </rPh>
    <rPh sb="4" eb="5">
      <t>シメ</t>
    </rPh>
    <rPh sb="20" eb="21">
      <t>ケン</t>
    </rPh>
    <rPh sb="23" eb="24">
      <t>ヨ</t>
    </rPh>
    <rPh sb="25" eb="26">
      <t>コ</t>
    </rPh>
    <rPh sb="32" eb="34">
      <t>ショウスウ</t>
    </rPh>
    <rPh sb="34" eb="35">
      <t>カタ</t>
    </rPh>
    <rPh sb="39" eb="41">
      <t>ショウスウ</t>
    </rPh>
    <rPh sb="41" eb="42">
      <t>テン</t>
    </rPh>
    <rPh sb="42" eb="44">
      <t>イカ</t>
    </rPh>
    <rPh sb="45" eb="46">
      <t>キ</t>
    </rPh>
    <rPh sb="47" eb="48">
      <t>ス</t>
    </rPh>
    <rPh sb="58" eb="60">
      <t>シヨウ</t>
    </rPh>
    <phoneticPr fontId="3"/>
  </si>
  <si>
    <t>c5</t>
    <phoneticPr fontId="3"/>
  </si>
  <si>
    <t>　日付型の計算</t>
  </si>
  <si>
    <t xml:space="preserve"> 日付型の増減</t>
    <rPh sb="1" eb="4">
      <t>ヒヅケガタ</t>
    </rPh>
    <rPh sb="5" eb="7">
      <t>ゾウゲン</t>
    </rPh>
    <phoneticPr fontId="3"/>
  </si>
  <si>
    <r>
      <t>例として示すプログラムでは、レコードを1件ずつ読み込んで、貸出日から</t>
    </r>
    <r>
      <rPr>
        <sz val="10"/>
        <color indexed="10"/>
        <rFont val="Meiryo UI"/>
        <family val="3"/>
        <charset val="128"/>
      </rPr>
      <t>1週間後の日付を計算</t>
    </r>
    <r>
      <rPr>
        <sz val="10"/>
        <color indexed="8"/>
        <rFont val="Meiryo UI"/>
        <family val="3"/>
        <charset val="128"/>
      </rPr>
      <t>し、returnする仕様になっている</t>
    </r>
    <rPh sb="0" eb="1">
      <t>レイ</t>
    </rPh>
    <rPh sb="4" eb="5">
      <t>シメ</t>
    </rPh>
    <rPh sb="20" eb="21">
      <t>ケン</t>
    </rPh>
    <rPh sb="23" eb="24">
      <t>ヨ</t>
    </rPh>
    <rPh sb="25" eb="26">
      <t>コ</t>
    </rPh>
    <rPh sb="29" eb="32">
      <t>カシダシビ</t>
    </rPh>
    <rPh sb="35" eb="37">
      <t>シュウカン</t>
    </rPh>
    <rPh sb="37" eb="38">
      <t>ゴ</t>
    </rPh>
    <rPh sb="39" eb="41">
      <t>ヒヅケ</t>
    </rPh>
    <rPh sb="42" eb="44">
      <t>ケイサン</t>
    </rPh>
    <rPh sb="54" eb="56">
      <t>シヨウ</t>
    </rPh>
    <phoneticPr fontId="3"/>
  </si>
  <si>
    <t>c6</t>
    <phoneticPr fontId="3"/>
  </si>
  <si>
    <t>　オーバフロー</t>
  </si>
  <si>
    <t>　オーバフロー</t>
    <phoneticPr fontId="3"/>
  </si>
  <si>
    <r>
      <t>例として示すプログラムでは、レコードを1件ずつ読み込んで、</t>
    </r>
    <r>
      <rPr>
        <sz val="10"/>
        <color indexed="10"/>
        <rFont val="Meiryo UI"/>
        <family val="3"/>
        <charset val="128"/>
      </rPr>
      <t>調達合計費を計算</t>
    </r>
    <r>
      <rPr>
        <sz val="10"/>
        <color indexed="8"/>
        <rFont val="Meiryo UI"/>
        <family val="3"/>
        <charset val="128"/>
      </rPr>
      <t>し、returnする仕様になっている</t>
    </r>
    <rPh sb="0" eb="1">
      <t>レイ</t>
    </rPh>
    <rPh sb="4" eb="5">
      <t>シメ</t>
    </rPh>
    <rPh sb="20" eb="21">
      <t>ケン</t>
    </rPh>
    <rPh sb="23" eb="24">
      <t>ヨ</t>
    </rPh>
    <rPh sb="25" eb="26">
      <t>コ</t>
    </rPh>
    <rPh sb="29" eb="31">
      <t>チョウタツ</t>
    </rPh>
    <rPh sb="31" eb="33">
      <t>ゴウケイ</t>
    </rPh>
    <rPh sb="33" eb="34">
      <t>ヒ</t>
    </rPh>
    <rPh sb="35" eb="37">
      <t>ケイサン</t>
    </rPh>
    <rPh sb="47" eb="49">
      <t>シヨウ</t>
    </rPh>
    <phoneticPr fontId="3"/>
  </si>
  <si>
    <r>
      <t>　　計算後のデータ</t>
    </r>
    <r>
      <rPr>
        <sz val="10"/>
        <color indexed="59"/>
        <rFont val="Meiryo UI"/>
        <family val="3"/>
        <charset val="128"/>
      </rPr>
      <t xml:space="preserve"> ( 調達合計費 ＝ 調達材料費 ＋ 調達加工費 ＋ 調達２４回型費 )</t>
    </r>
    <rPh sb="2" eb="4">
      <t>ケイサン</t>
    </rPh>
    <rPh sb="4" eb="5">
      <t>ゴ</t>
    </rPh>
    <rPh sb="12" eb="14">
      <t>チョウタツ</t>
    </rPh>
    <rPh sb="14" eb="16">
      <t>ゴウケイ</t>
    </rPh>
    <rPh sb="16" eb="17">
      <t>ヒ</t>
    </rPh>
    <rPh sb="20" eb="22">
      <t>チョウタツ</t>
    </rPh>
    <rPh sb="22" eb="25">
      <t>ザイリョウヒ</t>
    </rPh>
    <rPh sb="28" eb="30">
      <t>チョウタツ</t>
    </rPh>
    <rPh sb="30" eb="33">
      <t>カコウヒ</t>
    </rPh>
    <rPh sb="36" eb="38">
      <t>チョウタツ</t>
    </rPh>
    <rPh sb="40" eb="41">
      <t>カイ</t>
    </rPh>
    <rPh sb="41" eb="42">
      <t>カタ</t>
    </rPh>
    <rPh sb="42" eb="43">
      <t>ヒ</t>
    </rPh>
    <phoneticPr fontId="3"/>
  </si>
  <si>
    <t>c7</t>
    <phoneticPr fontId="3"/>
  </si>
  <si>
    <t>　変数を分母とする割り算を行う場合</t>
    <phoneticPr fontId="3"/>
  </si>
  <si>
    <t>　　入力データ</t>
    <rPh sb="2" eb="4">
      <t>ニュウリョク</t>
    </rPh>
    <phoneticPr fontId="3"/>
  </si>
  <si>
    <t>　　実行後の伝票出力</t>
    <rPh sb="2" eb="4">
      <t>ジッコウ</t>
    </rPh>
    <rPh sb="4" eb="5">
      <t>ゴ</t>
    </rPh>
    <rPh sb="6" eb="8">
      <t>デンピョウ</t>
    </rPh>
    <rPh sb="8" eb="10">
      <t>シュツリョク</t>
    </rPh>
    <phoneticPr fontId="3"/>
  </si>
  <si>
    <r>
      <t>( 売上高割合　＝ 各商品の売上高／</t>
    </r>
    <r>
      <rPr>
        <b/>
        <sz val="11"/>
        <color indexed="10"/>
        <rFont val="Meiryo UI"/>
        <family val="3"/>
        <charset val="128"/>
      </rPr>
      <t>合計の売上高</t>
    </r>
    <r>
      <rPr>
        <sz val="11"/>
        <rFont val="Meiryo UI"/>
        <family val="3"/>
        <charset val="128"/>
      </rPr>
      <t xml:space="preserve"> )</t>
    </r>
    <phoneticPr fontId="3"/>
  </si>
  <si>
    <t>　　0除算テスト用入力データ</t>
    <rPh sb="3" eb="5">
      <t>ジョザン</t>
    </rPh>
    <rPh sb="8" eb="9">
      <t>ヨウ</t>
    </rPh>
    <rPh sb="9" eb="11">
      <t>ニュウリョク</t>
    </rPh>
    <phoneticPr fontId="3"/>
  </si>
  <si>
    <t>c8～c10</t>
    <phoneticPr fontId="3"/>
  </si>
  <si>
    <t xml:space="preserve">  マッチング処理</t>
  </si>
  <si>
    <t>・商品単価マスタと商品単価変更ＴＢＬの２つのテーブルでマッチングを行なう場合</t>
    <rPh sb="1" eb="3">
      <t>ショウヒン</t>
    </rPh>
    <rPh sb="3" eb="5">
      <t>タンカ</t>
    </rPh>
    <rPh sb="9" eb="11">
      <t>ショウヒン</t>
    </rPh>
    <rPh sb="11" eb="13">
      <t>タンカ</t>
    </rPh>
    <rPh sb="13" eb="15">
      <t>ヘンコウ</t>
    </rPh>
    <rPh sb="33" eb="34">
      <t>オコ</t>
    </rPh>
    <rPh sb="36" eb="38">
      <t>バアイ</t>
    </rPh>
    <phoneticPr fontId="3"/>
  </si>
  <si>
    <t>～仕様～</t>
    <rPh sb="1" eb="3">
      <t>シヨウ</t>
    </rPh>
    <phoneticPr fontId="3"/>
  </si>
  <si>
    <t>　　商品マスタにあって、商品単価変更ＴＢＬにない場合　　　→　そのまま</t>
    <rPh sb="2" eb="4">
      <t>ショウヒン</t>
    </rPh>
    <rPh sb="12" eb="14">
      <t>ショウヒン</t>
    </rPh>
    <rPh sb="14" eb="16">
      <t>タンカ</t>
    </rPh>
    <rPh sb="16" eb="18">
      <t>ヘンコウ</t>
    </rPh>
    <rPh sb="24" eb="26">
      <t>バアイ</t>
    </rPh>
    <phoneticPr fontId="3"/>
  </si>
  <si>
    <t>　　商品マスタにはないが、商品単価変更ＴＢＬにある場合　→　商品マスタへ追加</t>
    <rPh sb="2" eb="4">
      <t>ショウヒン</t>
    </rPh>
    <rPh sb="13" eb="15">
      <t>ショウヒン</t>
    </rPh>
    <rPh sb="15" eb="17">
      <t>タンカ</t>
    </rPh>
    <rPh sb="17" eb="19">
      <t>ヘンコウ</t>
    </rPh>
    <rPh sb="25" eb="27">
      <t>バアイ</t>
    </rPh>
    <rPh sb="30" eb="32">
      <t>ショウヒン</t>
    </rPh>
    <rPh sb="36" eb="38">
      <t>ツイカ</t>
    </rPh>
    <phoneticPr fontId="3"/>
  </si>
  <si>
    <t>　　両方にある場合　　　　　　　　　　　　　　　　　　　　　　　　→　　商品マスタの単価を商品単価変更ＴＢＬで更新する</t>
    <rPh sb="2" eb="4">
      <t>リョウホウ</t>
    </rPh>
    <rPh sb="7" eb="9">
      <t>バアイ</t>
    </rPh>
    <rPh sb="36" eb="38">
      <t>ショウヒン</t>
    </rPh>
    <rPh sb="42" eb="44">
      <t>タンカ</t>
    </rPh>
    <rPh sb="45" eb="47">
      <t>ショウヒン</t>
    </rPh>
    <rPh sb="47" eb="49">
      <t>タンカ</t>
    </rPh>
    <rPh sb="49" eb="51">
      <t>ヘンコウ</t>
    </rPh>
    <rPh sb="55" eb="57">
      <t>コウシン</t>
    </rPh>
    <phoneticPr fontId="3"/>
  </si>
  <si>
    <r>
      <t>マッチング処理を行なう場合、テーブルのデータ数が</t>
    </r>
    <r>
      <rPr>
        <b/>
        <sz val="10"/>
        <color indexed="10"/>
        <rFont val="Meiryo UI"/>
        <family val="3"/>
        <charset val="128"/>
      </rPr>
      <t>１：１　　１：Ｎ　　Ｎ：Ｎ</t>
    </r>
    <r>
      <rPr>
        <sz val="10"/>
        <color indexed="8"/>
        <rFont val="Meiryo UI"/>
        <family val="3"/>
        <charset val="128"/>
      </rPr>
      <t>　　について、テストを行なう</t>
    </r>
    <rPh sb="5" eb="7">
      <t>ショリ</t>
    </rPh>
    <rPh sb="8" eb="9">
      <t>オコ</t>
    </rPh>
    <rPh sb="11" eb="13">
      <t>バアイ</t>
    </rPh>
    <rPh sb="22" eb="23">
      <t>スウ</t>
    </rPh>
    <rPh sb="48" eb="49">
      <t>オコ</t>
    </rPh>
    <phoneticPr fontId="3"/>
  </si>
  <si>
    <t>c8</t>
    <phoneticPr fontId="3"/>
  </si>
  <si>
    <t xml:space="preserve">   １：１のテスト</t>
    <phoneticPr fontId="3"/>
  </si>
  <si>
    <t>　　　実行前データ</t>
    <rPh sb="3" eb="5">
      <t>ジッコウ</t>
    </rPh>
    <rPh sb="5" eb="6">
      <t>マエ</t>
    </rPh>
    <phoneticPr fontId="3"/>
  </si>
  <si>
    <t>　　実行後データ</t>
    <rPh sb="2" eb="4">
      <t>ジッコウ</t>
    </rPh>
    <rPh sb="4" eb="5">
      <t>ゴ</t>
    </rPh>
    <phoneticPr fontId="3"/>
  </si>
  <si>
    <t>c9</t>
    <phoneticPr fontId="3"/>
  </si>
  <si>
    <t xml:space="preserve">   １：Nのテスト</t>
    <phoneticPr fontId="3"/>
  </si>
  <si>
    <t>　　　実行後データ</t>
    <rPh sb="3" eb="5">
      <t>ジッコウ</t>
    </rPh>
    <rPh sb="5" eb="6">
      <t>ゴ</t>
    </rPh>
    <phoneticPr fontId="3"/>
  </si>
  <si>
    <t>c10</t>
    <phoneticPr fontId="3"/>
  </si>
  <si>
    <t xml:space="preserve">   N：Nのテスト</t>
    <phoneticPr fontId="3"/>
  </si>
  <si>
    <t>　　実行前データ</t>
    <rPh sb="2" eb="4">
      <t>ジッコウ</t>
    </rPh>
    <rPh sb="4" eb="5">
      <t>マエ</t>
    </rPh>
    <phoneticPr fontId="3"/>
  </si>
  <si>
    <r>
      <t>【ﾁｪｯｸﾘｽﾄの解説資料】　</t>
    </r>
    <r>
      <rPr>
        <b/>
        <sz val="18"/>
        <color indexed="18"/>
        <rFont val="Meiryo UI"/>
        <family val="3"/>
        <charset val="128"/>
      </rPr>
      <t>追加</t>
    </r>
    <rPh sb="9" eb="11">
      <t>カイセツ</t>
    </rPh>
    <rPh sb="11" eb="13">
      <t>シリョウ</t>
    </rPh>
    <rPh sb="15" eb="17">
      <t>ツイカ</t>
    </rPh>
    <phoneticPr fontId="3"/>
  </si>
  <si>
    <t>e1～e3</t>
    <phoneticPr fontId="3"/>
  </si>
  <si>
    <t>　追加</t>
  </si>
  <si>
    <t>e4</t>
    <phoneticPr fontId="3"/>
  </si>
  <si>
    <t>e5</t>
    <phoneticPr fontId="3"/>
  </si>
  <si>
    <t>　追加レコードと同じキーのレコードが既に存在する場合</t>
    <phoneticPr fontId="3"/>
  </si>
  <si>
    <t>e6</t>
    <phoneticPr fontId="3"/>
  </si>
  <si>
    <t>　追加対象テーブルが存在しない場合</t>
  </si>
  <si>
    <t>e7</t>
    <phoneticPr fontId="3"/>
  </si>
  <si>
    <t>　追加対象テーブルがロックされている場合</t>
  </si>
  <si>
    <r>
      <t>【ﾁｪｯｸﾘｽﾄの解説資料】　</t>
    </r>
    <r>
      <rPr>
        <b/>
        <sz val="18"/>
        <color indexed="18"/>
        <rFont val="Meiryo UI"/>
        <family val="3"/>
        <charset val="128"/>
      </rPr>
      <t>削除</t>
    </r>
    <rPh sb="9" eb="11">
      <t>カイセツ</t>
    </rPh>
    <rPh sb="11" eb="13">
      <t>シリョウ</t>
    </rPh>
    <rPh sb="15" eb="17">
      <t>サクジョ</t>
    </rPh>
    <phoneticPr fontId="3"/>
  </si>
  <si>
    <t>f1</t>
    <phoneticPr fontId="3"/>
  </si>
  <si>
    <t>　物理削除</t>
  </si>
  <si>
    <t>f2</t>
    <phoneticPr fontId="3"/>
  </si>
  <si>
    <t>f3</t>
    <phoneticPr fontId="3"/>
  </si>
  <si>
    <t>　削除対象レコードが存在しない場合</t>
    <phoneticPr fontId="3"/>
  </si>
  <si>
    <r>
      <t>　　　　　◆　例として示すプログラムでは、</t>
    </r>
    <r>
      <rPr>
        <b/>
        <sz val="9"/>
        <color indexed="48"/>
        <rFont val="Meiryo UI"/>
        <family val="3"/>
        <charset val="128"/>
      </rPr>
      <t>return -3,　0,　0,　"0009",　" ",　" ",　0;</t>
    </r>
    <r>
      <rPr>
        <b/>
        <sz val="9"/>
        <color indexed="59"/>
        <rFont val="Meiryo UI"/>
        <family val="3"/>
        <charset val="128"/>
      </rPr>
      <t>　</t>
    </r>
    <r>
      <rPr>
        <sz val="9"/>
        <color indexed="59"/>
        <rFont val="Meiryo UI"/>
        <family val="3"/>
        <charset val="128"/>
      </rPr>
      <t>を実行する</t>
    </r>
    <rPh sb="7" eb="8">
      <t>レイ</t>
    </rPh>
    <rPh sb="11" eb="12">
      <t>シメ</t>
    </rPh>
    <rPh sb="60" eb="62">
      <t>ジッコウ</t>
    </rPh>
    <phoneticPr fontId="3"/>
  </si>
  <si>
    <t>f4</t>
    <phoneticPr fontId="3"/>
  </si>
  <si>
    <t>　削除対象テーブルが存在しない場合</t>
  </si>
  <si>
    <t>f5</t>
    <phoneticPr fontId="3"/>
  </si>
  <si>
    <t>　削除対象テーブルがロックされている場合</t>
  </si>
  <si>
    <r>
      <t>【ﾁｪｯｸﾘｽﾄの解説資料】　</t>
    </r>
    <r>
      <rPr>
        <b/>
        <sz val="18"/>
        <color indexed="18"/>
        <rFont val="Meiryo UI"/>
        <family val="3"/>
        <charset val="128"/>
      </rPr>
      <t>その他</t>
    </r>
    <rPh sb="9" eb="11">
      <t>カイセツ</t>
    </rPh>
    <rPh sb="11" eb="13">
      <t>シリョウ</t>
    </rPh>
    <rPh sb="17" eb="18">
      <t>タ</t>
    </rPh>
    <phoneticPr fontId="3"/>
  </si>
  <si>
    <t>g1</t>
    <phoneticPr fontId="3"/>
  </si>
  <si>
    <t>　他のSPをＣＡＬＬし、その戻り値が正常でない場合</t>
    <rPh sb="1" eb="2">
      <t>タ</t>
    </rPh>
    <rPh sb="14" eb="15">
      <t>モド</t>
    </rPh>
    <rPh sb="16" eb="17">
      <t>チ</t>
    </rPh>
    <rPh sb="18" eb="20">
      <t>セイジョウ</t>
    </rPh>
    <rPh sb="23" eb="25">
      <t>バアイ</t>
    </rPh>
    <phoneticPr fontId="3"/>
  </si>
  <si>
    <t>g2</t>
    <phoneticPr fontId="3"/>
  </si>
  <si>
    <t>　他のＳＰをＣＡＬＬし、そのＳＰがＤＢ上に登録されていなかった場合</t>
    <rPh sb="1" eb="2">
      <t>ホカ</t>
    </rPh>
    <rPh sb="19" eb="20">
      <t>ジョウ</t>
    </rPh>
    <rPh sb="21" eb="23">
      <t>トウロク</t>
    </rPh>
    <rPh sb="31" eb="33">
      <t>バアイ</t>
    </rPh>
    <phoneticPr fontId="3"/>
  </si>
  <si>
    <t>g3</t>
    <phoneticPr fontId="3"/>
  </si>
  <si>
    <t>　実際の運用時のデータで実行する</t>
    <phoneticPr fontId="3"/>
  </si>
  <si>
    <t>→　実行時間：2秒</t>
    <rPh sb="2" eb="4">
      <t>ジッコウ</t>
    </rPh>
    <rPh sb="4" eb="6">
      <t>ジカン</t>
    </rPh>
    <rPh sb="8" eb="9">
      <t>ビョウ</t>
    </rPh>
    <phoneticPr fontId="3"/>
  </si>
  <si>
    <t>着手日</t>
    <phoneticPr fontId="3"/>
  </si>
  <si>
    <t>确定着手日</t>
    <phoneticPr fontId="21" type="noConversion"/>
  </si>
  <si>
    <t>1~2</t>
    <phoneticPr fontId="21" type="noConversion"/>
  </si>
  <si>
    <t>引数.着手日がブランクの場合</t>
    <phoneticPr fontId="3"/>
  </si>
  <si>
    <t>引数.着手日がブランクの場合</t>
    <phoneticPr fontId="21" type="noConversion"/>
  </si>
  <si>
    <t>引数.着手日がNULLの場合</t>
    <phoneticPr fontId="3"/>
  </si>
  <si>
    <t>引数.着手日がNULLの場合</t>
    <phoneticPr fontId="21" type="noConversion"/>
  </si>
  <si>
    <t>select * from LDAS0301('LD11',null,'20250609','20250610','3HT1471TR00080','6206','6206','3');</t>
    <phoneticPr fontId="21" type="noConversion"/>
  </si>
  <si>
    <t>rs_err_focus</t>
  </si>
  <si>
    <t>Specify Start Date.</t>
  </si>
  <si>
    <t>3~4</t>
    <phoneticPr fontId="21" type="noConversion"/>
  </si>
  <si>
    <t>完了日</t>
    <phoneticPr fontId="3"/>
  </si>
  <si>
    <t>确定完了日</t>
    <phoneticPr fontId="21" type="noConversion"/>
  </si>
  <si>
    <t>引数.完了日がブランクの場合</t>
    <phoneticPr fontId="21" type="noConversion"/>
  </si>
  <si>
    <t>引数.完了日がNULLの場合</t>
    <phoneticPr fontId="3"/>
  </si>
  <si>
    <t>引数.完了日がNULLの場合</t>
    <phoneticPr fontId="21" type="noConversion"/>
  </si>
  <si>
    <t>【実行形式】</t>
    <rPh sb="1" eb="3">
      <t>ｼﾞッコウ</t>
    </rPh>
    <rPh sb="3" eb="5">
      <t>ケイシキ</t>
    </rPh>
    <phoneticPr fontId="21" type="noConversion"/>
  </si>
  <si>
    <t>select * from LDAS0301('LD11','20250109',' ','20250610','3HT1471TR00080','6206','6206','3');</t>
    <phoneticPr fontId="21" type="noConversion"/>
  </si>
  <si>
    <t>【戻り値】</t>
    <rPh sb="1" eb="2">
      <t>モﾄﾞ</t>
    </rPh>
    <rPh sb="3" eb="4">
      <t>チ</t>
    </rPh>
    <phoneticPr fontId="21" type="noConversion"/>
  </si>
  <si>
    <t>rn_status</t>
    <phoneticPr fontId="21" type="noConversion"/>
  </si>
  <si>
    <t>rs_sql_code</t>
    <phoneticPr fontId="21" type="noConversion"/>
  </si>
  <si>
    <t>rs_err_code</t>
    <phoneticPr fontId="21" type="noConversion"/>
  </si>
  <si>
    <t>rs_err_msg</t>
    <phoneticPr fontId="21" type="noConversion"/>
  </si>
  <si>
    <t>rs_err_focus</t>
    <phoneticPr fontId="21" type="noConversion"/>
  </si>
  <si>
    <t>select * from LDAS0301('LD11','20250109',NULL,'20250610','3HT1471TR00080','6206','6206','3');</t>
    <phoneticPr fontId="21" type="noConversion"/>
  </si>
  <si>
    <t>5~6</t>
    <phoneticPr fontId="21" type="noConversion"/>
  </si>
  <si>
    <t>払出日</t>
    <phoneticPr fontId="3"/>
  </si>
  <si>
    <t>确定払出日</t>
    <phoneticPr fontId="21" type="noConversion"/>
  </si>
  <si>
    <t>select * from LDAS0301('LD11','20250109','20250609',' ','3HT1471TR00080','6206','6206','3');</t>
    <phoneticPr fontId="21" type="noConversion"/>
  </si>
  <si>
    <t>select * from LDAS0301('LD11','20250109','20250609',null,'3HT1471TR00080','6206','6206','3');</t>
    <phoneticPr fontId="21" type="noConversion"/>
  </si>
  <si>
    <t>引数.払出日がブランクの場合</t>
    <phoneticPr fontId="3"/>
  </si>
  <si>
    <t>引数.払出日がブランクの場合</t>
    <phoneticPr fontId="21" type="noConversion"/>
  </si>
  <si>
    <t>引数.払出日がNULLの場合</t>
    <phoneticPr fontId="3"/>
  </si>
  <si>
    <t>引数.払出日がNULLの場合</t>
    <phoneticPr fontId="21" type="noConversion"/>
  </si>
  <si>
    <t>su_code</t>
  </si>
  <si>
    <t>area_category</t>
  </si>
  <si>
    <t>calendar_code</t>
  </si>
  <si>
    <t>next_calendar_code</t>
  </si>
  <si>
    <t>airs_sign</t>
  </si>
  <si>
    <t>fix_period_id</t>
  </si>
  <si>
    <t>yushi_factor</t>
  </si>
  <si>
    <t>warehouse_sign</t>
  </si>
  <si>
    <t>sr_exception_sign</t>
  </si>
  <si>
    <t>area_code</t>
  </si>
  <si>
    <t>update_counter</t>
  </si>
  <si>
    <t>create_datetime</t>
  </si>
  <si>
    <t>create_author</t>
  </si>
  <si>
    <t>create_pgmid</t>
  </si>
  <si>
    <t>update_datetime</t>
  </si>
  <si>
    <t>update_author</t>
  </si>
  <si>
    <t>update_pgmid</t>
  </si>
  <si>
    <t xml:space="preserve">       SUマスタ（la_area_master_su）</t>
    <rPh sb="11" eb="13">
      <t>ユニュウ</t>
    </rPh>
    <rPh sb="13" eb="15">
      <t>ブヒン</t>
    </rPh>
    <phoneticPr fontId="3"/>
  </si>
  <si>
    <t>エリアカテゴリ</t>
  </si>
  <si>
    <t>現在有効カレンダー</t>
  </si>
  <si>
    <t>次回有効カレンダー</t>
  </si>
  <si>
    <t>AIRSサイン</t>
  </si>
  <si>
    <t>確定期間ID</t>
  </si>
  <si>
    <t>有支上乗率</t>
  </si>
  <si>
    <t>倉庫区分</t>
    <phoneticPr fontId="3"/>
  </si>
  <si>
    <t>SR作成対象外区分</t>
    <rPh sb="4" eb="5">
      <t>スウ</t>
    </rPh>
    <phoneticPr fontId="3"/>
  </si>
  <si>
    <t>エリアコード</t>
    <phoneticPr fontId="3"/>
  </si>
  <si>
    <t>更新カウンタ</t>
  </si>
  <si>
    <t>登録日時</t>
  </si>
  <si>
    <t>登録者</t>
  </si>
  <si>
    <t>登録PGID</t>
  </si>
  <si>
    <t>更新PGID</t>
  </si>
  <si>
    <t>varchar(4)</t>
  </si>
  <si>
    <t>varchar(2)</t>
  </si>
  <si>
    <t>varchar(2)</t>
    <phoneticPr fontId="21" type="noConversion"/>
  </si>
  <si>
    <t>varchar(1)</t>
  </si>
  <si>
    <t>numeric(4, 1)</t>
  </si>
  <si>
    <t>varchar(10)</t>
  </si>
  <si>
    <t>int4</t>
  </si>
  <si>
    <t>timestamp(6)</t>
  </si>
  <si>
    <t>varchar(20)</t>
  </si>
  <si>
    <t>処理</t>
    <phoneticPr fontId="3"/>
  </si>
  <si>
    <t>検索1</t>
    <phoneticPr fontId="3"/>
  </si>
  <si>
    <r>
      <t>検索</t>
    </r>
    <r>
      <rPr>
        <b/>
        <sz val="10"/>
        <color rgb="FFFFFFFF"/>
        <rFont val="Meiryo UI"/>
        <family val="2"/>
      </rPr>
      <t>2</t>
    </r>
    <phoneticPr fontId="3"/>
  </si>
  <si>
    <r>
      <t>検索</t>
    </r>
    <r>
      <rPr>
        <b/>
        <sz val="10"/>
        <color rgb="FFFFFFFF"/>
        <rFont val="Meiryo UI"/>
        <family val="2"/>
      </rPr>
      <t>3</t>
    </r>
    <phoneticPr fontId="3"/>
  </si>
  <si>
    <t>正常終了</t>
    <phoneticPr fontId="3"/>
  </si>
  <si>
    <t>【実行形式】</t>
    <phoneticPr fontId="3"/>
  </si>
  <si>
    <r>
      <t>(BOM)品目マスタ</t>
    </r>
    <r>
      <rPr>
        <sz val="11"/>
        <color rgb="FFFFFFFF"/>
        <rFont val="Meiryo UI"/>
        <family val="2"/>
      </rPr>
      <t>(la_itemmast)</t>
    </r>
    <rPh sb="11" eb="13">
      <t>ユニュウ</t>
    </rPh>
    <rPh sb="13" eb="15">
      <t>ブヒン</t>
    </rPh>
    <phoneticPr fontId="3"/>
  </si>
  <si>
    <t>品目タイプ</t>
  </si>
  <si>
    <t>品目クラス</t>
  </si>
  <si>
    <t>品目サブクラス</t>
    <phoneticPr fontId="21" type="noConversion"/>
  </si>
  <si>
    <t>品目ステータス</t>
  </si>
  <si>
    <t>重量</t>
  </si>
  <si>
    <t>付加重量</t>
    <phoneticPr fontId="21" type="noConversion"/>
  </si>
  <si>
    <t>部品表担当</t>
  </si>
  <si>
    <t>工程番号</t>
    <phoneticPr fontId="21" type="noConversion"/>
  </si>
  <si>
    <t>フリーコメント</t>
    <phoneticPr fontId="21" type="noConversion"/>
  </si>
  <si>
    <t>サービスパーツコード</t>
  </si>
  <si>
    <t>初ロット年月日</t>
  </si>
  <si>
    <t>ロウレベルコード</t>
  </si>
  <si>
    <t>現在STS更新日</t>
    <phoneticPr fontId="21" type="noConversion"/>
  </si>
  <si>
    <t>現在STS更新者</t>
  </si>
  <si>
    <t>STS更新履歴１</t>
  </si>
  <si>
    <r>
      <t>STS更新履歴</t>
    </r>
    <r>
      <rPr>
        <sz val="9"/>
        <rFont val="Meiryo UI"/>
        <family val="2"/>
      </rPr>
      <t>2</t>
    </r>
    <phoneticPr fontId="21" type="noConversion"/>
  </si>
  <si>
    <t>STS更新履歴３</t>
    <rPh sb="0" eb="2">
      <t>チャクシュ</t>
    </rPh>
    <rPh sb="2" eb="3">
      <t>ビ</t>
    </rPh>
    <phoneticPr fontId="3"/>
  </si>
  <si>
    <t>使用禁止サイン</t>
  </si>
  <si>
    <t>itemno</t>
  </si>
  <si>
    <t>supplier</t>
  </si>
  <si>
    <t>usercd</t>
  </si>
  <si>
    <t>item_type</t>
  </si>
  <si>
    <t>item_class</t>
  </si>
  <si>
    <t>item_class_sub</t>
  </si>
  <si>
    <t>item_status</t>
  </si>
  <si>
    <t>weight</t>
  </si>
  <si>
    <t>add_weight</t>
  </si>
  <si>
    <t>bom_charge_code</t>
  </si>
  <si>
    <t>process_no</t>
  </si>
  <si>
    <t>free_comment</t>
  </si>
  <si>
    <t>service_parts_code</t>
  </si>
  <si>
    <t>primary_lot_ymd</t>
  </si>
  <si>
    <t>low_level_code</t>
  </si>
  <si>
    <t>cur_status_ymd</t>
  </si>
  <si>
    <t>cur_status_usr</t>
  </si>
  <si>
    <t>status_history1</t>
  </si>
  <si>
    <t>status_history2</t>
  </si>
  <si>
    <t>status_history3</t>
  </si>
  <si>
    <t>discontinue_sign</t>
  </si>
  <si>
    <t>varchar(30)</t>
    <phoneticPr fontId="21" type="noConversion"/>
  </si>
  <si>
    <t>varchar(1)</t>
    <phoneticPr fontId="21" type="noConversion"/>
  </si>
  <si>
    <t>numeric(15, 5)</t>
  </si>
  <si>
    <t>numeric(15, 5)</t>
    <phoneticPr fontId="21" type="noConversion"/>
  </si>
  <si>
    <t>varchar(64)</t>
  </si>
  <si>
    <t>varchar(8)</t>
  </si>
  <si>
    <t>numeric(3)</t>
  </si>
  <si>
    <t>varchar(19)</t>
  </si>
  <si>
    <t>varchar(19)</t>
    <phoneticPr fontId="21" type="noConversion"/>
  </si>
  <si>
    <t>timestamp(6)</t>
    <phoneticPr fontId="21" type="noConversion"/>
  </si>
  <si>
    <t>検索対象</t>
    <phoneticPr fontId="3"/>
  </si>
  <si>
    <t>2</t>
  </si>
  <si>
    <t>0</t>
  </si>
  <si>
    <t>00</t>
  </si>
  <si>
    <t>10</t>
  </si>
  <si>
    <t>検索対象外</t>
    <phoneticPr fontId="3"/>
  </si>
  <si>
    <t>100</t>
  </si>
  <si>
    <t>04</t>
  </si>
  <si>
    <t>品目番号</t>
    <phoneticPr fontId="3"/>
  </si>
  <si>
    <t>供給者</t>
    <phoneticPr fontId="3"/>
  </si>
  <si>
    <t>使用者</t>
    <phoneticPr fontId="3"/>
  </si>
  <si>
    <t>品目サブクラス</t>
  </si>
  <si>
    <t>MRP需要方針コード</t>
  </si>
  <si>
    <t>Wビン管理コード</t>
  </si>
  <si>
    <t>シンクロ管理コード</t>
  </si>
  <si>
    <t>投入作業区</t>
  </si>
  <si>
    <t>負荷集計コード</t>
  </si>
  <si>
    <t>納入PF番号</t>
  </si>
  <si>
    <t>格納ロケーション</t>
  </si>
  <si>
    <t>発注方針コード</t>
  </si>
  <si>
    <t>最小指定期間</t>
  </si>
  <si>
    <t>最小指定数量</t>
  </si>
  <si>
    <t>最大指定期間</t>
  </si>
  <si>
    <t>最大指定数量</t>
  </si>
  <si>
    <t>倍数数量</t>
    <rPh sb="0" eb="4">
      <t>クブン</t>
    </rPh>
    <phoneticPr fontId="3"/>
  </si>
  <si>
    <t>ロット編成端数フラグ</t>
    <rPh sb="0" eb="3">
      <t>タントウカ</t>
    </rPh>
    <phoneticPr fontId="3"/>
  </si>
  <si>
    <t>製造中仕損率</t>
    <rPh sb="0" eb="3">
      <t>タントウシャ</t>
    </rPh>
    <phoneticPr fontId="3"/>
  </si>
  <si>
    <t>使用中仕損率</t>
    <rPh sb="0" eb="2">
      <t>ハイフ</t>
    </rPh>
    <rPh sb="2" eb="5">
      <t>タントウカ</t>
    </rPh>
    <phoneticPr fontId="3"/>
  </si>
  <si>
    <t>シフト分割数</t>
  </si>
  <si>
    <t>シフトパターン番号</t>
  </si>
  <si>
    <t>荷姿コード</t>
  </si>
  <si>
    <t>荷姿収容数</t>
  </si>
  <si>
    <t>リードタイム適用日</t>
  </si>
  <si>
    <t>製造リードタイム</t>
  </si>
  <si>
    <t>先行リードタイム</t>
  </si>
  <si>
    <t>製造シフトリードタイム</t>
  </si>
  <si>
    <t>先行シフトリードタイム</t>
  </si>
  <si>
    <t>適用後製造リードタイム</t>
    <rPh sb="0" eb="2">
      <t>ノウキ</t>
    </rPh>
    <rPh sb="2" eb="4">
      <t>シジ</t>
    </rPh>
    <rPh sb="4" eb="6">
      <t>クブン</t>
    </rPh>
    <phoneticPr fontId="3"/>
  </si>
  <si>
    <t>適用後先行リードタイムサイン</t>
    <rPh sb="0" eb="2">
      <t>ジドウ</t>
    </rPh>
    <phoneticPr fontId="3"/>
  </si>
  <si>
    <t>適用後製造シフトリードタイム</t>
    <rPh sb="2" eb="4">
      <t>サクセイ</t>
    </rPh>
    <phoneticPr fontId="3"/>
  </si>
  <si>
    <t>適用後先行シフトリードタイム連係区分</t>
    <rPh sb="6" eb="7">
      <t>レン</t>
    </rPh>
    <rPh sb="7" eb="8">
      <t>カカ</t>
    </rPh>
    <rPh sb="8" eb="10">
      <t>クブン</t>
    </rPh>
    <phoneticPr fontId="3"/>
  </si>
  <si>
    <t>AIRSサイン</t>
    <rPh sb="0" eb="2">
      <t>ツウカ</t>
    </rPh>
    <phoneticPr fontId="3"/>
  </si>
  <si>
    <t>出荷連絡サイン</t>
    <rPh sb="0" eb="2">
      <t>トウロク</t>
    </rPh>
    <rPh sb="2" eb="4">
      <t>ニチジ</t>
    </rPh>
    <phoneticPr fontId="3"/>
  </si>
  <si>
    <t>外部計画区分</t>
    <rPh sb="0" eb="3">
      <t>トウロクシャ</t>
    </rPh>
    <phoneticPr fontId="3"/>
  </si>
  <si>
    <t>検査区分</t>
    <rPh sb="0" eb="2">
      <t>コウシン</t>
    </rPh>
    <rPh sb="2" eb="4">
      <t>ニチジ</t>
    </rPh>
    <phoneticPr fontId="3"/>
  </si>
  <si>
    <t>確定期間ID</t>
    <rPh sb="0" eb="3">
      <t>コウシンシャ</t>
    </rPh>
    <phoneticPr fontId="3"/>
  </si>
  <si>
    <t>集荷情報コード</t>
  </si>
  <si>
    <t>MAT採用レベル</t>
  </si>
  <si>
    <t>変動安全在庫数</t>
  </si>
  <si>
    <t>再発注点</t>
  </si>
  <si>
    <t>変動安全在庫所要量確認サイン</t>
    <phoneticPr fontId="3"/>
  </si>
  <si>
    <t>固定安全在庫数</t>
    <phoneticPr fontId="3"/>
  </si>
  <si>
    <t>固定安全在庫比率</t>
  </si>
  <si>
    <t>所要量出庫管理コード</t>
    <phoneticPr fontId="3"/>
  </si>
  <si>
    <t>通し番号発注適用フラグ</t>
  </si>
  <si>
    <t>オーダー再作成区分</t>
  </si>
  <si>
    <t>demand_policy_code</t>
  </si>
  <si>
    <t>wbin_control_code</t>
  </si>
  <si>
    <t>synchro_control_code</t>
  </si>
  <si>
    <t>input_work_center</t>
  </si>
  <si>
    <t>load_sum_code</t>
  </si>
  <si>
    <t>deliv_pf_no</t>
  </si>
  <si>
    <t>stock_location_no</t>
  </si>
  <si>
    <t>order_policy_code</t>
  </si>
  <si>
    <t>minimum_period</t>
  </si>
  <si>
    <t>minimum_qty</t>
  </si>
  <si>
    <t>maximum_period</t>
  </si>
  <si>
    <t>maximum_qty</t>
  </si>
  <si>
    <t>multiple_qty</t>
  </si>
  <si>
    <t>lot_size_fraction_flg</t>
  </si>
  <si>
    <t>manuf_scrap_ratio</t>
  </si>
  <si>
    <t>use_scrap_ratio</t>
  </si>
  <si>
    <t>shift_division_no</t>
  </si>
  <si>
    <t>shift_pattern_no</t>
  </si>
  <si>
    <t>tote_code</t>
  </si>
  <si>
    <t>tote_qty</t>
  </si>
  <si>
    <t>lt_effect_date</t>
  </si>
  <si>
    <t>manuf_lt</t>
  </si>
  <si>
    <t>precede_lt</t>
  </si>
  <si>
    <t>manuf_shift_lt</t>
  </si>
  <si>
    <t>precede_shift_lt</t>
  </si>
  <si>
    <t>effect_manuf_lt</t>
  </si>
  <si>
    <t>effect_precede_lt</t>
  </si>
  <si>
    <t>effect_manuf_shift_lt</t>
  </si>
  <si>
    <t>effect_precede_shift_lt</t>
  </si>
  <si>
    <t>shipping_notice_sign</t>
  </si>
  <si>
    <t>external_plan_class</t>
  </si>
  <si>
    <t>inspection_class</t>
  </si>
  <si>
    <t>collect_info_code</t>
  </si>
  <si>
    <t>mat_used_level</t>
  </si>
  <si>
    <t>float_safety_stock_qty</t>
  </si>
  <si>
    <t>reorder_point</t>
  </si>
  <si>
    <t>float_safety_stock_req_sign</t>
  </si>
  <si>
    <t>fix_safety_stock_qty</t>
  </si>
  <si>
    <t>fix_safety_stock_ratio</t>
  </si>
  <si>
    <t>req_issue_control</t>
  </si>
  <si>
    <t>through_no_valid_flg</t>
  </si>
  <si>
    <t>order_recreate_class</t>
  </si>
  <si>
    <r>
      <t>varchar</t>
    </r>
    <r>
      <rPr>
        <sz val="9"/>
        <rFont val="Meiryo UI"/>
        <family val="2"/>
      </rPr>
      <t>(4</t>
    </r>
    <r>
      <rPr>
        <sz val="9"/>
        <rFont val="Meiryo UI"/>
        <family val="3"/>
        <charset val="128"/>
      </rPr>
      <t>)</t>
    </r>
    <phoneticPr fontId="3"/>
  </si>
  <si>
    <t>varchar(3)</t>
  </si>
  <si>
    <t>varchar(5)</t>
  </si>
  <si>
    <t>numeric(5, 3)</t>
  </si>
  <si>
    <t>numeric(2)</t>
  </si>
  <si>
    <t>numeric(15, 5)</t>
    <phoneticPr fontId="3"/>
  </si>
  <si>
    <t>3</t>
  </si>
  <si>
    <t>D</t>
  </si>
  <si>
    <t>999</t>
  </si>
  <si>
    <t>C</t>
  </si>
  <si>
    <t>LA0DS02</t>
  </si>
  <si>
    <t>rn_status</t>
    <phoneticPr fontId="3"/>
  </si>
  <si>
    <t>rs_sql_code</t>
    <phoneticPr fontId="3"/>
  </si>
  <si>
    <t>rs_err_msg</t>
    <phoneticPr fontId="3"/>
  </si>
  <si>
    <t>rs_err_focus</t>
    <phoneticPr fontId="3"/>
  </si>
  <si>
    <t xml:space="preserve"> </t>
    <phoneticPr fontId="3"/>
  </si>
  <si>
    <t>SUマスタから現在有効カレンダーを正常に検索</t>
    <phoneticPr fontId="3"/>
  </si>
  <si>
    <t>select * from LDAS0301('LD11','20250109','20250609','20250610','3HT1471TR00080','6206','6206','3');</t>
  </si>
  <si>
    <t>6206</t>
  </si>
  <si>
    <t>56</t>
  </si>
  <si>
    <t>05</t>
  </si>
  <si>
    <t>01</t>
  </si>
  <si>
    <t>0006206</t>
  </si>
  <si>
    <t>1999-09-10 00:00:00.000</t>
  </si>
  <si>
    <t xml:space="preserve">CONV   </t>
  </si>
  <si>
    <t>2004-12-23 00:01:50.000</t>
  </si>
  <si>
    <t>LA0I0TE</t>
  </si>
  <si>
    <t>SUコード</t>
    <phoneticPr fontId="3"/>
  </si>
  <si>
    <t>6200</t>
  </si>
  <si>
    <t>03</t>
  </si>
  <si>
    <t>100.0</t>
  </si>
  <si>
    <t>0006200</t>
  </si>
  <si>
    <t>2013-10-25 00:16:27.000</t>
  </si>
  <si>
    <t>6204</t>
  </si>
  <si>
    <t>0006204</t>
  </si>
  <si>
    <t>2009-10-21 20:52:36.000</t>
  </si>
  <si>
    <t>LA0IA07</t>
  </si>
  <si>
    <t>6205</t>
  </si>
  <si>
    <t>0006205</t>
  </si>
  <si>
    <t>1</t>
    <phoneticPr fontId="21" type="noConversion"/>
  </si>
  <si>
    <t>2</t>
    <phoneticPr fontId="21" type="noConversion"/>
  </si>
  <si>
    <t>3</t>
    <phoneticPr fontId="21" type="noConversion"/>
  </si>
  <si>
    <t>4</t>
    <phoneticPr fontId="21" type="noConversion"/>
  </si>
  <si>
    <t>SUマスタでデータが存在しない場合</t>
    <phoneticPr fontId="3"/>
  </si>
  <si>
    <t>異常終了</t>
    <phoneticPr fontId="3"/>
  </si>
  <si>
    <r>
      <t>戻り値</t>
    </r>
    <r>
      <rPr>
        <b/>
        <sz val="10"/>
        <color rgb="FFFFFFFF"/>
        <rFont val="Meiryo UI"/>
        <family val="2"/>
      </rPr>
      <t>1~5</t>
    </r>
    <phoneticPr fontId="3"/>
  </si>
  <si>
    <t>Effective calendar does not exist by the specified Supplier/User.</t>
  </si>
  <si>
    <t>LDAS0301</t>
  </si>
  <si>
    <t>select * from LDAS0301('LD11','20250109','20250609','20250610','3HT1471TR00080','6206','6203','3');</t>
    <phoneticPr fontId="3"/>
  </si>
  <si>
    <t xml:space="preserve">      日別カレンダーマスター(D)（le_mst_calendar_sum）</t>
    <phoneticPr fontId="3"/>
  </si>
  <si>
    <t>calendar_ym</t>
  </si>
  <si>
    <t>day_type</t>
  </si>
  <si>
    <t>カレンダー年月</t>
  </si>
  <si>
    <t>稼働日区分</t>
  </si>
  <si>
    <t>int4</t>
    <phoneticPr fontId="21" type="noConversion"/>
  </si>
  <si>
    <t>varchar(6)</t>
  </si>
  <si>
    <t>su_code</t>
    <phoneticPr fontId="3"/>
  </si>
  <si>
    <t>varchar(4)</t>
    <phoneticPr fontId="3"/>
  </si>
  <si>
    <t>カレンダーコード</t>
    <phoneticPr fontId="3"/>
  </si>
  <si>
    <t>カレンダー年月日</t>
    <phoneticPr fontId="3"/>
  </si>
  <si>
    <t>calendar_code</t>
    <phoneticPr fontId="3"/>
  </si>
  <si>
    <t>varchar(2)</t>
    <phoneticPr fontId="3"/>
  </si>
  <si>
    <t>calendar_ymd</t>
    <phoneticPr fontId="3"/>
  </si>
  <si>
    <t>varchar(8)</t>
    <phoneticPr fontId="3"/>
  </si>
  <si>
    <t>202501</t>
  </si>
  <si>
    <t>20250109</t>
  </si>
  <si>
    <t>2023-01-07 01:01:05.000</t>
  </si>
  <si>
    <t>COMMON</t>
  </si>
  <si>
    <t>2023-11-02 12:52:04.000</t>
  </si>
  <si>
    <t>0479542</t>
  </si>
  <si>
    <t>02</t>
  </si>
  <si>
    <t>着手日の稼働日区分を正常に検索</t>
    <phoneticPr fontId="3"/>
  </si>
  <si>
    <r>
      <t>検索</t>
    </r>
    <r>
      <rPr>
        <b/>
        <sz val="10"/>
        <color rgb="FFFFFFFF"/>
        <rFont val="Meiryo UI"/>
        <family val="2"/>
      </rPr>
      <t>4</t>
    </r>
    <phoneticPr fontId="3"/>
  </si>
  <si>
    <r>
      <t>検索</t>
    </r>
    <r>
      <rPr>
        <b/>
        <sz val="10"/>
        <color rgb="FFFFFFFF"/>
        <rFont val="Meiryo UI"/>
        <family val="2"/>
      </rPr>
      <t>5</t>
    </r>
    <phoneticPr fontId="3"/>
  </si>
  <si>
    <r>
      <t>検索</t>
    </r>
    <r>
      <rPr>
        <b/>
        <sz val="10"/>
        <color rgb="FFFFFFFF"/>
        <rFont val="Meiryo UI"/>
        <family val="2"/>
      </rPr>
      <t>7</t>
    </r>
    <phoneticPr fontId="3"/>
  </si>
  <si>
    <t>完了日の稼働日区分を正常に検索</t>
    <phoneticPr fontId="3"/>
  </si>
  <si>
    <t>払出日の稼働日区分を正常に検索</t>
    <phoneticPr fontId="3"/>
  </si>
  <si>
    <r>
      <t>検索</t>
    </r>
    <r>
      <rPr>
        <b/>
        <sz val="10"/>
        <color rgb="FFFFFFFF"/>
        <rFont val="Meiryo UI"/>
        <family val="2"/>
      </rPr>
      <t>6</t>
    </r>
    <phoneticPr fontId="3"/>
  </si>
  <si>
    <t>完了日がカレンダーに存在しない場合</t>
    <phoneticPr fontId="3"/>
  </si>
  <si>
    <t>select * from LDAS0301('LD11','20250131','20250632','20250610','3HT1471TR00080','6206','6206','3');</t>
    <phoneticPr fontId="3"/>
  </si>
  <si>
    <r>
      <t>検索</t>
    </r>
    <r>
      <rPr>
        <b/>
        <sz val="10"/>
        <color rgb="FFFFFFFF"/>
        <rFont val="Meiryo UI"/>
        <family val="2"/>
      </rPr>
      <t>8</t>
    </r>
    <phoneticPr fontId="3"/>
  </si>
  <si>
    <t>払出日がカレンダーに存在しない場合</t>
    <phoneticPr fontId="3"/>
  </si>
  <si>
    <r>
      <t>MRP情報値</t>
    </r>
    <r>
      <rPr>
        <sz val="11"/>
        <color rgb="FFFFFFFF"/>
        <rFont val="Meiryo UI"/>
        <family val="2"/>
      </rPr>
      <t>(le_mst_mrp_information)</t>
    </r>
    <phoneticPr fontId="3"/>
  </si>
  <si>
    <t>3HT1471TR00080</t>
  </si>
  <si>
    <t>0.00000</t>
  </si>
  <si>
    <t>9999999.00000</t>
  </si>
  <si>
    <t>1.00000</t>
  </si>
  <si>
    <t>0.000</t>
  </si>
  <si>
    <t>1234</t>
  </si>
  <si>
    <t>2345</t>
  </si>
  <si>
    <r>
      <t>検索</t>
    </r>
    <r>
      <rPr>
        <b/>
        <sz val="10"/>
        <color rgb="FFFFFFFF"/>
        <rFont val="Meiryo UI"/>
        <family val="2"/>
      </rPr>
      <t>9</t>
    </r>
    <phoneticPr fontId="3"/>
  </si>
  <si>
    <t>MRP情報値から確定期間IDを正常に検索</t>
    <phoneticPr fontId="3"/>
  </si>
  <si>
    <t>select * from LDAS0301('LD11','20250131','20250609','20250632','3HT1471TR00080','6206','6206','3');</t>
    <phoneticPr fontId="3"/>
  </si>
  <si>
    <t xml:space="preserve">      IC工場処理日（ld_mst_slip_date）</t>
    <phoneticPr fontId="3"/>
  </si>
  <si>
    <t>operation_type</t>
  </si>
  <si>
    <t>ic_slip_date</t>
  </si>
  <si>
    <t>base_datetime</t>
  </si>
  <si>
    <t>処理タイプ</t>
  </si>
  <si>
    <t>基点システム日時</t>
  </si>
  <si>
    <t>STD</t>
  </si>
  <si>
    <t>20250601</t>
  </si>
  <si>
    <t>2025-06-01 00:00:00.000</t>
  </si>
  <si>
    <t>yin-huashun</t>
  </si>
  <si>
    <t>lea12_01</t>
  </si>
  <si>
    <t>TEST001</t>
  </si>
  <si>
    <t>20251010</t>
  </si>
  <si>
    <t>2025-10-10 00:00:00.000</t>
  </si>
  <si>
    <t>13</t>
  </si>
  <si>
    <t>2025-10-16 11:20:36.514</t>
  </si>
  <si>
    <t>Zhang yulin</t>
  </si>
  <si>
    <t>ldys0011</t>
  </si>
  <si>
    <t>2025-10-17 16:08:42.275</t>
  </si>
  <si>
    <t>LDYS0011</t>
  </si>
  <si>
    <t>TEST002</t>
  </si>
  <si>
    <t>20250602</t>
  </si>
  <si>
    <t>2025-06-02 00:00:00.000</t>
  </si>
  <si>
    <t>Sun sheng</t>
  </si>
  <si>
    <t>ldys0012</t>
  </si>
  <si>
    <t>SunSheng</t>
  </si>
  <si>
    <t>TEST003</t>
  </si>
  <si>
    <t>LDYS0012</t>
  </si>
  <si>
    <t>検索11</t>
    <phoneticPr fontId="3"/>
  </si>
  <si>
    <t>IC工場処理日を正常に検索</t>
    <phoneticPr fontId="3"/>
  </si>
  <si>
    <r>
      <t>検索</t>
    </r>
    <r>
      <rPr>
        <b/>
        <sz val="10"/>
        <color rgb="FFFFFFFF"/>
        <rFont val="Meiryo UI"/>
        <family val="2"/>
      </rPr>
      <t>12</t>
    </r>
    <phoneticPr fontId="3"/>
  </si>
  <si>
    <t>IC工場処理日が存在しない場合</t>
    <phoneticPr fontId="3"/>
  </si>
  <si>
    <t xml:space="preserve">      機能オプションパラメータ（lz_function_parameter）</t>
    <phoneticPr fontId="3"/>
  </si>
  <si>
    <t>システムコード</t>
    <phoneticPr fontId="3"/>
  </si>
  <si>
    <t>機能識別ＩＤ</t>
  </si>
  <si>
    <t>オプションコード</t>
  </si>
  <si>
    <t>オプション名称</t>
  </si>
  <si>
    <t>選択フラグ</t>
  </si>
  <si>
    <t>パラメーター１</t>
    <phoneticPr fontId="3"/>
  </si>
  <si>
    <t>パラメーター２</t>
  </si>
  <si>
    <t>パラメーター３</t>
  </si>
  <si>
    <t>system_code</t>
  </si>
  <si>
    <t>function_id</t>
  </si>
  <si>
    <t>option_code</t>
  </si>
  <si>
    <t>option_name</t>
  </si>
  <si>
    <t>select_flg</t>
  </si>
  <si>
    <t>replace_value1</t>
  </si>
  <si>
    <t>replace_value2</t>
  </si>
  <si>
    <t>replace_value3</t>
  </si>
  <si>
    <t>varchar(10)</t>
    <phoneticPr fontId="3"/>
  </si>
  <si>
    <t>varchar(60)</t>
  </si>
  <si>
    <t>varchar(1)</t>
    <phoneticPr fontId="3"/>
  </si>
  <si>
    <t>varchar(100)</t>
  </si>
  <si>
    <t>LK</t>
  </si>
  <si>
    <t>LKA0001</t>
  </si>
  <si>
    <t>0001</t>
  </si>
  <si>
    <t>T</t>
  </si>
  <si>
    <t>LH</t>
  </si>
  <si>
    <t>LHY00006</t>
  </si>
  <si>
    <t>F</t>
  </si>
  <si>
    <t>2025-09-23 12:23:33.000</t>
  </si>
  <si>
    <t>JBZ</t>
  </si>
  <si>
    <t>hand</t>
  </si>
  <si>
    <t>LC</t>
  </si>
  <si>
    <t>LCB0001</t>
  </si>
  <si>
    <t>検索13</t>
    <phoneticPr fontId="3"/>
  </si>
  <si>
    <t>機能選択（過去オーダー登録許可）を正常に検索</t>
    <phoneticPr fontId="3"/>
  </si>
  <si>
    <t>LCB0002</t>
  </si>
  <si>
    <t>LCB0003</t>
  </si>
  <si>
    <r>
      <t>検索</t>
    </r>
    <r>
      <rPr>
        <b/>
        <sz val="10"/>
        <color rgb="FFFFFFFF"/>
        <rFont val="Meiryo UI"/>
        <family val="2"/>
      </rPr>
      <t>14</t>
    </r>
    <phoneticPr fontId="3"/>
  </si>
  <si>
    <t>機能選択のデータが存在しない場合</t>
    <phoneticPr fontId="3"/>
  </si>
  <si>
    <t>20091117</t>
  </si>
  <si>
    <t>320091017</t>
  </si>
  <si>
    <t>220090220</t>
  </si>
  <si>
    <t>検索15</t>
    <phoneticPr fontId="3"/>
  </si>
  <si>
    <t>品目マスターから品目タイプを正常に検索</t>
    <phoneticPr fontId="3"/>
  </si>
  <si>
    <t>select * from LDAS0301('LD11','20250109','20250609','20250610','3HT1471TR00080','6206','6200','3');</t>
    <phoneticPr fontId="3"/>
  </si>
  <si>
    <r>
      <t>処理パターン</t>
    </r>
    <r>
      <rPr>
        <b/>
        <sz val="10"/>
        <color rgb="FFFFFFFF"/>
        <rFont val="Meiryo UI"/>
        <family val="2"/>
      </rPr>
      <t>1</t>
    </r>
    <phoneticPr fontId="3"/>
  </si>
  <si>
    <r>
      <t>処理パターン</t>
    </r>
    <r>
      <rPr>
        <b/>
        <sz val="10"/>
        <color rgb="FFFFFFFF"/>
        <rFont val="Meiryo UI"/>
        <family val="2"/>
      </rPr>
      <t>3</t>
    </r>
    <phoneticPr fontId="3"/>
  </si>
  <si>
    <t>処理パターン2</t>
    <phoneticPr fontId="3"/>
  </si>
  <si>
    <t>着手日が稼働日でない場合</t>
    <phoneticPr fontId="3"/>
  </si>
  <si>
    <t>select * from LDAS0301('LD11','20250105','20250609','20250610','3HT1471TR00080','6206','6206','3');</t>
    <phoneticPr fontId="3"/>
  </si>
  <si>
    <t>20250105</t>
  </si>
  <si>
    <t>6</t>
    <phoneticPr fontId="3"/>
  </si>
  <si>
    <t>処理パターン4</t>
    <phoneticPr fontId="3"/>
  </si>
  <si>
    <t>完了日が稼働日でない場合</t>
    <phoneticPr fontId="3"/>
  </si>
  <si>
    <t>202506</t>
  </si>
  <si>
    <t>20250607</t>
  </si>
  <si>
    <t>20250608</t>
  </si>
  <si>
    <t>20250609</t>
  </si>
  <si>
    <t>20250610</t>
  </si>
  <si>
    <t>10</t>
    <phoneticPr fontId="3"/>
  </si>
  <si>
    <t>11</t>
    <phoneticPr fontId="3"/>
  </si>
  <si>
    <t>12</t>
    <phoneticPr fontId="3"/>
  </si>
  <si>
    <t>13</t>
    <phoneticPr fontId="3"/>
  </si>
  <si>
    <t>select * from LDAS0301('LD11','20250109','20250607','20250610','3HT1471TR00080','6206','6206','3');</t>
    <phoneticPr fontId="3"/>
  </si>
  <si>
    <t>処理パターン5</t>
    <phoneticPr fontId="3"/>
  </si>
  <si>
    <t>処理パターン6</t>
    <phoneticPr fontId="3"/>
  </si>
  <si>
    <t>払出日が稼働日でないかつMRP需要方針コード&lt;&gt;'2'の場合</t>
    <phoneticPr fontId="3"/>
  </si>
  <si>
    <t>select * from LDAS0301('LD11','20250109','20250606','20250607','3HT1471TR00080','6206','6206','3');</t>
    <phoneticPr fontId="3"/>
  </si>
  <si>
    <t>処理パターン7</t>
    <phoneticPr fontId="3"/>
  </si>
  <si>
    <t>処理パターン8</t>
    <phoneticPr fontId="3"/>
  </si>
  <si>
    <t>処理識別='LD11'かつMRP需要方針コード='3'かつ着手日&gt;確定期間最終日の場合</t>
    <phoneticPr fontId="3"/>
  </si>
  <si>
    <t>select * from LDAS0301('LD11','20250609','20250606','20250607','3HT1471TR00080','6206','6206','3');</t>
  </si>
  <si>
    <t>For Start Date, specify the date former than the final day of the fixed order period.</t>
  </si>
  <si>
    <t>処理パターン9</t>
    <phoneticPr fontId="3"/>
  </si>
  <si>
    <t>select * from LDAS0301('LD41','20250109','20250609','20250610','3HT1471TR00080','6206','6206','3');</t>
  </si>
  <si>
    <t>処理識別='LD41'かつMRP需要方針コード='3'かつ着手日&gt;確定期間最終日の場合</t>
    <phoneticPr fontId="3"/>
  </si>
  <si>
    <t>処理パターン10</t>
    <phoneticPr fontId="3"/>
  </si>
  <si>
    <t>select * from LDAS0301('LD41','20250609','20250606','20250607','3HT1471TR00080','6206','6206','3');</t>
  </si>
  <si>
    <t>処理パターン12</t>
    <phoneticPr fontId="3"/>
  </si>
  <si>
    <t>処理識別='LD71'かつ着手日&gt;確定期間最終日の場合</t>
    <phoneticPr fontId="3"/>
  </si>
  <si>
    <t>You cannot specify the past date for Start Date.</t>
  </si>
  <si>
    <t>処理パターン11</t>
    <phoneticPr fontId="3"/>
  </si>
  <si>
    <r>
      <t>処理識別='LD71'かつ着手日</t>
    </r>
    <r>
      <rPr>
        <sz val="9"/>
        <rFont val="宋体"/>
        <family val="3"/>
        <charset val="134"/>
      </rPr>
      <t>≤</t>
    </r>
    <r>
      <rPr>
        <sz val="9"/>
        <rFont val="Meiryo UI"/>
        <family val="3"/>
        <charset val="128"/>
      </rPr>
      <t>確定期間最終日の場合</t>
    </r>
    <phoneticPr fontId="3"/>
  </si>
  <si>
    <t>処理識別='LD71'かつ着手日≤確定期間最終日の場合</t>
    <phoneticPr fontId="3"/>
  </si>
  <si>
    <t>select * from LDAS0301('LD71','20250609','20250610','20250610','3HT1471TR00080','6206','6206','3');</t>
  </si>
  <si>
    <t>select * from LDAS0301('LD71','20250109','20250610','20250610','3HT1471TR00080','6206','6206','3');</t>
    <phoneticPr fontId="3"/>
  </si>
  <si>
    <r>
      <t>処理識別='LD71'かつ着手日</t>
    </r>
    <r>
      <rPr>
        <sz val="9"/>
        <rFont val="宋体"/>
        <family val="3"/>
        <charset val="134"/>
      </rPr>
      <t>≥</t>
    </r>
    <r>
      <rPr>
        <sz val="9"/>
        <rFont val="Meiryo UI"/>
        <family val="3"/>
        <charset val="128"/>
      </rPr>
      <t>IC工場処理日の場合</t>
    </r>
    <phoneticPr fontId="3"/>
  </si>
  <si>
    <t>処理識別='LD71'かつ着手日≥IC工場処理日の場合</t>
    <phoneticPr fontId="3"/>
  </si>
  <si>
    <t>処理パターン13</t>
    <phoneticPr fontId="3"/>
  </si>
  <si>
    <t>処理パターン14</t>
    <phoneticPr fontId="3"/>
  </si>
  <si>
    <t>処理識別='LD71'かつ着手日&lt;IC工場処理日の場合</t>
    <phoneticPr fontId="3"/>
  </si>
  <si>
    <t>20250101</t>
    <phoneticPr fontId="3"/>
  </si>
  <si>
    <t>rs_l_bucket_no</t>
    <phoneticPr fontId="3"/>
  </si>
  <si>
    <t>rs_l_fix_from_ymd</t>
    <phoneticPr fontId="3"/>
  </si>
  <si>
    <t>rs_l_fix_to_ymd</t>
    <phoneticPr fontId="3"/>
  </si>
  <si>
    <t>rs_l_mrp_plan_date</t>
    <phoneticPr fontId="3"/>
  </si>
  <si>
    <t>rs_l_mrp_running_date</t>
    <phoneticPr fontId="3"/>
  </si>
  <si>
    <t>rs_t_bucket_no</t>
    <phoneticPr fontId="3"/>
  </si>
  <si>
    <t>rs_t_fix_from_ymd</t>
    <phoneticPr fontId="3"/>
  </si>
  <si>
    <t>rs_t_fix_to_ymd</t>
    <phoneticPr fontId="3"/>
  </si>
  <si>
    <t>rs_t_mrp_plan_date</t>
    <phoneticPr fontId="3"/>
  </si>
  <si>
    <t>rs_t_mrp_running_date</t>
    <phoneticPr fontId="3"/>
  </si>
  <si>
    <t>rs_s_bucket_no</t>
    <phoneticPr fontId="3"/>
  </si>
  <si>
    <t>rs_s_fix_from_ymd</t>
    <phoneticPr fontId="3"/>
  </si>
  <si>
    <t>rs_s_fix_to_ymd</t>
    <phoneticPr fontId="3"/>
  </si>
  <si>
    <t>rs_s_mrp_plan_date</t>
    <phoneticPr fontId="3"/>
  </si>
  <si>
    <t>rs_s_mrp_running_date</t>
    <phoneticPr fontId="3"/>
  </si>
  <si>
    <t>select * from LDAS0301('LD71','20241225','20250610','20250610','3HT1471TR00080','6206','6206','3');</t>
  </si>
  <si>
    <t>202412</t>
  </si>
  <si>
    <t>20241225</t>
  </si>
  <si>
    <t>14</t>
    <phoneticPr fontId="3"/>
  </si>
  <si>
    <t>処理パターン15</t>
    <phoneticPr fontId="3"/>
  </si>
  <si>
    <t>select * from LDAS0301('LD71','20250108','20250109','20250610','3HT1471TR00080','6206','6206','3');</t>
  </si>
  <si>
    <t>STD1</t>
  </si>
  <si>
    <t>20250106</t>
  </si>
  <si>
    <t>LCB0004</t>
  </si>
  <si>
    <t>0000</t>
  </si>
  <si>
    <t>処理パターン16</t>
    <phoneticPr fontId="3"/>
  </si>
  <si>
    <t>オプションコード='0'かつ完了日&lt;IC工場処理日かつ品目タイプ&lt;&gt;'2'の場合</t>
    <phoneticPr fontId="3"/>
  </si>
  <si>
    <t>select * from LDAS0301('LD71','20250109','20241212','20250610','3HT1471TR00080','6206','6206','3');</t>
    <phoneticPr fontId="3"/>
  </si>
  <si>
    <t>処理パターン17</t>
    <phoneticPr fontId="3"/>
  </si>
  <si>
    <r>
      <t>オプションコード&lt;&gt;'0'かつ完了日</t>
    </r>
    <r>
      <rPr>
        <sz val="9"/>
        <rFont val="宋体"/>
        <family val="3"/>
        <charset val="134"/>
      </rPr>
      <t>≥</t>
    </r>
    <r>
      <rPr>
        <sz val="9"/>
        <rFont val="Meiryo UI"/>
        <family val="3"/>
        <charset val="128"/>
      </rPr>
      <t>IC工場処理日の場合</t>
    </r>
    <phoneticPr fontId="3"/>
  </si>
  <si>
    <t>オプションコード&lt;&gt;'0'かつ完了日≥IC工場処理日の場合</t>
    <phoneticPr fontId="3"/>
  </si>
  <si>
    <t>オプションコード&lt;&gt;'0'かつ完了日&lt;IC工場処理日の場合</t>
    <phoneticPr fontId="3"/>
  </si>
  <si>
    <t>処理パターン18</t>
    <phoneticPr fontId="3"/>
  </si>
  <si>
    <t>処理パターン19</t>
    <phoneticPr fontId="3"/>
  </si>
  <si>
    <r>
      <t>処理識別='LD11'かつ完了日</t>
    </r>
    <r>
      <rPr>
        <sz val="10"/>
        <color indexed="8"/>
        <rFont val="宋体"/>
        <family val="3"/>
        <charset val="134"/>
      </rPr>
      <t>≥</t>
    </r>
    <r>
      <rPr>
        <sz val="10"/>
        <color indexed="8"/>
        <rFont val="Meiryo UI"/>
        <family val="3"/>
        <charset val="128"/>
      </rPr>
      <t>着手日の場合</t>
    </r>
  </si>
  <si>
    <t>処理パターン21</t>
    <phoneticPr fontId="3"/>
  </si>
  <si>
    <t>処理パターン23</t>
    <phoneticPr fontId="3"/>
  </si>
  <si>
    <r>
      <t>払出日</t>
    </r>
    <r>
      <rPr>
        <sz val="9"/>
        <rFont val="宋体"/>
        <family val="3"/>
        <charset val="134"/>
      </rPr>
      <t>≥</t>
    </r>
    <r>
      <rPr>
        <sz val="9"/>
        <rFont val="Meiryo UI"/>
        <family val="3"/>
        <charset val="128"/>
      </rPr>
      <t>完了日の場合</t>
    </r>
    <phoneticPr fontId="3"/>
  </si>
  <si>
    <r>
      <t>払出日</t>
    </r>
    <r>
      <rPr>
        <sz val="10"/>
        <color indexed="8"/>
        <rFont val="宋体"/>
        <family val="3"/>
        <charset val="134"/>
      </rPr>
      <t>≥</t>
    </r>
    <r>
      <rPr>
        <sz val="10"/>
        <color indexed="8"/>
        <rFont val="Meiryo UI"/>
        <family val="3"/>
        <charset val="128"/>
      </rPr>
      <t>完了日の場合</t>
    </r>
  </si>
  <si>
    <t>処理パターン25</t>
    <phoneticPr fontId="3"/>
  </si>
  <si>
    <t>着手日と払出日の月差が6ヶ月以内の場合</t>
    <phoneticPr fontId="3"/>
  </si>
  <si>
    <t>処理パターン27</t>
    <phoneticPr fontId="3"/>
  </si>
  <si>
    <t>処理パターン20</t>
    <phoneticPr fontId="3"/>
  </si>
  <si>
    <t>処理識別='LD11'かつ完了日&lt;着手日の場合</t>
    <phoneticPr fontId="3"/>
  </si>
  <si>
    <t>select * from LDAS0301('LD11','20250109','20250108','20250610','3HT1471TR00080','6206','6206','3');</t>
    <phoneticPr fontId="3"/>
  </si>
  <si>
    <t>処理識別='LD41'かつ完了日&lt;着手日の場合</t>
    <phoneticPr fontId="3"/>
  </si>
  <si>
    <t>処理パターン22</t>
    <phoneticPr fontId="3"/>
  </si>
  <si>
    <t>select * from LDAS0301('LD41','20250109','20250108','20250610','3HT1471TR00080','6206','6206','3');</t>
    <phoneticPr fontId="3"/>
  </si>
  <si>
    <t>処理パターン24</t>
    <phoneticPr fontId="3"/>
  </si>
  <si>
    <t>処理識別='LD71'かつ完了日&lt;着手日の場合</t>
    <phoneticPr fontId="3"/>
  </si>
  <si>
    <t>For Start Date, specify the date former than Due Date.</t>
  </si>
  <si>
    <t>処理パターン26</t>
    <phoneticPr fontId="3"/>
  </si>
  <si>
    <t>払出日&lt;完了日の場合</t>
    <phoneticPr fontId="3"/>
  </si>
  <si>
    <t>select * from LDAS0301('LD11','20250109','20250610','20250609','3HT1471TR00080','6206','6206','3');</t>
    <phoneticPr fontId="3"/>
  </si>
  <si>
    <t>着手日と払出日の月差が6ヶ月を超える場合</t>
    <phoneticPr fontId="3"/>
  </si>
  <si>
    <t>処理パターン28</t>
    <phoneticPr fontId="3"/>
  </si>
  <si>
    <t>select * from LDAS0301('LD11','20250109','20250610','20250710','3HT1471TR00080','6206','6206','3');</t>
    <phoneticPr fontId="3"/>
  </si>
  <si>
    <t>Make the difference between Start Date and Disburse Date within 6 months.</t>
  </si>
  <si>
    <t>着手日と払出日の月差が丁度6ヶ月かつ日差が0の場合</t>
    <phoneticPr fontId="3"/>
  </si>
  <si>
    <t>select * from LDAS0301('LD11','20250109','20250610','20250807','3HT1471TR00080','6206','6206','3');</t>
    <phoneticPr fontId="3"/>
  </si>
  <si>
    <t>select * from LDAS0301('LD11','20250109','20250610','20250709','3HT1471TR00080','6206','6206','3');</t>
    <phoneticPr fontId="3"/>
  </si>
  <si>
    <t>着手日と払出日の月差が丁度6ヶ月かつ日差が正の場合</t>
    <phoneticPr fontId="3"/>
  </si>
  <si>
    <t>品目マスターでデータが存在しない場合</t>
    <phoneticPr fontId="3"/>
  </si>
  <si>
    <r>
      <t>検索</t>
    </r>
    <r>
      <rPr>
        <b/>
        <sz val="10"/>
        <color rgb="FFFFFFFF"/>
        <rFont val="Meiryo UI"/>
        <family val="2"/>
      </rPr>
      <t>16</t>
    </r>
    <phoneticPr fontId="3"/>
  </si>
  <si>
    <t>OK</t>
  </si>
  <si>
    <t>共通関数呼び出し1</t>
    <phoneticPr fontId="3"/>
  </si>
  <si>
    <t>共通関数呼び出し2</t>
    <phoneticPr fontId="3"/>
  </si>
  <si>
    <t>LEBS0010が正常に実行される場合</t>
    <phoneticPr fontId="3"/>
  </si>
  <si>
    <t>LEBS0010がエラー(-1)を返す場合</t>
    <phoneticPr fontId="3"/>
  </si>
  <si>
    <t>LEBS0010がPGMエラー(-2)を返す場合</t>
    <phoneticPr fontId="3"/>
  </si>
  <si>
    <t>select * from LEBS0010('02','T')</t>
  </si>
  <si>
    <t>例外が発生している</t>
    <phoneticPr fontId="3"/>
  </si>
  <si>
    <r>
      <t>共通関数呼び出し</t>
    </r>
    <r>
      <rPr>
        <b/>
        <sz val="10"/>
        <color rgb="FFFFFFFF"/>
        <rFont val="微软雅黑"/>
        <family val="3"/>
        <charset val="134"/>
      </rPr>
      <t>3</t>
    </r>
    <phoneticPr fontId="3"/>
  </si>
  <si>
    <t>ld.E.LDP10059</t>
  </si>
  <si>
    <t>ld.E.LDP10060</t>
  </si>
  <si>
    <t>Specify Due Date.</t>
  </si>
  <si>
    <t>ld.E.LDP10061</t>
  </si>
  <si>
    <t>Specify Disburse Date.</t>
  </si>
  <si>
    <t>Target data does not exist in the Function Parameter table.</t>
  </si>
  <si>
    <t>LE</t>
  </si>
  <si>
    <t>LEA0001</t>
  </si>
  <si>
    <t>Day String does not exist in the common calendar.</t>
  </si>
  <si>
    <t>select * from LDAS0301('LD11','20250134','20250609','20250610','3HT1471TR00080','6206','6206','3');</t>
    <phoneticPr fontId="3"/>
  </si>
  <si>
    <t>20250601</t>
    <phoneticPr fontId="3"/>
  </si>
  <si>
    <t>TEST001</t>
    <phoneticPr fontId="3"/>
  </si>
  <si>
    <r>
      <t>STD</t>
    </r>
    <r>
      <rPr>
        <sz val="9"/>
        <rFont val="Meiryo UI"/>
        <family val="2"/>
      </rPr>
      <t>1</t>
    </r>
    <phoneticPr fontId="3"/>
  </si>
  <si>
    <t>The IC pymac date is not exist.</t>
  </si>
  <si>
    <t>Data does not exist in the item master.</t>
  </si>
  <si>
    <t>The day you specified is not a working-day.20250105</t>
  </si>
  <si>
    <t>The day you specified is not a working-day.[ ps_due_date  ] = 20250607</t>
  </si>
  <si>
    <t>The day you specified is not a working-day.[ ps_disburse_date  ] = 20250607</t>
  </si>
  <si>
    <t>You cannot specify the past date for due date.</t>
  </si>
  <si>
    <t>For Due Date, specify the date later than Start Date.</t>
  </si>
  <si>
    <t>select * from LDAS0301('LD71','20250109','20250108','20250610','3HT1471TR00080','6206','6206','3');</t>
  </si>
  <si>
    <t>For Disburse Date, specify the date later than Due Date.</t>
  </si>
  <si>
    <t>ld.E.LDP10059</t>
    <phoneticPr fontId="21" type="noConversion"/>
  </si>
  <si>
    <t>エラーコードld.E.LDP10059、エラーメッセージ'Specify Start Date.'が出力され処理終了している</t>
    <phoneticPr fontId="3"/>
  </si>
  <si>
    <t>ld.E.LDP10060</t>
    <phoneticPr fontId="21" type="noConversion"/>
  </si>
  <si>
    <t>エラーコードld.E.LDP10060、エラーメッセージ'Specify Due Date.'が出力され処理終了している</t>
    <phoneticPr fontId="3"/>
  </si>
  <si>
    <t>ld.E.LDP10061</t>
    <phoneticPr fontId="21" type="noConversion"/>
  </si>
  <si>
    <t>エラーコードld.E.LDP10061、エラーメッセージ'Specify Disburse Date.'が出力され処理終了している</t>
    <phoneticPr fontId="3"/>
  </si>
  <si>
    <t>ld.E.LDP10062</t>
    <phoneticPr fontId="3"/>
  </si>
  <si>
    <t>エラーコードld.E.LDP10062、エラーメッセージ'Effective calendar does not exist by the specified Supplier/User.'が出力され処理終了している</t>
    <phoneticPr fontId="3"/>
  </si>
  <si>
    <t>ld.E.LDP10064</t>
    <phoneticPr fontId="3"/>
  </si>
  <si>
    <t>エラーコードld.E.LDP10064、エラーメッセージ'Day String does not exist in the common calendar.'が出力され処理終了している</t>
    <phoneticPr fontId="3"/>
  </si>
  <si>
    <t>ld.E.LDP10004</t>
    <phoneticPr fontId="3"/>
  </si>
  <si>
    <t>エラーコードld.E.LDP10004、エラーメッセージ'The IC pymac date is not exist.'が出力され処理終了している</t>
    <phoneticPr fontId="3"/>
  </si>
  <si>
    <t>ld.E.LDP10002</t>
    <phoneticPr fontId="3"/>
  </si>
  <si>
    <t>エラーコードld.E.LDP10002、エラーメッセージ'Target data does not exist in the Function Parameter table.'が出力され処理終了している</t>
    <phoneticPr fontId="3"/>
  </si>
  <si>
    <t>ld.E.LDP10067</t>
    <phoneticPr fontId="3"/>
  </si>
  <si>
    <t>エラーコードld.E.LDP10067、エラーメッセージ'Data does not exist in the item master.'が出力され処理終了している</t>
    <phoneticPr fontId="3"/>
  </si>
  <si>
    <t>ld.E.LDP10063</t>
    <phoneticPr fontId="3"/>
  </si>
  <si>
    <t>エラーコードld.E.LDP10063、エラーメッセージ'The day you specified is not a working-day.'が出力され処理終了している</t>
    <phoneticPr fontId="3"/>
  </si>
  <si>
    <t>ld.E.LDP10069</t>
    <phoneticPr fontId="3"/>
  </si>
  <si>
    <t>エラーコードld.E.LDP10069、エラーメッセージ'The day you specified is not a working-day.'が出力され処理終了している</t>
    <phoneticPr fontId="3"/>
  </si>
  <si>
    <t>ld.E.LDP10072</t>
    <phoneticPr fontId="3"/>
  </si>
  <si>
    <t>エラーコードld.E.LDP10072、エラーメッセージ'The day you specified is not a working-day.'が出力され処理終了している</t>
    <phoneticPr fontId="3"/>
  </si>
  <si>
    <t>ld.E.LDP10065</t>
    <phoneticPr fontId="3"/>
  </si>
  <si>
    <t>エラーコードld.E.LDP10065、エラーメッセージ'For Start Date、 specify the date former than the final day of the fixed order period.'が出力され処理終了している</t>
    <phoneticPr fontId="3"/>
  </si>
  <si>
    <t>ld.E.LDP10066</t>
    <phoneticPr fontId="3"/>
  </si>
  <si>
    <t>エラーコードld.E.LDP10066、エラーメッセージ'You cannot specify the past date for Start Date.'が出力され処理終了している</t>
    <phoneticPr fontId="3"/>
  </si>
  <si>
    <t>ld.E.LDP10068</t>
    <phoneticPr fontId="3"/>
  </si>
  <si>
    <t>エラーコードld.E.LDP10068、エラーメッセージ'You cannot specify the past date for due date.'が出力され処理終了している</t>
    <phoneticPr fontId="3"/>
  </si>
  <si>
    <t>エラーコードld.E.LDP10068エラーメッセージ'You cannot specify the past date for due date.'が出力され処理終了している</t>
    <phoneticPr fontId="3"/>
  </si>
  <si>
    <t>ld.E.LDP10070</t>
    <phoneticPr fontId="3"/>
  </si>
  <si>
    <t>エラーコードld.E.LDP10070、エラーメッセージ'For Due Date、 specify the date later than Start Date.'が出力され処理終了している</t>
    <phoneticPr fontId="3"/>
  </si>
  <si>
    <t>ld.E.LDP10071</t>
    <phoneticPr fontId="3"/>
  </si>
  <si>
    <t>エラーコードld.E.LDP10071、エラーメッセージ'For Start Date、 specify the date former than Due Date.'が出力され処理終了している</t>
    <phoneticPr fontId="3"/>
  </si>
  <si>
    <t>ld.E.LDP10073</t>
    <phoneticPr fontId="3"/>
  </si>
  <si>
    <t>エラーコードld.E.LDP10073、エラーメッセージ'For Disburse Date、 specify the date later than Due Date.'が出力され処理終了している</t>
    <phoneticPr fontId="3"/>
  </si>
  <si>
    <t>ld.E.LDP10074</t>
    <phoneticPr fontId="3"/>
  </si>
  <si>
    <t>エラーコードld.E.LDP10074、エラーメッセージ'Make the difference between Start Date and Disburse Date within 6 months.'が出力され処理終了している</t>
    <phoneticPr fontId="3"/>
  </si>
  <si>
    <r>
      <t>システムコード='L</t>
    </r>
    <r>
      <rPr>
        <sz val="9"/>
        <rFont val="Meiryo UI"/>
        <family val="2"/>
      </rPr>
      <t>E</t>
    </r>
    <r>
      <rPr>
        <sz val="9"/>
        <rFont val="Meiryo UI"/>
        <family val="3"/>
        <charset val="128"/>
      </rPr>
      <t>'、IDコード='L</t>
    </r>
    <r>
      <rPr>
        <sz val="9"/>
        <rFont val="Meiryo UI"/>
        <family val="2"/>
      </rPr>
      <t>EA</t>
    </r>
    <r>
      <rPr>
        <sz val="9"/>
        <rFont val="Meiryo UI"/>
        <family val="3"/>
        <charset val="128"/>
      </rPr>
      <t>0001'、選択フラグ='T'に該当するオプションコードが正常に取得されている</t>
    </r>
    <phoneticPr fontId="3"/>
  </si>
  <si>
    <t>エラーコード</t>
    <phoneticPr fontId="3"/>
  </si>
  <si>
    <t>エラー発生時のエラーコード</t>
    <phoneticPr fontId="3"/>
  </si>
  <si>
    <t>対応するエラーコードをreturnしている</t>
  </si>
  <si>
    <t>エラーメッセージ</t>
    <phoneticPr fontId="3"/>
  </si>
  <si>
    <t>エラー発生時のエラーメッセージ</t>
    <phoneticPr fontId="3"/>
  </si>
  <si>
    <t>対応するエラーメッセージをreturnしている</t>
  </si>
  <si>
    <r>
      <t>戻り値</t>
    </r>
    <r>
      <rPr>
        <b/>
        <sz val="10"/>
        <color rgb="FFFFFFFF"/>
        <rFont val="Meiryo UI"/>
        <family val="2"/>
      </rPr>
      <t>7~10</t>
    </r>
    <phoneticPr fontId="3"/>
  </si>
  <si>
    <t>エラーコード：'ld.E.LDP10129、ラーメッセージ：'Item does not exist in the itemmast mrp.';が指定品目がＭＲＰ情報値に存在しません。</t>
    <phoneticPr fontId="3"/>
  </si>
  <si>
    <r>
      <t>検索</t>
    </r>
    <r>
      <rPr>
        <b/>
        <sz val="10"/>
        <color rgb="FFFFFFFF"/>
        <rFont val="Meiryo UI"/>
        <family val="2"/>
      </rPr>
      <t>10</t>
    </r>
    <phoneticPr fontId="3"/>
  </si>
  <si>
    <t>確定期間IDがMRP情報値に存在しない場合</t>
    <phoneticPr fontId="3"/>
  </si>
  <si>
    <t>ld.E.LDP10129</t>
    <phoneticPr fontId="3"/>
  </si>
  <si>
    <t>Item does not exist in the itemmast mrp.</t>
    <phoneticPr fontId="3"/>
  </si>
  <si>
    <t>select * from LDAS0301('LD11','20250131','20250609','20250610','3HT1471TR00080','0000','6206','3');</t>
    <phoneticPr fontId="3"/>
  </si>
  <si>
    <t>着手日がカレンダーに存在しない場合</t>
    <phoneticPr fontId="3"/>
  </si>
  <si>
    <t>select * from LDAS0301('LD11','20250109','20250609','20250610','3HT1471TR00080','6206','6206','3');</t>
    <phoneticPr fontId="3"/>
  </si>
  <si>
    <t>select * from LDAS0301('LD11',' ','20250609','20250610','3HT1471TR00080','6206','6206','3');</t>
    <phoneticPr fontId="3"/>
  </si>
  <si>
    <t>着手日が稼働日の場合(稼働日区分='0')</t>
    <phoneticPr fontId="3"/>
  </si>
  <si>
    <t>正常に処理されている</t>
    <phoneticPr fontId="3"/>
  </si>
  <si>
    <t>完了日が稼働日の場合(稼働日区分='0')</t>
    <phoneticPr fontId="3"/>
  </si>
  <si>
    <t>完了日チェック</t>
  </si>
  <si>
    <t>払出日が稼働日の場合(稼働日区分='0')</t>
    <phoneticPr fontId="3"/>
  </si>
  <si>
    <t>確定期間最終日が正常に取得されている</t>
    <phoneticPr fontId="3"/>
  </si>
  <si>
    <t>品目番号、供給者、使用者に該当する確定期間ID、4.共通関数呼び出し確定期間最終日が正常に取得されている</t>
    <phoneticPr fontId="3"/>
  </si>
  <si>
    <r>
      <t>完了日</t>
    </r>
    <r>
      <rPr>
        <sz val="9"/>
        <rFont val="宋体"/>
        <family val="3"/>
        <charset val="134"/>
      </rPr>
      <t>≥</t>
    </r>
    <r>
      <rPr>
        <sz val="9"/>
        <rFont val="Meiryo UI"/>
        <family val="3"/>
        <charset val="128"/>
      </rPr>
      <t>着手日の場合</t>
    </r>
    <phoneticPr fontId="3"/>
  </si>
  <si>
    <r>
      <t>処理識別='LD11'かつMRP需要方針コード&lt;&gt;'1'かつMRP需要方針コード&lt;&gt;'2'かつ着手日</t>
    </r>
    <r>
      <rPr>
        <sz val="9"/>
        <rFont val="宋体"/>
        <family val="3"/>
        <charset val="134"/>
      </rPr>
      <t>≤</t>
    </r>
    <r>
      <rPr>
        <sz val="9"/>
        <rFont val="Meiryo UI"/>
        <family val="3"/>
        <charset val="128"/>
      </rPr>
      <t>確定期間最終日の場合</t>
    </r>
    <phoneticPr fontId="3"/>
  </si>
  <si>
    <r>
      <t>処理識別='LD41'かつMRP需要方針コード&lt;&gt;'1'かつMRP需要方針コード&lt;&gt;'2'かつ着手日</t>
    </r>
    <r>
      <rPr>
        <sz val="9"/>
        <rFont val="宋体"/>
        <family val="3"/>
        <charset val="134"/>
      </rPr>
      <t>≤</t>
    </r>
    <r>
      <rPr>
        <sz val="9"/>
        <rFont val="Meiryo UI"/>
        <family val="3"/>
        <charset val="128"/>
      </rPr>
      <t>確定期間最終日の場合</t>
    </r>
    <phoneticPr fontId="3"/>
  </si>
  <si>
    <t>処理識別='LD41'かつMRP需要方針コード&lt;&gt;'1'かつMRP需要方針コード&lt;&gt;'2'かつ着手日&gt;確定期間最終日の場合</t>
    <phoneticPr fontId="3"/>
  </si>
  <si>
    <t>処理識別='LD11'かつMRP需要方針コード&lt;&gt;'1'かつMRP需要方針コード&lt;&gt;'2'かつ着手日&gt;確定期間最終日の場合</t>
    <phoneticPr fontId="3"/>
  </si>
  <si>
    <t>処理識別='LD11'かつMRP需要方針コード&lt;&gt;'1'かつMRP需要方針コード&lt;&gt;'2'かつ着手日≤確定期間最終日の場合</t>
    <phoneticPr fontId="3"/>
  </si>
  <si>
    <t>処理識別='LD41'かつMRP需要方針コード&lt;&gt;'1'かつMRP需要方針コード&lt;&gt;'2'かつ着手日≤確定期間最終日の場合</t>
    <phoneticPr fontId="3"/>
  </si>
  <si>
    <t>引数チェック</t>
  </si>
  <si>
    <t>主処理</t>
  </si>
  <si>
    <t>5</t>
    <phoneticPr fontId="3"/>
  </si>
  <si>
    <r>
      <t>オプションコード='0'かつ完了日</t>
    </r>
    <r>
      <rPr>
        <sz val="9"/>
        <rFont val="宋体"/>
        <family val="3"/>
        <charset val="134"/>
      </rPr>
      <t>≥</t>
    </r>
    <r>
      <rPr>
        <sz val="9"/>
        <rFont val="Meiryo UI"/>
        <family val="3"/>
        <charset val="128"/>
      </rPr>
      <t>IC工場処理日</t>
    </r>
    <phoneticPr fontId="3"/>
  </si>
  <si>
    <r>
      <t>オプションコード='0'かつ完了日</t>
    </r>
    <r>
      <rPr>
        <sz val="10"/>
        <color indexed="8"/>
        <rFont val="宋体"/>
        <family val="3"/>
        <charset val="134"/>
      </rPr>
      <t>≥</t>
    </r>
    <r>
      <rPr>
        <sz val="10"/>
        <color indexed="8"/>
        <rFont val="Meiryo UI"/>
        <family val="3"/>
        <charset val="128"/>
      </rPr>
      <t>IC工場処理日</t>
    </r>
  </si>
  <si>
    <t>6206</t>
    <phoneticPr fontId="3"/>
  </si>
  <si>
    <t>varchar(100)</t>
    <phoneticPr fontId="21" type="noConversion"/>
  </si>
  <si>
    <t>varchar(20)</t>
    <phoneticPr fontId="3"/>
  </si>
  <si>
    <t>【LEBS0010（確定期間検索）の戻り値】</t>
    <phoneticPr fontId="3"/>
  </si>
  <si>
    <t>0</t>
    <phoneticPr fontId="3"/>
  </si>
  <si>
    <t>初期作成</t>
    <phoneticPr fontId="3"/>
  </si>
  <si>
    <t>孫</t>
    <phoneticPr fontId="3"/>
  </si>
  <si>
    <t>払出日入力チェック、稼働日チェックを行う、着手日入力チェック、稼働日チェック、期間チェックを行う</t>
    <phoneticPr fontId="3"/>
  </si>
  <si>
    <t>孫勝</t>
    <phoneticPr fontId="3"/>
  </si>
  <si>
    <t>select * from LDAS0301('LD11',' ','20250609','20250610','3HT1471TR00080','6206','6206','3');</t>
  </si>
  <si>
    <t>&lt;&lt;SP:LEBS0010 Error Return&gt;&gt; Return:  -2, ,le.E.LEP10055,Target Fix Period ID does not exist in the Fix Period Master.</t>
  </si>
  <si>
    <t>&lt;&lt;SP:LEBS0010 Error Return&gt;&gt; Return:  -1,42P01, ,relation "le_mst_fix_period_id" does not exist</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</si>
</sst>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Red]\(#,##0\)"/>
  </numFmts>
  <fonts count="106">
    <font>
      <sz val="11"/>
      <name val="ＭＳ Ｐゴシック"/>
      <family val="3"/>
      <charset val="128"/>
    </font>
    <font>
      <sz val="11"/>
      <color theme="1"/>
      <name val="宋体"/>
      <family val="2"/>
      <charset val="128"/>
      <scheme val="minor"/>
    </font>
    <font>
      <sz val="11"/>
      <name val="ＭＳ Ｐゴシック"/>
      <family val="3"/>
      <charset val="128"/>
    </font>
    <font>
      <sz val="6"/>
      <name val="ＭＳ Ｐゴシック"/>
      <family val="3"/>
      <charset val="128"/>
    </font>
    <font>
      <b/>
      <sz val="10"/>
      <name val="Meiryo UI"/>
      <family val="3"/>
      <charset val="128"/>
    </font>
    <font>
      <sz val="9"/>
      <name val="Meiryo UI"/>
      <family val="3"/>
      <charset val="128"/>
    </font>
    <font>
      <sz val="10"/>
      <name val="Meiryo UI"/>
      <family val="3"/>
      <charset val="128"/>
    </font>
    <font>
      <sz val="11"/>
      <name val="ＭＳ ゴシック"/>
      <family val="3"/>
      <charset val="128"/>
    </font>
    <font>
      <sz val="18"/>
      <color theme="3"/>
      <name val="宋体"/>
      <family val="2"/>
      <charset val="128"/>
      <scheme val="major"/>
    </font>
    <font>
      <b/>
      <sz val="15"/>
      <color theme="3"/>
      <name val="宋体"/>
      <family val="2"/>
      <charset val="128"/>
      <scheme val="minor"/>
    </font>
    <font>
      <b/>
      <sz val="9"/>
      <color theme="0"/>
      <name val="Meiryo UI"/>
      <family val="3"/>
      <charset val="128"/>
    </font>
    <font>
      <sz val="6"/>
      <name val="宋体"/>
      <family val="2"/>
      <charset val="128"/>
      <scheme val="minor"/>
    </font>
    <font>
      <sz val="11"/>
      <color theme="1"/>
      <name val="Meiryo UI"/>
      <family val="3"/>
      <charset val="128"/>
    </font>
    <font>
      <b/>
      <sz val="11"/>
      <color theme="1"/>
      <name val="Meiryo UI"/>
      <family val="3"/>
      <charset val="128"/>
    </font>
    <font>
      <sz val="9"/>
      <color theme="1"/>
      <name val="Meiryo UI"/>
      <family val="3"/>
      <charset val="128"/>
    </font>
    <font>
      <b/>
      <sz val="9"/>
      <color theme="1"/>
      <name val="Meiryo UI"/>
      <family val="3"/>
      <charset val="128"/>
    </font>
    <font>
      <b/>
      <sz val="11"/>
      <color theme="0"/>
      <name val="Meiryo UI"/>
      <family val="2"/>
      <charset val="128"/>
    </font>
    <font>
      <sz val="11"/>
      <name val="Meiryo UI"/>
      <family val="2"/>
      <charset val="128"/>
    </font>
    <font>
      <sz val="8"/>
      <name val="ＭＳ Ｐゴシック"/>
      <family val="3"/>
      <charset val="128"/>
    </font>
    <font>
      <u/>
      <sz val="9"/>
      <color indexed="12"/>
      <name val="Meiryo UI"/>
      <family val="3"/>
      <charset val="128"/>
    </font>
    <font>
      <sz val="9"/>
      <color indexed="81"/>
      <name val="MS P ゴシック"/>
      <family val="3"/>
      <charset val="128"/>
    </font>
    <font>
      <sz val="9"/>
      <name val="宋体"/>
      <family val="3"/>
      <charset val="134"/>
    </font>
    <font>
      <b/>
      <sz val="9"/>
      <color rgb="FF0000FF"/>
      <name val="Meiryo UI"/>
      <family val="2"/>
      <charset val="128"/>
    </font>
    <font>
      <b/>
      <sz val="9"/>
      <name val="Meiryo UI"/>
      <family val="2"/>
    </font>
    <font>
      <b/>
      <sz val="11"/>
      <color theme="1"/>
      <name val="Meiryo UI"/>
      <family val="2"/>
    </font>
    <font>
      <u/>
      <sz val="11"/>
      <color theme="10"/>
      <name val="Meiryo UI"/>
      <family val="3"/>
      <charset val="128"/>
    </font>
    <font>
      <sz val="11"/>
      <name val="Meiryo UI"/>
      <family val="3"/>
      <charset val="128"/>
    </font>
    <font>
      <u/>
      <sz val="11"/>
      <color theme="10"/>
      <name val="ＭＳ Ｐゴシック"/>
      <family val="3"/>
      <charset val="128"/>
    </font>
    <font>
      <b/>
      <sz val="24"/>
      <color indexed="18"/>
      <name val="Meiryo UI"/>
      <family val="3"/>
      <charset val="128"/>
    </font>
    <font>
      <b/>
      <sz val="18"/>
      <color indexed="18"/>
      <name val="Meiryo UI"/>
      <family val="3"/>
      <charset val="128"/>
    </font>
    <font>
      <b/>
      <sz val="11"/>
      <color indexed="18"/>
      <name val="Meiryo UI"/>
      <family val="3"/>
      <charset val="128"/>
    </font>
    <font>
      <b/>
      <sz val="9"/>
      <name val="Meiryo UI"/>
      <family val="3"/>
      <charset val="128"/>
    </font>
    <font>
      <b/>
      <sz val="10"/>
      <color indexed="9"/>
      <name val="Meiryo UI"/>
      <family val="3"/>
      <charset val="128"/>
    </font>
    <font>
      <sz val="10"/>
      <color indexed="8"/>
      <name val="Meiryo UI"/>
      <family val="3"/>
      <charset val="128"/>
    </font>
    <font>
      <b/>
      <sz val="10"/>
      <color indexed="18"/>
      <name val="Meiryo UI"/>
      <family val="3"/>
      <charset val="128"/>
    </font>
    <font>
      <sz val="8"/>
      <name val="Meiryo UI"/>
      <family val="3"/>
      <charset val="128"/>
    </font>
    <font>
      <sz val="10"/>
      <color indexed="53"/>
      <name val="Meiryo UI"/>
      <family val="3"/>
      <charset val="128"/>
    </font>
    <font>
      <sz val="10"/>
      <color indexed="59"/>
      <name val="Meiryo UI"/>
      <family val="3"/>
      <charset val="128"/>
    </font>
    <font>
      <sz val="10"/>
      <color indexed="10"/>
      <name val="Meiryo UI"/>
      <family val="3"/>
      <charset val="128"/>
    </font>
    <font>
      <sz val="10"/>
      <color indexed="17"/>
      <name val="Meiryo UI"/>
      <family val="3"/>
      <charset val="128"/>
    </font>
    <font>
      <b/>
      <sz val="10"/>
      <color indexed="59"/>
      <name val="Meiryo UI"/>
      <family val="3"/>
      <charset val="128"/>
    </font>
    <font>
      <sz val="6"/>
      <name val="Meiryo UI"/>
      <family val="3"/>
      <charset val="128"/>
    </font>
    <font>
      <sz val="10"/>
      <color indexed="63"/>
      <name val="Meiryo UI"/>
      <family val="3"/>
      <charset val="128"/>
    </font>
    <font>
      <b/>
      <sz val="9"/>
      <color rgb="FF0000CC"/>
      <name val="Meiryo UI"/>
      <family val="3"/>
      <charset val="128"/>
    </font>
    <font>
      <sz val="8"/>
      <color indexed="8"/>
      <name val="Meiryo UI"/>
      <family val="3"/>
      <charset val="128"/>
    </font>
    <font>
      <sz val="9"/>
      <color indexed="8"/>
      <name val="Meiryo UI"/>
      <family val="3"/>
      <charset val="128"/>
    </font>
    <font>
      <sz val="9"/>
      <color indexed="59"/>
      <name val="Meiryo UI"/>
      <family val="3"/>
      <charset val="128"/>
    </font>
    <font>
      <b/>
      <sz val="10"/>
      <color indexed="12"/>
      <name val="Meiryo UI"/>
      <family val="3"/>
      <charset val="128"/>
    </font>
    <font>
      <sz val="10"/>
      <color indexed="12"/>
      <name val="Meiryo UI"/>
      <family val="3"/>
      <charset val="128"/>
    </font>
    <font>
      <sz val="11"/>
      <color indexed="60"/>
      <name val="Meiryo UI"/>
      <family val="3"/>
      <charset val="128"/>
    </font>
    <font>
      <b/>
      <sz val="18"/>
      <color indexed="8"/>
      <name val="Meiryo UI"/>
      <family val="3"/>
      <charset val="128"/>
    </font>
    <font>
      <sz val="11"/>
      <color indexed="18"/>
      <name val="Meiryo UI"/>
      <family val="3"/>
      <charset val="128"/>
    </font>
    <font>
      <b/>
      <sz val="8"/>
      <color indexed="61"/>
      <name val="Meiryo UI"/>
      <family val="3"/>
      <charset val="128"/>
    </font>
    <font>
      <sz val="11"/>
      <color indexed="9"/>
      <name val="Meiryo UI"/>
      <family val="3"/>
      <charset val="128"/>
    </font>
    <font>
      <b/>
      <sz val="11"/>
      <name val="Meiryo UI"/>
      <family val="3"/>
      <charset val="128"/>
    </font>
    <font>
      <sz val="9"/>
      <color indexed="53"/>
      <name val="Meiryo UI"/>
      <family val="3"/>
      <charset val="128"/>
    </font>
    <font>
      <sz val="10"/>
      <color indexed="61"/>
      <name val="Meiryo UI"/>
      <family val="3"/>
      <charset val="128"/>
    </font>
    <font>
      <sz val="8"/>
      <color indexed="61"/>
      <name val="Meiryo UI"/>
      <family val="3"/>
      <charset val="128"/>
    </font>
    <font>
      <sz val="11"/>
      <color indexed="53"/>
      <name val="Meiryo UI"/>
      <family val="3"/>
      <charset val="128"/>
    </font>
    <font>
      <sz val="9"/>
      <color indexed="61"/>
      <name val="Meiryo UI"/>
      <family val="3"/>
      <charset val="128"/>
    </font>
    <font>
      <sz val="11"/>
      <color indexed="61"/>
      <name val="Meiryo UI"/>
      <family val="3"/>
      <charset val="128"/>
    </font>
    <font>
      <b/>
      <sz val="11"/>
      <color indexed="61"/>
      <name val="Meiryo UI"/>
      <family val="3"/>
      <charset val="128"/>
    </font>
    <font>
      <sz val="11"/>
      <color indexed="63"/>
      <name val="Meiryo UI"/>
      <family val="3"/>
      <charset val="128"/>
    </font>
    <font>
      <sz val="11"/>
      <color indexed="17"/>
      <name val="Meiryo UI"/>
      <family val="3"/>
      <charset val="128"/>
    </font>
    <font>
      <sz val="9"/>
      <color indexed="10"/>
      <name val="Meiryo UI"/>
      <family val="3"/>
      <charset val="128"/>
    </font>
    <font>
      <sz val="11"/>
      <color indexed="12"/>
      <name val="Meiryo UI"/>
      <family val="3"/>
      <charset val="128"/>
    </font>
    <font>
      <sz val="9"/>
      <color indexed="9"/>
      <name val="Meiryo UI"/>
      <family val="3"/>
      <charset val="128"/>
    </font>
    <font>
      <i/>
      <sz val="8"/>
      <color indexed="61"/>
      <name val="Meiryo UI"/>
      <family val="3"/>
      <charset val="128"/>
    </font>
    <font>
      <sz val="10"/>
      <color indexed="23"/>
      <name val="Meiryo UI"/>
      <family val="3"/>
      <charset val="128"/>
    </font>
    <font>
      <b/>
      <sz val="16"/>
      <color indexed="18"/>
      <name val="Meiryo UI"/>
      <family val="3"/>
      <charset val="128"/>
    </font>
    <font>
      <sz val="11"/>
      <color indexed="10"/>
      <name val="Meiryo UI"/>
      <family val="3"/>
      <charset val="128"/>
    </font>
    <font>
      <b/>
      <sz val="9"/>
      <color indexed="48"/>
      <name val="Meiryo UI"/>
      <family val="3"/>
      <charset val="128"/>
    </font>
    <font>
      <b/>
      <sz val="9"/>
      <color indexed="59"/>
      <name val="Meiryo UI"/>
      <family val="3"/>
      <charset val="128"/>
    </font>
    <font>
      <sz val="11"/>
      <color indexed="41"/>
      <name val="Meiryo UI"/>
      <family val="3"/>
      <charset val="128"/>
    </font>
    <font>
      <sz val="11"/>
      <color indexed="8"/>
      <name val="Meiryo UI"/>
      <family val="3"/>
      <charset val="128"/>
    </font>
    <font>
      <sz val="11"/>
      <color indexed="22"/>
      <name val="Meiryo UI"/>
      <family val="3"/>
      <charset val="128"/>
    </font>
    <font>
      <sz val="9"/>
      <color indexed="48"/>
      <name val="Meiryo UI"/>
      <family val="3"/>
      <charset val="128"/>
    </font>
    <font>
      <sz val="8"/>
      <color indexed="63"/>
      <name val="Meiryo UI"/>
      <family val="3"/>
      <charset val="128"/>
    </font>
    <font>
      <sz val="6"/>
      <name val="ＭＳ ゴシック"/>
      <family val="3"/>
      <charset val="128"/>
    </font>
    <font>
      <sz val="9"/>
      <color indexed="62"/>
      <name val="Meiryo UI"/>
      <family val="3"/>
      <charset val="128"/>
    </font>
    <font>
      <sz val="9"/>
      <color indexed="23"/>
      <name val="Meiryo UI"/>
      <family val="3"/>
      <charset val="128"/>
    </font>
    <font>
      <sz val="9"/>
      <color indexed="63"/>
      <name val="Meiryo UI"/>
      <family val="3"/>
      <charset val="128"/>
    </font>
    <font>
      <sz val="9"/>
      <color indexed="22"/>
      <name val="Meiryo UI"/>
      <family val="3"/>
      <charset val="128"/>
    </font>
    <font>
      <sz val="9"/>
      <color indexed="12"/>
      <name val="Meiryo UI"/>
      <family val="3"/>
      <charset val="128"/>
    </font>
    <font>
      <b/>
      <sz val="10"/>
      <color indexed="8"/>
      <name val="Meiryo UI"/>
      <family val="3"/>
      <charset val="128"/>
    </font>
    <font>
      <sz val="11"/>
      <color indexed="59"/>
      <name val="Meiryo UI"/>
      <family val="3"/>
      <charset val="128"/>
    </font>
    <font>
      <b/>
      <sz val="11"/>
      <color indexed="9"/>
      <name val="Meiryo UI"/>
      <family val="3"/>
      <charset val="128"/>
    </font>
    <font>
      <b/>
      <sz val="11"/>
      <color indexed="10"/>
      <name val="Meiryo UI"/>
      <family val="3"/>
      <charset val="128"/>
    </font>
    <font>
      <sz val="12"/>
      <color indexed="8"/>
      <name val="Meiryo UI"/>
      <family val="3"/>
      <charset val="128"/>
    </font>
    <font>
      <sz val="12"/>
      <name val="Meiryo UI"/>
      <family val="3"/>
      <charset val="128"/>
    </font>
    <font>
      <b/>
      <sz val="10"/>
      <color indexed="10"/>
      <name val="Meiryo UI"/>
      <family val="3"/>
      <charset val="128"/>
    </font>
    <font>
      <b/>
      <sz val="11"/>
      <color indexed="62"/>
      <name val="Meiryo UI"/>
      <family val="3"/>
      <charset val="128"/>
    </font>
    <font>
      <sz val="9"/>
      <color indexed="55"/>
      <name val="Meiryo UI"/>
      <family val="3"/>
      <charset val="128"/>
    </font>
    <font>
      <sz val="9"/>
      <color theme="1"/>
      <name val="微软雅黑"/>
      <family val="3"/>
      <charset val="134"/>
    </font>
    <font>
      <sz val="10"/>
      <color indexed="8"/>
      <name val="宋体"/>
      <family val="3"/>
      <charset val="134"/>
    </font>
    <font>
      <sz val="9"/>
      <name val="Meiryo UI"/>
      <family val="2"/>
    </font>
    <font>
      <b/>
      <sz val="10"/>
      <color rgb="FFFFFFFF"/>
      <name val="Meiryo UI"/>
      <family val="3"/>
      <charset val="128"/>
    </font>
    <font>
      <b/>
      <sz val="10"/>
      <color rgb="FFFFFFFF"/>
      <name val="Meiryo UI"/>
      <family val="2"/>
    </font>
    <font>
      <b/>
      <sz val="10"/>
      <color rgb="FFFFFFFF"/>
      <name val="Meiryo UI"/>
      <family val="2"/>
      <charset val="128"/>
    </font>
    <font>
      <sz val="11"/>
      <color rgb="FFFFFFFF"/>
      <name val="Meiryo UI"/>
      <family val="2"/>
    </font>
    <font>
      <sz val="10"/>
      <color theme="1"/>
      <name val="Meiryo UI"/>
      <family val="3"/>
      <charset val="128"/>
    </font>
    <font>
      <sz val="11"/>
      <color rgb="FF993366"/>
      <name val="Microsoft YaHei UI"/>
      <family val="3"/>
      <charset val="134"/>
    </font>
    <font>
      <b/>
      <sz val="10"/>
      <color rgb="FFFFFFFF"/>
      <name val="微软雅黑"/>
      <family val="3"/>
      <charset val="134"/>
    </font>
    <font>
      <sz val="11"/>
      <name val="等线"/>
      <family val="2"/>
      <charset val="134"/>
    </font>
    <font>
      <sz val="9"/>
      <name val="微软雅黑"/>
      <family val="3"/>
      <charset val="134"/>
    </font>
    <font>
      <sz val="9"/>
      <name val="微软雅黑"/>
      <family val="2"/>
      <charset val="134"/>
    </font>
  </fonts>
  <fills count="25">
    <fill>
      <patternFill patternType="none"/>
    </fill>
    <fill>
      <patternFill patternType="gray125"/>
    </fill>
    <fill>
      <patternFill patternType="solid">
        <fgColor indexed="42"/>
        <bgColor indexed="64"/>
      </patternFill>
    </fill>
    <fill>
      <patternFill patternType="solid">
        <fgColor indexed="9"/>
        <bgColor indexed="64"/>
      </patternFill>
    </fill>
    <fill>
      <patternFill patternType="solid">
        <fgColor rgb="FF002060"/>
        <bgColor indexed="64"/>
      </patternFill>
    </fill>
    <fill>
      <patternFill patternType="solid">
        <fgColor rgb="FF1D4D77"/>
        <bgColor indexed="64"/>
      </patternFill>
    </fill>
    <fill>
      <patternFill patternType="solid">
        <fgColor rgb="FFCCFFCC"/>
        <bgColor indexed="64"/>
      </patternFill>
    </fill>
    <fill>
      <patternFill patternType="solid">
        <fgColor rgb="FF99CCFF"/>
        <bgColor indexed="64"/>
      </patternFill>
    </fill>
    <fill>
      <patternFill patternType="solid">
        <fgColor indexed="41"/>
        <bgColor indexed="64"/>
      </patternFill>
    </fill>
    <fill>
      <patternFill patternType="solid">
        <fgColor indexed="17"/>
        <bgColor indexed="64"/>
      </patternFill>
    </fill>
    <fill>
      <patternFill patternType="solid">
        <fgColor indexed="13"/>
        <bgColor indexed="64"/>
      </patternFill>
    </fill>
    <fill>
      <patternFill patternType="solid">
        <fgColor indexed="43"/>
        <bgColor indexed="64"/>
      </patternFill>
    </fill>
    <fill>
      <patternFill patternType="solid">
        <fgColor theme="0" tint="-4.9989318521683403E-2"/>
        <bgColor indexed="64"/>
      </patternFill>
    </fill>
    <fill>
      <patternFill patternType="solid">
        <fgColor rgb="FFFFFFCC"/>
        <bgColor indexed="64"/>
      </patternFill>
    </fill>
    <fill>
      <patternFill patternType="solid">
        <fgColor indexed="47"/>
        <bgColor indexed="64"/>
      </patternFill>
    </fill>
    <fill>
      <patternFill patternType="solid">
        <fgColor indexed="22"/>
        <bgColor indexed="64"/>
      </patternFill>
    </fill>
    <fill>
      <patternFill patternType="solid">
        <fgColor indexed="45"/>
        <bgColor indexed="64"/>
      </patternFill>
    </fill>
    <fill>
      <patternFill patternType="solid">
        <fgColor indexed="63"/>
        <bgColor indexed="64"/>
      </patternFill>
    </fill>
    <fill>
      <patternFill patternType="solid">
        <fgColor indexed="55"/>
        <bgColor indexed="64"/>
      </patternFill>
    </fill>
    <fill>
      <patternFill patternType="solid">
        <fgColor theme="0"/>
        <bgColor indexed="64"/>
      </patternFill>
    </fill>
    <fill>
      <patternFill patternType="solid">
        <fgColor theme="0" tint="-0.14999847407452621"/>
        <bgColor indexed="64"/>
      </patternFill>
    </fill>
    <fill>
      <patternFill patternType="solid">
        <fgColor theme="0"/>
        <bgColor indexed="45"/>
      </patternFill>
    </fill>
    <fill>
      <patternFill patternType="solid">
        <fgColor theme="0"/>
        <bgColor indexed="40"/>
      </patternFill>
    </fill>
    <fill>
      <patternFill patternType="solid">
        <fgColor rgb="FFFFFFFF"/>
        <bgColor rgb="FF000000"/>
      </patternFill>
    </fill>
    <fill>
      <patternFill patternType="solid">
        <fgColor rgb="FF92D050"/>
        <bgColor indexed="64"/>
      </patternFill>
    </fill>
  </fills>
  <borders count="90">
    <border>
      <left/>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ck">
        <color theme="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ck">
        <color indexed="18"/>
      </bottom>
      <diagonal/>
    </border>
    <border>
      <left style="medium">
        <color indexed="64"/>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ck">
        <color indexed="8"/>
      </bottom>
      <diagonal/>
    </border>
    <border>
      <left style="thin">
        <color indexed="23"/>
      </left>
      <right style="thin">
        <color indexed="23"/>
      </right>
      <top style="thin">
        <color indexed="23"/>
      </top>
      <bottom style="thin">
        <color indexed="23"/>
      </bottom>
      <diagonal/>
    </border>
    <border>
      <left/>
      <right style="thin">
        <color indexed="64"/>
      </right>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style="hair">
        <color indexed="64"/>
      </right>
      <top style="thin">
        <color indexed="64"/>
      </top>
      <bottom/>
      <diagonal/>
    </border>
    <border>
      <left style="hair">
        <color indexed="64"/>
      </left>
      <right style="hair">
        <color indexed="64"/>
      </right>
      <top style="thin">
        <color indexed="64"/>
      </top>
      <bottom/>
      <diagonal/>
    </border>
    <border>
      <left style="hair">
        <color indexed="64"/>
      </left>
      <right/>
      <top style="thin">
        <color indexed="64"/>
      </top>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indexed="64"/>
      </left>
      <right style="hair">
        <color indexed="64"/>
      </right>
      <top/>
      <bottom/>
      <diagonal/>
    </border>
    <border>
      <left style="thin">
        <color indexed="64"/>
      </left>
      <right style="hair">
        <color indexed="64"/>
      </right>
      <top style="thin">
        <color indexed="64"/>
      </top>
      <bottom style="hair">
        <color indexed="64"/>
      </bottom>
      <diagonal/>
    </border>
    <border>
      <left style="thin">
        <color indexed="64"/>
      </left>
      <right style="hair">
        <color indexed="64"/>
      </right>
      <top style="hair">
        <color indexed="64"/>
      </top>
      <bottom style="thin">
        <color indexed="64"/>
      </bottom>
      <diagonal/>
    </border>
    <border>
      <left style="medium">
        <color indexed="64"/>
      </left>
      <right/>
      <top style="mediumDashed">
        <color indexed="55"/>
      </top>
      <bottom/>
      <diagonal/>
    </border>
    <border>
      <left/>
      <right/>
      <top style="mediumDashed">
        <color indexed="55"/>
      </top>
      <bottom/>
      <diagonal/>
    </border>
    <border>
      <left/>
      <right style="medium">
        <color indexed="64"/>
      </right>
      <top style="mediumDashed">
        <color indexed="55"/>
      </top>
      <bottom/>
      <diagonal/>
    </border>
    <border>
      <left style="hair">
        <color indexed="64"/>
      </left>
      <right/>
      <top style="thin">
        <color indexed="64"/>
      </top>
      <bottom style="hair">
        <color indexed="64"/>
      </bottom>
      <diagonal/>
    </border>
    <border>
      <left style="thin">
        <color indexed="64"/>
      </left>
      <right style="hair">
        <color indexed="64"/>
      </right>
      <top/>
      <bottom/>
      <diagonal/>
    </border>
    <border>
      <left style="hair">
        <color indexed="64"/>
      </left>
      <right style="thin">
        <color indexed="64"/>
      </right>
      <top/>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style="thin">
        <color indexed="64"/>
      </right>
      <top/>
      <bottom style="hair">
        <color indexed="64"/>
      </bottom>
      <diagonal/>
    </border>
    <border>
      <left style="thin">
        <color indexed="64"/>
      </left>
      <right style="hair">
        <color indexed="23"/>
      </right>
      <top style="hair">
        <color indexed="64"/>
      </top>
      <bottom style="hair">
        <color indexed="23"/>
      </bottom>
      <diagonal/>
    </border>
    <border>
      <left style="hair">
        <color indexed="23"/>
      </left>
      <right style="hair">
        <color indexed="23"/>
      </right>
      <top style="hair">
        <color indexed="64"/>
      </top>
      <bottom style="hair">
        <color indexed="23"/>
      </bottom>
      <diagonal/>
    </border>
    <border>
      <left style="thin">
        <color indexed="64"/>
      </left>
      <right style="hair">
        <color indexed="23"/>
      </right>
      <top style="hair">
        <color indexed="23"/>
      </top>
      <bottom style="hair">
        <color indexed="23"/>
      </bottom>
      <diagonal/>
    </border>
    <border>
      <left style="hair">
        <color indexed="23"/>
      </left>
      <right style="hair">
        <color indexed="23"/>
      </right>
      <top style="hair">
        <color indexed="23"/>
      </top>
      <bottom style="hair">
        <color indexed="23"/>
      </bottom>
      <diagonal/>
    </border>
    <border>
      <left style="hair">
        <color indexed="23"/>
      </left>
      <right style="thin">
        <color indexed="64"/>
      </right>
      <top style="hair">
        <color indexed="23"/>
      </top>
      <bottom style="hair">
        <color indexed="23"/>
      </bottom>
      <diagonal/>
    </border>
    <border>
      <left style="thin">
        <color indexed="64"/>
      </left>
      <right style="hair">
        <color indexed="23"/>
      </right>
      <top style="hair">
        <color indexed="23"/>
      </top>
      <bottom style="thin">
        <color indexed="64"/>
      </bottom>
      <diagonal/>
    </border>
    <border>
      <left style="hair">
        <color indexed="23"/>
      </left>
      <right style="hair">
        <color indexed="23"/>
      </right>
      <top style="hair">
        <color indexed="23"/>
      </top>
      <bottom style="thin">
        <color indexed="64"/>
      </bottom>
      <diagonal/>
    </border>
    <border>
      <left style="hair">
        <color indexed="23"/>
      </left>
      <right style="thin">
        <color indexed="64"/>
      </right>
      <top style="hair">
        <color indexed="23"/>
      </top>
      <bottom style="thin">
        <color indexed="64"/>
      </bottom>
      <diagonal/>
    </border>
    <border>
      <left style="thin">
        <color indexed="64"/>
      </left>
      <right/>
      <top/>
      <bottom/>
      <diagonal/>
    </border>
    <border>
      <left style="medium">
        <color indexed="64"/>
      </left>
      <right/>
      <top/>
      <bottom style="mediumDashed">
        <color indexed="23"/>
      </bottom>
      <diagonal/>
    </border>
    <border>
      <left/>
      <right/>
      <top/>
      <bottom style="mediumDashed">
        <color indexed="23"/>
      </bottom>
      <diagonal/>
    </border>
    <border>
      <left/>
      <right style="medium">
        <color indexed="64"/>
      </right>
      <top/>
      <bottom style="mediumDashed">
        <color indexed="23"/>
      </bottom>
      <diagonal/>
    </border>
    <border>
      <left style="medium">
        <color indexed="64"/>
      </left>
      <right/>
      <top style="medium">
        <color indexed="64"/>
      </top>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hair">
        <color indexed="23"/>
      </left>
      <right style="thin">
        <color indexed="64"/>
      </right>
      <top style="hair">
        <color indexed="64"/>
      </top>
      <bottom style="hair">
        <color indexed="23"/>
      </bottom>
      <diagonal/>
    </border>
    <border>
      <left style="thin">
        <color indexed="64"/>
      </left>
      <right style="hair">
        <color indexed="23"/>
      </right>
      <top style="thin">
        <color indexed="64"/>
      </top>
      <bottom style="hair">
        <color indexed="23"/>
      </bottom>
      <diagonal/>
    </border>
    <border>
      <left style="hair">
        <color indexed="23"/>
      </left>
      <right/>
      <top style="thin">
        <color indexed="64"/>
      </top>
      <bottom style="hair">
        <color indexed="23"/>
      </bottom>
      <diagonal/>
    </border>
    <border>
      <left/>
      <right/>
      <top style="thin">
        <color indexed="64"/>
      </top>
      <bottom style="hair">
        <color indexed="23"/>
      </bottom>
      <diagonal/>
    </border>
    <border>
      <left/>
      <right style="thin">
        <color indexed="64"/>
      </right>
      <top style="thin">
        <color indexed="64"/>
      </top>
      <bottom style="hair">
        <color indexed="23"/>
      </bottom>
      <diagonal/>
    </border>
    <border>
      <left style="thin">
        <color indexed="23"/>
      </left>
      <right style="medium">
        <color indexed="64"/>
      </right>
      <top/>
      <bottom/>
      <diagonal/>
    </border>
    <border>
      <left style="hair">
        <color indexed="23"/>
      </left>
      <right/>
      <top style="hair">
        <color indexed="23"/>
      </top>
      <bottom style="hair">
        <color indexed="23"/>
      </bottom>
      <diagonal/>
    </border>
    <border>
      <left style="hair">
        <color indexed="23"/>
      </left>
      <right/>
      <top style="hair">
        <color indexed="23"/>
      </top>
      <bottom style="thin">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top style="thin">
        <color indexed="64"/>
      </top>
      <bottom/>
      <diagonal/>
    </border>
    <border>
      <left style="medium">
        <color indexed="64"/>
      </left>
      <right/>
      <top style="medium">
        <color indexed="64"/>
      </top>
      <bottom style="thick">
        <color indexed="18"/>
      </bottom>
      <diagonal/>
    </border>
    <border>
      <left/>
      <right/>
      <top style="medium">
        <color indexed="64"/>
      </top>
      <bottom style="thick">
        <color indexed="18"/>
      </bottom>
      <diagonal/>
    </border>
    <border>
      <left/>
      <right style="medium">
        <color indexed="64"/>
      </right>
      <top style="medium">
        <color indexed="64"/>
      </top>
      <bottom style="thick">
        <color indexed="18"/>
      </bottom>
      <diagonal/>
    </border>
    <border>
      <left/>
      <right style="medium">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s>
  <cellStyleXfs count="13">
    <xf numFmtId="0" fontId="0" fillId="0" borderId="0"/>
    <xf numFmtId="0" fontId="8" fillId="0" borderId="0" applyNumberFormat="0" applyFill="0" applyBorder="0" applyAlignment="0" applyProtection="0">
      <alignment vertical="center"/>
    </xf>
    <xf numFmtId="0" fontId="9" fillId="0" borderId="5" applyNumberFormat="0" applyFill="0" applyAlignment="0" applyProtection="0">
      <alignment vertical="center"/>
    </xf>
    <xf numFmtId="0" fontId="7" fillId="0" borderId="0"/>
    <xf numFmtId="0" fontId="1" fillId="0" borderId="0"/>
    <xf numFmtId="0" fontId="1" fillId="0" borderId="0">
      <alignment vertical="center"/>
    </xf>
    <xf numFmtId="0" fontId="2" fillId="0" borderId="0"/>
    <xf numFmtId="9" fontId="2" fillId="0" borderId="0" applyFont="0" applyFill="0" applyBorder="0" applyAlignment="0" applyProtection="0">
      <alignment vertical="center"/>
    </xf>
    <xf numFmtId="0" fontId="19" fillId="0" borderId="0" applyNumberFormat="0" applyFill="0" applyBorder="0" applyAlignment="0" applyProtection="0">
      <alignment vertical="top"/>
      <protection locked="0"/>
    </xf>
    <xf numFmtId="0" fontId="27" fillId="0" borderId="0" applyNumberFormat="0" applyFill="0" applyBorder="0" applyAlignment="0" applyProtection="0"/>
    <xf numFmtId="0" fontId="2" fillId="0" borderId="0"/>
    <xf numFmtId="0" fontId="7" fillId="0" borderId="0"/>
    <xf numFmtId="0" fontId="7" fillId="0" borderId="0"/>
  </cellStyleXfs>
  <cellXfs count="526">
    <xf numFmtId="0" fontId="0" fillId="0" borderId="0" xfId="0"/>
    <xf numFmtId="0" fontId="12" fillId="0" borderId="0" xfId="4" applyFont="1" applyAlignment="1">
      <alignment vertical="center"/>
    </xf>
    <xf numFmtId="0" fontId="14" fillId="0" borderId="2" xfId="4" applyFont="1" applyBorder="1" applyAlignment="1">
      <alignment vertical="center"/>
    </xf>
    <xf numFmtId="0" fontId="15" fillId="0" borderId="2" xfId="4" applyFont="1" applyBorder="1" applyAlignment="1">
      <alignment horizontal="center" vertical="center"/>
    </xf>
    <xf numFmtId="0" fontId="16" fillId="4" borderId="6" xfId="5" applyFont="1" applyFill="1" applyBorder="1" applyAlignment="1">
      <alignment horizontal="center" vertical="center" wrapText="1" readingOrder="1"/>
    </xf>
    <xf numFmtId="0" fontId="17" fillId="0" borderId="0" xfId="6" applyFont="1"/>
    <xf numFmtId="2" fontId="17" fillId="0" borderId="2" xfId="6" applyNumberFormat="1" applyFont="1" applyBorder="1"/>
    <xf numFmtId="14" fontId="17" fillId="0" borderId="2" xfId="6" applyNumberFormat="1" applyFont="1" applyBorder="1"/>
    <xf numFmtId="0" fontId="17" fillId="0" borderId="2" xfId="6" applyFont="1" applyBorder="1"/>
    <xf numFmtId="14" fontId="17" fillId="0" borderId="2" xfId="6" applyNumberFormat="1" applyFont="1" applyBorder="1" applyAlignment="1">
      <alignment horizontal="left" vertical="center"/>
    </xf>
    <xf numFmtId="0" fontId="5" fillId="0" borderId="0" xfId="0" applyFont="1" applyAlignment="1">
      <alignment horizontal="right" vertical="center" wrapText="1"/>
    </xf>
    <xf numFmtId="9" fontId="5" fillId="6" borderId="7" xfId="0" applyNumberFormat="1" applyFont="1" applyFill="1" applyBorder="1" applyAlignment="1">
      <alignment horizontal="center" vertical="center" wrapText="1"/>
    </xf>
    <xf numFmtId="0" fontId="5" fillId="0" borderId="7" xfId="0" applyFont="1" applyBorder="1" applyAlignment="1">
      <alignment horizontal="center" vertical="center" wrapText="1"/>
    </xf>
    <xf numFmtId="9" fontId="5" fillId="2" borderId="7" xfId="0" applyNumberFormat="1" applyFont="1" applyFill="1" applyBorder="1" applyAlignment="1">
      <alignment horizontal="center" vertical="center" wrapText="1"/>
    </xf>
    <xf numFmtId="0" fontId="6" fillId="2" borderId="7" xfId="0" applyFont="1" applyFill="1" applyBorder="1" applyAlignment="1">
      <alignment horizontal="center" vertical="center" wrapText="1"/>
    </xf>
    <xf numFmtId="0" fontId="5" fillId="0" borderId="0" xfId="0" applyFont="1" applyAlignment="1">
      <alignment horizontal="left" vertical="center" wrapText="1"/>
    </xf>
    <xf numFmtId="9" fontId="5" fillId="0" borderId="7" xfId="7" applyFont="1" applyBorder="1" applyAlignment="1">
      <alignment horizontal="center" vertical="center" wrapText="1"/>
    </xf>
    <xf numFmtId="0" fontId="5" fillId="0" borderId="0" xfId="0" applyFont="1" applyAlignment="1">
      <alignment horizontal="center" vertical="center" wrapText="1"/>
    </xf>
    <xf numFmtId="0" fontId="6" fillId="2" borderId="8" xfId="0" applyFont="1" applyFill="1" applyBorder="1" applyAlignment="1">
      <alignment horizontal="center" vertical="center" wrapText="1"/>
    </xf>
    <xf numFmtId="0" fontId="4" fillId="0" borderId="0" xfId="0" applyFont="1" applyAlignment="1">
      <alignment horizontal="center" vertical="center" wrapText="1"/>
    </xf>
    <xf numFmtId="0" fontId="5" fillId="0" borderId="7" xfId="0" applyFont="1" applyBorder="1" applyAlignment="1">
      <alignment horizontal="right" vertical="center" wrapText="1"/>
    </xf>
    <xf numFmtId="0" fontId="5" fillId="0" borderId="7" xfId="0" applyFont="1" applyBorder="1" applyAlignment="1">
      <alignment horizontal="left" vertical="center" wrapText="1"/>
    </xf>
    <xf numFmtId="0" fontId="5" fillId="3" borderId="7" xfId="0" applyFont="1" applyFill="1" applyBorder="1" applyAlignment="1">
      <alignment horizontal="left" vertical="center" wrapText="1"/>
    </xf>
    <xf numFmtId="0" fontId="22" fillId="7" borderId="9" xfId="0" applyFont="1" applyFill="1" applyBorder="1" applyAlignment="1">
      <alignment horizontal="left" vertical="center"/>
    </xf>
    <xf numFmtId="0" fontId="23" fillId="7" borderId="10" xfId="0" applyFont="1" applyFill="1" applyBorder="1" applyAlignment="1">
      <alignment horizontal="left" vertical="center" wrapText="1"/>
    </xf>
    <xf numFmtId="0" fontId="23" fillId="7" borderId="10" xfId="0" applyFont="1" applyFill="1" applyBorder="1" applyAlignment="1">
      <alignment horizontal="center" vertical="center" wrapText="1"/>
    </xf>
    <xf numFmtId="0" fontId="23" fillId="7" borderId="11" xfId="0" applyFont="1" applyFill="1" applyBorder="1" applyAlignment="1">
      <alignment horizontal="left" vertical="center" wrapText="1"/>
    </xf>
    <xf numFmtId="0" fontId="25" fillId="0" borderId="0" xfId="0" applyFont="1"/>
    <xf numFmtId="0" fontId="26" fillId="0" borderId="0" xfId="0" applyFont="1"/>
    <xf numFmtId="0" fontId="25" fillId="0" borderId="0" xfId="9" applyFont="1" applyAlignment="1"/>
    <xf numFmtId="0" fontId="6" fillId="0" borderId="0" xfId="0" applyFont="1"/>
    <xf numFmtId="0" fontId="28" fillId="8" borderId="12" xfId="0" applyFont="1" applyFill="1" applyBorder="1" applyAlignment="1">
      <alignment horizontal="left"/>
    </xf>
    <xf numFmtId="0" fontId="29" fillId="8" borderId="12" xfId="0" applyFont="1" applyFill="1" applyBorder="1" applyAlignment="1">
      <alignment horizontal="left"/>
    </xf>
    <xf numFmtId="0" fontId="30" fillId="8" borderId="12" xfId="0" applyFont="1" applyFill="1" applyBorder="1" applyAlignment="1">
      <alignment horizontal="left"/>
    </xf>
    <xf numFmtId="0" fontId="31" fillId="0" borderId="0" xfId="0" applyFont="1"/>
    <xf numFmtId="0" fontId="4" fillId="0" borderId="0" xfId="0" applyFont="1"/>
    <xf numFmtId="0" fontId="32" fillId="9" borderId="13" xfId="0" applyFont="1" applyFill="1" applyBorder="1" applyAlignment="1">
      <alignment horizontal="center" vertical="center"/>
    </xf>
    <xf numFmtId="0" fontId="33" fillId="10" borderId="14" xfId="0" applyFont="1" applyFill="1" applyBorder="1" applyAlignment="1">
      <alignment vertical="center"/>
    </xf>
    <xf numFmtId="0" fontId="33" fillId="10" borderId="15" xfId="0" applyFont="1" applyFill="1" applyBorder="1" applyAlignment="1">
      <alignment vertical="center"/>
    </xf>
    <xf numFmtId="0" fontId="34" fillId="8" borderId="16" xfId="0" applyFont="1" applyFill="1" applyBorder="1" applyAlignment="1">
      <alignment horizontal="center" vertical="center"/>
    </xf>
    <xf numFmtId="0" fontId="35" fillId="11" borderId="17" xfId="0" applyFont="1" applyFill="1" applyBorder="1" applyAlignment="1">
      <alignment horizontal="center" vertical="center"/>
    </xf>
    <xf numFmtId="0" fontId="36" fillId="11" borderId="18" xfId="0" applyFont="1" applyFill="1" applyBorder="1" applyAlignment="1">
      <alignment horizontal="left" vertical="center"/>
    </xf>
    <xf numFmtId="0" fontId="36" fillId="11" borderId="19" xfId="0" applyFont="1" applyFill="1" applyBorder="1" applyAlignment="1">
      <alignment horizontal="left" vertical="center"/>
    </xf>
    <xf numFmtId="0" fontId="37" fillId="0" borderId="20" xfId="0" applyFont="1" applyBorder="1"/>
    <xf numFmtId="0" fontId="37" fillId="0" borderId="0" xfId="0" applyFont="1"/>
    <xf numFmtId="0" fontId="37" fillId="0" borderId="21" xfId="0" applyFont="1" applyBorder="1"/>
    <xf numFmtId="0" fontId="38" fillId="0" borderId="20" xfId="0" applyFont="1" applyBorder="1"/>
    <xf numFmtId="0" fontId="39" fillId="2" borderId="0" xfId="0" applyFont="1" applyFill="1" applyAlignment="1">
      <alignment horizontal="right"/>
    </xf>
    <xf numFmtId="0" fontId="39" fillId="2" borderId="0" xfId="0" applyFont="1" applyFill="1"/>
    <xf numFmtId="0" fontId="40" fillId="2" borderId="0" xfId="0" applyFont="1" applyFill="1"/>
    <xf numFmtId="0" fontId="37" fillId="2" borderId="0" xfId="0" applyFont="1" applyFill="1"/>
    <xf numFmtId="0" fontId="33" fillId="0" borderId="21" xfId="0" applyFont="1" applyBorder="1"/>
    <xf numFmtId="0" fontId="41" fillId="0" borderId="0" xfId="0" applyFont="1"/>
    <xf numFmtId="0" fontId="42" fillId="0" borderId="0" xfId="0" applyFont="1" applyAlignment="1">
      <alignment horizontal="right"/>
    </xf>
    <xf numFmtId="0" fontId="41" fillId="12" borderId="0" xfId="0" applyFont="1" applyFill="1"/>
    <xf numFmtId="0" fontId="37" fillId="12" borderId="0" xfId="0" applyFont="1" applyFill="1"/>
    <xf numFmtId="0" fontId="5" fillId="13" borderId="0" xfId="0" applyFont="1" applyFill="1"/>
    <xf numFmtId="0" fontId="37" fillId="13" borderId="0" xfId="0" applyFont="1" applyFill="1"/>
    <xf numFmtId="0" fontId="43" fillId="13" borderId="0" xfId="0" quotePrefix="1" applyFont="1" applyFill="1"/>
    <xf numFmtId="0" fontId="6" fillId="0" borderId="20" xfId="0" applyFont="1" applyBorder="1"/>
    <xf numFmtId="0" fontId="33" fillId="0" borderId="0" xfId="0" applyFont="1"/>
    <xf numFmtId="0" fontId="35" fillId="0" borderId="7" xfId="0" applyFont="1" applyBorder="1"/>
    <xf numFmtId="0" fontId="5" fillId="0" borderId="9" xfId="0" applyFont="1" applyBorder="1"/>
    <xf numFmtId="0" fontId="33" fillId="0" borderId="10" xfId="0" applyFont="1" applyBorder="1"/>
    <xf numFmtId="0" fontId="33" fillId="0" borderId="11" xfId="0" applyFont="1" applyBorder="1"/>
    <xf numFmtId="0" fontId="44" fillId="0" borderId="7" xfId="0" applyFont="1" applyBorder="1"/>
    <xf numFmtId="0" fontId="45" fillId="0" borderId="9" xfId="0" applyFont="1" applyBorder="1"/>
    <xf numFmtId="0" fontId="44" fillId="0" borderId="0" xfId="0" applyFont="1"/>
    <xf numFmtId="0" fontId="45" fillId="0" borderId="0" xfId="0" applyFont="1"/>
    <xf numFmtId="0" fontId="46" fillId="2" borderId="0" xfId="0" applyFont="1" applyFill="1"/>
    <xf numFmtId="0" fontId="47" fillId="0" borderId="0" xfId="0" applyFont="1"/>
    <xf numFmtId="0" fontId="48" fillId="0" borderId="0" xfId="0" applyFont="1"/>
    <xf numFmtId="0" fontId="6" fillId="0" borderId="22" xfId="0" applyFont="1" applyBorder="1"/>
    <xf numFmtId="0" fontId="6" fillId="0" borderId="23" xfId="0" applyFont="1" applyBorder="1"/>
    <xf numFmtId="0" fontId="33" fillId="0" borderId="23" xfId="0" applyFont="1" applyBorder="1"/>
    <xf numFmtId="0" fontId="33" fillId="0" borderId="24" xfId="0" applyFont="1" applyBorder="1"/>
    <xf numFmtId="0" fontId="49" fillId="11" borderId="25" xfId="10" applyFont="1" applyFill="1" applyBorder="1"/>
    <xf numFmtId="0" fontId="26" fillId="0" borderId="0" xfId="10" applyFont="1"/>
    <xf numFmtId="0" fontId="51" fillId="0" borderId="0" xfId="10" applyFont="1"/>
    <xf numFmtId="0" fontId="29" fillId="0" borderId="0" xfId="10" applyFont="1" applyAlignment="1">
      <alignment horizontal="left"/>
    </xf>
    <xf numFmtId="0" fontId="30" fillId="0" borderId="0" xfId="10" applyFont="1" applyAlignment="1">
      <alignment horizontal="left"/>
    </xf>
    <xf numFmtId="0" fontId="4" fillId="0" borderId="0" xfId="10" applyFont="1" applyAlignment="1">
      <alignment horizontal="left"/>
    </xf>
    <xf numFmtId="49" fontId="5" fillId="0" borderId="0" xfId="0" applyNumberFormat="1" applyFont="1"/>
    <xf numFmtId="49" fontId="5" fillId="14" borderId="26" xfId="0" applyNumberFormat="1" applyFont="1" applyFill="1" applyBorder="1" applyAlignment="1">
      <alignment horizontal="center"/>
    </xf>
    <xf numFmtId="49" fontId="5" fillId="15" borderId="26" xfId="0" applyNumberFormat="1" applyFont="1" applyFill="1" applyBorder="1" applyAlignment="1">
      <alignment horizontal="center"/>
    </xf>
    <xf numFmtId="49" fontId="5" fillId="16" borderId="26" xfId="0" applyNumberFormat="1" applyFont="1" applyFill="1" applyBorder="1" applyAlignment="1">
      <alignment horizontal="center"/>
    </xf>
    <xf numFmtId="0" fontId="6" fillId="0" borderId="26" xfId="10" applyFont="1" applyBorder="1" applyAlignment="1">
      <alignment horizontal="center"/>
    </xf>
    <xf numFmtId="49" fontId="5" fillId="3" borderId="0" xfId="0" applyNumberFormat="1" applyFont="1" applyFill="1"/>
    <xf numFmtId="49" fontId="5" fillId="3" borderId="0" xfId="0" applyNumberFormat="1" applyFont="1" applyFill="1" applyAlignment="1">
      <alignment horizontal="center"/>
    </xf>
    <xf numFmtId="0" fontId="6" fillId="3" borderId="0" xfId="10" applyFont="1" applyFill="1" applyAlignment="1">
      <alignment horizontal="center"/>
    </xf>
    <xf numFmtId="0" fontId="6" fillId="0" borderId="0" xfId="10" applyFont="1" applyAlignment="1">
      <alignment horizontal="center"/>
    </xf>
    <xf numFmtId="49" fontId="26" fillId="0" borderId="0" xfId="0" applyNumberFormat="1" applyFont="1"/>
    <xf numFmtId="0" fontId="52" fillId="0" borderId="27" xfId="0" applyFont="1" applyBorder="1" applyAlignment="1">
      <alignment horizontal="center" textRotation="255"/>
    </xf>
    <xf numFmtId="0" fontId="26" fillId="17" borderId="0" xfId="0" applyFont="1" applyFill="1" applyAlignment="1">
      <alignment horizontal="center"/>
    </xf>
    <xf numFmtId="0" fontId="26" fillId="3" borderId="0" xfId="0" applyFont="1" applyFill="1" applyAlignment="1">
      <alignment horizontal="center"/>
    </xf>
    <xf numFmtId="0" fontId="26" fillId="0" borderId="0" xfId="0" applyFont="1" applyAlignment="1">
      <alignment horizontal="center"/>
    </xf>
    <xf numFmtId="0" fontId="31" fillId="0" borderId="0" xfId="0" applyFont="1" applyAlignment="1">
      <alignment horizontal="right"/>
    </xf>
    <xf numFmtId="0" fontId="54" fillId="3" borderId="0" xfId="0" applyFont="1" applyFill="1" applyAlignment="1">
      <alignment horizontal="center"/>
    </xf>
    <xf numFmtId="0" fontId="54" fillId="0" borderId="0" xfId="0" applyFont="1" applyAlignment="1">
      <alignment horizontal="center"/>
    </xf>
    <xf numFmtId="0" fontId="55" fillId="0" borderId="0" xfId="0" applyFont="1" applyAlignment="1">
      <alignment horizontal="center" textRotation="255" wrapText="1"/>
    </xf>
    <xf numFmtId="49" fontId="56" fillId="0" borderId="0" xfId="0" applyNumberFormat="1" applyFont="1" applyAlignment="1">
      <alignment textRotation="255"/>
    </xf>
    <xf numFmtId="0" fontId="57" fillId="0" borderId="27" xfId="0" applyFont="1" applyBorder="1" applyAlignment="1">
      <alignment horizontal="center" textRotation="255"/>
    </xf>
    <xf numFmtId="0" fontId="5" fillId="3" borderId="0" xfId="0" applyFont="1" applyFill="1" applyAlignment="1">
      <alignment horizontal="center" textRotation="255" wrapText="1"/>
    </xf>
    <xf numFmtId="0" fontId="5" fillId="3" borderId="0" xfId="0" applyFont="1" applyFill="1" applyAlignment="1">
      <alignment horizontal="center" textRotation="255"/>
    </xf>
    <xf numFmtId="0" fontId="26" fillId="0" borderId="0" xfId="0" applyFont="1" applyAlignment="1">
      <alignment horizontal="center" textRotation="255"/>
    </xf>
    <xf numFmtId="0" fontId="26" fillId="0" borderId="0" xfId="0" applyFont="1" applyAlignment="1">
      <alignment textRotation="255"/>
    </xf>
    <xf numFmtId="0" fontId="58" fillId="0" borderId="0" xfId="0" applyFont="1" applyAlignment="1">
      <alignment horizontal="center"/>
    </xf>
    <xf numFmtId="49" fontId="59" fillId="0" borderId="0" xfId="0" applyNumberFormat="1" applyFont="1" applyAlignment="1">
      <alignment horizontal="center"/>
    </xf>
    <xf numFmtId="0" fontId="60" fillId="0" borderId="0" xfId="0" applyFont="1" applyAlignment="1">
      <alignment horizontal="center"/>
    </xf>
    <xf numFmtId="0" fontId="58" fillId="0" borderId="0" xfId="0" applyFont="1" applyAlignment="1">
      <alignment horizontal="center" vertical="center"/>
    </xf>
    <xf numFmtId="49" fontId="60" fillId="0" borderId="0" xfId="0" applyNumberFormat="1" applyFont="1" applyAlignment="1">
      <alignment horizontal="right"/>
    </xf>
    <xf numFmtId="0" fontId="61" fillId="0" borderId="0" xfId="0" applyFont="1" applyAlignment="1">
      <alignment horizontal="center"/>
    </xf>
    <xf numFmtId="49" fontId="26" fillId="3" borderId="0" xfId="0" applyNumberFormat="1" applyFont="1" applyFill="1" applyAlignment="1">
      <alignment horizontal="center"/>
    </xf>
    <xf numFmtId="0" fontId="62" fillId="0" borderId="0" xfId="0" applyFont="1" applyAlignment="1">
      <alignment horizontal="center" vertical="center"/>
    </xf>
    <xf numFmtId="0" fontId="63" fillId="0" borderId="0" xfId="0" applyFont="1" applyAlignment="1">
      <alignment horizontal="center" vertical="center"/>
    </xf>
    <xf numFmtId="49" fontId="26" fillId="0" borderId="0" xfId="0" applyNumberFormat="1" applyFont="1" applyAlignment="1">
      <alignment horizontal="center"/>
    </xf>
    <xf numFmtId="49" fontId="65" fillId="0" borderId="0" xfId="0" applyNumberFormat="1" applyFont="1" applyAlignment="1">
      <alignment horizontal="center"/>
    </xf>
    <xf numFmtId="49" fontId="54" fillId="0" borderId="0" xfId="0" applyNumberFormat="1" applyFont="1" applyAlignment="1">
      <alignment horizontal="center"/>
    </xf>
    <xf numFmtId="49" fontId="66" fillId="17" borderId="0" xfId="0" applyNumberFormat="1" applyFont="1" applyFill="1" applyAlignment="1">
      <alignment horizontal="center" vertical="center"/>
    </xf>
    <xf numFmtId="0" fontId="5" fillId="17" borderId="0" xfId="0" applyFont="1" applyFill="1" applyAlignment="1">
      <alignment horizontal="center"/>
    </xf>
    <xf numFmtId="0" fontId="5" fillId="17" borderId="0" xfId="0" applyFont="1" applyFill="1"/>
    <xf numFmtId="0" fontId="67" fillId="0" borderId="27" xfId="0" applyFont="1" applyBorder="1" applyAlignment="1">
      <alignment horizontal="center" textRotation="255"/>
    </xf>
    <xf numFmtId="49" fontId="68" fillId="0" borderId="0" xfId="0" applyNumberFormat="1" applyFont="1"/>
    <xf numFmtId="0" fontId="51" fillId="8" borderId="12" xfId="10" applyFont="1" applyFill="1" applyBorder="1"/>
    <xf numFmtId="0" fontId="33" fillId="10" borderId="14" xfId="10" applyFont="1" applyFill="1" applyBorder="1" applyAlignment="1">
      <alignment vertical="center"/>
    </xf>
    <xf numFmtId="0" fontId="33" fillId="10" borderId="15" xfId="10" applyFont="1" applyFill="1" applyBorder="1" applyAlignment="1">
      <alignment vertical="center"/>
    </xf>
    <xf numFmtId="0" fontId="46" fillId="0" borderId="20" xfId="0" applyFont="1" applyBorder="1"/>
    <xf numFmtId="0" fontId="46" fillId="0" borderId="0" xfId="0" applyFont="1"/>
    <xf numFmtId="0" fontId="46" fillId="0" borderId="21" xfId="0" applyFont="1" applyBorder="1"/>
    <xf numFmtId="0" fontId="26" fillId="0" borderId="20" xfId="0" applyFont="1" applyBorder="1"/>
    <xf numFmtId="0" fontId="70" fillId="0" borderId="20" xfId="0" applyFont="1" applyBorder="1"/>
    <xf numFmtId="0" fontId="70" fillId="0" borderId="0" xfId="0" applyFont="1"/>
    <xf numFmtId="0" fontId="40" fillId="0" borderId="0" xfId="0" applyFont="1"/>
    <xf numFmtId="0" fontId="46" fillId="0" borderId="46" xfId="0" applyFont="1" applyBorder="1"/>
    <xf numFmtId="0" fontId="46" fillId="0" borderId="47" xfId="0" applyFont="1" applyBorder="1"/>
    <xf numFmtId="0" fontId="46" fillId="0" borderId="48" xfId="0" applyFont="1" applyBorder="1"/>
    <xf numFmtId="0" fontId="26" fillId="0" borderId="17" xfId="0" applyFont="1" applyBorder="1"/>
    <xf numFmtId="0" fontId="26" fillId="0" borderId="18" xfId="0" applyFont="1" applyBorder="1"/>
    <xf numFmtId="0" fontId="33" fillId="0" borderId="18" xfId="0" applyFont="1" applyBorder="1"/>
    <xf numFmtId="0" fontId="33" fillId="0" borderId="19" xfId="0" applyFont="1" applyBorder="1"/>
    <xf numFmtId="0" fontId="46" fillId="0" borderId="20" xfId="0" applyFont="1" applyBorder="1" applyAlignment="1">
      <alignment vertical="top"/>
    </xf>
    <xf numFmtId="0" fontId="46" fillId="0" borderId="0" xfId="0" applyFont="1" applyAlignment="1">
      <alignment vertical="center"/>
    </xf>
    <xf numFmtId="0" fontId="46" fillId="0" borderId="21" xfId="0" applyFont="1" applyBorder="1" applyAlignment="1">
      <alignment vertical="center"/>
    </xf>
    <xf numFmtId="0" fontId="55" fillId="0" borderId="0" xfId="0" applyFont="1"/>
    <xf numFmtId="0" fontId="26" fillId="0" borderId="22" xfId="0" applyFont="1" applyBorder="1"/>
    <xf numFmtId="0" fontId="26" fillId="0" borderId="23" xfId="0" applyFont="1" applyBorder="1"/>
    <xf numFmtId="0" fontId="73" fillId="0" borderId="0" xfId="10" applyFont="1"/>
    <xf numFmtId="0" fontId="74" fillId="0" borderId="20" xfId="0" applyFont="1" applyBorder="1"/>
    <xf numFmtId="0" fontId="75" fillId="0" borderId="0" xfId="0" applyFont="1"/>
    <xf numFmtId="0" fontId="26" fillId="0" borderId="21" xfId="0" applyFont="1" applyBorder="1"/>
    <xf numFmtId="49" fontId="66" fillId="17" borderId="44" xfId="0" applyNumberFormat="1" applyFont="1" applyFill="1" applyBorder="1" applyAlignment="1">
      <alignment horizontal="center" vertical="center"/>
    </xf>
    <xf numFmtId="0" fontId="26" fillId="0" borderId="21" xfId="0" applyFont="1" applyBorder="1" applyAlignment="1">
      <alignment horizontal="left" vertical="center"/>
    </xf>
    <xf numFmtId="0" fontId="5" fillId="0" borderId="0" xfId="0" applyFont="1" applyAlignment="1">
      <alignment horizontal="left"/>
    </xf>
    <xf numFmtId="0" fontId="76" fillId="0" borderId="20" xfId="11" applyFont="1" applyBorder="1" applyAlignment="1">
      <alignment horizontal="center" vertical="center"/>
    </xf>
    <xf numFmtId="0" fontId="6" fillId="2" borderId="31" xfId="0" applyFont="1" applyFill="1" applyBorder="1" applyAlignment="1">
      <alignment horizontal="center"/>
    </xf>
    <xf numFmtId="0" fontId="6" fillId="2" borderId="32" xfId="0" applyFont="1" applyFill="1" applyBorder="1" applyAlignment="1">
      <alignment horizontal="center"/>
    </xf>
    <xf numFmtId="0" fontId="77" fillId="2" borderId="32" xfId="12" applyFont="1" applyFill="1" applyBorder="1" applyAlignment="1">
      <alignment horizontal="center"/>
    </xf>
    <xf numFmtId="0" fontId="77" fillId="2" borderId="34" xfId="12" applyFont="1" applyFill="1" applyBorder="1" applyAlignment="1">
      <alignment horizontal="center"/>
    </xf>
    <xf numFmtId="0" fontId="77" fillId="0" borderId="21" xfId="12" applyFont="1" applyBorder="1" applyAlignment="1">
      <alignment horizontal="center"/>
    </xf>
    <xf numFmtId="0" fontId="35" fillId="0" borderId="0" xfId="3" applyFont="1" applyAlignment="1">
      <alignment horizontal="center"/>
    </xf>
    <xf numFmtId="49" fontId="5" fillId="0" borderId="20" xfId="0" applyNumberFormat="1" applyFont="1" applyBorder="1" applyAlignment="1">
      <alignment horizontal="center"/>
    </xf>
    <xf numFmtId="0" fontId="5" fillId="2" borderId="31" xfId="0" applyFont="1" applyFill="1" applyBorder="1" applyAlignment="1">
      <alignment horizontal="center"/>
    </xf>
    <xf numFmtId="0" fontId="5" fillId="2" borderId="32" xfId="0" applyFont="1" applyFill="1" applyBorder="1" applyAlignment="1">
      <alignment horizontal="center"/>
    </xf>
    <xf numFmtId="0" fontId="79" fillId="2" borderId="32" xfId="11" applyFont="1" applyFill="1" applyBorder="1" applyAlignment="1">
      <alignment horizontal="center" vertical="center"/>
    </xf>
    <xf numFmtId="0" fontId="79" fillId="2" borderId="34" xfId="11" applyFont="1" applyFill="1" applyBorder="1" applyAlignment="1">
      <alignment horizontal="center" vertical="center"/>
    </xf>
    <xf numFmtId="0" fontId="79" fillId="0" borderId="21" xfId="11" applyFont="1" applyBorder="1" applyAlignment="1">
      <alignment horizontal="center" vertical="center"/>
    </xf>
    <xf numFmtId="0" fontId="79" fillId="0" borderId="0" xfId="3" applyFont="1" applyAlignment="1">
      <alignment horizontal="center"/>
    </xf>
    <xf numFmtId="0" fontId="80" fillId="0" borderId="31" xfId="0" applyFont="1" applyBorder="1" applyAlignment="1">
      <alignment horizontal="center"/>
    </xf>
    <xf numFmtId="0" fontId="80" fillId="0" borderId="32" xfId="0" applyFont="1" applyBorder="1" applyAlignment="1">
      <alignment horizontal="center"/>
    </xf>
    <xf numFmtId="176" fontId="80" fillId="0" borderId="32" xfId="0" applyNumberFormat="1" applyFont="1" applyBorder="1"/>
    <xf numFmtId="49" fontId="80" fillId="0" borderId="32" xfId="0" applyNumberFormat="1" applyFont="1" applyBorder="1" applyAlignment="1">
      <alignment horizontal="center"/>
    </xf>
    <xf numFmtId="49" fontId="80" fillId="0" borderId="34" xfId="0" applyNumberFormat="1" applyFont="1" applyBorder="1" applyAlignment="1">
      <alignment horizontal="center"/>
    </xf>
    <xf numFmtId="49" fontId="80" fillId="0" borderId="21" xfId="0" applyNumberFormat="1" applyFont="1" applyBorder="1" applyAlignment="1">
      <alignment horizontal="center"/>
    </xf>
    <xf numFmtId="49" fontId="5" fillId="0" borderId="0" xfId="0" applyNumberFormat="1" applyFont="1" applyAlignment="1">
      <alignment horizontal="center"/>
    </xf>
    <xf numFmtId="0" fontId="81" fillId="14" borderId="31" xfId="0" applyFont="1" applyFill="1" applyBorder="1" applyAlignment="1">
      <alignment horizontal="center"/>
    </xf>
    <xf numFmtId="0" fontId="81" fillId="14" borderId="32" xfId="0" applyFont="1" applyFill="1" applyBorder="1" applyAlignment="1">
      <alignment horizontal="center"/>
    </xf>
    <xf numFmtId="176" fontId="81" fillId="14" borderId="32" xfId="0" applyNumberFormat="1" applyFont="1" applyFill="1" applyBorder="1"/>
    <xf numFmtId="49" fontId="81" fillId="14" borderId="32" xfId="0" applyNumberFormat="1" applyFont="1" applyFill="1" applyBorder="1" applyAlignment="1">
      <alignment horizontal="center"/>
    </xf>
    <xf numFmtId="49" fontId="81" fillId="14" borderId="34" xfId="0" applyNumberFormat="1" applyFont="1" applyFill="1" applyBorder="1" applyAlignment="1">
      <alignment horizontal="center"/>
    </xf>
    <xf numFmtId="49" fontId="81" fillId="0" borderId="0" xfId="0" applyNumberFormat="1" applyFont="1" applyAlignment="1">
      <alignment horizontal="center"/>
    </xf>
    <xf numFmtId="0" fontId="5" fillId="0" borderId="0" xfId="0" applyFont="1"/>
    <xf numFmtId="0" fontId="80" fillId="0" borderId="45" xfId="0" applyFont="1" applyBorder="1" applyAlignment="1">
      <alignment horizontal="center"/>
    </xf>
    <xf numFmtId="0" fontId="80" fillId="0" borderId="41" xfId="0" applyFont="1" applyBorder="1" applyAlignment="1">
      <alignment horizontal="center"/>
    </xf>
    <xf numFmtId="176" fontId="80" fillId="0" borderId="41" xfId="0" applyNumberFormat="1" applyFont="1" applyBorder="1" applyAlignment="1">
      <alignment horizontal="right"/>
    </xf>
    <xf numFmtId="49" fontId="80" fillId="0" borderId="41" xfId="0" applyNumberFormat="1" applyFont="1" applyBorder="1" applyAlignment="1">
      <alignment horizontal="center"/>
    </xf>
    <xf numFmtId="49" fontId="80" fillId="0" borderId="42" xfId="0" applyNumberFormat="1" applyFont="1" applyBorder="1" applyAlignment="1">
      <alignment horizontal="center"/>
    </xf>
    <xf numFmtId="0" fontId="82" fillId="0" borderId="0" xfId="0" applyFont="1" applyAlignment="1">
      <alignment horizontal="center"/>
    </xf>
    <xf numFmtId="176" fontId="82" fillId="0" borderId="0" xfId="0" applyNumberFormat="1" applyFont="1" applyAlignment="1">
      <alignment horizontal="right"/>
    </xf>
    <xf numFmtId="49" fontId="82" fillId="0" borderId="0" xfId="0" applyNumberFormat="1" applyFont="1" applyAlignment="1">
      <alignment horizontal="center"/>
    </xf>
    <xf numFmtId="176" fontId="82" fillId="0" borderId="0" xfId="0" applyNumberFormat="1" applyFont="1"/>
    <xf numFmtId="0" fontId="83" fillId="0" borderId="0" xfId="0" applyFont="1" applyAlignment="1">
      <alignment horizontal="center" wrapText="1"/>
    </xf>
    <xf numFmtId="0" fontId="83" fillId="0" borderId="0" xfId="0" applyFont="1"/>
    <xf numFmtId="49" fontId="80" fillId="0" borderId="0" xfId="0" applyNumberFormat="1" applyFont="1" applyAlignment="1">
      <alignment horizontal="center"/>
    </xf>
    <xf numFmtId="0" fontId="83" fillId="0" borderId="0" xfId="0" applyFont="1" applyAlignment="1">
      <alignment horizontal="left" wrapText="1"/>
    </xf>
    <xf numFmtId="49" fontId="5" fillId="0" borderId="21" xfId="0" applyNumberFormat="1" applyFont="1" applyBorder="1" applyAlignment="1">
      <alignment horizontal="center"/>
    </xf>
    <xf numFmtId="0" fontId="80" fillId="0" borderId="35" xfId="0" applyFont="1" applyBorder="1" applyAlignment="1">
      <alignment horizontal="center"/>
    </xf>
    <xf numFmtId="0" fontId="80" fillId="0" borderId="36" xfId="0" applyFont="1" applyBorder="1" applyAlignment="1">
      <alignment horizontal="center"/>
    </xf>
    <xf numFmtId="176" fontId="80" fillId="0" borderId="36" xfId="0" applyNumberFormat="1" applyFont="1" applyBorder="1"/>
    <xf numFmtId="49" fontId="80" fillId="0" borderId="36" xfId="0" applyNumberFormat="1" applyFont="1" applyBorder="1" applyAlignment="1">
      <alignment horizontal="center"/>
    </xf>
    <xf numFmtId="49" fontId="80" fillId="0" borderId="37" xfId="0" applyNumberFormat="1" applyFont="1" applyBorder="1" applyAlignment="1">
      <alignment horizontal="center"/>
    </xf>
    <xf numFmtId="0" fontId="80" fillId="0" borderId="50" xfId="0" applyFont="1" applyBorder="1" applyAlignment="1">
      <alignment horizontal="center"/>
    </xf>
    <xf numFmtId="0" fontId="80" fillId="0" borderId="43" xfId="0" applyFont="1" applyBorder="1" applyAlignment="1">
      <alignment horizontal="center"/>
    </xf>
    <xf numFmtId="176" fontId="80" fillId="0" borderId="43" xfId="0" applyNumberFormat="1" applyFont="1" applyBorder="1"/>
    <xf numFmtId="49" fontId="80" fillId="0" borderId="43" xfId="0" applyNumberFormat="1" applyFont="1" applyBorder="1" applyAlignment="1">
      <alignment horizontal="center"/>
    </xf>
    <xf numFmtId="49" fontId="80" fillId="0" borderId="51" xfId="0" applyNumberFormat="1" applyFont="1" applyBorder="1" applyAlignment="1">
      <alignment horizontal="center"/>
    </xf>
    <xf numFmtId="0" fontId="80" fillId="0" borderId="52" xfId="0" applyFont="1" applyBorder="1" applyAlignment="1">
      <alignment horizontal="center"/>
    </xf>
    <xf numFmtId="0" fontId="80" fillId="0" borderId="53" xfId="0" applyFont="1" applyBorder="1" applyAlignment="1">
      <alignment horizontal="center"/>
    </xf>
    <xf numFmtId="176" fontId="80" fillId="0" borderId="53" xfId="0" applyNumberFormat="1" applyFont="1" applyBorder="1"/>
    <xf numFmtId="49" fontId="80" fillId="0" borderId="53" xfId="0" applyNumberFormat="1" applyFont="1" applyBorder="1" applyAlignment="1">
      <alignment horizontal="center"/>
    </xf>
    <xf numFmtId="49" fontId="80" fillId="0" borderId="54" xfId="0" applyNumberFormat="1" applyFont="1" applyBorder="1" applyAlignment="1">
      <alignment horizontal="center"/>
    </xf>
    <xf numFmtId="0" fontId="80" fillId="0" borderId="55" xfId="0" applyFont="1" applyBorder="1" applyAlignment="1">
      <alignment horizontal="center"/>
    </xf>
    <xf numFmtId="0" fontId="80" fillId="0" borderId="56" xfId="0" applyFont="1" applyBorder="1" applyAlignment="1">
      <alignment horizontal="center"/>
    </xf>
    <xf numFmtId="176" fontId="80" fillId="0" borderId="56" xfId="0" applyNumberFormat="1" applyFont="1" applyBorder="1"/>
    <xf numFmtId="49" fontId="80" fillId="0" borderId="56" xfId="0" applyNumberFormat="1" applyFont="1" applyBorder="1" applyAlignment="1">
      <alignment horizontal="center"/>
    </xf>
    <xf numFmtId="0" fontId="80" fillId="0" borderId="57" xfId="0" applyFont="1" applyBorder="1" applyAlignment="1">
      <alignment horizontal="center"/>
    </xf>
    <xf numFmtId="0" fontId="80" fillId="0" borderId="58" xfId="0" applyFont="1" applyBorder="1" applyAlignment="1">
      <alignment horizontal="center"/>
    </xf>
    <xf numFmtId="176" fontId="80" fillId="0" borderId="58" xfId="0" applyNumberFormat="1" applyFont="1" applyBorder="1"/>
    <xf numFmtId="49" fontId="80" fillId="0" borderId="58" xfId="0" applyNumberFormat="1" applyFont="1" applyBorder="1" applyAlignment="1">
      <alignment horizontal="center"/>
    </xf>
    <xf numFmtId="176" fontId="55" fillId="0" borderId="58" xfId="0" applyNumberFormat="1" applyFont="1" applyBorder="1"/>
    <xf numFmtId="49" fontId="83" fillId="0" borderId="58" xfId="0" applyNumberFormat="1" applyFont="1" applyBorder="1" applyAlignment="1">
      <alignment horizontal="center"/>
    </xf>
    <xf numFmtId="49" fontId="83" fillId="0" borderId="32" xfId="0" applyNumberFormat="1" applyFont="1" applyBorder="1" applyAlignment="1">
      <alignment horizontal="center"/>
    </xf>
    <xf numFmtId="49" fontId="55" fillId="0" borderId="58" xfId="0" applyNumberFormat="1" applyFont="1" applyBorder="1" applyAlignment="1">
      <alignment horizontal="center"/>
    </xf>
    <xf numFmtId="49" fontId="55" fillId="0" borderId="59" xfId="0" applyNumberFormat="1" applyFont="1" applyBorder="1" applyAlignment="1">
      <alignment horizontal="center"/>
    </xf>
    <xf numFmtId="176" fontId="80" fillId="0" borderId="58" xfId="0" applyNumberFormat="1" applyFont="1" applyBorder="1" applyAlignment="1">
      <alignment horizontal="right"/>
    </xf>
    <xf numFmtId="49" fontId="80" fillId="0" borderId="59" xfId="0" applyNumberFormat="1" applyFont="1" applyBorder="1" applyAlignment="1">
      <alignment horizontal="center"/>
    </xf>
    <xf numFmtId="0" fontId="80" fillId="0" borderId="60" xfId="0" applyFont="1" applyBorder="1" applyAlignment="1">
      <alignment horizontal="center"/>
    </xf>
    <xf numFmtId="0" fontId="80" fillId="0" borderId="61" xfId="0" applyFont="1" applyBorder="1" applyAlignment="1">
      <alignment horizontal="center"/>
    </xf>
    <xf numFmtId="176" fontId="80" fillId="0" borderId="61" xfId="0" applyNumberFormat="1" applyFont="1" applyBorder="1"/>
    <xf numFmtId="49" fontId="80" fillId="0" borderId="61" xfId="0" applyNumberFormat="1" applyFont="1" applyBorder="1" applyAlignment="1">
      <alignment horizontal="center"/>
    </xf>
    <xf numFmtId="49" fontId="80" fillId="0" borderId="62" xfId="0" applyNumberFormat="1" applyFont="1" applyBorder="1" applyAlignment="1">
      <alignment horizontal="center"/>
    </xf>
    <xf numFmtId="0" fontId="80" fillId="0" borderId="0" xfId="0" applyFont="1" applyAlignment="1">
      <alignment horizontal="center"/>
    </xf>
    <xf numFmtId="176" fontId="64" fillId="0" borderId="0" xfId="0" applyNumberFormat="1" applyFont="1" applyAlignment="1">
      <alignment horizontal="right"/>
    </xf>
    <xf numFmtId="0" fontId="75" fillId="0" borderId="20" xfId="0" applyFont="1" applyBorder="1"/>
    <xf numFmtId="0" fontId="75" fillId="0" borderId="17" xfId="0" applyFont="1" applyBorder="1"/>
    <xf numFmtId="0" fontId="75" fillId="0" borderId="18" xfId="0" applyFont="1" applyBorder="1"/>
    <xf numFmtId="0" fontId="26" fillId="0" borderId="19" xfId="0" applyFont="1" applyBorder="1"/>
    <xf numFmtId="0" fontId="80" fillId="0" borderId="20" xfId="0" applyFont="1" applyBorder="1"/>
    <xf numFmtId="0" fontId="26" fillId="0" borderId="24" xfId="0" applyFont="1" applyBorder="1"/>
    <xf numFmtId="0" fontId="33" fillId="0" borderId="20" xfId="0" applyFont="1" applyBorder="1"/>
    <xf numFmtId="0" fontId="84" fillId="0" borderId="0" xfId="0" applyFont="1"/>
    <xf numFmtId="0" fontId="84" fillId="0" borderId="63" xfId="0" applyFont="1" applyBorder="1"/>
    <xf numFmtId="0" fontId="40" fillId="0" borderId="20" xfId="0" applyFont="1" applyBorder="1"/>
    <xf numFmtId="0" fontId="48" fillId="0" borderId="21" xfId="0" applyFont="1" applyBorder="1"/>
    <xf numFmtId="0" fontId="45" fillId="0" borderId="20" xfId="0" applyFont="1" applyBorder="1"/>
    <xf numFmtId="0" fontId="85" fillId="0" borderId="0" xfId="0" applyFont="1"/>
    <xf numFmtId="0" fontId="86" fillId="0" borderId="20" xfId="10" applyFont="1" applyBorder="1"/>
    <xf numFmtId="0" fontId="33" fillId="0" borderId="0" xfId="10" applyFont="1"/>
    <xf numFmtId="0" fontId="33" fillId="0" borderId="21" xfId="10" applyFont="1" applyBorder="1"/>
    <xf numFmtId="0" fontId="48" fillId="0" borderId="20" xfId="0" applyFont="1" applyBorder="1"/>
    <xf numFmtId="0" fontId="45" fillId="0" borderId="21" xfId="0" applyFont="1" applyBorder="1"/>
    <xf numFmtId="0" fontId="5" fillId="0" borderId="20" xfId="0" applyFont="1" applyBorder="1"/>
    <xf numFmtId="0" fontId="65" fillId="0" borderId="20" xfId="0" applyFont="1" applyBorder="1"/>
    <xf numFmtId="0" fontId="26" fillId="0" borderId="64" xfId="0" applyFont="1" applyBorder="1"/>
    <xf numFmtId="0" fontId="26" fillId="0" borderId="65" xfId="0" applyFont="1" applyBorder="1"/>
    <xf numFmtId="0" fontId="33" fillId="0" borderId="65" xfId="0" applyFont="1" applyBorder="1"/>
    <xf numFmtId="0" fontId="33" fillId="0" borderId="66" xfId="0" applyFont="1" applyBorder="1"/>
    <xf numFmtId="0" fontId="65" fillId="0" borderId="0" xfId="0" applyFont="1"/>
    <xf numFmtId="0" fontId="68" fillId="0" borderId="20" xfId="0" applyFont="1" applyBorder="1"/>
    <xf numFmtId="0" fontId="80" fillId="0" borderId="0" xfId="0" applyFont="1"/>
    <xf numFmtId="0" fontId="80" fillId="0" borderId="21" xfId="0" applyFont="1" applyBorder="1"/>
    <xf numFmtId="0" fontId="38" fillId="0" borderId="0" xfId="0" applyFont="1"/>
    <xf numFmtId="0" fontId="26" fillId="0" borderId="0" xfId="0" applyFont="1" applyAlignment="1">
      <alignment horizontal="right"/>
    </xf>
    <xf numFmtId="0" fontId="88" fillId="0" borderId="0" xfId="0" applyFont="1"/>
    <xf numFmtId="0" fontId="89" fillId="0" borderId="0" xfId="0" applyFont="1"/>
    <xf numFmtId="0" fontId="89" fillId="0" borderId="21" xfId="0" applyFont="1" applyBorder="1"/>
    <xf numFmtId="0" fontId="91" fillId="8" borderId="68" xfId="10" applyFont="1" applyFill="1" applyBorder="1" applyAlignment="1">
      <alignment horizontal="center"/>
    </xf>
    <xf numFmtId="0" fontId="33" fillId="0" borderId="69" xfId="10" applyFont="1" applyBorder="1"/>
    <xf numFmtId="0" fontId="33" fillId="0" borderId="70" xfId="10" applyFont="1" applyBorder="1"/>
    <xf numFmtId="0" fontId="36" fillId="0" borderId="21" xfId="0" applyFont="1" applyBorder="1" applyAlignment="1">
      <alignment horizontal="left"/>
    </xf>
    <xf numFmtId="0" fontId="33" fillId="0" borderId="21" xfId="0" applyFont="1" applyBorder="1" applyAlignment="1">
      <alignment horizontal="left"/>
    </xf>
    <xf numFmtId="0" fontId="55" fillId="0" borderId="0" xfId="0" applyFont="1" applyAlignment="1">
      <alignment horizontal="center"/>
    </xf>
    <xf numFmtId="176" fontId="55" fillId="0" borderId="0" xfId="0" applyNumberFormat="1" applyFont="1" applyAlignment="1">
      <alignment horizontal="right"/>
    </xf>
    <xf numFmtId="49" fontId="55" fillId="0" borderId="0" xfId="0" applyNumberFormat="1" applyFont="1" applyAlignment="1">
      <alignment horizontal="center"/>
    </xf>
    <xf numFmtId="176" fontId="55" fillId="0" borderId="0" xfId="0" applyNumberFormat="1" applyFont="1"/>
    <xf numFmtId="49" fontId="80" fillId="0" borderId="71" xfId="0" applyNumberFormat="1" applyFont="1" applyBorder="1" applyAlignment="1">
      <alignment horizontal="center"/>
    </xf>
    <xf numFmtId="0" fontId="55" fillId="0" borderId="57" xfId="0" applyFont="1" applyBorder="1" applyAlignment="1">
      <alignment horizontal="center"/>
    </xf>
    <xf numFmtId="0" fontId="55" fillId="0" borderId="58" xfId="0" applyFont="1" applyBorder="1" applyAlignment="1">
      <alignment horizontal="center"/>
    </xf>
    <xf numFmtId="176" fontId="55" fillId="0" borderId="58" xfId="0" applyNumberFormat="1" applyFont="1" applyBorder="1" applyAlignment="1">
      <alignment horizontal="right"/>
    </xf>
    <xf numFmtId="0" fontId="55" fillId="0" borderId="60" xfId="0" applyFont="1" applyBorder="1" applyAlignment="1">
      <alignment horizontal="center"/>
    </xf>
    <xf numFmtId="0" fontId="55" fillId="0" borderId="61" xfId="0" applyFont="1" applyBorder="1" applyAlignment="1">
      <alignment horizontal="center"/>
    </xf>
    <xf numFmtId="176" fontId="55" fillId="0" borderId="61" xfId="0" applyNumberFormat="1" applyFont="1" applyBorder="1"/>
    <xf numFmtId="49" fontId="55" fillId="0" borderId="61" xfId="0" applyNumberFormat="1" applyFont="1" applyBorder="1" applyAlignment="1">
      <alignment horizontal="center"/>
    </xf>
    <xf numFmtId="49" fontId="55" fillId="0" borderId="62" xfId="0" applyNumberFormat="1" applyFont="1" applyBorder="1" applyAlignment="1">
      <alignment horizontal="center"/>
    </xf>
    <xf numFmtId="49" fontId="66" fillId="17" borderId="72" xfId="0" applyNumberFormat="1" applyFont="1" applyFill="1" applyBorder="1" applyAlignment="1">
      <alignment horizontal="center" vertical="center"/>
    </xf>
    <xf numFmtId="49" fontId="53" fillId="0" borderId="21" xfId="0" applyNumberFormat="1" applyFont="1" applyBorder="1" applyAlignment="1">
      <alignment horizontal="left" vertical="center"/>
    </xf>
    <xf numFmtId="0" fontId="26" fillId="0" borderId="0" xfId="0" applyFont="1" applyAlignment="1">
      <alignment horizontal="left" vertical="center"/>
    </xf>
    <xf numFmtId="0" fontId="6" fillId="2" borderId="57" xfId="0" applyFont="1" applyFill="1" applyBorder="1" applyAlignment="1">
      <alignment horizontal="center"/>
    </xf>
    <xf numFmtId="0" fontId="6" fillId="2" borderId="58" xfId="0" applyFont="1" applyFill="1" applyBorder="1" applyAlignment="1">
      <alignment horizontal="center"/>
    </xf>
    <xf numFmtId="0" fontId="77" fillId="2" borderId="58" xfId="12" applyFont="1" applyFill="1" applyBorder="1" applyAlignment="1">
      <alignment horizontal="center"/>
    </xf>
    <xf numFmtId="0" fontId="77" fillId="2" borderId="59" xfId="12" applyFont="1" applyFill="1" applyBorder="1" applyAlignment="1">
      <alignment horizontal="center"/>
    </xf>
    <xf numFmtId="0" fontId="77" fillId="0" borderId="0" xfId="12" applyFont="1" applyAlignment="1">
      <alignment horizontal="center"/>
    </xf>
    <xf numFmtId="0" fontId="5" fillId="2" borderId="57" xfId="0" applyFont="1" applyFill="1" applyBorder="1" applyAlignment="1">
      <alignment horizontal="center"/>
    </xf>
    <xf numFmtId="0" fontId="5" fillId="2" borderId="58" xfId="0" applyFont="1" applyFill="1" applyBorder="1" applyAlignment="1">
      <alignment horizontal="center"/>
    </xf>
    <xf numFmtId="0" fontId="79" fillId="2" borderId="58" xfId="11" applyFont="1" applyFill="1" applyBorder="1" applyAlignment="1">
      <alignment horizontal="center" vertical="center"/>
    </xf>
    <xf numFmtId="0" fontId="79" fillId="2" borderId="59" xfId="11" applyFont="1" applyFill="1" applyBorder="1" applyAlignment="1">
      <alignment horizontal="center" vertical="center"/>
    </xf>
    <xf numFmtId="0" fontId="79" fillId="0" borderId="0" xfId="11" applyFont="1" applyAlignment="1">
      <alignment horizontal="center" vertical="center"/>
    </xf>
    <xf numFmtId="0" fontId="81" fillId="14" borderId="57" xfId="0" applyFont="1" applyFill="1" applyBorder="1" applyAlignment="1">
      <alignment horizontal="center"/>
    </xf>
    <xf numFmtId="0" fontId="81" fillId="14" borderId="58" xfId="0" applyFont="1" applyFill="1" applyBorder="1" applyAlignment="1">
      <alignment horizontal="center"/>
    </xf>
    <xf numFmtId="176" fontId="81" fillId="14" borderId="58" xfId="0" applyNumberFormat="1" applyFont="1" applyFill="1" applyBorder="1"/>
    <xf numFmtId="49" fontId="81" fillId="14" borderId="58" xfId="0" applyNumberFormat="1" applyFont="1" applyFill="1" applyBorder="1" applyAlignment="1">
      <alignment horizontal="center"/>
    </xf>
    <xf numFmtId="49" fontId="81" fillId="14" borderId="59" xfId="0" applyNumberFormat="1" applyFont="1" applyFill="1" applyBorder="1" applyAlignment="1">
      <alignment horizontal="center"/>
    </xf>
    <xf numFmtId="49" fontId="81" fillId="0" borderId="21" xfId="0" applyNumberFormat="1" applyFont="1" applyBorder="1" applyAlignment="1">
      <alignment horizontal="center"/>
    </xf>
    <xf numFmtId="0" fontId="92" fillId="0" borderId="57" xfId="0" applyFont="1" applyBorder="1" applyAlignment="1">
      <alignment horizontal="center"/>
    </xf>
    <xf numFmtId="0" fontId="92" fillId="0" borderId="58" xfId="0" applyFont="1" applyBorder="1" applyAlignment="1">
      <alignment horizontal="center"/>
    </xf>
    <xf numFmtId="176" fontId="92" fillId="0" borderId="58" xfId="0" applyNumberFormat="1" applyFont="1" applyBorder="1"/>
    <xf numFmtId="49" fontId="92" fillId="0" borderId="58" xfId="0" applyNumberFormat="1" applyFont="1" applyBorder="1" applyAlignment="1">
      <alignment horizontal="center"/>
    </xf>
    <xf numFmtId="49" fontId="92" fillId="0" borderId="59" xfId="0" applyNumberFormat="1" applyFont="1" applyBorder="1" applyAlignment="1">
      <alignment horizontal="center"/>
    </xf>
    <xf numFmtId="176" fontId="80" fillId="0" borderId="61" xfId="0" applyNumberFormat="1" applyFont="1" applyBorder="1" applyAlignment="1">
      <alignment horizontal="right"/>
    </xf>
    <xf numFmtId="49" fontId="82" fillId="0" borderId="21" xfId="0" applyNumberFormat="1" applyFont="1" applyBorder="1" applyAlignment="1">
      <alignment horizontal="center"/>
    </xf>
    <xf numFmtId="49" fontId="53" fillId="0" borderId="76" xfId="0" applyNumberFormat="1" applyFont="1" applyBorder="1" applyAlignment="1">
      <alignment horizontal="left" vertical="center"/>
    </xf>
    <xf numFmtId="0" fontId="77" fillId="2" borderId="77" xfId="12" applyFont="1" applyFill="1" applyBorder="1" applyAlignment="1">
      <alignment horizontal="center"/>
    </xf>
    <xf numFmtId="0" fontId="77" fillId="0" borderId="76" xfId="12" applyFont="1" applyBorder="1" applyAlignment="1">
      <alignment horizontal="center"/>
    </xf>
    <xf numFmtId="0" fontId="79" fillId="2" borderId="77" xfId="11" applyFont="1" applyFill="1" applyBorder="1" applyAlignment="1">
      <alignment horizontal="center" vertical="center"/>
    </xf>
    <xf numFmtId="0" fontId="79" fillId="0" borderId="76" xfId="11" applyFont="1" applyBorder="1" applyAlignment="1">
      <alignment horizontal="center" vertical="center"/>
    </xf>
    <xf numFmtId="49" fontId="80" fillId="0" borderId="77" xfId="0" applyNumberFormat="1" applyFont="1" applyBorder="1" applyAlignment="1">
      <alignment horizontal="center"/>
    </xf>
    <xf numFmtId="49" fontId="80" fillId="0" borderId="76" xfId="0" applyNumberFormat="1" applyFont="1" applyBorder="1" applyAlignment="1">
      <alignment horizontal="center"/>
    </xf>
    <xf numFmtId="49" fontId="80" fillId="0" borderId="78" xfId="0" applyNumberFormat="1" applyFont="1" applyBorder="1" applyAlignment="1">
      <alignment horizontal="center"/>
    </xf>
    <xf numFmtId="0" fontId="6" fillId="0" borderId="21" xfId="0" applyFont="1" applyBorder="1"/>
    <xf numFmtId="0" fontId="32" fillId="9" borderId="9" xfId="0" applyFont="1" applyFill="1" applyBorder="1" applyAlignment="1">
      <alignment vertical="center"/>
    </xf>
    <xf numFmtId="0" fontId="27" fillId="0" borderId="0" xfId="9" applyAlignment="1"/>
    <xf numFmtId="0" fontId="41" fillId="19" borderId="0" xfId="0" applyFont="1" applyFill="1"/>
    <xf numFmtId="0" fontId="37" fillId="19" borderId="0" xfId="0" applyFont="1" applyFill="1"/>
    <xf numFmtId="0" fontId="5" fillId="19" borderId="0" xfId="0" applyFont="1" applyFill="1"/>
    <xf numFmtId="0" fontId="43" fillId="19" borderId="0" xfId="0" quotePrefix="1" applyFont="1" applyFill="1"/>
    <xf numFmtId="0" fontId="42" fillId="0" borderId="0" xfId="0" applyFont="1" applyAlignment="1">
      <alignment horizontal="left" vertical="top"/>
    </xf>
    <xf numFmtId="0" fontId="42" fillId="0" borderId="0" xfId="0" applyFont="1" applyAlignment="1">
      <alignment horizontal="left"/>
    </xf>
    <xf numFmtId="0" fontId="42" fillId="0" borderId="0" xfId="0" applyFont="1" applyAlignment="1">
      <alignment horizontal="left" vertical="center"/>
    </xf>
    <xf numFmtId="0" fontId="42" fillId="19" borderId="0" xfId="0" applyFont="1" applyFill="1" applyAlignment="1">
      <alignment horizontal="right"/>
    </xf>
    <xf numFmtId="0" fontId="33" fillId="19" borderId="0" xfId="0" applyFont="1" applyFill="1"/>
    <xf numFmtId="0" fontId="39" fillId="2" borderId="0" xfId="0" applyFont="1" applyFill="1" applyAlignment="1">
      <alignment horizontal="left"/>
    </xf>
    <xf numFmtId="0" fontId="33" fillId="19" borderId="0" xfId="0" applyFont="1" applyFill="1" applyAlignment="1">
      <alignment horizontal="left"/>
    </xf>
    <xf numFmtId="0" fontId="41" fillId="19" borderId="0" xfId="0" applyFont="1" applyFill="1" applyAlignment="1">
      <alignment horizontal="left"/>
    </xf>
    <xf numFmtId="0" fontId="37" fillId="19" borderId="0" xfId="0" applyFont="1" applyFill="1" applyAlignment="1">
      <alignment horizontal="left"/>
    </xf>
    <xf numFmtId="0" fontId="26" fillId="19" borderId="0" xfId="0" applyFont="1" applyFill="1"/>
    <xf numFmtId="49" fontId="5" fillId="14" borderId="7" xfId="0" applyNumberFormat="1" applyFont="1" applyFill="1" applyBorder="1" applyAlignment="1">
      <alignment horizontal="left" vertical="center"/>
    </xf>
    <xf numFmtId="49" fontId="5" fillId="19" borderId="7" xfId="0" applyNumberFormat="1" applyFont="1" applyFill="1" applyBorder="1" applyAlignment="1">
      <alignment horizontal="left" vertical="center"/>
    </xf>
    <xf numFmtId="49" fontId="54" fillId="19" borderId="31" xfId="0" applyNumberFormat="1" applyFont="1" applyFill="1" applyBorder="1" applyAlignment="1">
      <alignment horizontal="center" vertical="center"/>
    </xf>
    <xf numFmtId="49" fontId="54" fillId="19" borderId="32" xfId="0" applyNumberFormat="1" applyFont="1" applyFill="1" applyBorder="1" applyAlignment="1">
      <alignment horizontal="center" vertical="center"/>
    </xf>
    <xf numFmtId="49" fontId="26" fillId="19" borderId="32" xfId="0" applyNumberFormat="1" applyFont="1" applyFill="1" applyBorder="1" applyAlignment="1">
      <alignment horizontal="center" vertical="center"/>
    </xf>
    <xf numFmtId="49" fontId="5" fillId="19" borderId="7" xfId="0" applyNumberFormat="1" applyFont="1" applyFill="1" applyBorder="1" applyAlignment="1">
      <alignment horizontal="left" vertical="center" wrapText="1"/>
    </xf>
    <xf numFmtId="49" fontId="21" fillId="19" borderId="7" xfId="0" applyNumberFormat="1" applyFont="1" applyFill="1" applyBorder="1" applyAlignment="1">
      <alignment horizontal="left" vertical="center" wrapText="1"/>
    </xf>
    <xf numFmtId="49" fontId="95" fillId="19" borderId="7" xfId="0" applyNumberFormat="1" applyFont="1" applyFill="1" applyBorder="1" applyAlignment="1">
      <alignment horizontal="left" vertical="center" wrapText="1"/>
    </xf>
    <xf numFmtId="0" fontId="26" fillId="0" borderId="67" xfId="0" applyFont="1" applyBorder="1" applyAlignment="1">
      <alignment horizontal="left" vertical="center"/>
    </xf>
    <xf numFmtId="0" fontId="26" fillId="0" borderId="14" xfId="0" applyFont="1" applyBorder="1" applyAlignment="1">
      <alignment horizontal="left" vertical="center"/>
    </xf>
    <xf numFmtId="0" fontId="6" fillId="0" borderId="14" xfId="0" applyFont="1" applyBorder="1" applyAlignment="1">
      <alignment horizontal="left" vertical="center"/>
    </xf>
    <xf numFmtId="0" fontId="0" fillId="0" borderId="14" xfId="0" applyBorder="1"/>
    <xf numFmtId="0" fontId="0" fillId="0" borderId="15" xfId="0" applyBorder="1"/>
    <xf numFmtId="0" fontId="28" fillId="8" borderId="12" xfId="0" applyFont="1" applyFill="1" applyBorder="1" applyAlignment="1">
      <alignment horizontal="left" vertical="center"/>
    </xf>
    <xf numFmtId="0" fontId="0" fillId="0" borderId="21" xfId="0" applyBorder="1"/>
    <xf numFmtId="0" fontId="31" fillId="0" borderId="20" xfId="0" applyFont="1" applyBorder="1" applyAlignment="1">
      <alignment horizontal="left" vertical="center"/>
    </xf>
    <xf numFmtId="0" fontId="96" fillId="9" borderId="79" xfId="0" applyFont="1" applyFill="1" applyBorder="1" applyAlignment="1">
      <alignment horizontal="left" vertical="center"/>
    </xf>
    <xf numFmtId="0" fontId="33" fillId="10" borderId="80" xfId="0" applyFont="1" applyFill="1" applyBorder="1" applyAlignment="1">
      <alignment horizontal="left" vertical="center"/>
    </xf>
    <xf numFmtId="0" fontId="98" fillId="9" borderId="79" xfId="0" applyFont="1" applyFill="1" applyBorder="1" applyAlignment="1">
      <alignment horizontal="left" vertical="center"/>
    </xf>
    <xf numFmtId="0" fontId="6" fillId="0" borderId="20" xfId="0" applyFont="1" applyBorder="1" applyAlignment="1">
      <alignment horizontal="left" vertical="center"/>
    </xf>
    <xf numFmtId="0" fontId="6" fillId="0" borderId="0" xfId="0" applyFont="1" applyAlignment="1">
      <alignment horizontal="left" vertical="center"/>
    </xf>
    <xf numFmtId="49" fontId="53" fillId="17" borderId="81" xfId="0" applyNumberFormat="1" applyFont="1" applyFill="1" applyBorder="1" applyAlignment="1">
      <alignment horizontal="left" vertical="center"/>
    </xf>
    <xf numFmtId="49" fontId="53" fillId="17" borderId="69" xfId="0" applyNumberFormat="1" applyFont="1" applyFill="1" applyBorder="1" applyAlignment="1">
      <alignment horizontal="left" vertical="center"/>
    </xf>
    <xf numFmtId="0" fontId="26" fillId="17" borderId="8" xfId="0" applyFont="1" applyFill="1" applyBorder="1" applyAlignment="1">
      <alignment horizontal="center"/>
    </xf>
    <xf numFmtId="49" fontId="54" fillId="14" borderId="7" xfId="0" applyNumberFormat="1" applyFont="1" applyFill="1" applyBorder="1" applyAlignment="1">
      <alignment horizontal="center" vertical="center"/>
    </xf>
    <xf numFmtId="49" fontId="54" fillId="19" borderId="7" xfId="0" applyNumberFormat="1" applyFont="1" applyFill="1" applyBorder="1" applyAlignment="1">
      <alignment horizontal="center" vertical="center"/>
    </xf>
    <xf numFmtId="0" fontId="100" fillId="0" borderId="20" xfId="0" applyFont="1" applyBorder="1" applyAlignment="1">
      <alignment horizontal="right" vertical="center"/>
    </xf>
    <xf numFmtId="49" fontId="5" fillId="0" borderId="7" xfId="0" applyNumberFormat="1" applyFont="1" applyBorder="1" applyAlignment="1">
      <alignment horizontal="left"/>
    </xf>
    <xf numFmtId="0" fontId="100" fillId="20" borderId="20" xfId="0" applyFont="1" applyFill="1" applyBorder="1" applyAlignment="1">
      <alignment horizontal="right" vertical="center"/>
    </xf>
    <xf numFmtId="49" fontId="5" fillId="19" borderId="8" xfId="0" applyNumberFormat="1" applyFont="1" applyFill="1" applyBorder="1" applyAlignment="1">
      <alignment horizontal="left" vertical="center"/>
    </xf>
    <xf numFmtId="49" fontId="31" fillId="19" borderId="7" xfId="0" applyNumberFormat="1" applyFont="1" applyFill="1" applyBorder="1" applyAlignment="1">
      <alignment horizontal="center" vertical="center"/>
    </xf>
    <xf numFmtId="0" fontId="31" fillId="19" borderId="7" xfId="0" applyFont="1" applyFill="1" applyBorder="1" applyAlignment="1">
      <alignment horizontal="center"/>
    </xf>
    <xf numFmtId="0" fontId="0" fillId="0" borderId="20" xfId="0" applyBorder="1"/>
    <xf numFmtId="49" fontId="5" fillId="19" borderId="38" xfId="0" applyNumberFormat="1" applyFont="1" applyFill="1" applyBorder="1" applyAlignment="1">
      <alignment horizontal="left"/>
    </xf>
    <xf numFmtId="49" fontId="5" fillId="19" borderId="39" xfId="0" applyNumberFormat="1" applyFont="1" applyFill="1" applyBorder="1" applyAlignment="1">
      <alignment horizontal="left" wrapText="1"/>
    </xf>
    <xf numFmtId="49" fontId="5" fillId="19" borderId="39" xfId="0" applyNumberFormat="1" applyFont="1" applyFill="1" applyBorder="1" applyAlignment="1">
      <alignment horizontal="left"/>
    </xf>
    <xf numFmtId="49" fontId="5" fillId="19" borderId="40" xfId="0" applyNumberFormat="1" applyFont="1" applyFill="1" applyBorder="1" applyAlignment="1">
      <alignment horizontal="left"/>
    </xf>
    <xf numFmtId="49" fontId="5" fillId="14" borderId="26" xfId="0" applyNumberFormat="1" applyFont="1" applyFill="1" applyBorder="1" applyAlignment="1">
      <alignment horizontal="left" vertical="center"/>
    </xf>
    <xf numFmtId="49" fontId="26" fillId="19" borderId="0" xfId="0" applyNumberFormat="1" applyFont="1" applyFill="1" applyAlignment="1">
      <alignment horizontal="center" vertical="center"/>
    </xf>
    <xf numFmtId="49" fontId="54" fillId="19" borderId="0" xfId="0" applyNumberFormat="1" applyFont="1" applyFill="1" applyAlignment="1">
      <alignment horizontal="center" vertical="center"/>
    </xf>
    <xf numFmtId="0" fontId="54" fillId="19" borderId="0" xfId="0" applyFont="1" applyFill="1" applyAlignment="1">
      <alignment horizontal="center"/>
    </xf>
    <xf numFmtId="49" fontId="5" fillId="19" borderId="0" xfId="0" applyNumberFormat="1" applyFont="1" applyFill="1" applyAlignment="1">
      <alignment horizontal="left" vertical="center"/>
    </xf>
    <xf numFmtId="49" fontId="5" fillId="19" borderId="0" xfId="0" applyNumberFormat="1" applyFont="1" applyFill="1" applyAlignment="1">
      <alignment horizontal="center" wrapText="1"/>
    </xf>
    <xf numFmtId="49" fontId="5" fillId="19" borderId="0" xfId="0" applyNumberFormat="1" applyFont="1" applyFill="1" applyAlignment="1">
      <alignment horizontal="center"/>
    </xf>
    <xf numFmtId="0" fontId="26" fillId="19" borderId="0" xfId="0" applyFont="1" applyFill="1" applyAlignment="1">
      <alignment horizontal="center"/>
    </xf>
    <xf numFmtId="49" fontId="26" fillId="19" borderId="0" xfId="0" applyNumberFormat="1" applyFont="1" applyFill="1" applyAlignment="1">
      <alignment horizontal="center"/>
    </xf>
    <xf numFmtId="49" fontId="53" fillId="17" borderId="28" xfId="0" applyNumberFormat="1" applyFont="1" applyFill="1" applyBorder="1" applyAlignment="1">
      <alignment vertical="center"/>
    </xf>
    <xf numFmtId="49" fontId="53" fillId="17" borderId="29" xfId="0" applyNumberFormat="1" applyFont="1" applyFill="1" applyBorder="1" applyAlignment="1">
      <alignment vertical="center"/>
    </xf>
    <xf numFmtId="49" fontId="53" fillId="19" borderId="0" xfId="0" applyNumberFormat="1" applyFont="1" applyFill="1" applyAlignment="1">
      <alignment vertical="center"/>
    </xf>
    <xf numFmtId="49" fontId="101" fillId="0" borderId="0" xfId="0" applyNumberFormat="1" applyFont="1" applyAlignment="1">
      <alignment horizontal="right"/>
    </xf>
    <xf numFmtId="49" fontId="31" fillId="19" borderId="0" xfId="0" applyNumberFormat="1" applyFont="1" applyFill="1" applyAlignment="1">
      <alignment horizontal="center" vertical="center"/>
    </xf>
    <xf numFmtId="0" fontId="31" fillId="19" borderId="0" xfId="0" applyFont="1" applyFill="1" applyAlignment="1">
      <alignment horizontal="center"/>
    </xf>
    <xf numFmtId="49" fontId="95" fillId="19" borderId="0" xfId="0" applyNumberFormat="1" applyFont="1" applyFill="1" applyAlignment="1">
      <alignment horizontal="left" vertical="center" wrapText="1"/>
    </xf>
    <xf numFmtId="49" fontId="5" fillId="19" borderId="0" xfId="0" applyNumberFormat="1" applyFont="1" applyFill="1" applyAlignment="1">
      <alignment horizontal="left"/>
    </xf>
    <xf numFmtId="49" fontId="5" fillId="16" borderId="0" xfId="0" applyNumberFormat="1" applyFont="1" applyFill="1" applyAlignment="1">
      <alignment horizontal="left"/>
    </xf>
    <xf numFmtId="49" fontId="66" fillId="19" borderId="0" xfId="0" applyNumberFormat="1" applyFont="1" applyFill="1" applyAlignment="1">
      <alignment horizontal="center" vertical="center"/>
    </xf>
    <xf numFmtId="0" fontId="5" fillId="19" borderId="0" xfId="0" applyFont="1" applyFill="1" applyAlignment="1">
      <alignment horizontal="center"/>
    </xf>
    <xf numFmtId="49" fontId="5" fillId="0" borderId="0" xfId="0" applyNumberFormat="1" applyFont="1" applyAlignment="1">
      <alignment horizontal="left"/>
    </xf>
    <xf numFmtId="49" fontId="31" fillId="19" borderId="32" xfId="0" applyNumberFormat="1" applyFont="1" applyFill="1" applyBorder="1" applyAlignment="1">
      <alignment horizontal="center" vertical="center"/>
    </xf>
    <xf numFmtId="49" fontId="66" fillId="17" borderId="28" xfId="0" applyNumberFormat="1" applyFont="1" applyFill="1" applyBorder="1" applyAlignment="1">
      <alignment vertical="center"/>
    </xf>
    <xf numFmtId="49" fontId="66" fillId="17" borderId="29" xfId="0" applyNumberFormat="1" applyFont="1" applyFill="1" applyBorder="1" applyAlignment="1">
      <alignment vertical="center"/>
    </xf>
    <xf numFmtId="49" fontId="66" fillId="19" borderId="0" xfId="0" applyNumberFormat="1" applyFont="1" applyFill="1" applyAlignment="1">
      <alignment vertical="center"/>
    </xf>
    <xf numFmtId="49" fontId="5" fillId="19" borderId="0" xfId="0" applyNumberFormat="1" applyFont="1" applyFill="1" applyAlignment="1">
      <alignment textRotation="255" wrapText="1"/>
    </xf>
    <xf numFmtId="49" fontId="5" fillId="19" borderId="0" xfId="0" applyNumberFormat="1" applyFont="1" applyFill="1" applyAlignment="1">
      <alignment textRotation="255"/>
    </xf>
    <xf numFmtId="49" fontId="5" fillId="19" borderId="0" xfId="0" applyNumberFormat="1" applyFont="1" applyFill="1" applyAlignment="1">
      <alignment horizontal="center" textRotation="255"/>
    </xf>
    <xf numFmtId="49" fontId="5" fillId="19" borderId="0" xfId="0" applyNumberFormat="1" applyFont="1" applyFill="1" applyAlignment="1">
      <alignment horizontal="center" textRotation="255" wrapText="1"/>
    </xf>
    <xf numFmtId="0" fontId="5" fillId="19" borderId="0" xfId="0" applyFont="1" applyFill="1" applyAlignment="1">
      <alignment horizontal="center" textRotation="255"/>
    </xf>
    <xf numFmtId="0" fontId="5" fillId="19" borderId="0" xfId="0" applyFont="1" applyFill="1" applyAlignment="1">
      <alignment horizontal="center" textRotation="255" wrapText="1"/>
    </xf>
    <xf numFmtId="0" fontId="5" fillId="19" borderId="0" xfId="0" applyFont="1" applyFill="1" applyAlignment="1">
      <alignment textRotation="255"/>
    </xf>
    <xf numFmtId="49" fontId="45" fillId="19" borderId="0" xfId="0" applyNumberFormat="1" applyFont="1" applyFill="1" applyAlignment="1">
      <alignment horizontal="center"/>
    </xf>
    <xf numFmtId="22" fontId="5" fillId="19" borderId="0" xfId="0" applyNumberFormat="1" applyFont="1" applyFill="1" applyAlignment="1">
      <alignment horizontal="center"/>
    </xf>
    <xf numFmtId="49" fontId="5" fillId="14" borderId="26" xfId="0" applyNumberFormat="1" applyFont="1" applyFill="1" applyBorder="1" applyAlignment="1">
      <alignment horizontal="left"/>
    </xf>
    <xf numFmtId="49" fontId="5" fillId="19" borderId="31" xfId="0" applyNumberFormat="1" applyFont="1" applyFill="1" applyBorder="1" applyAlignment="1">
      <alignment horizontal="left"/>
    </xf>
    <xf numFmtId="49" fontId="5" fillId="19" borderId="32" xfId="0" applyNumberFormat="1" applyFont="1" applyFill="1" applyBorder="1" applyAlignment="1">
      <alignment horizontal="left"/>
    </xf>
    <xf numFmtId="49" fontId="5" fillId="21" borderId="32" xfId="0" applyNumberFormat="1" applyFont="1" applyFill="1" applyBorder="1" applyAlignment="1">
      <alignment horizontal="left"/>
    </xf>
    <xf numFmtId="49" fontId="5" fillId="19" borderId="33" xfId="0" applyNumberFormat="1" applyFont="1" applyFill="1" applyBorder="1" applyAlignment="1">
      <alignment horizontal="left"/>
    </xf>
    <xf numFmtId="49" fontId="5" fillId="22" borderId="32" xfId="0" applyNumberFormat="1" applyFont="1" applyFill="1" applyBorder="1" applyAlignment="1">
      <alignment horizontal="left"/>
    </xf>
    <xf numFmtId="49" fontId="45" fillId="19" borderId="31" xfId="0" applyNumberFormat="1" applyFont="1" applyFill="1" applyBorder="1" applyAlignment="1">
      <alignment horizontal="left"/>
    </xf>
    <xf numFmtId="0" fontId="67" fillId="0" borderId="0" xfId="0" applyFont="1" applyAlignment="1">
      <alignment horizontal="center" textRotation="255"/>
    </xf>
    <xf numFmtId="49" fontId="5" fillId="21" borderId="0" xfId="0" applyNumberFormat="1" applyFont="1" applyFill="1" applyAlignment="1">
      <alignment horizontal="center"/>
    </xf>
    <xf numFmtId="49" fontId="6" fillId="19" borderId="0" xfId="0" applyNumberFormat="1" applyFont="1" applyFill="1" applyAlignment="1">
      <alignment horizontal="center"/>
    </xf>
    <xf numFmtId="49" fontId="5" fillId="19" borderId="26" xfId="0" applyNumberFormat="1" applyFont="1" applyFill="1" applyBorder="1" applyAlignment="1">
      <alignment horizontal="left" vertical="center"/>
    </xf>
    <xf numFmtId="49" fontId="5" fillId="19" borderId="26" xfId="0" applyNumberFormat="1" applyFont="1" applyFill="1" applyBorder="1" applyAlignment="1">
      <alignment horizontal="left"/>
    </xf>
    <xf numFmtId="49" fontId="5" fillId="22" borderId="0" xfId="0" applyNumberFormat="1" applyFont="1" applyFill="1" applyAlignment="1">
      <alignment horizontal="left"/>
    </xf>
    <xf numFmtId="0" fontId="57" fillId="0" borderId="0" xfId="0" applyFont="1" applyAlignment="1">
      <alignment horizontal="center" textRotation="255"/>
    </xf>
    <xf numFmtId="49" fontId="26" fillId="19" borderId="0" xfId="0" applyNumberFormat="1" applyFont="1" applyFill="1"/>
    <xf numFmtId="0" fontId="60" fillId="19" borderId="0" xfId="0" applyFont="1" applyFill="1" applyAlignment="1">
      <alignment horizontal="center"/>
    </xf>
    <xf numFmtId="0" fontId="6" fillId="19" borderId="0" xfId="0" applyFont="1" applyFill="1"/>
    <xf numFmtId="0" fontId="52" fillId="19" borderId="0" xfId="0" applyFont="1" applyFill="1" applyAlignment="1">
      <alignment horizontal="center" textRotation="255"/>
    </xf>
    <xf numFmtId="0" fontId="55" fillId="19" borderId="0" xfId="0" applyFont="1" applyFill="1" applyAlignment="1">
      <alignment horizontal="center" textRotation="255" wrapText="1"/>
    </xf>
    <xf numFmtId="49" fontId="56" fillId="19" borderId="0" xfId="0" applyNumberFormat="1" applyFont="1" applyFill="1" applyAlignment="1">
      <alignment textRotation="255"/>
    </xf>
    <xf numFmtId="0" fontId="57" fillId="19" borderId="0" xfId="0" applyFont="1" applyFill="1" applyAlignment="1">
      <alignment horizontal="center" textRotation="255"/>
    </xf>
    <xf numFmtId="49" fontId="31" fillId="19" borderId="0" xfId="0" applyNumberFormat="1" applyFont="1" applyFill="1" applyAlignment="1">
      <alignment textRotation="255"/>
    </xf>
    <xf numFmtId="49" fontId="31" fillId="19" borderId="0" xfId="0" applyNumberFormat="1" applyFont="1" applyFill="1" applyAlignment="1">
      <alignment textRotation="255" wrapText="1"/>
    </xf>
    <xf numFmtId="49" fontId="31" fillId="19" borderId="0" xfId="0" applyNumberFormat="1" applyFont="1" applyFill="1" applyAlignment="1">
      <alignment horizontal="center" textRotation="255"/>
    </xf>
    <xf numFmtId="0" fontId="26" fillId="19" borderId="0" xfId="0" applyFont="1" applyFill="1" applyAlignment="1">
      <alignment horizontal="center" textRotation="255"/>
    </xf>
    <xf numFmtId="0" fontId="58" fillId="19" borderId="0" xfId="0" applyFont="1" applyFill="1" applyAlignment="1">
      <alignment horizontal="center"/>
    </xf>
    <xf numFmtId="49" fontId="59" fillId="19" borderId="0" xfId="0" applyNumberFormat="1" applyFont="1" applyFill="1" applyAlignment="1">
      <alignment horizontal="center"/>
    </xf>
    <xf numFmtId="0" fontId="62" fillId="19" borderId="0" xfId="0" applyFont="1" applyFill="1" applyAlignment="1">
      <alignment horizontal="center" vertical="center"/>
    </xf>
    <xf numFmtId="49" fontId="60" fillId="19" borderId="0" xfId="0" applyNumberFormat="1" applyFont="1" applyFill="1" applyAlignment="1">
      <alignment horizontal="right"/>
    </xf>
    <xf numFmtId="0" fontId="61" fillId="19" borderId="0" xfId="0" applyFont="1" applyFill="1" applyAlignment="1">
      <alignment horizontal="center"/>
    </xf>
    <xf numFmtId="0" fontId="69" fillId="19" borderId="0" xfId="0" applyFont="1" applyFill="1"/>
    <xf numFmtId="0" fontId="31" fillId="19" borderId="0" xfId="0" applyFont="1" applyFill="1"/>
    <xf numFmtId="0" fontId="29" fillId="8" borderId="82" xfId="0" applyFont="1" applyFill="1" applyBorder="1" applyAlignment="1">
      <alignment horizontal="left" vertical="center"/>
    </xf>
    <xf numFmtId="0" fontId="30" fillId="8" borderId="83" xfId="0" applyFont="1" applyFill="1" applyBorder="1" applyAlignment="1">
      <alignment horizontal="left" vertical="center"/>
    </xf>
    <xf numFmtId="0" fontId="31" fillId="0" borderId="0" xfId="0" applyFont="1" applyAlignment="1">
      <alignment horizontal="left" vertical="center"/>
    </xf>
    <xf numFmtId="0" fontId="33" fillId="0" borderId="0" xfId="0" applyFont="1" applyAlignment="1">
      <alignment horizontal="left" vertical="center"/>
    </xf>
    <xf numFmtId="49" fontId="26" fillId="0" borderId="20" xfId="0" applyNumberFormat="1" applyFont="1" applyBorder="1"/>
    <xf numFmtId="0" fontId="31" fillId="0" borderId="20" xfId="0" applyFont="1" applyBorder="1" applyAlignment="1">
      <alignment horizontal="right"/>
    </xf>
    <xf numFmtId="49" fontId="56" fillId="0" borderId="20" xfId="0" applyNumberFormat="1" applyFont="1" applyBorder="1" applyAlignment="1">
      <alignment textRotation="255"/>
    </xf>
    <xf numFmtId="49" fontId="59" fillId="0" borderId="20" xfId="0" applyNumberFormat="1" applyFont="1" applyBorder="1" applyAlignment="1">
      <alignment horizontal="center"/>
    </xf>
    <xf numFmtId="0" fontId="17" fillId="0" borderId="0" xfId="0" applyFont="1"/>
    <xf numFmtId="0" fontId="6" fillId="0" borderId="21" xfId="0" applyFont="1" applyBorder="1" applyAlignment="1">
      <alignment horizontal="left" vertical="center"/>
    </xf>
    <xf numFmtId="0" fontId="0" fillId="0" borderId="22" xfId="0" applyBorder="1"/>
    <xf numFmtId="0" fontId="0" fillId="0" borderId="23" xfId="0" applyBorder="1"/>
    <xf numFmtId="0" fontId="0" fillId="0" borderId="24" xfId="0" applyBorder="1"/>
    <xf numFmtId="0" fontId="30" fillId="8" borderId="84" xfId="0" applyFont="1" applyFill="1" applyBorder="1" applyAlignment="1">
      <alignment horizontal="left" vertical="center"/>
    </xf>
    <xf numFmtId="0" fontId="27" fillId="0" borderId="7" xfId="9" applyBorder="1" applyAlignment="1" applyProtection="1">
      <alignment horizontal="center" vertical="center" wrapText="1"/>
    </xf>
    <xf numFmtId="0" fontId="27" fillId="3" borderId="7" xfId="9" applyFill="1" applyBorder="1" applyAlignment="1">
      <alignment horizontal="center" vertical="center" wrapText="1"/>
    </xf>
    <xf numFmtId="0" fontId="6" fillId="0" borderId="23" xfId="0" applyFont="1" applyBorder="1" applyAlignment="1">
      <alignment horizontal="left" vertical="center"/>
    </xf>
    <xf numFmtId="0" fontId="33" fillId="10" borderId="85" xfId="0" applyFont="1" applyFill="1" applyBorder="1" applyAlignment="1">
      <alignment horizontal="left" vertical="center"/>
    </xf>
    <xf numFmtId="0" fontId="33" fillId="0" borderId="21" xfId="0" applyFont="1" applyBorder="1" applyAlignment="1">
      <alignment horizontal="left" vertical="center"/>
    </xf>
    <xf numFmtId="0" fontId="5" fillId="17" borderId="21" xfId="0" applyFont="1" applyFill="1" applyBorder="1"/>
    <xf numFmtId="0" fontId="31" fillId="19" borderId="86" xfId="0" applyFont="1" applyFill="1" applyBorder="1" applyAlignment="1">
      <alignment horizontal="center"/>
    </xf>
    <xf numFmtId="49" fontId="95" fillId="19" borderId="86" xfId="0" applyNumberFormat="1" applyFont="1" applyFill="1" applyBorder="1" applyAlignment="1">
      <alignment horizontal="left" vertical="center" wrapText="1"/>
    </xf>
    <xf numFmtId="49" fontId="5" fillId="19" borderId="86" xfId="0" applyNumberFormat="1" applyFont="1" applyFill="1" applyBorder="1" applyAlignment="1">
      <alignment horizontal="left" vertical="center"/>
    </xf>
    <xf numFmtId="49" fontId="5" fillId="19" borderId="87" xfId="0" applyNumberFormat="1" applyFont="1" applyFill="1" applyBorder="1" applyAlignment="1">
      <alignment horizontal="left" vertical="center"/>
    </xf>
    <xf numFmtId="49" fontId="5" fillId="19" borderId="88" xfId="0" applyNumberFormat="1" applyFont="1" applyFill="1" applyBorder="1" applyAlignment="1">
      <alignment horizontal="left"/>
    </xf>
    <xf numFmtId="49" fontId="5" fillId="19" borderId="21" xfId="0" applyNumberFormat="1" applyFont="1" applyFill="1" applyBorder="1" applyAlignment="1">
      <alignment horizontal="left"/>
    </xf>
    <xf numFmtId="0" fontId="27" fillId="0" borderId="24" xfId="9" applyFill="1" applyBorder="1" applyAlignment="1">
      <alignment horizontal="left" vertical="center"/>
    </xf>
    <xf numFmtId="49" fontId="45" fillId="19" borderId="0" xfId="0" applyNumberFormat="1" applyFont="1" applyFill="1" applyAlignment="1">
      <alignment horizontal="left"/>
    </xf>
    <xf numFmtId="0" fontId="95" fillId="0" borderId="7" xfId="0" applyFont="1" applyBorder="1" applyAlignment="1">
      <alignment horizontal="right" vertical="center" wrapText="1"/>
    </xf>
    <xf numFmtId="0" fontId="95" fillId="23" borderId="7" xfId="0" applyFont="1" applyFill="1" applyBorder="1" applyAlignment="1">
      <alignment horizontal="left" vertical="center" wrapText="1"/>
    </xf>
    <xf numFmtId="0" fontId="95" fillId="0" borderId="7" xfId="0" applyFont="1" applyBorder="1" applyAlignment="1">
      <alignment horizontal="left" vertical="center" wrapText="1"/>
    </xf>
    <xf numFmtId="0" fontId="95" fillId="0" borderId="7" xfId="0" applyFont="1" applyBorder="1" applyAlignment="1">
      <alignment horizontal="center" vertical="center" wrapText="1"/>
    </xf>
    <xf numFmtId="49" fontId="5" fillId="24" borderId="31" xfId="0" applyNumberFormat="1" applyFont="1" applyFill="1" applyBorder="1" applyAlignment="1">
      <alignment horizontal="left"/>
    </xf>
    <xf numFmtId="49" fontId="45" fillId="24" borderId="31" xfId="0" applyNumberFormat="1" applyFont="1" applyFill="1" applyBorder="1" applyAlignment="1">
      <alignment horizontal="left"/>
    </xf>
    <xf numFmtId="49" fontId="5" fillId="24" borderId="0" xfId="0" applyNumberFormat="1" applyFont="1" applyFill="1" applyAlignment="1">
      <alignment horizontal="left"/>
    </xf>
    <xf numFmtId="49" fontId="5" fillId="24" borderId="32" xfId="0" applyNumberFormat="1" applyFont="1" applyFill="1" applyBorder="1" applyAlignment="1">
      <alignment horizontal="left"/>
    </xf>
    <xf numFmtId="0" fontId="6" fillId="24" borderId="0" xfId="0" applyFont="1" applyFill="1" applyAlignment="1">
      <alignment horizontal="left" vertical="center"/>
    </xf>
    <xf numFmtId="49" fontId="53" fillId="17" borderId="29" xfId="0" applyNumberFormat="1" applyFont="1" applyFill="1" applyBorder="1" applyAlignment="1">
      <alignment horizontal="left" vertical="center"/>
    </xf>
    <xf numFmtId="49" fontId="53" fillId="17" borderId="30" xfId="0" applyNumberFormat="1" applyFont="1" applyFill="1" applyBorder="1" applyAlignment="1">
      <alignment horizontal="left" vertical="center"/>
    </xf>
    <xf numFmtId="49" fontId="5" fillId="19" borderId="89" xfId="0" applyNumberFormat="1" applyFont="1" applyFill="1" applyBorder="1" applyAlignment="1">
      <alignment horizontal="left"/>
    </xf>
    <xf numFmtId="49" fontId="45" fillId="19" borderId="88" xfId="0" applyNumberFormat="1" applyFont="1" applyFill="1" applyBorder="1" applyAlignment="1">
      <alignment horizontal="left"/>
    </xf>
    <xf numFmtId="14" fontId="17" fillId="0" borderId="2" xfId="6" applyNumberFormat="1" applyFont="1" applyBorder="1" applyAlignment="1">
      <alignment horizontal="center" vertical="center"/>
    </xf>
    <xf numFmtId="0" fontId="103" fillId="0" borderId="2" xfId="6" applyFont="1" applyBorder="1" applyAlignment="1">
      <alignment horizontal="center" vertical="center"/>
    </xf>
    <xf numFmtId="0" fontId="105" fillId="0" borderId="7" xfId="0" applyFont="1" applyBorder="1" applyAlignment="1">
      <alignment horizontal="left" vertical="center" wrapText="1"/>
    </xf>
    <xf numFmtId="0" fontId="10" fillId="5" borderId="1" xfId="4" applyFont="1" applyFill="1" applyBorder="1" applyAlignment="1">
      <alignment horizontal="center" vertical="center"/>
    </xf>
    <xf numFmtId="0" fontId="10" fillId="5" borderId="3" xfId="4" applyFont="1" applyFill="1" applyBorder="1" applyAlignment="1">
      <alignment horizontal="center" vertical="center"/>
    </xf>
    <xf numFmtId="0" fontId="10" fillId="5" borderId="4" xfId="4" applyFont="1" applyFill="1" applyBorder="1" applyAlignment="1">
      <alignment horizontal="center" vertical="center"/>
    </xf>
    <xf numFmtId="0" fontId="13" fillId="0" borderId="1" xfId="4" applyFont="1" applyBorder="1" applyAlignment="1">
      <alignment horizontal="center" vertical="center"/>
    </xf>
    <xf numFmtId="0" fontId="13" fillId="0" borderId="3" xfId="4" applyFont="1" applyBorder="1" applyAlignment="1">
      <alignment horizontal="center" vertical="center"/>
    </xf>
    <xf numFmtId="0" fontId="13" fillId="0" borderId="2" xfId="4" applyFont="1" applyBorder="1" applyAlignment="1">
      <alignment horizontal="center" vertical="center"/>
    </xf>
    <xf numFmtId="0" fontId="24" fillId="0" borderId="2" xfId="4" applyFont="1" applyBorder="1" applyAlignment="1">
      <alignment horizontal="center" vertical="center"/>
    </xf>
    <xf numFmtId="0" fontId="13" fillId="0" borderId="4" xfId="4" applyFont="1" applyBorder="1" applyAlignment="1">
      <alignment horizontal="center" vertical="center"/>
    </xf>
    <xf numFmtId="0" fontId="12" fillId="0" borderId="1" xfId="4" applyFont="1" applyBorder="1" applyAlignment="1">
      <alignment horizontal="center" vertical="center"/>
    </xf>
    <xf numFmtId="0" fontId="12" fillId="0" borderId="4" xfId="4" applyFont="1" applyBorder="1" applyAlignment="1">
      <alignment horizontal="center" vertical="center"/>
    </xf>
    <xf numFmtId="0" fontId="12" fillId="0" borderId="3" xfId="4" applyFont="1" applyBorder="1" applyAlignment="1">
      <alignment horizontal="center" vertical="center"/>
    </xf>
    <xf numFmtId="0" fontId="15" fillId="0" borderId="1" xfId="4" applyFont="1" applyBorder="1" applyAlignment="1">
      <alignment horizontal="center" vertical="center"/>
    </xf>
    <xf numFmtId="0" fontId="15" fillId="0" borderId="3" xfId="4" applyFont="1" applyBorder="1" applyAlignment="1">
      <alignment horizontal="center" vertical="center"/>
    </xf>
    <xf numFmtId="0" fontId="14" fillId="0" borderId="2" xfId="4" applyFont="1" applyBorder="1" applyAlignment="1">
      <alignment horizontal="center" vertical="center"/>
    </xf>
    <xf numFmtId="14" fontId="14" fillId="0" borderId="7" xfId="4" applyNumberFormat="1" applyFont="1" applyBorder="1" applyAlignment="1">
      <alignment horizontal="center" vertical="center"/>
    </xf>
    <xf numFmtId="0" fontId="14" fillId="0" borderId="7" xfId="4" applyFont="1" applyBorder="1" applyAlignment="1">
      <alignment horizontal="center" vertical="center"/>
    </xf>
    <xf numFmtId="14" fontId="14" fillId="0" borderId="2" xfId="4" applyNumberFormat="1" applyFont="1" applyBorder="1" applyAlignment="1">
      <alignment horizontal="center" vertical="center"/>
    </xf>
    <xf numFmtId="0" fontId="93" fillId="0" borderId="2" xfId="4" applyFont="1" applyBorder="1" applyAlignment="1">
      <alignment horizontal="center" vertical="center"/>
    </xf>
    <xf numFmtId="0" fontId="5" fillId="6" borderId="7" xfId="0" applyFont="1" applyFill="1" applyBorder="1" applyAlignment="1">
      <alignment horizontal="center" vertical="center" wrapText="1"/>
    </xf>
    <xf numFmtId="0" fontId="104" fillId="0" borderId="7" xfId="0" applyFont="1" applyBorder="1" applyAlignment="1">
      <alignment horizontal="center" vertical="center" wrapText="1"/>
    </xf>
    <xf numFmtId="0" fontId="5" fillId="0" borderId="7" xfId="0" applyFont="1" applyBorder="1" applyAlignment="1">
      <alignment horizontal="center" vertical="center" wrapText="1"/>
    </xf>
    <xf numFmtId="9" fontId="5" fillId="2" borderId="7" xfId="0" applyNumberFormat="1" applyFont="1" applyFill="1" applyBorder="1" applyAlignment="1">
      <alignment horizontal="center" vertical="center" wrapText="1"/>
    </xf>
    <xf numFmtId="0" fontId="31" fillId="0" borderId="0" xfId="0" applyFont="1" applyAlignment="1">
      <alignment horizontal="right"/>
    </xf>
    <xf numFmtId="0" fontId="31" fillId="0" borderId="27" xfId="0" applyFont="1" applyBorder="1" applyAlignment="1">
      <alignment horizontal="right"/>
    </xf>
    <xf numFmtId="49" fontId="53" fillId="17" borderId="81" xfId="0" applyNumberFormat="1" applyFont="1" applyFill="1" applyBorder="1" applyAlignment="1">
      <alignment horizontal="left" vertical="center"/>
    </xf>
    <xf numFmtId="49" fontId="53" fillId="17" borderId="69" xfId="0" applyNumberFormat="1" applyFont="1" applyFill="1" applyBorder="1" applyAlignment="1">
      <alignment horizontal="left" vertical="center"/>
    </xf>
    <xf numFmtId="49" fontId="53" fillId="17" borderId="29" xfId="0" applyNumberFormat="1" applyFont="1" applyFill="1" applyBorder="1" applyAlignment="1">
      <alignment horizontal="left" vertical="center"/>
    </xf>
    <xf numFmtId="49" fontId="53" fillId="17" borderId="30" xfId="0" applyNumberFormat="1" applyFont="1" applyFill="1" applyBorder="1" applyAlignment="1">
      <alignment horizontal="left" vertical="center"/>
    </xf>
    <xf numFmtId="0" fontId="50" fillId="11" borderId="25" xfId="10" applyFont="1" applyFill="1" applyBorder="1" applyAlignment="1">
      <alignment horizontal="left"/>
    </xf>
    <xf numFmtId="0" fontId="30" fillId="8" borderId="12" xfId="10" applyFont="1" applyFill="1" applyBorder="1" applyAlignment="1">
      <alignment horizontal="left"/>
    </xf>
    <xf numFmtId="0" fontId="30" fillId="8" borderId="13" xfId="10" applyFont="1" applyFill="1" applyBorder="1" applyAlignment="1">
      <alignment horizontal="center" vertical="center"/>
    </xf>
    <xf numFmtId="0" fontId="30" fillId="8" borderId="16" xfId="10" applyFont="1" applyFill="1" applyBorder="1" applyAlignment="1">
      <alignment horizontal="center" vertical="center"/>
    </xf>
    <xf numFmtId="0" fontId="35" fillId="11" borderId="17" xfId="0" applyFont="1" applyFill="1" applyBorder="1" applyAlignment="1">
      <alignment horizontal="center" vertical="center"/>
    </xf>
    <xf numFmtId="0" fontId="35" fillId="11" borderId="18" xfId="0" applyFont="1" applyFill="1" applyBorder="1" applyAlignment="1">
      <alignment horizontal="center" vertical="center"/>
    </xf>
    <xf numFmtId="0" fontId="36" fillId="11" borderId="18" xfId="0" applyFont="1" applyFill="1" applyBorder="1" applyAlignment="1">
      <alignment horizontal="left" vertical="center"/>
    </xf>
    <xf numFmtId="0" fontId="36" fillId="11" borderId="19" xfId="0" applyFont="1" applyFill="1" applyBorder="1" applyAlignment="1">
      <alignment horizontal="left" vertical="center"/>
    </xf>
    <xf numFmtId="49" fontId="53" fillId="18" borderId="49" xfId="0" applyNumberFormat="1" applyFont="1" applyFill="1" applyBorder="1" applyAlignment="1">
      <alignment horizontal="left" vertical="center"/>
    </xf>
    <xf numFmtId="49" fontId="53" fillId="18" borderId="29" xfId="0" applyNumberFormat="1" applyFont="1" applyFill="1" applyBorder="1" applyAlignment="1">
      <alignment horizontal="left" vertical="center"/>
    </xf>
    <xf numFmtId="49" fontId="53" fillId="18" borderId="30" xfId="0" applyNumberFormat="1" applyFont="1" applyFill="1" applyBorder="1" applyAlignment="1">
      <alignment horizontal="left" vertical="center"/>
    </xf>
    <xf numFmtId="0" fontId="33" fillId="10" borderId="67" xfId="10" applyFont="1" applyFill="1" applyBorder="1" applyAlignment="1">
      <alignment horizontal="left" vertical="center"/>
    </xf>
    <xf numFmtId="0" fontId="33" fillId="10" borderId="14" xfId="10" applyFont="1" applyFill="1" applyBorder="1" applyAlignment="1">
      <alignment horizontal="left" vertical="center"/>
    </xf>
    <xf numFmtId="49" fontId="53" fillId="18" borderId="73" xfId="0" applyNumberFormat="1" applyFont="1" applyFill="1" applyBorder="1" applyAlignment="1">
      <alignment horizontal="left" vertical="center"/>
    </xf>
    <xf numFmtId="49" fontId="53" fillId="18" borderId="74" xfId="0" applyNumberFormat="1" applyFont="1" applyFill="1" applyBorder="1" applyAlignment="1">
      <alignment horizontal="left" vertical="center"/>
    </xf>
    <xf numFmtId="0" fontId="26" fillId="0" borderId="74" xfId="0" applyFont="1" applyBorder="1" applyAlignment="1">
      <alignment horizontal="left" vertical="center"/>
    </xf>
    <xf numFmtId="0" fontId="26" fillId="0" borderId="75" xfId="0" applyFont="1" applyBorder="1" applyAlignment="1">
      <alignment horizontal="left" vertical="center"/>
    </xf>
  </cellXfs>
  <cellStyles count="13">
    <cellStyle name="ハイパーリンク 2" xfId="8" xr:uid="{D149D991-5776-4CD5-AAF4-AEFD62EAA993}"/>
    <cellStyle name="百分比" xfId="7" builtinId="5"/>
    <cellStyle name="标题" xfId="1" builtinId="15" hidden="1"/>
    <cellStyle name="标题 1" xfId="2" builtinId="16" hidden="1"/>
    <cellStyle name="標準 12" xfId="4" xr:uid="{2BAF3A1B-EF41-4FCB-8C53-3F485AF21B48}"/>
    <cellStyle name="標準 2" xfId="5" xr:uid="{013EF616-11C4-47C2-968D-263E3B0DFBF8}"/>
    <cellStyle name="標準 2 2" xfId="6" xr:uid="{92D69C64-EA5E-472F-9369-EA5A714066A4}"/>
    <cellStyle name="標準_com_calendar" xfId="3" xr:uid="{3F5F8C79-3F40-4195-AB61-8D095C796329}"/>
    <cellStyle name="標準_mrp_fix_period" xfId="12" xr:uid="{51703872-7DEE-46CE-A064-E12B278BCCE0}"/>
    <cellStyle name="標準_mrp_fix_period(2)" xfId="11" xr:uid="{14ECB001-C9F3-44B5-A62B-82A6921D9229}"/>
    <cellStyle name="標準_ＴＣＮ（4GL）" xfId="10" xr:uid="{CCA9041A-06FE-44F4-94BD-E2C638983A2C}"/>
    <cellStyle name="常规" xfId="0" builtinId="0"/>
    <cellStyle name="超链接" xfId="9" builtinId="8"/>
  </cellStyles>
  <dxfs count="3">
    <dxf>
      <fill>
        <patternFill>
          <bgColor indexed="10"/>
        </patternFill>
      </fill>
    </dxf>
    <dxf>
      <fill>
        <patternFill>
          <bgColor indexed="10"/>
        </patternFill>
      </fill>
    </dxf>
    <dxf>
      <fill>
        <patternFill>
          <fgColor theme="0" tint="-0.34998626667073579"/>
          <bgColor theme="0" tint="-0.3499862666707357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99"/>
      <rgbColor rgb="00FF00FF"/>
      <rgbColor rgb="0000FFFF"/>
      <rgbColor rgb="00800000"/>
      <rgbColor rgb="00008000"/>
      <rgbColor rgb="00000080"/>
      <rgbColor rgb="00808000"/>
      <rgbColor rgb="00800080"/>
      <rgbColor rgb="00008080"/>
      <rgbColor rgb="00C0C0C0"/>
      <rgbColor rgb="00808080"/>
      <rgbColor rgb="009999FF"/>
      <rgbColor rgb="00993366"/>
      <rgbColor rgb="00FFFFE7"/>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DD"/>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5F5F5F"/>
      <rgbColor rgb="00993300"/>
      <rgbColor rgb="00993366"/>
      <rgbColor rgb="00333399"/>
      <rgbColor rgb="00333333"/>
    </indexedColors>
    <mruColors>
      <color rgb="FFCCFFCC"/>
      <color rgb="FFCCFF99"/>
      <color rgb="FF99FF99"/>
      <color rgb="FF0000CC"/>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externalLink" Target="externalLinks/externalLink7.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externalLink" Target="externalLinks/externalLink6.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styles" Target="style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2.xml"/></Relationships>
</file>

<file path=xl/drawings/_rels/drawing4.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5.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png"/><Relationship Id="rId1" Type="http://schemas.openxmlformats.org/officeDocument/2006/relationships/image" Target="../media/image15.png"/><Relationship Id="rId4" Type="http://schemas.openxmlformats.org/officeDocument/2006/relationships/image" Target="../media/image13.png"/></Relationships>
</file>

<file path=xl/drawings/_rels/drawing6.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emf"/><Relationship Id="rId18" Type="http://schemas.openxmlformats.org/officeDocument/2006/relationships/image" Target="../media/image33.emf"/><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emf"/><Relationship Id="rId17" Type="http://schemas.openxmlformats.org/officeDocument/2006/relationships/image" Target="../media/image32.emf"/><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emf"/><Relationship Id="rId20" Type="http://schemas.openxmlformats.org/officeDocument/2006/relationships/image" Target="../media/image35.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emf"/><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emf"/><Relationship Id="rId23" Type="http://schemas.openxmlformats.org/officeDocument/2006/relationships/image" Target="../media/image38.png"/><Relationship Id="rId10" Type="http://schemas.openxmlformats.org/officeDocument/2006/relationships/image" Target="../media/image25.emf"/><Relationship Id="rId19" Type="http://schemas.openxmlformats.org/officeDocument/2006/relationships/image" Target="../media/image34.emf"/><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emf"/><Relationship Id="rId22" Type="http://schemas.openxmlformats.org/officeDocument/2006/relationships/image" Target="../media/image37.png"/><Relationship Id="rId27" Type="http://schemas.openxmlformats.org/officeDocument/2006/relationships/image" Target="../media/image42.png"/></Relationships>
</file>

<file path=xl/drawings/_rels/drawing7.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1.png"/><Relationship Id="rId1" Type="http://schemas.openxmlformats.org/officeDocument/2006/relationships/image" Target="../media/image15.png"/><Relationship Id="rId4" Type="http://schemas.openxmlformats.org/officeDocument/2006/relationships/image" Target="../media/image43.png"/></Relationships>
</file>

<file path=xl/drawings/_rels/drawing8.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2.png"/><Relationship Id="rId1" Type="http://schemas.openxmlformats.org/officeDocument/2006/relationships/image" Target="../media/image15.png"/><Relationship Id="rId4" Type="http://schemas.openxmlformats.org/officeDocument/2006/relationships/image" Target="../media/image13.png"/></Relationships>
</file>

<file path=xl/drawings/_rels/drawing9.xml.rels><?xml version="1.0" encoding="UTF-8" standalone="yes"?>
<Relationships xmlns="http://schemas.openxmlformats.org/package/2006/relationships"><Relationship Id="rId2" Type="http://schemas.openxmlformats.org/officeDocument/2006/relationships/image" Target="../media/image45.png"/><Relationship Id="rId1"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xdr:from>
      <xdr:col>0</xdr:col>
      <xdr:colOff>23812</xdr:colOff>
      <xdr:row>6</xdr:row>
      <xdr:rowOff>105227</xdr:rowOff>
    </xdr:from>
    <xdr:to>
      <xdr:col>9</xdr:col>
      <xdr:colOff>590550</xdr:colOff>
      <xdr:row>9</xdr:row>
      <xdr:rowOff>63500</xdr:rowOff>
    </xdr:to>
    <xdr:sp macro="" textlink="" fLocksText="0">
      <xdr:nvSpPr>
        <xdr:cNvPr id="2" name="Rectangle 1">
          <a:extLst>
            <a:ext uri="{FF2B5EF4-FFF2-40B4-BE49-F238E27FC236}">
              <a16:creationId xmlns:a16="http://schemas.microsoft.com/office/drawing/2014/main" id="{340824CD-C5C0-4A4C-9FD9-C55F36393FA1}"/>
            </a:ext>
          </a:extLst>
        </xdr:cNvPr>
        <xdr:cNvSpPr>
          <a:spLocks noChangeArrowheads="1"/>
        </xdr:cNvSpPr>
      </xdr:nvSpPr>
      <xdr:spPr bwMode="auto">
        <a:xfrm>
          <a:off x="23812" y="1305377"/>
          <a:ext cx="5710238" cy="558348"/>
        </a:xfrm>
        <a:prstGeom prst="rect">
          <a:avLst/>
        </a:prstGeom>
        <a:solidFill>
          <a:srgbClr val="FFFFFF">
            <a:alpha val="7999"/>
          </a:srgbClr>
        </a:solidFill>
        <a:ln w="9525">
          <a:noFill/>
          <a:round/>
          <a:headEnd/>
          <a:tailEnd/>
        </a:ln>
        <a:effectLst/>
      </xdr:spPr>
      <xdr:txBody>
        <a:bodyPr vertOverflow="clip" wrap="square" lIns="20160" tIns="20160" rIns="20160" bIns="20160" anchor="t" upright="1"/>
        <a:lstStyle/>
        <a:p>
          <a:pPr algn="ctr" rtl="0">
            <a:defRPr sz="1000"/>
          </a:pPr>
          <a:r>
            <a:rPr lang="en-US" altLang="ja-JP" sz="2800" b="1" i="0" u="none" strike="noStrike" baseline="0">
              <a:solidFill>
                <a:srgbClr val="0070C0"/>
              </a:solidFill>
              <a:latin typeface="Meiryo UI" panose="020B0604030504040204" pitchFamily="50" charset="-128"/>
              <a:ea typeface="Meiryo UI" panose="020B0604030504040204" pitchFamily="50" charset="-128"/>
              <a:cs typeface="Arial" panose="020B0604020202020204" pitchFamily="34" charset="0"/>
            </a:rPr>
            <a:t>TCS(PLpgSQL)</a:t>
          </a:r>
        </a:p>
      </xdr:txBody>
    </xdr:sp>
    <xdr:clientData/>
  </xdr:twoCellAnchor>
  <xdr:twoCellAnchor>
    <xdr:from>
      <xdr:col>3</xdr:col>
      <xdr:colOff>60960</xdr:colOff>
      <xdr:row>17</xdr:row>
      <xdr:rowOff>49213</xdr:rowOff>
    </xdr:from>
    <xdr:to>
      <xdr:col>3</xdr:col>
      <xdr:colOff>198120</xdr:colOff>
      <xdr:row>17</xdr:row>
      <xdr:rowOff>171133</xdr:rowOff>
    </xdr:to>
    <xdr:sp macro="" textlink="">
      <xdr:nvSpPr>
        <xdr:cNvPr id="3" name="正方形/長方形 2">
          <a:extLst>
            <a:ext uri="{FF2B5EF4-FFF2-40B4-BE49-F238E27FC236}">
              <a16:creationId xmlns:a16="http://schemas.microsoft.com/office/drawing/2014/main" id="{0A4B78B9-999B-48C1-BBEE-EB557A01D44B}"/>
            </a:ext>
          </a:extLst>
        </xdr:cNvPr>
        <xdr:cNvSpPr/>
      </xdr:nvSpPr>
      <xdr:spPr>
        <a:xfrm>
          <a:off x="1518285" y="3449638"/>
          <a:ext cx="137160" cy="121920"/>
        </a:xfrm>
        <a:prstGeom prst="rect">
          <a:avLst/>
        </a:prstGeom>
        <a:solidFill>
          <a:srgbClr val="1D4D77"/>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lIns="180000" tIns="0" rIns="0" bIns="0" rtlCol="0" anchor="ctr" anchorCtr="0"/>
        <a:lstStyle/>
        <a:p>
          <a:pPr algn="l"/>
          <a:r>
            <a:rPr kumimoji="1" lang="en-US" altLang="ja-JP" sz="700">
              <a:solidFill>
                <a:sysClr val="windowText" lastClr="000000"/>
              </a:solidFill>
              <a:latin typeface="Meiryo UI" panose="020B0604030504040204" pitchFamily="50" charset="-128"/>
              <a:ea typeface="Meiryo UI" panose="020B0604030504040204" pitchFamily="50" charset="-128"/>
            </a:rPr>
            <a:t>Global</a:t>
          </a:r>
          <a:endParaRPr kumimoji="1" lang="ja-JP" altLang="en-US"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3</xdr:col>
      <xdr:colOff>599122</xdr:colOff>
      <xdr:row>17</xdr:row>
      <xdr:rowOff>45720</xdr:rowOff>
    </xdr:from>
    <xdr:to>
      <xdr:col>3</xdr:col>
      <xdr:colOff>730250</xdr:colOff>
      <xdr:row>17</xdr:row>
      <xdr:rowOff>174626</xdr:rowOff>
    </xdr:to>
    <xdr:sp macro="" textlink="">
      <xdr:nvSpPr>
        <xdr:cNvPr id="4" name="正方形/長方形 3">
          <a:extLst>
            <a:ext uri="{FF2B5EF4-FFF2-40B4-BE49-F238E27FC236}">
              <a16:creationId xmlns:a16="http://schemas.microsoft.com/office/drawing/2014/main" id="{8177F76B-C214-4A45-B42D-1109CCD78704}"/>
            </a:ext>
          </a:extLst>
        </xdr:cNvPr>
        <xdr:cNvSpPr/>
      </xdr:nvSpPr>
      <xdr:spPr>
        <a:xfrm>
          <a:off x="2056447" y="3446145"/>
          <a:ext cx="112078" cy="128906"/>
        </a:xfrm>
        <a:prstGeom prst="rect">
          <a:avLst/>
        </a:prstGeom>
        <a:solidFill>
          <a:sysClr val="window" lastClr="FFFFFF"/>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lIns="180000" tIns="0" rIns="0" bIns="0" rtlCol="0" anchor="ctr" anchorCtr="0"/>
        <a:lstStyle/>
        <a:p>
          <a:pPr algn="l"/>
          <a:r>
            <a:rPr kumimoji="1" lang="en-US" altLang="ja-JP" sz="700">
              <a:solidFill>
                <a:sysClr val="windowText" lastClr="000000"/>
              </a:solidFill>
              <a:latin typeface="Meiryo UI" panose="020B0604030504040204" pitchFamily="50" charset="-128"/>
              <a:ea typeface="Meiryo UI" panose="020B0604030504040204" pitchFamily="50" charset="-128"/>
            </a:rPr>
            <a:t>Local [ *Region Name ]</a:t>
          </a:r>
          <a:endParaRPr kumimoji="1" lang="ja-JP" altLang="en-US"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95250</xdr:colOff>
      <xdr:row>9</xdr:row>
      <xdr:rowOff>0</xdr:rowOff>
    </xdr:from>
    <xdr:to>
      <xdr:col>9</xdr:col>
      <xdr:colOff>2295525</xdr:colOff>
      <xdr:row>9</xdr:row>
      <xdr:rowOff>0</xdr:rowOff>
    </xdr:to>
    <xdr:sp macro="" textlink="">
      <xdr:nvSpPr>
        <xdr:cNvPr id="2" name="Rectangle 1">
          <a:extLst>
            <a:ext uri="{FF2B5EF4-FFF2-40B4-BE49-F238E27FC236}">
              <a16:creationId xmlns:a16="http://schemas.microsoft.com/office/drawing/2014/main" id="{72D371D6-9E91-4377-AD23-E8B845AF8C54}"/>
            </a:ext>
          </a:extLst>
        </xdr:cNvPr>
        <xdr:cNvSpPr>
          <a:spLocks noChangeArrowheads="1"/>
        </xdr:cNvSpPr>
      </xdr:nvSpPr>
      <xdr:spPr bwMode="auto">
        <a:xfrm>
          <a:off x="333375" y="1704975"/>
          <a:ext cx="6524625" cy="0"/>
        </a:xfrm>
        <a:prstGeom prst="rect">
          <a:avLst/>
        </a:prstGeom>
        <a:noFill/>
        <a:ln w="9525">
          <a:solidFill>
            <a:srgbClr xmlns:mc="http://schemas.openxmlformats.org/markup-compatibility/2006" xmlns:a14="http://schemas.microsoft.com/office/drawing/2010/main" val="969696" mc:Ignorable="a14" a14:legacySpreadsheetColorIndex="55"/>
          </a:solidFill>
          <a:miter lim="800000"/>
          <a:headEnd/>
          <a:tailEnd/>
        </a:ln>
        <a:extLst>
          <a:ext uri="{909E8E84-426E-40DD-AFC4-6F175D3DCCD1}">
            <a14:hiddenFill xmlns:a14="http://schemas.microsoft.com/office/drawing/2010/main">
              <a:solidFill>
                <a:srgbClr xmlns:mc="http://schemas.openxmlformats.org/markup-compatibility/2006" val="FFFFDD" mc:Ignorable="a14" a14:legacySpreadsheetColorIndex="43"/>
              </a:solidFill>
            </a14:hiddenFill>
          </a:ext>
        </a:extLst>
      </xdr:spPr>
      <xdr:txBody>
        <a:bodyPr vertOverflow="clip" wrap="square" lIns="27432" tIns="18288" rIns="0" bIns="0" anchor="t" upright="1"/>
        <a:lstStyle/>
        <a:p>
          <a:pPr algn="l" rtl="0">
            <a:defRPr sz="1000"/>
          </a:pPr>
          <a:endParaRPr lang="ja-JP" altLang="en-US" sz="900" b="0" i="0" u="none" strike="noStrike" baseline="0">
            <a:solidFill>
              <a:srgbClr val="808080"/>
            </a:solidFill>
            <a:latin typeface="ＭＳ ゴシック"/>
            <a:ea typeface="ＭＳ ゴシック"/>
          </a:endParaRPr>
        </a:p>
        <a:p>
          <a:pPr algn="l" rtl="0">
            <a:defRPr sz="1000"/>
          </a:pPr>
          <a:r>
            <a:rPr lang="ja-JP" altLang="en-US" sz="900" b="0" i="0" u="none" strike="noStrike" baseline="0">
              <a:solidFill>
                <a:srgbClr val="808080"/>
              </a:solidFill>
              <a:latin typeface="ＭＳ ゴシック"/>
              <a:ea typeface="ＭＳ ゴシック"/>
            </a:rPr>
            <a:t>--- &lt;&lt;&lt; LG44LT020.4GL &gt;&gt;&gt; --------- ( Start Time : 2006-08-29 14:23:20 ) --- </a:t>
          </a:r>
        </a:p>
        <a:p>
          <a:pPr algn="l" rtl="0">
            <a:defRPr sz="1000"/>
          </a:pPr>
          <a:endParaRPr lang="ja-JP" altLang="en-US" sz="900" b="0" i="0" u="none" strike="noStrike" baseline="0">
            <a:solidFill>
              <a:srgbClr val="808080"/>
            </a:solidFill>
            <a:latin typeface="ＭＳ ゴシック"/>
            <a:ea typeface="ＭＳ ゴシック"/>
          </a:endParaRPr>
        </a:p>
        <a:p>
          <a:pPr algn="l" rtl="0">
            <a:defRPr sz="1000"/>
          </a:pPr>
          <a:r>
            <a:rPr lang="ja-JP" altLang="en-US" sz="900" b="0" i="0" u="none" strike="noStrike" baseline="0">
              <a:solidFill>
                <a:srgbClr val="808080"/>
              </a:solidFill>
              <a:latin typeface="ＭＳ ゴシック"/>
              <a:ea typeface="ＭＳ ゴシック"/>
            </a:rPr>
            <a:t>        [cc3_acum_cost]   Delete Count =           2</a:t>
          </a:r>
        </a:p>
        <a:p>
          <a:pPr algn="l" rtl="0">
            <a:defRPr sz="1000"/>
          </a:pPr>
          <a:r>
            <a:rPr lang="ja-JP" altLang="en-US" sz="900" b="0" i="0" u="none" strike="noStrike" baseline="0">
              <a:solidFill>
                <a:srgbClr val="808080"/>
              </a:solidFill>
              <a:latin typeface="ＭＳ ゴシック"/>
              <a:ea typeface="ＭＳ ゴシック"/>
            </a:rPr>
            <a:t>        [cc_acum_cost_dt] Select Count =           3</a:t>
          </a:r>
        </a:p>
        <a:p>
          <a:pPr algn="l" rtl="0">
            <a:defRPr sz="1000"/>
          </a:pPr>
          <a:r>
            <a:rPr lang="ja-JP" altLang="en-US" sz="900" b="0" i="0" u="none" strike="noStrike" baseline="0">
              <a:solidFill>
                <a:srgbClr val="808080"/>
              </a:solidFill>
              <a:latin typeface="ＭＳ ゴシック"/>
              <a:ea typeface="ＭＳ ゴシック"/>
            </a:rPr>
            <a:t>        [cc3_acum_cost]   Insert Count =           3</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&lt;&lt;&lt; LG44LT020.4GL &gt;&gt;&gt; --------- ( End   Time : 2006-08-29 14:23:21 ) --- ( Exec :   0:00:00.687 SEC ) --- </a:t>
          </a:r>
        </a:p>
        <a:p>
          <a:pPr algn="l" rtl="0">
            <a:defRPr sz="1000"/>
          </a:pPr>
          <a:endParaRPr lang="ja-JP" altLang="en-US" sz="900" b="0" i="0" u="none" strike="noStrike" baseline="0">
            <a:solidFill>
              <a:srgbClr val="808080"/>
            </a:solidFill>
            <a:latin typeface="ＭＳ ゴシック"/>
            <a:ea typeface="ＭＳ ゴシック"/>
          </a:endParaRPr>
        </a:p>
        <a:p>
          <a:pPr algn="l" rtl="0">
            <a:defRPr sz="1000"/>
          </a:pPr>
          <a:endParaRPr lang="ja-JP" altLang="en-US" sz="900" b="0" i="0" u="none" strike="noStrike" baseline="0">
            <a:solidFill>
              <a:srgbClr val="808080"/>
            </a:solidFill>
            <a:latin typeface="ＭＳ ゴシック"/>
            <a:ea typeface="ＭＳ ゴシック"/>
          </a:endParaRPr>
        </a:p>
      </xdr:txBody>
    </xdr:sp>
    <xdr:clientData/>
  </xdr:twoCellAnchor>
  <xdr:twoCellAnchor>
    <xdr:from>
      <xdr:col>7</xdr:col>
      <xdr:colOff>561975</xdr:colOff>
      <xdr:row>90</xdr:row>
      <xdr:rowOff>0</xdr:rowOff>
    </xdr:from>
    <xdr:to>
      <xdr:col>10</xdr:col>
      <xdr:colOff>314325</xdr:colOff>
      <xdr:row>90</xdr:row>
      <xdr:rowOff>0</xdr:rowOff>
    </xdr:to>
    <xdr:sp macro="" textlink="">
      <xdr:nvSpPr>
        <xdr:cNvPr id="3" name="Rectangle 2">
          <a:extLst>
            <a:ext uri="{FF2B5EF4-FFF2-40B4-BE49-F238E27FC236}">
              <a16:creationId xmlns:a16="http://schemas.microsoft.com/office/drawing/2014/main" id="{682734CD-F705-47EF-8A84-BB8C9C3E5A10}"/>
            </a:ext>
          </a:extLst>
        </xdr:cNvPr>
        <xdr:cNvSpPr>
          <a:spLocks noChangeArrowheads="1"/>
        </xdr:cNvSpPr>
      </xdr:nvSpPr>
      <xdr:spPr bwMode="auto">
        <a:xfrm>
          <a:off x="5057775" y="12020550"/>
          <a:ext cx="2114550" cy="0"/>
        </a:xfrm>
        <a:prstGeom prst="rect">
          <a:avLst/>
        </a:prstGeom>
        <a:solidFill>
          <a:srgbClr xmlns:mc="http://schemas.openxmlformats.org/markup-compatibility/2006" xmlns:a14="http://schemas.microsoft.com/office/drawing/2010/main" val="CCFFCC" mc:Ignorable="a14" a14:legacySpreadsheetColorIndex="42"/>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　　 where　 a．serial_no  = b．serial_no</a:t>
          </a:r>
        </a:p>
        <a:p>
          <a:pPr algn="l" rtl="0">
            <a:defRPr sz="1000"/>
          </a:pPr>
          <a:r>
            <a:rPr lang="ja-JP" altLang="en-US" sz="1100" b="0" i="0" u="none" strike="noStrike" baseline="0">
              <a:solidFill>
                <a:srgbClr val="000000"/>
              </a:solidFill>
              <a:latin typeface="ＭＳ Ｐゴシック"/>
              <a:ea typeface="ＭＳ Ｐゴシック"/>
            </a:rPr>
            <a:t>      　and　 a．data_seq  = l_data_seq　（4-1取得）</a:t>
          </a:r>
        </a:p>
        <a:p>
          <a:pPr algn="l" rtl="0">
            <a:defRPr sz="1000"/>
          </a:pPr>
          <a:r>
            <a:rPr lang="ja-JP" altLang="en-US" sz="1100" b="0" i="0" u="none" strike="noStrike" baseline="0">
              <a:solidFill>
                <a:srgbClr val="000000"/>
              </a:solidFill>
              <a:latin typeface="ＭＳ Ｐゴシック"/>
              <a:ea typeface="ＭＳ Ｐゴシック"/>
            </a:rPr>
            <a:t> 　　   and　 b．y_itemno  = r_y_itemno　（4-1取得）</a:t>
          </a:r>
        </a:p>
        <a:p>
          <a:pPr algn="l" rtl="0">
            <a:defRPr sz="1000"/>
          </a:pPr>
          <a:r>
            <a:rPr lang="ja-JP" altLang="en-US" sz="1100" b="0" i="0" u="none" strike="noStrike" baseline="0">
              <a:solidFill>
                <a:srgbClr val="000000"/>
              </a:solidFill>
              <a:latin typeface="ＭＳ Ｐゴシック"/>
              <a:ea typeface="ＭＳ Ｐゴシック"/>
            </a:rPr>
            <a:t>  order by　 b．transfer_date</a:t>
          </a:r>
        </a:p>
      </xdr:txBody>
    </xdr:sp>
    <xdr:clientData/>
  </xdr:twoCellAnchor>
  <xdr:twoCellAnchor>
    <xdr:from>
      <xdr:col>8</xdr:col>
      <xdr:colOff>409575</xdr:colOff>
      <xdr:row>90</xdr:row>
      <xdr:rowOff>0</xdr:rowOff>
    </xdr:from>
    <xdr:to>
      <xdr:col>8</xdr:col>
      <xdr:colOff>800100</xdr:colOff>
      <xdr:row>90</xdr:row>
      <xdr:rowOff>0</xdr:rowOff>
    </xdr:to>
    <xdr:sp macro="" textlink="">
      <xdr:nvSpPr>
        <xdr:cNvPr id="4" name="AutoShape 3">
          <a:extLst>
            <a:ext uri="{FF2B5EF4-FFF2-40B4-BE49-F238E27FC236}">
              <a16:creationId xmlns:a16="http://schemas.microsoft.com/office/drawing/2014/main" id="{FC6E1BB7-6241-4C4F-A560-620D467AF1A9}"/>
            </a:ext>
          </a:extLst>
        </xdr:cNvPr>
        <xdr:cNvSpPr>
          <a:spLocks noChangeArrowheads="1"/>
        </xdr:cNvSpPr>
      </xdr:nvSpPr>
      <xdr:spPr bwMode="auto">
        <a:xfrm>
          <a:off x="5619750" y="12020550"/>
          <a:ext cx="390525" cy="0"/>
        </a:xfrm>
        <a:prstGeom prst="upArrow">
          <a:avLst>
            <a:gd name="adj1" fmla="val 51519"/>
            <a:gd name="adj2" fmla="val -2147483648"/>
          </a:avLst>
        </a:prstGeom>
        <a:solidFill>
          <a:srgbClr xmlns:mc="http://schemas.openxmlformats.org/markup-compatibility/2006" xmlns:a14="http://schemas.microsoft.com/office/drawing/2010/main" val="FF0000" mc:Ignorable="a14" a14:legacySpreadsheetColorIndex="10"/>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12</xdr:col>
      <xdr:colOff>495300</xdr:colOff>
      <xdr:row>24</xdr:row>
      <xdr:rowOff>0</xdr:rowOff>
    </xdr:from>
    <xdr:to>
      <xdr:col>14</xdr:col>
      <xdr:colOff>361950</xdr:colOff>
      <xdr:row>24</xdr:row>
      <xdr:rowOff>0</xdr:rowOff>
    </xdr:to>
    <xdr:sp macro="" textlink="">
      <xdr:nvSpPr>
        <xdr:cNvPr id="5" name="AutoShape 4">
          <a:extLst>
            <a:ext uri="{FF2B5EF4-FFF2-40B4-BE49-F238E27FC236}">
              <a16:creationId xmlns:a16="http://schemas.microsoft.com/office/drawing/2014/main" id="{53E29F5D-C223-4A93-81B7-18C18F8A7AC7}"/>
            </a:ext>
          </a:extLst>
        </xdr:cNvPr>
        <xdr:cNvSpPr>
          <a:spLocks noChangeArrowheads="1"/>
        </xdr:cNvSpPr>
      </xdr:nvSpPr>
      <xdr:spPr bwMode="auto">
        <a:xfrm>
          <a:off x="8782050" y="7515225"/>
          <a:ext cx="1238250" cy="0"/>
        </a:xfrm>
        <a:prstGeom prst="wedgeRectCallout">
          <a:avLst>
            <a:gd name="adj1" fmla="val -20000"/>
            <a:gd name="adj2" fmla="val -150000"/>
          </a:avLst>
        </a:prstGeom>
        <a:solidFill>
          <a:srgbClr xmlns:mc="http://schemas.openxmlformats.org/markup-compatibility/2006" xmlns:a14="http://schemas.microsoft.com/office/drawing/2010/main" val="99CCFF" mc:Ignorable="a14" a14:legacySpreadsheetColorIndex="44"/>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引数：200409で実行</a:t>
          </a:r>
        </a:p>
      </xdr:txBody>
    </xdr:sp>
    <xdr:clientData/>
  </xdr:twoCellAnchor>
  <xdr:twoCellAnchor>
    <xdr:from>
      <xdr:col>10</xdr:col>
      <xdr:colOff>628650</xdr:colOff>
      <xdr:row>90</xdr:row>
      <xdr:rowOff>0</xdr:rowOff>
    </xdr:from>
    <xdr:to>
      <xdr:col>10</xdr:col>
      <xdr:colOff>742950</xdr:colOff>
      <xdr:row>90</xdr:row>
      <xdr:rowOff>0</xdr:rowOff>
    </xdr:to>
    <xdr:sp macro="" textlink="">
      <xdr:nvSpPr>
        <xdr:cNvPr id="6" name="AutoShape 5">
          <a:extLst>
            <a:ext uri="{FF2B5EF4-FFF2-40B4-BE49-F238E27FC236}">
              <a16:creationId xmlns:a16="http://schemas.microsoft.com/office/drawing/2014/main" id="{EBCC4D35-7D67-4D46-B63A-944A30CE71A2}"/>
            </a:ext>
          </a:extLst>
        </xdr:cNvPr>
        <xdr:cNvSpPr>
          <a:spLocks noChangeArrowheads="1"/>
        </xdr:cNvSpPr>
      </xdr:nvSpPr>
      <xdr:spPr bwMode="auto">
        <a:xfrm>
          <a:off x="7486650" y="12020550"/>
          <a:ext cx="114300" cy="0"/>
        </a:xfrm>
        <a:prstGeom prst="upArrow">
          <a:avLst>
            <a:gd name="adj1" fmla="val 51519"/>
            <a:gd name="adj2" fmla="val -2147483648"/>
          </a:avLst>
        </a:prstGeom>
        <a:solidFill>
          <a:srgbClr xmlns:mc="http://schemas.openxmlformats.org/markup-compatibility/2006" xmlns:a14="http://schemas.microsoft.com/office/drawing/2010/main" val="FF0000" mc:Ignorable="a14" a14:legacySpreadsheetColorIndex="10"/>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514350</xdr:colOff>
      <xdr:row>3</xdr:row>
      <xdr:rowOff>0</xdr:rowOff>
    </xdr:from>
    <xdr:to>
      <xdr:col>15</xdr:col>
      <xdr:colOff>180975</xdr:colOff>
      <xdr:row>7</xdr:row>
      <xdr:rowOff>0</xdr:rowOff>
    </xdr:to>
    <xdr:sp macro="" textlink="">
      <xdr:nvSpPr>
        <xdr:cNvPr id="11" name="AutoShape 22">
          <a:extLst>
            <a:ext uri="{FF2B5EF4-FFF2-40B4-BE49-F238E27FC236}">
              <a16:creationId xmlns:a16="http://schemas.microsoft.com/office/drawing/2014/main" id="{F6436DD6-CC9C-43A7-AF7A-B5D2C80D27E6}"/>
            </a:ext>
          </a:extLst>
        </xdr:cNvPr>
        <xdr:cNvSpPr>
          <a:spLocks noChangeArrowheads="1"/>
        </xdr:cNvSpPr>
      </xdr:nvSpPr>
      <xdr:spPr bwMode="auto">
        <a:xfrm>
          <a:off x="6572250" y="676275"/>
          <a:ext cx="3952875" cy="685800"/>
        </a:xfrm>
        <a:prstGeom prst="wedgeRoundRectCallout">
          <a:avLst>
            <a:gd name="adj1" fmla="val -61565"/>
            <a:gd name="adj2" fmla="val -33333"/>
            <a:gd name="adj3" fmla="val 16667"/>
          </a:avLst>
        </a:prstGeom>
        <a:solidFill>
          <a:srgbClr xmlns:mc="http://schemas.openxmlformats.org/markup-compatibility/2006" xmlns:a14="http://schemas.microsoft.com/office/drawing/2010/main" val="FFFFDD" mc:Ignorable="a14" a14:legacySpreadsheetColorIndex="43"/>
        </a:solidFill>
        <a:ln w="19050">
          <a:solidFill>
            <a:srgbClr xmlns:mc="http://schemas.openxmlformats.org/markup-compatibility/2006" xmlns:a14="http://schemas.microsoft.com/office/drawing/2010/main" val="FF6600" mc:Ignorable="a14" a14:legacySpreadsheetColorIndex="53"/>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36576" bIns="18288" anchor="ctr" upright="1"/>
        <a:lstStyle/>
        <a:p>
          <a:pPr algn="ctr" rtl="0">
            <a:lnSpc>
              <a:spcPts val="1200"/>
            </a:lnSpc>
            <a:defRPr sz="1000"/>
          </a:pPr>
          <a:r>
            <a:rPr lang="ja-JP" altLang="en-US" sz="1100" b="1" i="0" u="none" strike="noStrike" baseline="0">
              <a:solidFill>
                <a:srgbClr val="000000"/>
              </a:solidFill>
              <a:latin typeface="ＭＳ Ｐゴシック"/>
              <a:ea typeface="ＭＳ Ｐゴシック"/>
            </a:rPr>
            <a:t>"更新項目"や"削除項目"への色分けが必要な場合</a:t>
          </a:r>
        </a:p>
        <a:p>
          <a:pPr algn="ctr" rtl="0">
            <a:lnSpc>
              <a:spcPts val="1200"/>
            </a:lnSpc>
            <a:defRPr sz="1000"/>
          </a:pPr>
          <a:r>
            <a:rPr lang="ja-JP" altLang="en-US" sz="1100" b="1" i="0" u="none" strike="noStrike" baseline="0">
              <a:solidFill>
                <a:srgbClr val="000000"/>
              </a:solidFill>
              <a:latin typeface="ＭＳ Ｐゴシック"/>
              <a:ea typeface="ＭＳ Ｐゴシック"/>
            </a:rPr>
            <a:t>開発者は任意の色を指定し、テストデータと対応させる。</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561975</xdr:colOff>
      <xdr:row>87</xdr:row>
      <xdr:rowOff>0</xdr:rowOff>
    </xdr:from>
    <xdr:to>
      <xdr:col>9</xdr:col>
      <xdr:colOff>314325</xdr:colOff>
      <xdr:row>87</xdr:row>
      <xdr:rowOff>0</xdr:rowOff>
    </xdr:to>
    <xdr:sp macro="" textlink="">
      <xdr:nvSpPr>
        <xdr:cNvPr id="2" name="Rectangle 2">
          <a:extLst>
            <a:ext uri="{FF2B5EF4-FFF2-40B4-BE49-F238E27FC236}">
              <a16:creationId xmlns:a16="http://schemas.microsoft.com/office/drawing/2014/main" id="{B97769C6-0FAC-44FB-AEBD-38642FC7A140}"/>
            </a:ext>
          </a:extLst>
        </xdr:cNvPr>
        <xdr:cNvSpPr>
          <a:spLocks noChangeArrowheads="1"/>
        </xdr:cNvSpPr>
      </xdr:nvSpPr>
      <xdr:spPr bwMode="auto">
        <a:xfrm>
          <a:off x="5673725" y="26393775"/>
          <a:ext cx="3562350" cy="0"/>
        </a:xfrm>
        <a:prstGeom prst="rect">
          <a:avLst/>
        </a:prstGeom>
        <a:solidFill>
          <a:srgbClr xmlns:mc="http://schemas.openxmlformats.org/markup-compatibility/2006" xmlns:a14="http://schemas.microsoft.com/office/drawing/2010/main" val="CCFFCC" mc:Ignorable="a14" a14:legacySpreadsheetColorIndex="42"/>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　　 where　 a．serial_no  = b．serial_no</a:t>
          </a:r>
        </a:p>
        <a:p>
          <a:pPr algn="l" rtl="0">
            <a:defRPr sz="1000"/>
          </a:pPr>
          <a:r>
            <a:rPr lang="ja-JP" altLang="en-US" sz="1100" b="0" i="0" u="none" strike="noStrike" baseline="0">
              <a:solidFill>
                <a:srgbClr val="000000"/>
              </a:solidFill>
              <a:latin typeface="ＭＳ Ｐゴシック"/>
              <a:ea typeface="ＭＳ Ｐゴシック"/>
            </a:rPr>
            <a:t>      　and　 a．data_seq  = l_data_seq　（4-1取得）</a:t>
          </a:r>
        </a:p>
        <a:p>
          <a:pPr algn="l" rtl="0">
            <a:defRPr sz="1000"/>
          </a:pPr>
          <a:r>
            <a:rPr lang="ja-JP" altLang="en-US" sz="1100" b="0" i="0" u="none" strike="noStrike" baseline="0">
              <a:solidFill>
                <a:srgbClr val="000000"/>
              </a:solidFill>
              <a:latin typeface="ＭＳ Ｐゴシック"/>
              <a:ea typeface="ＭＳ Ｐゴシック"/>
            </a:rPr>
            <a:t> 　　   and　 b．y_itemno  = r_y_itemno　（4-1取得）</a:t>
          </a:r>
        </a:p>
        <a:p>
          <a:pPr algn="l" rtl="0">
            <a:defRPr sz="1000"/>
          </a:pPr>
          <a:r>
            <a:rPr lang="ja-JP" altLang="en-US" sz="1100" b="0" i="0" u="none" strike="noStrike" baseline="0">
              <a:solidFill>
                <a:srgbClr val="000000"/>
              </a:solidFill>
              <a:latin typeface="ＭＳ Ｐゴシック"/>
              <a:ea typeface="ＭＳ Ｐゴシック"/>
            </a:rPr>
            <a:t>  order by　 b．transfer_date</a:t>
          </a:r>
        </a:p>
      </xdr:txBody>
    </xdr:sp>
    <xdr:clientData/>
  </xdr:twoCellAnchor>
  <xdr:twoCellAnchor>
    <xdr:from>
      <xdr:col>7</xdr:col>
      <xdr:colOff>409575</xdr:colOff>
      <xdr:row>87</xdr:row>
      <xdr:rowOff>0</xdr:rowOff>
    </xdr:from>
    <xdr:to>
      <xdr:col>7</xdr:col>
      <xdr:colOff>800100</xdr:colOff>
      <xdr:row>87</xdr:row>
      <xdr:rowOff>0</xdr:rowOff>
    </xdr:to>
    <xdr:sp macro="" textlink="">
      <xdr:nvSpPr>
        <xdr:cNvPr id="3" name="AutoShape 3">
          <a:extLst>
            <a:ext uri="{FF2B5EF4-FFF2-40B4-BE49-F238E27FC236}">
              <a16:creationId xmlns:a16="http://schemas.microsoft.com/office/drawing/2014/main" id="{5AAD4899-24D9-4A60-A548-6C36262D4C19}"/>
            </a:ext>
          </a:extLst>
        </xdr:cNvPr>
        <xdr:cNvSpPr>
          <a:spLocks noChangeArrowheads="1"/>
        </xdr:cNvSpPr>
      </xdr:nvSpPr>
      <xdr:spPr bwMode="auto">
        <a:xfrm>
          <a:off x="6521450" y="26393775"/>
          <a:ext cx="393700" cy="0"/>
        </a:xfrm>
        <a:prstGeom prst="upArrow">
          <a:avLst>
            <a:gd name="adj1" fmla="val 51519"/>
            <a:gd name="adj2" fmla="val -2147483648"/>
          </a:avLst>
        </a:prstGeom>
        <a:solidFill>
          <a:srgbClr xmlns:mc="http://schemas.openxmlformats.org/markup-compatibility/2006" xmlns:a14="http://schemas.microsoft.com/office/drawing/2010/main" val="FF0000" mc:Ignorable="a14" a14:legacySpreadsheetColorIndex="10"/>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628650</xdr:colOff>
      <xdr:row>87</xdr:row>
      <xdr:rowOff>0</xdr:rowOff>
    </xdr:from>
    <xdr:to>
      <xdr:col>9</xdr:col>
      <xdr:colOff>742950</xdr:colOff>
      <xdr:row>87</xdr:row>
      <xdr:rowOff>0</xdr:rowOff>
    </xdr:to>
    <xdr:sp macro="" textlink="">
      <xdr:nvSpPr>
        <xdr:cNvPr id="4" name="AutoShape 5">
          <a:extLst>
            <a:ext uri="{FF2B5EF4-FFF2-40B4-BE49-F238E27FC236}">
              <a16:creationId xmlns:a16="http://schemas.microsoft.com/office/drawing/2014/main" id="{F51BDD60-D391-40CD-9998-6F7E4B3AE55D}"/>
            </a:ext>
          </a:extLst>
        </xdr:cNvPr>
        <xdr:cNvSpPr>
          <a:spLocks noChangeArrowheads="1"/>
        </xdr:cNvSpPr>
      </xdr:nvSpPr>
      <xdr:spPr bwMode="auto">
        <a:xfrm>
          <a:off x="9553575" y="26393775"/>
          <a:ext cx="114300" cy="0"/>
        </a:xfrm>
        <a:prstGeom prst="upArrow">
          <a:avLst>
            <a:gd name="adj1" fmla="val 51519"/>
            <a:gd name="adj2" fmla="val -2147483648"/>
          </a:avLst>
        </a:prstGeom>
        <a:solidFill>
          <a:srgbClr xmlns:mc="http://schemas.openxmlformats.org/markup-compatibility/2006" xmlns:a14="http://schemas.microsoft.com/office/drawing/2010/main" val="FF0000" mc:Ignorable="a14" a14:legacySpreadsheetColorIndex="10"/>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561975</xdr:colOff>
      <xdr:row>284</xdr:row>
      <xdr:rowOff>0</xdr:rowOff>
    </xdr:from>
    <xdr:to>
      <xdr:col>9</xdr:col>
      <xdr:colOff>314325</xdr:colOff>
      <xdr:row>284</xdr:row>
      <xdr:rowOff>0</xdr:rowOff>
    </xdr:to>
    <xdr:sp macro="" textlink="">
      <xdr:nvSpPr>
        <xdr:cNvPr id="5" name="Rectangle 2">
          <a:extLst>
            <a:ext uri="{FF2B5EF4-FFF2-40B4-BE49-F238E27FC236}">
              <a16:creationId xmlns:a16="http://schemas.microsoft.com/office/drawing/2014/main" id="{74D9B7A4-7BAF-4053-B938-71AE440CFB8F}"/>
            </a:ext>
          </a:extLst>
        </xdr:cNvPr>
        <xdr:cNvSpPr>
          <a:spLocks noChangeArrowheads="1"/>
        </xdr:cNvSpPr>
      </xdr:nvSpPr>
      <xdr:spPr bwMode="auto">
        <a:xfrm>
          <a:off x="15284450" y="14725650"/>
          <a:ext cx="3286125" cy="0"/>
        </a:xfrm>
        <a:prstGeom prst="rect">
          <a:avLst/>
        </a:prstGeom>
        <a:solidFill>
          <a:srgbClr xmlns:mc="http://schemas.openxmlformats.org/markup-compatibility/2006" xmlns:a14="http://schemas.microsoft.com/office/drawing/2010/main" val="CCFFCC" mc:Ignorable="a14" a14:legacySpreadsheetColorIndex="42"/>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　　 where　 a．serial_no  = b．serial_no</a:t>
          </a:r>
        </a:p>
        <a:p>
          <a:pPr algn="l" rtl="0">
            <a:defRPr sz="1000"/>
          </a:pPr>
          <a:r>
            <a:rPr lang="ja-JP" altLang="en-US" sz="1100" b="0" i="0" u="none" strike="noStrike" baseline="0">
              <a:solidFill>
                <a:srgbClr val="000000"/>
              </a:solidFill>
              <a:latin typeface="ＭＳ Ｐゴシック"/>
              <a:ea typeface="ＭＳ Ｐゴシック"/>
            </a:rPr>
            <a:t>      　and　 a．data_seq  = l_data_seq　（4-1取得）</a:t>
          </a:r>
        </a:p>
        <a:p>
          <a:pPr algn="l" rtl="0">
            <a:defRPr sz="1000"/>
          </a:pPr>
          <a:r>
            <a:rPr lang="ja-JP" altLang="en-US" sz="1100" b="0" i="0" u="none" strike="noStrike" baseline="0">
              <a:solidFill>
                <a:srgbClr val="000000"/>
              </a:solidFill>
              <a:latin typeface="ＭＳ Ｐゴシック"/>
              <a:ea typeface="ＭＳ Ｐゴシック"/>
            </a:rPr>
            <a:t> 　　   and　 b．y_itemno  = r_y_itemno　（4-1取得）</a:t>
          </a:r>
        </a:p>
        <a:p>
          <a:pPr algn="l" rtl="0">
            <a:defRPr sz="1000"/>
          </a:pPr>
          <a:r>
            <a:rPr lang="ja-JP" altLang="en-US" sz="1100" b="0" i="0" u="none" strike="noStrike" baseline="0">
              <a:solidFill>
                <a:srgbClr val="000000"/>
              </a:solidFill>
              <a:latin typeface="ＭＳ Ｐゴシック"/>
              <a:ea typeface="ＭＳ Ｐゴシック"/>
            </a:rPr>
            <a:t>  order by　 b．transfer_date</a:t>
          </a:r>
        </a:p>
      </xdr:txBody>
    </xdr:sp>
    <xdr:clientData/>
  </xdr:twoCellAnchor>
  <xdr:twoCellAnchor>
    <xdr:from>
      <xdr:col>7</xdr:col>
      <xdr:colOff>409575</xdr:colOff>
      <xdr:row>284</xdr:row>
      <xdr:rowOff>0</xdr:rowOff>
    </xdr:from>
    <xdr:to>
      <xdr:col>7</xdr:col>
      <xdr:colOff>800100</xdr:colOff>
      <xdr:row>284</xdr:row>
      <xdr:rowOff>0</xdr:rowOff>
    </xdr:to>
    <xdr:sp macro="" textlink="">
      <xdr:nvSpPr>
        <xdr:cNvPr id="6" name="AutoShape 3">
          <a:extLst>
            <a:ext uri="{FF2B5EF4-FFF2-40B4-BE49-F238E27FC236}">
              <a16:creationId xmlns:a16="http://schemas.microsoft.com/office/drawing/2014/main" id="{CFAEB3E0-EAB7-4BBD-83B5-50A5A25B92E4}"/>
            </a:ext>
          </a:extLst>
        </xdr:cNvPr>
        <xdr:cNvSpPr>
          <a:spLocks noChangeArrowheads="1"/>
        </xdr:cNvSpPr>
      </xdr:nvSpPr>
      <xdr:spPr bwMode="auto">
        <a:xfrm>
          <a:off x="15998825" y="14725650"/>
          <a:ext cx="393700" cy="0"/>
        </a:xfrm>
        <a:prstGeom prst="upArrow">
          <a:avLst>
            <a:gd name="adj1" fmla="val 51519"/>
            <a:gd name="adj2" fmla="val -2147483648"/>
          </a:avLst>
        </a:prstGeom>
        <a:solidFill>
          <a:srgbClr xmlns:mc="http://schemas.openxmlformats.org/markup-compatibility/2006" xmlns:a14="http://schemas.microsoft.com/office/drawing/2010/main" val="FF0000" mc:Ignorable="a14" a14:legacySpreadsheetColorIndex="10"/>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628650</xdr:colOff>
      <xdr:row>284</xdr:row>
      <xdr:rowOff>0</xdr:rowOff>
    </xdr:from>
    <xdr:to>
      <xdr:col>9</xdr:col>
      <xdr:colOff>742950</xdr:colOff>
      <xdr:row>284</xdr:row>
      <xdr:rowOff>0</xdr:rowOff>
    </xdr:to>
    <xdr:sp macro="" textlink="">
      <xdr:nvSpPr>
        <xdr:cNvPr id="7" name="AutoShape 5">
          <a:extLst>
            <a:ext uri="{FF2B5EF4-FFF2-40B4-BE49-F238E27FC236}">
              <a16:creationId xmlns:a16="http://schemas.microsoft.com/office/drawing/2014/main" id="{A6FD4F04-9D58-4326-9E50-45EA3FEF0167}"/>
            </a:ext>
          </a:extLst>
        </xdr:cNvPr>
        <xdr:cNvSpPr>
          <a:spLocks noChangeArrowheads="1"/>
        </xdr:cNvSpPr>
      </xdr:nvSpPr>
      <xdr:spPr bwMode="auto">
        <a:xfrm>
          <a:off x="18888075" y="14725650"/>
          <a:ext cx="114300" cy="0"/>
        </a:xfrm>
        <a:prstGeom prst="upArrow">
          <a:avLst>
            <a:gd name="adj1" fmla="val 51519"/>
            <a:gd name="adj2" fmla="val -2147483648"/>
          </a:avLst>
        </a:prstGeom>
        <a:solidFill>
          <a:srgbClr xmlns:mc="http://schemas.openxmlformats.org/markup-compatibility/2006" xmlns:a14="http://schemas.microsoft.com/office/drawing/2010/main" val="FF0000" mc:Ignorable="a14" a14:legacySpreadsheetColorIndex="10"/>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561975</xdr:colOff>
      <xdr:row>607</xdr:row>
      <xdr:rowOff>0</xdr:rowOff>
    </xdr:from>
    <xdr:to>
      <xdr:col>9</xdr:col>
      <xdr:colOff>314325</xdr:colOff>
      <xdr:row>607</xdr:row>
      <xdr:rowOff>0</xdr:rowOff>
    </xdr:to>
    <xdr:sp macro="" textlink="">
      <xdr:nvSpPr>
        <xdr:cNvPr id="8" name="Rectangle 2">
          <a:extLst>
            <a:ext uri="{FF2B5EF4-FFF2-40B4-BE49-F238E27FC236}">
              <a16:creationId xmlns:a16="http://schemas.microsoft.com/office/drawing/2014/main" id="{1D447C72-4F5D-4472-9992-BC4A954DD054}"/>
            </a:ext>
          </a:extLst>
        </xdr:cNvPr>
        <xdr:cNvSpPr>
          <a:spLocks noChangeArrowheads="1"/>
        </xdr:cNvSpPr>
      </xdr:nvSpPr>
      <xdr:spPr bwMode="auto">
        <a:xfrm>
          <a:off x="6426200" y="23155275"/>
          <a:ext cx="3562350" cy="0"/>
        </a:xfrm>
        <a:prstGeom prst="rect">
          <a:avLst/>
        </a:prstGeom>
        <a:solidFill>
          <a:srgbClr xmlns:mc="http://schemas.openxmlformats.org/markup-compatibility/2006" xmlns:a14="http://schemas.microsoft.com/office/drawing/2010/main" val="CCFFCC" mc:Ignorable="a14" a14:legacySpreadsheetColorIndex="42"/>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　　 </a:t>
          </a:r>
        </a:p>
      </xdr:txBody>
    </xdr:sp>
    <xdr:clientData/>
  </xdr:twoCellAnchor>
  <xdr:twoCellAnchor>
    <xdr:from>
      <xdr:col>7</xdr:col>
      <xdr:colOff>409575</xdr:colOff>
      <xdr:row>607</xdr:row>
      <xdr:rowOff>0</xdr:rowOff>
    </xdr:from>
    <xdr:to>
      <xdr:col>7</xdr:col>
      <xdr:colOff>800100</xdr:colOff>
      <xdr:row>607</xdr:row>
      <xdr:rowOff>0</xdr:rowOff>
    </xdr:to>
    <xdr:sp macro="" textlink="">
      <xdr:nvSpPr>
        <xdr:cNvPr id="9" name="AutoShape 3">
          <a:extLst>
            <a:ext uri="{FF2B5EF4-FFF2-40B4-BE49-F238E27FC236}">
              <a16:creationId xmlns:a16="http://schemas.microsoft.com/office/drawing/2014/main" id="{99AC880D-80BA-4E4E-8B25-C461660093B9}"/>
            </a:ext>
          </a:extLst>
        </xdr:cNvPr>
        <xdr:cNvSpPr>
          <a:spLocks noChangeArrowheads="1"/>
        </xdr:cNvSpPr>
      </xdr:nvSpPr>
      <xdr:spPr bwMode="auto">
        <a:xfrm>
          <a:off x="7273925" y="23155275"/>
          <a:ext cx="393700" cy="0"/>
        </a:xfrm>
        <a:prstGeom prst="upArrow">
          <a:avLst>
            <a:gd name="adj1" fmla="val 51519"/>
            <a:gd name="adj2" fmla="val -2147483648"/>
          </a:avLst>
        </a:prstGeom>
        <a:solidFill>
          <a:srgbClr xmlns:mc="http://schemas.openxmlformats.org/markup-compatibility/2006" xmlns:a14="http://schemas.microsoft.com/office/drawing/2010/main" val="FF0000" mc:Ignorable="a14" a14:legacySpreadsheetColorIndex="10"/>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628650</xdr:colOff>
      <xdr:row>607</xdr:row>
      <xdr:rowOff>0</xdr:rowOff>
    </xdr:from>
    <xdr:to>
      <xdr:col>9</xdr:col>
      <xdr:colOff>742950</xdr:colOff>
      <xdr:row>607</xdr:row>
      <xdr:rowOff>0</xdr:rowOff>
    </xdr:to>
    <xdr:sp macro="" textlink="">
      <xdr:nvSpPr>
        <xdr:cNvPr id="10" name="AutoShape 5">
          <a:extLst>
            <a:ext uri="{FF2B5EF4-FFF2-40B4-BE49-F238E27FC236}">
              <a16:creationId xmlns:a16="http://schemas.microsoft.com/office/drawing/2014/main" id="{74DDFFE3-7114-4C99-BF19-45F7AAC26AA7}"/>
            </a:ext>
          </a:extLst>
        </xdr:cNvPr>
        <xdr:cNvSpPr>
          <a:spLocks noChangeArrowheads="1"/>
        </xdr:cNvSpPr>
      </xdr:nvSpPr>
      <xdr:spPr bwMode="auto">
        <a:xfrm>
          <a:off x="10306050" y="23155275"/>
          <a:ext cx="114300" cy="0"/>
        </a:xfrm>
        <a:prstGeom prst="upArrow">
          <a:avLst>
            <a:gd name="adj1" fmla="val 51519"/>
            <a:gd name="adj2" fmla="val -2147483648"/>
          </a:avLst>
        </a:prstGeom>
        <a:solidFill>
          <a:srgbClr xmlns:mc="http://schemas.openxmlformats.org/markup-compatibility/2006" xmlns:a14="http://schemas.microsoft.com/office/drawing/2010/main" val="FF0000" mc:Ignorable="a14" a14:legacySpreadsheetColorIndex="10"/>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7</xdr:col>
      <xdr:colOff>409575</xdr:colOff>
      <xdr:row>87</xdr:row>
      <xdr:rowOff>0</xdr:rowOff>
    </xdr:from>
    <xdr:to>
      <xdr:col>7</xdr:col>
      <xdr:colOff>800100</xdr:colOff>
      <xdr:row>87</xdr:row>
      <xdr:rowOff>0</xdr:rowOff>
    </xdr:to>
    <xdr:sp macro="" textlink="">
      <xdr:nvSpPr>
        <xdr:cNvPr id="14" name="AutoShape 3">
          <a:extLst>
            <a:ext uri="{FF2B5EF4-FFF2-40B4-BE49-F238E27FC236}">
              <a16:creationId xmlns:a16="http://schemas.microsoft.com/office/drawing/2014/main" id="{4E4DC777-9DE7-43D0-B9A6-AEAC95D7B13B}"/>
            </a:ext>
          </a:extLst>
        </xdr:cNvPr>
        <xdr:cNvSpPr>
          <a:spLocks noChangeArrowheads="1"/>
        </xdr:cNvSpPr>
      </xdr:nvSpPr>
      <xdr:spPr bwMode="auto">
        <a:xfrm>
          <a:off x="19961225" y="17021175"/>
          <a:ext cx="393700" cy="0"/>
        </a:xfrm>
        <a:prstGeom prst="upArrow">
          <a:avLst>
            <a:gd name="adj1" fmla="val 51519"/>
            <a:gd name="adj2" fmla="val -2147483648"/>
          </a:avLst>
        </a:prstGeom>
        <a:solidFill>
          <a:srgbClr xmlns:mc="http://schemas.openxmlformats.org/markup-compatibility/2006" xmlns:a14="http://schemas.microsoft.com/office/drawing/2010/main" val="FF0000" mc:Ignorable="a14" a14:legacySpreadsheetColorIndex="10"/>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7</xdr:col>
      <xdr:colOff>409575</xdr:colOff>
      <xdr:row>284</xdr:row>
      <xdr:rowOff>0</xdr:rowOff>
    </xdr:from>
    <xdr:to>
      <xdr:col>7</xdr:col>
      <xdr:colOff>800100</xdr:colOff>
      <xdr:row>284</xdr:row>
      <xdr:rowOff>0</xdr:rowOff>
    </xdr:to>
    <xdr:sp macro="" textlink="">
      <xdr:nvSpPr>
        <xdr:cNvPr id="15" name="AutoShape 3">
          <a:extLst>
            <a:ext uri="{FF2B5EF4-FFF2-40B4-BE49-F238E27FC236}">
              <a16:creationId xmlns:a16="http://schemas.microsoft.com/office/drawing/2014/main" id="{05EDDCD0-540F-48D1-AC56-3517E2F7A8DB}"/>
            </a:ext>
          </a:extLst>
        </xdr:cNvPr>
        <xdr:cNvSpPr>
          <a:spLocks noChangeArrowheads="1"/>
        </xdr:cNvSpPr>
      </xdr:nvSpPr>
      <xdr:spPr bwMode="auto">
        <a:xfrm>
          <a:off x="19961225" y="52092225"/>
          <a:ext cx="393700" cy="0"/>
        </a:xfrm>
        <a:prstGeom prst="upArrow">
          <a:avLst>
            <a:gd name="adj1" fmla="val 51519"/>
            <a:gd name="adj2" fmla="val -2147483648"/>
          </a:avLst>
        </a:prstGeom>
        <a:solidFill>
          <a:srgbClr xmlns:mc="http://schemas.openxmlformats.org/markup-compatibility/2006" xmlns:a14="http://schemas.microsoft.com/office/drawing/2010/main" val="FF0000" mc:Ignorable="a14" a14:legacySpreadsheetColorIndex="10"/>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7</xdr:col>
      <xdr:colOff>409575</xdr:colOff>
      <xdr:row>607</xdr:row>
      <xdr:rowOff>0</xdr:rowOff>
    </xdr:from>
    <xdr:to>
      <xdr:col>7</xdr:col>
      <xdr:colOff>800100</xdr:colOff>
      <xdr:row>607</xdr:row>
      <xdr:rowOff>0</xdr:rowOff>
    </xdr:to>
    <xdr:sp macro="" textlink="">
      <xdr:nvSpPr>
        <xdr:cNvPr id="16" name="AutoShape 3">
          <a:extLst>
            <a:ext uri="{FF2B5EF4-FFF2-40B4-BE49-F238E27FC236}">
              <a16:creationId xmlns:a16="http://schemas.microsoft.com/office/drawing/2014/main" id="{FF559D35-F399-446F-8505-592E3F0FDDB1}"/>
            </a:ext>
          </a:extLst>
        </xdr:cNvPr>
        <xdr:cNvSpPr>
          <a:spLocks noChangeArrowheads="1"/>
        </xdr:cNvSpPr>
      </xdr:nvSpPr>
      <xdr:spPr bwMode="auto">
        <a:xfrm>
          <a:off x="19961225" y="123367800"/>
          <a:ext cx="393700" cy="0"/>
        </a:xfrm>
        <a:prstGeom prst="upArrow">
          <a:avLst>
            <a:gd name="adj1" fmla="val 51519"/>
            <a:gd name="adj2" fmla="val -2147483648"/>
          </a:avLst>
        </a:prstGeom>
        <a:solidFill>
          <a:srgbClr xmlns:mc="http://schemas.openxmlformats.org/markup-compatibility/2006" xmlns:a14="http://schemas.microsoft.com/office/drawing/2010/main" val="FF0000" mc:Ignorable="a14" a14:legacySpreadsheetColorIndex="10"/>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314325</xdr:colOff>
      <xdr:row>161</xdr:row>
      <xdr:rowOff>38100</xdr:rowOff>
    </xdr:from>
    <xdr:to>
      <xdr:col>9</xdr:col>
      <xdr:colOff>381000</xdr:colOff>
      <xdr:row>175</xdr:row>
      <xdr:rowOff>76200</xdr:rowOff>
    </xdr:to>
    <xdr:grpSp>
      <xdr:nvGrpSpPr>
        <xdr:cNvPr id="2" name="Group 136">
          <a:extLst>
            <a:ext uri="{FF2B5EF4-FFF2-40B4-BE49-F238E27FC236}">
              <a16:creationId xmlns:a16="http://schemas.microsoft.com/office/drawing/2014/main" id="{8ADE15E0-AC7E-4874-8C85-16C24093A235}"/>
            </a:ext>
          </a:extLst>
        </xdr:cNvPr>
        <xdr:cNvGrpSpPr>
          <a:grpSpLocks/>
        </xdr:cNvGrpSpPr>
      </xdr:nvGrpSpPr>
      <xdr:grpSpPr bwMode="auto">
        <a:xfrm>
          <a:off x="539750" y="30737175"/>
          <a:ext cx="4013200" cy="2705100"/>
          <a:chOff x="59" y="3465"/>
          <a:chExt cx="439" cy="256"/>
        </a:xfrm>
      </xdr:grpSpPr>
      <xdr:grpSp>
        <xdr:nvGrpSpPr>
          <xdr:cNvPr id="3" name="Group 132">
            <a:extLst>
              <a:ext uri="{FF2B5EF4-FFF2-40B4-BE49-F238E27FC236}">
                <a16:creationId xmlns:a16="http://schemas.microsoft.com/office/drawing/2014/main" id="{EA6AA532-338A-C762-9D9C-350EAEB7AD3B}"/>
              </a:ext>
            </a:extLst>
          </xdr:cNvPr>
          <xdr:cNvGrpSpPr>
            <a:grpSpLocks/>
          </xdr:cNvGrpSpPr>
        </xdr:nvGrpSpPr>
        <xdr:grpSpPr bwMode="auto">
          <a:xfrm>
            <a:off x="59" y="3465"/>
            <a:ext cx="439" cy="256"/>
            <a:chOff x="358" y="3464"/>
            <a:chExt cx="439" cy="256"/>
          </a:xfrm>
        </xdr:grpSpPr>
        <xdr:pic>
          <xdr:nvPicPr>
            <xdr:cNvPr id="5" name="Picture 127">
              <a:extLst>
                <a:ext uri="{FF2B5EF4-FFF2-40B4-BE49-F238E27FC236}">
                  <a16:creationId xmlns:a16="http://schemas.microsoft.com/office/drawing/2014/main" id="{5E4F0DF6-16CC-2A05-AADA-73124A77047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l="22969" t="21582" r="42734" b="53418"/>
            <a:stretch>
              <a:fillRect/>
            </a:stretch>
          </xdr:blipFill>
          <xdr:spPr bwMode="auto">
            <a:xfrm>
              <a:off x="358" y="3464"/>
              <a:ext cx="439" cy="256"/>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pic>
          <xdr:nvPicPr>
            <xdr:cNvPr id="6" name="Picture 131">
              <a:extLst>
                <a:ext uri="{FF2B5EF4-FFF2-40B4-BE49-F238E27FC236}">
                  <a16:creationId xmlns:a16="http://schemas.microsoft.com/office/drawing/2014/main" id="{424AA6E1-F4C1-DDD2-13E5-9E9424D197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67" y="3599"/>
              <a:ext cx="423" cy="114"/>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grpSp>
      <xdr:pic>
        <xdr:nvPicPr>
          <xdr:cNvPr id="4" name="Picture 135">
            <a:extLst>
              <a:ext uri="{FF2B5EF4-FFF2-40B4-BE49-F238E27FC236}">
                <a16:creationId xmlns:a16="http://schemas.microsoft.com/office/drawing/2014/main" id="{D04C4EF4-EF95-3161-7CD0-A15D179779A4}"/>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8" y="3600"/>
            <a:ext cx="423" cy="112"/>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grpSp>
    <xdr:clientData/>
  </xdr:twoCellAnchor>
  <xdr:twoCellAnchor editAs="oneCell">
    <xdr:from>
      <xdr:col>2</xdr:col>
      <xdr:colOff>38100</xdr:colOff>
      <xdr:row>150</xdr:row>
      <xdr:rowOff>0</xdr:rowOff>
    </xdr:from>
    <xdr:to>
      <xdr:col>9</xdr:col>
      <xdr:colOff>3028950</xdr:colOff>
      <xdr:row>154</xdr:row>
      <xdr:rowOff>66675</xdr:rowOff>
    </xdr:to>
    <xdr:pic>
      <xdr:nvPicPr>
        <xdr:cNvPr id="7" name="Picture 123">
          <a:extLst>
            <a:ext uri="{FF2B5EF4-FFF2-40B4-BE49-F238E27FC236}">
              <a16:creationId xmlns:a16="http://schemas.microsoft.com/office/drawing/2014/main" id="{14C24551-C118-474E-85B8-5927E5F68ED7}"/>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828675" y="29889450"/>
          <a:ext cx="6753225"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9525</xdr:colOff>
      <xdr:row>75</xdr:row>
      <xdr:rowOff>85725</xdr:rowOff>
    </xdr:from>
    <xdr:to>
      <xdr:col>9</xdr:col>
      <xdr:colOff>1600200</xdr:colOff>
      <xdr:row>78</xdr:row>
      <xdr:rowOff>180975</xdr:rowOff>
    </xdr:to>
    <xdr:pic>
      <xdr:nvPicPr>
        <xdr:cNvPr id="8" name="Picture 118">
          <a:extLst>
            <a:ext uri="{FF2B5EF4-FFF2-40B4-BE49-F238E27FC236}">
              <a16:creationId xmlns:a16="http://schemas.microsoft.com/office/drawing/2014/main" id="{07A3927B-D620-4E8B-9DA3-C44C1B4F1493}"/>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800100" y="14992350"/>
          <a:ext cx="5353050" cy="69532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9525</xdr:colOff>
      <xdr:row>37</xdr:row>
      <xdr:rowOff>38100</xdr:rowOff>
    </xdr:from>
    <xdr:to>
      <xdr:col>9</xdr:col>
      <xdr:colOff>2314575</xdr:colOff>
      <xdr:row>44</xdr:row>
      <xdr:rowOff>47625</xdr:rowOff>
    </xdr:to>
    <xdr:pic>
      <xdr:nvPicPr>
        <xdr:cNvPr id="9" name="Picture 116">
          <a:extLst>
            <a:ext uri="{FF2B5EF4-FFF2-40B4-BE49-F238E27FC236}">
              <a16:creationId xmlns:a16="http://schemas.microsoft.com/office/drawing/2014/main" id="{73344075-4FE3-4F25-B1A5-D6AB15658E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800100" y="7372350"/>
          <a:ext cx="6067425" cy="140970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219075</xdr:colOff>
      <xdr:row>1</xdr:row>
      <xdr:rowOff>0</xdr:rowOff>
    </xdr:from>
    <xdr:to>
      <xdr:col>8</xdr:col>
      <xdr:colOff>57150</xdr:colOff>
      <xdr:row>1</xdr:row>
      <xdr:rowOff>0</xdr:rowOff>
    </xdr:to>
    <xdr:sp macro="" textlink="">
      <xdr:nvSpPr>
        <xdr:cNvPr id="10" name="Rectangle 1">
          <a:extLst>
            <a:ext uri="{FF2B5EF4-FFF2-40B4-BE49-F238E27FC236}">
              <a16:creationId xmlns:a16="http://schemas.microsoft.com/office/drawing/2014/main" id="{0725BB16-A171-4902-84A7-FDEF4A2A869A}"/>
            </a:ext>
          </a:extLst>
        </xdr:cNvPr>
        <xdr:cNvSpPr>
          <a:spLocks noChangeArrowheads="1"/>
        </xdr:cNvSpPr>
      </xdr:nvSpPr>
      <xdr:spPr bwMode="auto">
        <a:xfrm>
          <a:off x="466725" y="200025"/>
          <a:ext cx="3600450" cy="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C0C0C0" mc:Ignorable="a14" a14:legacySpreadsheetColorIndex="22"/>
          </a:solidFill>
          <a:miter lim="800000"/>
          <a:headEnd/>
          <a:tailEnd/>
        </a:ln>
      </xdr:spPr>
    </xdr:sp>
    <xdr:clientData/>
  </xdr:twoCellAnchor>
  <xdr:twoCellAnchor>
    <xdr:from>
      <xdr:col>1</xdr:col>
      <xdr:colOff>228600</xdr:colOff>
      <xdr:row>1</xdr:row>
      <xdr:rowOff>0</xdr:rowOff>
    </xdr:from>
    <xdr:to>
      <xdr:col>9</xdr:col>
      <xdr:colOff>1076325</xdr:colOff>
      <xdr:row>1</xdr:row>
      <xdr:rowOff>0</xdr:rowOff>
    </xdr:to>
    <xdr:sp macro="" textlink="">
      <xdr:nvSpPr>
        <xdr:cNvPr id="11" name="Rectangle 2">
          <a:extLst>
            <a:ext uri="{FF2B5EF4-FFF2-40B4-BE49-F238E27FC236}">
              <a16:creationId xmlns:a16="http://schemas.microsoft.com/office/drawing/2014/main" id="{417EB302-051D-4B31-B6B2-D20A50C20A4D}"/>
            </a:ext>
          </a:extLst>
        </xdr:cNvPr>
        <xdr:cNvSpPr>
          <a:spLocks noChangeArrowheads="1"/>
        </xdr:cNvSpPr>
      </xdr:nvSpPr>
      <xdr:spPr bwMode="auto">
        <a:xfrm>
          <a:off x="476250" y="200025"/>
          <a:ext cx="5153025" cy="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C0C0C0" mc:Ignorable="a14" a14:legacySpreadsheetColorIndex="22"/>
          </a:solid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&lt;&lt;&lt; KK0320_01 &gt;&gt;&gt; --------- ( Start Time : 2006-08-03 09:08:15 ) --- </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[kknippo_0320] Select Count =           0</a:t>
          </a:r>
        </a:p>
      </xdr:txBody>
    </xdr:sp>
    <xdr:clientData/>
  </xdr:twoCellAnchor>
  <xdr:twoCellAnchor>
    <xdr:from>
      <xdr:col>1</xdr:col>
      <xdr:colOff>228600</xdr:colOff>
      <xdr:row>1</xdr:row>
      <xdr:rowOff>0</xdr:rowOff>
    </xdr:from>
    <xdr:to>
      <xdr:col>9</xdr:col>
      <xdr:colOff>1485900</xdr:colOff>
      <xdr:row>1</xdr:row>
      <xdr:rowOff>0</xdr:rowOff>
    </xdr:to>
    <xdr:sp macro="" textlink="">
      <xdr:nvSpPr>
        <xdr:cNvPr id="12" name="Rectangle 3">
          <a:extLst>
            <a:ext uri="{FF2B5EF4-FFF2-40B4-BE49-F238E27FC236}">
              <a16:creationId xmlns:a16="http://schemas.microsoft.com/office/drawing/2014/main" id="{A989AED0-F284-479E-BF55-C9BD119BB46D}"/>
            </a:ext>
          </a:extLst>
        </xdr:cNvPr>
        <xdr:cNvSpPr>
          <a:spLocks noChangeArrowheads="1"/>
        </xdr:cNvSpPr>
      </xdr:nvSpPr>
      <xdr:spPr bwMode="auto">
        <a:xfrm>
          <a:off x="476250" y="200025"/>
          <a:ext cx="5562600" cy="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C0C0C0" mc:Ignorable="a14" a14:legacySpreadsheetColorIndex="22"/>
          </a:solid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808080"/>
              </a:solidFill>
              <a:latin typeface="ＭＳ ゴシック"/>
              <a:ea typeface="ＭＳ ゴシック"/>
            </a:rPr>
            <a:t> </a:t>
          </a:r>
        </a:p>
        <a:p>
          <a:pPr algn="l" rtl="0">
            <a:defRPr sz="1000"/>
          </a:pPr>
          <a:endParaRPr lang="ja-JP" altLang="en-US" sz="900" b="0" i="0" u="none" strike="noStrike" baseline="0">
            <a:solidFill>
              <a:srgbClr val="000000"/>
            </a:solidFill>
            <a:latin typeface="ＭＳ ゴシック"/>
            <a:ea typeface="ＭＳ ゴシック"/>
          </a:endParaRPr>
        </a:p>
        <a:p>
          <a:pPr algn="l" rtl="0">
            <a:defRPr sz="1000"/>
          </a:pPr>
          <a:endParaRPr lang="ja-JP" altLang="en-US" sz="900" b="0" i="0" u="none" strike="noStrike" baseline="0">
            <a:solidFill>
              <a:srgbClr val="000000"/>
            </a:solidFill>
            <a:latin typeface="ＭＳ ゴシック"/>
            <a:ea typeface="ＭＳ ゴシック"/>
          </a:endParaRPr>
        </a:p>
      </xdr:txBody>
    </xdr:sp>
    <xdr:clientData/>
  </xdr:twoCellAnchor>
  <xdr:twoCellAnchor>
    <xdr:from>
      <xdr:col>1</xdr:col>
      <xdr:colOff>238125</xdr:colOff>
      <xdr:row>1</xdr:row>
      <xdr:rowOff>0</xdr:rowOff>
    </xdr:from>
    <xdr:to>
      <xdr:col>9</xdr:col>
      <xdr:colOff>1114425</xdr:colOff>
      <xdr:row>1</xdr:row>
      <xdr:rowOff>0</xdr:rowOff>
    </xdr:to>
    <xdr:sp macro="" textlink="">
      <xdr:nvSpPr>
        <xdr:cNvPr id="13" name="Rectangle 4">
          <a:extLst>
            <a:ext uri="{FF2B5EF4-FFF2-40B4-BE49-F238E27FC236}">
              <a16:creationId xmlns:a16="http://schemas.microsoft.com/office/drawing/2014/main" id="{834AC427-5235-444E-A2C8-22FD7DD764C5}"/>
            </a:ext>
          </a:extLst>
        </xdr:cNvPr>
        <xdr:cNvSpPr>
          <a:spLocks noChangeArrowheads="1"/>
        </xdr:cNvSpPr>
      </xdr:nvSpPr>
      <xdr:spPr bwMode="auto">
        <a:xfrm>
          <a:off x="485775" y="200025"/>
          <a:ext cx="5181600" cy="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C0C0C0" mc:Ignorable="a14" a14:legacySpreadsheetColorIndex="22"/>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endParaRPr lang="ja-JP" altLang="en-US" sz="900" b="0" i="0" u="none" strike="noStrike" baseline="0">
            <a:solidFill>
              <a:srgbClr val="000000"/>
            </a:solidFill>
            <a:latin typeface="ＭＳ ゴシック"/>
            <a:ea typeface="ＭＳ ゴシック"/>
          </a:endParaRPr>
        </a:p>
        <a:p>
          <a:pPr algn="l" rtl="0">
            <a:defRPr sz="1000"/>
          </a:pPr>
          <a:endParaRPr lang="ja-JP" altLang="en-US" sz="900" b="0" i="0" u="none" strike="noStrike" baseline="0">
            <a:solidFill>
              <a:srgbClr val="000000"/>
            </a:solidFill>
            <a:latin typeface="ＭＳ ゴシック"/>
            <a:ea typeface="ＭＳ ゴシック"/>
          </a:endParaRPr>
        </a:p>
        <a:p>
          <a:pPr algn="l" rtl="0">
            <a:defRPr sz="1000"/>
          </a:pPr>
          <a:r>
            <a:rPr lang="ja-JP" altLang="en-US" sz="900" b="0" i="0" u="none" strike="noStrike" baseline="0">
              <a:solidFill>
                <a:srgbClr val="000000"/>
              </a:solidFill>
              <a:latin typeface="ＭＳ ゴシック"/>
              <a:ea typeface="ＭＳ ゴシック"/>
            </a:rPr>
            <a:t> </a:t>
          </a:r>
        </a:p>
      </xdr:txBody>
    </xdr:sp>
    <xdr:clientData/>
  </xdr:twoCellAnchor>
  <xdr:twoCellAnchor>
    <xdr:from>
      <xdr:col>1</xdr:col>
      <xdr:colOff>228600</xdr:colOff>
      <xdr:row>1</xdr:row>
      <xdr:rowOff>0</xdr:rowOff>
    </xdr:from>
    <xdr:to>
      <xdr:col>9</xdr:col>
      <xdr:colOff>1485900</xdr:colOff>
      <xdr:row>1</xdr:row>
      <xdr:rowOff>0</xdr:rowOff>
    </xdr:to>
    <xdr:sp macro="" textlink="">
      <xdr:nvSpPr>
        <xdr:cNvPr id="14" name="Rectangle 5">
          <a:extLst>
            <a:ext uri="{FF2B5EF4-FFF2-40B4-BE49-F238E27FC236}">
              <a16:creationId xmlns:a16="http://schemas.microsoft.com/office/drawing/2014/main" id="{464C395A-30F7-4C17-A27F-0E9833F6AB1A}"/>
            </a:ext>
          </a:extLst>
        </xdr:cNvPr>
        <xdr:cNvSpPr>
          <a:spLocks noChangeArrowheads="1"/>
        </xdr:cNvSpPr>
      </xdr:nvSpPr>
      <xdr:spPr bwMode="auto">
        <a:xfrm>
          <a:off x="476250" y="200025"/>
          <a:ext cx="5562600" cy="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C0C0C0" mc:Ignorable="a14" a14:legacySpreadsheetColorIndex="22"/>
          </a:solidFill>
          <a:miter lim="800000"/>
          <a:headEnd/>
          <a:tailEnd/>
        </a:ln>
      </xdr:spPr>
      <xdr:txBody>
        <a:bodyPr vertOverflow="clip" wrap="square" lIns="27432" tIns="18288" rIns="0" bIns="0" anchor="t" upright="1"/>
        <a:lstStyle/>
        <a:p>
          <a:pPr algn="l" rtl="0">
            <a:defRPr sz="1000"/>
          </a:pPr>
          <a:endParaRPr lang="ja-JP" altLang="en-US" sz="900" b="0" i="0" u="none" strike="noStrike" baseline="0">
            <a:solidFill>
              <a:srgbClr val="808080"/>
            </a:solidFill>
            <a:latin typeface="ＭＳ ゴシック"/>
            <a:ea typeface="ＭＳ ゴシック"/>
          </a:endParaRPr>
        </a:p>
        <a:p>
          <a:pPr algn="l" rtl="0">
            <a:defRPr sz="1000"/>
          </a:pPr>
          <a:endParaRPr lang="ja-JP" altLang="en-US" sz="900" b="0" i="0" u="none" strike="noStrike" baseline="0">
            <a:solidFill>
              <a:srgbClr val="000000"/>
            </a:solidFill>
            <a:latin typeface="ＭＳ ゴシック"/>
            <a:ea typeface="ＭＳ ゴシック"/>
          </a:endParaRPr>
        </a:p>
        <a:p>
          <a:pPr algn="l" rtl="0">
            <a:defRPr sz="1000"/>
          </a:pPr>
          <a:endParaRPr lang="ja-JP" altLang="en-US" sz="900" b="0" i="0" u="none" strike="noStrike" baseline="0">
            <a:solidFill>
              <a:srgbClr val="000000"/>
            </a:solidFill>
            <a:latin typeface="ＭＳ ゴシック"/>
            <a:ea typeface="ＭＳ ゴシック"/>
          </a:endParaRPr>
        </a:p>
      </xdr:txBody>
    </xdr:sp>
    <xdr:clientData/>
  </xdr:twoCellAnchor>
  <xdr:twoCellAnchor>
    <xdr:from>
      <xdr:col>1</xdr:col>
      <xdr:colOff>247650</xdr:colOff>
      <xdr:row>237</xdr:row>
      <xdr:rowOff>85725</xdr:rowOff>
    </xdr:from>
    <xdr:to>
      <xdr:col>4</xdr:col>
      <xdr:colOff>419100</xdr:colOff>
      <xdr:row>238</xdr:row>
      <xdr:rowOff>142875</xdr:rowOff>
    </xdr:to>
    <xdr:sp macro="" textlink="">
      <xdr:nvSpPr>
        <xdr:cNvPr id="15" name="AutoShape 8">
          <a:extLst>
            <a:ext uri="{FF2B5EF4-FFF2-40B4-BE49-F238E27FC236}">
              <a16:creationId xmlns:a16="http://schemas.microsoft.com/office/drawing/2014/main" id="{81198BFA-32AB-4055-86DF-71D9A85F035C}"/>
            </a:ext>
          </a:extLst>
        </xdr:cNvPr>
        <xdr:cNvSpPr>
          <a:spLocks noChangeArrowheads="1"/>
        </xdr:cNvSpPr>
      </xdr:nvSpPr>
      <xdr:spPr bwMode="auto">
        <a:xfrm>
          <a:off x="495300" y="47301150"/>
          <a:ext cx="126682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228600</xdr:colOff>
      <xdr:row>246</xdr:row>
      <xdr:rowOff>114300</xdr:rowOff>
    </xdr:from>
    <xdr:to>
      <xdr:col>4</xdr:col>
      <xdr:colOff>381000</xdr:colOff>
      <xdr:row>248</xdr:row>
      <xdr:rowOff>0</xdr:rowOff>
    </xdr:to>
    <xdr:sp macro="" textlink="">
      <xdr:nvSpPr>
        <xdr:cNvPr id="16" name="AutoShape 9">
          <a:extLst>
            <a:ext uri="{FF2B5EF4-FFF2-40B4-BE49-F238E27FC236}">
              <a16:creationId xmlns:a16="http://schemas.microsoft.com/office/drawing/2014/main" id="{A3D46A9C-DDB7-450F-9A4F-00EDD7B0EFD3}"/>
            </a:ext>
          </a:extLst>
        </xdr:cNvPr>
        <xdr:cNvSpPr>
          <a:spLocks noChangeArrowheads="1"/>
        </xdr:cNvSpPr>
      </xdr:nvSpPr>
      <xdr:spPr bwMode="auto">
        <a:xfrm>
          <a:off x="476250" y="49101375"/>
          <a:ext cx="1247775" cy="2857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200025</xdr:colOff>
      <xdr:row>48</xdr:row>
      <xdr:rowOff>9525</xdr:rowOff>
    </xdr:from>
    <xdr:to>
      <xdr:col>9</xdr:col>
      <xdr:colOff>1323975</xdr:colOff>
      <xdr:row>58</xdr:row>
      <xdr:rowOff>76200</xdr:rowOff>
    </xdr:to>
    <xdr:pic>
      <xdr:nvPicPr>
        <xdr:cNvPr id="17" name="Picture 26">
          <a:extLst>
            <a:ext uri="{FF2B5EF4-FFF2-40B4-BE49-F238E27FC236}">
              <a16:creationId xmlns:a16="http://schemas.microsoft.com/office/drawing/2014/main" id="{852E6278-01A5-4BE9-B62D-1B68CA02D16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l="26718" t="25293" r="28751" b="53516"/>
        <a:stretch>
          <a:fillRect/>
        </a:stretch>
      </xdr:blipFill>
      <xdr:spPr bwMode="auto">
        <a:xfrm>
          <a:off x="447675" y="9515475"/>
          <a:ext cx="5429250" cy="206692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285750</xdr:colOff>
      <xdr:row>74</xdr:row>
      <xdr:rowOff>0</xdr:rowOff>
    </xdr:from>
    <xdr:to>
      <xdr:col>5</xdr:col>
      <xdr:colOff>180975</xdr:colOff>
      <xdr:row>75</xdr:row>
      <xdr:rowOff>47625</xdr:rowOff>
    </xdr:to>
    <xdr:sp macro="" textlink="">
      <xdr:nvSpPr>
        <xdr:cNvPr id="18" name="AutoShape 29">
          <a:extLst>
            <a:ext uri="{FF2B5EF4-FFF2-40B4-BE49-F238E27FC236}">
              <a16:creationId xmlns:a16="http://schemas.microsoft.com/office/drawing/2014/main" id="{5110A41B-8B64-4B1D-90E1-82548BB857B8}"/>
            </a:ext>
          </a:extLst>
        </xdr:cNvPr>
        <xdr:cNvSpPr>
          <a:spLocks noChangeArrowheads="1"/>
        </xdr:cNvSpPr>
      </xdr:nvSpPr>
      <xdr:spPr bwMode="auto">
        <a:xfrm>
          <a:off x="533400" y="14706600"/>
          <a:ext cx="1676400" cy="2476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9</xdr:col>
      <xdr:colOff>390525</xdr:colOff>
      <xdr:row>76</xdr:row>
      <xdr:rowOff>57150</xdr:rowOff>
    </xdr:from>
    <xdr:to>
      <xdr:col>9</xdr:col>
      <xdr:colOff>1590675</xdr:colOff>
      <xdr:row>79</xdr:row>
      <xdr:rowOff>104775</xdr:rowOff>
    </xdr:to>
    <xdr:sp macro="" textlink="">
      <xdr:nvSpPr>
        <xdr:cNvPr id="19" name="Rectangle 35">
          <a:extLst>
            <a:ext uri="{FF2B5EF4-FFF2-40B4-BE49-F238E27FC236}">
              <a16:creationId xmlns:a16="http://schemas.microsoft.com/office/drawing/2014/main" id="{D20FA449-2427-484D-A891-1BF3A5CC01DF}"/>
            </a:ext>
          </a:extLst>
        </xdr:cNvPr>
        <xdr:cNvSpPr>
          <a:spLocks noChangeArrowheads="1"/>
        </xdr:cNvSpPr>
      </xdr:nvSpPr>
      <xdr:spPr bwMode="auto">
        <a:xfrm>
          <a:off x="4943475" y="15163800"/>
          <a:ext cx="1200150" cy="647700"/>
        </a:xfrm>
        <a:prstGeom prst="rect">
          <a:avLst/>
        </a:prstGeom>
        <a:noFill/>
        <a:ln w="15875">
          <a:solidFill>
            <a:srgbClr xmlns:mc="http://schemas.openxmlformats.org/markup-compatibility/2006" xmlns:a14="http://schemas.microsoft.com/office/drawing/2010/main" val="339966" mc:Ignorable="a14" a14:legacySpreadsheetColorIndex="57"/>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219075</xdr:colOff>
      <xdr:row>69</xdr:row>
      <xdr:rowOff>142875</xdr:rowOff>
    </xdr:from>
    <xdr:to>
      <xdr:col>9</xdr:col>
      <xdr:colOff>2638425</xdr:colOff>
      <xdr:row>74</xdr:row>
      <xdr:rowOff>38100</xdr:rowOff>
    </xdr:to>
    <xdr:sp macro="" textlink="">
      <xdr:nvSpPr>
        <xdr:cNvPr id="20" name="AutoShape 36">
          <a:extLst>
            <a:ext uri="{FF2B5EF4-FFF2-40B4-BE49-F238E27FC236}">
              <a16:creationId xmlns:a16="http://schemas.microsoft.com/office/drawing/2014/main" id="{3828E8F2-F7FB-414B-A26A-CC5BBA5D999B}"/>
            </a:ext>
          </a:extLst>
        </xdr:cNvPr>
        <xdr:cNvSpPr>
          <a:spLocks noChangeArrowheads="1"/>
        </xdr:cNvSpPr>
      </xdr:nvSpPr>
      <xdr:spPr bwMode="auto">
        <a:xfrm>
          <a:off x="4772025" y="13849350"/>
          <a:ext cx="2419350" cy="895350"/>
        </a:xfrm>
        <a:prstGeom prst="wedgeRectCallout">
          <a:avLst>
            <a:gd name="adj1" fmla="val -29134"/>
            <a:gd name="adj2" fmla="val 82912"/>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8000" mc:Ignorable="a14" a14:legacySpreadsheetColorIndex="1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900" b="0" i="0" u="none" strike="noStrike" baseline="0">
              <a:solidFill>
                <a:srgbClr val="000000"/>
              </a:solidFill>
              <a:latin typeface="ＭＳ Ｐゴシック"/>
              <a:ea typeface="ＭＳ Ｐゴシック"/>
            </a:rPr>
            <a:t>指定したキーによって正しく</a:t>
          </a:r>
        </a:p>
        <a:p>
          <a:pPr algn="ctr" rtl="0">
            <a:lnSpc>
              <a:spcPts val="1100"/>
            </a:lnSpc>
            <a:defRPr sz="1000"/>
          </a:pPr>
          <a:r>
            <a:rPr lang="ja-JP" altLang="en-US" sz="900" b="0" i="0" u="none" strike="noStrike" baseline="0">
              <a:solidFill>
                <a:srgbClr val="000000"/>
              </a:solidFill>
              <a:latin typeface="ＭＳ Ｐゴシック"/>
              <a:ea typeface="ＭＳ Ｐゴシック"/>
            </a:rPr>
            <a:t>グループ化されていることを確認。</a:t>
          </a:r>
        </a:p>
        <a:p>
          <a:pPr algn="ctr" rtl="0">
            <a:lnSpc>
              <a:spcPts val="1000"/>
            </a:lnSpc>
            <a:defRPr sz="1000"/>
          </a:pPr>
          <a:r>
            <a:rPr lang="ja-JP" altLang="en-US" sz="900" b="0" i="0" u="none" strike="noStrike" baseline="0">
              <a:solidFill>
                <a:srgbClr val="000000"/>
              </a:solidFill>
              <a:latin typeface="ＭＳ Ｐゴシック"/>
              <a:ea typeface="ＭＳ Ｐゴシック"/>
            </a:rPr>
            <a:t>　</a:t>
          </a:r>
        </a:p>
        <a:p>
          <a:pPr algn="ctr" rtl="0">
            <a:lnSpc>
              <a:spcPts val="1000"/>
            </a:lnSpc>
            <a:defRPr sz="1000"/>
          </a:pPr>
          <a:r>
            <a:rPr lang="ja-JP" altLang="en-US" sz="900" b="0" i="0" u="none" strike="noStrike" baseline="0">
              <a:solidFill>
                <a:srgbClr val="000000"/>
              </a:solidFill>
              <a:latin typeface="ＭＳ Ｐゴシック"/>
              <a:ea typeface="ＭＳ Ｐゴシック"/>
            </a:rPr>
            <a:t>集計計算が正しいことを確認。</a:t>
          </a:r>
        </a:p>
      </xdr:txBody>
    </xdr:sp>
    <xdr:clientData/>
  </xdr:twoCellAnchor>
  <xdr:twoCellAnchor>
    <xdr:from>
      <xdr:col>1</xdr:col>
      <xdr:colOff>238125</xdr:colOff>
      <xdr:row>109</xdr:row>
      <xdr:rowOff>95250</xdr:rowOff>
    </xdr:from>
    <xdr:to>
      <xdr:col>5</xdr:col>
      <xdr:colOff>133350</xdr:colOff>
      <xdr:row>110</xdr:row>
      <xdr:rowOff>152400</xdr:rowOff>
    </xdr:to>
    <xdr:sp macro="" textlink="">
      <xdr:nvSpPr>
        <xdr:cNvPr id="21" name="AutoShape 39">
          <a:extLst>
            <a:ext uri="{FF2B5EF4-FFF2-40B4-BE49-F238E27FC236}">
              <a16:creationId xmlns:a16="http://schemas.microsoft.com/office/drawing/2014/main" id="{FF9D56C9-2DD1-4545-B04F-DC5FFCB8E70B}"/>
            </a:ext>
          </a:extLst>
        </xdr:cNvPr>
        <xdr:cNvSpPr>
          <a:spLocks noChangeArrowheads="1"/>
        </xdr:cNvSpPr>
      </xdr:nvSpPr>
      <xdr:spPr bwMode="auto">
        <a:xfrm>
          <a:off x="485775" y="21774150"/>
          <a:ext cx="1676400"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152400</xdr:colOff>
      <xdr:row>85</xdr:row>
      <xdr:rowOff>66675</xdr:rowOff>
    </xdr:from>
    <xdr:to>
      <xdr:col>9</xdr:col>
      <xdr:colOff>2828925</xdr:colOff>
      <xdr:row>93</xdr:row>
      <xdr:rowOff>133350</xdr:rowOff>
    </xdr:to>
    <xdr:pic>
      <xdr:nvPicPr>
        <xdr:cNvPr id="22" name="Picture 40">
          <a:extLst>
            <a:ext uri="{FF2B5EF4-FFF2-40B4-BE49-F238E27FC236}">
              <a16:creationId xmlns:a16="http://schemas.microsoft.com/office/drawing/2014/main" id="{6B115CA0-4A99-44DB-B2EE-ED64E4AAB8D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l="14766" t="23047" r="27968" b="60254"/>
        <a:stretch>
          <a:fillRect/>
        </a:stretch>
      </xdr:blipFill>
      <xdr:spPr bwMode="auto">
        <a:xfrm>
          <a:off x="400050" y="16944975"/>
          <a:ext cx="6981825" cy="1666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285750</xdr:colOff>
      <xdr:row>148</xdr:row>
      <xdr:rowOff>0</xdr:rowOff>
    </xdr:from>
    <xdr:to>
      <xdr:col>5</xdr:col>
      <xdr:colOff>180975</xdr:colOff>
      <xdr:row>149</xdr:row>
      <xdr:rowOff>47625</xdr:rowOff>
    </xdr:to>
    <xdr:sp macro="" textlink="">
      <xdr:nvSpPr>
        <xdr:cNvPr id="23" name="AutoShape 43">
          <a:extLst>
            <a:ext uri="{FF2B5EF4-FFF2-40B4-BE49-F238E27FC236}">
              <a16:creationId xmlns:a16="http://schemas.microsoft.com/office/drawing/2014/main" id="{7AFCAA91-D5EF-403D-BFD8-15746B72DAD0}"/>
            </a:ext>
          </a:extLst>
        </xdr:cNvPr>
        <xdr:cNvSpPr>
          <a:spLocks noChangeArrowheads="1"/>
        </xdr:cNvSpPr>
      </xdr:nvSpPr>
      <xdr:spPr bwMode="auto">
        <a:xfrm>
          <a:off x="533400" y="29489400"/>
          <a:ext cx="1676400" cy="2476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出力レポート sample</a:t>
          </a:r>
        </a:p>
      </xdr:txBody>
    </xdr:sp>
    <xdr:clientData/>
  </xdr:twoCellAnchor>
  <xdr:twoCellAnchor editAs="oneCell">
    <xdr:from>
      <xdr:col>1</xdr:col>
      <xdr:colOff>152400</xdr:colOff>
      <xdr:row>119</xdr:row>
      <xdr:rowOff>66675</xdr:rowOff>
    </xdr:from>
    <xdr:to>
      <xdr:col>9</xdr:col>
      <xdr:colOff>2828925</xdr:colOff>
      <xdr:row>127</xdr:row>
      <xdr:rowOff>95250</xdr:rowOff>
    </xdr:to>
    <xdr:pic>
      <xdr:nvPicPr>
        <xdr:cNvPr id="24" name="Picture 44">
          <a:extLst>
            <a:ext uri="{FF2B5EF4-FFF2-40B4-BE49-F238E27FC236}">
              <a16:creationId xmlns:a16="http://schemas.microsoft.com/office/drawing/2014/main" id="{925074D6-1099-4D64-B2C0-CB6B2017E8A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l="14766" t="23047" r="27968" b="60254"/>
        <a:stretch>
          <a:fillRect/>
        </a:stretch>
      </xdr:blipFill>
      <xdr:spPr bwMode="auto">
        <a:xfrm>
          <a:off x="400050" y="23755350"/>
          <a:ext cx="6981825" cy="1628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276225</xdr:colOff>
      <xdr:row>204</xdr:row>
      <xdr:rowOff>0</xdr:rowOff>
    </xdr:from>
    <xdr:to>
      <xdr:col>5</xdr:col>
      <xdr:colOff>171450</xdr:colOff>
      <xdr:row>205</xdr:row>
      <xdr:rowOff>47625</xdr:rowOff>
    </xdr:to>
    <xdr:sp macro="" textlink="">
      <xdr:nvSpPr>
        <xdr:cNvPr id="25" name="AutoShape 47">
          <a:extLst>
            <a:ext uri="{FF2B5EF4-FFF2-40B4-BE49-F238E27FC236}">
              <a16:creationId xmlns:a16="http://schemas.microsoft.com/office/drawing/2014/main" id="{8A6BC41A-D24B-4403-BD12-95C28D32AEBC}"/>
            </a:ext>
          </a:extLst>
        </xdr:cNvPr>
        <xdr:cNvSpPr>
          <a:spLocks noChangeArrowheads="1"/>
        </xdr:cNvSpPr>
      </xdr:nvSpPr>
      <xdr:spPr bwMode="auto">
        <a:xfrm>
          <a:off x="523875" y="40700325"/>
          <a:ext cx="1676400" cy="2476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9</xdr:col>
      <xdr:colOff>2152650</xdr:colOff>
      <xdr:row>156</xdr:row>
      <xdr:rowOff>28575</xdr:rowOff>
    </xdr:from>
    <xdr:to>
      <xdr:col>12</xdr:col>
      <xdr:colOff>704850</xdr:colOff>
      <xdr:row>162</xdr:row>
      <xdr:rowOff>57150</xdr:rowOff>
    </xdr:to>
    <xdr:sp macro="" textlink="">
      <xdr:nvSpPr>
        <xdr:cNvPr id="26" name="AutoShape 49">
          <a:extLst>
            <a:ext uri="{FF2B5EF4-FFF2-40B4-BE49-F238E27FC236}">
              <a16:creationId xmlns:a16="http://schemas.microsoft.com/office/drawing/2014/main" id="{6343B531-E9E8-4B64-987F-99CAA985940B}"/>
            </a:ext>
          </a:extLst>
        </xdr:cNvPr>
        <xdr:cNvSpPr>
          <a:spLocks noChangeArrowheads="1"/>
        </xdr:cNvSpPr>
      </xdr:nvSpPr>
      <xdr:spPr bwMode="auto">
        <a:xfrm>
          <a:off x="6705600" y="31118175"/>
          <a:ext cx="3124200" cy="1238250"/>
        </a:xfrm>
        <a:prstGeom prst="wedgeRectCallout">
          <a:avLst>
            <a:gd name="adj1" fmla="val -50000"/>
            <a:gd name="adj2" fmla="val -66069"/>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8000" mc:Ignorable="a14" a14:legacySpreadsheetColorIndex="1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lnSpc>
              <a:spcPts val="1300"/>
            </a:lnSpc>
            <a:defRPr sz="1000"/>
          </a:pPr>
          <a:r>
            <a:rPr lang="ja-JP" altLang="en-US" sz="1100" b="1" i="0" u="none" strike="noStrike" baseline="0">
              <a:solidFill>
                <a:srgbClr val="008000"/>
              </a:solidFill>
              <a:latin typeface="ＭＳ Ｐゴシック"/>
              <a:ea typeface="ＭＳ Ｐゴシック"/>
            </a:rPr>
            <a:t>　</a:t>
          </a:r>
        </a:p>
        <a:p>
          <a:pPr algn="l" rtl="0">
            <a:lnSpc>
              <a:spcPts val="1300"/>
            </a:lnSpc>
            <a:defRPr sz="1000"/>
          </a:pPr>
          <a:r>
            <a:rPr lang="ja-JP" altLang="en-US" sz="1100" b="1" i="0" u="none" strike="noStrike" baseline="0">
              <a:solidFill>
                <a:srgbClr val="008000"/>
              </a:solidFill>
              <a:latin typeface="ＭＳ Ｐゴシック"/>
              <a:ea typeface="ＭＳ Ｐゴシック"/>
            </a:rPr>
            <a:t> b5 ：</a:t>
          </a:r>
          <a:r>
            <a:rPr lang="ja-JP" altLang="en-US" sz="1000" b="1" i="0" u="none" strike="noStrike" baseline="0">
              <a:solidFill>
                <a:srgbClr val="008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結合キーによって、</a:t>
          </a:r>
        </a:p>
        <a:p>
          <a:pPr algn="l" rtl="0">
            <a:lnSpc>
              <a:spcPts val="1200"/>
            </a:lnSpc>
            <a:defRPr sz="1000"/>
          </a:pPr>
          <a:r>
            <a:rPr lang="ja-JP" altLang="en-US" sz="1000" b="0" i="0" u="none" strike="noStrike" baseline="0">
              <a:solidFill>
                <a:srgbClr val="000000"/>
              </a:solidFill>
              <a:latin typeface="ＭＳ Ｐゴシック"/>
              <a:ea typeface="ＭＳ Ｐゴシック"/>
            </a:rPr>
            <a:t>　 　　　 正しく結合されていることを確認。</a:t>
          </a:r>
        </a:p>
        <a:p>
          <a:pPr algn="l" rtl="0">
            <a:lnSpc>
              <a:spcPts val="1200"/>
            </a:lnSpc>
            <a:defRPr sz="1000"/>
          </a:pPr>
          <a:endParaRPr lang="ja-JP" altLang="en-US" sz="1000" b="0" i="0" u="none" strike="noStrike" baseline="0">
            <a:solidFill>
              <a:srgbClr val="000000"/>
            </a:solidFill>
            <a:latin typeface="ＭＳ Ｐゴシック"/>
            <a:ea typeface="ＭＳ Ｐゴシック"/>
          </a:endParaRPr>
        </a:p>
        <a:p>
          <a:pPr algn="l" rtl="0">
            <a:defRPr sz="1000"/>
          </a:pPr>
          <a:r>
            <a:rPr lang="ja-JP" altLang="en-US" sz="1000" b="0" i="0" u="none" strike="noStrike" baseline="0">
              <a:solidFill>
                <a:srgbClr val="000000"/>
              </a:solidFill>
              <a:latin typeface="ＭＳ Ｐゴシック"/>
              <a:ea typeface="ＭＳ Ｐゴシック"/>
            </a:rPr>
            <a:t> 　　　　 商品マスタに該当データが存在しない場合も</a:t>
          </a:r>
        </a:p>
        <a:p>
          <a:pPr algn="l" rtl="0">
            <a:lnSpc>
              <a:spcPts val="1200"/>
            </a:lnSpc>
            <a:defRPr sz="1000"/>
          </a:pPr>
          <a:r>
            <a:rPr lang="ja-JP" altLang="en-US" sz="1000" b="0" i="0" u="none" strike="noStrike" baseline="0">
              <a:solidFill>
                <a:srgbClr val="000000"/>
              </a:solidFill>
              <a:latin typeface="ＭＳ Ｐゴシック"/>
              <a:ea typeface="ＭＳ Ｐゴシック"/>
            </a:rPr>
            <a:t> 　　　 　出力していることを確認。</a:t>
          </a:r>
          <a:endParaRPr lang="ja-JP" altLang="en-US" sz="900" b="0" i="0" u="none" strike="noStrike" baseline="0">
            <a:solidFill>
              <a:srgbClr val="000000"/>
            </a:solidFill>
            <a:latin typeface="ＭＳ Ｐゴシック"/>
            <a:ea typeface="ＭＳ Ｐゴシック"/>
          </a:endParaRPr>
        </a:p>
        <a:p>
          <a:pPr algn="l" rtl="0">
            <a:lnSpc>
              <a:spcPts val="1100"/>
            </a:lnSpc>
            <a:defRPr sz="1000"/>
          </a:pPr>
          <a:r>
            <a:rPr lang="ja-JP" altLang="en-US" sz="900" b="0" i="0" u="none" strike="noStrike" baseline="0">
              <a:solidFill>
                <a:srgbClr val="000000"/>
              </a:solidFill>
              <a:latin typeface="ＭＳ Ｐゴシック"/>
              <a:ea typeface="ＭＳ Ｐゴシック"/>
            </a:rPr>
            <a:t>　　　　　　　　　　　</a:t>
          </a:r>
        </a:p>
      </xdr:txBody>
    </xdr:sp>
    <xdr:clientData/>
  </xdr:twoCellAnchor>
  <xdr:twoCellAnchor>
    <xdr:from>
      <xdr:col>9</xdr:col>
      <xdr:colOff>1733550</xdr:colOff>
      <xdr:row>154</xdr:row>
      <xdr:rowOff>38100</xdr:rowOff>
    </xdr:from>
    <xdr:to>
      <xdr:col>9</xdr:col>
      <xdr:colOff>2228850</xdr:colOff>
      <xdr:row>154</xdr:row>
      <xdr:rowOff>152400</xdr:rowOff>
    </xdr:to>
    <xdr:sp macro="" textlink="">
      <xdr:nvSpPr>
        <xdr:cNvPr id="27" name="Rectangle 50">
          <a:extLst>
            <a:ext uri="{FF2B5EF4-FFF2-40B4-BE49-F238E27FC236}">
              <a16:creationId xmlns:a16="http://schemas.microsoft.com/office/drawing/2014/main" id="{37B11DB7-8AFE-4590-904A-28EA6689A39F}"/>
            </a:ext>
          </a:extLst>
        </xdr:cNvPr>
        <xdr:cNvSpPr>
          <a:spLocks noChangeArrowheads="1"/>
        </xdr:cNvSpPr>
      </xdr:nvSpPr>
      <xdr:spPr bwMode="auto">
        <a:xfrm>
          <a:off x="6286500" y="30727650"/>
          <a:ext cx="495300" cy="114300"/>
        </a:xfrm>
        <a:prstGeom prst="rect">
          <a:avLst/>
        </a:prstGeom>
        <a:noFill/>
        <a:ln w="12700">
          <a:solidFill>
            <a:srgbClr xmlns:mc="http://schemas.openxmlformats.org/markup-compatibility/2006" xmlns:a14="http://schemas.microsoft.com/office/drawing/2010/main" val="339966" mc:Ignorable="a14" a14:legacySpreadsheetColorIndex="57"/>
          </a:solidFill>
          <a:miter lim="800000"/>
          <a:headEnd/>
          <a:tailEnd/>
        </a:ln>
        <a:effectLst/>
        <a:extLst>
          <a:ext uri="{909E8E84-426E-40DD-AFC4-6F175D3DCCD1}">
            <a14:hiddenFill xmlns:a14="http://schemas.microsoft.com/office/drawing/2010/main">
              <a:solidFill>
                <a:srgbClr xmlns:mc="http://schemas.openxmlformats.org/markup-compatibility/2006" val="CCFFCC" mc:Ignorable="a14" a14:legacySpreadsheetColorIndex="42">
                  <a:alpha val="50000"/>
                </a:srgbClr>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3</xdr:col>
      <xdr:colOff>304800</xdr:colOff>
      <xdr:row>115</xdr:row>
      <xdr:rowOff>0</xdr:rowOff>
    </xdr:from>
    <xdr:to>
      <xdr:col>9</xdr:col>
      <xdr:colOff>2828925</xdr:colOff>
      <xdr:row>115</xdr:row>
      <xdr:rowOff>104775</xdr:rowOff>
    </xdr:to>
    <xdr:sp macro="" textlink="">
      <xdr:nvSpPr>
        <xdr:cNvPr id="28" name="Rectangle 53">
          <a:extLst>
            <a:ext uri="{FF2B5EF4-FFF2-40B4-BE49-F238E27FC236}">
              <a16:creationId xmlns:a16="http://schemas.microsoft.com/office/drawing/2014/main" id="{43BE9256-F095-486F-84CD-96CEF9078774}"/>
            </a:ext>
          </a:extLst>
        </xdr:cNvPr>
        <xdr:cNvSpPr>
          <a:spLocks noChangeArrowheads="1"/>
        </xdr:cNvSpPr>
      </xdr:nvSpPr>
      <xdr:spPr bwMode="auto">
        <a:xfrm>
          <a:off x="1333500" y="22879050"/>
          <a:ext cx="6048375" cy="104775"/>
        </a:xfrm>
        <a:prstGeom prst="rect">
          <a:avLst/>
        </a:prstGeom>
        <a:solidFill>
          <a:srgbClr xmlns:mc="http://schemas.openxmlformats.org/markup-compatibility/2006" xmlns:a14="http://schemas.microsoft.com/office/drawing/2010/main" val="CCFFCC" mc:Ignorable="a14" a14:legacySpreadsheetColorIndex="42">
            <a:alpha val="50000"/>
          </a:srgbClr>
        </a:solidFill>
        <a:ln w="12700">
          <a:solidFill>
            <a:srgbClr xmlns:mc="http://schemas.openxmlformats.org/markup-compatibility/2006" xmlns:a14="http://schemas.microsoft.com/office/drawing/2010/main" val="339966" mc:Ignorable="a14" a14:legacySpreadsheetColorIndex="57"/>
          </a:solidFill>
          <a:prstDash val="dash"/>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editAs="oneCell">
    <xdr:from>
      <xdr:col>1</xdr:col>
      <xdr:colOff>200025</xdr:colOff>
      <xdr:row>10</xdr:row>
      <xdr:rowOff>9525</xdr:rowOff>
    </xdr:from>
    <xdr:to>
      <xdr:col>9</xdr:col>
      <xdr:colOff>1323975</xdr:colOff>
      <xdr:row>20</xdr:row>
      <xdr:rowOff>76200</xdr:rowOff>
    </xdr:to>
    <xdr:pic>
      <xdr:nvPicPr>
        <xdr:cNvPr id="29" name="Picture 70">
          <a:extLst>
            <a:ext uri="{FF2B5EF4-FFF2-40B4-BE49-F238E27FC236}">
              <a16:creationId xmlns:a16="http://schemas.microsoft.com/office/drawing/2014/main" id="{23AB3F28-BB11-41EE-89F3-DB22B168AF58}"/>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l="26718" t="25293" r="28751" b="53516"/>
        <a:stretch>
          <a:fillRect/>
        </a:stretch>
      </xdr:blipFill>
      <xdr:spPr bwMode="auto">
        <a:xfrm>
          <a:off x="447675" y="1943100"/>
          <a:ext cx="5429250" cy="206692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342900</xdr:colOff>
      <xdr:row>35</xdr:row>
      <xdr:rowOff>133350</xdr:rowOff>
    </xdr:from>
    <xdr:to>
      <xdr:col>5</xdr:col>
      <xdr:colOff>238125</xdr:colOff>
      <xdr:row>37</xdr:row>
      <xdr:rowOff>19050</xdr:rowOff>
    </xdr:to>
    <xdr:sp macro="" textlink="">
      <xdr:nvSpPr>
        <xdr:cNvPr id="30" name="AutoShape 73">
          <a:extLst>
            <a:ext uri="{FF2B5EF4-FFF2-40B4-BE49-F238E27FC236}">
              <a16:creationId xmlns:a16="http://schemas.microsoft.com/office/drawing/2014/main" id="{4857258F-B6F2-4E0A-8AB8-12498A114544}"/>
            </a:ext>
          </a:extLst>
        </xdr:cNvPr>
        <xdr:cNvSpPr>
          <a:spLocks noChangeArrowheads="1"/>
        </xdr:cNvSpPr>
      </xdr:nvSpPr>
      <xdr:spPr bwMode="auto">
        <a:xfrm>
          <a:off x="590550" y="7067550"/>
          <a:ext cx="1676400" cy="2857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9</xdr:col>
      <xdr:colOff>381000</xdr:colOff>
      <xdr:row>38</xdr:row>
      <xdr:rowOff>28575</xdr:rowOff>
    </xdr:from>
    <xdr:to>
      <xdr:col>9</xdr:col>
      <xdr:colOff>1581150</xdr:colOff>
      <xdr:row>45</xdr:row>
      <xdr:rowOff>47625</xdr:rowOff>
    </xdr:to>
    <xdr:sp macro="" textlink="">
      <xdr:nvSpPr>
        <xdr:cNvPr id="31" name="Rectangle 75">
          <a:extLst>
            <a:ext uri="{FF2B5EF4-FFF2-40B4-BE49-F238E27FC236}">
              <a16:creationId xmlns:a16="http://schemas.microsoft.com/office/drawing/2014/main" id="{83532FDF-A775-4CF0-8888-61D62A56E6FE}"/>
            </a:ext>
          </a:extLst>
        </xdr:cNvPr>
        <xdr:cNvSpPr>
          <a:spLocks noChangeArrowheads="1"/>
        </xdr:cNvSpPr>
      </xdr:nvSpPr>
      <xdr:spPr bwMode="auto">
        <a:xfrm>
          <a:off x="4933950" y="7562850"/>
          <a:ext cx="1200150" cy="1419225"/>
        </a:xfrm>
        <a:prstGeom prst="rect">
          <a:avLst/>
        </a:prstGeom>
        <a:noFill/>
        <a:ln w="19050">
          <a:solidFill>
            <a:srgbClr xmlns:mc="http://schemas.openxmlformats.org/markup-compatibility/2006" xmlns:a14="http://schemas.microsoft.com/office/drawing/2010/main" val="008000" mc:Ignorable="a14" a14:legacySpreadsheetColorIndex="17"/>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190500</xdr:colOff>
      <xdr:row>30</xdr:row>
      <xdr:rowOff>47625</xdr:rowOff>
    </xdr:from>
    <xdr:to>
      <xdr:col>10</xdr:col>
      <xdr:colOff>371475</xdr:colOff>
      <xdr:row>35</xdr:row>
      <xdr:rowOff>66675</xdr:rowOff>
    </xdr:to>
    <xdr:sp macro="" textlink="">
      <xdr:nvSpPr>
        <xdr:cNvPr id="32" name="AutoShape 76">
          <a:extLst>
            <a:ext uri="{FF2B5EF4-FFF2-40B4-BE49-F238E27FC236}">
              <a16:creationId xmlns:a16="http://schemas.microsoft.com/office/drawing/2014/main" id="{66D5160C-7D46-470B-BCE1-4D3249BAA3F2}"/>
            </a:ext>
          </a:extLst>
        </xdr:cNvPr>
        <xdr:cNvSpPr>
          <a:spLocks noChangeArrowheads="1"/>
        </xdr:cNvSpPr>
      </xdr:nvSpPr>
      <xdr:spPr bwMode="auto">
        <a:xfrm>
          <a:off x="4743450" y="5981700"/>
          <a:ext cx="3324225" cy="1019175"/>
        </a:xfrm>
        <a:prstGeom prst="wedgeRectCallout">
          <a:avLst>
            <a:gd name="adj1" fmla="val -21347"/>
            <a:gd name="adj2" fmla="val 86843"/>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8000" mc:Ignorable="a14" a14:legacySpreadsheetColorIndex="1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defRPr sz="1000"/>
          </a:pPr>
          <a:r>
            <a:rPr lang="ja-JP" altLang="en-US" sz="1100" b="1" i="0" u="none" strike="noStrike" baseline="0">
              <a:solidFill>
                <a:srgbClr val="008000"/>
              </a:solidFill>
              <a:latin typeface="ＭＳ Ｐゴシック"/>
              <a:ea typeface="ＭＳ Ｐゴシック"/>
            </a:rPr>
            <a:t>　b1： </a:t>
          </a:r>
          <a:r>
            <a:rPr lang="ja-JP" altLang="en-US" sz="900" b="0" i="0" u="none" strike="noStrike" baseline="0">
              <a:solidFill>
                <a:srgbClr val="000000"/>
              </a:solidFill>
              <a:latin typeface="ＭＳ Ｐゴシック"/>
              <a:ea typeface="ＭＳ Ｐゴシック"/>
            </a:rPr>
            <a:t>検索条件に該当するデータを</a:t>
          </a:r>
        </a:p>
        <a:p>
          <a:pPr algn="l" rtl="0">
            <a:lnSpc>
              <a:spcPts val="1100"/>
            </a:lnSpc>
            <a:defRPr sz="1000"/>
          </a:pPr>
          <a:r>
            <a:rPr lang="ja-JP" altLang="en-US" sz="900" b="0" i="0" u="none" strike="noStrike" baseline="0">
              <a:solidFill>
                <a:srgbClr val="000000"/>
              </a:solidFill>
              <a:latin typeface="ＭＳ Ｐゴシック"/>
              <a:ea typeface="ＭＳ Ｐゴシック"/>
            </a:rPr>
            <a:t>　　　　　　　　　</a:t>
          </a:r>
          <a:r>
            <a:rPr lang="ja-JP" altLang="en-US" sz="900" b="1" i="0" u="none" strike="noStrike" baseline="0">
              <a:solidFill>
                <a:srgbClr val="000000"/>
              </a:solidFill>
              <a:latin typeface="ＭＳ Ｐゴシック"/>
              <a:ea typeface="ＭＳ Ｐゴシック"/>
            </a:rPr>
            <a:t>すべて</a:t>
          </a:r>
          <a:r>
            <a:rPr lang="ja-JP" altLang="en-US" sz="900" b="0" i="0" u="none" strike="noStrike" baseline="0">
              <a:solidFill>
                <a:srgbClr val="000000"/>
              </a:solidFill>
              <a:latin typeface="ＭＳ Ｐゴシック"/>
              <a:ea typeface="ＭＳ Ｐゴシック"/>
            </a:rPr>
            <a:t>抽出していることを確認。</a:t>
          </a:r>
        </a:p>
        <a:p>
          <a:pPr algn="l" rtl="0">
            <a:lnSpc>
              <a:spcPts val="1100"/>
            </a:lnSpc>
            <a:defRPr sz="1000"/>
          </a:pPr>
          <a:r>
            <a:rPr lang="ja-JP" altLang="en-US" sz="900" b="0" i="0" u="none" strike="noStrike" baseline="0">
              <a:solidFill>
                <a:srgbClr val="000000"/>
              </a:solidFill>
              <a:latin typeface="ＭＳ Ｐゴシック"/>
              <a:ea typeface="ＭＳ Ｐゴシック"/>
            </a:rPr>
            <a:t>　　　　　　　　（抽出対象外のデータを抽出していないことを確認。）</a:t>
          </a:r>
          <a:endParaRPr lang="ja-JP" altLang="en-US" sz="1100" b="0" i="0" u="none" strike="noStrike" baseline="0">
            <a:solidFill>
              <a:srgbClr val="000000"/>
            </a:solidFill>
            <a:latin typeface="ＭＳ Ｐゴシック"/>
            <a:ea typeface="ＭＳ Ｐゴシック"/>
          </a:endParaRPr>
        </a:p>
        <a:p>
          <a:pPr algn="l" rtl="0">
            <a:defRPr sz="1000"/>
          </a:pPr>
          <a:endParaRPr lang="ja-JP" altLang="en-US" sz="1100" b="0" i="0" u="none" strike="noStrike" baseline="0">
            <a:solidFill>
              <a:srgbClr val="000000"/>
            </a:solidFill>
            <a:latin typeface="ＭＳ Ｐゴシック"/>
            <a:ea typeface="ＭＳ Ｐゴシック"/>
          </a:endParaRPr>
        </a:p>
        <a:p>
          <a:pPr algn="l" rtl="0">
            <a:lnSpc>
              <a:spcPts val="1300"/>
            </a:lnSpc>
            <a:defRPr sz="1000"/>
          </a:pPr>
          <a:r>
            <a:rPr lang="ja-JP" altLang="en-US" sz="1100" b="0" i="0" u="none" strike="noStrike" baseline="0">
              <a:solidFill>
                <a:srgbClr val="000000"/>
              </a:solidFill>
              <a:latin typeface="ＭＳ Ｐゴシック"/>
              <a:ea typeface="ＭＳ Ｐゴシック"/>
            </a:rPr>
            <a:t>　</a:t>
          </a:r>
          <a:r>
            <a:rPr lang="ja-JP" altLang="en-US" sz="1100" b="1" i="0" u="none" strike="noStrike" baseline="0">
              <a:solidFill>
                <a:srgbClr val="008000"/>
              </a:solidFill>
              <a:latin typeface="ＭＳ Ｐゴシック"/>
              <a:ea typeface="ＭＳ Ｐゴシック"/>
            </a:rPr>
            <a:t>b2：　</a:t>
          </a:r>
          <a:r>
            <a:rPr lang="ja-JP" altLang="en-US" sz="900" b="0" i="0" u="none" strike="noStrike" baseline="0">
              <a:solidFill>
                <a:srgbClr val="000000"/>
              </a:solidFill>
              <a:latin typeface="ＭＳ Ｐゴシック"/>
              <a:ea typeface="ＭＳ Ｐゴシック"/>
            </a:rPr>
            <a:t>ソート順が正しいことを確認。</a:t>
          </a:r>
        </a:p>
      </xdr:txBody>
    </xdr:sp>
    <xdr:clientData/>
  </xdr:twoCellAnchor>
  <xdr:twoCellAnchor>
    <xdr:from>
      <xdr:col>4</xdr:col>
      <xdr:colOff>457200</xdr:colOff>
      <xdr:row>14</xdr:row>
      <xdr:rowOff>133350</xdr:rowOff>
    </xdr:from>
    <xdr:to>
      <xdr:col>6</xdr:col>
      <xdr:colOff>638175</xdr:colOff>
      <xdr:row>19</xdr:row>
      <xdr:rowOff>142875</xdr:rowOff>
    </xdr:to>
    <xdr:sp macro="" textlink="">
      <xdr:nvSpPr>
        <xdr:cNvPr id="33" name="Rectangle 81">
          <a:extLst>
            <a:ext uri="{FF2B5EF4-FFF2-40B4-BE49-F238E27FC236}">
              <a16:creationId xmlns:a16="http://schemas.microsoft.com/office/drawing/2014/main" id="{E4F94CDE-2FF9-4E95-A3EE-55463260250C}"/>
            </a:ext>
          </a:extLst>
        </xdr:cNvPr>
        <xdr:cNvSpPr>
          <a:spLocks noChangeArrowheads="1"/>
        </xdr:cNvSpPr>
      </xdr:nvSpPr>
      <xdr:spPr bwMode="auto">
        <a:xfrm>
          <a:off x="1800225" y="2867025"/>
          <a:ext cx="1552575" cy="1009650"/>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4</xdr:col>
      <xdr:colOff>457200</xdr:colOff>
      <xdr:row>52</xdr:row>
      <xdr:rowOff>123825</xdr:rowOff>
    </xdr:from>
    <xdr:to>
      <xdr:col>5</xdr:col>
      <xdr:colOff>466725</xdr:colOff>
      <xdr:row>57</xdr:row>
      <xdr:rowOff>152400</xdr:rowOff>
    </xdr:to>
    <xdr:sp macro="" textlink="">
      <xdr:nvSpPr>
        <xdr:cNvPr id="34" name="Rectangle 82">
          <a:extLst>
            <a:ext uri="{FF2B5EF4-FFF2-40B4-BE49-F238E27FC236}">
              <a16:creationId xmlns:a16="http://schemas.microsoft.com/office/drawing/2014/main" id="{B218722E-2CAE-45F6-A9B6-533307E6ED0D}"/>
            </a:ext>
          </a:extLst>
        </xdr:cNvPr>
        <xdr:cNvSpPr>
          <a:spLocks noChangeArrowheads="1"/>
        </xdr:cNvSpPr>
      </xdr:nvSpPr>
      <xdr:spPr bwMode="auto">
        <a:xfrm>
          <a:off x="1800225" y="10429875"/>
          <a:ext cx="695325" cy="1028700"/>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638175</xdr:colOff>
      <xdr:row>52</xdr:row>
      <xdr:rowOff>123825</xdr:rowOff>
    </xdr:from>
    <xdr:to>
      <xdr:col>8</xdr:col>
      <xdr:colOff>257175</xdr:colOff>
      <xdr:row>57</xdr:row>
      <xdr:rowOff>152400</xdr:rowOff>
    </xdr:to>
    <xdr:sp macro="" textlink="">
      <xdr:nvSpPr>
        <xdr:cNvPr id="35" name="Rectangle 84">
          <a:extLst>
            <a:ext uri="{FF2B5EF4-FFF2-40B4-BE49-F238E27FC236}">
              <a16:creationId xmlns:a16="http://schemas.microsoft.com/office/drawing/2014/main" id="{62384A3F-FEDC-429E-A8C7-260F19C1C5AE}"/>
            </a:ext>
          </a:extLst>
        </xdr:cNvPr>
        <xdr:cNvSpPr>
          <a:spLocks noChangeArrowheads="1"/>
        </xdr:cNvSpPr>
      </xdr:nvSpPr>
      <xdr:spPr bwMode="auto">
        <a:xfrm>
          <a:off x="3352800" y="10429875"/>
          <a:ext cx="914400" cy="1028700"/>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2</xdr:col>
      <xdr:colOff>114300</xdr:colOff>
      <xdr:row>165</xdr:row>
      <xdr:rowOff>66675</xdr:rowOff>
    </xdr:from>
    <xdr:to>
      <xdr:col>6</xdr:col>
      <xdr:colOff>628650</xdr:colOff>
      <xdr:row>168</xdr:row>
      <xdr:rowOff>9525</xdr:rowOff>
    </xdr:to>
    <xdr:sp macro="" textlink="">
      <xdr:nvSpPr>
        <xdr:cNvPr id="36" name="Rectangle 87">
          <a:extLst>
            <a:ext uri="{FF2B5EF4-FFF2-40B4-BE49-F238E27FC236}">
              <a16:creationId xmlns:a16="http://schemas.microsoft.com/office/drawing/2014/main" id="{10EDA07C-0733-4D5D-840B-2901DBAF4B18}"/>
            </a:ext>
          </a:extLst>
        </xdr:cNvPr>
        <xdr:cNvSpPr>
          <a:spLocks noChangeArrowheads="1"/>
        </xdr:cNvSpPr>
      </xdr:nvSpPr>
      <xdr:spPr bwMode="auto">
        <a:xfrm>
          <a:off x="904875" y="32966025"/>
          <a:ext cx="2438400" cy="542925"/>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2</xdr:col>
      <xdr:colOff>123825</xdr:colOff>
      <xdr:row>172</xdr:row>
      <xdr:rowOff>19050</xdr:rowOff>
    </xdr:from>
    <xdr:to>
      <xdr:col>6</xdr:col>
      <xdr:colOff>638175</xdr:colOff>
      <xdr:row>174</xdr:row>
      <xdr:rowOff>133350</xdr:rowOff>
    </xdr:to>
    <xdr:sp macro="" textlink="">
      <xdr:nvSpPr>
        <xdr:cNvPr id="37" name="Rectangle 88">
          <a:extLst>
            <a:ext uri="{FF2B5EF4-FFF2-40B4-BE49-F238E27FC236}">
              <a16:creationId xmlns:a16="http://schemas.microsoft.com/office/drawing/2014/main" id="{802E34E9-10BC-4CD2-80A9-20EF1BEE01C1}"/>
            </a:ext>
          </a:extLst>
        </xdr:cNvPr>
        <xdr:cNvSpPr>
          <a:spLocks noChangeArrowheads="1"/>
        </xdr:cNvSpPr>
      </xdr:nvSpPr>
      <xdr:spPr bwMode="auto">
        <a:xfrm>
          <a:off x="914400" y="34318575"/>
          <a:ext cx="2438400" cy="514350"/>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247650</xdr:colOff>
      <xdr:row>219</xdr:row>
      <xdr:rowOff>47625</xdr:rowOff>
    </xdr:from>
    <xdr:to>
      <xdr:col>4</xdr:col>
      <xdr:colOff>419100</xdr:colOff>
      <xdr:row>220</xdr:row>
      <xdr:rowOff>104775</xdr:rowOff>
    </xdr:to>
    <xdr:sp macro="" textlink="">
      <xdr:nvSpPr>
        <xdr:cNvPr id="38" name="AutoShape 93">
          <a:extLst>
            <a:ext uri="{FF2B5EF4-FFF2-40B4-BE49-F238E27FC236}">
              <a16:creationId xmlns:a16="http://schemas.microsoft.com/office/drawing/2014/main" id="{D4E79857-70B8-4152-938F-581AC6B47770}"/>
            </a:ext>
          </a:extLst>
        </xdr:cNvPr>
        <xdr:cNvSpPr>
          <a:spLocks noChangeArrowheads="1"/>
        </xdr:cNvSpPr>
      </xdr:nvSpPr>
      <xdr:spPr bwMode="auto">
        <a:xfrm>
          <a:off x="495300" y="43719750"/>
          <a:ext cx="126682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304800</xdr:colOff>
      <xdr:row>21</xdr:row>
      <xdr:rowOff>114300</xdr:rowOff>
    </xdr:from>
    <xdr:to>
      <xdr:col>7</xdr:col>
      <xdr:colOff>542925</xdr:colOff>
      <xdr:row>34</xdr:row>
      <xdr:rowOff>104775</xdr:rowOff>
    </xdr:to>
    <xdr:sp macro="" textlink="">
      <xdr:nvSpPr>
        <xdr:cNvPr id="39" name="Text Box 111">
          <a:extLst>
            <a:ext uri="{FF2B5EF4-FFF2-40B4-BE49-F238E27FC236}">
              <a16:creationId xmlns:a16="http://schemas.microsoft.com/office/drawing/2014/main" id="{07887635-9A13-44AE-B6B9-FB62620C3658}"/>
            </a:ext>
          </a:extLst>
        </xdr:cNvPr>
        <xdr:cNvSpPr txBox="1">
          <a:spLocks noChangeArrowheads="1"/>
        </xdr:cNvSpPr>
      </xdr:nvSpPr>
      <xdr:spPr bwMode="auto">
        <a:xfrm>
          <a:off x="552450" y="4248150"/>
          <a:ext cx="3390900" cy="2590800"/>
        </a:xfrm>
        <a:prstGeom prst="rect">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CC99" mc:Ignorable="a14" a14:legacySpreadsheetColorIndex="4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100"/>
            </a:lnSpc>
            <a:defRPr sz="1000"/>
          </a:pPr>
          <a:r>
            <a:rPr lang="ja-JP" altLang="en-US" sz="900" b="0" i="0" u="none" strike="noStrike" baseline="0">
              <a:solidFill>
                <a:srgbClr val="000000"/>
              </a:solidFill>
              <a:latin typeface="ＭＳ ゴシック"/>
              <a:ea typeface="ＭＳ ゴシック"/>
            </a:rPr>
            <a:t>　　</a:t>
          </a:r>
          <a:r>
            <a:rPr lang="ja-JP" altLang="en-US" sz="900" b="0" i="0" u="none" strike="noStrike" baseline="0">
              <a:solidFill>
                <a:srgbClr val="FF6600"/>
              </a:solidFill>
              <a:latin typeface="ＭＳ ゴシック"/>
              <a:ea typeface="ＭＳ ゴシック"/>
            </a:rPr>
            <a:t>例えば途中に こんな処理があった場合・・・</a:t>
          </a:r>
        </a:p>
        <a:p>
          <a:pPr algn="l" rtl="0">
            <a:lnSpc>
              <a:spcPts val="1100"/>
            </a:lnSpc>
            <a:defRPr sz="1000"/>
          </a:pPr>
          <a:endParaRPr lang="ja-JP" altLang="en-US" sz="900" b="0" i="0" u="none" strike="noStrike" baseline="0">
            <a:solidFill>
              <a:srgbClr val="FF6600"/>
            </a:solidFill>
            <a:latin typeface="ＭＳ ゴシック"/>
            <a:ea typeface="ＭＳ ゴシック"/>
          </a:endParaRPr>
        </a:p>
        <a:p>
          <a:pPr algn="l" rtl="0">
            <a:lnSpc>
              <a:spcPts val="1100"/>
            </a:lnSpc>
            <a:defRPr sz="1000"/>
          </a:pPr>
          <a:r>
            <a:rPr lang="ja-JP" altLang="en-US" sz="900" b="0" i="0" u="none" strike="noStrike" baseline="0">
              <a:solidFill>
                <a:srgbClr val="000000"/>
              </a:solidFill>
              <a:latin typeface="ＭＳ ゴシック"/>
              <a:ea typeface="ＭＳ ゴシック"/>
            </a:rPr>
            <a:t>foreach</a:t>
          </a:r>
        </a:p>
        <a:p>
          <a:pPr algn="l" rtl="0">
            <a:lnSpc>
              <a:spcPts val="1100"/>
            </a:lnSpc>
            <a:defRPr sz="1000"/>
          </a:pPr>
          <a:r>
            <a:rPr lang="ja-JP" altLang="en-US" sz="900" b="0" i="0" u="none" strike="noStrike" baseline="0">
              <a:solidFill>
                <a:srgbClr val="000000"/>
              </a:solidFill>
              <a:latin typeface="ＭＳ ゴシック"/>
              <a:ea typeface="ＭＳ ゴシック"/>
            </a:rPr>
            <a:t>　　select   倉庫番号，商品コード，在庫台数,</a:t>
          </a:r>
        </a:p>
        <a:p>
          <a:pPr algn="l" rtl="0">
            <a:lnSpc>
              <a:spcPts val="1100"/>
            </a:lnSpc>
            <a:defRPr sz="1000"/>
          </a:pPr>
          <a:r>
            <a:rPr lang="ja-JP" altLang="en-US" sz="900" b="0" i="0" u="none" strike="noStrike" baseline="0">
              <a:solidFill>
                <a:srgbClr val="000000"/>
              </a:solidFill>
              <a:latin typeface="ＭＳ ゴシック"/>
              <a:ea typeface="ＭＳ ゴシック"/>
            </a:rPr>
            <a:t>    into     l_倉庫番号, l_商品コード, l_在庫台数</a:t>
          </a:r>
        </a:p>
        <a:p>
          <a:pPr algn="l" rtl="0">
            <a:lnSpc>
              <a:spcPts val="1100"/>
            </a:lnSpc>
            <a:defRPr sz="1000"/>
          </a:pPr>
          <a:r>
            <a:rPr lang="ja-JP" altLang="en-US" sz="900" b="0" i="0" u="none" strike="noStrike" baseline="0">
              <a:solidFill>
                <a:srgbClr val="000000"/>
              </a:solidFill>
              <a:latin typeface="ＭＳ ゴシック"/>
              <a:ea typeface="ＭＳ ゴシック"/>
            </a:rPr>
            <a:t>　  from     在庫マスタ</a:t>
          </a:r>
          <a:endParaRPr lang="ja-JP" altLang="en-US" sz="900" b="0" i="0" u="none" strike="noStrike" baseline="0">
            <a:solidFill>
              <a:srgbClr val="339966"/>
            </a:solidFill>
            <a:latin typeface="ＭＳ ゴシック"/>
            <a:ea typeface="ＭＳ ゴシック"/>
          </a:endParaRPr>
        </a:p>
        <a:p>
          <a:pPr algn="l" rtl="0">
            <a:lnSpc>
              <a:spcPts val="1100"/>
            </a:lnSpc>
            <a:defRPr sz="1000"/>
          </a:pPr>
          <a:r>
            <a:rPr lang="ja-JP" altLang="en-US" sz="900" b="0" i="0" u="none" strike="noStrike" baseline="0">
              <a:solidFill>
                <a:srgbClr val="339966"/>
              </a:solidFill>
              <a:latin typeface="ＭＳ ゴシック"/>
              <a:ea typeface="ＭＳ ゴシック"/>
            </a:rPr>
            <a:t>    </a:t>
          </a:r>
          <a:r>
            <a:rPr lang="ja-JP" altLang="en-US" sz="900" b="0" i="0" u="none" strike="noStrike" baseline="0">
              <a:solidFill>
                <a:srgbClr val="000000"/>
              </a:solidFill>
              <a:latin typeface="ＭＳ ゴシック"/>
              <a:ea typeface="ＭＳ ゴシック"/>
            </a:rPr>
            <a:t>where    年月　＝　'200607'</a:t>
          </a:r>
        </a:p>
        <a:p>
          <a:pPr algn="l" rtl="0">
            <a:lnSpc>
              <a:spcPts val="1100"/>
            </a:lnSpc>
            <a:defRPr sz="1000"/>
          </a:pPr>
          <a:r>
            <a:rPr lang="ja-JP" altLang="en-US" sz="900" b="0" i="0" u="none" strike="noStrike" baseline="0">
              <a:solidFill>
                <a:srgbClr val="000000"/>
              </a:solidFill>
              <a:latin typeface="ＭＳ ゴシック"/>
              <a:ea typeface="ＭＳ ゴシック"/>
            </a:rPr>
            <a:t>　  order by 倉庫番号, 商品コード</a:t>
          </a: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defRPr sz="1000"/>
          </a:pPr>
          <a:r>
            <a:rPr lang="ja-JP" altLang="en-US" sz="900" b="0" i="0" u="none" strike="noStrike" baseline="0">
              <a:solidFill>
                <a:srgbClr val="000000"/>
              </a:solidFill>
              <a:latin typeface="ＭＳ ゴシック"/>
              <a:ea typeface="ＭＳ ゴシック"/>
            </a:rPr>
            <a:t>  　return  0, 0, 0, " ",</a:t>
          </a:r>
        </a:p>
        <a:p>
          <a:pPr algn="l" rtl="0">
            <a:lnSpc>
              <a:spcPts val="1100"/>
            </a:lnSpc>
            <a:defRPr sz="1000"/>
          </a:pPr>
          <a:r>
            <a:rPr lang="ja-JP" altLang="en-US" sz="900" b="0" i="0" u="none" strike="noStrike" baseline="0">
              <a:solidFill>
                <a:srgbClr val="000000"/>
              </a:solidFill>
              <a:latin typeface="ＭＳ ゴシック"/>
              <a:ea typeface="ＭＳ ゴシック"/>
            </a:rPr>
            <a:t>            l_倉庫番号,</a:t>
          </a:r>
        </a:p>
        <a:p>
          <a:pPr algn="l" rtl="0">
            <a:defRPr sz="1000"/>
          </a:pPr>
          <a:r>
            <a:rPr lang="ja-JP" altLang="en-US" sz="900" b="0" i="0" u="none" strike="noStrike" baseline="0">
              <a:solidFill>
                <a:srgbClr val="000000"/>
              </a:solidFill>
              <a:latin typeface="ＭＳ ゴシック"/>
              <a:ea typeface="ＭＳ ゴシック"/>
            </a:rPr>
            <a:t>　　 　　　 l_商品コード,</a:t>
          </a:r>
        </a:p>
        <a:p>
          <a:pPr algn="l" rtl="0">
            <a:defRPr sz="1000"/>
          </a:pPr>
          <a:r>
            <a:rPr lang="ja-JP" altLang="en-US" sz="900" b="0" i="0" u="none" strike="noStrike" baseline="0">
              <a:solidFill>
                <a:srgbClr val="000000"/>
              </a:solidFill>
              <a:latin typeface="ＭＳ ゴシック"/>
              <a:ea typeface="ＭＳ ゴシック"/>
            </a:rPr>
            <a:t>　　 　　　 l_在庫台数</a:t>
          </a:r>
        </a:p>
        <a:p>
          <a:pPr algn="l" rtl="0">
            <a:lnSpc>
              <a:spcPts val="1100"/>
            </a:lnSpc>
            <a:defRPr sz="1000"/>
          </a:pPr>
          <a:r>
            <a:rPr lang="ja-JP" altLang="en-US" sz="900" b="0" i="0" u="none" strike="noStrike" baseline="0">
              <a:solidFill>
                <a:srgbClr val="000000"/>
              </a:solidFill>
              <a:latin typeface="ＭＳ ゴシック"/>
              <a:ea typeface="ＭＳ ゴシック"/>
            </a:rPr>
            <a:t>    with resume；</a:t>
          </a:r>
        </a:p>
        <a:p>
          <a:pPr algn="l" rtl="0">
            <a:defRPr sz="1000"/>
          </a:pPr>
          <a:r>
            <a:rPr lang="ja-JP" altLang="en-US" sz="900" b="0" i="0" u="none" strike="noStrike" baseline="0">
              <a:solidFill>
                <a:srgbClr val="000000"/>
              </a:solidFill>
              <a:latin typeface="ＭＳ ゴシック"/>
              <a:ea typeface="ＭＳ ゴシック"/>
            </a:rPr>
            <a:t>end foreach</a:t>
          </a:r>
        </a:p>
      </xdr:txBody>
    </xdr:sp>
    <xdr:clientData/>
  </xdr:twoCellAnchor>
  <xdr:twoCellAnchor>
    <xdr:from>
      <xdr:col>7</xdr:col>
      <xdr:colOff>247650</xdr:colOff>
      <xdr:row>21</xdr:row>
      <xdr:rowOff>114300</xdr:rowOff>
    </xdr:from>
    <xdr:to>
      <xdr:col>8</xdr:col>
      <xdr:colOff>352425</xdr:colOff>
      <xdr:row>34</xdr:row>
      <xdr:rowOff>66675</xdr:rowOff>
    </xdr:to>
    <xdr:sp macro="" textlink="">
      <xdr:nvSpPr>
        <xdr:cNvPr id="40" name="AutoShape 74">
          <a:extLst>
            <a:ext uri="{FF2B5EF4-FFF2-40B4-BE49-F238E27FC236}">
              <a16:creationId xmlns:a16="http://schemas.microsoft.com/office/drawing/2014/main" id="{03FF4CDC-7F72-4468-AD13-E6D9CD0330FA}"/>
            </a:ext>
          </a:extLst>
        </xdr:cNvPr>
        <xdr:cNvSpPr>
          <a:spLocks noChangeArrowheads="1"/>
        </xdr:cNvSpPr>
      </xdr:nvSpPr>
      <xdr:spPr bwMode="auto">
        <a:xfrm>
          <a:off x="3648075" y="4248150"/>
          <a:ext cx="714375" cy="2552700"/>
        </a:xfrm>
        <a:prstGeom prst="downArrow">
          <a:avLst>
            <a:gd name="adj1" fmla="val 50000"/>
            <a:gd name="adj2" fmla="val 77333"/>
          </a:avLst>
        </a:prstGeom>
        <a:solidFill>
          <a:srgbClr xmlns:mc="http://schemas.openxmlformats.org/markup-compatibility/2006" xmlns:a14="http://schemas.microsoft.com/office/drawing/2010/main" val="FFFFFF" mc:Ignorable="a14" a14:legacySpreadsheetColorIndex="9"/>
        </a:solidFill>
        <a:ln w="12700">
          <a:solidFill>
            <a:srgbClr xmlns:mc="http://schemas.openxmlformats.org/markup-compatibility/2006" xmlns:a14="http://schemas.microsoft.com/office/drawing/2010/main" val="FF9900" mc:Ignorable="a14" a14:legacySpreadsheetColorIndex="52"/>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3</xdr:col>
      <xdr:colOff>228600</xdr:colOff>
      <xdr:row>60</xdr:row>
      <xdr:rowOff>0</xdr:rowOff>
    </xdr:from>
    <xdr:to>
      <xdr:col>7</xdr:col>
      <xdr:colOff>571500</xdr:colOff>
      <xdr:row>71</xdr:row>
      <xdr:rowOff>133350</xdr:rowOff>
    </xdr:to>
    <xdr:sp macro="" textlink="">
      <xdr:nvSpPr>
        <xdr:cNvPr id="41" name="Text Box 117">
          <a:extLst>
            <a:ext uri="{FF2B5EF4-FFF2-40B4-BE49-F238E27FC236}">
              <a16:creationId xmlns:a16="http://schemas.microsoft.com/office/drawing/2014/main" id="{3E81053A-EC89-484D-9D25-ED0C41A7C466}"/>
            </a:ext>
          </a:extLst>
        </xdr:cNvPr>
        <xdr:cNvSpPr txBox="1">
          <a:spLocks noChangeArrowheads="1"/>
        </xdr:cNvSpPr>
      </xdr:nvSpPr>
      <xdr:spPr bwMode="auto">
        <a:xfrm>
          <a:off x="1257300" y="11906250"/>
          <a:ext cx="2714625" cy="2333625"/>
        </a:xfrm>
        <a:prstGeom prst="rect">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CC99" mc:Ignorable="a14" a14:legacySpreadsheetColorIndex="4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100"/>
            </a:lnSpc>
            <a:defRPr sz="1000"/>
          </a:pPr>
          <a:r>
            <a:rPr lang="ja-JP" altLang="en-US" sz="900" b="0" i="0" u="none" strike="noStrike" baseline="0">
              <a:solidFill>
                <a:srgbClr val="000000"/>
              </a:solidFill>
              <a:latin typeface="ＭＳ ゴシック"/>
              <a:ea typeface="ＭＳ ゴシック"/>
            </a:rPr>
            <a:t>　　</a:t>
          </a:r>
          <a:r>
            <a:rPr lang="ja-JP" altLang="en-US" sz="900" b="0" i="0" u="none" strike="noStrike" baseline="0">
              <a:solidFill>
                <a:srgbClr val="FF6600"/>
              </a:solidFill>
              <a:latin typeface="ＭＳ ゴシック"/>
              <a:ea typeface="ＭＳ ゴシック"/>
            </a:rPr>
            <a:t>例えば途中に こんな処理があった場合・・・</a:t>
          </a:r>
        </a:p>
        <a:p>
          <a:pPr algn="l" rtl="0">
            <a:lnSpc>
              <a:spcPts val="1100"/>
            </a:lnSpc>
            <a:defRPr sz="1000"/>
          </a:pPr>
          <a:r>
            <a:rPr lang="ja-JP" altLang="en-US" sz="900" b="0" i="0" u="none" strike="noStrike" baseline="0">
              <a:solidFill>
                <a:srgbClr val="000000"/>
              </a:solidFill>
              <a:latin typeface="ＭＳ ゴシック"/>
              <a:ea typeface="ＭＳ ゴシック"/>
            </a:rPr>
            <a:t>foreach</a:t>
          </a:r>
        </a:p>
        <a:p>
          <a:pPr algn="l" rtl="0">
            <a:lnSpc>
              <a:spcPts val="1100"/>
            </a:lnSpc>
            <a:defRPr sz="1000"/>
          </a:pPr>
          <a:r>
            <a:rPr lang="ja-JP" altLang="en-US" sz="900" b="0" i="0" u="none" strike="noStrike" baseline="0">
              <a:solidFill>
                <a:srgbClr val="000000"/>
              </a:solidFill>
              <a:latin typeface="ＭＳ ゴシック"/>
              <a:ea typeface="ＭＳ ゴシック"/>
            </a:rPr>
            <a:t>　　select    倉庫番号，sum(在庫台数)</a:t>
          </a:r>
        </a:p>
        <a:p>
          <a:pPr algn="l" rtl="0">
            <a:lnSpc>
              <a:spcPts val="1100"/>
            </a:lnSpc>
            <a:defRPr sz="1000"/>
          </a:pPr>
          <a:r>
            <a:rPr lang="ja-JP" altLang="en-US" sz="900" b="0" i="0" u="none" strike="noStrike" baseline="0">
              <a:solidFill>
                <a:srgbClr val="000000"/>
              </a:solidFill>
              <a:latin typeface="ＭＳ ゴシック"/>
              <a:ea typeface="ＭＳ ゴシック"/>
            </a:rPr>
            <a:t>    into      l_倉庫番号, l_在庫台数</a:t>
          </a:r>
        </a:p>
        <a:p>
          <a:pPr algn="l" rtl="0">
            <a:lnSpc>
              <a:spcPts val="1100"/>
            </a:lnSpc>
            <a:defRPr sz="1000"/>
          </a:pPr>
          <a:r>
            <a:rPr lang="ja-JP" altLang="en-US" sz="900" b="0" i="0" u="none" strike="noStrike" baseline="0">
              <a:solidFill>
                <a:srgbClr val="000000"/>
              </a:solidFill>
              <a:latin typeface="ＭＳ ゴシック"/>
              <a:ea typeface="ＭＳ ゴシック"/>
            </a:rPr>
            <a:t>　  from      在庫マスタ</a:t>
          </a:r>
        </a:p>
        <a:p>
          <a:pPr algn="l" rtl="0">
            <a:lnSpc>
              <a:spcPts val="1100"/>
            </a:lnSpc>
            <a:defRPr sz="1000"/>
          </a:pPr>
          <a:r>
            <a:rPr lang="ja-JP" altLang="en-US" sz="900" b="0" i="0" u="none" strike="noStrike" baseline="0">
              <a:solidFill>
                <a:srgbClr val="000000"/>
              </a:solidFill>
              <a:latin typeface="ＭＳ ゴシック"/>
              <a:ea typeface="ＭＳ ゴシック"/>
            </a:rPr>
            <a:t>    where     年月　＝　'200607'</a:t>
          </a:r>
        </a:p>
        <a:p>
          <a:pPr algn="l" rtl="0">
            <a:lnSpc>
              <a:spcPts val="1100"/>
            </a:lnSpc>
            <a:defRPr sz="1000"/>
          </a:pPr>
          <a:r>
            <a:rPr lang="ja-JP" altLang="en-US" sz="900" b="0" i="0" u="none" strike="noStrike" baseline="0">
              <a:solidFill>
                <a:srgbClr val="000000"/>
              </a:solidFill>
              <a:latin typeface="ＭＳ ゴシック"/>
              <a:ea typeface="ＭＳ ゴシック"/>
            </a:rPr>
            <a:t>　  group by  倉庫番号</a:t>
          </a: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defRPr sz="1000"/>
          </a:pPr>
          <a:r>
            <a:rPr lang="ja-JP" altLang="en-US" sz="900" b="0" i="0" u="none" strike="noStrike" baseline="0">
              <a:solidFill>
                <a:srgbClr val="000000"/>
              </a:solidFill>
              <a:latin typeface="ＭＳ ゴシック"/>
              <a:ea typeface="ＭＳ ゴシック"/>
            </a:rPr>
            <a:t>  　return  0, 0, 0, " ",</a:t>
          </a:r>
        </a:p>
        <a:p>
          <a:pPr algn="l" rtl="0">
            <a:lnSpc>
              <a:spcPts val="1100"/>
            </a:lnSpc>
            <a:defRPr sz="1000"/>
          </a:pPr>
          <a:r>
            <a:rPr lang="ja-JP" altLang="en-US" sz="900" b="0" i="0" u="none" strike="noStrike" baseline="0">
              <a:solidFill>
                <a:srgbClr val="000000"/>
              </a:solidFill>
              <a:latin typeface="ＭＳ ゴシック"/>
              <a:ea typeface="ＭＳ ゴシック"/>
            </a:rPr>
            <a:t>            l_倉庫番号,</a:t>
          </a:r>
        </a:p>
        <a:p>
          <a:pPr algn="l" rtl="0">
            <a:defRPr sz="1000"/>
          </a:pPr>
          <a:r>
            <a:rPr lang="ja-JP" altLang="en-US" sz="900" b="0" i="0" u="none" strike="noStrike" baseline="0">
              <a:solidFill>
                <a:srgbClr val="000000"/>
              </a:solidFill>
              <a:latin typeface="ＭＳ ゴシック"/>
              <a:ea typeface="ＭＳ ゴシック"/>
            </a:rPr>
            <a:t>　　 　　　 l_在庫台数</a:t>
          </a:r>
        </a:p>
        <a:p>
          <a:pPr algn="l" rtl="0">
            <a:defRPr sz="1000"/>
          </a:pPr>
          <a:r>
            <a:rPr lang="ja-JP" altLang="en-US" sz="900" b="0" i="0" u="none" strike="noStrike" baseline="0">
              <a:solidFill>
                <a:srgbClr val="000000"/>
              </a:solidFill>
              <a:latin typeface="ＭＳ ゴシック"/>
              <a:ea typeface="ＭＳ ゴシック"/>
            </a:rPr>
            <a:t>    with resume;</a:t>
          </a:r>
        </a:p>
        <a:p>
          <a:pPr algn="l" rtl="0">
            <a:lnSpc>
              <a:spcPts val="1100"/>
            </a:lnSpc>
            <a:defRPr sz="1000"/>
          </a:pPr>
          <a:r>
            <a:rPr lang="ja-JP" altLang="en-US" sz="900" b="0" i="0" u="none" strike="noStrike" baseline="0">
              <a:solidFill>
                <a:srgbClr val="000000"/>
              </a:solidFill>
              <a:latin typeface="ＭＳ ゴシック"/>
              <a:ea typeface="ＭＳ ゴシック"/>
            </a:rPr>
            <a:t>end foreach</a:t>
          </a:r>
        </a:p>
      </xdr:txBody>
    </xdr:sp>
    <xdr:clientData/>
  </xdr:twoCellAnchor>
  <xdr:twoCellAnchor>
    <xdr:from>
      <xdr:col>7</xdr:col>
      <xdr:colOff>228600</xdr:colOff>
      <xdr:row>59</xdr:row>
      <xdr:rowOff>152400</xdr:rowOff>
    </xdr:from>
    <xdr:to>
      <xdr:col>8</xdr:col>
      <xdr:colOff>333375</xdr:colOff>
      <xdr:row>71</xdr:row>
      <xdr:rowOff>152400</xdr:rowOff>
    </xdr:to>
    <xdr:sp macro="" textlink="">
      <xdr:nvSpPr>
        <xdr:cNvPr id="42" name="AutoShape 28">
          <a:extLst>
            <a:ext uri="{FF2B5EF4-FFF2-40B4-BE49-F238E27FC236}">
              <a16:creationId xmlns:a16="http://schemas.microsoft.com/office/drawing/2014/main" id="{ABCD15BF-065A-46EB-8DC2-DF53E197E40F}"/>
            </a:ext>
          </a:extLst>
        </xdr:cNvPr>
        <xdr:cNvSpPr>
          <a:spLocks noChangeArrowheads="1"/>
        </xdr:cNvSpPr>
      </xdr:nvSpPr>
      <xdr:spPr bwMode="auto">
        <a:xfrm>
          <a:off x="3629025" y="11858625"/>
          <a:ext cx="714375" cy="2400300"/>
        </a:xfrm>
        <a:prstGeom prst="downArrow">
          <a:avLst>
            <a:gd name="adj1" fmla="val 50000"/>
            <a:gd name="adj2" fmla="val 72000"/>
          </a:avLst>
        </a:prstGeom>
        <a:solidFill>
          <a:srgbClr xmlns:mc="http://schemas.openxmlformats.org/markup-compatibility/2006" xmlns:a14="http://schemas.microsoft.com/office/drawing/2010/main" val="FFFFFF" mc:Ignorable="a14" a14:legacySpreadsheetColorIndex="9"/>
        </a:solidFill>
        <a:ln w="12700">
          <a:solidFill>
            <a:srgbClr xmlns:mc="http://schemas.openxmlformats.org/markup-compatibility/2006" xmlns:a14="http://schemas.microsoft.com/office/drawing/2010/main" val="FF9900" mc:Ignorable="a14" a14:legacySpreadsheetColorIndex="52"/>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247650</xdr:colOff>
      <xdr:row>95</xdr:row>
      <xdr:rowOff>28575</xdr:rowOff>
    </xdr:from>
    <xdr:to>
      <xdr:col>9</xdr:col>
      <xdr:colOff>476250</xdr:colOff>
      <xdr:row>108</xdr:row>
      <xdr:rowOff>38100</xdr:rowOff>
    </xdr:to>
    <xdr:sp macro="" textlink="">
      <xdr:nvSpPr>
        <xdr:cNvPr id="43" name="Text Box 119">
          <a:extLst>
            <a:ext uri="{FF2B5EF4-FFF2-40B4-BE49-F238E27FC236}">
              <a16:creationId xmlns:a16="http://schemas.microsoft.com/office/drawing/2014/main" id="{0D25D20B-C9FE-4358-9591-07F003A443D0}"/>
            </a:ext>
          </a:extLst>
        </xdr:cNvPr>
        <xdr:cNvSpPr txBox="1">
          <a:spLocks noChangeArrowheads="1"/>
        </xdr:cNvSpPr>
      </xdr:nvSpPr>
      <xdr:spPr bwMode="auto">
        <a:xfrm>
          <a:off x="495300" y="18907125"/>
          <a:ext cx="4533900" cy="2609850"/>
        </a:xfrm>
        <a:prstGeom prst="rect">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CC99" mc:Ignorable="a14" a14:legacySpreadsheetColorIndex="4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100"/>
            </a:lnSpc>
            <a:defRPr sz="1000"/>
          </a:pPr>
          <a:r>
            <a:rPr lang="ja-JP" altLang="en-US" sz="900" b="0" i="0" u="none" strike="noStrike" baseline="0">
              <a:solidFill>
                <a:srgbClr val="000000"/>
              </a:solidFill>
              <a:latin typeface="ＭＳ ゴシック"/>
              <a:ea typeface="ＭＳ ゴシック"/>
            </a:rPr>
            <a:t>　　</a:t>
          </a:r>
          <a:r>
            <a:rPr lang="ja-JP" altLang="en-US" sz="900" b="0" i="0" u="none" strike="noStrike" baseline="0">
              <a:solidFill>
                <a:srgbClr val="FF6600"/>
              </a:solidFill>
              <a:latin typeface="ＭＳ ゴシック"/>
              <a:ea typeface="ＭＳ ゴシック"/>
            </a:rPr>
            <a:t>例えば途中に こんな処理があった場合・・・</a:t>
          </a: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lnSpc>
              <a:spcPts val="1100"/>
            </a:lnSpc>
            <a:defRPr sz="1000"/>
          </a:pPr>
          <a:r>
            <a:rPr lang="ja-JP" altLang="en-US" sz="900" b="0" i="0" u="none" strike="noStrike" baseline="0">
              <a:solidFill>
                <a:srgbClr val="000000"/>
              </a:solidFill>
              <a:latin typeface="ＭＳ ゴシック"/>
              <a:ea typeface="ＭＳ ゴシック"/>
            </a:rPr>
            <a:t>foreach</a:t>
          </a:r>
        </a:p>
        <a:p>
          <a:pPr algn="l" rtl="0">
            <a:lnSpc>
              <a:spcPts val="1100"/>
            </a:lnSpc>
            <a:defRPr sz="1000"/>
          </a:pPr>
          <a:r>
            <a:rPr lang="ja-JP" altLang="en-US" sz="900" b="0" i="0" u="none" strike="noStrike" baseline="0">
              <a:solidFill>
                <a:srgbClr val="000000"/>
              </a:solidFill>
              <a:latin typeface="ＭＳ ゴシック"/>
              <a:ea typeface="ＭＳ ゴシック"/>
            </a:rPr>
            <a:t>　　select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倉庫番号，</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商品コード，　</a:t>
          </a:r>
          <a:r>
            <a:rPr lang="ja-JP" altLang="en-US" sz="900" b="0" i="0" u="none" strike="noStrike" baseline="0">
              <a:solidFill>
                <a:srgbClr val="339966"/>
              </a:solidFill>
              <a:latin typeface="ＭＳ ゴシック"/>
              <a:ea typeface="ＭＳ ゴシック"/>
            </a:rPr>
            <a:t>ｂ．</a:t>
          </a:r>
          <a:r>
            <a:rPr lang="ja-JP" altLang="en-US" sz="900" b="0" i="0" u="none" strike="noStrike" baseline="0">
              <a:solidFill>
                <a:srgbClr val="000000"/>
              </a:solidFill>
              <a:latin typeface="ＭＳ ゴシック"/>
              <a:ea typeface="ＭＳ ゴシック"/>
            </a:rPr>
            <a:t>商品名称，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在庫台数</a:t>
          </a:r>
        </a:p>
        <a:p>
          <a:pPr algn="l" rtl="0">
            <a:lnSpc>
              <a:spcPts val="1100"/>
            </a:lnSpc>
            <a:defRPr sz="1000"/>
          </a:pPr>
          <a:r>
            <a:rPr lang="ja-JP" altLang="en-US" sz="900" b="0" i="0" u="none" strike="noStrike" baseline="0">
              <a:solidFill>
                <a:srgbClr val="000000"/>
              </a:solidFill>
              <a:latin typeface="ＭＳ ゴシック"/>
              <a:ea typeface="ＭＳ ゴシック"/>
            </a:rPr>
            <a:t>　　into    l_倉庫番号, l_商品コード, l_商品名称, l_在庫台数</a:t>
          </a:r>
        </a:p>
        <a:p>
          <a:pPr algn="l" rtl="0">
            <a:lnSpc>
              <a:spcPts val="1100"/>
            </a:lnSpc>
            <a:defRPr sz="1000"/>
          </a:pPr>
          <a:r>
            <a:rPr lang="ja-JP" altLang="en-US" sz="900" b="0" i="0" u="none" strike="noStrike" baseline="0">
              <a:solidFill>
                <a:srgbClr val="000000"/>
              </a:solidFill>
              <a:latin typeface="ＭＳ ゴシック"/>
              <a:ea typeface="ＭＳ ゴシック"/>
            </a:rPr>
            <a:t>　　from    在庫マスタ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　商品マスタ　</a:t>
          </a:r>
          <a:r>
            <a:rPr lang="ja-JP" altLang="en-US" sz="900" b="0" i="0" u="none" strike="noStrike" baseline="0">
              <a:solidFill>
                <a:srgbClr val="339966"/>
              </a:solidFill>
              <a:latin typeface="ＭＳ ゴシック"/>
              <a:ea typeface="ＭＳ ゴシック"/>
            </a:rPr>
            <a:t>ｂ</a:t>
          </a:r>
        </a:p>
        <a:p>
          <a:pPr algn="l" rtl="0">
            <a:lnSpc>
              <a:spcPts val="1100"/>
            </a:lnSpc>
            <a:defRPr sz="1000"/>
          </a:pPr>
          <a:r>
            <a:rPr lang="ja-JP" altLang="en-US" sz="900" b="0" i="0" u="none" strike="noStrike" baseline="0">
              <a:solidFill>
                <a:srgbClr val="339966"/>
              </a:solidFill>
              <a:latin typeface="ＭＳ ゴシック"/>
              <a:ea typeface="ＭＳ ゴシック"/>
            </a:rPr>
            <a:t> 　 </a:t>
          </a:r>
          <a:r>
            <a:rPr lang="ja-JP" altLang="en-US" sz="900" b="0" i="0" u="none" strike="noStrike" baseline="0">
              <a:solidFill>
                <a:srgbClr val="000000"/>
              </a:solidFill>
              <a:latin typeface="ＭＳ ゴシック"/>
              <a:ea typeface="ＭＳ ゴシック"/>
            </a:rPr>
            <a:t>where </a:t>
          </a:r>
          <a:r>
            <a:rPr lang="ja-JP" altLang="en-US" sz="900" b="0" i="0" u="none" strike="noStrike" baseline="0">
              <a:solidFill>
                <a:srgbClr val="339966"/>
              </a:solidFill>
              <a:latin typeface="ＭＳ ゴシック"/>
              <a:ea typeface="ＭＳ ゴシック"/>
            </a:rPr>
            <a:t>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商品コード　＝</a:t>
          </a:r>
          <a:r>
            <a:rPr lang="ja-JP" altLang="en-US" sz="900" b="0" i="0" u="none" strike="noStrike" baseline="0">
              <a:solidFill>
                <a:srgbClr val="339966"/>
              </a:solidFill>
              <a:latin typeface="ＭＳ ゴシック"/>
              <a:ea typeface="ＭＳ ゴシック"/>
            </a:rPr>
            <a:t>　ｂ．</a:t>
          </a:r>
          <a:r>
            <a:rPr lang="ja-JP" altLang="en-US" sz="900" b="0" i="0" u="none" strike="noStrike" baseline="0">
              <a:solidFill>
                <a:srgbClr val="000000"/>
              </a:solidFill>
              <a:latin typeface="ＭＳ ゴシック"/>
              <a:ea typeface="ＭＳ ゴシック"/>
            </a:rPr>
            <a:t>商品コード</a:t>
          </a: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lnSpc>
              <a:spcPts val="1100"/>
            </a:lnSpc>
            <a:defRPr sz="1000"/>
          </a:pPr>
          <a:r>
            <a:rPr lang="ja-JP" altLang="en-US" sz="900" b="0" i="0" u="none" strike="noStrike" baseline="0">
              <a:solidFill>
                <a:srgbClr val="000000"/>
              </a:solidFill>
              <a:latin typeface="ＭＳ ゴシック"/>
              <a:ea typeface="ＭＳ ゴシック"/>
            </a:rPr>
            <a:t>  　return  0, 0, 0, " ",</a:t>
          </a:r>
        </a:p>
        <a:p>
          <a:pPr algn="l" rtl="0">
            <a:defRPr sz="1000"/>
          </a:pPr>
          <a:r>
            <a:rPr lang="ja-JP" altLang="en-US" sz="900" b="0" i="0" u="none" strike="noStrike" baseline="0">
              <a:solidFill>
                <a:srgbClr val="000000"/>
              </a:solidFill>
              <a:latin typeface="ＭＳ ゴシック"/>
              <a:ea typeface="ＭＳ ゴシック"/>
            </a:rPr>
            <a:t>            l_倉庫番号,</a:t>
          </a:r>
        </a:p>
        <a:p>
          <a:pPr algn="l" rtl="0">
            <a:lnSpc>
              <a:spcPts val="1100"/>
            </a:lnSpc>
            <a:defRPr sz="1000"/>
          </a:pPr>
          <a:r>
            <a:rPr lang="ja-JP" altLang="en-US" sz="900" b="0" i="0" u="none" strike="noStrike" baseline="0">
              <a:solidFill>
                <a:srgbClr val="000000"/>
              </a:solidFill>
              <a:latin typeface="ＭＳ ゴシック"/>
              <a:ea typeface="ＭＳ ゴシック"/>
            </a:rPr>
            <a:t>　　 　　　 l_商品コード,</a:t>
          </a:r>
        </a:p>
        <a:p>
          <a:pPr algn="l" rtl="0">
            <a:defRPr sz="1000"/>
          </a:pPr>
          <a:r>
            <a:rPr lang="ja-JP" altLang="en-US" sz="900" b="0" i="0" u="none" strike="noStrike" baseline="0">
              <a:solidFill>
                <a:srgbClr val="000000"/>
              </a:solidFill>
              <a:latin typeface="ＭＳ ゴシック"/>
              <a:ea typeface="ＭＳ ゴシック"/>
            </a:rPr>
            <a:t>　　 　　　 l_商品名称,</a:t>
          </a:r>
        </a:p>
        <a:p>
          <a:pPr algn="l" rtl="0">
            <a:defRPr sz="1000"/>
          </a:pPr>
          <a:r>
            <a:rPr lang="ja-JP" altLang="en-US" sz="900" b="0" i="0" u="none" strike="noStrike" baseline="0">
              <a:solidFill>
                <a:srgbClr val="000000"/>
              </a:solidFill>
              <a:latin typeface="ＭＳ ゴシック"/>
              <a:ea typeface="ＭＳ ゴシック"/>
            </a:rPr>
            <a:t>            l_在庫台数</a:t>
          </a:r>
        </a:p>
        <a:p>
          <a:pPr algn="l" rtl="0">
            <a:lnSpc>
              <a:spcPts val="1100"/>
            </a:lnSpc>
            <a:defRPr sz="1000"/>
          </a:pPr>
          <a:r>
            <a:rPr lang="ja-JP" altLang="en-US" sz="900" b="0" i="0" u="none" strike="noStrike" baseline="0">
              <a:solidFill>
                <a:srgbClr val="000000"/>
              </a:solidFill>
              <a:latin typeface="ＭＳ ゴシック"/>
              <a:ea typeface="ＭＳ ゴシック"/>
            </a:rPr>
            <a:t>            with resume;</a:t>
          </a:r>
        </a:p>
        <a:p>
          <a:pPr algn="l" rtl="0">
            <a:defRPr sz="1000"/>
          </a:pPr>
          <a:r>
            <a:rPr lang="ja-JP" altLang="en-US" sz="900" b="0" i="0" u="none" strike="noStrike" baseline="0">
              <a:solidFill>
                <a:srgbClr val="000000"/>
              </a:solidFill>
              <a:latin typeface="ＭＳ ゴシック"/>
              <a:ea typeface="ＭＳ ゴシック"/>
            </a:rPr>
            <a:t>end foreach</a:t>
          </a:r>
        </a:p>
      </xdr:txBody>
    </xdr:sp>
    <xdr:clientData/>
  </xdr:twoCellAnchor>
  <xdr:twoCellAnchor>
    <xdr:from>
      <xdr:col>9</xdr:col>
      <xdr:colOff>228600</xdr:colOff>
      <xdr:row>95</xdr:row>
      <xdr:rowOff>9525</xdr:rowOff>
    </xdr:from>
    <xdr:to>
      <xdr:col>9</xdr:col>
      <xdr:colOff>942975</xdr:colOff>
      <xdr:row>108</xdr:row>
      <xdr:rowOff>114300</xdr:rowOff>
    </xdr:to>
    <xdr:sp macro="" textlink="">
      <xdr:nvSpPr>
        <xdr:cNvPr id="44" name="AutoShape 38">
          <a:extLst>
            <a:ext uri="{FF2B5EF4-FFF2-40B4-BE49-F238E27FC236}">
              <a16:creationId xmlns:a16="http://schemas.microsoft.com/office/drawing/2014/main" id="{679DB1FC-BA52-4D9E-BA7B-C41138956FBD}"/>
            </a:ext>
          </a:extLst>
        </xdr:cNvPr>
        <xdr:cNvSpPr>
          <a:spLocks noChangeArrowheads="1"/>
        </xdr:cNvSpPr>
      </xdr:nvSpPr>
      <xdr:spPr bwMode="auto">
        <a:xfrm>
          <a:off x="4781550" y="18888075"/>
          <a:ext cx="714375" cy="2705100"/>
        </a:xfrm>
        <a:prstGeom prst="downArrow">
          <a:avLst>
            <a:gd name="adj1" fmla="val 50000"/>
            <a:gd name="adj2" fmla="val 81667"/>
          </a:avLst>
        </a:prstGeom>
        <a:solidFill>
          <a:srgbClr xmlns:mc="http://schemas.openxmlformats.org/markup-compatibility/2006" xmlns:a14="http://schemas.microsoft.com/office/drawing/2010/main" val="FFFFFF" mc:Ignorable="a14" a14:legacySpreadsheetColorIndex="9"/>
        </a:solidFill>
        <a:ln w="12700">
          <a:solidFill>
            <a:srgbClr xmlns:mc="http://schemas.openxmlformats.org/markup-compatibility/2006" xmlns:a14="http://schemas.microsoft.com/office/drawing/2010/main" val="FF9900" mc:Ignorable="a14" a14:legacySpreadsheetColorIndex="52"/>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304800</xdr:colOff>
      <xdr:row>129</xdr:row>
      <xdr:rowOff>76200</xdr:rowOff>
    </xdr:from>
    <xdr:to>
      <xdr:col>9</xdr:col>
      <xdr:colOff>533400</xdr:colOff>
      <xdr:row>146</xdr:row>
      <xdr:rowOff>76200</xdr:rowOff>
    </xdr:to>
    <xdr:sp macro="" textlink="">
      <xdr:nvSpPr>
        <xdr:cNvPr id="45" name="Text Box 121">
          <a:extLst>
            <a:ext uri="{FF2B5EF4-FFF2-40B4-BE49-F238E27FC236}">
              <a16:creationId xmlns:a16="http://schemas.microsoft.com/office/drawing/2014/main" id="{5E36E2D7-1BE6-4EEE-AFE9-FF5CEC253DB2}"/>
            </a:ext>
          </a:extLst>
        </xdr:cNvPr>
        <xdr:cNvSpPr txBox="1">
          <a:spLocks noChangeArrowheads="1"/>
        </xdr:cNvSpPr>
      </xdr:nvSpPr>
      <xdr:spPr bwMode="auto">
        <a:xfrm>
          <a:off x="552450" y="25765125"/>
          <a:ext cx="4533900" cy="3400425"/>
        </a:xfrm>
        <a:prstGeom prst="rect">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CC99" mc:Ignorable="a14" a14:legacySpreadsheetColorIndex="4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100"/>
            </a:lnSpc>
            <a:defRPr sz="1000"/>
          </a:pPr>
          <a:r>
            <a:rPr lang="ja-JP" altLang="en-US" sz="900" b="0" i="0" u="none" strike="noStrike" baseline="0">
              <a:solidFill>
                <a:srgbClr val="000000"/>
              </a:solidFill>
              <a:latin typeface="ＭＳ ゴシック"/>
              <a:ea typeface="ＭＳ ゴシック"/>
            </a:rPr>
            <a:t>　　</a:t>
          </a:r>
          <a:r>
            <a:rPr lang="ja-JP" altLang="en-US" sz="900" b="0" i="0" u="none" strike="noStrike" baseline="0">
              <a:solidFill>
                <a:srgbClr val="FF6600"/>
              </a:solidFill>
              <a:latin typeface="ＭＳ ゴシック"/>
              <a:ea typeface="ＭＳ ゴシック"/>
            </a:rPr>
            <a:t>例えば途中に こんな処理があった場合・・・</a:t>
          </a:r>
        </a:p>
        <a:p>
          <a:pPr algn="l" rtl="0">
            <a:lnSpc>
              <a:spcPts val="1100"/>
            </a:lnSpc>
            <a:defRPr sz="1000"/>
          </a:pPr>
          <a:endParaRPr lang="ja-JP" altLang="en-US" sz="900" b="0" i="0" u="none" strike="noStrike" baseline="0">
            <a:solidFill>
              <a:srgbClr val="FF6600"/>
            </a:solidFill>
            <a:latin typeface="ＭＳ ゴシック"/>
            <a:ea typeface="ＭＳ ゴシック"/>
          </a:endParaRPr>
        </a:p>
        <a:p>
          <a:pPr algn="l" rtl="0">
            <a:lnSpc>
              <a:spcPts val="1100"/>
            </a:lnSpc>
            <a:defRPr sz="1000"/>
          </a:pPr>
          <a:r>
            <a:rPr lang="ja-JP" altLang="en-US" sz="900" b="0" i="0" u="none" strike="noStrike" baseline="0">
              <a:solidFill>
                <a:srgbClr val="000000"/>
              </a:solidFill>
              <a:latin typeface="ＭＳ ゴシック"/>
              <a:ea typeface="ＭＳ ゴシック"/>
            </a:rPr>
            <a:t>foreach</a:t>
          </a:r>
        </a:p>
        <a:p>
          <a:pPr algn="l" rtl="0">
            <a:lnSpc>
              <a:spcPts val="1100"/>
            </a:lnSpc>
            <a:defRPr sz="1000"/>
          </a:pPr>
          <a:r>
            <a:rPr lang="ja-JP" altLang="en-US" sz="900" b="0" i="0" u="none" strike="noStrike" baseline="0">
              <a:solidFill>
                <a:srgbClr val="000000"/>
              </a:solidFill>
              <a:latin typeface="ＭＳ ゴシック"/>
              <a:ea typeface="ＭＳ ゴシック"/>
            </a:rPr>
            <a:t>　select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倉庫番号，</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商品コード，　</a:t>
          </a:r>
          <a:r>
            <a:rPr lang="ja-JP" altLang="en-US" sz="900" b="0" i="0" u="none" strike="noStrike" baseline="0">
              <a:solidFill>
                <a:srgbClr val="339966"/>
              </a:solidFill>
              <a:latin typeface="ＭＳ ゴシック"/>
              <a:ea typeface="ＭＳ ゴシック"/>
            </a:rPr>
            <a:t>ｂ．</a:t>
          </a:r>
          <a:r>
            <a:rPr lang="ja-JP" altLang="en-US" sz="900" b="0" i="0" u="none" strike="noStrike" baseline="0">
              <a:solidFill>
                <a:srgbClr val="000000"/>
              </a:solidFill>
              <a:latin typeface="ＭＳ ゴシック"/>
              <a:ea typeface="ＭＳ ゴシック"/>
            </a:rPr>
            <a:t>商品名称，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在庫台数</a:t>
          </a:r>
        </a:p>
        <a:p>
          <a:pPr algn="l" rtl="0">
            <a:lnSpc>
              <a:spcPts val="1100"/>
            </a:lnSpc>
            <a:defRPr sz="1000"/>
          </a:pPr>
          <a:r>
            <a:rPr lang="ja-JP" altLang="en-US" sz="900" b="0" i="0" u="none" strike="noStrike" baseline="0">
              <a:solidFill>
                <a:srgbClr val="000000"/>
              </a:solidFill>
              <a:latin typeface="ＭＳ ゴシック"/>
              <a:ea typeface="ＭＳ ゴシック"/>
            </a:rPr>
            <a:t>　　into   l_倉庫番号, l_商品コード, l_商品名称, l_在庫台数</a:t>
          </a:r>
        </a:p>
        <a:p>
          <a:pPr algn="l" rtl="0">
            <a:lnSpc>
              <a:spcPts val="1100"/>
            </a:lnSpc>
            <a:defRPr sz="1000"/>
          </a:pPr>
          <a:r>
            <a:rPr lang="ja-JP" altLang="en-US" sz="900" b="0" i="0" u="none" strike="noStrike" baseline="0">
              <a:solidFill>
                <a:srgbClr val="000000"/>
              </a:solidFill>
              <a:latin typeface="ＭＳ ゴシック"/>
              <a:ea typeface="ＭＳ ゴシック"/>
            </a:rPr>
            <a:t>　　from    在庫マスタ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a:t>
          </a:r>
          <a:r>
            <a:rPr lang="ja-JP" altLang="en-US" sz="900" b="1" i="0" u="none" strike="noStrike" baseline="0">
              <a:solidFill>
                <a:srgbClr val="FF0000"/>
              </a:solidFill>
              <a:latin typeface="ＭＳ ゴシック"/>
              <a:ea typeface="ＭＳ ゴシック"/>
            </a:rPr>
            <a:t>outer</a:t>
          </a:r>
          <a:r>
            <a:rPr lang="ja-JP" altLang="en-US" sz="900" b="0" i="0" u="none" strike="noStrike" baseline="0">
              <a:solidFill>
                <a:srgbClr val="000000"/>
              </a:solidFill>
              <a:latin typeface="ＭＳ ゴシック"/>
              <a:ea typeface="ＭＳ ゴシック"/>
            </a:rPr>
            <a:t>  商品マスタ　</a:t>
          </a:r>
          <a:r>
            <a:rPr lang="ja-JP" altLang="en-US" sz="900" b="0" i="0" u="none" strike="noStrike" baseline="0">
              <a:solidFill>
                <a:srgbClr val="339966"/>
              </a:solidFill>
              <a:latin typeface="ＭＳ ゴシック"/>
              <a:ea typeface="ＭＳ ゴシック"/>
            </a:rPr>
            <a:t>ｂ</a:t>
          </a:r>
        </a:p>
        <a:p>
          <a:pPr algn="l" rtl="0">
            <a:lnSpc>
              <a:spcPts val="1100"/>
            </a:lnSpc>
            <a:defRPr sz="1000"/>
          </a:pPr>
          <a:r>
            <a:rPr lang="ja-JP" altLang="en-US" sz="900" b="0" i="0" u="none" strike="noStrike" baseline="0">
              <a:solidFill>
                <a:srgbClr val="339966"/>
              </a:solidFill>
              <a:latin typeface="ＭＳ ゴシック"/>
              <a:ea typeface="ＭＳ ゴシック"/>
            </a:rPr>
            <a:t> 　 </a:t>
          </a:r>
          <a:r>
            <a:rPr lang="ja-JP" altLang="en-US" sz="900" b="0" i="0" u="none" strike="noStrike" baseline="0">
              <a:solidFill>
                <a:srgbClr val="000000"/>
              </a:solidFill>
              <a:latin typeface="ＭＳ ゴシック"/>
              <a:ea typeface="ＭＳ ゴシック"/>
            </a:rPr>
            <a:t>where </a:t>
          </a:r>
          <a:r>
            <a:rPr lang="ja-JP" altLang="en-US" sz="900" b="0" i="0" u="none" strike="noStrike" baseline="0">
              <a:solidFill>
                <a:srgbClr val="339966"/>
              </a:solidFill>
              <a:latin typeface="ＭＳ ゴシック"/>
              <a:ea typeface="ＭＳ ゴシック"/>
            </a:rPr>
            <a:t>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商品コード　＝</a:t>
          </a:r>
          <a:r>
            <a:rPr lang="ja-JP" altLang="en-US" sz="900" b="0" i="0" u="none" strike="noStrike" baseline="0">
              <a:solidFill>
                <a:srgbClr val="339966"/>
              </a:solidFill>
              <a:latin typeface="ＭＳ ゴシック"/>
              <a:ea typeface="ＭＳ ゴシック"/>
            </a:rPr>
            <a:t>　ｂ．</a:t>
          </a:r>
          <a:r>
            <a:rPr lang="ja-JP" altLang="en-US" sz="900" b="0" i="0" u="none" strike="noStrike" baseline="0">
              <a:solidFill>
                <a:srgbClr val="000000"/>
              </a:solidFill>
              <a:latin typeface="ＭＳ ゴシック"/>
              <a:ea typeface="ＭＳ ゴシック"/>
            </a:rPr>
            <a:t>商品コード</a:t>
          </a: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lnSpc>
              <a:spcPts val="1100"/>
            </a:lnSpc>
            <a:defRPr sz="1000"/>
          </a:pPr>
          <a:r>
            <a:rPr lang="ja-JP" altLang="en-US" sz="900" b="0" i="0" u="none" strike="noStrike" baseline="0">
              <a:solidFill>
                <a:srgbClr val="000000"/>
              </a:solidFill>
              <a:latin typeface="ＭＳ ゴシック"/>
              <a:ea typeface="ＭＳ ゴシック"/>
            </a:rPr>
            <a:t>  return  0, 0, 0, " ",</a:t>
          </a:r>
        </a:p>
        <a:p>
          <a:pPr algn="l" rtl="0">
            <a:lnSpc>
              <a:spcPts val="1100"/>
            </a:lnSpc>
            <a:defRPr sz="1000"/>
          </a:pPr>
          <a:r>
            <a:rPr lang="ja-JP" altLang="en-US" sz="900" b="0" i="0" u="none" strike="noStrike" baseline="0">
              <a:solidFill>
                <a:srgbClr val="000000"/>
              </a:solidFill>
              <a:latin typeface="ＭＳ ゴシック"/>
              <a:ea typeface="ＭＳ ゴシック"/>
            </a:rPr>
            <a:t>             l_倉庫番号,</a:t>
          </a:r>
        </a:p>
        <a:p>
          <a:pPr algn="l" rtl="0">
            <a:defRPr sz="1000"/>
          </a:pPr>
          <a:r>
            <a:rPr lang="ja-JP" altLang="en-US" sz="900" b="0" i="0" u="none" strike="noStrike" baseline="0">
              <a:solidFill>
                <a:srgbClr val="000000"/>
              </a:solidFill>
              <a:latin typeface="ＭＳ ゴシック"/>
              <a:ea typeface="ＭＳ ゴシック"/>
            </a:rPr>
            <a:t>　　　　　　 l_商品コード,</a:t>
          </a:r>
        </a:p>
        <a:p>
          <a:pPr algn="l" rtl="0">
            <a:lnSpc>
              <a:spcPts val="1100"/>
            </a:lnSpc>
            <a:defRPr sz="1000"/>
          </a:pPr>
          <a:r>
            <a:rPr lang="ja-JP" altLang="en-US" sz="900" b="0" i="0" u="none" strike="noStrike" baseline="0">
              <a:solidFill>
                <a:srgbClr val="000000"/>
              </a:solidFill>
              <a:latin typeface="ＭＳ ゴシック"/>
              <a:ea typeface="ＭＳ ゴシック"/>
            </a:rPr>
            <a:t>　　　　　　 l_商品名称,</a:t>
          </a:r>
        </a:p>
        <a:p>
          <a:pPr algn="l" rtl="0">
            <a:defRPr sz="1000"/>
          </a:pPr>
          <a:r>
            <a:rPr lang="ja-JP" altLang="en-US" sz="900" b="0" i="0" u="none" strike="noStrike" baseline="0">
              <a:solidFill>
                <a:srgbClr val="000000"/>
              </a:solidFill>
              <a:latin typeface="ＭＳ ゴシック"/>
              <a:ea typeface="ＭＳ ゴシック"/>
            </a:rPr>
            <a:t>             l_在庫台数</a:t>
          </a:r>
        </a:p>
        <a:p>
          <a:pPr algn="l" rtl="0">
            <a:defRPr sz="1000"/>
          </a:pPr>
          <a:r>
            <a:rPr lang="ja-JP" altLang="en-US" sz="900" b="0" i="0" u="none" strike="noStrike" baseline="0">
              <a:solidFill>
                <a:srgbClr val="000000"/>
              </a:solidFill>
              <a:latin typeface="ＭＳ ゴシック"/>
              <a:ea typeface="ＭＳ ゴシック"/>
            </a:rPr>
            <a:t>   with resume;</a:t>
          </a:r>
        </a:p>
        <a:p>
          <a:pPr algn="l" rtl="0">
            <a:defRPr sz="1000"/>
          </a:pPr>
          <a:endParaRPr lang="ja-JP" altLang="en-US" sz="900" b="0" i="0" u="none" strike="noStrike" baseline="0">
            <a:solidFill>
              <a:srgbClr val="000000"/>
            </a:solidFill>
            <a:latin typeface="ＭＳ ゴシック"/>
            <a:ea typeface="ＭＳ ゴシック"/>
          </a:endParaRPr>
        </a:p>
        <a:p>
          <a:pPr algn="l" rtl="0">
            <a:lnSpc>
              <a:spcPts val="1100"/>
            </a:lnSpc>
            <a:defRPr sz="1000"/>
          </a:pPr>
          <a:r>
            <a:rPr lang="ja-JP" altLang="en-US" sz="900" b="0" i="0" u="none" strike="noStrike" baseline="0">
              <a:solidFill>
                <a:srgbClr val="000000"/>
              </a:solidFill>
              <a:latin typeface="ＭＳ ゴシック"/>
              <a:ea typeface="ＭＳ ゴシック"/>
            </a:rPr>
            <a:t>end foreach</a:t>
          </a:r>
        </a:p>
      </xdr:txBody>
    </xdr:sp>
    <xdr:clientData/>
  </xdr:twoCellAnchor>
  <xdr:twoCellAnchor>
    <xdr:from>
      <xdr:col>9</xdr:col>
      <xdr:colOff>333375</xdr:colOff>
      <xdr:row>129</xdr:row>
      <xdr:rowOff>9525</xdr:rowOff>
    </xdr:from>
    <xdr:to>
      <xdr:col>9</xdr:col>
      <xdr:colOff>1047750</xdr:colOff>
      <xdr:row>148</xdr:row>
      <xdr:rowOff>9525</xdr:rowOff>
    </xdr:to>
    <xdr:sp macro="" textlink="">
      <xdr:nvSpPr>
        <xdr:cNvPr id="46" name="AutoShape 42">
          <a:extLst>
            <a:ext uri="{FF2B5EF4-FFF2-40B4-BE49-F238E27FC236}">
              <a16:creationId xmlns:a16="http://schemas.microsoft.com/office/drawing/2014/main" id="{E263D4F4-B3DD-478F-A0A0-DDD0D29D13CA}"/>
            </a:ext>
          </a:extLst>
        </xdr:cNvPr>
        <xdr:cNvSpPr>
          <a:spLocks noChangeArrowheads="1"/>
        </xdr:cNvSpPr>
      </xdr:nvSpPr>
      <xdr:spPr bwMode="auto">
        <a:xfrm>
          <a:off x="4886325" y="25698450"/>
          <a:ext cx="714375" cy="3800475"/>
        </a:xfrm>
        <a:prstGeom prst="downArrow">
          <a:avLst>
            <a:gd name="adj1" fmla="val 50000"/>
            <a:gd name="adj2" fmla="val 114000"/>
          </a:avLst>
        </a:prstGeom>
        <a:solidFill>
          <a:srgbClr xmlns:mc="http://schemas.openxmlformats.org/markup-compatibility/2006" xmlns:a14="http://schemas.microsoft.com/office/drawing/2010/main" val="FFFFFF" mc:Ignorable="a14" a14:legacySpreadsheetColorIndex="9"/>
        </a:solidFill>
        <a:ln w="12700">
          <a:solidFill>
            <a:srgbClr xmlns:mc="http://schemas.openxmlformats.org/markup-compatibility/2006" xmlns:a14="http://schemas.microsoft.com/office/drawing/2010/main" val="FF9900" mc:Ignorable="a14" a14:legacySpreadsheetColorIndex="52"/>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editAs="oneCell">
    <xdr:from>
      <xdr:col>1</xdr:col>
      <xdr:colOff>209550</xdr:colOff>
      <xdr:row>110</xdr:row>
      <xdr:rowOff>152400</xdr:rowOff>
    </xdr:from>
    <xdr:to>
      <xdr:col>9</xdr:col>
      <xdr:colOff>2657475</xdr:colOff>
      <xdr:row>114</xdr:row>
      <xdr:rowOff>47625</xdr:rowOff>
    </xdr:to>
    <xdr:pic>
      <xdr:nvPicPr>
        <xdr:cNvPr id="47" name="Picture 124">
          <a:extLst>
            <a:ext uri="{FF2B5EF4-FFF2-40B4-BE49-F238E27FC236}">
              <a16:creationId xmlns:a16="http://schemas.microsoft.com/office/drawing/2014/main" id="{554F588D-ADC4-46EA-A60D-B302C17A5DA6}"/>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457200" y="22031325"/>
          <a:ext cx="6753225" cy="69532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9</xdr:col>
      <xdr:colOff>2876550</xdr:colOff>
      <xdr:row>105</xdr:row>
      <xdr:rowOff>57150</xdr:rowOff>
    </xdr:from>
    <xdr:to>
      <xdr:col>13</xdr:col>
      <xdr:colOff>381000</xdr:colOff>
      <xdr:row>112</xdr:row>
      <xdr:rowOff>28575</xdr:rowOff>
    </xdr:to>
    <xdr:sp macro="" textlink="">
      <xdr:nvSpPr>
        <xdr:cNvPr id="48" name="AutoShape 80">
          <a:extLst>
            <a:ext uri="{FF2B5EF4-FFF2-40B4-BE49-F238E27FC236}">
              <a16:creationId xmlns:a16="http://schemas.microsoft.com/office/drawing/2014/main" id="{8C0168E8-2079-4F11-B717-4B5EF65AC73B}"/>
            </a:ext>
          </a:extLst>
        </xdr:cNvPr>
        <xdr:cNvSpPr>
          <a:spLocks noChangeArrowheads="1"/>
        </xdr:cNvSpPr>
      </xdr:nvSpPr>
      <xdr:spPr bwMode="auto">
        <a:xfrm>
          <a:off x="7429500" y="20935950"/>
          <a:ext cx="2857500" cy="1371600"/>
        </a:xfrm>
        <a:prstGeom prst="wedgeRectCallout">
          <a:avLst>
            <a:gd name="adj1" fmla="val -49333"/>
            <a:gd name="adj2" fmla="val 68699"/>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8000" mc:Ignorable="a14" a14:legacySpreadsheetColorIndex="1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lnSpc>
              <a:spcPts val="1300"/>
            </a:lnSpc>
            <a:defRPr sz="1000"/>
          </a:pPr>
          <a:r>
            <a:rPr lang="ja-JP" altLang="en-US" sz="1100" b="1" i="0" u="none" strike="noStrike" baseline="0">
              <a:solidFill>
                <a:srgbClr val="008000"/>
              </a:solidFill>
              <a:latin typeface="ＭＳ Ｐゴシック"/>
              <a:ea typeface="ＭＳ Ｐゴシック"/>
            </a:rPr>
            <a:t>　</a:t>
          </a:r>
        </a:p>
        <a:p>
          <a:pPr algn="l" rtl="0">
            <a:lnSpc>
              <a:spcPts val="1300"/>
            </a:lnSpc>
            <a:defRPr sz="1000"/>
          </a:pPr>
          <a:r>
            <a:rPr lang="ja-JP" altLang="en-US" sz="1100" b="1" i="0" u="none" strike="noStrike" baseline="0">
              <a:solidFill>
                <a:srgbClr val="008000"/>
              </a:solidFill>
              <a:latin typeface="ＭＳ Ｐゴシック"/>
              <a:ea typeface="ＭＳ Ｐゴシック"/>
            </a:rPr>
            <a:t> b4：</a:t>
          </a:r>
          <a:r>
            <a:rPr lang="ja-JP" altLang="en-US" sz="1000" b="1" i="0" u="none" strike="noStrike" baseline="0">
              <a:solidFill>
                <a:srgbClr val="008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結合キーによって、</a:t>
          </a:r>
        </a:p>
        <a:p>
          <a:pPr algn="l" rtl="0">
            <a:lnSpc>
              <a:spcPts val="1200"/>
            </a:lnSpc>
            <a:defRPr sz="1000"/>
          </a:pPr>
          <a:r>
            <a:rPr lang="ja-JP" altLang="en-US" sz="1000" b="0" i="0" u="none" strike="noStrike" baseline="0">
              <a:solidFill>
                <a:srgbClr val="000000"/>
              </a:solidFill>
              <a:latin typeface="ＭＳ Ｐゴシック"/>
              <a:ea typeface="ＭＳ Ｐゴシック"/>
            </a:rPr>
            <a:t>　 　　　正しく結合されていることを確認。</a:t>
          </a:r>
        </a:p>
        <a:p>
          <a:pPr algn="l" rtl="0">
            <a:lnSpc>
              <a:spcPts val="1200"/>
            </a:lnSpc>
            <a:defRPr sz="1000"/>
          </a:pPr>
          <a:endParaRPr lang="ja-JP" altLang="en-US" sz="1000" b="0" i="0" u="none" strike="noStrike" baseline="0">
            <a:solidFill>
              <a:srgbClr val="000000"/>
            </a:solidFill>
            <a:latin typeface="ＭＳ Ｐゴシック"/>
            <a:ea typeface="ＭＳ Ｐゴシック"/>
          </a:endParaRPr>
        </a:p>
        <a:p>
          <a:pPr algn="l" rtl="0">
            <a:lnSpc>
              <a:spcPts val="1200"/>
            </a:lnSpc>
            <a:defRPr sz="1000"/>
          </a:pPr>
          <a:r>
            <a:rPr lang="ja-JP" altLang="en-US" sz="1000" b="0" i="0" u="none" strike="noStrike" baseline="0">
              <a:solidFill>
                <a:srgbClr val="000000"/>
              </a:solidFill>
              <a:latin typeface="ＭＳ Ｐゴシック"/>
              <a:ea typeface="ＭＳ Ｐゴシック"/>
            </a:rPr>
            <a:t> 　　　　商品マスタに該当データが存在しない場合は</a:t>
          </a:r>
        </a:p>
        <a:p>
          <a:pPr algn="l" rtl="0">
            <a:lnSpc>
              <a:spcPts val="1200"/>
            </a:lnSpc>
            <a:defRPr sz="1000"/>
          </a:pPr>
          <a:r>
            <a:rPr lang="ja-JP" altLang="en-US" sz="1000" b="0" i="0" u="none" strike="noStrike" baseline="0">
              <a:solidFill>
                <a:srgbClr val="000000"/>
              </a:solidFill>
              <a:latin typeface="ＭＳ Ｐゴシック"/>
              <a:ea typeface="ＭＳ Ｐゴシック"/>
            </a:rPr>
            <a:t> 　　　　出力していないことを確認。</a:t>
          </a:r>
          <a:endParaRPr lang="ja-JP" altLang="en-US" sz="900" b="0" i="0" u="none" strike="noStrike" baseline="0">
            <a:solidFill>
              <a:srgbClr val="000000"/>
            </a:solidFill>
            <a:latin typeface="ＭＳ Ｐゴシック"/>
            <a:ea typeface="ＭＳ Ｐゴシック"/>
          </a:endParaRPr>
        </a:p>
        <a:p>
          <a:pPr algn="l" rtl="0">
            <a:lnSpc>
              <a:spcPts val="1100"/>
            </a:lnSpc>
            <a:defRPr sz="1000"/>
          </a:pPr>
          <a:r>
            <a:rPr lang="ja-JP" altLang="en-US" sz="900" b="0" i="0" u="none" strike="noStrike" baseline="0">
              <a:solidFill>
                <a:srgbClr val="000000"/>
              </a:solidFill>
              <a:latin typeface="ＭＳ Ｐゴシック"/>
              <a:ea typeface="ＭＳ Ｐゴシック"/>
            </a:rPr>
            <a:t>　</a:t>
          </a:r>
        </a:p>
        <a:p>
          <a:pPr algn="l" rtl="0">
            <a:defRPr sz="1000"/>
          </a:pPr>
          <a:r>
            <a:rPr lang="ja-JP" altLang="en-US" sz="900" b="0" i="0" u="none" strike="noStrike" baseline="0">
              <a:solidFill>
                <a:srgbClr val="000000"/>
              </a:solidFill>
              <a:latin typeface="ＭＳ Ｐゴシック"/>
              <a:ea typeface="ＭＳ Ｐゴシック"/>
            </a:rPr>
            <a:t>　　　　　　　　　　</a:t>
          </a:r>
        </a:p>
      </xdr:txBody>
    </xdr:sp>
    <xdr:clientData/>
  </xdr:twoCellAnchor>
  <xdr:twoCellAnchor>
    <xdr:from>
      <xdr:col>2</xdr:col>
      <xdr:colOff>47625</xdr:colOff>
      <xdr:row>176</xdr:row>
      <xdr:rowOff>85725</xdr:rowOff>
    </xdr:from>
    <xdr:to>
      <xdr:col>8</xdr:col>
      <xdr:colOff>209550</xdr:colOff>
      <xdr:row>203</xdr:row>
      <xdr:rowOff>38100</xdr:rowOff>
    </xdr:to>
    <xdr:sp macro="" textlink="">
      <xdr:nvSpPr>
        <xdr:cNvPr id="49" name="Text Box 125">
          <a:extLst>
            <a:ext uri="{FF2B5EF4-FFF2-40B4-BE49-F238E27FC236}">
              <a16:creationId xmlns:a16="http://schemas.microsoft.com/office/drawing/2014/main" id="{641BEF9B-AD0A-41EE-B070-2D668BA9E048}"/>
            </a:ext>
          </a:extLst>
        </xdr:cNvPr>
        <xdr:cNvSpPr txBox="1">
          <a:spLocks noChangeArrowheads="1"/>
        </xdr:cNvSpPr>
      </xdr:nvSpPr>
      <xdr:spPr bwMode="auto">
        <a:xfrm>
          <a:off x="838200" y="35185350"/>
          <a:ext cx="3381375" cy="5353050"/>
        </a:xfrm>
        <a:prstGeom prst="rect">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CC99" mc:Ignorable="a14" a14:legacySpreadsheetColorIndex="4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100"/>
            </a:lnSpc>
            <a:defRPr sz="1000"/>
          </a:pPr>
          <a:r>
            <a:rPr lang="ja-JP" altLang="en-US" sz="900" b="0" i="0" u="none" strike="noStrike" baseline="0">
              <a:solidFill>
                <a:srgbClr val="000000"/>
              </a:solidFill>
              <a:latin typeface="ＭＳ ゴシック"/>
              <a:ea typeface="ＭＳ ゴシック"/>
            </a:rPr>
            <a:t>　　</a:t>
          </a:r>
          <a:r>
            <a:rPr lang="ja-JP" altLang="en-US" sz="900" b="0" i="0" u="none" strike="noStrike" baseline="0">
              <a:solidFill>
                <a:srgbClr val="FF6600"/>
              </a:solidFill>
              <a:latin typeface="ＭＳ ゴシック"/>
              <a:ea typeface="ＭＳ ゴシック"/>
            </a:rPr>
            <a:t>例えば途中に こんな処理があった場合・・・</a:t>
          </a:r>
        </a:p>
        <a:p>
          <a:pPr algn="l" rtl="0">
            <a:lnSpc>
              <a:spcPts val="1100"/>
            </a:lnSpc>
            <a:defRPr sz="1000"/>
          </a:pPr>
          <a:endParaRPr lang="ja-JP" altLang="en-US" sz="900" b="0" i="0" u="none" strike="noStrike" baseline="0">
            <a:solidFill>
              <a:srgbClr val="FF6600"/>
            </a:solidFill>
            <a:latin typeface="ＭＳ ゴシック"/>
            <a:ea typeface="ＭＳ ゴシック"/>
          </a:endParaRPr>
        </a:p>
        <a:p>
          <a:pPr algn="l" rtl="0">
            <a:defRPr sz="1000"/>
          </a:pPr>
          <a:r>
            <a:rPr lang="ja-JP" altLang="en-US" sz="1100" b="0" i="0" u="none" strike="noStrike" baseline="0">
              <a:solidFill>
                <a:srgbClr val="FF00FF"/>
              </a:solidFill>
              <a:latin typeface="ＭＳ ゴシック"/>
              <a:ea typeface="ＭＳ ゴシック"/>
            </a:rPr>
            <a:t>foreach</a:t>
          </a:r>
        </a:p>
        <a:p>
          <a:pPr algn="l" rtl="0">
            <a:defRPr sz="1000"/>
          </a:pPr>
          <a:endParaRPr lang="ja-JP" altLang="en-US" sz="1100" b="0" i="0" u="none" strike="noStrike" baseline="0">
            <a:solidFill>
              <a:srgbClr val="FF00FF"/>
            </a:solidFill>
            <a:latin typeface="ＭＳ ゴシック"/>
            <a:ea typeface="ＭＳ ゴシック"/>
          </a:endParaRPr>
        </a:p>
        <a:p>
          <a:pPr algn="l" rtl="0">
            <a:defRPr sz="1000"/>
          </a:pPr>
          <a:endParaRPr lang="ja-JP" altLang="en-US" sz="1100" b="0" i="0" u="none" strike="noStrike" baseline="0">
            <a:solidFill>
              <a:srgbClr val="FF00FF"/>
            </a:solidFill>
            <a:latin typeface="ＭＳ ゴシック"/>
            <a:ea typeface="ＭＳ ゴシック"/>
          </a:endParaRPr>
        </a:p>
        <a:p>
          <a:pPr algn="l" rtl="0">
            <a:defRPr sz="1000"/>
          </a:pPr>
          <a:endParaRPr lang="ja-JP" altLang="en-US" sz="1100" b="0" i="0" u="none" strike="noStrike" baseline="0">
            <a:solidFill>
              <a:srgbClr val="000000"/>
            </a:solidFill>
            <a:latin typeface="ＭＳ ゴシック"/>
            <a:ea typeface="ＭＳ ゴシック"/>
          </a:endParaRPr>
        </a:p>
        <a:p>
          <a:pPr algn="l" rtl="0">
            <a:defRPr sz="1000"/>
          </a:pPr>
          <a:r>
            <a:rPr lang="ja-JP" altLang="en-US" sz="1100" b="0" i="0" u="none" strike="noStrike" baseline="0">
              <a:solidFill>
                <a:srgbClr val="000000"/>
              </a:solidFill>
              <a:latin typeface="ＭＳ ゴシック"/>
              <a:ea typeface="ＭＳ ゴシック"/>
            </a:rPr>
            <a:t>　select  </a:t>
          </a:r>
          <a:r>
            <a:rPr lang="ja-JP" altLang="en-US" sz="900" b="0" i="0" u="none" strike="noStrike" baseline="0">
              <a:solidFill>
                <a:srgbClr val="000000"/>
              </a:solidFill>
              <a:latin typeface="ＭＳ ゴシック"/>
              <a:ea typeface="ＭＳ ゴシック"/>
            </a:rPr>
            <a:t>倉庫番号，商品コード，在庫台数</a:t>
          </a:r>
          <a:endParaRPr lang="ja-JP" altLang="en-US" sz="1100" b="0" i="0" u="none" strike="noStrike" baseline="0">
            <a:solidFill>
              <a:srgbClr val="000000"/>
            </a:solidFill>
            <a:latin typeface="ＭＳ ゴシック"/>
            <a:ea typeface="ＭＳ ゴシック"/>
          </a:endParaRPr>
        </a:p>
        <a:p>
          <a:pPr algn="l" rtl="0">
            <a:defRPr sz="1000"/>
          </a:pPr>
          <a:r>
            <a:rPr lang="ja-JP" altLang="en-US" sz="1100" b="0" i="0" u="none" strike="noStrike" baseline="0">
              <a:solidFill>
                <a:srgbClr val="000000"/>
              </a:solidFill>
              <a:latin typeface="ＭＳ ゴシック"/>
              <a:ea typeface="ＭＳ ゴシック"/>
            </a:rPr>
            <a:t>　　from  </a:t>
          </a:r>
          <a:r>
            <a:rPr lang="ja-JP" altLang="en-US" sz="900" b="0" i="0" u="none" strike="noStrike" baseline="0">
              <a:solidFill>
                <a:srgbClr val="000000"/>
              </a:solidFill>
              <a:latin typeface="ＭＳ ゴシック"/>
              <a:ea typeface="ＭＳ ゴシック"/>
            </a:rPr>
            <a:t>倉庫1在庫マスタ</a:t>
          </a:r>
          <a:endParaRPr lang="ja-JP" altLang="en-US" sz="900" b="0" i="0" u="none" strike="noStrike" baseline="0">
            <a:solidFill>
              <a:srgbClr val="339966"/>
            </a:solidFill>
            <a:latin typeface="ＭＳ ゴシック"/>
            <a:ea typeface="ＭＳ ゴシック"/>
          </a:endParaRPr>
        </a:p>
        <a:p>
          <a:pPr algn="l" rtl="0">
            <a:defRPr sz="1000"/>
          </a:pPr>
          <a:r>
            <a:rPr lang="ja-JP" altLang="en-US" sz="900" b="0" i="0" u="none" strike="noStrike" baseline="0">
              <a:solidFill>
                <a:srgbClr val="339966"/>
              </a:solidFill>
              <a:latin typeface="ＭＳ ゴシック"/>
              <a:ea typeface="ＭＳ ゴシック"/>
            </a:rPr>
            <a:t> 　 </a:t>
          </a:r>
          <a:r>
            <a:rPr lang="ja-JP" altLang="en-US" sz="1100" b="0" i="0" u="none" strike="noStrike" baseline="0">
              <a:solidFill>
                <a:srgbClr val="000000"/>
              </a:solidFill>
              <a:latin typeface="ＭＳ ゴシック"/>
              <a:ea typeface="ＭＳ ゴシック"/>
            </a:rPr>
            <a:t>where  </a:t>
          </a:r>
          <a:r>
            <a:rPr lang="ja-JP" altLang="en-US" sz="900" b="0" i="0" u="none" strike="noStrike" baseline="0">
              <a:solidFill>
                <a:srgbClr val="000000"/>
              </a:solidFill>
              <a:latin typeface="ＭＳ ゴシック"/>
              <a:ea typeface="ＭＳ ゴシック"/>
            </a:rPr>
            <a:t>商品コード　＝  l_商品コード</a:t>
          </a: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lnSpc>
              <a:spcPts val="1100"/>
            </a:lnSpc>
            <a:defRPr sz="1000"/>
          </a:pPr>
          <a:r>
            <a:rPr lang="ja-JP" altLang="en-US" sz="900" b="1" i="0" u="none" strike="noStrike" baseline="0">
              <a:solidFill>
                <a:srgbClr val="FF0000"/>
              </a:solidFill>
              <a:latin typeface="ＭＳ ゴシック"/>
              <a:ea typeface="ＭＳ ゴシック"/>
            </a:rPr>
            <a:t>　　union</a:t>
          </a:r>
          <a:endParaRPr lang="ja-JP" altLang="en-US" sz="900" b="0" i="0" u="none" strike="noStrike" baseline="0">
            <a:solidFill>
              <a:srgbClr val="000000"/>
            </a:solidFill>
            <a:latin typeface="ＭＳ ゴシック"/>
            <a:ea typeface="ＭＳ ゴシック"/>
          </a:endParaRP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defRPr sz="1000"/>
          </a:pPr>
          <a:r>
            <a:rPr lang="ja-JP" altLang="en-US" sz="1100" b="0" i="0" u="none" strike="noStrike" baseline="0">
              <a:solidFill>
                <a:srgbClr val="000000"/>
              </a:solidFill>
              <a:latin typeface="ＭＳ ゴシック"/>
              <a:ea typeface="ＭＳ ゴシック"/>
            </a:rPr>
            <a:t>　select  </a:t>
          </a:r>
          <a:r>
            <a:rPr lang="ja-JP" altLang="en-US" sz="900" b="0" i="0" u="none" strike="noStrike" baseline="0">
              <a:solidFill>
                <a:srgbClr val="000000"/>
              </a:solidFill>
              <a:latin typeface="ＭＳ ゴシック"/>
              <a:ea typeface="ＭＳ ゴシック"/>
            </a:rPr>
            <a:t>倉庫番号，商品コード，在庫台数</a:t>
          </a:r>
        </a:p>
        <a:p>
          <a:pPr algn="l" rtl="0">
            <a:defRPr sz="1000"/>
          </a:pPr>
          <a:r>
            <a:rPr lang="ja-JP" altLang="en-US" sz="1100" b="0" i="0" u="none" strike="noStrike" baseline="0">
              <a:solidFill>
                <a:srgbClr val="000000"/>
              </a:solidFill>
              <a:latin typeface="ＭＳ ゴシック"/>
              <a:ea typeface="ＭＳ ゴシック"/>
            </a:rPr>
            <a:t>　　into  </a:t>
          </a:r>
          <a:r>
            <a:rPr lang="ja-JP" altLang="en-US" sz="900" b="0" i="0" u="none" strike="noStrike" baseline="0">
              <a:solidFill>
                <a:srgbClr val="000000"/>
              </a:solidFill>
              <a:latin typeface="ＭＳ ゴシック"/>
              <a:ea typeface="ＭＳ ゴシック"/>
            </a:rPr>
            <a:t> l_倉庫番号, l_商品コード, l_在庫台数</a:t>
          </a:r>
        </a:p>
        <a:p>
          <a:pPr algn="l" rtl="0">
            <a:defRPr sz="1000"/>
          </a:pPr>
          <a:r>
            <a:rPr lang="ja-JP" altLang="en-US" sz="1100" b="0" i="0" u="none" strike="noStrike" baseline="0">
              <a:solidFill>
                <a:srgbClr val="000000"/>
              </a:solidFill>
              <a:latin typeface="ＭＳ ゴシック"/>
              <a:ea typeface="ＭＳ ゴシック"/>
            </a:rPr>
            <a:t>　　from   </a:t>
          </a:r>
          <a:r>
            <a:rPr lang="ja-JP" altLang="en-US" sz="900" b="0" i="0" u="none" strike="noStrike" baseline="0">
              <a:solidFill>
                <a:srgbClr val="000000"/>
              </a:solidFill>
              <a:latin typeface="ＭＳ ゴシック"/>
              <a:ea typeface="ＭＳ ゴシック"/>
            </a:rPr>
            <a:t>倉庫2在庫マスタ</a:t>
          </a:r>
        </a:p>
        <a:p>
          <a:pPr algn="l" rtl="0">
            <a:lnSpc>
              <a:spcPts val="1300"/>
            </a:lnSpc>
            <a:defRPr sz="1000"/>
          </a:pPr>
          <a:r>
            <a:rPr lang="ja-JP" altLang="en-US" sz="900" b="0" i="0" u="none" strike="noStrike" baseline="0">
              <a:solidFill>
                <a:srgbClr val="000000"/>
              </a:solidFill>
              <a:latin typeface="ＭＳ ゴシック"/>
              <a:ea typeface="ＭＳ ゴシック"/>
            </a:rPr>
            <a:t> </a:t>
          </a:r>
          <a:r>
            <a:rPr lang="ja-JP" altLang="en-US" sz="1100" b="0" i="0" u="none" strike="noStrike" baseline="0">
              <a:solidFill>
                <a:srgbClr val="000000"/>
              </a:solidFill>
              <a:latin typeface="ＭＳ ゴシック"/>
              <a:ea typeface="ＭＳ ゴシック"/>
            </a:rPr>
            <a:t>　where</a:t>
          </a:r>
          <a:r>
            <a:rPr lang="ja-JP" altLang="en-US" sz="900" b="0" i="0" u="none" strike="noStrike" baseline="0">
              <a:solidFill>
                <a:srgbClr val="000000"/>
              </a:solidFill>
              <a:latin typeface="ＭＳ ゴシック"/>
              <a:ea typeface="ＭＳ ゴシック"/>
            </a:rPr>
            <a:t>    not exists(</a:t>
          </a:r>
        </a:p>
        <a:p>
          <a:pPr algn="l" rtl="0">
            <a:lnSpc>
              <a:spcPts val="1100"/>
            </a:lnSpc>
            <a:defRPr sz="1000"/>
          </a:pPr>
          <a:r>
            <a:rPr lang="ja-JP" altLang="en-US" sz="900" b="0" i="0" u="none" strike="noStrike" baseline="0">
              <a:solidFill>
                <a:srgbClr val="000000"/>
              </a:solidFill>
              <a:latin typeface="ＭＳ ゴシック"/>
              <a:ea typeface="ＭＳ ゴシック"/>
            </a:rPr>
            <a:t>                  Select  1</a:t>
          </a:r>
        </a:p>
        <a:p>
          <a:pPr algn="l" rtl="0">
            <a:lnSpc>
              <a:spcPts val="1100"/>
            </a:lnSpc>
            <a:defRPr sz="1000"/>
          </a:pPr>
          <a:r>
            <a:rPr lang="ja-JP" altLang="en-US" sz="900" b="0" i="0" u="none" strike="noStrike" baseline="0">
              <a:solidFill>
                <a:srgbClr val="000000"/>
              </a:solidFill>
              <a:latin typeface="ＭＳ ゴシック"/>
              <a:ea typeface="ＭＳ ゴシック"/>
            </a:rPr>
            <a:t>                    from  倉庫1在庫マスタ</a:t>
          </a:r>
        </a:p>
        <a:p>
          <a:pPr algn="l" rtl="0">
            <a:lnSpc>
              <a:spcPts val="1100"/>
            </a:lnSpc>
            <a:defRPr sz="1000"/>
          </a:pPr>
          <a:r>
            <a:rPr lang="ja-JP" altLang="en-US" sz="900" b="0" i="0" u="none" strike="noStrike" baseline="0">
              <a:solidFill>
                <a:srgbClr val="000000"/>
              </a:solidFill>
              <a:latin typeface="ＭＳ ゴシック"/>
              <a:ea typeface="ＭＳ ゴシック"/>
            </a:rPr>
            <a:t>　　　　　　　     where  商品コード　＝  l_商品コード)</a:t>
          </a:r>
        </a:p>
        <a:p>
          <a:pPr algn="l" rtl="0">
            <a:lnSpc>
              <a:spcPts val="1100"/>
            </a:lnSpc>
            <a:defRPr sz="1000"/>
          </a:pPr>
          <a:r>
            <a:rPr lang="ja-JP" altLang="en-US" sz="900" b="0" i="0" u="none" strike="noStrike" baseline="0">
              <a:solidFill>
                <a:srgbClr val="000000"/>
              </a:solidFill>
              <a:latin typeface="ＭＳ ゴシック"/>
              <a:ea typeface="ＭＳ ゴシック"/>
            </a:rPr>
            <a:t>        and  商品コード　＝  l_商品コード</a:t>
          </a:r>
        </a:p>
        <a:p>
          <a:pPr algn="l" rtl="0">
            <a:defRPr sz="1000"/>
          </a:pPr>
          <a:endParaRPr lang="ja-JP" altLang="en-US" sz="1100" b="0" i="0" u="none" strike="noStrike" baseline="0">
            <a:solidFill>
              <a:srgbClr val="000000"/>
            </a:solidFill>
            <a:latin typeface="ＭＳ ゴシック"/>
            <a:ea typeface="ＭＳ ゴシック"/>
          </a:endParaRPr>
        </a:p>
        <a:p>
          <a:pPr algn="l" rtl="0">
            <a:lnSpc>
              <a:spcPts val="1300"/>
            </a:lnSpc>
            <a:defRPr sz="1000"/>
          </a:pPr>
          <a:r>
            <a:rPr lang="ja-JP" altLang="en-US" sz="1100" b="0" i="0" u="none" strike="noStrike" baseline="0">
              <a:solidFill>
                <a:srgbClr val="000000"/>
              </a:solidFill>
              <a:latin typeface="ＭＳ ゴシック"/>
              <a:ea typeface="ＭＳ ゴシック"/>
            </a:rPr>
            <a:t>  return  </a:t>
          </a:r>
          <a:r>
            <a:rPr lang="ja-JP" altLang="en-US" sz="900" b="0" i="0" u="none" strike="noStrike" baseline="0">
              <a:solidFill>
                <a:srgbClr val="000000"/>
              </a:solidFill>
              <a:latin typeface="ＭＳ ゴシック"/>
              <a:ea typeface="ＭＳ ゴシック"/>
            </a:rPr>
            <a:t>0, 0, 0, " ",</a:t>
          </a:r>
        </a:p>
        <a:p>
          <a:pPr algn="l" rtl="0">
            <a:lnSpc>
              <a:spcPts val="1100"/>
            </a:lnSpc>
            <a:defRPr sz="1000"/>
          </a:pPr>
          <a:r>
            <a:rPr lang="ja-JP" altLang="en-US" sz="900" b="0" i="0" u="none" strike="noStrike" baseline="0">
              <a:solidFill>
                <a:srgbClr val="000000"/>
              </a:solidFill>
              <a:latin typeface="ＭＳ ゴシック"/>
              <a:ea typeface="ＭＳ ゴシック"/>
            </a:rPr>
            <a:t>             l_倉庫番号,</a:t>
          </a:r>
        </a:p>
        <a:p>
          <a:pPr algn="l" rtl="0">
            <a:lnSpc>
              <a:spcPts val="1100"/>
            </a:lnSpc>
            <a:defRPr sz="1000"/>
          </a:pPr>
          <a:r>
            <a:rPr lang="ja-JP" altLang="en-US" sz="900" b="0" i="0" u="none" strike="noStrike" baseline="0">
              <a:solidFill>
                <a:srgbClr val="000000"/>
              </a:solidFill>
              <a:latin typeface="ＭＳ ゴシック"/>
              <a:ea typeface="ＭＳ ゴシック"/>
            </a:rPr>
            <a:t>　　　　　　 l_商品コード,</a:t>
          </a:r>
        </a:p>
        <a:p>
          <a:pPr algn="l" rtl="0">
            <a:lnSpc>
              <a:spcPts val="1100"/>
            </a:lnSpc>
            <a:defRPr sz="1000"/>
          </a:pPr>
          <a:r>
            <a:rPr lang="ja-JP" altLang="en-US" sz="900" b="0" i="0" u="none" strike="noStrike" baseline="0">
              <a:solidFill>
                <a:srgbClr val="000000"/>
              </a:solidFill>
              <a:latin typeface="ＭＳ ゴシック"/>
              <a:ea typeface="ＭＳ ゴシック"/>
            </a:rPr>
            <a:t>             l_在庫台数</a:t>
          </a:r>
        </a:p>
        <a:p>
          <a:pPr algn="l" rtl="0">
            <a:lnSpc>
              <a:spcPts val="1100"/>
            </a:lnSpc>
            <a:defRPr sz="1000"/>
          </a:pPr>
          <a:r>
            <a:rPr lang="ja-JP" altLang="en-US" sz="900" b="0" i="0" u="none" strike="noStrike" baseline="0">
              <a:solidFill>
                <a:srgbClr val="000000"/>
              </a:solidFill>
              <a:latin typeface="ＭＳ ゴシック"/>
              <a:ea typeface="ＭＳ ゴシック"/>
            </a:rPr>
            <a:t>             with resume</a:t>
          </a:r>
        </a:p>
        <a:p>
          <a:pPr algn="l" rtl="0">
            <a:lnSpc>
              <a:spcPts val="1100"/>
            </a:lnSpc>
            <a:defRPr sz="1000"/>
          </a:pPr>
          <a:r>
            <a:rPr lang="ja-JP" altLang="en-US" sz="900" b="0" i="0" u="none" strike="noStrike" baseline="0">
              <a:solidFill>
                <a:srgbClr val="000000"/>
              </a:solidFill>
              <a:latin typeface="ＭＳ ゴシック"/>
              <a:ea typeface="ＭＳ ゴシック"/>
            </a:rPr>
            <a:t>  ;</a:t>
          </a: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lnSpc>
              <a:spcPts val="1300"/>
            </a:lnSpc>
            <a:defRPr sz="1000"/>
          </a:pPr>
          <a:r>
            <a:rPr lang="ja-JP" altLang="en-US" sz="1100" b="0" i="0" u="none" strike="noStrike" baseline="0">
              <a:solidFill>
                <a:srgbClr val="FF00FF"/>
              </a:solidFill>
              <a:latin typeface="ＭＳ ゴシック"/>
              <a:ea typeface="ＭＳ ゴシック"/>
            </a:rPr>
            <a:t>end foreach</a:t>
          </a:r>
          <a:endParaRPr lang="ja-JP" altLang="en-US" sz="900" b="0" i="0" u="none" strike="noStrike" baseline="0">
            <a:solidFill>
              <a:srgbClr val="000000"/>
            </a:solidFill>
            <a:latin typeface="ＭＳ ゴシック"/>
            <a:ea typeface="ＭＳ ゴシック"/>
          </a:endParaRPr>
        </a:p>
        <a:p>
          <a:pPr algn="l" rtl="0">
            <a:defRPr sz="1000"/>
          </a:pPr>
          <a:endParaRPr lang="ja-JP" altLang="en-US" sz="900" b="0" i="0" u="none" strike="noStrike" baseline="0">
            <a:solidFill>
              <a:srgbClr val="000000"/>
            </a:solidFill>
            <a:latin typeface="ＭＳ ゴシック"/>
            <a:ea typeface="ＭＳ ゴシック"/>
          </a:endParaRPr>
        </a:p>
      </xdr:txBody>
    </xdr:sp>
    <xdr:clientData/>
  </xdr:twoCellAnchor>
  <xdr:twoCellAnchor>
    <xdr:from>
      <xdr:col>8</xdr:col>
      <xdr:colOff>190500</xdr:colOff>
      <xdr:row>175</xdr:row>
      <xdr:rowOff>104775</xdr:rowOff>
    </xdr:from>
    <xdr:to>
      <xdr:col>9</xdr:col>
      <xdr:colOff>180975</xdr:colOff>
      <xdr:row>203</xdr:row>
      <xdr:rowOff>19050</xdr:rowOff>
    </xdr:to>
    <xdr:sp macro="" textlink="">
      <xdr:nvSpPr>
        <xdr:cNvPr id="50" name="AutoShape 46">
          <a:extLst>
            <a:ext uri="{FF2B5EF4-FFF2-40B4-BE49-F238E27FC236}">
              <a16:creationId xmlns:a16="http://schemas.microsoft.com/office/drawing/2014/main" id="{82DF471C-8DF1-485B-9B82-85E01942A66D}"/>
            </a:ext>
          </a:extLst>
        </xdr:cNvPr>
        <xdr:cNvSpPr>
          <a:spLocks noChangeArrowheads="1"/>
        </xdr:cNvSpPr>
      </xdr:nvSpPr>
      <xdr:spPr bwMode="auto">
        <a:xfrm>
          <a:off x="4200525" y="35004375"/>
          <a:ext cx="533400" cy="5514975"/>
        </a:xfrm>
        <a:prstGeom prst="downArrow">
          <a:avLst>
            <a:gd name="adj1" fmla="val 50000"/>
            <a:gd name="adj2" fmla="val 220982"/>
          </a:avLst>
        </a:prstGeom>
        <a:solidFill>
          <a:srgbClr xmlns:mc="http://schemas.openxmlformats.org/markup-compatibility/2006" xmlns:a14="http://schemas.microsoft.com/office/drawing/2010/main" val="FFFFFF" mc:Ignorable="a14" a14:legacySpreadsheetColorIndex="9"/>
        </a:solidFill>
        <a:ln w="12700">
          <a:solidFill>
            <a:srgbClr xmlns:mc="http://schemas.openxmlformats.org/markup-compatibility/2006" xmlns:a14="http://schemas.microsoft.com/office/drawing/2010/main" val="FF9900" mc:Ignorable="a14" a14:legacySpreadsheetColorIndex="52"/>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0</xdr:colOff>
      <xdr:row>176</xdr:row>
      <xdr:rowOff>104775</xdr:rowOff>
    </xdr:from>
    <xdr:to>
      <xdr:col>9</xdr:col>
      <xdr:colOff>2419350</xdr:colOff>
      <xdr:row>181</xdr:row>
      <xdr:rowOff>57150</xdr:rowOff>
    </xdr:to>
    <xdr:sp macro="" textlink="">
      <xdr:nvSpPr>
        <xdr:cNvPr id="51" name="AutoShape 138">
          <a:extLst>
            <a:ext uri="{FF2B5EF4-FFF2-40B4-BE49-F238E27FC236}">
              <a16:creationId xmlns:a16="http://schemas.microsoft.com/office/drawing/2014/main" id="{CD64D5B0-1C56-436D-B82B-2D93C9FDE56E}"/>
            </a:ext>
          </a:extLst>
        </xdr:cNvPr>
        <xdr:cNvSpPr>
          <a:spLocks noChangeArrowheads="1"/>
        </xdr:cNvSpPr>
      </xdr:nvSpPr>
      <xdr:spPr bwMode="auto">
        <a:xfrm>
          <a:off x="4552950" y="35204400"/>
          <a:ext cx="2419350" cy="952500"/>
        </a:xfrm>
        <a:prstGeom prst="wedgeRectCallout">
          <a:avLst>
            <a:gd name="adj1" fmla="val -66144"/>
            <a:gd name="adj2" fmla="val 39657"/>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8000" mc:Ignorable="a14" a14:legacySpreadsheetColorIndex="1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100"/>
            </a:lnSpc>
            <a:defRPr sz="1000"/>
          </a:pPr>
          <a:r>
            <a:rPr lang="ja-JP" altLang="en-US" sz="900" b="0" i="0" u="none" strike="noStrike" baseline="0">
              <a:solidFill>
                <a:srgbClr val="000000"/>
              </a:solidFill>
              <a:latin typeface="ＭＳ Ｐゴシック"/>
              <a:ea typeface="ＭＳ Ｐゴシック"/>
            </a:rPr>
            <a:t>処理内でl_商品コードは</a:t>
          </a:r>
        </a:p>
        <a:p>
          <a:pPr algn="l" rtl="0">
            <a:lnSpc>
              <a:spcPts val="1100"/>
            </a:lnSpc>
            <a:defRPr sz="1000"/>
          </a:pPr>
          <a:r>
            <a:rPr lang="ja-JP" altLang="en-US" sz="900" b="0" i="0" u="none" strike="noStrike" baseline="0">
              <a:solidFill>
                <a:srgbClr val="000000"/>
              </a:solidFill>
              <a:latin typeface="ＭＳ Ｐゴシック"/>
              <a:ea typeface="ＭＳ Ｐゴシック"/>
            </a:rPr>
            <a:t>　　　foreachループ1回目　→　Y_BIKE_001</a:t>
          </a:r>
        </a:p>
        <a:p>
          <a:pPr algn="l" rtl="0">
            <a:lnSpc>
              <a:spcPts val="1100"/>
            </a:lnSpc>
            <a:defRPr sz="1000"/>
          </a:pPr>
          <a:r>
            <a:rPr lang="ja-JP" altLang="en-US" sz="900" b="0" i="0" u="none" strike="noStrike" baseline="0">
              <a:solidFill>
                <a:srgbClr val="000000"/>
              </a:solidFill>
              <a:latin typeface="ＭＳ Ｐゴシック"/>
              <a:ea typeface="ＭＳ Ｐゴシック"/>
            </a:rPr>
            <a:t>　　　foreachループ2回目　→　Y_BIKE_004</a:t>
          </a:r>
        </a:p>
        <a:p>
          <a:pPr algn="l" rtl="0">
            <a:lnSpc>
              <a:spcPts val="1100"/>
            </a:lnSpc>
            <a:defRPr sz="1000"/>
          </a:pPr>
          <a:r>
            <a:rPr lang="ja-JP" altLang="en-US" sz="900" b="0" i="0" u="none" strike="noStrike" baseline="0">
              <a:solidFill>
                <a:srgbClr val="000000"/>
              </a:solidFill>
              <a:latin typeface="ＭＳ Ｐゴシック"/>
              <a:ea typeface="ＭＳ Ｐゴシック"/>
            </a:rPr>
            <a:t>　　　foreachループ3回目　→　Y_BIKE_005</a:t>
          </a:r>
        </a:p>
        <a:p>
          <a:pPr algn="l" rtl="0">
            <a:lnSpc>
              <a:spcPts val="1100"/>
            </a:lnSpc>
            <a:defRPr sz="1000"/>
          </a:pPr>
          <a:r>
            <a:rPr lang="ja-JP" altLang="en-US" sz="900" b="0" i="0" u="none" strike="noStrike" baseline="0">
              <a:solidFill>
                <a:srgbClr val="000000"/>
              </a:solidFill>
              <a:latin typeface="ＭＳ Ｐゴシック"/>
              <a:ea typeface="ＭＳ Ｐゴシック"/>
            </a:rPr>
            <a:t>と変化するものとする</a:t>
          </a:r>
        </a:p>
      </xdr:txBody>
    </xdr:sp>
    <xdr:clientData/>
  </xdr:twoCellAnchor>
  <xdr:twoCellAnchor>
    <xdr:from>
      <xdr:col>2</xdr:col>
      <xdr:colOff>152400</xdr:colOff>
      <xdr:row>179</xdr:row>
      <xdr:rowOff>123825</xdr:rowOff>
    </xdr:from>
    <xdr:to>
      <xdr:col>8</xdr:col>
      <xdr:colOff>123825</xdr:colOff>
      <xdr:row>181</xdr:row>
      <xdr:rowOff>114300</xdr:rowOff>
    </xdr:to>
    <xdr:sp macro="" textlink="">
      <xdr:nvSpPr>
        <xdr:cNvPr id="52" name="Rectangle 139">
          <a:extLst>
            <a:ext uri="{FF2B5EF4-FFF2-40B4-BE49-F238E27FC236}">
              <a16:creationId xmlns:a16="http://schemas.microsoft.com/office/drawing/2014/main" id="{D8539FDC-DB93-4318-9097-76124994CE6C}"/>
            </a:ext>
          </a:extLst>
        </xdr:cNvPr>
        <xdr:cNvSpPr>
          <a:spLocks noChangeArrowheads="1"/>
        </xdr:cNvSpPr>
      </xdr:nvSpPr>
      <xdr:spPr bwMode="auto">
        <a:xfrm>
          <a:off x="942975" y="35823525"/>
          <a:ext cx="3190875" cy="390525"/>
        </a:xfrm>
        <a:prstGeom prst="rect">
          <a:avLst/>
        </a:prstGeom>
        <a:solidFill>
          <a:srgbClr xmlns:mc="http://schemas.openxmlformats.org/markup-compatibility/2006" xmlns:a14="http://schemas.microsoft.com/office/drawing/2010/main" val="FFFFFF" mc:Ignorable="a14" a14:legacySpreadsheetColorIndex="65"/>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22860" rIns="36576" bIns="0" anchor="t" upright="1"/>
        <a:lstStyle/>
        <a:p>
          <a:pPr algn="ctr" rtl="0">
            <a:defRPr sz="1000"/>
          </a:pPr>
          <a:r>
            <a:rPr lang="ja-JP" altLang="en-US" sz="1800" b="0" i="0" u="none" strike="noStrike" baseline="0">
              <a:solidFill>
                <a:srgbClr val="FF0000"/>
              </a:solidFill>
              <a:latin typeface="ＭＳ Ｐゴシック"/>
              <a:ea typeface="ＭＳ Ｐゴシック"/>
            </a:rPr>
            <a:t>処理</a:t>
          </a:r>
        </a:p>
      </xdr:txBody>
    </xdr:sp>
    <xdr:clientData/>
  </xdr:twoCellAnchor>
  <xdr:twoCellAnchor editAs="oneCell">
    <xdr:from>
      <xdr:col>1</xdr:col>
      <xdr:colOff>276225</xdr:colOff>
      <xdr:row>205</xdr:row>
      <xdr:rowOff>85725</xdr:rowOff>
    </xdr:from>
    <xdr:to>
      <xdr:col>9</xdr:col>
      <xdr:colOff>2028825</xdr:colOff>
      <xdr:row>209</xdr:row>
      <xdr:rowOff>152400</xdr:rowOff>
    </xdr:to>
    <xdr:pic>
      <xdr:nvPicPr>
        <xdr:cNvPr id="53" name="Picture 141">
          <a:extLst>
            <a:ext uri="{FF2B5EF4-FFF2-40B4-BE49-F238E27FC236}">
              <a16:creationId xmlns:a16="http://schemas.microsoft.com/office/drawing/2014/main" id="{F3B06A2D-F5A8-456F-B7A2-DD57FA36E0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523875" y="40986075"/>
          <a:ext cx="6057900"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7</xdr:col>
      <xdr:colOff>533400</xdr:colOff>
      <xdr:row>211</xdr:row>
      <xdr:rowOff>152400</xdr:rowOff>
    </xdr:from>
    <xdr:to>
      <xdr:col>9</xdr:col>
      <xdr:colOff>2447925</xdr:colOff>
      <xdr:row>213</xdr:row>
      <xdr:rowOff>47625</xdr:rowOff>
    </xdr:to>
    <xdr:sp macro="" textlink="">
      <xdr:nvSpPr>
        <xdr:cNvPr id="54" name="AutoShape 56">
          <a:extLst>
            <a:ext uri="{FF2B5EF4-FFF2-40B4-BE49-F238E27FC236}">
              <a16:creationId xmlns:a16="http://schemas.microsoft.com/office/drawing/2014/main" id="{D45FACEF-26AF-4943-812F-61E78D7B9AA0}"/>
            </a:ext>
          </a:extLst>
        </xdr:cNvPr>
        <xdr:cNvSpPr>
          <a:spLocks noChangeArrowheads="1"/>
        </xdr:cNvSpPr>
      </xdr:nvSpPr>
      <xdr:spPr bwMode="auto">
        <a:xfrm>
          <a:off x="3933825" y="42252900"/>
          <a:ext cx="3067050" cy="295275"/>
        </a:xfrm>
        <a:prstGeom prst="wedgeRectCallout">
          <a:avLst>
            <a:gd name="adj1" fmla="val -13977"/>
            <a:gd name="adj2" fmla="val -154000"/>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8000" mc:Ignorable="a14" a14:legacySpreadsheetColorIndex="1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36576" bIns="0" anchor="t" upright="1"/>
        <a:lstStyle/>
        <a:p>
          <a:pPr algn="ctr" rtl="0">
            <a:defRPr sz="1000"/>
          </a:pPr>
          <a:r>
            <a:rPr lang="ja-JP" altLang="en-US" sz="1100" b="1" i="0" u="none" strike="noStrike" baseline="0">
              <a:solidFill>
                <a:srgbClr val="008000"/>
              </a:solidFill>
              <a:latin typeface="ＭＳ Ｐゴシック"/>
              <a:ea typeface="ＭＳ Ｐゴシック"/>
            </a:rPr>
            <a:t> b6：</a:t>
          </a:r>
          <a:r>
            <a:rPr lang="ja-JP" altLang="en-US" sz="1000" b="1" i="0" u="none" strike="noStrike" baseline="0">
              <a:solidFill>
                <a:srgbClr val="008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結合が正しく行われていることを確認。</a:t>
          </a:r>
        </a:p>
      </xdr:txBody>
    </xdr:sp>
    <xdr:clientData/>
  </xdr:twoCellAnchor>
  <xdr:twoCellAnchor editAs="oneCell">
    <xdr:from>
      <xdr:col>1</xdr:col>
      <xdr:colOff>276225</xdr:colOff>
      <xdr:row>239</xdr:row>
      <xdr:rowOff>0</xdr:rowOff>
    </xdr:from>
    <xdr:to>
      <xdr:col>9</xdr:col>
      <xdr:colOff>1704975</xdr:colOff>
      <xdr:row>241</xdr:row>
      <xdr:rowOff>152400</xdr:rowOff>
    </xdr:to>
    <xdr:pic>
      <xdr:nvPicPr>
        <xdr:cNvPr id="55" name="Picture 170">
          <a:extLst>
            <a:ext uri="{FF2B5EF4-FFF2-40B4-BE49-F238E27FC236}">
              <a16:creationId xmlns:a16="http://schemas.microsoft.com/office/drawing/2014/main" id="{3538CCE8-C451-4230-837B-A96E12A90649}"/>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523875" y="47615475"/>
          <a:ext cx="5734050" cy="55245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266700</xdr:colOff>
      <xdr:row>248</xdr:row>
      <xdr:rowOff>38100</xdr:rowOff>
    </xdr:from>
    <xdr:to>
      <xdr:col>9</xdr:col>
      <xdr:colOff>1695450</xdr:colOff>
      <xdr:row>250</xdr:row>
      <xdr:rowOff>161925</xdr:rowOff>
    </xdr:to>
    <xdr:pic>
      <xdr:nvPicPr>
        <xdr:cNvPr id="56" name="Picture 171">
          <a:extLst>
            <a:ext uri="{FF2B5EF4-FFF2-40B4-BE49-F238E27FC236}">
              <a16:creationId xmlns:a16="http://schemas.microsoft.com/office/drawing/2014/main" id="{B196EF7E-C950-456B-B820-3FBC61F4D56E}"/>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14350" y="4942522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314325</xdr:colOff>
      <xdr:row>220</xdr:row>
      <xdr:rowOff>142875</xdr:rowOff>
    </xdr:from>
    <xdr:to>
      <xdr:col>9</xdr:col>
      <xdr:colOff>1743075</xdr:colOff>
      <xdr:row>223</xdr:row>
      <xdr:rowOff>66675</xdr:rowOff>
    </xdr:to>
    <xdr:pic>
      <xdr:nvPicPr>
        <xdr:cNvPr id="57" name="Picture 173">
          <a:extLst>
            <a:ext uri="{FF2B5EF4-FFF2-40B4-BE49-F238E27FC236}">
              <a16:creationId xmlns:a16="http://schemas.microsoft.com/office/drawing/2014/main" id="{F570DE8B-F2F4-4E1D-8DA8-6AC4EEB351A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561975" y="4401502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247650</xdr:colOff>
      <xdr:row>228</xdr:row>
      <xdr:rowOff>85725</xdr:rowOff>
    </xdr:from>
    <xdr:to>
      <xdr:col>4</xdr:col>
      <xdr:colOff>419100</xdr:colOff>
      <xdr:row>229</xdr:row>
      <xdr:rowOff>142875</xdr:rowOff>
    </xdr:to>
    <xdr:sp macro="" textlink="">
      <xdr:nvSpPr>
        <xdr:cNvPr id="58" name="AutoShape 175">
          <a:extLst>
            <a:ext uri="{FF2B5EF4-FFF2-40B4-BE49-F238E27FC236}">
              <a16:creationId xmlns:a16="http://schemas.microsoft.com/office/drawing/2014/main" id="{76E40551-2773-4A65-84FE-A491EA601017}"/>
            </a:ext>
          </a:extLst>
        </xdr:cNvPr>
        <xdr:cNvSpPr>
          <a:spLocks noChangeArrowheads="1"/>
        </xdr:cNvSpPr>
      </xdr:nvSpPr>
      <xdr:spPr bwMode="auto">
        <a:xfrm>
          <a:off x="495300" y="45529500"/>
          <a:ext cx="126682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276225</xdr:colOff>
      <xdr:row>230</xdr:row>
      <xdr:rowOff>0</xdr:rowOff>
    </xdr:from>
    <xdr:to>
      <xdr:col>9</xdr:col>
      <xdr:colOff>1704975</xdr:colOff>
      <xdr:row>233</xdr:row>
      <xdr:rowOff>38100</xdr:rowOff>
    </xdr:to>
    <xdr:grpSp>
      <xdr:nvGrpSpPr>
        <xdr:cNvPr id="59" name="Group 179">
          <a:extLst>
            <a:ext uri="{FF2B5EF4-FFF2-40B4-BE49-F238E27FC236}">
              <a16:creationId xmlns:a16="http://schemas.microsoft.com/office/drawing/2014/main" id="{3E18631E-47E4-40A9-8681-ACA25560F1F4}"/>
            </a:ext>
          </a:extLst>
        </xdr:cNvPr>
        <xdr:cNvGrpSpPr>
          <a:grpSpLocks/>
        </xdr:cNvGrpSpPr>
      </xdr:nvGrpSpPr>
      <xdr:grpSpPr bwMode="auto">
        <a:xfrm>
          <a:off x="501650" y="43824525"/>
          <a:ext cx="5372100" cy="609600"/>
          <a:chOff x="55" y="4087"/>
          <a:chExt cx="602" cy="58"/>
        </a:xfrm>
      </xdr:grpSpPr>
      <xdr:pic>
        <xdr:nvPicPr>
          <xdr:cNvPr id="60" name="Picture 176">
            <a:extLst>
              <a:ext uri="{FF2B5EF4-FFF2-40B4-BE49-F238E27FC236}">
                <a16:creationId xmlns:a16="http://schemas.microsoft.com/office/drawing/2014/main" id="{4C254BA7-90D5-15B5-401F-020AA9F20449}"/>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55" y="4087"/>
            <a:ext cx="602" cy="58"/>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pic>
        <xdr:nvPicPr>
          <xdr:cNvPr id="61" name="Picture 177">
            <a:extLst>
              <a:ext uri="{FF2B5EF4-FFF2-40B4-BE49-F238E27FC236}">
                <a16:creationId xmlns:a16="http://schemas.microsoft.com/office/drawing/2014/main" id="{77DCD2A5-C47C-9950-AB4A-130E2F136650}"/>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261" y="4127"/>
            <a:ext cx="34" cy="16"/>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grpSp>
    <xdr:clientData/>
  </xdr:twoCellAnchor>
  <xdr:twoCellAnchor>
    <xdr:from>
      <xdr:col>1</xdr:col>
      <xdr:colOff>323850</xdr:colOff>
      <xdr:row>2</xdr:row>
      <xdr:rowOff>133350</xdr:rowOff>
    </xdr:from>
    <xdr:to>
      <xdr:col>9</xdr:col>
      <xdr:colOff>2476500</xdr:colOff>
      <xdr:row>5</xdr:row>
      <xdr:rowOff>104775</xdr:rowOff>
    </xdr:to>
    <xdr:sp macro="" textlink="">
      <xdr:nvSpPr>
        <xdr:cNvPr id="62" name="Rectangle 180">
          <a:extLst>
            <a:ext uri="{FF2B5EF4-FFF2-40B4-BE49-F238E27FC236}">
              <a16:creationId xmlns:a16="http://schemas.microsoft.com/office/drawing/2014/main" id="{9F50E171-41EB-4B21-B35F-EC203B3F9A34}"/>
            </a:ext>
          </a:extLst>
        </xdr:cNvPr>
        <xdr:cNvSpPr>
          <a:spLocks noChangeArrowheads="1"/>
        </xdr:cNvSpPr>
      </xdr:nvSpPr>
      <xdr:spPr bwMode="auto">
        <a:xfrm>
          <a:off x="571500" y="638175"/>
          <a:ext cx="6457950" cy="485775"/>
        </a:xfrm>
        <a:prstGeom prst="rect">
          <a:avLst/>
        </a:prstGeom>
        <a:solidFill>
          <a:srgbClr xmlns:mc="http://schemas.openxmlformats.org/markup-compatibility/2006" xmlns:a14="http://schemas.microsoft.com/office/drawing/2010/main" val="FFFFE7" mc:Ignorable="a14" a14:legacySpreadsheetColorIndex="26">
            <a:alpha val="50000"/>
          </a:srgbClr>
        </a:solidFill>
        <a:ln w="5715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500"/>
            </a:lnSpc>
            <a:defRPr sz="1000"/>
          </a:pPr>
          <a:r>
            <a:rPr lang="ja-JP" altLang="en-US" sz="1200" b="0" i="0" u="none" strike="noStrike" baseline="0">
              <a:solidFill>
                <a:srgbClr val="FF0000"/>
              </a:solidFill>
              <a:latin typeface="ＭＳ ゴシック"/>
              <a:ea typeface="ＭＳ ゴシック"/>
            </a:rPr>
            <a:t>※　INPUT情報に対するSELECT文とOUTPUT情報から正しい結果である事を確認する</a:t>
          </a:r>
        </a:p>
        <a:p>
          <a:pPr algn="ctr" rtl="0">
            <a:lnSpc>
              <a:spcPts val="1400"/>
            </a:lnSpc>
            <a:defRPr sz="1000"/>
          </a:pPr>
          <a:r>
            <a:rPr lang="ja-JP" altLang="en-US" sz="1200" b="0" i="0" u="none" strike="noStrike" baseline="0">
              <a:solidFill>
                <a:srgbClr val="FF0000"/>
              </a:solidFill>
              <a:latin typeface="ＭＳ ゴシック"/>
              <a:ea typeface="ＭＳ ゴシック"/>
            </a:rPr>
            <a:t>（ 検索結果を確認するために処理の途中経過をUNLOADする必要はありません。）</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9</xdr:col>
      <xdr:colOff>38100</xdr:colOff>
      <xdr:row>9</xdr:row>
      <xdr:rowOff>28575</xdr:rowOff>
    </xdr:from>
    <xdr:to>
      <xdr:col>9</xdr:col>
      <xdr:colOff>180975</xdr:colOff>
      <xdr:row>12</xdr:row>
      <xdr:rowOff>123825</xdr:rowOff>
    </xdr:to>
    <xdr:sp macro="" textlink="">
      <xdr:nvSpPr>
        <xdr:cNvPr id="2" name="AutoShape 4">
          <a:extLst>
            <a:ext uri="{FF2B5EF4-FFF2-40B4-BE49-F238E27FC236}">
              <a16:creationId xmlns:a16="http://schemas.microsoft.com/office/drawing/2014/main" id="{63C4F065-7FBD-422F-A284-BC57D5CAE032}"/>
            </a:ext>
          </a:extLst>
        </xdr:cNvPr>
        <xdr:cNvSpPr>
          <a:spLocks/>
        </xdr:cNvSpPr>
      </xdr:nvSpPr>
      <xdr:spPr bwMode="auto">
        <a:xfrm>
          <a:off x="7277100" y="1838325"/>
          <a:ext cx="142875" cy="552450"/>
        </a:xfrm>
        <a:prstGeom prst="rightBrace">
          <a:avLst>
            <a:gd name="adj1" fmla="val 32222"/>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57150</xdr:colOff>
      <xdr:row>21</xdr:row>
      <xdr:rowOff>66675</xdr:rowOff>
    </xdr:from>
    <xdr:to>
      <xdr:col>9</xdr:col>
      <xdr:colOff>219075</xdr:colOff>
      <xdr:row>24</xdr:row>
      <xdr:rowOff>123825</xdr:rowOff>
    </xdr:to>
    <xdr:sp macro="" textlink="">
      <xdr:nvSpPr>
        <xdr:cNvPr id="3" name="AutoShape 5">
          <a:extLst>
            <a:ext uri="{FF2B5EF4-FFF2-40B4-BE49-F238E27FC236}">
              <a16:creationId xmlns:a16="http://schemas.microsoft.com/office/drawing/2014/main" id="{147C5818-4E23-4E91-BB49-376A249D4DCF}"/>
            </a:ext>
          </a:extLst>
        </xdr:cNvPr>
        <xdr:cNvSpPr>
          <a:spLocks/>
        </xdr:cNvSpPr>
      </xdr:nvSpPr>
      <xdr:spPr bwMode="auto">
        <a:xfrm>
          <a:off x="7296150" y="3705225"/>
          <a:ext cx="161925" cy="504825"/>
        </a:xfrm>
        <a:prstGeom prst="rightBrace">
          <a:avLst>
            <a:gd name="adj1" fmla="val 25980"/>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219075</xdr:colOff>
      <xdr:row>9</xdr:row>
      <xdr:rowOff>66675</xdr:rowOff>
    </xdr:from>
    <xdr:to>
      <xdr:col>10</xdr:col>
      <xdr:colOff>361950</xdr:colOff>
      <xdr:row>12</xdr:row>
      <xdr:rowOff>0</xdr:rowOff>
    </xdr:to>
    <xdr:sp macro="" textlink="">
      <xdr:nvSpPr>
        <xdr:cNvPr id="4" name="Text Box 6">
          <a:extLst>
            <a:ext uri="{FF2B5EF4-FFF2-40B4-BE49-F238E27FC236}">
              <a16:creationId xmlns:a16="http://schemas.microsoft.com/office/drawing/2014/main" id="{B983931C-EA6E-467C-BD4A-A61568DD2757}"/>
            </a:ext>
          </a:extLst>
        </xdr:cNvPr>
        <xdr:cNvSpPr txBox="1">
          <a:spLocks noChangeArrowheads="1"/>
        </xdr:cNvSpPr>
      </xdr:nvSpPr>
      <xdr:spPr bwMode="auto">
        <a:xfrm>
          <a:off x="7458075" y="1876425"/>
          <a:ext cx="1381125"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808080"/>
            </a:solidFill>
            <a:latin typeface="ＭＳ Ｐゴシック"/>
            <a:ea typeface="ＭＳ Ｐゴシック"/>
          </a:endParaRPr>
        </a:p>
        <a:p>
          <a:pPr algn="l" rtl="0">
            <a:lnSpc>
              <a:spcPts val="1000"/>
            </a:lnSpc>
            <a:defRPr sz="1000"/>
          </a:pPr>
          <a:r>
            <a:rPr lang="ja-JP" altLang="en-US" sz="900" b="0" i="0" u="none" strike="noStrike" baseline="0">
              <a:solidFill>
                <a:srgbClr val="808080"/>
              </a:solidFill>
              <a:latin typeface="ＭＳ Ｐゴシック"/>
              <a:ea typeface="ＭＳ Ｐゴシック"/>
            </a:rPr>
            <a:t> 削除対象</a:t>
          </a:r>
        </a:p>
      </xdr:txBody>
    </xdr:sp>
    <xdr:clientData/>
  </xdr:twoCellAnchor>
  <xdr:twoCellAnchor>
    <xdr:from>
      <xdr:col>9</xdr:col>
      <xdr:colOff>247650</xdr:colOff>
      <xdr:row>21</xdr:row>
      <xdr:rowOff>123825</xdr:rowOff>
    </xdr:from>
    <xdr:to>
      <xdr:col>10</xdr:col>
      <xdr:colOff>504825</xdr:colOff>
      <xdr:row>23</xdr:row>
      <xdr:rowOff>114300</xdr:rowOff>
    </xdr:to>
    <xdr:sp macro="" textlink="">
      <xdr:nvSpPr>
        <xdr:cNvPr id="5" name="Text Box 7">
          <a:extLst>
            <a:ext uri="{FF2B5EF4-FFF2-40B4-BE49-F238E27FC236}">
              <a16:creationId xmlns:a16="http://schemas.microsoft.com/office/drawing/2014/main" id="{6187198D-B384-43B5-9A64-E2B14D2724CF}"/>
            </a:ext>
          </a:extLst>
        </xdr:cNvPr>
        <xdr:cNvSpPr txBox="1">
          <a:spLocks noChangeArrowheads="1"/>
        </xdr:cNvSpPr>
      </xdr:nvSpPr>
      <xdr:spPr bwMode="auto">
        <a:xfrm>
          <a:off x="7486650" y="3762375"/>
          <a:ext cx="1495425" cy="2952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808080"/>
            </a:solidFill>
            <a:latin typeface="ＭＳ Ｐゴシック"/>
            <a:ea typeface="ＭＳ Ｐゴシック"/>
          </a:endParaRPr>
        </a:p>
        <a:p>
          <a:pPr algn="l" rtl="0">
            <a:lnSpc>
              <a:spcPts val="1000"/>
            </a:lnSpc>
            <a:defRPr sz="1000"/>
          </a:pPr>
          <a:r>
            <a:rPr lang="ja-JP" altLang="en-US" sz="900" b="0" i="0" u="none" strike="noStrike" baseline="0">
              <a:solidFill>
                <a:srgbClr val="808080"/>
              </a:solidFill>
              <a:latin typeface="ＭＳ Ｐゴシック"/>
              <a:ea typeface="ＭＳ Ｐゴシック"/>
            </a:rPr>
            <a:t>追加対象</a:t>
          </a:r>
        </a:p>
      </xdr:txBody>
    </xdr:sp>
    <xdr:clientData/>
  </xdr:twoCellAnchor>
  <xdr:twoCellAnchor>
    <xdr:from>
      <xdr:col>9</xdr:col>
      <xdr:colOff>190500</xdr:colOff>
      <xdr:row>15</xdr:row>
      <xdr:rowOff>142875</xdr:rowOff>
    </xdr:from>
    <xdr:to>
      <xdr:col>10</xdr:col>
      <xdr:colOff>400050</xdr:colOff>
      <xdr:row>17</xdr:row>
      <xdr:rowOff>38100</xdr:rowOff>
    </xdr:to>
    <xdr:sp macro="" textlink="">
      <xdr:nvSpPr>
        <xdr:cNvPr id="6" name="Text Box 8">
          <a:extLst>
            <a:ext uri="{FF2B5EF4-FFF2-40B4-BE49-F238E27FC236}">
              <a16:creationId xmlns:a16="http://schemas.microsoft.com/office/drawing/2014/main" id="{13172731-F3FA-45B8-95E6-69B9A018A690}"/>
            </a:ext>
          </a:extLst>
        </xdr:cNvPr>
        <xdr:cNvSpPr txBox="1">
          <a:spLocks noChangeArrowheads="1"/>
        </xdr:cNvSpPr>
      </xdr:nvSpPr>
      <xdr:spPr bwMode="auto">
        <a:xfrm>
          <a:off x="7429500" y="2867025"/>
          <a:ext cx="1447800"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900" b="0" i="0" u="none" strike="noStrike" baseline="0">
              <a:solidFill>
                <a:srgbClr val="FF6600"/>
              </a:solidFill>
              <a:latin typeface="ＭＳ Ｐゴシック"/>
              <a:ea typeface="ＭＳ Ｐゴシック"/>
            </a:rPr>
            <a:t>　更新対象</a:t>
          </a:r>
        </a:p>
      </xdr:txBody>
    </xdr:sp>
    <xdr:clientData/>
  </xdr:twoCellAnchor>
  <xdr:twoCellAnchor>
    <xdr:from>
      <xdr:col>4</xdr:col>
      <xdr:colOff>771525</xdr:colOff>
      <xdr:row>25</xdr:row>
      <xdr:rowOff>114300</xdr:rowOff>
    </xdr:from>
    <xdr:to>
      <xdr:col>5</xdr:col>
      <xdr:colOff>1162050</xdr:colOff>
      <xdr:row>28</xdr:row>
      <xdr:rowOff>19050</xdr:rowOff>
    </xdr:to>
    <xdr:sp macro="" textlink="">
      <xdr:nvSpPr>
        <xdr:cNvPr id="7" name="AutoShape 9">
          <a:extLst>
            <a:ext uri="{FF2B5EF4-FFF2-40B4-BE49-F238E27FC236}">
              <a16:creationId xmlns:a16="http://schemas.microsoft.com/office/drawing/2014/main" id="{1A484B81-6929-415C-B413-446275BE92BE}"/>
            </a:ext>
          </a:extLst>
        </xdr:cNvPr>
        <xdr:cNvSpPr>
          <a:spLocks noChangeArrowheads="1"/>
        </xdr:cNvSpPr>
      </xdr:nvSpPr>
      <xdr:spPr bwMode="auto">
        <a:xfrm>
          <a:off x="3314700" y="4400550"/>
          <a:ext cx="1524000" cy="504825"/>
        </a:xfrm>
        <a:prstGeom prst="downArrow">
          <a:avLst>
            <a:gd name="adj1" fmla="val 49407"/>
            <a:gd name="adj2" fmla="val 61704"/>
          </a:avLst>
        </a:prstGeom>
        <a:solidFill>
          <a:srgbClr xmlns:mc="http://schemas.openxmlformats.org/markup-compatibility/2006" xmlns:a14="http://schemas.microsoft.com/office/drawing/2010/main" val="C0C0C0" mc:Ignorable="a14" a14:legacySpreadsheetColorIndex="22"/>
        </a:solidFill>
        <a:ln>
          <a:noFill/>
        </a:ln>
        <a:effectLst/>
        <a:extLs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38100</xdr:colOff>
      <xdr:row>32</xdr:row>
      <xdr:rowOff>28575</xdr:rowOff>
    </xdr:from>
    <xdr:to>
      <xdr:col>9</xdr:col>
      <xdr:colOff>180975</xdr:colOff>
      <xdr:row>35</xdr:row>
      <xdr:rowOff>123825</xdr:rowOff>
    </xdr:to>
    <xdr:sp macro="" textlink="">
      <xdr:nvSpPr>
        <xdr:cNvPr id="8" name="AutoShape 10">
          <a:extLst>
            <a:ext uri="{FF2B5EF4-FFF2-40B4-BE49-F238E27FC236}">
              <a16:creationId xmlns:a16="http://schemas.microsoft.com/office/drawing/2014/main" id="{E20B6001-7B93-4F73-A1EF-90782175D5A9}"/>
            </a:ext>
          </a:extLst>
        </xdr:cNvPr>
        <xdr:cNvSpPr>
          <a:spLocks/>
        </xdr:cNvSpPr>
      </xdr:nvSpPr>
      <xdr:spPr bwMode="auto">
        <a:xfrm>
          <a:off x="7277100" y="5676900"/>
          <a:ext cx="142875" cy="552450"/>
        </a:xfrm>
        <a:prstGeom prst="rightBrace">
          <a:avLst>
            <a:gd name="adj1" fmla="val 32222"/>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38100</xdr:colOff>
      <xdr:row>44</xdr:row>
      <xdr:rowOff>9525</xdr:rowOff>
    </xdr:from>
    <xdr:to>
      <xdr:col>9</xdr:col>
      <xdr:colOff>219075</xdr:colOff>
      <xdr:row>47</xdr:row>
      <xdr:rowOff>0</xdr:rowOff>
    </xdr:to>
    <xdr:sp macro="" textlink="">
      <xdr:nvSpPr>
        <xdr:cNvPr id="9" name="AutoShape 11">
          <a:extLst>
            <a:ext uri="{FF2B5EF4-FFF2-40B4-BE49-F238E27FC236}">
              <a16:creationId xmlns:a16="http://schemas.microsoft.com/office/drawing/2014/main" id="{90EA2B4B-03C1-4ACA-B876-D2BFB854488C}"/>
            </a:ext>
          </a:extLst>
        </xdr:cNvPr>
        <xdr:cNvSpPr>
          <a:spLocks/>
        </xdr:cNvSpPr>
      </xdr:nvSpPr>
      <xdr:spPr bwMode="auto">
        <a:xfrm>
          <a:off x="7277100" y="7486650"/>
          <a:ext cx="180975" cy="438150"/>
        </a:xfrm>
        <a:prstGeom prst="rightBrace">
          <a:avLst>
            <a:gd name="adj1" fmla="val 20175"/>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219075</xdr:colOff>
      <xdr:row>32</xdr:row>
      <xdr:rowOff>66675</xdr:rowOff>
    </xdr:from>
    <xdr:to>
      <xdr:col>10</xdr:col>
      <xdr:colOff>361950</xdr:colOff>
      <xdr:row>35</xdr:row>
      <xdr:rowOff>0</xdr:rowOff>
    </xdr:to>
    <xdr:sp macro="" textlink="">
      <xdr:nvSpPr>
        <xdr:cNvPr id="10" name="Text Box 12">
          <a:extLst>
            <a:ext uri="{FF2B5EF4-FFF2-40B4-BE49-F238E27FC236}">
              <a16:creationId xmlns:a16="http://schemas.microsoft.com/office/drawing/2014/main" id="{0B9664A2-3385-4323-A223-F211D34DA4A5}"/>
            </a:ext>
          </a:extLst>
        </xdr:cNvPr>
        <xdr:cNvSpPr txBox="1">
          <a:spLocks noChangeArrowheads="1"/>
        </xdr:cNvSpPr>
      </xdr:nvSpPr>
      <xdr:spPr bwMode="auto">
        <a:xfrm>
          <a:off x="7458075" y="5715000"/>
          <a:ext cx="1381125"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969696"/>
            </a:solidFill>
            <a:latin typeface="ＭＳ Ｐゴシック"/>
            <a:ea typeface="ＭＳ Ｐゴシック"/>
          </a:endParaRPr>
        </a:p>
        <a:p>
          <a:pPr algn="l" rtl="0">
            <a:lnSpc>
              <a:spcPts val="1000"/>
            </a:lnSpc>
            <a:defRPr sz="1000"/>
          </a:pPr>
          <a:r>
            <a:rPr lang="ja-JP" altLang="en-US" sz="900" b="0" i="0" u="none" strike="noStrike" baseline="0">
              <a:solidFill>
                <a:srgbClr val="969696"/>
              </a:solidFill>
              <a:latin typeface="ＭＳ Ｐゴシック"/>
              <a:ea typeface="ＭＳ Ｐゴシック"/>
            </a:rPr>
            <a:t> 削除</a:t>
          </a:r>
        </a:p>
      </xdr:txBody>
    </xdr:sp>
    <xdr:clientData/>
  </xdr:twoCellAnchor>
  <xdr:twoCellAnchor>
    <xdr:from>
      <xdr:col>9</xdr:col>
      <xdr:colOff>247650</xdr:colOff>
      <xdr:row>44</xdr:row>
      <xdr:rowOff>85725</xdr:rowOff>
    </xdr:from>
    <xdr:to>
      <xdr:col>10</xdr:col>
      <xdr:colOff>504825</xdr:colOff>
      <xdr:row>46</xdr:row>
      <xdr:rowOff>76200</xdr:rowOff>
    </xdr:to>
    <xdr:sp macro="" textlink="">
      <xdr:nvSpPr>
        <xdr:cNvPr id="11" name="Text Box 13">
          <a:extLst>
            <a:ext uri="{FF2B5EF4-FFF2-40B4-BE49-F238E27FC236}">
              <a16:creationId xmlns:a16="http://schemas.microsoft.com/office/drawing/2014/main" id="{6A3B5BF2-353D-4007-9CCB-D72A507EDAF6}"/>
            </a:ext>
          </a:extLst>
        </xdr:cNvPr>
        <xdr:cNvSpPr txBox="1">
          <a:spLocks noChangeArrowheads="1"/>
        </xdr:cNvSpPr>
      </xdr:nvSpPr>
      <xdr:spPr bwMode="auto">
        <a:xfrm>
          <a:off x="7486650" y="7562850"/>
          <a:ext cx="1495425" cy="2952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969696"/>
            </a:solidFill>
            <a:latin typeface="ＭＳ Ｐゴシック"/>
            <a:ea typeface="ＭＳ Ｐゴシック"/>
          </a:endParaRPr>
        </a:p>
        <a:p>
          <a:pPr algn="l" rtl="0">
            <a:lnSpc>
              <a:spcPts val="1000"/>
            </a:lnSpc>
            <a:defRPr sz="1000"/>
          </a:pPr>
          <a:r>
            <a:rPr lang="ja-JP" altLang="en-US" sz="900" b="0" i="0" u="none" strike="noStrike" baseline="0">
              <a:solidFill>
                <a:srgbClr val="969696"/>
              </a:solidFill>
              <a:latin typeface="ＭＳ Ｐゴシック"/>
              <a:ea typeface="ＭＳ Ｐゴシック"/>
            </a:rPr>
            <a:t>追加</a:t>
          </a:r>
        </a:p>
      </xdr:txBody>
    </xdr:sp>
    <xdr:clientData/>
  </xdr:twoCellAnchor>
  <xdr:twoCellAnchor>
    <xdr:from>
      <xdr:col>9</xdr:col>
      <xdr:colOff>171450</xdr:colOff>
      <xdr:row>38</xdr:row>
      <xdr:rowOff>142875</xdr:rowOff>
    </xdr:from>
    <xdr:to>
      <xdr:col>10</xdr:col>
      <xdr:colOff>381000</xdr:colOff>
      <xdr:row>40</xdr:row>
      <xdr:rowOff>38100</xdr:rowOff>
    </xdr:to>
    <xdr:sp macro="" textlink="">
      <xdr:nvSpPr>
        <xdr:cNvPr id="12" name="Text Box 14">
          <a:extLst>
            <a:ext uri="{FF2B5EF4-FFF2-40B4-BE49-F238E27FC236}">
              <a16:creationId xmlns:a16="http://schemas.microsoft.com/office/drawing/2014/main" id="{D9166616-B4F4-45AA-BAA2-54DFBBB5AEAA}"/>
            </a:ext>
          </a:extLst>
        </xdr:cNvPr>
        <xdr:cNvSpPr txBox="1">
          <a:spLocks noChangeArrowheads="1"/>
        </xdr:cNvSpPr>
      </xdr:nvSpPr>
      <xdr:spPr bwMode="auto">
        <a:xfrm>
          <a:off x="7410450" y="6705600"/>
          <a:ext cx="1447800"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900" b="0" i="0" u="none" strike="noStrike" baseline="0">
              <a:solidFill>
                <a:srgbClr val="FF6600"/>
              </a:solidFill>
              <a:latin typeface="ＭＳ Ｐゴシック"/>
              <a:ea typeface="ＭＳ Ｐゴシック"/>
            </a:rPr>
            <a:t>　更新</a:t>
          </a:r>
        </a:p>
      </xdr:txBody>
    </xdr:sp>
    <xdr:clientData/>
  </xdr:twoCellAnchor>
  <xdr:twoCellAnchor>
    <xdr:from>
      <xdr:col>9</xdr:col>
      <xdr:colOff>47625</xdr:colOff>
      <xdr:row>14</xdr:row>
      <xdr:rowOff>142875</xdr:rowOff>
    </xdr:from>
    <xdr:to>
      <xdr:col>9</xdr:col>
      <xdr:colOff>238125</xdr:colOff>
      <xdr:row>18</xdr:row>
      <xdr:rowOff>0</xdr:rowOff>
    </xdr:to>
    <xdr:sp macro="" textlink="">
      <xdr:nvSpPr>
        <xdr:cNvPr id="13" name="AutoShape 15">
          <a:extLst>
            <a:ext uri="{FF2B5EF4-FFF2-40B4-BE49-F238E27FC236}">
              <a16:creationId xmlns:a16="http://schemas.microsoft.com/office/drawing/2014/main" id="{D9136156-AF0A-4A79-A6C7-775180013F08}"/>
            </a:ext>
          </a:extLst>
        </xdr:cNvPr>
        <xdr:cNvSpPr>
          <a:spLocks/>
        </xdr:cNvSpPr>
      </xdr:nvSpPr>
      <xdr:spPr bwMode="auto">
        <a:xfrm>
          <a:off x="7286625" y="2714625"/>
          <a:ext cx="190500" cy="466725"/>
        </a:xfrm>
        <a:prstGeom prst="rightBrace">
          <a:avLst>
            <a:gd name="adj1" fmla="val 20417"/>
            <a:gd name="adj2" fmla="val 45681"/>
          </a:avLst>
        </a:prstGeom>
        <a:noFill/>
        <a:ln w="9525">
          <a:solidFill>
            <a:srgbClr xmlns:mc="http://schemas.openxmlformats.org/markup-compatibility/2006" xmlns:a14="http://schemas.microsoft.com/office/drawing/2010/main" val="FF6600" mc:Ignorable="a14" a14:legacySpreadsheetColorIndex="53"/>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28575</xdr:colOff>
      <xdr:row>38</xdr:row>
      <xdr:rowOff>0</xdr:rowOff>
    </xdr:from>
    <xdr:to>
      <xdr:col>9</xdr:col>
      <xdr:colOff>219075</xdr:colOff>
      <xdr:row>41</xdr:row>
      <xdr:rowOff>9525</xdr:rowOff>
    </xdr:to>
    <xdr:sp macro="" textlink="">
      <xdr:nvSpPr>
        <xdr:cNvPr id="14" name="AutoShape 16">
          <a:extLst>
            <a:ext uri="{FF2B5EF4-FFF2-40B4-BE49-F238E27FC236}">
              <a16:creationId xmlns:a16="http://schemas.microsoft.com/office/drawing/2014/main" id="{DA57C9C3-EF7B-4712-A4DB-B13E87674BC3}"/>
            </a:ext>
          </a:extLst>
        </xdr:cNvPr>
        <xdr:cNvSpPr>
          <a:spLocks/>
        </xdr:cNvSpPr>
      </xdr:nvSpPr>
      <xdr:spPr bwMode="auto">
        <a:xfrm>
          <a:off x="7267575" y="6562725"/>
          <a:ext cx="190500" cy="466725"/>
        </a:xfrm>
        <a:prstGeom prst="rightBrace">
          <a:avLst>
            <a:gd name="adj1" fmla="val 20417"/>
            <a:gd name="adj2" fmla="val 45681"/>
          </a:avLst>
        </a:prstGeom>
        <a:noFill/>
        <a:ln w="9525">
          <a:solidFill>
            <a:srgbClr xmlns:mc="http://schemas.openxmlformats.org/markup-compatibility/2006" xmlns:a14="http://schemas.microsoft.com/office/drawing/2010/main" val="FF6600" mc:Ignorable="a14" a14:legacySpreadsheetColorIndex="53"/>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5</xdr:col>
      <xdr:colOff>847725</xdr:colOff>
      <xdr:row>32</xdr:row>
      <xdr:rowOff>142875</xdr:rowOff>
    </xdr:from>
    <xdr:to>
      <xdr:col>7</xdr:col>
      <xdr:colOff>676275</xdr:colOff>
      <xdr:row>36</xdr:row>
      <xdr:rowOff>0</xdr:rowOff>
    </xdr:to>
    <xdr:sp macro="" textlink="">
      <xdr:nvSpPr>
        <xdr:cNvPr id="15" name="AutoShape 17">
          <a:extLst>
            <a:ext uri="{FF2B5EF4-FFF2-40B4-BE49-F238E27FC236}">
              <a16:creationId xmlns:a16="http://schemas.microsoft.com/office/drawing/2014/main" id="{513B00B3-065F-4897-9206-43548D88494F}"/>
            </a:ext>
          </a:extLst>
        </xdr:cNvPr>
        <xdr:cNvSpPr>
          <a:spLocks noChangeArrowheads="1"/>
        </xdr:cNvSpPr>
      </xdr:nvSpPr>
      <xdr:spPr bwMode="auto">
        <a:xfrm>
          <a:off x="4524375" y="5791200"/>
          <a:ext cx="1609725" cy="466725"/>
        </a:xfrm>
        <a:prstGeom prst="wedgeRectCallout">
          <a:avLst>
            <a:gd name="adj1" fmla="val 55917"/>
            <a:gd name="adj2" fmla="val 115306"/>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　</a:t>
          </a:r>
          <a:r>
            <a:rPr lang="ja-JP" altLang="en-US" sz="1100" b="1" i="0" u="none" strike="noStrike" baseline="0">
              <a:solidFill>
                <a:srgbClr val="008000"/>
              </a:solidFill>
              <a:latin typeface="ＭＳ Ｐゴシック"/>
              <a:ea typeface="ＭＳ Ｐゴシック"/>
            </a:rPr>
            <a:t>d5:</a:t>
          </a:r>
          <a:endParaRPr lang="ja-JP" altLang="en-US" sz="1100" b="0" i="0" u="none" strike="noStrike" baseline="0">
            <a:solidFill>
              <a:srgbClr val="000000"/>
            </a:solidFill>
            <a:latin typeface="ＭＳ Ｐゴシック"/>
            <a:ea typeface="ＭＳ Ｐゴシック"/>
          </a:endParaRPr>
        </a:p>
        <a:p>
          <a:pPr algn="l" rtl="0">
            <a:lnSpc>
              <a:spcPts val="1300"/>
            </a:lnSpc>
            <a:defRPr sz="1000"/>
          </a:pPr>
          <a:r>
            <a:rPr lang="ja-JP" altLang="en-US" sz="1100" b="0" i="0" u="none" strike="noStrike" baseline="0">
              <a:solidFill>
                <a:srgbClr val="000000"/>
              </a:solidFill>
              <a:latin typeface="ＭＳ Ｐゴシック"/>
              <a:ea typeface="ＭＳ Ｐゴシック"/>
            </a:rPr>
            <a:t> </a:t>
          </a:r>
          <a:r>
            <a:rPr lang="ja-JP" altLang="en-US" sz="900" b="0" i="0" u="none" strike="noStrike" baseline="0">
              <a:solidFill>
                <a:srgbClr val="000000"/>
              </a:solidFill>
              <a:latin typeface="ＭＳ Ｐゴシック"/>
              <a:ea typeface="ＭＳ Ｐゴシック"/>
            </a:rPr>
            <a:t>更新日：システム日付で更新</a:t>
          </a:r>
        </a:p>
      </xdr:txBody>
    </xdr:sp>
    <xdr:clientData/>
  </xdr:twoCellAnchor>
  <xdr:twoCellAnchor>
    <xdr:from>
      <xdr:col>3</xdr:col>
      <xdr:colOff>361950</xdr:colOff>
      <xdr:row>42</xdr:row>
      <xdr:rowOff>38100</xdr:rowOff>
    </xdr:from>
    <xdr:to>
      <xdr:col>4</xdr:col>
      <xdr:colOff>1000125</xdr:colOff>
      <xdr:row>43</xdr:row>
      <xdr:rowOff>133350</xdr:rowOff>
    </xdr:to>
    <xdr:sp macro="" textlink="">
      <xdr:nvSpPr>
        <xdr:cNvPr id="16" name="AutoShape 19">
          <a:extLst>
            <a:ext uri="{FF2B5EF4-FFF2-40B4-BE49-F238E27FC236}">
              <a16:creationId xmlns:a16="http://schemas.microsoft.com/office/drawing/2014/main" id="{5D2FF71A-27F0-4587-98A1-AB726F813C10}"/>
            </a:ext>
          </a:extLst>
        </xdr:cNvPr>
        <xdr:cNvSpPr>
          <a:spLocks noChangeArrowheads="1"/>
        </xdr:cNvSpPr>
      </xdr:nvSpPr>
      <xdr:spPr bwMode="auto">
        <a:xfrm>
          <a:off x="1962150" y="7210425"/>
          <a:ext cx="1581150" cy="247650"/>
        </a:xfrm>
        <a:prstGeom prst="wedgeRectCallout">
          <a:avLst>
            <a:gd name="adj1" fmla="val 31926"/>
            <a:gd name="adj2" fmla="val -130769"/>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defRPr sz="1000"/>
          </a:pPr>
          <a:r>
            <a:rPr lang="ja-JP" altLang="en-US" sz="1100" b="1" i="0" u="none" strike="noStrike" baseline="0">
              <a:solidFill>
                <a:srgbClr val="008000"/>
              </a:solidFill>
              <a:latin typeface="ＭＳ Ｐゴシック"/>
              <a:ea typeface="ＭＳ Ｐゴシック"/>
            </a:rPr>
            <a:t> d2:</a:t>
          </a:r>
          <a:r>
            <a:rPr lang="ja-JP" altLang="en-US" sz="1100" b="0" i="0" u="none" strike="noStrike" baseline="0">
              <a:solidFill>
                <a:srgbClr val="000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ＦＵＬＬ桁チェック</a:t>
          </a:r>
        </a:p>
      </xdr:txBody>
    </xdr:sp>
    <xdr:clientData/>
  </xdr:twoCellAnchor>
  <xdr:twoCellAnchor>
    <xdr:from>
      <xdr:col>1</xdr:col>
      <xdr:colOff>247650</xdr:colOff>
      <xdr:row>78</xdr:row>
      <xdr:rowOff>28575</xdr:rowOff>
    </xdr:from>
    <xdr:to>
      <xdr:col>3</xdr:col>
      <xdr:colOff>171450</xdr:colOff>
      <xdr:row>79</xdr:row>
      <xdr:rowOff>85725</xdr:rowOff>
    </xdr:to>
    <xdr:sp macro="" textlink="">
      <xdr:nvSpPr>
        <xdr:cNvPr id="17" name="AutoShape 22">
          <a:extLst>
            <a:ext uri="{FF2B5EF4-FFF2-40B4-BE49-F238E27FC236}">
              <a16:creationId xmlns:a16="http://schemas.microsoft.com/office/drawing/2014/main" id="{488C7169-A647-4746-A766-28035409EA71}"/>
            </a:ext>
          </a:extLst>
        </xdr:cNvPr>
        <xdr:cNvSpPr>
          <a:spLocks noChangeArrowheads="1"/>
        </xdr:cNvSpPr>
      </xdr:nvSpPr>
      <xdr:spPr bwMode="auto">
        <a:xfrm>
          <a:off x="495300" y="14068425"/>
          <a:ext cx="1276350"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6</xdr:col>
      <xdr:colOff>342900</xdr:colOff>
      <xdr:row>45</xdr:row>
      <xdr:rowOff>19050</xdr:rowOff>
    </xdr:from>
    <xdr:to>
      <xdr:col>9</xdr:col>
      <xdr:colOff>9525</xdr:colOff>
      <xdr:row>48</xdr:row>
      <xdr:rowOff>9525</xdr:rowOff>
    </xdr:to>
    <xdr:sp macro="" textlink="">
      <xdr:nvSpPr>
        <xdr:cNvPr id="18" name="AutoShape 24">
          <a:extLst>
            <a:ext uri="{FF2B5EF4-FFF2-40B4-BE49-F238E27FC236}">
              <a16:creationId xmlns:a16="http://schemas.microsoft.com/office/drawing/2014/main" id="{1E6ACA62-2398-4528-AC08-0AF6B82E6C0C}"/>
            </a:ext>
          </a:extLst>
        </xdr:cNvPr>
        <xdr:cNvSpPr>
          <a:spLocks noChangeArrowheads="1"/>
        </xdr:cNvSpPr>
      </xdr:nvSpPr>
      <xdr:spPr bwMode="auto">
        <a:xfrm>
          <a:off x="5267325" y="7648575"/>
          <a:ext cx="1981200" cy="485775"/>
        </a:xfrm>
        <a:prstGeom prst="wedgeRectCallout">
          <a:avLst>
            <a:gd name="adj1" fmla="val -68269"/>
            <a:gd name="adj2" fmla="val -187880"/>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300"/>
            </a:lnSpc>
            <a:defRPr sz="1000"/>
          </a:pPr>
          <a:r>
            <a:rPr lang="ja-JP" altLang="en-US" sz="900" b="1" i="0" u="none" strike="noStrike" baseline="0">
              <a:solidFill>
                <a:srgbClr val="008000"/>
              </a:solidFill>
              <a:latin typeface="ＭＳ Ｐゴシック"/>
              <a:ea typeface="ＭＳ Ｐゴシック"/>
            </a:rPr>
            <a:t>　</a:t>
          </a:r>
          <a:r>
            <a:rPr lang="ja-JP" altLang="en-US" sz="1100" b="1" i="0" u="none" strike="noStrike" baseline="0">
              <a:solidFill>
                <a:srgbClr val="008000"/>
              </a:solidFill>
              <a:latin typeface="ＭＳ Ｐゴシック"/>
              <a:ea typeface="ＭＳ Ｐゴシック"/>
            </a:rPr>
            <a:t>d3:</a:t>
          </a:r>
          <a:endParaRPr lang="ja-JP" altLang="en-US" sz="900" b="0" i="0" u="none" strike="noStrike" baseline="0">
            <a:solidFill>
              <a:srgbClr val="000000"/>
            </a:solidFill>
            <a:latin typeface="ＭＳ Ｐゴシック"/>
            <a:ea typeface="ＭＳ Ｐゴシック"/>
          </a:endParaRPr>
        </a:p>
        <a:p>
          <a:pPr algn="l" rtl="0">
            <a:lnSpc>
              <a:spcPts val="1000"/>
            </a:lnSpc>
            <a:defRPr sz="1000"/>
          </a:pPr>
          <a:r>
            <a:rPr lang="ja-JP" altLang="en-US" sz="900" b="0" i="0" u="none" strike="noStrike" baseline="0">
              <a:solidFill>
                <a:srgbClr val="000000"/>
              </a:solidFill>
              <a:latin typeface="ＭＳ Ｐゴシック"/>
              <a:ea typeface="ＭＳ Ｐゴシック"/>
            </a:rPr>
            <a:t>登録日と登録者は更新されていない</a:t>
          </a:r>
        </a:p>
      </xdr:txBody>
    </xdr:sp>
    <xdr:clientData/>
  </xdr:twoCellAnchor>
  <xdr:twoCellAnchor>
    <xdr:from>
      <xdr:col>9</xdr:col>
      <xdr:colOff>466725</xdr:colOff>
      <xdr:row>40</xdr:row>
      <xdr:rowOff>95250</xdr:rowOff>
    </xdr:from>
    <xdr:to>
      <xdr:col>12</xdr:col>
      <xdr:colOff>123825</xdr:colOff>
      <xdr:row>43</xdr:row>
      <xdr:rowOff>57150</xdr:rowOff>
    </xdr:to>
    <xdr:sp macro="" textlink="">
      <xdr:nvSpPr>
        <xdr:cNvPr id="19" name="AutoShape 25">
          <a:extLst>
            <a:ext uri="{FF2B5EF4-FFF2-40B4-BE49-F238E27FC236}">
              <a16:creationId xmlns:a16="http://schemas.microsoft.com/office/drawing/2014/main" id="{12A04A57-0A88-45A5-A18E-151EE411884F}"/>
            </a:ext>
          </a:extLst>
        </xdr:cNvPr>
        <xdr:cNvSpPr>
          <a:spLocks noChangeArrowheads="1"/>
        </xdr:cNvSpPr>
      </xdr:nvSpPr>
      <xdr:spPr bwMode="auto">
        <a:xfrm>
          <a:off x="7705725" y="6962775"/>
          <a:ext cx="2266950" cy="419100"/>
        </a:xfrm>
        <a:prstGeom prst="wedgeRectCallout">
          <a:avLst>
            <a:gd name="adj1" fmla="val -70120"/>
            <a:gd name="adj2" fmla="val -61366"/>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　</a:t>
          </a:r>
          <a:r>
            <a:rPr lang="ja-JP" altLang="en-US" sz="1100" b="1" i="0" u="none" strike="noStrike" baseline="0">
              <a:solidFill>
                <a:srgbClr val="008000"/>
              </a:solidFill>
              <a:latin typeface="ＭＳ Ｐゴシック"/>
              <a:ea typeface="ＭＳ Ｐゴシック"/>
            </a:rPr>
            <a:t>d4:</a:t>
          </a:r>
          <a:endParaRPr lang="ja-JP" altLang="en-US" sz="900" b="0" i="0" u="none" strike="noStrike" baseline="0">
            <a:solidFill>
              <a:srgbClr val="000000"/>
            </a:solidFill>
            <a:latin typeface="ＭＳ Ｐゴシック"/>
            <a:ea typeface="ＭＳ Ｐゴシック"/>
          </a:endParaRPr>
        </a:p>
        <a:p>
          <a:pPr algn="l" rtl="0">
            <a:lnSpc>
              <a:spcPts val="1000"/>
            </a:lnSpc>
            <a:defRPr sz="1000"/>
          </a:pPr>
          <a:r>
            <a:rPr lang="ja-JP" altLang="en-US" sz="900" b="0" i="0" u="none" strike="noStrike" baseline="0">
              <a:solidFill>
                <a:srgbClr val="000000"/>
              </a:solidFill>
              <a:latin typeface="ＭＳ Ｐゴシック"/>
              <a:ea typeface="ＭＳ Ｐゴシック"/>
            </a:rPr>
            <a:t> 更新者：仕様通りの値で更新</a:t>
          </a:r>
        </a:p>
      </xdr:txBody>
    </xdr:sp>
    <xdr:clientData/>
  </xdr:twoCellAnchor>
  <xdr:twoCellAnchor>
    <xdr:from>
      <xdr:col>2</xdr:col>
      <xdr:colOff>0</xdr:colOff>
      <xdr:row>87</xdr:row>
      <xdr:rowOff>161925</xdr:rowOff>
    </xdr:from>
    <xdr:to>
      <xdr:col>3</xdr:col>
      <xdr:colOff>314325</xdr:colOff>
      <xdr:row>89</xdr:row>
      <xdr:rowOff>47625</xdr:rowOff>
    </xdr:to>
    <xdr:sp macro="" textlink="">
      <xdr:nvSpPr>
        <xdr:cNvPr id="20" name="AutoShape 31">
          <a:extLst>
            <a:ext uri="{FF2B5EF4-FFF2-40B4-BE49-F238E27FC236}">
              <a16:creationId xmlns:a16="http://schemas.microsoft.com/office/drawing/2014/main" id="{79492A3F-E86F-414B-B12D-F9F1CF19E2D3}"/>
            </a:ext>
          </a:extLst>
        </xdr:cNvPr>
        <xdr:cNvSpPr>
          <a:spLocks noChangeArrowheads="1"/>
        </xdr:cNvSpPr>
      </xdr:nvSpPr>
      <xdr:spPr bwMode="auto">
        <a:xfrm>
          <a:off x="838200" y="15973425"/>
          <a:ext cx="1076325" cy="2857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361950</xdr:colOff>
      <xdr:row>68</xdr:row>
      <xdr:rowOff>38100</xdr:rowOff>
    </xdr:from>
    <xdr:to>
      <xdr:col>3</xdr:col>
      <xdr:colOff>285750</xdr:colOff>
      <xdr:row>69</xdr:row>
      <xdr:rowOff>95250</xdr:rowOff>
    </xdr:to>
    <xdr:sp macro="" textlink="">
      <xdr:nvSpPr>
        <xdr:cNvPr id="21" name="AutoShape 36">
          <a:extLst>
            <a:ext uri="{FF2B5EF4-FFF2-40B4-BE49-F238E27FC236}">
              <a16:creationId xmlns:a16="http://schemas.microsoft.com/office/drawing/2014/main" id="{D1CF8C06-D2DB-408C-A65F-B85D8C890002}"/>
            </a:ext>
          </a:extLst>
        </xdr:cNvPr>
        <xdr:cNvSpPr>
          <a:spLocks noChangeArrowheads="1"/>
        </xdr:cNvSpPr>
      </xdr:nvSpPr>
      <xdr:spPr bwMode="auto">
        <a:xfrm>
          <a:off x="609600" y="12106275"/>
          <a:ext cx="1276350"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361950</xdr:colOff>
      <xdr:row>54</xdr:row>
      <xdr:rowOff>152400</xdr:rowOff>
    </xdr:from>
    <xdr:to>
      <xdr:col>3</xdr:col>
      <xdr:colOff>285750</xdr:colOff>
      <xdr:row>56</xdr:row>
      <xdr:rowOff>38100</xdr:rowOff>
    </xdr:to>
    <xdr:sp macro="" textlink="">
      <xdr:nvSpPr>
        <xdr:cNvPr id="22" name="AutoShape 39">
          <a:extLst>
            <a:ext uri="{FF2B5EF4-FFF2-40B4-BE49-F238E27FC236}">
              <a16:creationId xmlns:a16="http://schemas.microsoft.com/office/drawing/2014/main" id="{292D56CF-EA27-435D-B5CF-6AE920A2AEA1}"/>
            </a:ext>
          </a:extLst>
        </xdr:cNvPr>
        <xdr:cNvSpPr>
          <a:spLocks noChangeArrowheads="1"/>
        </xdr:cNvSpPr>
      </xdr:nvSpPr>
      <xdr:spPr bwMode="auto">
        <a:xfrm>
          <a:off x="609600" y="9448800"/>
          <a:ext cx="1276350" cy="2857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371475</xdr:colOff>
      <xdr:row>56</xdr:row>
      <xdr:rowOff>104775</xdr:rowOff>
    </xdr:from>
    <xdr:to>
      <xdr:col>7</xdr:col>
      <xdr:colOff>895350</xdr:colOff>
      <xdr:row>59</xdr:row>
      <xdr:rowOff>28575</xdr:rowOff>
    </xdr:to>
    <xdr:pic>
      <xdr:nvPicPr>
        <xdr:cNvPr id="23" name="Picture 47">
          <a:extLst>
            <a:ext uri="{FF2B5EF4-FFF2-40B4-BE49-F238E27FC236}">
              <a16:creationId xmlns:a16="http://schemas.microsoft.com/office/drawing/2014/main" id="{51EA8D14-1C66-4907-A43E-44215DC1B2D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5" y="980122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314325</xdr:colOff>
      <xdr:row>79</xdr:row>
      <xdr:rowOff>104775</xdr:rowOff>
    </xdr:from>
    <xdr:to>
      <xdr:col>7</xdr:col>
      <xdr:colOff>838200</xdr:colOff>
      <xdr:row>82</xdr:row>
      <xdr:rowOff>28575</xdr:rowOff>
    </xdr:to>
    <xdr:pic>
      <xdr:nvPicPr>
        <xdr:cNvPr id="24" name="Picture 48">
          <a:extLst>
            <a:ext uri="{FF2B5EF4-FFF2-40B4-BE49-F238E27FC236}">
              <a16:creationId xmlns:a16="http://schemas.microsoft.com/office/drawing/2014/main" id="{DBF5BC77-08E6-45F9-B845-0B840C5ED0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61975" y="14344650"/>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9525</xdr:colOff>
      <xdr:row>89</xdr:row>
      <xdr:rowOff>76200</xdr:rowOff>
    </xdr:from>
    <xdr:to>
      <xdr:col>7</xdr:col>
      <xdr:colOff>1123950</xdr:colOff>
      <xdr:row>92</xdr:row>
      <xdr:rowOff>0</xdr:rowOff>
    </xdr:to>
    <xdr:pic>
      <xdr:nvPicPr>
        <xdr:cNvPr id="25" name="Picture 49">
          <a:extLst>
            <a:ext uri="{FF2B5EF4-FFF2-40B4-BE49-F238E27FC236}">
              <a16:creationId xmlns:a16="http://schemas.microsoft.com/office/drawing/2014/main" id="{7C20B184-82FD-4B34-9AB1-2639AA56BDD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47725" y="16287750"/>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381000</xdr:colOff>
      <xdr:row>69</xdr:row>
      <xdr:rowOff>142875</xdr:rowOff>
    </xdr:from>
    <xdr:to>
      <xdr:col>7</xdr:col>
      <xdr:colOff>904875</xdr:colOff>
      <xdr:row>72</xdr:row>
      <xdr:rowOff>66675</xdr:rowOff>
    </xdr:to>
    <xdr:pic>
      <xdr:nvPicPr>
        <xdr:cNvPr id="26" name="Picture 51">
          <a:extLst>
            <a:ext uri="{FF2B5EF4-FFF2-40B4-BE49-F238E27FC236}">
              <a16:creationId xmlns:a16="http://schemas.microsoft.com/office/drawing/2014/main" id="{42C0D63E-C0A0-4B6D-B4B6-E2C1A81E0FD3}"/>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628650" y="1241107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171450</xdr:colOff>
      <xdr:row>33</xdr:row>
      <xdr:rowOff>57150</xdr:rowOff>
    </xdr:from>
    <xdr:to>
      <xdr:col>4</xdr:col>
      <xdr:colOff>857250</xdr:colOff>
      <xdr:row>37</xdr:row>
      <xdr:rowOff>0</xdr:rowOff>
    </xdr:to>
    <xdr:sp macro="" textlink="">
      <xdr:nvSpPr>
        <xdr:cNvPr id="27" name="AutoShape 52">
          <a:extLst>
            <a:ext uri="{FF2B5EF4-FFF2-40B4-BE49-F238E27FC236}">
              <a16:creationId xmlns:a16="http://schemas.microsoft.com/office/drawing/2014/main" id="{C573D1F9-457D-486D-9172-AA2FA696CE69}"/>
            </a:ext>
          </a:extLst>
        </xdr:cNvPr>
        <xdr:cNvSpPr>
          <a:spLocks noChangeArrowheads="1"/>
        </xdr:cNvSpPr>
      </xdr:nvSpPr>
      <xdr:spPr bwMode="auto">
        <a:xfrm>
          <a:off x="419100" y="5857875"/>
          <a:ext cx="2981325" cy="552450"/>
        </a:xfrm>
        <a:prstGeom prst="wedgeRectCallout">
          <a:avLst>
            <a:gd name="adj1" fmla="val 43931"/>
            <a:gd name="adj2" fmla="val 79310"/>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　</a:t>
          </a:r>
          <a:r>
            <a:rPr lang="ja-JP" altLang="en-US" sz="1100" b="1" i="0" u="none" strike="noStrike" baseline="0">
              <a:solidFill>
                <a:srgbClr val="008000"/>
              </a:solidFill>
              <a:latin typeface="ＭＳ Ｐゴシック"/>
              <a:ea typeface="ＭＳ Ｐゴシック"/>
            </a:rPr>
            <a:t>d1:</a:t>
          </a:r>
          <a:endParaRPr lang="ja-JP" altLang="en-US" sz="1100" b="0" i="0" u="none" strike="noStrike" baseline="0">
            <a:solidFill>
              <a:srgbClr val="000000"/>
            </a:solidFill>
            <a:latin typeface="ＭＳ Ｐゴシック"/>
            <a:ea typeface="ＭＳ Ｐゴシック"/>
          </a:endParaRPr>
        </a:p>
        <a:p>
          <a:pPr algn="l" rtl="0">
            <a:defRPr sz="1000"/>
          </a:pPr>
          <a:r>
            <a:rPr lang="ja-JP" altLang="en-US" sz="1000" b="0" i="0" u="none" strike="noStrike" baseline="0">
              <a:solidFill>
                <a:srgbClr val="000000"/>
              </a:solidFill>
              <a:latin typeface="ＭＳ Ｐゴシック"/>
              <a:ea typeface="ＭＳ Ｐゴシック"/>
            </a:rPr>
            <a:t>　更新条件に該当するレコードを更新している ことを確認</a:t>
          </a:r>
          <a:endParaRPr lang="ja-JP" altLang="en-US" sz="1100" b="0" i="0" u="none" strike="noStrike" baseline="0">
            <a:solidFill>
              <a:srgbClr val="000000"/>
            </a:solidFill>
            <a:latin typeface="ＭＳ Ｐゴシック"/>
            <a:ea typeface="ＭＳ Ｐゴシック"/>
          </a:endParaRPr>
        </a:p>
        <a:p>
          <a:pPr algn="l" rtl="0">
            <a:defRPr sz="1000"/>
          </a:pPr>
          <a:r>
            <a:rPr lang="ja-JP" altLang="en-US" sz="1100" b="0" i="0" u="none" strike="noStrike" baseline="0">
              <a:solidFill>
                <a:srgbClr val="000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更新対象以外は更新処理を行っていない)</a:t>
          </a: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257175</xdr:colOff>
      <xdr:row>160</xdr:row>
      <xdr:rowOff>9525</xdr:rowOff>
    </xdr:from>
    <xdr:to>
      <xdr:col>9</xdr:col>
      <xdr:colOff>2800350</xdr:colOff>
      <xdr:row>164</xdr:row>
      <xdr:rowOff>76200</xdr:rowOff>
    </xdr:to>
    <xdr:pic>
      <xdr:nvPicPr>
        <xdr:cNvPr id="2" name="Picture 334">
          <a:extLst>
            <a:ext uri="{FF2B5EF4-FFF2-40B4-BE49-F238E27FC236}">
              <a16:creationId xmlns:a16="http://schemas.microsoft.com/office/drawing/2014/main" id="{8F380B7D-D42C-4B8D-B36B-8987506A94B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33400" y="32880300"/>
          <a:ext cx="6457950"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0</xdr:colOff>
      <xdr:row>56</xdr:row>
      <xdr:rowOff>142875</xdr:rowOff>
    </xdr:from>
    <xdr:to>
      <xdr:col>9</xdr:col>
      <xdr:colOff>3162300</xdr:colOff>
      <xdr:row>60</xdr:row>
      <xdr:rowOff>133350</xdr:rowOff>
    </xdr:to>
    <xdr:pic>
      <xdr:nvPicPr>
        <xdr:cNvPr id="3" name="Picture 332">
          <a:extLst>
            <a:ext uri="{FF2B5EF4-FFF2-40B4-BE49-F238E27FC236}">
              <a16:creationId xmlns:a16="http://schemas.microsoft.com/office/drawing/2014/main" id="{4F101DD7-4CD0-4DBC-9D79-54015634D5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95350" y="10763250"/>
          <a:ext cx="6457950"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314325</xdr:colOff>
      <xdr:row>49</xdr:row>
      <xdr:rowOff>104775</xdr:rowOff>
    </xdr:from>
    <xdr:to>
      <xdr:col>8</xdr:col>
      <xdr:colOff>542925</xdr:colOff>
      <xdr:row>53</xdr:row>
      <xdr:rowOff>152400</xdr:rowOff>
    </xdr:to>
    <xdr:pic>
      <xdr:nvPicPr>
        <xdr:cNvPr id="4" name="Picture 331">
          <a:extLst>
            <a:ext uri="{FF2B5EF4-FFF2-40B4-BE49-F238E27FC236}">
              <a16:creationId xmlns:a16="http://schemas.microsoft.com/office/drawing/2014/main" id="{9C3F06E7-F984-466A-A5A9-23A35853FFEE}"/>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90550" y="9191625"/>
          <a:ext cx="3457575" cy="92392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219075</xdr:colOff>
      <xdr:row>139</xdr:row>
      <xdr:rowOff>114300</xdr:rowOff>
    </xdr:from>
    <xdr:to>
      <xdr:col>9</xdr:col>
      <xdr:colOff>3486150</xdr:colOff>
      <xdr:row>145</xdr:row>
      <xdr:rowOff>9525</xdr:rowOff>
    </xdr:to>
    <xdr:pic>
      <xdr:nvPicPr>
        <xdr:cNvPr id="5" name="Picture 322">
          <a:extLst>
            <a:ext uri="{FF2B5EF4-FFF2-40B4-BE49-F238E27FC236}">
              <a16:creationId xmlns:a16="http://schemas.microsoft.com/office/drawing/2014/main" id="{330CF731-590E-4856-BA57-D7756BCC0013}"/>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495300" y="28689300"/>
          <a:ext cx="7181850" cy="12096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9</xdr:col>
      <xdr:colOff>2247900</xdr:colOff>
      <xdr:row>136</xdr:row>
      <xdr:rowOff>180975</xdr:rowOff>
    </xdr:from>
    <xdr:to>
      <xdr:col>10</xdr:col>
      <xdr:colOff>95250</xdr:colOff>
      <xdr:row>138</xdr:row>
      <xdr:rowOff>19050</xdr:rowOff>
    </xdr:to>
    <xdr:sp macro="" textlink="">
      <xdr:nvSpPr>
        <xdr:cNvPr id="6" name="AutoShape 12">
          <a:extLst>
            <a:ext uri="{FF2B5EF4-FFF2-40B4-BE49-F238E27FC236}">
              <a16:creationId xmlns:a16="http://schemas.microsoft.com/office/drawing/2014/main" id="{3144D8A2-9BFF-472E-90A9-D46DE41A4A72}"/>
            </a:ext>
          </a:extLst>
        </xdr:cNvPr>
        <xdr:cNvSpPr>
          <a:spLocks noChangeArrowheads="1"/>
        </xdr:cNvSpPr>
      </xdr:nvSpPr>
      <xdr:spPr bwMode="auto">
        <a:xfrm>
          <a:off x="6438900" y="28098750"/>
          <a:ext cx="2571750" cy="276225"/>
        </a:xfrm>
        <a:prstGeom prst="wedgeRectCallout">
          <a:avLst>
            <a:gd name="adj1" fmla="val 3333"/>
            <a:gd name="adj2" fmla="val 253449"/>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日付の計算が正常に行われていることを確認</a:t>
          </a:r>
        </a:p>
      </xdr:txBody>
    </xdr:sp>
    <xdr:clientData/>
  </xdr:twoCellAnchor>
  <xdr:twoCellAnchor editAs="oneCell">
    <xdr:from>
      <xdr:col>2</xdr:col>
      <xdr:colOff>0</xdr:colOff>
      <xdr:row>121</xdr:row>
      <xdr:rowOff>9525</xdr:rowOff>
    </xdr:from>
    <xdr:to>
      <xdr:col>9</xdr:col>
      <xdr:colOff>4581525</xdr:colOff>
      <xdr:row>125</xdr:row>
      <xdr:rowOff>0</xdr:rowOff>
    </xdr:to>
    <xdr:pic>
      <xdr:nvPicPr>
        <xdr:cNvPr id="7" name="Picture 316">
          <a:extLst>
            <a:ext uri="{FF2B5EF4-FFF2-40B4-BE49-F238E27FC236}">
              <a16:creationId xmlns:a16="http://schemas.microsoft.com/office/drawing/2014/main" id="{79C1DF8C-4D23-410A-9F50-246CF197094E}"/>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895350" y="24717375"/>
          <a:ext cx="7877175"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276225</xdr:colOff>
      <xdr:row>105</xdr:row>
      <xdr:rowOff>76200</xdr:rowOff>
    </xdr:from>
    <xdr:to>
      <xdr:col>9</xdr:col>
      <xdr:colOff>4238625</xdr:colOff>
      <xdr:row>109</xdr:row>
      <xdr:rowOff>66675</xdr:rowOff>
    </xdr:to>
    <xdr:pic>
      <xdr:nvPicPr>
        <xdr:cNvPr id="8" name="Picture 312">
          <a:extLst>
            <a:ext uri="{FF2B5EF4-FFF2-40B4-BE49-F238E27FC236}">
              <a16:creationId xmlns:a16="http://schemas.microsoft.com/office/drawing/2014/main" id="{11530EC6-23CF-466D-A2B5-3BFE0B94566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552450" y="21278850"/>
          <a:ext cx="7877175"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19050</xdr:colOff>
      <xdr:row>89</xdr:row>
      <xdr:rowOff>114300</xdr:rowOff>
    </xdr:from>
    <xdr:to>
      <xdr:col>9</xdr:col>
      <xdr:colOff>4600575</xdr:colOff>
      <xdr:row>93</xdr:row>
      <xdr:rowOff>104775</xdr:rowOff>
    </xdr:to>
    <xdr:pic>
      <xdr:nvPicPr>
        <xdr:cNvPr id="9" name="Picture 310">
          <a:extLst>
            <a:ext uri="{FF2B5EF4-FFF2-40B4-BE49-F238E27FC236}">
              <a16:creationId xmlns:a16="http://schemas.microsoft.com/office/drawing/2014/main" id="{4E7841F2-F9F2-4EA5-86BB-99C645EB2996}"/>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914400" y="17811750"/>
          <a:ext cx="7877175"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228600</xdr:colOff>
      <xdr:row>82</xdr:row>
      <xdr:rowOff>28575</xdr:rowOff>
    </xdr:from>
    <xdr:to>
      <xdr:col>9</xdr:col>
      <xdr:colOff>571500</xdr:colOff>
      <xdr:row>86</xdr:row>
      <xdr:rowOff>85725</xdr:rowOff>
    </xdr:to>
    <xdr:pic>
      <xdr:nvPicPr>
        <xdr:cNvPr id="10" name="Picture 307">
          <a:extLst>
            <a:ext uri="{FF2B5EF4-FFF2-40B4-BE49-F238E27FC236}">
              <a16:creationId xmlns:a16="http://schemas.microsoft.com/office/drawing/2014/main" id="{C654FF3A-19E5-4251-BC4C-72ED09FCBF9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504825" y="16192500"/>
          <a:ext cx="4257675" cy="93345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0</xdr:colOff>
      <xdr:row>72</xdr:row>
      <xdr:rowOff>209550</xdr:rowOff>
    </xdr:from>
    <xdr:to>
      <xdr:col>9</xdr:col>
      <xdr:colOff>3638550</xdr:colOff>
      <xdr:row>76</xdr:row>
      <xdr:rowOff>200025</xdr:rowOff>
    </xdr:to>
    <xdr:pic>
      <xdr:nvPicPr>
        <xdr:cNvPr id="11" name="Picture 305">
          <a:extLst>
            <a:ext uri="{FF2B5EF4-FFF2-40B4-BE49-F238E27FC236}">
              <a16:creationId xmlns:a16="http://schemas.microsoft.com/office/drawing/2014/main" id="{E846CF1D-93B5-4287-B2CE-664609626C94}"/>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95350" y="14258925"/>
          <a:ext cx="6934200"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9</xdr:col>
      <xdr:colOff>2762250</xdr:colOff>
      <xdr:row>102</xdr:row>
      <xdr:rowOff>57150</xdr:rowOff>
    </xdr:from>
    <xdr:to>
      <xdr:col>10</xdr:col>
      <xdr:colOff>238125</xdr:colOff>
      <xdr:row>103</xdr:row>
      <xdr:rowOff>133350</xdr:rowOff>
    </xdr:to>
    <xdr:sp macro="" textlink="">
      <xdr:nvSpPr>
        <xdr:cNvPr id="12" name="AutoShape 31">
          <a:extLst>
            <a:ext uri="{FF2B5EF4-FFF2-40B4-BE49-F238E27FC236}">
              <a16:creationId xmlns:a16="http://schemas.microsoft.com/office/drawing/2014/main" id="{CBABD98B-8400-4106-9390-CBE268B22467}"/>
            </a:ext>
          </a:extLst>
        </xdr:cNvPr>
        <xdr:cNvSpPr>
          <a:spLocks noChangeArrowheads="1"/>
        </xdr:cNvSpPr>
      </xdr:nvSpPr>
      <xdr:spPr bwMode="auto">
        <a:xfrm>
          <a:off x="6953250" y="20602575"/>
          <a:ext cx="2200275" cy="295275"/>
        </a:xfrm>
        <a:prstGeom prst="wedgeRectCallout">
          <a:avLst>
            <a:gd name="adj1" fmla="val -6278"/>
            <a:gd name="adj2" fmla="val 233870"/>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切り上げ処理ができていることを確認</a:t>
          </a:r>
        </a:p>
      </xdr:txBody>
    </xdr:sp>
    <xdr:clientData/>
  </xdr:twoCellAnchor>
  <xdr:twoCellAnchor>
    <xdr:from>
      <xdr:col>6</xdr:col>
      <xdr:colOff>342900</xdr:colOff>
      <xdr:row>1</xdr:row>
      <xdr:rowOff>0</xdr:rowOff>
    </xdr:from>
    <xdr:to>
      <xdr:col>10</xdr:col>
      <xdr:colOff>542925</xdr:colOff>
      <xdr:row>1</xdr:row>
      <xdr:rowOff>0</xdr:rowOff>
    </xdr:to>
    <xdr:sp macro="" textlink="">
      <xdr:nvSpPr>
        <xdr:cNvPr id="13" name="Text Box 1">
          <a:extLst>
            <a:ext uri="{FF2B5EF4-FFF2-40B4-BE49-F238E27FC236}">
              <a16:creationId xmlns:a16="http://schemas.microsoft.com/office/drawing/2014/main" id="{1E8DFFEA-9B50-49B8-8CD0-0A16988D1035}"/>
            </a:ext>
          </a:extLst>
        </xdr:cNvPr>
        <xdr:cNvSpPr txBox="1">
          <a:spLocks noChangeArrowheads="1"/>
        </xdr:cNvSpPr>
      </xdr:nvSpPr>
      <xdr:spPr bwMode="auto">
        <a:xfrm>
          <a:off x="2476500" y="200025"/>
          <a:ext cx="6981825" cy="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969696" mc:Ignorable="a14" a14:legacySpreadsheetColorIndex="55"/>
          </a:solid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333333"/>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&lt;&lt;&lt; LG44LT710 &gt;&gt;&gt; --------- ( Start Time : 2006-08-28 09:44:51 ) --- </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 Sub : f_envi          ) _____ Start [ Time 09:44:51 ]</a:t>
          </a:r>
        </a:p>
        <a:p>
          <a:pPr algn="l" rtl="0">
            <a:defRPr sz="1000"/>
          </a:pPr>
          <a:r>
            <a:rPr lang="ja-JP" altLang="en-US" sz="900" b="0" i="0" u="none" strike="noStrike" baseline="0">
              <a:solidFill>
                <a:srgbClr val="808080"/>
              </a:solidFill>
              <a:latin typeface="ＭＳ ゴシック"/>
              <a:ea typeface="ＭＳ ゴシック"/>
            </a:rPr>
            <a:t>    ( Sub : f_envi          ) _____ End.. [ Time 09:44:51 ] (  0:00:00.039)</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 Sub : f_init          ) _____ Start [ Time 09:44:51 ]</a:t>
          </a:r>
        </a:p>
        <a:p>
          <a:pPr algn="l" rtl="0">
            <a:defRPr sz="1000"/>
          </a:pPr>
          <a:r>
            <a:rPr lang="ja-JP" altLang="en-US" sz="900" b="0" i="0" u="none" strike="noStrike" baseline="0">
              <a:solidFill>
                <a:srgbClr val="808080"/>
              </a:solidFill>
              <a:latin typeface="ＭＳ ゴシック"/>
              <a:ea typeface="ＭＳ ゴシック"/>
            </a:rPr>
            <a:t>        g_logfile = [/home2/project/pj0204/test/user_kinpara/lg44lt710.log]</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 Sub : f_init          ) _____ End.. [ Time 09:44:51 ] (  0:00:00.230)</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 Sub : f_main          ) _____ Start [ Time 09:44:51 ]</a:t>
          </a:r>
        </a:p>
        <a:p>
          <a:pPr algn="l" rtl="0">
            <a:defRPr sz="1000"/>
          </a:pPr>
          <a:r>
            <a:rPr lang="ja-JP" altLang="en-US" sz="900" b="0" i="0" u="none" strike="noStrike" baseline="0">
              <a:solidFill>
                <a:srgbClr val="808080"/>
              </a:solidFill>
              <a:latin typeface="ＭＳ ゴシック"/>
              <a:ea typeface="ＭＳ ゴシック"/>
            </a:rPr>
            <a:t>    ( Sub : f_main          ) _____ End.. [ Time 09:44:51 ] (  0:00:00.087)</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 Sub : f_term          ) _____ Start [ Time 09:44:51 ]</a:t>
          </a:r>
        </a:p>
        <a:p>
          <a:pPr algn="l" rtl="0">
            <a:defRPr sz="1000"/>
          </a:pPr>
          <a:r>
            <a:rPr lang="ja-JP" altLang="en-US" sz="900" b="0" i="0" u="none" strike="noStrike" baseline="0">
              <a:solidFill>
                <a:srgbClr val="808080"/>
              </a:solidFill>
              <a:latin typeface="ＭＳ ゴシック"/>
              <a:ea typeface="ＭＳ ゴシック"/>
            </a:rPr>
            <a:t>        [cc3_trans_price] delete count =           5</a:t>
          </a:r>
        </a:p>
        <a:p>
          <a:pPr algn="l" rtl="0">
            <a:defRPr sz="1000"/>
          </a:pPr>
          <a:r>
            <a:rPr lang="ja-JP" altLang="en-US" sz="900" b="0" i="0" u="none" strike="noStrike" baseline="0">
              <a:solidFill>
                <a:srgbClr val="808080"/>
              </a:solidFill>
              <a:latin typeface="ＭＳ ゴシック"/>
              <a:ea typeface="ＭＳ ゴシック"/>
            </a:rPr>
            <a:t>        [rel_eifuri_tnk ] select count =           3</a:t>
          </a:r>
        </a:p>
        <a:p>
          <a:pPr algn="l" rtl="0">
            <a:defRPr sz="1000"/>
          </a:pPr>
          <a:r>
            <a:rPr lang="ja-JP" altLang="en-US" sz="900" b="0" i="0" u="none" strike="noStrike" baseline="0">
              <a:solidFill>
                <a:srgbClr val="808080"/>
              </a:solidFill>
              <a:latin typeface="ＭＳ ゴシック"/>
              <a:ea typeface="ＭＳ ゴシック"/>
            </a:rPr>
            <a:t>        [rel_eifuri_item] select count =           4</a:t>
          </a:r>
        </a:p>
        <a:p>
          <a:pPr algn="l" rtl="0">
            <a:defRPr sz="1000"/>
          </a:pPr>
          <a:r>
            <a:rPr lang="ja-JP" altLang="en-US" sz="900" b="0" i="0" u="none" strike="noStrike" baseline="0">
              <a:solidFill>
                <a:srgbClr val="808080"/>
              </a:solidFill>
              <a:latin typeface="ＭＳ ゴシック"/>
              <a:ea typeface="ＭＳ ゴシック"/>
            </a:rPr>
            <a:t>        [cc3_trans_price] insert count =           7</a:t>
          </a:r>
        </a:p>
        <a:p>
          <a:pPr algn="l" rtl="0">
            <a:defRPr sz="1000"/>
          </a:pPr>
          <a:r>
            <a:rPr lang="ja-JP" altLang="en-US" sz="900" b="0" i="0" u="none" strike="noStrike" baseline="0">
              <a:solidFill>
                <a:srgbClr val="808080"/>
              </a:solidFill>
              <a:latin typeface="ＭＳ ゴシック"/>
              <a:ea typeface="ＭＳ ゴシック"/>
            </a:rPr>
            <a:t>    ( Sub : f_term          ) _____ End.. [ Time 09:44:51 ] (  0:00:00.143)</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&lt;&lt;&lt; LG44LT710 &gt;&gt;&gt; --------- ( End   Time : 2006-08-28 09:44:51 ) --- ( Exec :   0:00:00.695 SEC ) --- </a:t>
          </a:r>
        </a:p>
        <a:p>
          <a:pPr algn="l" rtl="0">
            <a:defRPr sz="1000"/>
          </a:pPr>
          <a:r>
            <a:rPr lang="ja-JP" altLang="en-US" sz="900" b="0" i="0" u="none" strike="noStrike" baseline="0">
              <a:solidFill>
                <a:srgbClr val="808080"/>
              </a:solidFill>
              <a:latin typeface="ＭＳ ゴシック"/>
              <a:ea typeface="ＭＳ ゴシック"/>
            </a:rPr>
            <a:t> </a:t>
          </a:r>
        </a:p>
      </xdr:txBody>
    </xdr:sp>
    <xdr:clientData/>
  </xdr:twoCellAnchor>
  <xdr:twoCellAnchor>
    <xdr:from>
      <xdr:col>9</xdr:col>
      <xdr:colOff>2914650</xdr:colOff>
      <xdr:row>74</xdr:row>
      <xdr:rowOff>142875</xdr:rowOff>
    </xdr:from>
    <xdr:to>
      <xdr:col>9</xdr:col>
      <xdr:colOff>3657600</xdr:colOff>
      <xdr:row>77</xdr:row>
      <xdr:rowOff>38100</xdr:rowOff>
    </xdr:to>
    <xdr:sp macro="" textlink="">
      <xdr:nvSpPr>
        <xdr:cNvPr id="14" name="Rectangle 21">
          <a:extLst>
            <a:ext uri="{FF2B5EF4-FFF2-40B4-BE49-F238E27FC236}">
              <a16:creationId xmlns:a16="http://schemas.microsoft.com/office/drawing/2014/main" id="{F25F8AE1-679D-41F5-B475-95C88CB96065}"/>
            </a:ext>
          </a:extLst>
        </xdr:cNvPr>
        <xdr:cNvSpPr>
          <a:spLocks noChangeArrowheads="1"/>
        </xdr:cNvSpPr>
      </xdr:nvSpPr>
      <xdr:spPr bwMode="auto">
        <a:xfrm>
          <a:off x="7105650" y="14630400"/>
          <a:ext cx="742950" cy="552450"/>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2447925</xdr:colOff>
      <xdr:row>91</xdr:row>
      <xdr:rowOff>9525</xdr:rowOff>
    </xdr:from>
    <xdr:to>
      <xdr:col>9</xdr:col>
      <xdr:colOff>4629150</xdr:colOff>
      <xdr:row>93</xdr:row>
      <xdr:rowOff>95250</xdr:rowOff>
    </xdr:to>
    <xdr:sp macro="" textlink="">
      <xdr:nvSpPr>
        <xdr:cNvPr id="15" name="Rectangle 24">
          <a:extLst>
            <a:ext uri="{FF2B5EF4-FFF2-40B4-BE49-F238E27FC236}">
              <a16:creationId xmlns:a16="http://schemas.microsoft.com/office/drawing/2014/main" id="{9941B60B-4D09-4EA6-B1D3-824939D48613}"/>
            </a:ext>
          </a:extLst>
        </xdr:cNvPr>
        <xdr:cNvSpPr>
          <a:spLocks noChangeArrowheads="1"/>
        </xdr:cNvSpPr>
      </xdr:nvSpPr>
      <xdr:spPr bwMode="auto">
        <a:xfrm>
          <a:off x="6638925" y="18145125"/>
          <a:ext cx="2181225" cy="523875"/>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2457450</xdr:colOff>
      <xdr:row>122</xdr:row>
      <xdr:rowOff>133350</xdr:rowOff>
    </xdr:from>
    <xdr:to>
      <xdr:col>9</xdr:col>
      <xdr:colOff>4619625</xdr:colOff>
      <xdr:row>125</xdr:row>
      <xdr:rowOff>28575</xdr:rowOff>
    </xdr:to>
    <xdr:sp macro="" textlink="">
      <xdr:nvSpPr>
        <xdr:cNvPr id="16" name="Rectangle 30">
          <a:extLst>
            <a:ext uri="{FF2B5EF4-FFF2-40B4-BE49-F238E27FC236}">
              <a16:creationId xmlns:a16="http://schemas.microsoft.com/office/drawing/2014/main" id="{A876813B-CFF6-4094-A880-018FBEC0AF5A}"/>
            </a:ext>
          </a:extLst>
        </xdr:cNvPr>
        <xdr:cNvSpPr>
          <a:spLocks noChangeArrowheads="1"/>
        </xdr:cNvSpPr>
      </xdr:nvSpPr>
      <xdr:spPr bwMode="auto">
        <a:xfrm>
          <a:off x="6648450" y="25060275"/>
          <a:ext cx="2162175" cy="552450"/>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2438400</xdr:colOff>
      <xdr:row>58</xdr:row>
      <xdr:rowOff>38100</xdr:rowOff>
    </xdr:from>
    <xdr:to>
      <xdr:col>9</xdr:col>
      <xdr:colOff>3171825</xdr:colOff>
      <xdr:row>60</xdr:row>
      <xdr:rowOff>142875</xdr:rowOff>
    </xdr:to>
    <xdr:sp macro="" textlink="">
      <xdr:nvSpPr>
        <xdr:cNvPr id="17" name="Rectangle 32">
          <a:extLst>
            <a:ext uri="{FF2B5EF4-FFF2-40B4-BE49-F238E27FC236}">
              <a16:creationId xmlns:a16="http://schemas.microsoft.com/office/drawing/2014/main" id="{8CFEDF8E-F1F9-4BBD-9E99-3C8F567643D2}"/>
            </a:ext>
          </a:extLst>
        </xdr:cNvPr>
        <xdr:cNvSpPr>
          <a:spLocks noChangeArrowheads="1"/>
        </xdr:cNvSpPr>
      </xdr:nvSpPr>
      <xdr:spPr bwMode="auto">
        <a:xfrm>
          <a:off x="6629400" y="11096625"/>
          <a:ext cx="733425" cy="542925"/>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1447800</xdr:colOff>
      <xdr:row>53</xdr:row>
      <xdr:rowOff>85725</xdr:rowOff>
    </xdr:from>
    <xdr:to>
      <xdr:col>9</xdr:col>
      <xdr:colOff>3933825</xdr:colOff>
      <xdr:row>54</xdr:row>
      <xdr:rowOff>85725</xdr:rowOff>
    </xdr:to>
    <xdr:sp macro="" textlink="">
      <xdr:nvSpPr>
        <xdr:cNvPr id="18" name="AutoShape 33">
          <a:extLst>
            <a:ext uri="{FF2B5EF4-FFF2-40B4-BE49-F238E27FC236}">
              <a16:creationId xmlns:a16="http://schemas.microsoft.com/office/drawing/2014/main" id="{704EF6A1-428B-4D18-A598-26EC17C3AD07}"/>
            </a:ext>
          </a:extLst>
        </xdr:cNvPr>
        <xdr:cNvSpPr>
          <a:spLocks noChangeArrowheads="1"/>
        </xdr:cNvSpPr>
      </xdr:nvSpPr>
      <xdr:spPr bwMode="auto">
        <a:xfrm>
          <a:off x="5638800" y="10048875"/>
          <a:ext cx="2486025" cy="219075"/>
        </a:xfrm>
        <a:prstGeom prst="wedgeRectCallout">
          <a:avLst>
            <a:gd name="adj1" fmla="val 13602"/>
            <a:gd name="adj2" fmla="val 363042"/>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売上高の計算に間違いがないことを確認</a:t>
          </a:r>
        </a:p>
      </xdr:txBody>
    </xdr:sp>
    <xdr:clientData/>
  </xdr:twoCellAnchor>
  <xdr:twoCellAnchor>
    <xdr:from>
      <xdr:col>9</xdr:col>
      <xdr:colOff>2085975</xdr:colOff>
      <xdr:row>162</xdr:row>
      <xdr:rowOff>19050</xdr:rowOff>
    </xdr:from>
    <xdr:to>
      <xdr:col>9</xdr:col>
      <xdr:colOff>2819400</xdr:colOff>
      <xdr:row>165</xdr:row>
      <xdr:rowOff>57150</xdr:rowOff>
    </xdr:to>
    <xdr:sp macro="" textlink="">
      <xdr:nvSpPr>
        <xdr:cNvPr id="19" name="Rectangle 36">
          <a:extLst>
            <a:ext uri="{FF2B5EF4-FFF2-40B4-BE49-F238E27FC236}">
              <a16:creationId xmlns:a16="http://schemas.microsoft.com/office/drawing/2014/main" id="{84DFA6C4-2BA4-4D0E-9B0A-CB084B4566D7}"/>
            </a:ext>
          </a:extLst>
        </xdr:cNvPr>
        <xdr:cNvSpPr>
          <a:spLocks noChangeArrowheads="1"/>
        </xdr:cNvSpPr>
      </xdr:nvSpPr>
      <xdr:spPr bwMode="auto">
        <a:xfrm>
          <a:off x="6276975" y="33289875"/>
          <a:ext cx="733425" cy="638175"/>
        </a:xfrm>
        <a:prstGeom prst="rect">
          <a:avLst/>
        </a:prstGeom>
        <a:noFill/>
        <a:ln w="158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2190750</xdr:colOff>
      <xdr:row>86</xdr:row>
      <xdr:rowOff>28575</xdr:rowOff>
    </xdr:from>
    <xdr:to>
      <xdr:col>9</xdr:col>
      <xdr:colOff>4257675</xdr:colOff>
      <xdr:row>88</xdr:row>
      <xdr:rowOff>66675</xdr:rowOff>
    </xdr:to>
    <xdr:sp macro="" textlink="">
      <xdr:nvSpPr>
        <xdr:cNvPr id="20" name="AutoShape 7">
          <a:extLst>
            <a:ext uri="{FF2B5EF4-FFF2-40B4-BE49-F238E27FC236}">
              <a16:creationId xmlns:a16="http://schemas.microsoft.com/office/drawing/2014/main" id="{EFC1A274-FA0E-4EC8-8920-BBF780C7F5DA}"/>
            </a:ext>
          </a:extLst>
        </xdr:cNvPr>
        <xdr:cNvSpPr>
          <a:spLocks noChangeArrowheads="1"/>
        </xdr:cNvSpPr>
      </xdr:nvSpPr>
      <xdr:spPr bwMode="auto">
        <a:xfrm>
          <a:off x="6381750" y="17068800"/>
          <a:ext cx="2066925" cy="476250"/>
        </a:xfrm>
        <a:prstGeom prst="wedgeRectCallout">
          <a:avLst>
            <a:gd name="adj1" fmla="val 67051"/>
            <a:gd name="adj2" fmla="val 184000"/>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1000" b="0" i="0" u="none" strike="noStrike" baseline="0">
              <a:solidFill>
                <a:srgbClr val="000000"/>
              </a:solidFill>
              <a:latin typeface="ＭＳ Ｐゴシック"/>
              <a:ea typeface="ＭＳ Ｐゴシック"/>
            </a:rPr>
            <a:t>小数点以下の四捨五入が</a:t>
          </a:r>
        </a:p>
        <a:p>
          <a:pPr algn="ctr" rtl="0">
            <a:lnSpc>
              <a:spcPts val="1000"/>
            </a:lnSpc>
            <a:defRPr sz="1000"/>
          </a:pPr>
          <a:r>
            <a:rPr lang="ja-JP" altLang="en-US" sz="1000" b="0" i="0" u="none" strike="noStrike" baseline="0">
              <a:solidFill>
                <a:srgbClr val="000000"/>
              </a:solidFill>
              <a:latin typeface="ＭＳ Ｐゴシック"/>
              <a:ea typeface="ＭＳ Ｐゴシック"/>
            </a:rPr>
            <a:t>正常に行えていることを確認</a:t>
          </a:r>
        </a:p>
      </xdr:txBody>
    </xdr:sp>
    <xdr:clientData/>
  </xdr:twoCellAnchor>
  <xdr:twoCellAnchor>
    <xdr:from>
      <xdr:col>9</xdr:col>
      <xdr:colOff>981075</xdr:colOff>
      <xdr:row>154</xdr:row>
      <xdr:rowOff>104775</xdr:rowOff>
    </xdr:from>
    <xdr:to>
      <xdr:col>10</xdr:col>
      <xdr:colOff>161925</xdr:colOff>
      <xdr:row>156</xdr:row>
      <xdr:rowOff>161925</xdr:rowOff>
    </xdr:to>
    <xdr:sp macro="" textlink="">
      <xdr:nvSpPr>
        <xdr:cNvPr id="21" name="AutoShape 8">
          <a:extLst>
            <a:ext uri="{FF2B5EF4-FFF2-40B4-BE49-F238E27FC236}">
              <a16:creationId xmlns:a16="http://schemas.microsoft.com/office/drawing/2014/main" id="{30F248D2-8F62-4703-B364-B53B2D76E1FC}"/>
            </a:ext>
          </a:extLst>
        </xdr:cNvPr>
        <xdr:cNvSpPr>
          <a:spLocks noChangeArrowheads="1"/>
        </xdr:cNvSpPr>
      </xdr:nvSpPr>
      <xdr:spPr bwMode="auto">
        <a:xfrm>
          <a:off x="5172075" y="31775400"/>
          <a:ext cx="3905250" cy="457200"/>
        </a:xfrm>
        <a:prstGeom prst="wedgeRectCallout">
          <a:avLst>
            <a:gd name="adj1" fmla="val -3171"/>
            <a:gd name="adj2" fmla="val 304764"/>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1000" b="0" i="0" u="none" strike="noStrike" baseline="0">
              <a:solidFill>
                <a:srgbClr val="000000"/>
              </a:solidFill>
              <a:latin typeface="ＭＳ Ｐゴシック"/>
              <a:ea typeface="ＭＳ Ｐゴシック"/>
            </a:rPr>
            <a:t>計算した値がオーバフローしていないことを確認</a:t>
          </a:r>
        </a:p>
        <a:p>
          <a:pPr algn="ctr" rtl="0">
            <a:lnSpc>
              <a:spcPts val="1000"/>
            </a:lnSpc>
            <a:defRPr sz="1000"/>
          </a:pPr>
          <a:r>
            <a:rPr lang="ja-JP" altLang="en-US" sz="1000" b="0" i="0" u="none" strike="noStrike" baseline="0">
              <a:solidFill>
                <a:srgbClr val="000000"/>
              </a:solidFill>
              <a:latin typeface="ＭＳ Ｐゴシック"/>
              <a:ea typeface="ＭＳ Ｐゴシック"/>
            </a:rPr>
            <a:t>(計算結果を格納する変数の領域が十分に確保されていることを確認</a:t>
          </a:r>
        </a:p>
      </xdr:txBody>
    </xdr:sp>
    <xdr:clientData/>
  </xdr:twoCellAnchor>
  <xdr:twoCellAnchor editAs="oneCell">
    <xdr:from>
      <xdr:col>1</xdr:col>
      <xdr:colOff>200025</xdr:colOff>
      <xdr:row>170</xdr:row>
      <xdr:rowOff>76200</xdr:rowOff>
    </xdr:from>
    <xdr:to>
      <xdr:col>9</xdr:col>
      <xdr:colOff>1028700</xdr:colOff>
      <xdr:row>174</xdr:row>
      <xdr:rowOff>133350</xdr:rowOff>
    </xdr:to>
    <xdr:pic>
      <xdr:nvPicPr>
        <xdr:cNvPr id="22" name="Picture 211">
          <a:extLst>
            <a:ext uri="{FF2B5EF4-FFF2-40B4-BE49-F238E27FC236}">
              <a16:creationId xmlns:a16="http://schemas.microsoft.com/office/drawing/2014/main" id="{28F8F9CF-E69E-42A3-9C3E-AC60533554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476250" y="34918650"/>
          <a:ext cx="4743450" cy="8572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266700</xdr:colOff>
      <xdr:row>178</xdr:row>
      <xdr:rowOff>114300</xdr:rowOff>
    </xdr:from>
    <xdr:to>
      <xdr:col>9</xdr:col>
      <xdr:colOff>742950</xdr:colOff>
      <xdr:row>183</xdr:row>
      <xdr:rowOff>57150</xdr:rowOff>
    </xdr:to>
    <xdr:pic>
      <xdr:nvPicPr>
        <xdr:cNvPr id="23" name="Picture 212">
          <a:extLst>
            <a:ext uri="{FF2B5EF4-FFF2-40B4-BE49-F238E27FC236}">
              <a16:creationId xmlns:a16="http://schemas.microsoft.com/office/drawing/2014/main" id="{4E3E134D-0A88-4EC5-A1DB-CECB268682EF}"/>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542925" y="36556950"/>
          <a:ext cx="4391025" cy="942975"/>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6</xdr:col>
      <xdr:colOff>666750</xdr:colOff>
      <xdr:row>175</xdr:row>
      <xdr:rowOff>142875</xdr:rowOff>
    </xdr:from>
    <xdr:to>
      <xdr:col>7</xdr:col>
      <xdr:colOff>247650</xdr:colOff>
      <xdr:row>177</xdr:row>
      <xdr:rowOff>152400</xdr:rowOff>
    </xdr:to>
    <xdr:sp macro="" textlink="">
      <xdr:nvSpPr>
        <xdr:cNvPr id="24" name="AutoShape 215">
          <a:extLst>
            <a:ext uri="{FF2B5EF4-FFF2-40B4-BE49-F238E27FC236}">
              <a16:creationId xmlns:a16="http://schemas.microsoft.com/office/drawing/2014/main" id="{296EB562-4331-4697-867D-D09F9C2B66A5}"/>
            </a:ext>
          </a:extLst>
        </xdr:cNvPr>
        <xdr:cNvSpPr>
          <a:spLocks noChangeArrowheads="1"/>
        </xdr:cNvSpPr>
      </xdr:nvSpPr>
      <xdr:spPr bwMode="auto">
        <a:xfrm>
          <a:off x="2800350" y="35985450"/>
          <a:ext cx="266700" cy="409575"/>
        </a:xfrm>
        <a:prstGeom prst="downArrow">
          <a:avLst>
            <a:gd name="adj1" fmla="val 50000"/>
            <a:gd name="adj2" fmla="val 33036"/>
          </a:avLst>
        </a:prstGeom>
        <a:solidFill>
          <a:srgbClr xmlns:mc="http://schemas.openxmlformats.org/markup-compatibility/2006" xmlns:a14="http://schemas.microsoft.com/office/drawing/2010/main" val="FFFFFF" mc:Ignorable="a14" a14:legacySpreadsheetColorIndex="9"/>
        </a:solidFill>
        <a:ln w="12700">
          <a:solidFill>
            <a:srgbClr xmlns:mc="http://schemas.openxmlformats.org/markup-compatibility/2006" xmlns:a14="http://schemas.microsoft.com/office/drawing/2010/main" val="FF9900" mc:Ignorable="a14" a14:legacySpreadsheetColorIndex="52"/>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8</xdr:col>
      <xdr:colOff>638175</xdr:colOff>
      <xdr:row>179</xdr:row>
      <xdr:rowOff>95250</xdr:rowOff>
    </xdr:from>
    <xdr:to>
      <xdr:col>9</xdr:col>
      <xdr:colOff>742950</xdr:colOff>
      <xdr:row>183</xdr:row>
      <xdr:rowOff>114300</xdr:rowOff>
    </xdr:to>
    <xdr:sp macro="" textlink="">
      <xdr:nvSpPr>
        <xdr:cNvPr id="25" name="Rectangle 206">
          <a:extLst>
            <a:ext uri="{FF2B5EF4-FFF2-40B4-BE49-F238E27FC236}">
              <a16:creationId xmlns:a16="http://schemas.microsoft.com/office/drawing/2014/main" id="{4CF3CDC6-D1F5-4867-9A82-0AA34EC2D0F4}"/>
            </a:ext>
          </a:extLst>
        </xdr:cNvPr>
        <xdr:cNvSpPr>
          <a:spLocks noChangeArrowheads="1"/>
        </xdr:cNvSpPr>
      </xdr:nvSpPr>
      <xdr:spPr bwMode="auto">
        <a:xfrm>
          <a:off x="4143375" y="36737925"/>
          <a:ext cx="790575" cy="819150"/>
        </a:xfrm>
        <a:prstGeom prst="rect">
          <a:avLst/>
        </a:prstGeom>
        <a:noFill/>
        <a:ln w="158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editAs="oneCell">
    <xdr:from>
      <xdr:col>1</xdr:col>
      <xdr:colOff>276225</xdr:colOff>
      <xdr:row>191</xdr:row>
      <xdr:rowOff>19050</xdr:rowOff>
    </xdr:from>
    <xdr:to>
      <xdr:col>9</xdr:col>
      <xdr:colOff>752475</xdr:colOff>
      <xdr:row>195</xdr:row>
      <xdr:rowOff>9525</xdr:rowOff>
    </xdr:to>
    <xdr:pic>
      <xdr:nvPicPr>
        <xdr:cNvPr id="26" name="Picture 217">
          <a:extLst>
            <a:ext uri="{FF2B5EF4-FFF2-40B4-BE49-F238E27FC236}">
              <a16:creationId xmlns:a16="http://schemas.microsoft.com/office/drawing/2014/main" id="{3A3C2B50-4217-451C-BD26-759475239F6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52450" y="39062025"/>
          <a:ext cx="4391025" cy="790575"/>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9</xdr:col>
      <xdr:colOff>1028700</xdr:colOff>
      <xdr:row>225</xdr:row>
      <xdr:rowOff>76200</xdr:rowOff>
    </xdr:from>
    <xdr:to>
      <xdr:col>9</xdr:col>
      <xdr:colOff>1114425</xdr:colOff>
      <xdr:row>226</xdr:row>
      <xdr:rowOff>161925</xdr:rowOff>
    </xdr:to>
    <xdr:sp macro="" textlink="">
      <xdr:nvSpPr>
        <xdr:cNvPr id="27" name="AutoShape 224">
          <a:extLst>
            <a:ext uri="{FF2B5EF4-FFF2-40B4-BE49-F238E27FC236}">
              <a16:creationId xmlns:a16="http://schemas.microsoft.com/office/drawing/2014/main" id="{F1F84AD0-9A24-48D8-8526-EE836986F0E9}"/>
            </a:ext>
          </a:extLst>
        </xdr:cNvPr>
        <xdr:cNvSpPr>
          <a:spLocks/>
        </xdr:cNvSpPr>
      </xdr:nvSpPr>
      <xdr:spPr bwMode="auto">
        <a:xfrm>
          <a:off x="5219700" y="45958125"/>
          <a:ext cx="85725" cy="285750"/>
        </a:xfrm>
        <a:prstGeom prst="rightBrace">
          <a:avLst>
            <a:gd name="adj1" fmla="val 25000"/>
            <a:gd name="adj2" fmla="val 50000"/>
          </a:avLst>
        </a:prstGeom>
        <a:noFill/>
        <a:ln w="12700">
          <a:solidFill>
            <a:srgbClr xmlns:mc="http://schemas.openxmlformats.org/markup-compatibility/2006" xmlns:a14="http://schemas.microsoft.com/office/drawing/2010/main" val="FF0000" mc:Ignorable="a14" a14:legacySpreadsheetColorIndex="10"/>
          </a:solidFill>
          <a:round/>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219075</xdr:colOff>
      <xdr:row>206</xdr:row>
      <xdr:rowOff>57150</xdr:rowOff>
    </xdr:from>
    <xdr:to>
      <xdr:col>2</xdr:col>
      <xdr:colOff>542925</xdr:colOff>
      <xdr:row>208</xdr:row>
      <xdr:rowOff>66675</xdr:rowOff>
    </xdr:to>
    <xdr:sp macro="" textlink="">
      <xdr:nvSpPr>
        <xdr:cNvPr id="28" name="AutoShape 229">
          <a:extLst>
            <a:ext uri="{FF2B5EF4-FFF2-40B4-BE49-F238E27FC236}">
              <a16:creationId xmlns:a16="http://schemas.microsoft.com/office/drawing/2014/main" id="{A9F933A6-0386-4261-ABD3-252E11783FA0}"/>
            </a:ext>
          </a:extLst>
        </xdr:cNvPr>
        <xdr:cNvSpPr>
          <a:spLocks noChangeArrowheads="1"/>
        </xdr:cNvSpPr>
      </xdr:nvSpPr>
      <xdr:spPr bwMode="auto">
        <a:xfrm>
          <a:off x="495300" y="42119550"/>
          <a:ext cx="942975" cy="4095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レポート sample</a:t>
          </a:r>
        </a:p>
      </xdr:txBody>
    </xdr:sp>
    <xdr:clientData/>
  </xdr:twoCellAnchor>
  <xdr:twoCellAnchor editAs="oneCell">
    <xdr:from>
      <xdr:col>2</xdr:col>
      <xdr:colOff>104775</xdr:colOff>
      <xdr:row>220</xdr:row>
      <xdr:rowOff>28575</xdr:rowOff>
    </xdr:from>
    <xdr:to>
      <xdr:col>9</xdr:col>
      <xdr:colOff>990600</xdr:colOff>
      <xdr:row>222</xdr:row>
      <xdr:rowOff>104775</xdr:rowOff>
    </xdr:to>
    <xdr:pic>
      <xdr:nvPicPr>
        <xdr:cNvPr id="29" name="Picture 236">
          <a:extLst>
            <a:ext uri="{FF2B5EF4-FFF2-40B4-BE49-F238E27FC236}">
              <a16:creationId xmlns:a16="http://schemas.microsoft.com/office/drawing/2014/main" id="{4089B560-D430-4180-AEEA-15801CF204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000125" y="44910375"/>
          <a:ext cx="4181475" cy="4762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95250</xdr:colOff>
      <xdr:row>223</xdr:row>
      <xdr:rowOff>161925</xdr:rowOff>
    </xdr:from>
    <xdr:to>
      <xdr:col>9</xdr:col>
      <xdr:colOff>981075</xdr:colOff>
      <xdr:row>226</xdr:row>
      <xdr:rowOff>38100</xdr:rowOff>
    </xdr:to>
    <xdr:pic>
      <xdr:nvPicPr>
        <xdr:cNvPr id="30" name="Picture 237">
          <a:extLst>
            <a:ext uri="{FF2B5EF4-FFF2-40B4-BE49-F238E27FC236}">
              <a16:creationId xmlns:a16="http://schemas.microsoft.com/office/drawing/2014/main" id="{A9463F15-931A-497C-9D38-025DF6F8ABB8}"/>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990600" y="45643800"/>
          <a:ext cx="4181475" cy="4762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104775</xdr:colOff>
      <xdr:row>230</xdr:row>
      <xdr:rowOff>28575</xdr:rowOff>
    </xdr:from>
    <xdr:to>
      <xdr:col>9</xdr:col>
      <xdr:colOff>990600</xdr:colOff>
      <xdr:row>232</xdr:row>
      <xdr:rowOff>104775</xdr:rowOff>
    </xdr:to>
    <xdr:pic>
      <xdr:nvPicPr>
        <xdr:cNvPr id="31" name="Picture 238">
          <a:extLst>
            <a:ext uri="{FF2B5EF4-FFF2-40B4-BE49-F238E27FC236}">
              <a16:creationId xmlns:a16="http://schemas.microsoft.com/office/drawing/2014/main" id="{0D623FF9-A87F-4D8F-8E1A-EAB7317692D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000125" y="46910625"/>
          <a:ext cx="4181475" cy="4762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9</xdr:col>
      <xdr:colOff>1076325</xdr:colOff>
      <xdr:row>228</xdr:row>
      <xdr:rowOff>114300</xdr:rowOff>
    </xdr:from>
    <xdr:to>
      <xdr:col>9</xdr:col>
      <xdr:colOff>3838575</xdr:colOff>
      <xdr:row>230</xdr:row>
      <xdr:rowOff>85725</xdr:rowOff>
    </xdr:to>
    <xdr:sp macro="" textlink="">
      <xdr:nvSpPr>
        <xdr:cNvPr id="32" name="AutoShape 239">
          <a:extLst>
            <a:ext uri="{FF2B5EF4-FFF2-40B4-BE49-F238E27FC236}">
              <a16:creationId xmlns:a16="http://schemas.microsoft.com/office/drawing/2014/main" id="{A2D6066E-DB79-43B1-B65E-7789726D48C5}"/>
            </a:ext>
          </a:extLst>
        </xdr:cNvPr>
        <xdr:cNvSpPr>
          <a:spLocks noChangeArrowheads="1"/>
        </xdr:cNvSpPr>
      </xdr:nvSpPr>
      <xdr:spPr bwMode="auto">
        <a:xfrm>
          <a:off x="5267325" y="46596300"/>
          <a:ext cx="2762250" cy="371475"/>
        </a:xfrm>
        <a:prstGeom prst="wedgeRectCallout">
          <a:avLst>
            <a:gd name="adj1" fmla="val -48968"/>
            <a:gd name="adj2" fmla="val 101514"/>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1000" b="1" i="0" u="none" strike="noStrike" baseline="0">
              <a:solidFill>
                <a:srgbClr val="000000"/>
              </a:solidFill>
              <a:latin typeface="ＭＳ Ｐゴシック"/>
              <a:ea typeface="ＭＳ Ｐゴシック"/>
            </a:rPr>
            <a:t>c8：　</a:t>
          </a:r>
          <a:r>
            <a:rPr lang="ja-JP" altLang="en-US" sz="1000" b="0" i="0" u="none" strike="noStrike" baseline="0">
              <a:solidFill>
                <a:srgbClr val="000000"/>
              </a:solidFill>
              <a:latin typeface="ＭＳ Ｐゴシック"/>
              <a:ea typeface="ＭＳ Ｐゴシック"/>
            </a:rPr>
            <a:t>１：１のデータ数において、</a:t>
          </a:r>
        </a:p>
        <a:p>
          <a:pPr algn="ctr" rtl="0">
            <a:lnSpc>
              <a:spcPts val="1000"/>
            </a:lnSpc>
            <a:defRPr sz="1000"/>
          </a:pPr>
          <a:r>
            <a:rPr lang="ja-JP" altLang="en-US" sz="1000" b="0" i="0" u="none" strike="noStrike" baseline="0">
              <a:solidFill>
                <a:srgbClr val="000000"/>
              </a:solidFill>
              <a:latin typeface="ＭＳ Ｐゴシック"/>
              <a:ea typeface="ＭＳ Ｐゴシック"/>
            </a:rPr>
            <a:t>　　　正常に動作することを確認</a:t>
          </a:r>
        </a:p>
      </xdr:txBody>
    </xdr:sp>
    <xdr:clientData/>
  </xdr:twoCellAnchor>
  <xdr:twoCellAnchor>
    <xdr:from>
      <xdr:col>7</xdr:col>
      <xdr:colOff>47625</xdr:colOff>
      <xdr:row>230</xdr:row>
      <xdr:rowOff>47625</xdr:rowOff>
    </xdr:from>
    <xdr:to>
      <xdr:col>9</xdr:col>
      <xdr:colOff>1057275</xdr:colOff>
      <xdr:row>233</xdr:row>
      <xdr:rowOff>38100</xdr:rowOff>
    </xdr:to>
    <xdr:sp macro="" textlink="">
      <xdr:nvSpPr>
        <xdr:cNvPr id="33" name="Rectangle 240">
          <a:extLst>
            <a:ext uri="{FF2B5EF4-FFF2-40B4-BE49-F238E27FC236}">
              <a16:creationId xmlns:a16="http://schemas.microsoft.com/office/drawing/2014/main" id="{B47AE601-3B86-46EC-B2B3-943E22A13061}"/>
            </a:ext>
          </a:extLst>
        </xdr:cNvPr>
        <xdr:cNvSpPr>
          <a:spLocks noChangeArrowheads="1"/>
        </xdr:cNvSpPr>
      </xdr:nvSpPr>
      <xdr:spPr bwMode="auto">
        <a:xfrm>
          <a:off x="2867025" y="46929675"/>
          <a:ext cx="2381250" cy="590550"/>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editAs="oneCell">
    <xdr:from>
      <xdr:col>2</xdr:col>
      <xdr:colOff>114300</xdr:colOff>
      <xdr:row>238</xdr:row>
      <xdr:rowOff>19050</xdr:rowOff>
    </xdr:from>
    <xdr:to>
      <xdr:col>9</xdr:col>
      <xdr:colOff>1000125</xdr:colOff>
      <xdr:row>248</xdr:row>
      <xdr:rowOff>57150</xdr:rowOff>
    </xdr:to>
    <xdr:pic>
      <xdr:nvPicPr>
        <xdr:cNvPr id="34" name="Picture 246">
          <a:extLst>
            <a:ext uri="{FF2B5EF4-FFF2-40B4-BE49-F238E27FC236}">
              <a16:creationId xmlns:a16="http://schemas.microsoft.com/office/drawing/2014/main" id="{4D58E32D-43C0-4AF1-924A-883BBFE0B2DA}"/>
            </a:ext>
          </a:extLst>
        </xdr:cNvPr>
        <xdr:cNvPicPr>
          <a:picLocks noChangeAspect="1" noChangeArrowheads="1"/>
        </xdr:cNvPicPr>
      </xdr:nvPicPr>
      <xdr:blipFill>
        <a:blip xmlns:r="http://schemas.openxmlformats.org/officeDocument/2006/relationships" r:embed="rId16">
          <a:extLst>
            <a:ext uri="{28A0092B-C50C-407E-A947-70E740481C1C}">
              <a14:useLocalDpi xmlns:a14="http://schemas.microsoft.com/office/drawing/2010/main" val="0"/>
            </a:ext>
          </a:extLst>
        </a:blip>
        <a:srcRect/>
        <a:stretch>
          <a:fillRect/>
        </a:stretch>
      </xdr:blipFill>
      <xdr:spPr bwMode="auto">
        <a:xfrm>
          <a:off x="1009650" y="48501300"/>
          <a:ext cx="4181475" cy="20383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133350</xdr:colOff>
      <xdr:row>251</xdr:row>
      <xdr:rowOff>9525</xdr:rowOff>
    </xdr:from>
    <xdr:to>
      <xdr:col>9</xdr:col>
      <xdr:colOff>1019175</xdr:colOff>
      <xdr:row>253</xdr:row>
      <xdr:rowOff>85725</xdr:rowOff>
    </xdr:to>
    <xdr:pic>
      <xdr:nvPicPr>
        <xdr:cNvPr id="35" name="Picture 247">
          <a:extLst>
            <a:ext uri="{FF2B5EF4-FFF2-40B4-BE49-F238E27FC236}">
              <a16:creationId xmlns:a16="http://schemas.microsoft.com/office/drawing/2014/main" id="{02A36B6E-455A-4F21-A3B0-BA4E9B20FA88}"/>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1028700" y="51092100"/>
          <a:ext cx="4181475" cy="4762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161925</xdr:colOff>
      <xdr:row>257</xdr:row>
      <xdr:rowOff>19050</xdr:rowOff>
    </xdr:from>
    <xdr:to>
      <xdr:col>9</xdr:col>
      <xdr:colOff>1047750</xdr:colOff>
      <xdr:row>267</xdr:row>
      <xdr:rowOff>57150</xdr:rowOff>
    </xdr:to>
    <xdr:pic>
      <xdr:nvPicPr>
        <xdr:cNvPr id="36" name="Picture 248">
          <a:extLst>
            <a:ext uri="{FF2B5EF4-FFF2-40B4-BE49-F238E27FC236}">
              <a16:creationId xmlns:a16="http://schemas.microsoft.com/office/drawing/2014/main" id="{2FA665AC-23C3-4C6A-94DE-8A9F77E1342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057275" y="52301775"/>
          <a:ext cx="4181475" cy="20383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219075</xdr:colOff>
      <xdr:row>258</xdr:row>
      <xdr:rowOff>152400</xdr:rowOff>
    </xdr:from>
    <xdr:to>
      <xdr:col>9</xdr:col>
      <xdr:colOff>1228725</xdr:colOff>
      <xdr:row>260</xdr:row>
      <xdr:rowOff>9525</xdr:rowOff>
    </xdr:to>
    <xdr:sp macro="" textlink="">
      <xdr:nvSpPr>
        <xdr:cNvPr id="37" name="Rectangle 245">
          <a:extLst>
            <a:ext uri="{FF2B5EF4-FFF2-40B4-BE49-F238E27FC236}">
              <a16:creationId xmlns:a16="http://schemas.microsoft.com/office/drawing/2014/main" id="{8B1E81EB-18C5-45DD-98B6-1425CDB4C891}"/>
            </a:ext>
          </a:extLst>
        </xdr:cNvPr>
        <xdr:cNvSpPr>
          <a:spLocks noChangeArrowheads="1"/>
        </xdr:cNvSpPr>
      </xdr:nvSpPr>
      <xdr:spPr bwMode="auto">
        <a:xfrm>
          <a:off x="3038475" y="52635150"/>
          <a:ext cx="2381250" cy="257175"/>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1447800</xdr:colOff>
      <xdr:row>256</xdr:row>
      <xdr:rowOff>76200</xdr:rowOff>
    </xdr:from>
    <xdr:to>
      <xdr:col>9</xdr:col>
      <xdr:colOff>4210050</xdr:colOff>
      <xdr:row>258</xdr:row>
      <xdr:rowOff>47625</xdr:rowOff>
    </xdr:to>
    <xdr:sp macro="" textlink="">
      <xdr:nvSpPr>
        <xdr:cNvPr id="38" name="AutoShape 250">
          <a:extLst>
            <a:ext uri="{FF2B5EF4-FFF2-40B4-BE49-F238E27FC236}">
              <a16:creationId xmlns:a16="http://schemas.microsoft.com/office/drawing/2014/main" id="{A92C10F6-DCBF-463F-B910-C4423DCD8323}"/>
            </a:ext>
          </a:extLst>
        </xdr:cNvPr>
        <xdr:cNvSpPr>
          <a:spLocks noChangeArrowheads="1"/>
        </xdr:cNvSpPr>
      </xdr:nvSpPr>
      <xdr:spPr bwMode="auto">
        <a:xfrm>
          <a:off x="5638800" y="52158900"/>
          <a:ext cx="2762250" cy="371475"/>
        </a:xfrm>
        <a:prstGeom prst="wedgeRectCallout">
          <a:avLst>
            <a:gd name="adj1" fmla="val -58968"/>
            <a:gd name="adj2" fmla="val 104546"/>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1000" b="0" i="0" u="none" strike="noStrike" baseline="0">
              <a:solidFill>
                <a:srgbClr val="000000"/>
              </a:solidFill>
              <a:latin typeface="ＭＳ Ｐゴシック"/>
              <a:ea typeface="ＭＳ Ｐゴシック"/>
            </a:rPr>
            <a:t>１：Nのデータ数において、</a:t>
          </a:r>
        </a:p>
        <a:p>
          <a:pPr algn="ctr" rtl="0">
            <a:lnSpc>
              <a:spcPts val="1000"/>
            </a:lnSpc>
            <a:defRPr sz="1000"/>
          </a:pPr>
          <a:r>
            <a:rPr lang="ja-JP" altLang="en-US" sz="1000" b="0" i="0" u="none" strike="noStrike" baseline="0">
              <a:solidFill>
                <a:srgbClr val="000000"/>
              </a:solidFill>
              <a:latin typeface="ＭＳ Ｐゴシック"/>
              <a:ea typeface="ＭＳ Ｐゴシック"/>
            </a:rPr>
            <a:t>正常に動作することを確認</a:t>
          </a:r>
        </a:p>
      </xdr:txBody>
    </xdr:sp>
    <xdr:clientData/>
  </xdr:twoCellAnchor>
  <xdr:twoCellAnchor editAs="oneCell">
    <xdr:from>
      <xdr:col>2</xdr:col>
      <xdr:colOff>95250</xdr:colOff>
      <xdr:row>274</xdr:row>
      <xdr:rowOff>66675</xdr:rowOff>
    </xdr:from>
    <xdr:to>
      <xdr:col>9</xdr:col>
      <xdr:colOff>981075</xdr:colOff>
      <xdr:row>284</xdr:row>
      <xdr:rowOff>104775</xdr:rowOff>
    </xdr:to>
    <xdr:pic>
      <xdr:nvPicPr>
        <xdr:cNvPr id="39" name="Picture 251">
          <a:extLst>
            <a:ext uri="{FF2B5EF4-FFF2-40B4-BE49-F238E27FC236}">
              <a16:creationId xmlns:a16="http://schemas.microsoft.com/office/drawing/2014/main" id="{619BBB30-1D49-470F-AD0C-EFDFCF733C66}"/>
            </a:ext>
          </a:extLst>
        </xdr:cNvPr>
        <xdr:cNvPicPr>
          <a:picLocks noChangeAspect="1" noChangeArrowheads="1"/>
        </xdr:cNvPicPr>
      </xdr:nvPicPr>
      <xdr:blipFill>
        <a:blip xmlns:r="http://schemas.openxmlformats.org/officeDocument/2006/relationships" r:embed="rId16">
          <a:extLst>
            <a:ext uri="{28A0092B-C50C-407E-A947-70E740481C1C}">
              <a14:useLocalDpi xmlns:a14="http://schemas.microsoft.com/office/drawing/2010/main" val="0"/>
            </a:ext>
          </a:extLst>
        </a:blip>
        <a:srcRect/>
        <a:stretch>
          <a:fillRect/>
        </a:stretch>
      </xdr:blipFill>
      <xdr:spPr bwMode="auto">
        <a:xfrm>
          <a:off x="990600" y="55749825"/>
          <a:ext cx="4181475" cy="20383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123825</xdr:colOff>
      <xdr:row>287</xdr:row>
      <xdr:rowOff>85725</xdr:rowOff>
    </xdr:from>
    <xdr:to>
      <xdr:col>9</xdr:col>
      <xdr:colOff>1009650</xdr:colOff>
      <xdr:row>291</xdr:row>
      <xdr:rowOff>76200</xdr:rowOff>
    </xdr:to>
    <xdr:pic>
      <xdr:nvPicPr>
        <xdr:cNvPr id="40" name="Picture 252">
          <a:extLst>
            <a:ext uri="{FF2B5EF4-FFF2-40B4-BE49-F238E27FC236}">
              <a16:creationId xmlns:a16="http://schemas.microsoft.com/office/drawing/2014/main" id="{5CCCB9C2-1206-4C36-8296-9575BE4354FF}"/>
            </a:ext>
          </a:extLst>
        </xdr:cNvPr>
        <xdr:cNvPicPr>
          <a:picLocks noChangeAspect="1" noChangeArrowheads="1"/>
        </xdr:cNvPicPr>
      </xdr:nvPicPr>
      <xdr:blipFill>
        <a:blip xmlns:r="http://schemas.openxmlformats.org/officeDocument/2006/relationships" r:embed="rId18">
          <a:extLst>
            <a:ext uri="{28A0092B-C50C-407E-A947-70E740481C1C}">
              <a14:useLocalDpi xmlns:a14="http://schemas.microsoft.com/office/drawing/2010/main" val="0"/>
            </a:ext>
          </a:extLst>
        </a:blip>
        <a:srcRect/>
        <a:stretch>
          <a:fillRect/>
        </a:stretch>
      </xdr:blipFill>
      <xdr:spPr bwMode="auto">
        <a:xfrm>
          <a:off x="1019175" y="58369200"/>
          <a:ext cx="4181475" cy="790575"/>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152400</xdr:colOff>
      <xdr:row>295</xdr:row>
      <xdr:rowOff>9525</xdr:rowOff>
    </xdr:from>
    <xdr:to>
      <xdr:col>9</xdr:col>
      <xdr:colOff>1038225</xdr:colOff>
      <xdr:row>305</xdr:row>
      <xdr:rowOff>47625</xdr:rowOff>
    </xdr:to>
    <xdr:pic>
      <xdr:nvPicPr>
        <xdr:cNvPr id="41" name="Picture 253">
          <a:extLst>
            <a:ext uri="{FF2B5EF4-FFF2-40B4-BE49-F238E27FC236}">
              <a16:creationId xmlns:a16="http://schemas.microsoft.com/office/drawing/2014/main" id="{3B0E9CAD-E7F4-4C43-B64D-98339E28D9C0}"/>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1047750" y="59893200"/>
          <a:ext cx="4181475" cy="20383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9</xdr:col>
      <xdr:colOff>1447800</xdr:colOff>
      <xdr:row>256</xdr:row>
      <xdr:rowOff>76200</xdr:rowOff>
    </xdr:from>
    <xdr:to>
      <xdr:col>9</xdr:col>
      <xdr:colOff>4210050</xdr:colOff>
      <xdr:row>258</xdr:row>
      <xdr:rowOff>47625</xdr:rowOff>
    </xdr:to>
    <xdr:sp macro="" textlink="">
      <xdr:nvSpPr>
        <xdr:cNvPr id="42" name="AutoShape 254">
          <a:extLst>
            <a:ext uri="{FF2B5EF4-FFF2-40B4-BE49-F238E27FC236}">
              <a16:creationId xmlns:a16="http://schemas.microsoft.com/office/drawing/2014/main" id="{5EE9F522-4D93-438B-9686-100A69E4D150}"/>
            </a:ext>
          </a:extLst>
        </xdr:cNvPr>
        <xdr:cNvSpPr>
          <a:spLocks noChangeArrowheads="1"/>
        </xdr:cNvSpPr>
      </xdr:nvSpPr>
      <xdr:spPr bwMode="auto">
        <a:xfrm>
          <a:off x="5638800" y="52158900"/>
          <a:ext cx="2762250" cy="371475"/>
        </a:xfrm>
        <a:prstGeom prst="wedgeRectCallout">
          <a:avLst>
            <a:gd name="adj1" fmla="val -58968"/>
            <a:gd name="adj2" fmla="val 104546"/>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1000" b="1" i="0" u="none" strike="noStrike" baseline="0">
              <a:solidFill>
                <a:srgbClr val="000000"/>
              </a:solidFill>
              <a:latin typeface="ＭＳ Ｐゴシック"/>
              <a:ea typeface="ＭＳ Ｐゴシック"/>
            </a:rPr>
            <a:t>c9：</a:t>
          </a:r>
          <a:r>
            <a:rPr lang="ja-JP" altLang="en-US" sz="1000" b="0" i="0" u="none" strike="noStrike" baseline="0">
              <a:solidFill>
                <a:srgbClr val="000000"/>
              </a:solidFill>
              <a:latin typeface="ＭＳ Ｐゴシック"/>
              <a:ea typeface="ＭＳ Ｐゴシック"/>
            </a:rPr>
            <a:t>　１：Nのデータ数において、　</a:t>
          </a:r>
        </a:p>
        <a:p>
          <a:pPr algn="ctr" rtl="0">
            <a:lnSpc>
              <a:spcPts val="1000"/>
            </a:lnSpc>
            <a:defRPr sz="1000"/>
          </a:pPr>
          <a:r>
            <a:rPr lang="ja-JP" altLang="en-US" sz="1000" b="0" i="0" u="none" strike="noStrike" baseline="0">
              <a:solidFill>
                <a:srgbClr val="000000"/>
              </a:solidFill>
              <a:latin typeface="ＭＳ Ｐゴシック"/>
              <a:ea typeface="ＭＳ Ｐゴシック"/>
            </a:rPr>
            <a:t>　　　正常に動作することを確認</a:t>
          </a:r>
        </a:p>
      </xdr:txBody>
    </xdr:sp>
    <xdr:clientData/>
  </xdr:twoCellAnchor>
  <xdr:twoCellAnchor>
    <xdr:from>
      <xdr:col>7</xdr:col>
      <xdr:colOff>342900</xdr:colOff>
      <xdr:row>296</xdr:row>
      <xdr:rowOff>133350</xdr:rowOff>
    </xdr:from>
    <xdr:to>
      <xdr:col>9</xdr:col>
      <xdr:colOff>1152525</xdr:colOff>
      <xdr:row>298</xdr:row>
      <xdr:rowOff>95250</xdr:rowOff>
    </xdr:to>
    <xdr:sp macro="" textlink="">
      <xdr:nvSpPr>
        <xdr:cNvPr id="43" name="Rectangle 255">
          <a:extLst>
            <a:ext uri="{FF2B5EF4-FFF2-40B4-BE49-F238E27FC236}">
              <a16:creationId xmlns:a16="http://schemas.microsoft.com/office/drawing/2014/main" id="{5004E52A-5BB7-43BB-AD19-5800F4AEDA24}"/>
            </a:ext>
          </a:extLst>
        </xdr:cNvPr>
        <xdr:cNvSpPr>
          <a:spLocks noChangeArrowheads="1"/>
        </xdr:cNvSpPr>
      </xdr:nvSpPr>
      <xdr:spPr bwMode="auto">
        <a:xfrm>
          <a:off x="3162300" y="60217050"/>
          <a:ext cx="2181225" cy="361950"/>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7</xdr:col>
      <xdr:colOff>304800</xdr:colOff>
      <xdr:row>305</xdr:row>
      <xdr:rowOff>9525</xdr:rowOff>
    </xdr:from>
    <xdr:to>
      <xdr:col>9</xdr:col>
      <xdr:colOff>1190625</xdr:colOff>
      <xdr:row>306</xdr:row>
      <xdr:rowOff>19050</xdr:rowOff>
    </xdr:to>
    <xdr:sp macro="" textlink="">
      <xdr:nvSpPr>
        <xdr:cNvPr id="44" name="Rectangle 257">
          <a:extLst>
            <a:ext uri="{FF2B5EF4-FFF2-40B4-BE49-F238E27FC236}">
              <a16:creationId xmlns:a16="http://schemas.microsoft.com/office/drawing/2014/main" id="{70F2BED2-F9F1-4123-B81E-A81CB3D3ADE5}"/>
            </a:ext>
          </a:extLst>
        </xdr:cNvPr>
        <xdr:cNvSpPr>
          <a:spLocks noChangeArrowheads="1"/>
        </xdr:cNvSpPr>
      </xdr:nvSpPr>
      <xdr:spPr bwMode="auto">
        <a:xfrm>
          <a:off x="3124200" y="61893450"/>
          <a:ext cx="2257425" cy="209550"/>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1495425</xdr:colOff>
      <xdr:row>300</xdr:row>
      <xdr:rowOff>123825</xdr:rowOff>
    </xdr:from>
    <xdr:to>
      <xdr:col>9</xdr:col>
      <xdr:colOff>4029075</xdr:colOff>
      <xdr:row>303</xdr:row>
      <xdr:rowOff>85725</xdr:rowOff>
    </xdr:to>
    <xdr:sp macro="" textlink="">
      <xdr:nvSpPr>
        <xdr:cNvPr id="45" name="AutoShape 258">
          <a:extLst>
            <a:ext uri="{FF2B5EF4-FFF2-40B4-BE49-F238E27FC236}">
              <a16:creationId xmlns:a16="http://schemas.microsoft.com/office/drawing/2014/main" id="{7E0965DF-DAAA-4A49-AFC4-9729B97ADA89}"/>
            </a:ext>
          </a:extLst>
        </xdr:cNvPr>
        <xdr:cNvSpPr>
          <a:spLocks noChangeArrowheads="1"/>
        </xdr:cNvSpPr>
      </xdr:nvSpPr>
      <xdr:spPr bwMode="auto">
        <a:xfrm>
          <a:off x="5686425" y="61007625"/>
          <a:ext cx="2533650" cy="561975"/>
        </a:xfrm>
        <a:prstGeom prst="wedgeRectCallout">
          <a:avLst>
            <a:gd name="adj1" fmla="val -60903"/>
            <a:gd name="adj2" fmla="val 130000"/>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1000" b="0" i="0" u="none" strike="noStrike" baseline="0">
              <a:solidFill>
                <a:srgbClr val="000000"/>
              </a:solidFill>
              <a:latin typeface="ＭＳ Ｐゴシック"/>
              <a:ea typeface="ＭＳ Ｐゴシック"/>
            </a:rPr>
            <a:t>N：Nのデータ数において、</a:t>
          </a:r>
        </a:p>
        <a:p>
          <a:pPr algn="ctr" rtl="0">
            <a:lnSpc>
              <a:spcPts val="1000"/>
            </a:lnSpc>
            <a:defRPr sz="1000"/>
          </a:pPr>
          <a:r>
            <a:rPr lang="ja-JP" altLang="en-US" sz="1000" b="0" i="0" u="none" strike="noStrike" baseline="0">
              <a:solidFill>
                <a:srgbClr val="000000"/>
              </a:solidFill>
              <a:latin typeface="ＭＳ Ｐゴシック"/>
              <a:ea typeface="ＭＳ Ｐゴシック"/>
            </a:rPr>
            <a:t>正常に動作することを確認</a:t>
          </a:r>
        </a:p>
      </xdr:txBody>
    </xdr:sp>
    <xdr:clientData/>
  </xdr:twoCellAnchor>
  <xdr:twoCellAnchor>
    <xdr:from>
      <xdr:col>9</xdr:col>
      <xdr:colOff>1495425</xdr:colOff>
      <xdr:row>299</xdr:row>
      <xdr:rowOff>133350</xdr:rowOff>
    </xdr:from>
    <xdr:to>
      <xdr:col>9</xdr:col>
      <xdr:colOff>4029075</xdr:colOff>
      <xdr:row>304</xdr:row>
      <xdr:rowOff>47625</xdr:rowOff>
    </xdr:to>
    <xdr:sp macro="" textlink="">
      <xdr:nvSpPr>
        <xdr:cNvPr id="46" name="AutoShape 256">
          <a:extLst>
            <a:ext uri="{FF2B5EF4-FFF2-40B4-BE49-F238E27FC236}">
              <a16:creationId xmlns:a16="http://schemas.microsoft.com/office/drawing/2014/main" id="{784B91B2-FFD5-472F-8395-C7AC511A0EA3}"/>
            </a:ext>
          </a:extLst>
        </xdr:cNvPr>
        <xdr:cNvSpPr>
          <a:spLocks noChangeArrowheads="1"/>
        </xdr:cNvSpPr>
      </xdr:nvSpPr>
      <xdr:spPr bwMode="auto">
        <a:xfrm>
          <a:off x="5686425" y="60817125"/>
          <a:ext cx="2533650" cy="914400"/>
        </a:xfrm>
        <a:prstGeom prst="wedgeRectCallout">
          <a:avLst>
            <a:gd name="adj1" fmla="val -62782"/>
            <a:gd name="adj2" fmla="val -89505"/>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1000" b="1" i="0" u="none" strike="noStrike" baseline="0">
              <a:solidFill>
                <a:srgbClr val="000000"/>
              </a:solidFill>
              <a:latin typeface="ＭＳ Ｐゴシック"/>
              <a:ea typeface="ＭＳ Ｐゴシック"/>
            </a:rPr>
            <a:t>c10：</a:t>
          </a:r>
          <a:r>
            <a:rPr lang="ja-JP" altLang="en-US" sz="1000" b="0" i="0" u="none" strike="noStrike" baseline="0">
              <a:solidFill>
                <a:srgbClr val="000000"/>
              </a:solidFill>
              <a:latin typeface="ＭＳ Ｐゴシック"/>
              <a:ea typeface="ＭＳ Ｐゴシック"/>
            </a:rPr>
            <a:t>　N：Nのデータ数において、</a:t>
          </a:r>
        </a:p>
        <a:p>
          <a:pPr algn="ctr" rtl="0">
            <a:lnSpc>
              <a:spcPts val="1000"/>
            </a:lnSpc>
            <a:defRPr sz="1000"/>
          </a:pPr>
          <a:r>
            <a:rPr lang="ja-JP" altLang="en-US" sz="1000" b="0" i="0" u="none" strike="noStrike" baseline="0">
              <a:solidFill>
                <a:srgbClr val="000000"/>
              </a:solidFill>
              <a:latin typeface="ＭＳ Ｐゴシック"/>
              <a:ea typeface="ＭＳ Ｐゴシック"/>
            </a:rPr>
            <a:t>　　　　正常に動作することを確認</a:t>
          </a:r>
        </a:p>
      </xdr:txBody>
    </xdr:sp>
    <xdr:clientData/>
  </xdr:twoCellAnchor>
  <xdr:twoCellAnchor>
    <xdr:from>
      <xdr:col>9</xdr:col>
      <xdr:colOff>1028700</xdr:colOff>
      <xdr:row>221</xdr:row>
      <xdr:rowOff>95250</xdr:rowOff>
    </xdr:from>
    <xdr:to>
      <xdr:col>9</xdr:col>
      <xdr:colOff>1114425</xdr:colOff>
      <xdr:row>223</xdr:row>
      <xdr:rowOff>9525</xdr:rowOff>
    </xdr:to>
    <xdr:sp macro="" textlink="">
      <xdr:nvSpPr>
        <xdr:cNvPr id="47" name="AutoShape 259">
          <a:extLst>
            <a:ext uri="{FF2B5EF4-FFF2-40B4-BE49-F238E27FC236}">
              <a16:creationId xmlns:a16="http://schemas.microsoft.com/office/drawing/2014/main" id="{538FDF8D-725E-4223-99A9-1917BF56CDBF}"/>
            </a:ext>
          </a:extLst>
        </xdr:cNvPr>
        <xdr:cNvSpPr>
          <a:spLocks/>
        </xdr:cNvSpPr>
      </xdr:nvSpPr>
      <xdr:spPr bwMode="auto">
        <a:xfrm>
          <a:off x="5219700" y="45177075"/>
          <a:ext cx="85725" cy="314325"/>
        </a:xfrm>
        <a:prstGeom prst="rightBrace">
          <a:avLst>
            <a:gd name="adj1" fmla="val 25000"/>
            <a:gd name="adj2" fmla="val 50000"/>
          </a:avLst>
        </a:prstGeom>
        <a:noFill/>
        <a:ln w="12700">
          <a:solidFill>
            <a:srgbClr xmlns:mc="http://schemas.openxmlformats.org/markup-compatibility/2006" xmlns:a14="http://schemas.microsoft.com/office/drawing/2010/main" val="FF0000" mc:Ignorable="a14" a14:legacySpreadsheetColorIndex="10"/>
          </a:solidFill>
          <a:round/>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1390650</xdr:colOff>
      <xdr:row>244</xdr:row>
      <xdr:rowOff>0</xdr:rowOff>
    </xdr:from>
    <xdr:to>
      <xdr:col>9</xdr:col>
      <xdr:colOff>2400300</xdr:colOff>
      <xdr:row>245</xdr:row>
      <xdr:rowOff>38100</xdr:rowOff>
    </xdr:to>
    <xdr:sp macro="" textlink="">
      <xdr:nvSpPr>
        <xdr:cNvPr id="48" name="Text Box 260">
          <a:extLst>
            <a:ext uri="{FF2B5EF4-FFF2-40B4-BE49-F238E27FC236}">
              <a16:creationId xmlns:a16="http://schemas.microsoft.com/office/drawing/2014/main" id="{1F4F2E6C-E8A7-42DD-8CF3-B5EB9D08E597}"/>
            </a:ext>
          </a:extLst>
        </xdr:cNvPr>
        <xdr:cNvSpPr txBox="1">
          <a:spLocks noChangeArrowheads="1"/>
        </xdr:cNvSpPr>
      </xdr:nvSpPr>
      <xdr:spPr bwMode="auto">
        <a:xfrm>
          <a:off x="5581650" y="49682400"/>
          <a:ext cx="1009650" cy="238125"/>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FF0000"/>
              </a:solidFill>
              <a:latin typeface="ＭＳ Ｐゴシック"/>
              <a:ea typeface="ＭＳ Ｐゴシック"/>
            </a:rPr>
            <a:t>データ件数：N</a:t>
          </a:r>
        </a:p>
      </xdr:txBody>
    </xdr:sp>
    <xdr:clientData/>
  </xdr:twoCellAnchor>
  <xdr:twoCellAnchor>
    <xdr:from>
      <xdr:col>9</xdr:col>
      <xdr:colOff>1171575</xdr:colOff>
      <xdr:row>225</xdr:row>
      <xdr:rowOff>104775</xdr:rowOff>
    </xdr:from>
    <xdr:to>
      <xdr:col>9</xdr:col>
      <xdr:colOff>2181225</xdr:colOff>
      <xdr:row>226</xdr:row>
      <xdr:rowOff>142875</xdr:rowOff>
    </xdr:to>
    <xdr:sp macro="" textlink="">
      <xdr:nvSpPr>
        <xdr:cNvPr id="49" name="Text Box 261">
          <a:extLst>
            <a:ext uri="{FF2B5EF4-FFF2-40B4-BE49-F238E27FC236}">
              <a16:creationId xmlns:a16="http://schemas.microsoft.com/office/drawing/2014/main" id="{5300AA74-9973-4560-84B3-3A0C7D683931}"/>
            </a:ext>
          </a:extLst>
        </xdr:cNvPr>
        <xdr:cNvSpPr txBox="1">
          <a:spLocks noChangeArrowheads="1"/>
        </xdr:cNvSpPr>
      </xdr:nvSpPr>
      <xdr:spPr bwMode="auto">
        <a:xfrm>
          <a:off x="5362575" y="45986700"/>
          <a:ext cx="1009650" cy="238125"/>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FF0000"/>
              </a:solidFill>
              <a:latin typeface="ＭＳ Ｐゴシック"/>
              <a:ea typeface="ＭＳ Ｐゴシック"/>
            </a:rPr>
            <a:t>データ件数：1</a:t>
          </a:r>
        </a:p>
      </xdr:txBody>
    </xdr:sp>
    <xdr:clientData/>
  </xdr:twoCellAnchor>
  <xdr:twoCellAnchor>
    <xdr:from>
      <xdr:col>9</xdr:col>
      <xdr:colOff>1123950</xdr:colOff>
      <xdr:row>239</xdr:row>
      <xdr:rowOff>57150</xdr:rowOff>
    </xdr:from>
    <xdr:to>
      <xdr:col>9</xdr:col>
      <xdr:colOff>1266825</xdr:colOff>
      <xdr:row>249</xdr:row>
      <xdr:rowOff>142875</xdr:rowOff>
    </xdr:to>
    <xdr:sp macro="" textlink="">
      <xdr:nvSpPr>
        <xdr:cNvPr id="50" name="AutoShape 262">
          <a:extLst>
            <a:ext uri="{FF2B5EF4-FFF2-40B4-BE49-F238E27FC236}">
              <a16:creationId xmlns:a16="http://schemas.microsoft.com/office/drawing/2014/main" id="{E5002D43-CF71-4A77-8085-6331B8E10E15}"/>
            </a:ext>
          </a:extLst>
        </xdr:cNvPr>
        <xdr:cNvSpPr>
          <a:spLocks/>
        </xdr:cNvSpPr>
      </xdr:nvSpPr>
      <xdr:spPr bwMode="auto">
        <a:xfrm>
          <a:off x="5314950" y="48739425"/>
          <a:ext cx="142875" cy="2085975"/>
        </a:xfrm>
        <a:prstGeom prst="rightBrace">
          <a:avLst>
            <a:gd name="adj1" fmla="val 105000"/>
            <a:gd name="adj2" fmla="val 50000"/>
          </a:avLst>
        </a:prstGeom>
        <a:noFill/>
        <a:ln w="12700">
          <a:solidFill>
            <a:srgbClr xmlns:mc="http://schemas.openxmlformats.org/markup-compatibility/2006" xmlns:a14="http://schemas.microsoft.com/office/drawing/2010/main" val="FF0000" mc:Ignorable="a14" a14:legacySpreadsheetColorIndex="10"/>
          </a:solidFill>
          <a:round/>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1162050</xdr:colOff>
      <xdr:row>221</xdr:row>
      <xdr:rowOff>133350</xdr:rowOff>
    </xdr:from>
    <xdr:to>
      <xdr:col>9</xdr:col>
      <xdr:colOff>2171700</xdr:colOff>
      <xdr:row>223</xdr:row>
      <xdr:rowOff>0</xdr:rowOff>
    </xdr:to>
    <xdr:sp macro="" textlink="">
      <xdr:nvSpPr>
        <xdr:cNvPr id="51" name="Text Box 263">
          <a:extLst>
            <a:ext uri="{FF2B5EF4-FFF2-40B4-BE49-F238E27FC236}">
              <a16:creationId xmlns:a16="http://schemas.microsoft.com/office/drawing/2014/main" id="{5250ABC3-0970-46F0-B7D5-26A34CC842ED}"/>
            </a:ext>
          </a:extLst>
        </xdr:cNvPr>
        <xdr:cNvSpPr txBox="1">
          <a:spLocks noChangeArrowheads="1"/>
        </xdr:cNvSpPr>
      </xdr:nvSpPr>
      <xdr:spPr bwMode="auto">
        <a:xfrm>
          <a:off x="5353050" y="45215175"/>
          <a:ext cx="1009650" cy="266700"/>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FF0000"/>
              </a:solidFill>
              <a:latin typeface="ＭＳ Ｐゴシック"/>
              <a:ea typeface="ＭＳ Ｐゴシック"/>
            </a:rPr>
            <a:t>データ件数：1</a:t>
          </a:r>
        </a:p>
      </xdr:txBody>
    </xdr:sp>
    <xdr:clientData/>
  </xdr:twoCellAnchor>
  <xdr:twoCellAnchor>
    <xdr:from>
      <xdr:col>9</xdr:col>
      <xdr:colOff>1133475</xdr:colOff>
      <xdr:row>252</xdr:row>
      <xdr:rowOff>85725</xdr:rowOff>
    </xdr:from>
    <xdr:to>
      <xdr:col>9</xdr:col>
      <xdr:colOff>1219200</xdr:colOff>
      <xdr:row>254</xdr:row>
      <xdr:rowOff>0</xdr:rowOff>
    </xdr:to>
    <xdr:sp macro="" textlink="">
      <xdr:nvSpPr>
        <xdr:cNvPr id="52" name="AutoShape 264">
          <a:extLst>
            <a:ext uri="{FF2B5EF4-FFF2-40B4-BE49-F238E27FC236}">
              <a16:creationId xmlns:a16="http://schemas.microsoft.com/office/drawing/2014/main" id="{CA164859-A4CF-47B0-B46A-B46A1A1802E1}"/>
            </a:ext>
          </a:extLst>
        </xdr:cNvPr>
        <xdr:cNvSpPr>
          <a:spLocks/>
        </xdr:cNvSpPr>
      </xdr:nvSpPr>
      <xdr:spPr bwMode="auto">
        <a:xfrm>
          <a:off x="5324475" y="51368325"/>
          <a:ext cx="85725" cy="314325"/>
        </a:xfrm>
        <a:prstGeom prst="rightBrace">
          <a:avLst>
            <a:gd name="adj1" fmla="val 25000"/>
            <a:gd name="adj2" fmla="val 50000"/>
          </a:avLst>
        </a:prstGeom>
        <a:noFill/>
        <a:ln w="12700">
          <a:solidFill>
            <a:srgbClr xmlns:mc="http://schemas.openxmlformats.org/markup-compatibility/2006" xmlns:a14="http://schemas.microsoft.com/office/drawing/2010/main" val="FF0000" mc:Ignorable="a14" a14:legacySpreadsheetColorIndex="10"/>
          </a:solidFill>
          <a:round/>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1352550</xdr:colOff>
      <xdr:row>252</xdr:row>
      <xdr:rowOff>114300</xdr:rowOff>
    </xdr:from>
    <xdr:to>
      <xdr:col>9</xdr:col>
      <xdr:colOff>2362200</xdr:colOff>
      <xdr:row>253</xdr:row>
      <xdr:rowOff>152400</xdr:rowOff>
    </xdr:to>
    <xdr:sp macro="" textlink="">
      <xdr:nvSpPr>
        <xdr:cNvPr id="53" name="Text Box 265">
          <a:extLst>
            <a:ext uri="{FF2B5EF4-FFF2-40B4-BE49-F238E27FC236}">
              <a16:creationId xmlns:a16="http://schemas.microsoft.com/office/drawing/2014/main" id="{D8782365-F324-48A0-B63F-4803A9812E16}"/>
            </a:ext>
          </a:extLst>
        </xdr:cNvPr>
        <xdr:cNvSpPr txBox="1">
          <a:spLocks noChangeArrowheads="1"/>
        </xdr:cNvSpPr>
      </xdr:nvSpPr>
      <xdr:spPr bwMode="auto">
        <a:xfrm>
          <a:off x="5543550" y="51396900"/>
          <a:ext cx="1009650" cy="238125"/>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FF0000"/>
              </a:solidFill>
              <a:latin typeface="ＭＳ Ｐゴシック"/>
              <a:ea typeface="ＭＳ Ｐゴシック"/>
            </a:rPr>
            <a:t>データ件数：1</a:t>
          </a:r>
        </a:p>
      </xdr:txBody>
    </xdr:sp>
    <xdr:clientData/>
  </xdr:twoCellAnchor>
  <xdr:twoCellAnchor>
    <xdr:from>
      <xdr:col>9</xdr:col>
      <xdr:colOff>1095375</xdr:colOff>
      <xdr:row>275</xdr:row>
      <xdr:rowOff>114300</xdr:rowOff>
    </xdr:from>
    <xdr:to>
      <xdr:col>9</xdr:col>
      <xdr:colOff>1238250</xdr:colOff>
      <xdr:row>286</xdr:row>
      <xdr:rowOff>28575</xdr:rowOff>
    </xdr:to>
    <xdr:sp macro="" textlink="">
      <xdr:nvSpPr>
        <xdr:cNvPr id="54" name="AutoShape 266">
          <a:extLst>
            <a:ext uri="{FF2B5EF4-FFF2-40B4-BE49-F238E27FC236}">
              <a16:creationId xmlns:a16="http://schemas.microsoft.com/office/drawing/2014/main" id="{A3BCFA7C-8F0C-4F45-AFE9-DA0E85A22666}"/>
            </a:ext>
          </a:extLst>
        </xdr:cNvPr>
        <xdr:cNvSpPr>
          <a:spLocks/>
        </xdr:cNvSpPr>
      </xdr:nvSpPr>
      <xdr:spPr bwMode="auto">
        <a:xfrm>
          <a:off x="5286375" y="55997475"/>
          <a:ext cx="142875" cy="2114550"/>
        </a:xfrm>
        <a:prstGeom prst="rightBrace">
          <a:avLst>
            <a:gd name="adj1" fmla="val 105000"/>
            <a:gd name="adj2" fmla="val 50000"/>
          </a:avLst>
        </a:prstGeom>
        <a:noFill/>
        <a:ln w="12700">
          <a:solidFill>
            <a:srgbClr xmlns:mc="http://schemas.openxmlformats.org/markup-compatibility/2006" xmlns:a14="http://schemas.microsoft.com/office/drawing/2010/main" val="FF0000" mc:Ignorable="a14" a14:legacySpreadsheetColorIndex="10"/>
          </a:solidFill>
          <a:round/>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1152525</xdr:colOff>
      <xdr:row>289</xdr:row>
      <xdr:rowOff>123825</xdr:rowOff>
    </xdr:from>
    <xdr:to>
      <xdr:col>9</xdr:col>
      <xdr:colOff>1257300</xdr:colOff>
      <xdr:row>291</xdr:row>
      <xdr:rowOff>152400</xdr:rowOff>
    </xdr:to>
    <xdr:sp macro="" textlink="">
      <xdr:nvSpPr>
        <xdr:cNvPr id="55" name="AutoShape 267">
          <a:extLst>
            <a:ext uri="{FF2B5EF4-FFF2-40B4-BE49-F238E27FC236}">
              <a16:creationId xmlns:a16="http://schemas.microsoft.com/office/drawing/2014/main" id="{7A636142-D748-4614-ABEC-FA8CBBA99EB3}"/>
            </a:ext>
          </a:extLst>
        </xdr:cNvPr>
        <xdr:cNvSpPr>
          <a:spLocks/>
        </xdr:cNvSpPr>
      </xdr:nvSpPr>
      <xdr:spPr bwMode="auto">
        <a:xfrm>
          <a:off x="5343525" y="58807350"/>
          <a:ext cx="104775" cy="428625"/>
        </a:xfrm>
        <a:prstGeom prst="rightBrace">
          <a:avLst>
            <a:gd name="adj1" fmla="val 29545"/>
            <a:gd name="adj2" fmla="val 50000"/>
          </a:avLst>
        </a:prstGeom>
        <a:noFill/>
        <a:ln w="12700">
          <a:solidFill>
            <a:srgbClr xmlns:mc="http://schemas.openxmlformats.org/markup-compatibility/2006" xmlns:a14="http://schemas.microsoft.com/office/drawing/2010/main" val="FF0000" mc:Ignorable="a14" a14:legacySpreadsheetColorIndex="10"/>
          </a:solidFill>
          <a:round/>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1438275</xdr:colOff>
      <xdr:row>280</xdr:row>
      <xdr:rowOff>57150</xdr:rowOff>
    </xdr:from>
    <xdr:to>
      <xdr:col>9</xdr:col>
      <xdr:colOff>2447925</xdr:colOff>
      <xdr:row>281</xdr:row>
      <xdr:rowOff>95250</xdr:rowOff>
    </xdr:to>
    <xdr:sp macro="" textlink="">
      <xdr:nvSpPr>
        <xdr:cNvPr id="56" name="Text Box 268">
          <a:extLst>
            <a:ext uri="{FF2B5EF4-FFF2-40B4-BE49-F238E27FC236}">
              <a16:creationId xmlns:a16="http://schemas.microsoft.com/office/drawing/2014/main" id="{821D9480-11EF-42BA-871F-5C8B54B924D4}"/>
            </a:ext>
          </a:extLst>
        </xdr:cNvPr>
        <xdr:cNvSpPr txBox="1">
          <a:spLocks noChangeArrowheads="1"/>
        </xdr:cNvSpPr>
      </xdr:nvSpPr>
      <xdr:spPr bwMode="auto">
        <a:xfrm>
          <a:off x="5629275" y="56940450"/>
          <a:ext cx="1009650" cy="238125"/>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FF0000"/>
              </a:solidFill>
              <a:latin typeface="ＭＳ Ｐゴシック"/>
              <a:ea typeface="ＭＳ Ｐゴシック"/>
            </a:rPr>
            <a:t>データ件数：N</a:t>
          </a:r>
        </a:p>
      </xdr:txBody>
    </xdr:sp>
    <xdr:clientData/>
  </xdr:twoCellAnchor>
  <xdr:twoCellAnchor>
    <xdr:from>
      <xdr:col>9</xdr:col>
      <xdr:colOff>1400175</xdr:colOff>
      <xdr:row>290</xdr:row>
      <xdr:rowOff>38100</xdr:rowOff>
    </xdr:from>
    <xdr:to>
      <xdr:col>9</xdr:col>
      <xdr:colOff>2409825</xdr:colOff>
      <xdr:row>291</xdr:row>
      <xdr:rowOff>76200</xdr:rowOff>
    </xdr:to>
    <xdr:sp macro="" textlink="">
      <xdr:nvSpPr>
        <xdr:cNvPr id="57" name="Text Box 269">
          <a:extLst>
            <a:ext uri="{FF2B5EF4-FFF2-40B4-BE49-F238E27FC236}">
              <a16:creationId xmlns:a16="http://schemas.microsoft.com/office/drawing/2014/main" id="{0DD4B331-948B-4131-AA97-D30751069DE6}"/>
            </a:ext>
          </a:extLst>
        </xdr:cNvPr>
        <xdr:cNvSpPr txBox="1">
          <a:spLocks noChangeArrowheads="1"/>
        </xdr:cNvSpPr>
      </xdr:nvSpPr>
      <xdr:spPr bwMode="auto">
        <a:xfrm>
          <a:off x="5591175" y="58921650"/>
          <a:ext cx="1009650" cy="238125"/>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FF0000"/>
              </a:solidFill>
              <a:latin typeface="ＭＳ Ｐゴシック"/>
              <a:ea typeface="ＭＳ Ｐゴシック"/>
            </a:rPr>
            <a:t>データ件数：N</a:t>
          </a:r>
        </a:p>
      </xdr:txBody>
    </xdr:sp>
    <xdr:clientData/>
  </xdr:twoCellAnchor>
  <xdr:twoCellAnchor>
    <xdr:from>
      <xdr:col>9</xdr:col>
      <xdr:colOff>2990850</xdr:colOff>
      <xdr:row>70</xdr:row>
      <xdr:rowOff>104775</xdr:rowOff>
    </xdr:from>
    <xdr:to>
      <xdr:col>10</xdr:col>
      <xdr:colOff>342900</xdr:colOff>
      <xdr:row>72</xdr:row>
      <xdr:rowOff>19050</xdr:rowOff>
    </xdr:to>
    <xdr:sp macro="" textlink="">
      <xdr:nvSpPr>
        <xdr:cNvPr id="58" name="AutoShape 13">
          <a:extLst>
            <a:ext uri="{FF2B5EF4-FFF2-40B4-BE49-F238E27FC236}">
              <a16:creationId xmlns:a16="http://schemas.microsoft.com/office/drawing/2014/main" id="{94F38E18-F1C4-4D70-8ADF-B28C56211373}"/>
            </a:ext>
          </a:extLst>
        </xdr:cNvPr>
        <xdr:cNvSpPr>
          <a:spLocks noChangeArrowheads="1"/>
        </xdr:cNvSpPr>
      </xdr:nvSpPr>
      <xdr:spPr bwMode="auto">
        <a:xfrm>
          <a:off x="7181850" y="13716000"/>
          <a:ext cx="2076450" cy="352425"/>
        </a:xfrm>
        <a:prstGeom prst="wedgeRectCallout">
          <a:avLst>
            <a:gd name="adj1" fmla="val -19727"/>
            <a:gd name="adj2" fmla="val 204056"/>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小数点計算で誤差がないことを確認</a:t>
          </a:r>
        </a:p>
      </xdr:txBody>
    </xdr:sp>
    <xdr:clientData/>
  </xdr:twoCellAnchor>
  <xdr:twoCellAnchor>
    <xdr:from>
      <xdr:col>9</xdr:col>
      <xdr:colOff>2933700</xdr:colOff>
      <xdr:row>118</xdr:row>
      <xdr:rowOff>114300</xdr:rowOff>
    </xdr:from>
    <xdr:to>
      <xdr:col>10</xdr:col>
      <xdr:colOff>85725</xdr:colOff>
      <xdr:row>120</xdr:row>
      <xdr:rowOff>9525</xdr:rowOff>
    </xdr:to>
    <xdr:sp macro="" textlink="">
      <xdr:nvSpPr>
        <xdr:cNvPr id="59" name="AutoShape 6">
          <a:extLst>
            <a:ext uri="{FF2B5EF4-FFF2-40B4-BE49-F238E27FC236}">
              <a16:creationId xmlns:a16="http://schemas.microsoft.com/office/drawing/2014/main" id="{A0F4F9D0-56E3-4ED0-8BFE-83B7C64E8820}"/>
            </a:ext>
          </a:extLst>
        </xdr:cNvPr>
        <xdr:cNvSpPr>
          <a:spLocks noChangeArrowheads="1"/>
        </xdr:cNvSpPr>
      </xdr:nvSpPr>
      <xdr:spPr bwMode="auto">
        <a:xfrm>
          <a:off x="7124700" y="24164925"/>
          <a:ext cx="1876425" cy="333375"/>
        </a:xfrm>
        <a:prstGeom prst="wedgeRectCallout">
          <a:avLst>
            <a:gd name="adj1" fmla="val 40356"/>
            <a:gd name="adj2" fmla="val 210000"/>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切り捨て処理ができているか確認</a:t>
          </a:r>
        </a:p>
      </xdr:txBody>
    </xdr:sp>
    <xdr:clientData/>
  </xdr:twoCellAnchor>
  <xdr:twoCellAnchor>
    <xdr:from>
      <xdr:col>6</xdr:col>
      <xdr:colOff>466725</xdr:colOff>
      <xdr:row>83</xdr:row>
      <xdr:rowOff>161925</xdr:rowOff>
    </xdr:from>
    <xdr:to>
      <xdr:col>9</xdr:col>
      <xdr:colOff>533400</xdr:colOff>
      <xdr:row>86</xdr:row>
      <xdr:rowOff>76200</xdr:rowOff>
    </xdr:to>
    <xdr:sp macro="" textlink="">
      <xdr:nvSpPr>
        <xdr:cNvPr id="60" name="Rectangle 271">
          <a:extLst>
            <a:ext uri="{FF2B5EF4-FFF2-40B4-BE49-F238E27FC236}">
              <a16:creationId xmlns:a16="http://schemas.microsoft.com/office/drawing/2014/main" id="{6135E29D-280D-4EBD-9D17-3B6D1BEED200}"/>
            </a:ext>
          </a:extLst>
        </xdr:cNvPr>
        <xdr:cNvSpPr>
          <a:spLocks noChangeArrowheads="1"/>
        </xdr:cNvSpPr>
      </xdr:nvSpPr>
      <xdr:spPr bwMode="auto">
        <a:xfrm>
          <a:off x="2600325" y="16544925"/>
          <a:ext cx="2124075" cy="571500"/>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2114550</xdr:colOff>
      <xdr:row>107</xdr:row>
      <xdr:rowOff>0</xdr:rowOff>
    </xdr:from>
    <xdr:to>
      <xdr:col>9</xdr:col>
      <xdr:colOff>4248150</xdr:colOff>
      <xdr:row>109</xdr:row>
      <xdr:rowOff>76200</xdr:rowOff>
    </xdr:to>
    <xdr:sp macro="" textlink="">
      <xdr:nvSpPr>
        <xdr:cNvPr id="61" name="Rectangle 29">
          <a:extLst>
            <a:ext uri="{FF2B5EF4-FFF2-40B4-BE49-F238E27FC236}">
              <a16:creationId xmlns:a16="http://schemas.microsoft.com/office/drawing/2014/main" id="{E22AA79E-D064-4AFB-AF73-2D952AE38AEC}"/>
            </a:ext>
          </a:extLst>
        </xdr:cNvPr>
        <xdr:cNvSpPr>
          <a:spLocks noChangeArrowheads="1"/>
        </xdr:cNvSpPr>
      </xdr:nvSpPr>
      <xdr:spPr bwMode="auto">
        <a:xfrm>
          <a:off x="6305550" y="21640800"/>
          <a:ext cx="2133600" cy="514350"/>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66675</xdr:colOff>
      <xdr:row>55</xdr:row>
      <xdr:rowOff>76200</xdr:rowOff>
    </xdr:from>
    <xdr:to>
      <xdr:col>5</xdr:col>
      <xdr:colOff>200025</xdr:colOff>
      <xdr:row>56</xdr:row>
      <xdr:rowOff>85725</xdr:rowOff>
    </xdr:to>
    <xdr:sp macro="" textlink="">
      <xdr:nvSpPr>
        <xdr:cNvPr id="62" name="AutoShape 301">
          <a:extLst>
            <a:ext uri="{FF2B5EF4-FFF2-40B4-BE49-F238E27FC236}">
              <a16:creationId xmlns:a16="http://schemas.microsoft.com/office/drawing/2014/main" id="{E4F36498-83F7-4552-8C98-8D49B22EE245}"/>
            </a:ext>
          </a:extLst>
        </xdr:cNvPr>
        <xdr:cNvSpPr>
          <a:spLocks noChangeArrowheads="1"/>
        </xdr:cNvSpPr>
      </xdr:nvSpPr>
      <xdr:spPr bwMode="auto">
        <a:xfrm>
          <a:off x="342900" y="10477500"/>
          <a:ext cx="1304925" cy="22860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352425</xdr:colOff>
      <xdr:row>66</xdr:row>
      <xdr:rowOff>142875</xdr:rowOff>
    </xdr:from>
    <xdr:to>
      <xdr:col>9</xdr:col>
      <xdr:colOff>600075</xdr:colOff>
      <xdr:row>70</xdr:row>
      <xdr:rowOff>171450</xdr:rowOff>
    </xdr:to>
    <xdr:pic>
      <xdr:nvPicPr>
        <xdr:cNvPr id="63" name="Picture 304">
          <a:extLst>
            <a:ext uri="{FF2B5EF4-FFF2-40B4-BE49-F238E27FC236}">
              <a16:creationId xmlns:a16="http://schemas.microsoft.com/office/drawing/2014/main" id="{270F05DB-C257-497A-867A-2B9132DE232C}"/>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628650" y="12877800"/>
          <a:ext cx="4162425" cy="904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6</xdr:col>
      <xdr:colOff>466725</xdr:colOff>
      <xdr:row>68</xdr:row>
      <xdr:rowOff>66675</xdr:rowOff>
    </xdr:from>
    <xdr:to>
      <xdr:col>9</xdr:col>
      <xdr:colOff>619125</xdr:colOff>
      <xdr:row>70</xdr:row>
      <xdr:rowOff>171450</xdr:rowOff>
    </xdr:to>
    <xdr:sp macro="" textlink="">
      <xdr:nvSpPr>
        <xdr:cNvPr id="64" name="Rectangle 270">
          <a:extLst>
            <a:ext uri="{FF2B5EF4-FFF2-40B4-BE49-F238E27FC236}">
              <a16:creationId xmlns:a16="http://schemas.microsoft.com/office/drawing/2014/main" id="{3E18F5CC-9C27-405E-A771-8E259E22BA6A}"/>
            </a:ext>
          </a:extLst>
        </xdr:cNvPr>
        <xdr:cNvSpPr>
          <a:spLocks noChangeArrowheads="1"/>
        </xdr:cNvSpPr>
      </xdr:nvSpPr>
      <xdr:spPr bwMode="auto">
        <a:xfrm>
          <a:off x="2600325" y="13239750"/>
          <a:ext cx="2209800" cy="542925"/>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76200</xdr:colOff>
      <xdr:row>72</xdr:row>
      <xdr:rowOff>9525</xdr:rowOff>
    </xdr:from>
    <xdr:to>
      <xdr:col>5</xdr:col>
      <xdr:colOff>209550</xdr:colOff>
      <xdr:row>73</xdr:row>
      <xdr:rowOff>19050</xdr:rowOff>
    </xdr:to>
    <xdr:sp macro="" textlink="">
      <xdr:nvSpPr>
        <xdr:cNvPr id="65" name="AutoShape 306">
          <a:extLst>
            <a:ext uri="{FF2B5EF4-FFF2-40B4-BE49-F238E27FC236}">
              <a16:creationId xmlns:a16="http://schemas.microsoft.com/office/drawing/2014/main" id="{719D75B6-35BE-4D88-BF0B-1628CF32D783}"/>
            </a:ext>
          </a:extLst>
        </xdr:cNvPr>
        <xdr:cNvSpPr>
          <a:spLocks noChangeArrowheads="1"/>
        </xdr:cNvSpPr>
      </xdr:nvSpPr>
      <xdr:spPr bwMode="auto">
        <a:xfrm>
          <a:off x="352425" y="14058900"/>
          <a:ext cx="1304925" cy="22860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38100</xdr:colOff>
      <xdr:row>88</xdr:row>
      <xdr:rowOff>47625</xdr:rowOff>
    </xdr:from>
    <xdr:to>
      <xdr:col>5</xdr:col>
      <xdr:colOff>171450</xdr:colOff>
      <xdr:row>89</xdr:row>
      <xdr:rowOff>57150</xdr:rowOff>
    </xdr:to>
    <xdr:sp macro="" textlink="">
      <xdr:nvSpPr>
        <xdr:cNvPr id="66" name="AutoShape 309">
          <a:extLst>
            <a:ext uri="{FF2B5EF4-FFF2-40B4-BE49-F238E27FC236}">
              <a16:creationId xmlns:a16="http://schemas.microsoft.com/office/drawing/2014/main" id="{0464B28D-34E8-4FB5-A0FF-650F05F7576F}"/>
            </a:ext>
          </a:extLst>
        </xdr:cNvPr>
        <xdr:cNvSpPr>
          <a:spLocks noChangeArrowheads="1"/>
        </xdr:cNvSpPr>
      </xdr:nvSpPr>
      <xdr:spPr bwMode="auto">
        <a:xfrm>
          <a:off x="314325" y="17526000"/>
          <a:ext cx="1304925" cy="22860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352425</xdr:colOff>
      <xdr:row>98</xdr:row>
      <xdr:rowOff>85725</xdr:rowOff>
    </xdr:from>
    <xdr:to>
      <xdr:col>9</xdr:col>
      <xdr:colOff>504825</xdr:colOff>
      <xdr:row>102</xdr:row>
      <xdr:rowOff>104775</xdr:rowOff>
    </xdr:to>
    <xdr:pic>
      <xdr:nvPicPr>
        <xdr:cNvPr id="67" name="Picture 311">
          <a:extLst>
            <a:ext uri="{FF2B5EF4-FFF2-40B4-BE49-F238E27FC236}">
              <a16:creationId xmlns:a16="http://schemas.microsoft.com/office/drawing/2014/main" id="{4E50FAC0-07F7-442C-9D89-152C224FD47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628650" y="19754850"/>
          <a:ext cx="4067175" cy="89535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6</xdr:col>
      <xdr:colOff>409575</xdr:colOff>
      <xdr:row>100</xdr:row>
      <xdr:rowOff>9525</xdr:rowOff>
    </xdr:from>
    <xdr:to>
      <xdr:col>9</xdr:col>
      <xdr:colOff>495300</xdr:colOff>
      <xdr:row>102</xdr:row>
      <xdr:rowOff>104775</xdr:rowOff>
    </xdr:to>
    <xdr:sp macro="" textlink="">
      <xdr:nvSpPr>
        <xdr:cNvPr id="68" name="Rectangle 272">
          <a:extLst>
            <a:ext uri="{FF2B5EF4-FFF2-40B4-BE49-F238E27FC236}">
              <a16:creationId xmlns:a16="http://schemas.microsoft.com/office/drawing/2014/main" id="{309DDB2B-1EF6-497E-BC0E-6988D8487B94}"/>
            </a:ext>
          </a:extLst>
        </xdr:cNvPr>
        <xdr:cNvSpPr>
          <a:spLocks noChangeArrowheads="1"/>
        </xdr:cNvSpPr>
      </xdr:nvSpPr>
      <xdr:spPr bwMode="auto">
        <a:xfrm>
          <a:off x="2543175" y="20116800"/>
          <a:ext cx="2143125" cy="533400"/>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editAs="oneCell">
    <xdr:from>
      <xdr:col>1</xdr:col>
      <xdr:colOff>352425</xdr:colOff>
      <xdr:row>114</xdr:row>
      <xdr:rowOff>66675</xdr:rowOff>
    </xdr:from>
    <xdr:to>
      <xdr:col>9</xdr:col>
      <xdr:colOff>504825</xdr:colOff>
      <xdr:row>118</xdr:row>
      <xdr:rowOff>85725</xdr:rowOff>
    </xdr:to>
    <xdr:pic>
      <xdr:nvPicPr>
        <xdr:cNvPr id="69" name="Picture 313">
          <a:extLst>
            <a:ext uri="{FF2B5EF4-FFF2-40B4-BE49-F238E27FC236}">
              <a16:creationId xmlns:a16="http://schemas.microsoft.com/office/drawing/2014/main" id="{01CAC069-3766-45C2-A2F2-26C7602081A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628650" y="23241000"/>
          <a:ext cx="4067175" cy="89535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6</xdr:col>
      <xdr:colOff>409575</xdr:colOff>
      <xdr:row>115</xdr:row>
      <xdr:rowOff>200025</xdr:rowOff>
    </xdr:from>
    <xdr:to>
      <xdr:col>9</xdr:col>
      <xdr:colOff>504825</xdr:colOff>
      <xdr:row>118</xdr:row>
      <xdr:rowOff>76200</xdr:rowOff>
    </xdr:to>
    <xdr:sp macro="" textlink="">
      <xdr:nvSpPr>
        <xdr:cNvPr id="70" name="Rectangle 273">
          <a:extLst>
            <a:ext uri="{FF2B5EF4-FFF2-40B4-BE49-F238E27FC236}">
              <a16:creationId xmlns:a16="http://schemas.microsoft.com/office/drawing/2014/main" id="{09C0D5E0-BBDD-4185-8F74-8B6C596FE704}"/>
            </a:ext>
          </a:extLst>
        </xdr:cNvPr>
        <xdr:cNvSpPr>
          <a:spLocks noChangeArrowheads="1"/>
        </xdr:cNvSpPr>
      </xdr:nvSpPr>
      <xdr:spPr bwMode="auto">
        <a:xfrm>
          <a:off x="2543175" y="23593425"/>
          <a:ext cx="2152650" cy="533400"/>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104775</xdr:colOff>
      <xdr:row>104</xdr:row>
      <xdr:rowOff>47625</xdr:rowOff>
    </xdr:from>
    <xdr:to>
      <xdr:col>5</xdr:col>
      <xdr:colOff>238125</xdr:colOff>
      <xdr:row>105</xdr:row>
      <xdr:rowOff>57150</xdr:rowOff>
    </xdr:to>
    <xdr:sp macro="" textlink="">
      <xdr:nvSpPr>
        <xdr:cNvPr id="71" name="AutoShape 314">
          <a:extLst>
            <a:ext uri="{FF2B5EF4-FFF2-40B4-BE49-F238E27FC236}">
              <a16:creationId xmlns:a16="http://schemas.microsoft.com/office/drawing/2014/main" id="{062DAF21-4258-4565-8E9C-723B1FB09DA4}"/>
            </a:ext>
          </a:extLst>
        </xdr:cNvPr>
        <xdr:cNvSpPr>
          <a:spLocks noChangeArrowheads="1"/>
        </xdr:cNvSpPr>
      </xdr:nvSpPr>
      <xdr:spPr bwMode="auto">
        <a:xfrm>
          <a:off x="381000" y="21031200"/>
          <a:ext cx="1304925" cy="22860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133350</xdr:colOff>
      <xdr:row>119</xdr:row>
      <xdr:rowOff>133350</xdr:rowOff>
    </xdr:from>
    <xdr:to>
      <xdr:col>5</xdr:col>
      <xdr:colOff>266700</xdr:colOff>
      <xdr:row>120</xdr:row>
      <xdr:rowOff>142875</xdr:rowOff>
    </xdr:to>
    <xdr:sp macro="" textlink="">
      <xdr:nvSpPr>
        <xdr:cNvPr id="72" name="AutoShape 315">
          <a:extLst>
            <a:ext uri="{FF2B5EF4-FFF2-40B4-BE49-F238E27FC236}">
              <a16:creationId xmlns:a16="http://schemas.microsoft.com/office/drawing/2014/main" id="{3E943FCC-6F22-4F29-8CAE-32D5006DCC86}"/>
            </a:ext>
          </a:extLst>
        </xdr:cNvPr>
        <xdr:cNvSpPr>
          <a:spLocks noChangeArrowheads="1"/>
        </xdr:cNvSpPr>
      </xdr:nvSpPr>
      <xdr:spPr bwMode="auto">
        <a:xfrm>
          <a:off x="409575" y="24403050"/>
          <a:ext cx="1304925" cy="22860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238125</xdr:colOff>
      <xdr:row>130</xdr:row>
      <xdr:rowOff>76200</xdr:rowOff>
    </xdr:from>
    <xdr:to>
      <xdr:col>8</xdr:col>
      <xdr:colOff>428625</xdr:colOff>
      <xdr:row>136</xdr:row>
      <xdr:rowOff>57150</xdr:rowOff>
    </xdr:to>
    <xdr:pic>
      <xdr:nvPicPr>
        <xdr:cNvPr id="73" name="Picture 319">
          <a:extLst>
            <a:ext uri="{FF2B5EF4-FFF2-40B4-BE49-F238E27FC236}">
              <a16:creationId xmlns:a16="http://schemas.microsoft.com/office/drawing/2014/main" id="{377FEC1D-1D20-46D8-A579-E742FD35D97A}"/>
            </a:ext>
          </a:extLst>
        </xdr:cNvPr>
        <xdr:cNvPicPr>
          <a:picLocks noChangeAspect="1" noChangeArrowheads="1"/>
        </xdr:cNvPicPr>
      </xdr:nvPicPr>
      <xdr:blipFill>
        <a:blip xmlns:r="http://schemas.openxmlformats.org/officeDocument/2006/relationships" r:embed="rId22">
          <a:extLst>
            <a:ext uri="{28A0092B-C50C-407E-A947-70E740481C1C}">
              <a14:useLocalDpi xmlns:a14="http://schemas.microsoft.com/office/drawing/2010/main" val="0"/>
            </a:ext>
          </a:extLst>
        </a:blip>
        <a:srcRect/>
        <a:stretch>
          <a:fillRect/>
        </a:stretch>
      </xdr:blipFill>
      <xdr:spPr bwMode="auto">
        <a:xfrm>
          <a:off x="514350" y="26679525"/>
          <a:ext cx="3419475" cy="129540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209550</xdr:colOff>
      <xdr:row>138</xdr:row>
      <xdr:rowOff>9525</xdr:rowOff>
    </xdr:from>
    <xdr:to>
      <xdr:col>5</xdr:col>
      <xdr:colOff>342900</xdr:colOff>
      <xdr:row>139</xdr:row>
      <xdr:rowOff>19050</xdr:rowOff>
    </xdr:to>
    <xdr:sp macro="" textlink="">
      <xdr:nvSpPr>
        <xdr:cNvPr id="74" name="AutoShape 320">
          <a:extLst>
            <a:ext uri="{FF2B5EF4-FFF2-40B4-BE49-F238E27FC236}">
              <a16:creationId xmlns:a16="http://schemas.microsoft.com/office/drawing/2014/main" id="{113621DD-BD4C-461C-B200-F2042C012414}"/>
            </a:ext>
          </a:extLst>
        </xdr:cNvPr>
        <xdr:cNvSpPr>
          <a:spLocks noChangeArrowheads="1"/>
        </xdr:cNvSpPr>
      </xdr:nvSpPr>
      <xdr:spPr bwMode="auto">
        <a:xfrm>
          <a:off x="485775" y="28365450"/>
          <a:ext cx="1304925" cy="22860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9</xdr:col>
      <xdr:colOff>2790825</xdr:colOff>
      <xdr:row>141</xdr:row>
      <xdr:rowOff>38100</xdr:rowOff>
    </xdr:from>
    <xdr:to>
      <xdr:col>9</xdr:col>
      <xdr:colOff>3457575</xdr:colOff>
      <xdr:row>145</xdr:row>
      <xdr:rowOff>9525</xdr:rowOff>
    </xdr:to>
    <xdr:sp macro="" textlink="">
      <xdr:nvSpPr>
        <xdr:cNvPr id="75" name="Rectangle 11">
          <a:extLst>
            <a:ext uri="{FF2B5EF4-FFF2-40B4-BE49-F238E27FC236}">
              <a16:creationId xmlns:a16="http://schemas.microsoft.com/office/drawing/2014/main" id="{7AC733DA-988C-48EE-B8D6-323286D57D89}"/>
            </a:ext>
          </a:extLst>
        </xdr:cNvPr>
        <xdr:cNvSpPr>
          <a:spLocks noChangeArrowheads="1"/>
        </xdr:cNvSpPr>
      </xdr:nvSpPr>
      <xdr:spPr bwMode="auto">
        <a:xfrm>
          <a:off x="6981825" y="29051250"/>
          <a:ext cx="666750" cy="847725"/>
        </a:xfrm>
        <a:prstGeom prst="rect">
          <a:avLst/>
        </a:prstGeom>
        <a:noFill/>
        <a:ln w="158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171450</xdr:colOff>
      <xdr:row>158</xdr:row>
      <xdr:rowOff>57150</xdr:rowOff>
    </xdr:from>
    <xdr:to>
      <xdr:col>5</xdr:col>
      <xdr:colOff>304800</xdr:colOff>
      <xdr:row>159</xdr:row>
      <xdr:rowOff>114300</xdr:rowOff>
    </xdr:to>
    <xdr:sp macro="" textlink="">
      <xdr:nvSpPr>
        <xdr:cNvPr id="76" name="AutoShape 326">
          <a:extLst>
            <a:ext uri="{FF2B5EF4-FFF2-40B4-BE49-F238E27FC236}">
              <a16:creationId xmlns:a16="http://schemas.microsoft.com/office/drawing/2014/main" id="{39AEBDB2-703C-46B2-BD7D-4ED4C816B970}"/>
            </a:ext>
          </a:extLst>
        </xdr:cNvPr>
        <xdr:cNvSpPr>
          <a:spLocks noChangeArrowheads="1"/>
        </xdr:cNvSpPr>
      </xdr:nvSpPr>
      <xdr:spPr bwMode="auto">
        <a:xfrm>
          <a:off x="447675" y="32527875"/>
          <a:ext cx="130492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57150</xdr:colOff>
      <xdr:row>198</xdr:row>
      <xdr:rowOff>57150</xdr:rowOff>
    </xdr:from>
    <xdr:to>
      <xdr:col>5</xdr:col>
      <xdr:colOff>600075</xdr:colOff>
      <xdr:row>199</xdr:row>
      <xdr:rowOff>114300</xdr:rowOff>
    </xdr:to>
    <xdr:sp macro="" textlink="">
      <xdr:nvSpPr>
        <xdr:cNvPr id="77" name="AutoShape 328">
          <a:extLst>
            <a:ext uri="{FF2B5EF4-FFF2-40B4-BE49-F238E27FC236}">
              <a16:creationId xmlns:a16="http://schemas.microsoft.com/office/drawing/2014/main" id="{9E7C45DC-F1EE-4683-9925-B9512B7D610A}"/>
            </a:ext>
          </a:extLst>
        </xdr:cNvPr>
        <xdr:cNvSpPr>
          <a:spLocks noChangeArrowheads="1"/>
        </xdr:cNvSpPr>
      </xdr:nvSpPr>
      <xdr:spPr bwMode="auto">
        <a:xfrm>
          <a:off x="333375" y="40500300"/>
          <a:ext cx="1714500"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6</xdr:col>
      <xdr:colOff>628650</xdr:colOff>
      <xdr:row>51</xdr:row>
      <xdr:rowOff>19050</xdr:rowOff>
    </xdr:from>
    <xdr:to>
      <xdr:col>9</xdr:col>
      <xdr:colOff>57150</xdr:colOff>
      <xdr:row>53</xdr:row>
      <xdr:rowOff>123825</xdr:rowOff>
    </xdr:to>
    <xdr:sp macro="" textlink="">
      <xdr:nvSpPr>
        <xdr:cNvPr id="78" name="Rectangle 330">
          <a:extLst>
            <a:ext uri="{FF2B5EF4-FFF2-40B4-BE49-F238E27FC236}">
              <a16:creationId xmlns:a16="http://schemas.microsoft.com/office/drawing/2014/main" id="{32A1FDD1-14A0-4199-AD38-F70B80ED42CC}"/>
            </a:ext>
          </a:extLst>
        </xdr:cNvPr>
        <xdr:cNvSpPr>
          <a:spLocks noChangeArrowheads="1"/>
        </xdr:cNvSpPr>
      </xdr:nvSpPr>
      <xdr:spPr bwMode="auto">
        <a:xfrm>
          <a:off x="2762250" y="9544050"/>
          <a:ext cx="1485900" cy="542925"/>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editAs="oneCell">
    <xdr:from>
      <xdr:col>1</xdr:col>
      <xdr:colOff>333375</xdr:colOff>
      <xdr:row>150</xdr:row>
      <xdr:rowOff>85725</xdr:rowOff>
    </xdr:from>
    <xdr:to>
      <xdr:col>9</xdr:col>
      <xdr:colOff>571500</xdr:colOff>
      <xdr:row>155</xdr:row>
      <xdr:rowOff>0</xdr:rowOff>
    </xdr:to>
    <xdr:pic>
      <xdr:nvPicPr>
        <xdr:cNvPr id="79" name="Picture 333">
          <a:extLst>
            <a:ext uri="{FF2B5EF4-FFF2-40B4-BE49-F238E27FC236}">
              <a16:creationId xmlns:a16="http://schemas.microsoft.com/office/drawing/2014/main" id="{333E29DB-6D2E-4F18-906E-2BBCEF648D00}"/>
            </a:ext>
          </a:extLst>
        </xdr:cNvPr>
        <xdr:cNvPicPr>
          <a:picLocks noChangeAspect="1" noChangeArrowheads="1"/>
        </xdr:cNvPicPr>
      </xdr:nvPicPr>
      <xdr:blipFill>
        <a:blip xmlns:r="http://schemas.openxmlformats.org/officeDocument/2006/relationships" r:embed="rId23">
          <a:extLst>
            <a:ext uri="{28A0092B-C50C-407E-A947-70E740481C1C}">
              <a14:useLocalDpi xmlns:a14="http://schemas.microsoft.com/office/drawing/2010/main" val="0"/>
            </a:ext>
          </a:extLst>
        </a:blip>
        <a:srcRect/>
        <a:stretch>
          <a:fillRect/>
        </a:stretch>
      </xdr:blipFill>
      <xdr:spPr bwMode="auto">
        <a:xfrm>
          <a:off x="609600" y="30956250"/>
          <a:ext cx="4152900" cy="91440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104775</xdr:colOff>
      <xdr:row>199</xdr:row>
      <xdr:rowOff>161925</xdr:rowOff>
    </xdr:from>
    <xdr:to>
      <xdr:col>9</xdr:col>
      <xdr:colOff>19050</xdr:colOff>
      <xdr:row>202</xdr:row>
      <xdr:rowOff>85725</xdr:rowOff>
    </xdr:to>
    <xdr:pic>
      <xdr:nvPicPr>
        <xdr:cNvPr id="80" name="Picture 335">
          <a:extLst>
            <a:ext uri="{FF2B5EF4-FFF2-40B4-BE49-F238E27FC236}">
              <a16:creationId xmlns:a16="http://schemas.microsoft.com/office/drawing/2014/main" id="{C451AE53-4386-4C89-919F-9FF8F62D2D4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381000" y="40805100"/>
          <a:ext cx="3829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9</xdr:col>
      <xdr:colOff>581025</xdr:colOff>
      <xdr:row>199</xdr:row>
      <xdr:rowOff>0</xdr:rowOff>
    </xdr:from>
    <xdr:to>
      <xdr:col>9</xdr:col>
      <xdr:colOff>3343275</xdr:colOff>
      <xdr:row>200</xdr:row>
      <xdr:rowOff>142875</xdr:rowOff>
    </xdr:to>
    <xdr:sp macro="" textlink="">
      <xdr:nvSpPr>
        <xdr:cNvPr id="81" name="AutoShape 337">
          <a:extLst>
            <a:ext uri="{FF2B5EF4-FFF2-40B4-BE49-F238E27FC236}">
              <a16:creationId xmlns:a16="http://schemas.microsoft.com/office/drawing/2014/main" id="{7BB22BFE-3E67-48D2-80DB-24F0474B5659}"/>
            </a:ext>
          </a:extLst>
        </xdr:cNvPr>
        <xdr:cNvSpPr>
          <a:spLocks noChangeArrowheads="1"/>
        </xdr:cNvSpPr>
      </xdr:nvSpPr>
      <xdr:spPr bwMode="auto">
        <a:xfrm>
          <a:off x="4772025" y="40643175"/>
          <a:ext cx="2762250" cy="342900"/>
        </a:xfrm>
        <a:prstGeom prst="wedgeRectCallout">
          <a:avLst>
            <a:gd name="adj1" fmla="val -57241"/>
            <a:gd name="adj2" fmla="val 122727"/>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０除算時にはエラーになっていることを確認</a:t>
          </a:r>
        </a:p>
      </xdr:txBody>
    </xdr:sp>
    <xdr:clientData/>
  </xdr:twoCellAnchor>
  <xdr:twoCellAnchor>
    <xdr:from>
      <xdr:col>9</xdr:col>
      <xdr:colOff>762000</xdr:colOff>
      <xdr:row>187</xdr:row>
      <xdr:rowOff>76200</xdr:rowOff>
    </xdr:from>
    <xdr:to>
      <xdr:col>9</xdr:col>
      <xdr:colOff>3524250</xdr:colOff>
      <xdr:row>189</xdr:row>
      <xdr:rowOff>47625</xdr:rowOff>
    </xdr:to>
    <xdr:sp macro="" textlink="">
      <xdr:nvSpPr>
        <xdr:cNvPr id="82" name="AutoShape 203">
          <a:extLst>
            <a:ext uri="{FF2B5EF4-FFF2-40B4-BE49-F238E27FC236}">
              <a16:creationId xmlns:a16="http://schemas.microsoft.com/office/drawing/2014/main" id="{B5469A4C-CCB5-4041-A9B2-36A8E42A4769}"/>
            </a:ext>
          </a:extLst>
        </xdr:cNvPr>
        <xdr:cNvSpPr>
          <a:spLocks noChangeArrowheads="1"/>
        </xdr:cNvSpPr>
      </xdr:nvSpPr>
      <xdr:spPr bwMode="auto">
        <a:xfrm>
          <a:off x="4953000" y="38319075"/>
          <a:ext cx="2762250" cy="371475"/>
        </a:xfrm>
        <a:prstGeom prst="wedgeRectCallout">
          <a:avLst>
            <a:gd name="adj1" fmla="val -46208"/>
            <a:gd name="adj2" fmla="val -265153"/>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1000" b="0" i="0" u="none" strike="noStrike" baseline="0">
              <a:solidFill>
                <a:srgbClr val="FF0000"/>
              </a:solidFill>
              <a:latin typeface="ＭＳ Ｐゴシック"/>
              <a:ea typeface="ＭＳ Ｐゴシック"/>
            </a:rPr>
            <a:t>割合を求めるプログラムの場合</a:t>
          </a:r>
        </a:p>
      </xdr:txBody>
    </xdr:sp>
    <xdr:clientData/>
  </xdr:twoCellAnchor>
  <xdr:twoCellAnchor>
    <xdr:from>
      <xdr:col>9</xdr:col>
      <xdr:colOff>657225</xdr:colOff>
      <xdr:row>186</xdr:row>
      <xdr:rowOff>19050</xdr:rowOff>
    </xdr:from>
    <xdr:to>
      <xdr:col>9</xdr:col>
      <xdr:colOff>3752850</xdr:colOff>
      <xdr:row>190</xdr:row>
      <xdr:rowOff>47625</xdr:rowOff>
    </xdr:to>
    <xdr:sp macro="" textlink="">
      <xdr:nvSpPr>
        <xdr:cNvPr id="83" name="AutoShape 216">
          <a:extLst>
            <a:ext uri="{FF2B5EF4-FFF2-40B4-BE49-F238E27FC236}">
              <a16:creationId xmlns:a16="http://schemas.microsoft.com/office/drawing/2014/main" id="{9978AE4F-D0A4-4ACE-B073-9754249E9075}"/>
            </a:ext>
          </a:extLst>
        </xdr:cNvPr>
        <xdr:cNvSpPr>
          <a:spLocks noChangeArrowheads="1"/>
        </xdr:cNvSpPr>
      </xdr:nvSpPr>
      <xdr:spPr bwMode="auto">
        <a:xfrm>
          <a:off x="4848225" y="38061900"/>
          <a:ext cx="3095625" cy="828675"/>
        </a:xfrm>
        <a:prstGeom prst="wedgeRectCallout">
          <a:avLst>
            <a:gd name="adj1" fmla="val -71537"/>
            <a:gd name="adj2" fmla="val 11333"/>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18288" anchor="ctr" upright="1"/>
        <a:lstStyle/>
        <a:p>
          <a:pPr algn="l" rtl="0">
            <a:lnSpc>
              <a:spcPts val="1200"/>
            </a:lnSpc>
            <a:defRPr sz="1000"/>
          </a:pPr>
          <a:r>
            <a:rPr lang="ja-JP" altLang="en-US" sz="1000" b="0" i="0" u="none" strike="noStrike" baseline="0">
              <a:solidFill>
                <a:srgbClr val="333333"/>
              </a:solidFill>
              <a:latin typeface="ＭＳ Ｐゴシック"/>
              <a:ea typeface="ＭＳ Ｐゴシック"/>
            </a:rPr>
            <a:t>　　割合を求めるプログラムの場合</a:t>
          </a:r>
        </a:p>
        <a:p>
          <a:pPr algn="l" rtl="0">
            <a:lnSpc>
              <a:spcPts val="1100"/>
            </a:lnSpc>
            <a:defRPr sz="1000"/>
          </a:pPr>
          <a:endParaRPr lang="ja-JP" altLang="en-US" sz="1000" b="0" i="0" u="none" strike="noStrike" baseline="0">
            <a:solidFill>
              <a:srgbClr val="333333"/>
            </a:solidFill>
            <a:latin typeface="ＭＳ Ｐゴシック"/>
            <a:ea typeface="ＭＳ Ｐゴシック"/>
          </a:endParaRPr>
        </a:p>
        <a:p>
          <a:pPr algn="l" rtl="0">
            <a:lnSpc>
              <a:spcPts val="1200"/>
            </a:lnSpc>
            <a:defRPr sz="1000"/>
          </a:pPr>
          <a:r>
            <a:rPr lang="ja-JP" altLang="en-US" sz="1000" b="0" i="0" u="none" strike="noStrike" baseline="0">
              <a:solidFill>
                <a:srgbClr val="333333"/>
              </a:solidFill>
              <a:latin typeface="ＭＳ Ｐゴシック"/>
              <a:ea typeface="ＭＳ Ｐゴシック"/>
            </a:rPr>
            <a:t>　　　　0除算テストをするために合計の売上高が０に</a:t>
          </a:r>
        </a:p>
        <a:p>
          <a:pPr algn="l" rtl="0">
            <a:lnSpc>
              <a:spcPts val="1100"/>
            </a:lnSpc>
            <a:defRPr sz="1000"/>
          </a:pPr>
          <a:r>
            <a:rPr lang="ja-JP" altLang="en-US" sz="1000" b="0" i="0" u="none" strike="noStrike" baseline="0">
              <a:solidFill>
                <a:srgbClr val="333333"/>
              </a:solidFill>
              <a:latin typeface="ＭＳ Ｐゴシック"/>
              <a:ea typeface="ＭＳ Ｐゴシック"/>
            </a:rPr>
            <a:t>　　　なるような入力データを用意する</a:t>
          </a:r>
        </a:p>
        <a:p>
          <a:pPr algn="l" rtl="0">
            <a:lnSpc>
              <a:spcPts val="1100"/>
            </a:lnSpc>
            <a:defRPr sz="1000"/>
          </a:pPr>
          <a:endParaRPr lang="ja-JP" altLang="en-US" sz="1000" b="0" i="0" u="none" strike="noStrike" baseline="0">
            <a:solidFill>
              <a:srgbClr val="333333"/>
            </a:solidFill>
            <a:latin typeface="ＭＳ Ｐゴシック"/>
            <a:ea typeface="ＭＳ Ｐゴシック"/>
          </a:endParaRPr>
        </a:p>
      </xdr:txBody>
    </xdr:sp>
    <xdr:clientData/>
  </xdr:twoCellAnchor>
  <xdr:twoCellAnchor>
    <xdr:from>
      <xdr:col>1</xdr:col>
      <xdr:colOff>200025</xdr:colOff>
      <xdr:row>33</xdr:row>
      <xdr:rowOff>133350</xdr:rowOff>
    </xdr:from>
    <xdr:to>
      <xdr:col>5</xdr:col>
      <xdr:colOff>76200</xdr:colOff>
      <xdr:row>35</xdr:row>
      <xdr:rowOff>19050</xdr:rowOff>
    </xdr:to>
    <xdr:sp macro="" textlink="">
      <xdr:nvSpPr>
        <xdr:cNvPr id="84" name="AutoShape 338">
          <a:extLst>
            <a:ext uri="{FF2B5EF4-FFF2-40B4-BE49-F238E27FC236}">
              <a16:creationId xmlns:a16="http://schemas.microsoft.com/office/drawing/2014/main" id="{A1FA11DC-4BB0-4BFD-B040-DFA2ED99A1B2}"/>
            </a:ext>
          </a:extLst>
        </xdr:cNvPr>
        <xdr:cNvSpPr>
          <a:spLocks noChangeArrowheads="1"/>
        </xdr:cNvSpPr>
      </xdr:nvSpPr>
      <xdr:spPr bwMode="auto">
        <a:xfrm>
          <a:off x="476250" y="6248400"/>
          <a:ext cx="1047750" cy="2476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実行 sample</a:t>
          </a:r>
        </a:p>
      </xdr:txBody>
    </xdr:sp>
    <xdr:clientData/>
  </xdr:twoCellAnchor>
  <xdr:twoCellAnchor editAs="oneCell">
    <xdr:from>
      <xdr:col>1</xdr:col>
      <xdr:colOff>342900</xdr:colOff>
      <xdr:row>8</xdr:row>
      <xdr:rowOff>133350</xdr:rowOff>
    </xdr:from>
    <xdr:to>
      <xdr:col>9</xdr:col>
      <xdr:colOff>2209800</xdr:colOff>
      <xdr:row>15</xdr:row>
      <xdr:rowOff>161925</xdr:rowOff>
    </xdr:to>
    <xdr:pic>
      <xdr:nvPicPr>
        <xdr:cNvPr id="85" name="Picture 339">
          <a:extLst>
            <a:ext uri="{FF2B5EF4-FFF2-40B4-BE49-F238E27FC236}">
              <a16:creationId xmlns:a16="http://schemas.microsoft.com/office/drawing/2014/main" id="{A59EE4EE-FFD4-4D6F-9D00-5A3BA7BBC598}"/>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619125" y="1724025"/>
          <a:ext cx="5781675" cy="129540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333375</xdr:colOff>
      <xdr:row>21</xdr:row>
      <xdr:rowOff>9525</xdr:rowOff>
    </xdr:from>
    <xdr:to>
      <xdr:col>9</xdr:col>
      <xdr:colOff>2209800</xdr:colOff>
      <xdr:row>28</xdr:row>
      <xdr:rowOff>171450</xdr:rowOff>
    </xdr:to>
    <xdr:pic>
      <xdr:nvPicPr>
        <xdr:cNvPr id="86" name="Picture 340">
          <a:extLst>
            <a:ext uri="{FF2B5EF4-FFF2-40B4-BE49-F238E27FC236}">
              <a16:creationId xmlns:a16="http://schemas.microsoft.com/office/drawing/2014/main" id="{ADEE9176-BCB7-477A-BABE-F151D68BB79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609600" y="3952875"/>
          <a:ext cx="5791200" cy="142875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0</xdr:colOff>
      <xdr:row>35</xdr:row>
      <xdr:rowOff>38100</xdr:rowOff>
    </xdr:from>
    <xdr:to>
      <xdr:col>9</xdr:col>
      <xdr:colOff>2495550</xdr:colOff>
      <xdr:row>42</xdr:row>
      <xdr:rowOff>28575</xdr:rowOff>
    </xdr:to>
    <xdr:pic>
      <xdr:nvPicPr>
        <xdr:cNvPr id="87" name="Picture 341">
          <a:extLst>
            <a:ext uri="{FF2B5EF4-FFF2-40B4-BE49-F238E27FC236}">
              <a16:creationId xmlns:a16="http://schemas.microsoft.com/office/drawing/2014/main" id="{62CD087B-F0B3-4205-BDCD-1D0A297C541A}"/>
            </a:ext>
          </a:extLst>
        </xdr:cNvPr>
        <xdr:cNvPicPr>
          <a:picLocks noChangeAspect="1" noChangeArrowheads="1"/>
        </xdr:cNvPicPr>
      </xdr:nvPicPr>
      <xdr:blipFill>
        <a:blip xmlns:r="http://schemas.openxmlformats.org/officeDocument/2006/relationships" r:embed="rId27">
          <a:extLst>
            <a:ext uri="{28A0092B-C50C-407E-A947-70E740481C1C}">
              <a14:useLocalDpi xmlns:a14="http://schemas.microsoft.com/office/drawing/2010/main" val="0"/>
            </a:ext>
          </a:extLst>
        </a:blip>
        <a:srcRect/>
        <a:stretch>
          <a:fillRect/>
        </a:stretch>
      </xdr:blipFill>
      <xdr:spPr bwMode="auto">
        <a:xfrm>
          <a:off x="895350" y="6515100"/>
          <a:ext cx="5791200" cy="125730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9</xdr:col>
      <xdr:colOff>1752600</xdr:colOff>
      <xdr:row>33</xdr:row>
      <xdr:rowOff>66675</xdr:rowOff>
    </xdr:from>
    <xdr:to>
      <xdr:col>10</xdr:col>
      <xdr:colOff>0</xdr:colOff>
      <xdr:row>35</xdr:row>
      <xdr:rowOff>28575</xdr:rowOff>
    </xdr:to>
    <xdr:sp macro="" textlink="">
      <xdr:nvSpPr>
        <xdr:cNvPr id="88" name="AutoShape 342">
          <a:extLst>
            <a:ext uri="{FF2B5EF4-FFF2-40B4-BE49-F238E27FC236}">
              <a16:creationId xmlns:a16="http://schemas.microsoft.com/office/drawing/2014/main" id="{0D80B359-0BC0-499A-AB5B-0F8BB55AECF6}"/>
            </a:ext>
          </a:extLst>
        </xdr:cNvPr>
        <xdr:cNvSpPr>
          <a:spLocks noChangeArrowheads="1"/>
        </xdr:cNvSpPr>
      </xdr:nvSpPr>
      <xdr:spPr bwMode="auto">
        <a:xfrm>
          <a:off x="5943600" y="6181725"/>
          <a:ext cx="2971800" cy="323850"/>
        </a:xfrm>
        <a:prstGeom prst="wedgeRectCallout">
          <a:avLst>
            <a:gd name="adj1" fmla="val -56731"/>
            <a:gd name="adj2" fmla="val -294116"/>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第一引数が１の時は、追加処理</a:t>
          </a:r>
        </a:p>
        <a:p>
          <a:pPr algn="l" rtl="0">
            <a:defRPr sz="1000"/>
          </a:pPr>
          <a:r>
            <a:rPr lang="ja-JP" altLang="en-US" sz="1100" b="0" i="0" u="none" strike="noStrike" baseline="0">
              <a:solidFill>
                <a:srgbClr val="000000"/>
              </a:solidFill>
              <a:latin typeface="ＭＳ Ｐゴシック"/>
              <a:ea typeface="ＭＳ Ｐゴシック"/>
            </a:rPr>
            <a:t>               ２の時は、削除処理</a:t>
          </a:r>
        </a:p>
        <a:p>
          <a:pPr algn="l" rtl="0">
            <a:defRPr sz="1000"/>
          </a:pPr>
          <a:r>
            <a:rPr lang="ja-JP" altLang="en-US" sz="1100" b="0" i="0" u="none" strike="noStrike" baseline="0">
              <a:solidFill>
                <a:srgbClr val="000000"/>
              </a:solidFill>
              <a:latin typeface="ＭＳ Ｐゴシック"/>
              <a:ea typeface="ＭＳ Ｐゴシック"/>
            </a:rPr>
            <a:t>仕様通り、条件分岐できていることを確認</a:t>
          </a:r>
        </a:p>
      </xdr:txBody>
    </xdr:sp>
    <xdr:clientData/>
  </xdr:twoCellAnchor>
  <xdr:twoCellAnchor>
    <xdr:from>
      <xdr:col>9</xdr:col>
      <xdr:colOff>1743075</xdr:colOff>
      <xdr:row>32</xdr:row>
      <xdr:rowOff>47625</xdr:rowOff>
    </xdr:from>
    <xdr:to>
      <xdr:col>9</xdr:col>
      <xdr:colOff>4705350</xdr:colOff>
      <xdr:row>35</xdr:row>
      <xdr:rowOff>47625</xdr:rowOff>
    </xdr:to>
    <xdr:sp macro="" textlink="">
      <xdr:nvSpPr>
        <xdr:cNvPr id="89" name="AutoShape 343">
          <a:extLst>
            <a:ext uri="{FF2B5EF4-FFF2-40B4-BE49-F238E27FC236}">
              <a16:creationId xmlns:a16="http://schemas.microsoft.com/office/drawing/2014/main" id="{F143658E-BDB1-456E-AFC1-66F10B1B3058}"/>
            </a:ext>
          </a:extLst>
        </xdr:cNvPr>
        <xdr:cNvSpPr>
          <a:spLocks noChangeArrowheads="1"/>
        </xdr:cNvSpPr>
      </xdr:nvSpPr>
      <xdr:spPr bwMode="auto">
        <a:xfrm>
          <a:off x="5934075" y="5981700"/>
          <a:ext cx="2962275" cy="542925"/>
        </a:xfrm>
        <a:prstGeom prst="wedgeRectCallout">
          <a:avLst>
            <a:gd name="adj1" fmla="val -53856"/>
            <a:gd name="adj2" fmla="val 165792"/>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200"/>
            </a:lnSpc>
            <a:defRPr sz="1000"/>
          </a:pPr>
          <a:r>
            <a:rPr lang="ja-JP" altLang="en-US" sz="1000" b="0" i="0" u="none" strike="noStrike" baseline="0">
              <a:solidFill>
                <a:srgbClr val="000000"/>
              </a:solidFill>
              <a:latin typeface="ＭＳ Ｐゴシック"/>
              <a:ea typeface="ＭＳ Ｐゴシック"/>
            </a:rPr>
            <a:t>第一引数が１の時は、追加処理</a:t>
          </a:r>
        </a:p>
        <a:p>
          <a:pPr algn="l" rtl="0">
            <a:lnSpc>
              <a:spcPts val="1200"/>
            </a:lnSpc>
            <a:defRPr sz="1000"/>
          </a:pPr>
          <a:r>
            <a:rPr lang="ja-JP" altLang="en-US" sz="1000" b="0" i="0" u="none" strike="noStrike" baseline="0">
              <a:solidFill>
                <a:srgbClr val="000000"/>
              </a:solidFill>
              <a:latin typeface="ＭＳ Ｐゴシック"/>
              <a:ea typeface="ＭＳ Ｐゴシック"/>
            </a:rPr>
            <a:t>                ２の時は、削除処理</a:t>
          </a:r>
        </a:p>
        <a:p>
          <a:pPr algn="l" rtl="0">
            <a:lnSpc>
              <a:spcPts val="1100"/>
            </a:lnSpc>
            <a:defRPr sz="1000"/>
          </a:pPr>
          <a:r>
            <a:rPr lang="ja-JP" altLang="en-US" sz="1000" b="0" i="0" u="none" strike="noStrike" baseline="0">
              <a:solidFill>
                <a:srgbClr val="000000"/>
              </a:solidFill>
              <a:latin typeface="ＭＳ Ｐゴシック"/>
              <a:ea typeface="ＭＳ Ｐゴシック"/>
            </a:rPr>
            <a:t>引数の値から、仕様通り条件分岐できていることを確認</a:t>
          </a:r>
        </a:p>
      </xdr:txBody>
    </xdr:sp>
    <xdr:clientData/>
  </xdr:twoCellAnchor>
  <xdr:twoCellAnchor>
    <xdr:from>
      <xdr:col>1</xdr:col>
      <xdr:colOff>142875</xdr:colOff>
      <xdr:row>19</xdr:row>
      <xdr:rowOff>85725</xdr:rowOff>
    </xdr:from>
    <xdr:to>
      <xdr:col>5</xdr:col>
      <xdr:colOff>19050</xdr:colOff>
      <xdr:row>20</xdr:row>
      <xdr:rowOff>142875</xdr:rowOff>
    </xdr:to>
    <xdr:sp macro="" textlink="">
      <xdr:nvSpPr>
        <xdr:cNvPr id="90" name="AutoShape 344">
          <a:extLst>
            <a:ext uri="{FF2B5EF4-FFF2-40B4-BE49-F238E27FC236}">
              <a16:creationId xmlns:a16="http://schemas.microsoft.com/office/drawing/2014/main" id="{60D13B5C-724F-48CB-BD81-930D53FD1490}"/>
            </a:ext>
          </a:extLst>
        </xdr:cNvPr>
        <xdr:cNvSpPr>
          <a:spLocks noChangeArrowheads="1"/>
        </xdr:cNvSpPr>
      </xdr:nvSpPr>
      <xdr:spPr bwMode="auto">
        <a:xfrm>
          <a:off x="419100" y="3667125"/>
          <a:ext cx="1047750" cy="23812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実行 sample</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9</xdr:col>
      <xdr:colOff>38100</xdr:colOff>
      <xdr:row>9</xdr:row>
      <xdr:rowOff>28575</xdr:rowOff>
    </xdr:from>
    <xdr:to>
      <xdr:col>9</xdr:col>
      <xdr:colOff>180975</xdr:colOff>
      <xdr:row>12</xdr:row>
      <xdr:rowOff>123825</xdr:rowOff>
    </xdr:to>
    <xdr:sp macro="" textlink="">
      <xdr:nvSpPr>
        <xdr:cNvPr id="2" name="AutoShape 4">
          <a:extLst>
            <a:ext uri="{FF2B5EF4-FFF2-40B4-BE49-F238E27FC236}">
              <a16:creationId xmlns:a16="http://schemas.microsoft.com/office/drawing/2014/main" id="{A831C429-9D56-4FE7-A307-3CF5AF6F570E}"/>
            </a:ext>
          </a:extLst>
        </xdr:cNvPr>
        <xdr:cNvSpPr>
          <a:spLocks/>
        </xdr:cNvSpPr>
      </xdr:nvSpPr>
      <xdr:spPr bwMode="auto">
        <a:xfrm>
          <a:off x="7324725" y="1838325"/>
          <a:ext cx="142875" cy="552450"/>
        </a:xfrm>
        <a:prstGeom prst="rightBrace">
          <a:avLst>
            <a:gd name="adj1" fmla="val 32222"/>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57150</xdr:colOff>
      <xdr:row>21</xdr:row>
      <xdr:rowOff>66675</xdr:rowOff>
    </xdr:from>
    <xdr:to>
      <xdr:col>9</xdr:col>
      <xdr:colOff>219075</xdr:colOff>
      <xdr:row>24</xdr:row>
      <xdr:rowOff>123825</xdr:rowOff>
    </xdr:to>
    <xdr:sp macro="" textlink="">
      <xdr:nvSpPr>
        <xdr:cNvPr id="3" name="AutoShape 5">
          <a:extLst>
            <a:ext uri="{FF2B5EF4-FFF2-40B4-BE49-F238E27FC236}">
              <a16:creationId xmlns:a16="http://schemas.microsoft.com/office/drawing/2014/main" id="{0ABBFD57-9AC6-4202-8A9F-6FAC72B15554}"/>
            </a:ext>
          </a:extLst>
        </xdr:cNvPr>
        <xdr:cNvSpPr>
          <a:spLocks/>
        </xdr:cNvSpPr>
      </xdr:nvSpPr>
      <xdr:spPr bwMode="auto">
        <a:xfrm>
          <a:off x="7343775" y="3705225"/>
          <a:ext cx="161925" cy="504825"/>
        </a:xfrm>
        <a:prstGeom prst="rightBrace">
          <a:avLst>
            <a:gd name="adj1" fmla="val 25980"/>
            <a:gd name="adj2" fmla="val 45681"/>
          </a:avLst>
        </a:prstGeom>
        <a:noFill/>
        <a:ln w="9525">
          <a:solidFill>
            <a:srgbClr xmlns:mc="http://schemas.openxmlformats.org/markup-compatibility/2006" xmlns:a14="http://schemas.microsoft.com/office/drawing/2010/main" val="FF6600" mc:Ignorable="a14" a14:legacySpreadsheetColorIndex="53"/>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219075</xdr:colOff>
      <xdr:row>9</xdr:row>
      <xdr:rowOff>66675</xdr:rowOff>
    </xdr:from>
    <xdr:to>
      <xdr:col>10</xdr:col>
      <xdr:colOff>361950</xdr:colOff>
      <xdr:row>12</xdr:row>
      <xdr:rowOff>0</xdr:rowOff>
    </xdr:to>
    <xdr:sp macro="" textlink="">
      <xdr:nvSpPr>
        <xdr:cNvPr id="4" name="Text Box 6">
          <a:extLst>
            <a:ext uri="{FF2B5EF4-FFF2-40B4-BE49-F238E27FC236}">
              <a16:creationId xmlns:a16="http://schemas.microsoft.com/office/drawing/2014/main" id="{801E7266-4C96-47B9-BC4E-2C87209A8279}"/>
            </a:ext>
          </a:extLst>
        </xdr:cNvPr>
        <xdr:cNvSpPr txBox="1">
          <a:spLocks noChangeArrowheads="1"/>
        </xdr:cNvSpPr>
      </xdr:nvSpPr>
      <xdr:spPr bwMode="auto">
        <a:xfrm>
          <a:off x="7505700" y="1876425"/>
          <a:ext cx="1371600"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808080"/>
            </a:solidFill>
            <a:latin typeface="ＭＳ Ｐゴシック"/>
            <a:ea typeface="ＭＳ Ｐゴシック"/>
          </a:endParaRPr>
        </a:p>
        <a:p>
          <a:pPr algn="l" rtl="0">
            <a:lnSpc>
              <a:spcPts val="1000"/>
            </a:lnSpc>
            <a:defRPr sz="1000"/>
          </a:pPr>
          <a:r>
            <a:rPr lang="ja-JP" altLang="en-US" sz="900" b="0" i="0" u="none" strike="noStrike" baseline="0">
              <a:solidFill>
                <a:srgbClr val="808080"/>
              </a:solidFill>
              <a:latin typeface="ＭＳ Ｐゴシック"/>
              <a:ea typeface="ＭＳ Ｐゴシック"/>
            </a:rPr>
            <a:t> 削除対象</a:t>
          </a:r>
        </a:p>
      </xdr:txBody>
    </xdr:sp>
    <xdr:clientData/>
  </xdr:twoCellAnchor>
  <xdr:twoCellAnchor>
    <xdr:from>
      <xdr:col>9</xdr:col>
      <xdr:colOff>247650</xdr:colOff>
      <xdr:row>21</xdr:row>
      <xdr:rowOff>123825</xdr:rowOff>
    </xdr:from>
    <xdr:to>
      <xdr:col>10</xdr:col>
      <xdr:colOff>504825</xdr:colOff>
      <xdr:row>23</xdr:row>
      <xdr:rowOff>114300</xdr:rowOff>
    </xdr:to>
    <xdr:sp macro="" textlink="">
      <xdr:nvSpPr>
        <xdr:cNvPr id="5" name="Text Box 7">
          <a:extLst>
            <a:ext uri="{FF2B5EF4-FFF2-40B4-BE49-F238E27FC236}">
              <a16:creationId xmlns:a16="http://schemas.microsoft.com/office/drawing/2014/main" id="{BD4A9EE3-A899-4217-83D0-BCE723B2D62C}"/>
            </a:ext>
          </a:extLst>
        </xdr:cNvPr>
        <xdr:cNvSpPr txBox="1">
          <a:spLocks noChangeArrowheads="1"/>
        </xdr:cNvSpPr>
      </xdr:nvSpPr>
      <xdr:spPr bwMode="auto">
        <a:xfrm>
          <a:off x="7534275" y="3762375"/>
          <a:ext cx="1485900" cy="2952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FF6600"/>
            </a:solidFill>
            <a:latin typeface="ＭＳ Ｐゴシック"/>
            <a:ea typeface="ＭＳ Ｐゴシック"/>
          </a:endParaRPr>
        </a:p>
        <a:p>
          <a:pPr algn="l" rtl="0">
            <a:lnSpc>
              <a:spcPts val="1000"/>
            </a:lnSpc>
            <a:defRPr sz="1000"/>
          </a:pPr>
          <a:r>
            <a:rPr lang="ja-JP" altLang="en-US" sz="900" b="0" i="0" u="none" strike="noStrike" baseline="0">
              <a:solidFill>
                <a:srgbClr val="FF6600"/>
              </a:solidFill>
              <a:latin typeface="ＭＳ Ｐゴシック"/>
              <a:ea typeface="ＭＳ Ｐゴシック"/>
            </a:rPr>
            <a:t>追加対象</a:t>
          </a:r>
        </a:p>
      </xdr:txBody>
    </xdr:sp>
    <xdr:clientData/>
  </xdr:twoCellAnchor>
  <xdr:twoCellAnchor>
    <xdr:from>
      <xdr:col>9</xdr:col>
      <xdr:colOff>190500</xdr:colOff>
      <xdr:row>15</xdr:row>
      <xdr:rowOff>142875</xdr:rowOff>
    </xdr:from>
    <xdr:to>
      <xdr:col>10</xdr:col>
      <xdr:colOff>400050</xdr:colOff>
      <xdr:row>17</xdr:row>
      <xdr:rowOff>38100</xdr:rowOff>
    </xdr:to>
    <xdr:sp macro="" textlink="">
      <xdr:nvSpPr>
        <xdr:cNvPr id="6" name="Text Box 8">
          <a:extLst>
            <a:ext uri="{FF2B5EF4-FFF2-40B4-BE49-F238E27FC236}">
              <a16:creationId xmlns:a16="http://schemas.microsoft.com/office/drawing/2014/main" id="{9EE5F4C9-A1E6-4E66-AD72-A11BD269D1D2}"/>
            </a:ext>
          </a:extLst>
        </xdr:cNvPr>
        <xdr:cNvSpPr txBox="1">
          <a:spLocks noChangeArrowheads="1"/>
        </xdr:cNvSpPr>
      </xdr:nvSpPr>
      <xdr:spPr bwMode="auto">
        <a:xfrm>
          <a:off x="7477125" y="2867025"/>
          <a:ext cx="1438275"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900" b="0" i="0" u="none" strike="noStrike" baseline="0">
              <a:solidFill>
                <a:srgbClr val="969696"/>
              </a:solidFill>
              <a:latin typeface="ＭＳ Ｐゴシック"/>
              <a:ea typeface="ＭＳ Ｐゴシック"/>
            </a:rPr>
            <a:t>　更新対象</a:t>
          </a:r>
        </a:p>
      </xdr:txBody>
    </xdr:sp>
    <xdr:clientData/>
  </xdr:twoCellAnchor>
  <xdr:twoCellAnchor>
    <xdr:from>
      <xdr:col>4</xdr:col>
      <xdr:colOff>771525</xdr:colOff>
      <xdr:row>25</xdr:row>
      <xdr:rowOff>114300</xdr:rowOff>
    </xdr:from>
    <xdr:to>
      <xdr:col>5</xdr:col>
      <xdr:colOff>1162050</xdr:colOff>
      <xdr:row>28</xdr:row>
      <xdr:rowOff>19050</xdr:rowOff>
    </xdr:to>
    <xdr:sp macro="" textlink="">
      <xdr:nvSpPr>
        <xdr:cNvPr id="7" name="AutoShape 9">
          <a:extLst>
            <a:ext uri="{FF2B5EF4-FFF2-40B4-BE49-F238E27FC236}">
              <a16:creationId xmlns:a16="http://schemas.microsoft.com/office/drawing/2014/main" id="{32F3B39D-D33B-4242-8BFC-891F67FDF880}"/>
            </a:ext>
          </a:extLst>
        </xdr:cNvPr>
        <xdr:cNvSpPr>
          <a:spLocks noChangeArrowheads="1"/>
        </xdr:cNvSpPr>
      </xdr:nvSpPr>
      <xdr:spPr bwMode="auto">
        <a:xfrm>
          <a:off x="3362325" y="4400550"/>
          <a:ext cx="1524000" cy="504825"/>
        </a:xfrm>
        <a:prstGeom prst="downArrow">
          <a:avLst>
            <a:gd name="adj1" fmla="val 49407"/>
            <a:gd name="adj2" fmla="val 61704"/>
          </a:avLst>
        </a:prstGeom>
        <a:solidFill>
          <a:srgbClr xmlns:mc="http://schemas.openxmlformats.org/markup-compatibility/2006" xmlns:a14="http://schemas.microsoft.com/office/drawing/2010/main" val="C0C0C0" mc:Ignorable="a14" a14:legacySpreadsheetColorIndex="22"/>
        </a:solidFill>
        <a:ln>
          <a:noFill/>
        </a:ln>
        <a:effectLst/>
        <a:extLs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38100</xdr:colOff>
      <xdr:row>32</xdr:row>
      <xdr:rowOff>28575</xdr:rowOff>
    </xdr:from>
    <xdr:to>
      <xdr:col>9</xdr:col>
      <xdr:colOff>180975</xdr:colOff>
      <xdr:row>35</xdr:row>
      <xdr:rowOff>123825</xdr:rowOff>
    </xdr:to>
    <xdr:sp macro="" textlink="">
      <xdr:nvSpPr>
        <xdr:cNvPr id="8" name="AutoShape 10">
          <a:extLst>
            <a:ext uri="{FF2B5EF4-FFF2-40B4-BE49-F238E27FC236}">
              <a16:creationId xmlns:a16="http://schemas.microsoft.com/office/drawing/2014/main" id="{793802FB-6672-4C6C-8F92-B039B8369593}"/>
            </a:ext>
          </a:extLst>
        </xdr:cNvPr>
        <xdr:cNvSpPr>
          <a:spLocks/>
        </xdr:cNvSpPr>
      </xdr:nvSpPr>
      <xdr:spPr bwMode="auto">
        <a:xfrm>
          <a:off x="7324725" y="5676900"/>
          <a:ext cx="142875" cy="552450"/>
        </a:xfrm>
        <a:prstGeom prst="rightBrace">
          <a:avLst>
            <a:gd name="adj1" fmla="val 32222"/>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38100</xdr:colOff>
      <xdr:row>44</xdr:row>
      <xdr:rowOff>9525</xdr:rowOff>
    </xdr:from>
    <xdr:to>
      <xdr:col>9</xdr:col>
      <xdr:colOff>219075</xdr:colOff>
      <xdr:row>47</xdr:row>
      <xdr:rowOff>152400</xdr:rowOff>
    </xdr:to>
    <xdr:sp macro="" textlink="">
      <xdr:nvSpPr>
        <xdr:cNvPr id="9" name="AutoShape 11">
          <a:extLst>
            <a:ext uri="{FF2B5EF4-FFF2-40B4-BE49-F238E27FC236}">
              <a16:creationId xmlns:a16="http://schemas.microsoft.com/office/drawing/2014/main" id="{D5FDF865-BEEC-4F91-81AF-3B36D46AF1F7}"/>
            </a:ext>
          </a:extLst>
        </xdr:cNvPr>
        <xdr:cNvSpPr>
          <a:spLocks/>
        </xdr:cNvSpPr>
      </xdr:nvSpPr>
      <xdr:spPr bwMode="auto">
        <a:xfrm>
          <a:off x="7324725" y="7486650"/>
          <a:ext cx="180975" cy="590550"/>
        </a:xfrm>
        <a:prstGeom prst="rightBrace">
          <a:avLst>
            <a:gd name="adj1" fmla="val 27193"/>
            <a:gd name="adj2" fmla="val 45681"/>
          </a:avLst>
        </a:prstGeom>
        <a:noFill/>
        <a:ln w="9525">
          <a:solidFill>
            <a:srgbClr xmlns:mc="http://schemas.openxmlformats.org/markup-compatibility/2006" xmlns:a14="http://schemas.microsoft.com/office/drawing/2010/main" val="FF6600" mc:Ignorable="a14" a14:legacySpreadsheetColorIndex="53"/>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219075</xdr:colOff>
      <xdr:row>32</xdr:row>
      <xdr:rowOff>66675</xdr:rowOff>
    </xdr:from>
    <xdr:to>
      <xdr:col>10</xdr:col>
      <xdr:colOff>361950</xdr:colOff>
      <xdr:row>35</xdr:row>
      <xdr:rowOff>0</xdr:rowOff>
    </xdr:to>
    <xdr:sp macro="" textlink="">
      <xdr:nvSpPr>
        <xdr:cNvPr id="10" name="Text Box 12">
          <a:extLst>
            <a:ext uri="{FF2B5EF4-FFF2-40B4-BE49-F238E27FC236}">
              <a16:creationId xmlns:a16="http://schemas.microsoft.com/office/drawing/2014/main" id="{7218C42C-720C-480E-82B4-D5363978717C}"/>
            </a:ext>
          </a:extLst>
        </xdr:cNvPr>
        <xdr:cNvSpPr txBox="1">
          <a:spLocks noChangeArrowheads="1"/>
        </xdr:cNvSpPr>
      </xdr:nvSpPr>
      <xdr:spPr bwMode="auto">
        <a:xfrm>
          <a:off x="7505700" y="5715000"/>
          <a:ext cx="1371600"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969696"/>
            </a:solidFill>
            <a:latin typeface="ＭＳ Ｐゴシック"/>
            <a:ea typeface="ＭＳ Ｐゴシック"/>
          </a:endParaRPr>
        </a:p>
        <a:p>
          <a:pPr algn="l" rtl="0">
            <a:lnSpc>
              <a:spcPts val="1000"/>
            </a:lnSpc>
            <a:defRPr sz="1000"/>
          </a:pPr>
          <a:r>
            <a:rPr lang="ja-JP" altLang="en-US" sz="900" b="0" i="0" u="none" strike="noStrike" baseline="0">
              <a:solidFill>
                <a:srgbClr val="969696"/>
              </a:solidFill>
              <a:latin typeface="ＭＳ Ｐゴシック"/>
              <a:ea typeface="ＭＳ Ｐゴシック"/>
            </a:rPr>
            <a:t> 削除</a:t>
          </a:r>
        </a:p>
      </xdr:txBody>
    </xdr:sp>
    <xdr:clientData/>
  </xdr:twoCellAnchor>
  <xdr:twoCellAnchor>
    <xdr:from>
      <xdr:col>9</xdr:col>
      <xdr:colOff>247650</xdr:colOff>
      <xdr:row>44</xdr:row>
      <xdr:rowOff>85725</xdr:rowOff>
    </xdr:from>
    <xdr:to>
      <xdr:col>10</xdr:col>
      <xdr:colOff>504825</xdr:colOff>
      <xdr:row>46</xdr:row>
      <xdr:rowOff>76200</xdr:rowOff>
    </xdr:to>
    <xdr:sp macro="" textlink="">
      <xdr:nvSpPr>
        <xdr:cNvPr id="11" name="Text Box 13">
          <a:extLst>
            <a:ext uri="{FF2B5EF4-FFF2-40B4-BE49-F238E27FC236}">
              <a16:creationId xmlns:a16="http://schemas.microsoft.com/office/drawing/2014/main" id="{5062AD7A-1FAC-41F3-8E82-C410D6FDAD03}"/>
            </a:ext>
          </a:extLst>
        </xdr:cNvPr>
        <xdr:cNvSpPr txBox="1">
          <a:spLocks noChangeArrowheads="1"/>
        </xdr:cNvSpPr>
      </xdr:nvSpPr>
      <xdr:spPr bwMode="auto">
        <a:xfrm>
          <a:off x="7534275" y="7562850"/>
          <a:ext cx="1485900" cy="2952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FF6600"/>
            </a:solidFill>
            <a:latin typeface="ＭＳ Ｐゴシック"/>
            <a:ea typeface="ＭＳ Ｐゴシック"/>
          </a:endParaRPr>
        </a:p>
        <a:p>
          <a:pPr algn="l" rtl="0">
            <a:lnSpc>
              <a:spcPts val="1000"/>
            </a:lnSpc>
            <a:defRPr sz="1000"/>
          </a:pPr>
          <a:r>
            <a:rPr lang="ja-JP" altLang="en-US" sz="900" b="0" i="0" u="none" strike="noStrike" baseline="0">
              <a:solidFill>
                <a:srgbClr val="FF6600"/>
              </a:solidFill>
              <a:latin typeface="ＭＳ Ｐゴシック"/>
              <a:ea typeface="ＭＳ Ｐゴシック"/>
            </a:rPr>
            <a:t>追加</a:t>
          </a:r>
        </a:p>
      </xdr:txBody>
    </xdr:sp>
    <xdr:clientData/>
  </xdr:twoCellAnchor>
  <xdr:twoCellAnchor>
    <xdr:from>
      <xdr:col>9</xdr:col>
      <xdr:colOff>171450</xdr:colOff>
      <xdr:row>38</xdr:row>
      <xdr:rowOff>142875</xdr:rowOff>
    </xdr:from>
    <xdr:to>
      <xdr:col>10</xdr:col>
      <xdr:colOff>381000</xdr:colOff>
      <xdr:row>40</xdr:row>
      <xdr:rowOff>38100</xdr:rowOff>
    </xdr:to>
    <xdr:sp macro="" textlink="">
      <xdr:nvSpPr>
        <xdr:cNvPr id="12" name="Text Box 14">
          <a:extLst>
            <a:ext uri="{FF2B5EF4-FFF2-40B4-BE49-F238E27FC236}">
              <a16:creationId xmlns:a16="http://schemas.microsoft.com/office/drawing/2014/main" id="{BC7B7F4D-A241-44E4-B410-E881A9F18D05}"/>
            </a:ext>
          </a:extLst>
        </xdr:cNvPr>
        <xdr:cNvSpPr txBox="1">
          <a:spLocks noChangeArrowheads="1"/>
        </xdr:cNvSpPr>
      </xdr:nvSpPr>
      <xdr:spPr bwMode="auto">
        <a:xfrm>
          <a:off x="7458075" y="6705600"/>
          <a:ext cx="1438275"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900" b="0" i="0" u="none" strike="noStrike" baseline="0">
              <a:solidFill>
                <a:srgbClr val="808080"/>
              </a:solidFill>
              <a:latin typeface="ＭＳ Ｐゴシック"/>
              <a:ea typeface="ＭＳ Ｐゴシック"/>
            </a:rPr>
            <a:t>　更新</a:t>
          </a:r>
        </a:p>
      </xdr:txBody>
    </xdr:sp>
    <xdr:clientData/>
  </xdr:twoCellAnchor>
  <xdr:twoCellAnchor>
    <xdr:from>
      <xdr:col>9</xdr:col>
      <xdr:colOff>47625</xdr:colOff>
      <xdr:row>14</xdr:row>
      <xdr:rowOff>142875</xdr:rowOff>
    </xdr:from>
    <xdr:to>
      <xdr:col>9</xdr:col>
      <xdr:colOff>238125</xdr:colOff>
      <xdr:row>18</xdr:row>
      <xdr:rowOff>0</xdr:rowOff>
    </xdr:to>
    <xdr:sp macro="" textlink="">
      <xdr:nvSpPr>
        <xdr:cNvPr id="13" name="AutoShape 15">
          <a:extLst>
            <a:ext uri="{FF2B5EF4-FFF2-40B4-BE49-F238E27FC236}">
              <a16:creationId xmlns:a16="http://schemas.microsoft.com/office/drawing/2014/main" id="{36D1DDC0-1CC9-47AC-8079-E58ACC8D0265}"/>
            </a:ext>
          </a:extLst>
        </xdr:cNvPr>
        <xdr:cNvSpPr>
          <a:spLocks/>
        </xdr:cNvSpPr>
      </xdr:nvSpPr>
      <xdr:spPr bwMode="auto">
        <a:xfrm>
          <a:off x="7334250" y="2714625"/>
          <a:ext cx="190500" cy="466725"/>
        </a:xfrm>
        <a:prstGeom prst="rightBrace">
          <a:avLst>
            <a:gd name="adj1" fmla="val 20417"/>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28575</xdr:colOff>
      <xdr:row>38</xdr:row>
      <xdr:rowOff>0</xdr:rowOff>
    </xdr:from>
    <xdr:to>
      <xdr:col>9</xdr:col>
      <xdr:colOff>219075</xdr:colOff>
      <xdr:row>41</xdr:row>
      <xdr:rowOff>9525</xdr:rowOff>
    </xdr:to>
    <xdr:sp macro="" textlink="">
      <xdr:nvSpPr>
        <xdr:cNvPr id="14" name="AutoShape 16">
          <a:extLst>
            <a:ext uri="{FF2B5EF4-FFF2-40B4-BE49-F238E27FC236}">
              <a16:creationId xmlns:a16="http://schemas.microsoft.com/office/drawing/2014/main" id="{22E787F2-9C63-4372-8CF8-8765FBE96879}"/>
            </a:ext>
          </a:extLst>
        </xdr:cNvPr>
        <xdr:cNvSpPr>
          <a:spLocks/>
        </xdr:cNvSpPr>
      </xdr:nvSpPr>
      <xdr:spPr bwMode="auto">
        <a:xfrm>
          <a:off x="7315200" y="6562725"/>
          <a:ext cx="190500" cy="466725"/>
        </a:xfrm>
        <a:prstGeom prst="rightBrace">
          <a:avLst>
            <a:gd name="adj1" fmla="val 20417"/>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1</xdr:col>
      <xdr:colOff>266700</xdr:colOff>
      <xdr:row>77</xdr:row>
      <xdr:rowOff>161925</xdr:rowOff>
    </xdr:from>
    <xdr:to>
      <xdr:col>3</xdr:col>
      <xdr:colOff>190500</xdr:colOff>
      <xdr:row>79</xdr:row>
      <xdr:rowOff>47625</xdr:rowOff>
    </xdr:to>
    <xdr:sp macro="" textlink="">
      <xdr:nvSpPr>
        <xdr:cNvPr id="15" name="AutoShape 22">
          <a:extLst>
            <a:ext uri="{FF2B5EF4-FFF2-40B4-BE49-F238E27FC236}">
              <a16:creationId xmlns:a16="http://schemas.microsoft.com/office/drawing/2014/main" id="{7764372C-D942-42E4-A3F5-FC93CCAC21B5}"/>
            </a:ext>
          </a:extLst>
        </xdr:cNvPr>
        <xdr:cNvSpPr>
          <a:spLocks noChangeArrowheads="1"/>
        </xdr:cNvSpPr>
      </xdr:nvSpPr>
      <xdr:spPr bwMode="auto">
        <a:xfrm>
          <a:off x="514350" y="14001750"/>
          <a:ext cx="1323975" cy="2857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247650</xdr:colOff>
      <xdr:row>87</xdr:row>
      <xdr:rowOff>123825</xdr:rowOff>
    </xdr:from>
    <xdr:to>
      <xdr:col>3</xdr:col>
      <xdr:colOff>171450</xdr:colOff>
      <xdr:row>89</xdr:row>
      <xdr:rowOff>19050</xdr:rowOff>
    </xdr:to>
    <xdr:sp macro="" textlink="">
      <xdr:nvSpPr>
        <xdr:cNvPr id="16" name="AutoShape 23">
          <a:extLst>
            <a:ext uri="{FF2B5EF4-FFF2-40B4-BE49-F238E27FC236}">
              <a16:creationId xmlns:a16="http://schemas.microsoft.com/office/drawing/2014/main" id="{7AF6B957-807E-43D1-8E94-23FB109C4E51}"/>
            </a:ext>
          </a:extLst>
        </xdr:cNvPr>
        <xdr:cNvSpPr>
          <a:spLocks noChangeArrowheads="1"/>
        </xdr:cNvSpPr>
      </xdr:nvSpPr>
      <xdr:spPr bwMode="auto">
        <a:xfrm>
          <a:off x="495300" y="15935325"/>
          <a:ext cx="1323975" cy="2952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エラーログ sample</a:t>
          </a:r>
        </a:p>
      </xdr:txBody>
    </xdr:sp>
    <xdr:clientData/>
  </xdr:twoCellAnchor>
  <xdr:twoCellAnchor>
    <xdr:from>
      <xdr:col>2</xdr:col>
      <xdr:colOff>638175</xdr:colOff>
      <xdr:row>48</xdr:row>
      <xdr:rowOff>123825</xdr:rowOff>
    </xdr:from>
    <xdr:to>
      <xdr:col>4</xdr:col>
      <xdr:colOff>514350</xdr:colOff>
      <xdr:row>50</xdr:row>
      <xdr:rowOff>28575</xdr:rowOff>
    </xdr:to>
    <xdr:sp macro="" textlink="">
      <xdr:nvSpPr>
        <xdr:cNvPr id="17" name="AutoShape 25">
          <a:extLst>
            <a:ext uri="{FF2B5EF4-FFF2-40B4-BE49-F238E27FC236}">
              <a16:creationId xmlns:a16="http://schemas.microsoft.com/office/drawing/2014/main" id="{FF5E6F73-107E-4242-882A-D0D60EBFE56F}"/>
            </a:ext>
          </a:extLst>
        </xdr:cNvPr>
        <xdr:cNvSpPr>
          <a:spLocks noChangeArrowheads="1"/>
        </xdr:cNvSpPr>
      </xdr:nvSpPr>
      <xdr:spPr bwMode="auto">
        <a:xfrm>
          <a:off x="1524000" y="8248650"/>
          <a:ext cx="1581150" cy="304800"/>
        </a:xfrm>
        <a:prstGeom prst="wedgeRectCallout">
          <a:avLst>
            <a:gd name="adj1" fmla="val 36745"/>
            <a:gd name="adj2" fmla="val -280769"/>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defRPr sz="1000"/>
          </a:pPr>
          <a:r>
            <a:rPr lang="ja-JP" altLang="en-US" sz="1100" b="1" i="0" u="none" strike="noStrike" baseline="0">
              <a:solidFill>
                <a:srgbClr val="008000"/>
              </a:solidFill>
              <a:latin typeface="ＭＳ Ｐゴシック"/>
              <a:ea typeface="ＭＳ Ｐゴシック"/>
            </a:rPr>
            <a:t> e1:</a:t>
          </a:r>
          <a:r>
            <a:rPr lang="ja-JP" altLang="en-US" sz="1100" b="0" i="0" u="none" strike="noStrike" baseline="0">
              <a:solidFill>
                <a:srgbClr val="000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ＦＵＬＬ桁チェック</a:t>
          </a:r>
        </a:p>
      </xdr:txBody>
    </xdr:sp>
    <xdr:clientData/>
  </xdr:twoCellAnchor>
  <xdr:twoCellAnchor>
    <xdr:from>
      <xdr:col>5</xdr:col>
      <xdr:colOff>1152525</xdr:colOff>
      <xdr:row>50</xdr:row>
      <xdr:rowOff>19050</xdr:rowOff>
    </xdr:from>
    <xdr:to>
      <xdr:col>7</xdr:col>
      <xdr:colOff>647700</xdr:colOff>
      <xdr:row>51</xdr:row>
      <xdr:rowOff>95250</xdr:rowOff>
    </xdr:to>
    <xdr:sp macro="" textlink="">
      <xdr:nvSpPr>
        <xdr:cNvPr id="18" name="AutoShape 26">
          <a:extLst>
            <a:ext uri="{FF2B5EF4-FFF2-40B4-BE49-F238E27FC236}">
              <a16:creationId xmlns:a16="http://schemas.microsoft.com/office/drawing/2014/main" id="{77127F10-D653-4A9F-BE63-137EFD6A58CE}"/>
            </a:ext>
          </a:extLst>
        </xdr:cNvPr>
        <xdr:cNvSpPr>
          <a:spLocks noChangeArrowheads="1"/>
        </xdr:cNvSpPr>
      </xdr:nvSpPr>
      <xdr:spPr bwMode="auto">
        <a:xfrm>
          <a:off x="4876800" y="8543925"/>
          <a:ext cx="1276350" cy="276225"/>
        </a:xfrm>
        <a:prstGeom prst="wedgeRectCallout">
          <a:avLst>
            <a:gd name="adj1" fmla="val 64181"/>
            <a:gd name="adj2" fmla="val -207694"/>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defRPr sz="1000"/>
          </a:pPr>
          <a:r>
            <a:rPr lang="ja-JP" altLang="en-US" sz="1100" b="1" i="0" u="none" strike="noStrike" baseline="0">
              <a:solidFill>
                <a:srgbClr val="008000"/>
              </a:solidFill>
              <a:latin typeface="ＭＳ Ｐゴシック"/>
              <a:ea typeface="ＭＳ Ｐゴシック"/>
            </a:rPr>
            <a:t> 36.</a:t>
          </a:r>
          <a:r>
            <a:rPr lang="ja-JP" altLang="en-US" sz="1100" b="0" i="0" u="none" strike="noStrike" baseline="0">
              <a:solidFill>
                <a:srgbClr val="000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ＦＵＬＬ桁チェック</a:t>
          </a:r>
        </a:p>
      </xdr:txBody>
    </xdr:sp>
    <xdr:clientData/>
  </xdr:twoCellAnchor>
  <xdr:twoCellAnchor>
    <xdr:from>
      <xdr:col>5</xdr:col>
      <xdr:colOff>857250</xdr:colOff>
      <xdr:row>49</xdr:row>
      <xdr:rowOff>123825</xdr:rowOff>
    </xdr:from>
    <xdr:to>
      <xdr:col>7</xdr:col>
      <xdr:colOff>695325</xdr:colOff>
      <xdr:row>51</xdr:row>
      <xdr:rowOff>161925</xdr:rowOff>
    </xdr:to>
    <xdr:sp macro="" textlink="">
      <xdr:nvSpPr>
        <xdr:cNvPr id="19" name="AutoShape 27">
          <a:extLst>
            <a:ext uri="{FF2B5EF4-FFF2-40B4-BE49-F238E27FC236}">
              <a16:creationId xmlns:a16="http://schemas.microsoft.com/office/drawing/2014/main" id="{9780D455-FE73-4429-AD71-B7B6570D605C}"/>
            </a:ext>
          </a:extLst>
        </xdr:cNvPr>
        <xdr:cNvSpPr>
          <a:spLocks noChangeArrowheads="1"/>
        </xdr:cNvSpPr>
      </xdr:nvSpPr>
      <xdr:spPr bwMode="auto">
        <a:xfrm>
          <a:off x="4581525" y="8448675"/>
          <a:ext cx="1619250" cy="438150"/>
        </a:xfrm>
        <a:prstGeom prst="wedgeRectCallout">
          <a:avLst>
            <a:gd name="adj1" fmla="val -64704"/>
            <a:gd name="adj2" fmla="val -117500"/>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lnSpc>
              <a:spcPts val="1300"/>
            </a:lnSpc>
            <a:defRPr sz="1000"/>
          </a:pPr>
          <a:r>
            <a:rPr lang="ja-JP" altLang="en-US" sz="1100" b="1" i="0" u="none" strike="noStrike" baseline="0">
              <a:solidFill>
                <a:srgbClr val="008000"/>
              </a:solidFill>
              <a:latin typeface="ＭＳ Ｐゴシック"/>
              <a:ea typeface="ＭＳ Ｐゴシック"/>
            </a:rPr>
            <a:t> e3:</a:t>
          </a:r>
          <a:r>
            <a:rPr lang="ja-JP" altLang="en-US" sz="1100" b="0" i="0" u="none" strike="noStrike" baseline="0">
              <a:solidFill>
                <a:srgbClr val="000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登録日、更新日</a:t>
          </a:r>
        </a:p>
        <a:p>
          <a:pPr algn="l" rtl="0">
            <a:lnSpc>
              <a:spcPts val="1100"/>
            </a:lnSpc>
            <a:defRPr sz="1000"/>
          </a:pPr>
          <a:r>
            <a:rPr lang="ja-JP" altLang="en-US" sz="1000" b="0" i="0" u="none" strike="noStrike" baseline="0">
              <a:solidFill>
                <a:srgbClr val="000000"/>
              </a:solidFill>
              <a:latin typeface="ＭＳ Ｐゴシック"/>
              <a:ea typeface="ＭＳ Ｐゴシック"/>
            </a:rPr>
            <a:t>　　　　：システム日付</a:t>
          </a:r>
        </a:p>
      </xdr:txBody>
    </xdr:sp>
    <xdr:clientData/>
  </xdr:twoCellAnchor>
  <xdr:twoCellAnchor>
    <xdr:from>
      <xdr:col>6</xdr:col>
      <xdr:colOff>323850</xdr:colOff>
      <xdr:row>39</xdr:row>
      <xdr:rowOff>142875</xdr:rowOff>
    </xdr:from>
    <xdr:to>
      <xdr:col>8</xdr:col>
      <xdr:colOff>161925</xdr:colOff>
      <xdr:row>41</xdr:row>
      <xdr:rowOff>123825</xdr:rowOff>
    </xdr:to>
    <xdr:sp macro="" textlink="">
      <xdr:nvSpPr>
        <xdr:cNvPr id="20" name="AutoShape 29">
          <a:extLst>
            <a:ext uri="{FF2B5EF4-FFF2-40B4-BE49-F238E27FC236}">
              <a16:creationId xmlns:a16="http://schemas.microsoft.com/office/drawing/2014/main" id="{E1845FCB-6266-41DF-8BDA-81C9AB358CE2}"/>
            </a:ext>
          </a:extLst>
        </xdr:cNvPr>
        <xdr:cNvSpPr>
          <a:spLocks noChangeArrowheads="1"/>
        </xdr:cNvSpPr>
      </xdr:nvSpPr>
      <xdr:spPr bwMode="auto">
        <a:xfrm>
          <a:off x="5295900" y="6858000"/>
          <a:ext cx="1619250" cy="285750"/>
        </a:xfrm>
        <a:prstGeom prst="wedgeRectCallout">
          <a:avLst>
            <a:gd name="adj1" fmla="val 61176"/>
            <a:gd name="adj2" fmla="val 186667"/>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lnSpc>
              <a:spcPts val="1300"/>
            </a:lnSpc>
            <a:defRPr sz="1000"/>
          </a:pPr>
          <a:r>
            <a:rPr lang="ja-JP" altLang="en-US" sz="1100" b="1" i="0" u="none" strike="noStrike" baseline="0">
              <a:solidFill>
                <a:srgbClr val="008000"/>
              </a:solidFill>
              <a:latin typeface="ＭＳ Ｐゴシック"/>
              <a:ea typeface="ＭＳ Ｐゴシック"/>
            </a:rPr>
            <a:t> 37.</a:t>
          </a:r>
          <a:r>
            <a:rPr lang="ja-JP" altLang="en-US" sz="1100" b="0" i="0" u="none" strike="noStrike" baseline="0">
              <a:solidFill>
                <a:srgbClr val="000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登録日、更新日</a:t>
          </a:r>
        </a:p>
        <a:p>
          <a:pPr algn="l" rtl="0">
            <a:lnSpc>
              <a:spcPts val="1100"/>
            </a:lnSpc>
            <a:defRPr sz="1000"/>
          </a:pPr>
          <a:r>
            <a:rPr lang="ja-JP" altLang="en-US" sz="1000" b="0" i="0" u="none" strike="noStrike" baseline="0">
              <a:solidFill>
                <a:srgbClr val="000000"/>
              </a:solidFill>
              <a:latin typeface="ＭＳ Ｐゴシック"/>
              <a:ea typeface="ＭＳ Ｐゴシック"/>
            </a:rPr>
            <a:t>　　　　：システム日付</a:t>
          </a:r>
        </a:p>
      </xdr:txBody>
    </xdr:sp>
    <xdr:clientData/>
  </xdr:twoCellAnchor>
  <xdr:twoCellAnchor>
    <xdr:from>
      <xdr:col>6</xdr:col>
      <xdr:colOff>323850</xdr:colOff>
      <xdr:row>40</xdr:row>
      <xdr:rowOff>0</xdr:rowOff>
    </xdr:from>
    <xdr:to>
      <xdr:col>8</xdr:col>
      <xdr:colOff>161925</xdr:colOff>
      <xdr:row>42</xdr:row>
      <xdr:rowOff>66675</xdr:rowOff>
    </xdr:to>
    <xdr:sp macro="" textlink="">
      <xdr:nvSpPr>
        <xdr:cNvPr id="21" name="AutoShape 28">
          <a:extLst>
            <a:ext uri="{FF2B5EF4-FFF2-40B4-BE49-F238E27FC236}">
              <a16:creationId xmlns:a16="http://schemas.microsoft.com/office/drawing/2014/main" id="{689C531B-266F-4CF0-B44E-D4D0D294A77C}"/>
            </a:ext>
          </a:extLst>
        </xdr:cNvPr>
        <xdr:cNvSpPr>
          <a:spLocks noChangeArrowheads="1"/>
        </xdr:cNvSpPr>
      </xdr:nvSpPr>
      <xdr:spPr bwMode="auto">
        <a:xfrm>
          <a:off x="5295900" y="6867525"/>
          <a:ext cx="1619250" cy="371475"/>
        </a:xfrm>
        <a:prstGeom prst="wedgeRectCallout">
          <a:avLst>
            <a:gd name="adj1" fmla="val -55296"/>
            <a:gd name="adj2" fmla="val 129486"/>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lnSpc>
              <a:spcPts val="1300"/>
            </a:lnSpc>
            <a:defRPr sz="1000"/>
          </a:pPr>
          <a:r>
            <a:rPr lang="ja-JP" altLang="en-US" sz="1100" b="1" i="0" u="none" strike="noStrike" baseline="0">
              <a:solidFill>
                <a:srgbClr val="008000"/>
              </a:solidFill>
              <a:latin typeface="ＭＳ Ｐゴシック"/>
              <a:ea typeface="ＭＳ Ｐゴシック"/>
            </a:rPr>
            <a:t> e2：</a:t>
          </a:r>
          <a:r>
            <a:rPr lang="ja-JP" altLang="en-US" sz="900" b="0" i="0" u="none" strike="noStrike" baseline="0">
              <a:solidFill>
                <a:srgbClr val="000000"/>
              </a:solidFill>
              <a:latin typeface="ＭＳ Ｐゴシック"/>
              <a:ea typeface="ＭＳ Ｐゴシック"/>
            </a:rPr>
            <a:t>　登録者、更新者</a:t>
          </a:r>
        </a:p>
        <a:p>
          <a:pPr algn="l" rtl="0">
            <a:lnSpc>
              <a:spcPts val="1000"/>
            </a:lnSpc>
            <a:defRPr sz="1000"/>
          </a:pPr>
          <a:r>
            <a:rPr lang="ja-JP" altLang="en-US" sz="900" b="0" i="0" u="none" strike="noStrike" baseline="0">
              <a:solidFill>
                <a:srgbClr val="000000"/>
              </a:solidFill>
              <a:latin typeface="ＭＳ Ｐゴシック"/>
              <a:ea typeface="ＭＳ Ｐゴシック"/>
            </a:rPr>
            <a:t>　　　　　　：仕様通りの値</a:t>
          </a:r>
        </a:p>
      </xdr:txBody>
    </xdr:sp>
    <xdr:clientData/>
  </xdr:twoCellAnchor>
  <xdr:twoCellAnchor>
    <xdr:from>
      <xdr:col>1</xdr:col>
      <xdr:colOff>361950</xdr:colOff>
      <xdr:row>67</xdr:row>
      <xdr:rowOff>95250</xdr:rowOff>
    </xdr:from>
    <xdr:to>
      <xdr:col>3</xdr:col>
      <xdr:colOff>285750</xdr:colOff>
      <xdr:row>68</xdr:row>
      <xdr:rowOff>152400</xdr:rowOff>
    </xdr:to>
    <xdr:sp macro="" textlink="">
      <xdr:nvSpPr>
        <xdr:cNvPr id="22" name="AutoShape 33">
          <a:extLst>
            <a:ext uri="{FF2B5EF4-FFF2-40B4-BE49-F238E27FC236}">
              <a16:creationId xmlns:a16="http://schemas.microsoft.com/office/drawing/2014/main" id="{E161B15D-E07F-42A1-B3C4-462C44AC1C7D}"/>
            </a:ext>
          </a:extLst>
        </xdr:cNvPr>
        <xdr:cNvSpPr>
          <a:spLocks noChangeArrowheads="1"/>
        </xdr:cNvSpPr>
      </xdr:nvSpPr>
      <xdr:spPr bwMode="auto">
        <a:xfrm>
          <a:off x="609600" y="11963400"/>
          <a:ext cx="132397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361950</xdr:colOff>
      <xdr:row>56</xdr:row>
      <xdr:rowOff>95250</xdr:rowOff>
    </xdr:from>
    <xdr:to>
      <xdr:col>3</xdr:col>
      <xdr:colOff>285750</xdr:colOff>
      <xdr:row>57</xdr:row>
      <xdr:rowOff>152400</xdr:rowOff>
    </xdr:to>
    <xdr:sp macro="" textlink="">
      <xdr:nvSpPr>
        <xdr:cNvPr id="23" name="AutoShape 34">
          <a:extLst>
            <a:ext uri="{FF2B5EF4-FFF2-40B4-BE49-F238E27FC236}">
              <a16:creationId xmlns:a16="http://schemas.microsoft.com/office/drawing/2014/main" id="{96B66366-0B70-4994-A092-EEF64BEAAE39}"/>
            </a:ext>
          </a:extLst>
        </xdr:cNvPr>
        <xdr:cNvSpPr>
          <a:spLocks noChangeArrowheads="1"/>
        </xdr:cNvSpPr>
      </xdr:nvSpPr>
      <xdr:spPr bwMode="auto">
        <a:xfrm>
          <a:off x="609600" y="9791700"/>
          <a:ext cx="132397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323850</xdr:colOff>
      <xdr:row>58</xdr:row>
      <xdr:rowOff>38100</xdr:rowOff>
    </xdr:from>
    <xdr:to>
      <xdr:col>7</xdr:col>
      <xdr:colOff>800100</xdr:colOff>
      <xdr:row>60</xdr:row>
      <xdr:rowOff>161925</xdr:rowOff>
    </xdr:to>
    <xdr:pic>
      <xdr:nvPicPr>
        <xdr:cNvPr id="24" name="Picture 38">
          <a:extLst>
            <a:ext uri="{FF2B5EF4-FFF2-40B4-BE49-F238E27FC236}">
              <a16:creationId xmlns:a16="http://schemas.microsoft.com/office/drawing/2014/main" id="{0757E657-442B-4290-8233-0BC3F6287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71500" y="10134600"/>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276225</xdr:colOff>
      <xdr:row>79</xdr:row>
      <xdr:rowOff>85725</xdr:rowOff>
    </xdr:from>
    <xdr:to>
      <xdr:col>7</xdr:col>
      <xdr:colOff>752475</xdr:colOff>
      <xdr:row>82</xdr:row>
      <xdr:rowOff>9525</xdr:rowOff>
    </xdr:to>
    <xdr:pic>
      <xdr:nvPicPr>
        <xdr:cNvPr id="25" name="Picture 40">
          <a:extLst>
            <a:ext uri="{FF2B5EF4-FFF2-40B4-BE49-F238E27FC236}">
              <a16:creationId xmlns:a16="http://schemas.microsoft.com/office/drawing/2014/main" id="{07B14BB9-0BBB-4E5A-9144-5C5E004790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23875" y="14325600"/>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352425</xdr:colOff>
      <xdr:row>69</xdr:row>
      <xdr:rowOff>9525</xdr:rowOff>
    </xdr:from>
    <xdr:to>
      <xdr:col>7</xdr:col>
      <xdr:colOff>828675</xdr:colOff>
      <xdr:row>71</xdr:row>
      <xdr:rowOff>133350</xdr:rowOff>
    </xdr:to>
    <xdr:pic>
      <xdr:nvPicPr>
        <xdr:cNvPr id="26" name="Picture 41">
          <a:extLst>
            <a:ext uri="{FF2B5EF4-FFF2-40B4-BE49-F238E27FC236}">
              <a16:creationId xmlns:a16="http://schemas.microsoft.com/office/drawing/2014/main" id="{BA5F4F7D-578D-4735-B329-01B849E8B017}"/>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00075" y="1227772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257175</xdr:colOff>
      <xdr:row>89</xdr:row>
      <xdr:rowOff>104775</xdr:rowOff>
    </xdr:from>
    <xdr:to>
      <xdr:col>7</xdr:col>
      <xdr:colOff>733425</xdr:colOff>
      <xdr:row>92</xdr:row>
      <xdr:rowOff>28575</xdr:rowOff>
    </xdr:to>
    <xdr:pic>
      <xdr:nvPicPr>
        <xdr:cNvPr id="27" name="Picture 42">
          <a:extLst>
            <a:ext uri="{FF2B5EF4-FFF2-40B4-BE49-F238E27FC236}">
              <a16:creationId xmlns:a16="http://schemas.microsoft.com/office/drawing/2014/main" id="{16BA7BE4-75D6-4208-A536-354806CCBA8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04825" y="1631632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9</xdr:col>
      <xdr:colOff>38100</xdr:colOff>
      <xdr:row>9</xdr:row>
      <xdr:rowOff>19050</xdr:rowOff>
    </xdr:from>
    <xdr:to>
      <xdr:col>9</xdr:col>
      <xdr:colOff>180975</xdr:colOff>
      <xdr:row>11</xdr:row>
      <xdr:rowOff>38100</xdr:rowOff>
    </xdr:to>
    <xdr:sp macro="" textlink="">
      <xdr:nvSpPr>
        <xdr:cNvPr id="2" name="AutoShape 5">
          <a:extLst>
            <a:ext uri="{FF2B5EF4-FFF2-40B4-BE49-F238E27FC236}">
              <a16:creationId xmlns:a16="http://schemas.microsoft.com/office/drawing/2014/main" id="{BB205BA7-D16F-4769-B4DB-FBB2D05BAA7A}"/>
            </a:ext>
          </a:extLst>
        </xdr:cNvPr>
        <xdr:cNvSpPr>
          <a:spLocks/>
        </xdr:cNvSpPr>
      </xdr:nvSpPr>
      <xdr:spPr bwMode="auto">
        <a:xfrm>
          <a:off x="7077075" y="1828800"/>
          <a:ext cx="142875" cy="323850"/>
        </a:xfrm>
        <a:prstGeom prst="rightBrace">
          <a:avLst>
            <a:gd name="adj1" fmla="val 18889"/>
            <a:gd name="adj2" fmla="val 45681"/>
          </a:avLst>
        </a:prstGeom>
        <a:noFill/>
        <a:ln w="9525">
          <a:solidFill>
            <a:srgbClr xmlns:mc="http://schemas.openxmlformats.org/markup-compatibility/2006" xmlns:a14="http://schemas.microsoft.com/office/drawing/2010/main" val="FF6600" mc:Ignorable="a14" a14:legacySpreadsheetColorIndex="53"/>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57150</xdr:colOff>
      <xdr:row>21</xdr:row>
      <xdr:rowOff>57150</xdr:rowOff>
    </xdr:from>
    <xdr:to>
      <xdr:col>9</xdr:col>
      <xdr:colOff>219075</xdr:colOff>
      <xdr:row>24</xdr:row>
      <xdr:rowOff>114300</xdr:rowOff>
    </xdr:to>
    <xdr:sp macro="" textlink="">
      <xdr:nvSpPr>
        <xdr:cNvPr id="3" name="AutoShape 6">
          <a:extLst>
            <a:ext uri="{FF2B5EF4-FFF2-40B4-BE49-F238E27FC236}">
              <a16:creationId xmlns:a16="http://schemas.microsoft.com/office/drawing/2014/main" id="{1F2310CE-5053-4D42-B192-388A97E06002}"/>
            </a:ext>
          </a:extLst>
        </xdr:cNvPr>
        <xdr:cNvSpPr>
          <a:spLocks/>
        </xdr:cNvSpPr>
      </xdr:nvSpPr>
      <xdr:spPr bwMode="auto">
        <a:xfrm>
          <a:off x="7096125" y="3695700"/>
          <a:ext cx="161925" cy="504825"/>
        </a:xfrm>
        <a:prstGeom prst="rightBrace">
          <a:avLst>
            <a:gd name="adj1" fmla="val 25980"/>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200025</xdr:colOff>
      <xdr:row>8</xdr:row>
      <xdr:rowOff>114300</xdr:rowOff>
    </xdr:from>
    <xdr:to>
      <xdr:col>10</xdr:col>
      <xdr:colOff>228600</xdr:colOff>
      <xdr:row>11</xdr:row>
      <xdr:rowOff>47625</xdr:rowOff>
    </xdr:to>
    <xdr:sp macro="" textlink="">
      <xdr:nvSpPr>
        <xdr:cNvPr id="4" name="Text Box 7">
          <a:extLst>
            <a:ext uri="{FF2B5EF4-FFF2-40B4-BE49-F238E27FC236}">
              <a16:creationId xmlns:a16="http://schemas.microsoft.com/office/drawing/2014/main" id="{EBF4ED48-0D90-4684-8712-49C275077314}"/>
            </a:ext>
          </a:extLst>
        </xdr:cNvPr>
        <xdr:cNvSpPr txBox="1">
          <a:spLocks noChangeArrowheads="1"/>
        </xdr:cNvSpPr>
      </xdr:nvSpPr>
      <xdr:spPr bwMode="auto">
        <a:xfrm>
          <a:off x="7239000" y="1771650"/>
          <a:ext cx="1257300"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FF6600"/>
            </a:solidFill>
            <a:latin typeface="ＭＳ Ｐゴシック"/>
            <a:ea typeface="ＭＳ Ｐゴシック"/>
          </a:endParaRPr>
        </a:p>
        <a:p>
          <a:pPr algn="l" rtl="0">
            <a:lnSpc>
              <a:spcPts val="1000"/>
            </a:lnSpc>
            <a:defRPr sz="1000"/>
          </a:pPr>
          <a:r>
            <a:rPr lang="ja-JP" altLang="en-US" sz="900" b="0" i="0" u="none" strike="noStrike" baseline="0">
              <a:solidFill>
                <a:srgbClr val="FF6600"/>
              </a:solidFill>
              <a:latin typeface="ＭＳ Ｐゴシック"/>
              <a:ea typeface="ＭＳ Ｐゴシック"/>
            </a:rPr>
            <a:t> 削除対象</a:t>
          </a:r>
        </a:p>
      </xdr:txBody>
    </xdr:sp>
    <xdr:clientData/>
  </xdr:twoCellAnchor>
  <xdr:twoCellAnchor>
    <xdr:from>
      <xdr:col>9</xdr:col>
      <xdr:colOff>247650</xdr:colOff>
      <xdr:row>21</xdr:row>
      <xdr:rowOff>114300</xdr:rowOff>
    </xdr:from>
    <xdr:to>
      <xdr:col>10</xdr:col>
      <xdr:colOff>390525</xdr:colOff>
      <xdr:row>23</xdr:row>
      <xdr:rowOff>104775</xdr:rowOff>
    </xdr:to>
    <xdr:sp macro="" textlink="">
      <xdr:nvSpPr>
        <xdr:cNvPr id="5" name="Text Box 8">
          <a:extLst>
            <a:ext uri="{FF2B5EF4-FFF2-40B4-BE49-F238E27FC236}">
              <a16:creationId xmlns:a16="http://schemas.microsoft.com/office/drawing/2014/main" id="{B3B6EDB0-756B-4E79-8EA8-842351958458}"/>
            </a:ext>
          </a:extLst>
        </xdr:cNvPr>
        <xdr:cNvSpPr txBox="1">
          <a:spLocks noChangeArrowheads="1"/>
        </xdr:cNvSpPr>
      </xdr:nvSpPr>
      <xdr:spPr bwMode="auto">
        <a:xfrm>
          <a:off x="7286625" y="3752850"/>
          <a:ext cx="1371600" cy="2952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808080"/>
            </a:solidFill>
            <a:latin typeface="ＭＳ Ｐゴシック"/>
            <a:ea typeface="ＭＳ Ｐゴシック"/>
          </a:endParaRPr>
        </a:p>
        <a:p>
          <a:pPr algn="l" rtl="0">
            <a:lnSpc>
              <a:spcPts val="1000"/>
            </a:lnSpc>
            <a:defRPr sz="1000"/>
          </a:pPr>
          <a:r>
            <a:rPr lang="ja-JP" altLang="en-US" sz="900" b="0" i="0" u="none" strike="noStrike" baseline="0">
              <a:solidFill>
                <a:srgbClr val="808080"/>
              </a:solidFill>
              <a:latin typeface="ＭＳ Ｐゴシック"/>
              <a:ea typeface="ＭＳ Ｐゴシック"/>
            </a:rPr>
            <a:t>追加対象</a:t>
          </a:r>
        </a:p>
      </xdr:txBody>
    </xdr:sp>
    <xdr:clientData/>
  </xdr:twoCellAnchor>
  <xdr:twoCellAnchor>
    <xdr:from>
      <xdr:col>9</xdr:col>
      <xdr:colOff>190500</xdr:colOff>
      <xdr:row>15</xdr:row>
      <xdr:rowOff>133350</xdr:rowOff>
    </xdr:from>
    <xdr:to>
      <xdr:col>10</xdr:col>
      <xdr:colOff>285750</xdr:colOff>
      <xdr:row>17</xdr:row>
      <xdr:rowOff>28575</xdr:rowOff>
    </xdr:to>
    <xdr:sp macro="" textlink="">
      <xdr:nvSpPr>
        <xdr:cNvPr id="6" name="Text Box 9">
          <a:extLst>
            <a:ext uri="{FF2B5EF4-FFF2-40B4-BE49-F238E27FC236}">
              <a16:creationId xmlns:a16="http://schemas.microsoft.com/office/drawing/2014/main" id="{B2F1F685-6EE0-4157-8941-2BDA3E79A25C}"/>
            </a:ext>
          </a:extLst>
        </xdr:cNvPr>
        <xdr:cNvSpPr txBox="1">
          <a:spLocks noChangeArrowheads="1"/>
        </xdr:cNvSpPr>
      </xdr:nvSpPr>
      <xdr:spPr bwMode="auto">
        <a:xfrm>
          <a:off x="7229475" y="2857500"/>
          <a:ext cx="1323975"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900" b="0" i="0" u="none" strike="noStrike" baseline="0">
              <a:solidFill>
                <a:srgbClr val="808080"/>
              </a:solidFill>
              <a:latin typeface="ＭＳ Ｐゴシック"/>
              <a:ea typeface="ＭＳ Ｐゴシック"/>
            </a:rPr>
            <a:t>　更新対象</a:t>
          </a:r>
        </a:p>
      </xdr:txBody>
    </xdr:sp>
    <xdr:clientData/>
  </xdr:twoCellAnchor>
  <xdr:twoCellAnchor>
    <xdr:from>
      <xdr:col>4</xdr:col>
      <xdr:colOff>771525</xdr:colOff>
      <xdr:row>25</xdr:row>
      <xdr:rowOff>114300</xdr:rowOff>
    </xdr:from>
    <xdr:to>
      <xdr:col>5</xdr:col>
      <xdr:colOff>1162050</xdr:colOff>
      <xdr:row>28</xdr:row>
      <xdr:rowOff>19050</xdr:rowOff>
    </xdr:to>
    <xdr:sp macro="" textlink="">
      <xdr:nvSpPr>
        <xdr:cNvPr id="7" name="AutoShape 10">
          <a:extLst>
            <a:ext uri="{FF2B5EF4-FFF2-40B4-BE49-F238E27FC236}">
              <a16:creationId xmlns:a16="http://schemas.microsoft.com/office/drawing/2014/main" id="{E184D480-1456-4CD3-B965-949008A5BEAE}"/>
            </a:ext>
          </a:extLst>
        </xdr:cNvPr>
        <xdr:cNvSpPr>
          <a:spLocks noChangeArrowheads="1"/>
        </xdr:cNvSpPr>
      </xdr:nvSpPr>
      <xdr:spPr bwMode="auto">
        <a:xfrm>
          <a:off x="3114675" y="4400550"/>
          <a:ext cx="1524000" cy="504825"/>
        </a:xfrm>
        <a:prstGeom prst="downArrow">
          <a:avLst>
            <a:gd name="adj1" fmla="val 49407"/>
            <a:gd name="adj2" fmla="val 61704"/>
          </a:avLst>
        </a:prstGeom>
        <a:solidFill>
          <a:srgbClr xmlns:mc="http://schemas.openxmlformats.org/markup-compatibility/2006" xmlns:a14="http://schemas.microsoft.com/office/drawing/2010/main" val="C0C0C0" mc:Ignorable="a14" a14:legacySpreadsheetColorIndex="22"/>
        </a:solidFill>
        <a:ln>
          <a:noFill/>
        </a:ln>
        <a:effectLst/>
        <a:extLs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57150</xdr:colOff>
      <xdr:row>32</xdr:row>
      <xdr:rowOff>47625</xdr:rowOff>
    </xdr:from>
    <xdr:to>
      <xdr:col>9</xdr:col>
      <xdr:colOff>209550</xdr:colOff>
      <xdr:row>34</xdr:row>
      <xdr:rowOff>19050</xdr:rowOff>
    </xdr:to>
    <xdr:sp macro="" textlink="">
      <xdr:nvSpPr>
        <xdr:cNvPr id="8" name="AutoShape 11">
          <a:extLst>
            <a:ext uri="{FF2B5EF4-FFF2-40B4-BE49-F238E27FC236}">
              <a16:creationId xmlns:a16="http://schemas.microsoft.com/office/drawing/2014/main" id="{B2A82096-2DA4-427F-844C-7E42F8262EBA}"/>
            </a:ext>
          </a:extLst>
        </xdr:cNvPr>
        <xdr:cNvSpPr>
          <a:spLocks/>
        </xdr:cNvSpPr>
      </xdr:nvSpPr>
      <xdr:spPr bwMode="auto">
        <a:xfrm>
          <a:off x="7096125" y="5695950"/>
          <a:ext cx="152400" cy="276225"/>
        </a:xfrm>
        <a:prstGeom prst="rightBrace">
          <a:avLst>
            <a:gd name="adj1" fmla="val 15104"/>
            <a:gd name="adj2" fmla="val 45681"/>
          </a:avLst>
        </a:prstGeom>
        <a:noFill/>
        <a:ln w="9525">
          <a:solidFill>
            <a:srgbClr xmlns:mc="http://schemas.openxmlformats.org/markup-compatibility/2006" xmlns:a14="http://schemas.microsoft.com/office/drawing/2010/main" val="FF6600" mc:Ignorable="a14" a14:legacySpreadsheetColorIndex="53"/>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57150</xdr:colOff>
      <xdr:row>42</xdr:row>
      <xdr:rowOff>28575</xdr:rowOff>
    </xdr:from>
    <xdr:to>
      <xdr:col>9</xdr:col>
      <xdr:colOff>238125</xdr:colOff>
      <xdr:row>46</xdr:row>
      <xdr:rowOff>0</xdr:rowOff>
    </xdr:to>
    <xdr:sp macro="" textlink="">
      <xdr:nvSpPr>
        <xdr:cNvPr id="9" name="AutoShape 12">
          <a:extLst>
            <a:ext uri="{FF2B5EF4-FFF2-40B4-BE49-F238E27FC236}">
              <a16:creationId xmlns:a16="http://schemas.microsoft.com/office/drawing/2014/main" id="{CFAE11D6-D31D-401D-B084-B723CAB9D8BE}"/>
            </a:ext>
          </a:extLst>
        </xdr:cNvPr>
        <xdr:cNvSpPr>
          <a:spLocks/>
        </xdr:cNvSpPr>
      </xdr:nvSpPr>
      <xdr:spPr bwMode="auto">
        <a:xfrm>
          <a:off x="7096125" y="7200900"/>
          <a:ext cx="180975" cy="619125"/>
        </a:xfrm>
        <a:prstGeom prst="rightBrace">
          <a:avLst>
            <a:gd name="adj1" fmla="val 27193"/>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209550</xdr:colOff>
      <xdr:row>31</xdr:row>
      <xdr:rowOff>123825</xdr:rowOff>
    </xdr:from>
    <xdr:to>
      <xdr:col>10</xdr:col>
      <xdr:colOff>238125</xdr:colOff>
      <xdr:row>34</xdr:row>
      <xdr:rowOff>19050</xdr:rowOff>
    </xdr:to>
    <xdr:sp macro="" textlink="">
      <xdr:nvSpPr>
        <xdr:cNvPr id="10" name="Text Box 13">
          <a:extLst>
            <a:ext uri="{FF2B5EF4-FFF2-40B4-BE49-F238E27FC236}">
              <a16:creationId xmlns:a16="http://schemas.microsoft.com/office/drawing/2014/main" id="{58103222-5D71-4FA8-82FE-1E682D82EBDB}"/>
            </a:ext>
          </a:extLst>
        </xdr:cNvPr>
        <xdr:cNvSpPr txBox="1">
          <a:spLocks noChangeArrowheads="1"/>
        </xdr:cNvSpPr>
      </xdr:nvSpPr>
      <xdr:spPr bwMode="auto">
        <a:xfrm>
          <a:off x="7248525" y="5619750"/>
          <a:ext cx="1257300" cy="3524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FF6600"/>
            </a:solidFill>
            <a:latin typeface="ＭＳ Ｐゴシック"/>
            <a:ea typeface="ＭＳ Ｐゴシック"/>
          </a:endParaRPr>
        </a:p>
        <a:p>
          <a:pPr algn="l" rtl="0">
            <a:lnSpc>
              <a:spcPts val="1000"/>
            </a:lnSpc>
            <a:defRPr sz="1000"/>
          </a:pPr>
          <a:r>
            <a:rPr lang="ja-JP" altLang="en-US" sz="900" b="0" i="0" u="none" strike="noStrike" baseline="0">
              <a:solidFill>
                <a:srgbClr val="FF6600"/>
              </a:solidFill>
              <a:latin typeface="ＭＳ Ｐゴシック"/>
              <a:ea typeface="ＭＳ Ｐゴシック"/>
            </a:rPr>
            <a:t> 物理削除</a:t>
          </a:r>
        </a:p>
      </xdr:txBody>
    </xdr:sp>
    <xdr:clientData/>
  </xdr:twoCellAnchor>
  <xdr:twoCellAnchor>
    <xdr:from>
      <xdr:col>9</xdr:col>
      <xdr:colOff>266700</xdr:colOff>
      <xdr:row>42</xdr:row>
      <xdr:rowOff>104775</xdr:rowOff>
    </xdr:from>
    <xdr:to>
      <xdr:col>10</xdr:col>
      <xdr:colOff>409575</xdr:colOff>
      <xdr:row>44</xdr:row>
      <xdr:rowOff>95250</xdr:rowOff>
    </xdr:to>
    <xdr:sp macro="" textlink="">
      <xdr:nvSpPr>
        <xdr:cNvPr id="11" name="Text Box 14">
          <a:extLst>
            <a:ext uri="{FF2B5EF4-FFF2-40B4-BE49-F238E27FC236}">
              <a16:creationId xmlns:a16="http://schemas.microsoft.com/office/drawing/2014/main" id="{52BAA9A0-97FD-47FA-A711-1937684E0531}"/>
            </a:ext>
          </a:extLst>
        </xdr:cNvPr>
        <xdr:cNvSpPr txBox="1">
          <a:spLocks noChangeArrowheads="1"/>
        </xdr:cNvSpPr>
      </xdr:nvSpPr>
      <xdr:spPr bwMode="auto">
        <a:xfrm>
          <a:off x="7305675" y="7277100"/>
          <a:ext cx="1371600" cy="2952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969696"/>
            </a:solidFill>
            <a:latin typeface="ＭＳ Ｐゴシック"/>
            <a:ea typeface="ＭＳ Ｐゴシック"/>
          </a:endParaRPr>
        </a:p>
        <a:p>
          <a:pPr algn="l" rtl="0">
            <a:lnSpc>
              <a:spcPts val="1000"/>
            </a:lnSpc>
            <a:defRPr sz="1000"/>
          </a:pPr>
          <a:r>
            <a:rPr lang="ja-JP" altLang="en-US" sz="900" b="0" i="0" u="none" strike="noStrike" baseline="0">
              <a:solidFill>
                <a:srgbClr val="969696"/>
              </a:solidFill>
              <a:latin typeface="ＭＳ Ｐゴシック"/>
              <a:ea typeface="ＭＳ Ｐゴシック"/>
            </a:rPr>
            <a:t>追加</a:t>
          </a:r>
        </a:p>
      </xdr:txBody>
    </xdr:sp>
    <xdr:clientData/>
  </xdr:twoCellAnchor>
  <xdr:twoCellAnchor>
    <xdr:from>
      <xdr:col>9</xdr:col>
      <xdr:colOff>190500</xdr:colOff>
      <xdr:row>37</xdr:row>
      <xdr:rowOff>9525</xdr:rowOff>
    </xdr:from>
    <xdr:to>
      <xdr:col>10</xdr:col>
      <xdr:colOff>285750</xdr:colOff>
      <xdr:row>38</xdr:row>
      <xdr:rowOff>57150</xdr:rowOff>
    </xdr:to>
    <xdr:sp macro="" textlink="">
      <xdr:nvSpPr>
        <xdr:cNvPr id="12" name="Text Box 15">
          <a:extLst>
            <a:ext uri="{FF2B5EF4-FFF2-40B4-BE49-F238E27FC236}">
              <a16:creationId xmlns:a16="http://schemas.microsoft.com/office/drawing/2014/main" id="{90872AA3-0D64-4957-860A-52FED0D1D6B9}"/>
            </a:ext>
          </a:extLst>
        </xdr:cNvPr>
        <xdr:cNvSpPr txBox="1">
          <a:spLocks noChangeArrowheads="1"/>
        </xdr:cNvSpPr>
      </xdr:nvSpPr>
      <xdr:spPr bwMode="auto">
        <a:xfrm>
          <a:off x="7229475" y="6419850"/>
          <a:ext cx="1323975"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900" b="0" i="0" u="none" strike="noStrike" baseline="0">
              <a:solidFill>
                <a:srgbClr val="969696"/>
              </a:solidFill>
              <a:latin typeface="ＭＳ Ｐゴシック"/>
              <a:ea typeface="ＭＳ Ｐゴシック"/>
            </a:rPr>
            <a:t>　更新</a:t>
          </a:r>
        </a:p>
      </xdr:txBody>
    </xdr:sp>
    <xdr:clientData/>
  </xdr:twoCellAnchor>
  <xdr:twoCellAnchor>
    <xdr:from>
      <xdr:col>9</xdr:col>
      <xdr:colOff>47625</xdr:colOff>
      <xdr:row>14</xdr:row>
      <xdr:rowOff>133350</xdr:rowOff>
    </xdr:from>
    <xdr:to>
      <xdr:col>9</xdr:col>
      <xdr:colOff>238125</xdr:colOff>
      <xdr:row>17</xdr:row>
      <xdr:rowOff>142875</xdr:rowOff>
    </xdr:to>
    <xdr:sp macro="" textlink="">
      <xdr:nvSpPr>
        <xdr:cNvPr id="13" name="AutoShape 16">
          <a:extLst>
            <a:ext uri="{FF2B5EF4-FFF2-40B4-BE49-F238E27FC236}">
              <a16:creationId xmlns:a16="http://schemas.microsoft.com/office/drawing/2014/main" id="{DF03432C-9889-4241-8DA6-FEC85A0F3314}"/>
            </a:ext>
          </a:extLst>
        </xdr:cNvPr>
        <xdr:cNvSpPr>
          <a:spLocks/>
        </xdr:cNvSpPr>
      </xdr:nvSpPr>
      <xdr:spPr bwMode="auto">
        <a:xfrm>
          <a:off x="7086600" y="2705100"/>
          <a:ext cx="190500" cy="466725"/>
        </a:xfrm>
        <a:prstGeom prst="rightBrace">
          <a:avLst>
            <a:gd name="adj1" fmla="val 20417"/>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47625</xdr:colOff>
      <xdr:row>36</xdr:row>
      <xdr:rowOff>19050</xdr:rowOff>
    </xdr:from>
    <xdr:to>
      <xdr:col>9</xdr:col>
      <xdr:colOff>238125</xdr:colOff>
      <xdr:row>39</xdr:row>
      <xdr:rowOff>28575</xdr:rowOff>
    </xdr:to>
    <xdr:sp macro="" textlink="">
      <xdr:nvSpPr>
        <xdr:cNvPr id="14" name="AutoShape 17">
          <a:extLst>
            <a:ext uri="{FF2B5EF4-FFF2-40B4-BE49-F238E27FC236}">
              <a16:creationId xmlns:a16="http://schemas.microsoft.com/office/drawing/2014/main" id="{0060B06A-9743-4270-A0C4-9FC4159D4E80}"/>
            </a:ext>
          </a:extLst>
        </xdr:cNvPr>
        <xdr:cNvSpPr>
          <a:spLocks/>
        </xdr:cNvSpPr>
      </xdr:nvSpPr>
      <xdr:spPr bwMode="auto">
        <a:xfrm>
          <a:off x="7086600" y="6276975"/>
          <a:ext cx="190500" cy="466725"/>
        </a:xfrm>
        <a:prstGeom prst="rightBrace">
          <a:avLst>
            <a:gd name="adj1" fmla="val 20417"/>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10</xdr:col>
      <xdr:colOff>190500</xdr:colOff>
      <xdr:row>33</xdr:row>
      <xdr:rowOff>104775</xdr:rowOff>
    </xdr:from>
    <xdr:to>
      <xdr:col>11</xdr:col>
      <xdr:colOff>276225</xdr:colOff>
      <xdr:row>34</xdr:row>
      <xdr:rowOff>0</xdr:rowOff>
    </xdr:to>
    <xdr:sp macro="" textlink="">
      <xdr:nvSpPr>
        <xdr:cNvPr id="15" name="Text Box 19">
          <a:extLst>
            <a:ext uri="{FF2B5EF4-FFF2-40B4-BE49-F238E27FC236}">
              <a16:creationId xmlns:a16="http://schemas.microsoft.com/office/drawing/2014/main" id="{5CE54B49-8C96-467D-A792-FD58BF8F186D}"/>
            </a:ext>
          </a:extLst>
        </xdr:cNvPr>
        <xdr:cNvSpPr txBox="1">
          <a:spLocks noChangeArrowheads="1"/>
        </xdr:cNvSpPr>
      </xdr:nvSpPr>
      <xdr:spPr bwMode="auto">
        <a:xfrm>
          <a:off x="8458200" y="5905500"/>
          <a:ext cx="619125" cy="476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endParaRPr lang="ja-JP" altLang="en-US" sz="900" b="0" i="0" u="none" strike="noStrike" baseline="0">
            <a:solidFill>
              <a:srgbClr val="FF6600"/>
            </a:solidFill>
            <a:latin typeface="ＭＳ Ｐゴシック"/>
            <a:ea typeface="ＭＳ Ｐゴシック"/>
          </a:endParaRPr>
        </a:p>
        <a:p>
          <a:pPr algn="l" rtl="0">
            <a:defRPr sz="1000"/>
          </a:pPr>
          <a:r>
            <a:rPr lang="ja-JP" altLang="en-US" sz="900" b="0" i="0" u="none" strike="noStrike" baseline="0">
              <a:solidFill>
                <a:srgbClr val="FF6600"/>
              </a:solidFill>
              <a:latin typeface="ＭＳ Ｐゴシック"/>
              <a:ea typeface="ＭＳ Ｐゴシック"/>
            </a:rPr>
            <a:t> 論理削除</a:t>
          </a:r>
        </a:p>
      </xdr:txBody>
    </xdr:sp>
    <xdr:clientData/>
  </xdr:twoCellAnchor>
  <xdr:twoCellAnchor>
    <xdr:from>
      <xdr:col>1</xdr:col>
      <xdr:colOff>209550</xdr:colOff>
      <xdr:row>72</xdr:row>
      <xdr:rowOff>142875</xdr:rowOff>
    </xdr:from>
    <xdr:to>
      <xdr:col>3</xdr:col>
      <xdr:colOff>133350</xdr:colOff>
      <xdr:row>74</xdr:row>
      <xdr:rowOff>28575</xdr:rowOff>
    </xdr:to>
    <xdr:sp macro="" textlink="">
      <xdr:nvSpPr>
        <xdr:cNvPr id="16" name="AutoShape 22">
          <a:extLst>
            <a:ext uri="{FF2B5EF4-FFF2-40B4-BE49-F238E27FC236}">
              <a16:creationId xmlns:a16="http://schemas.microsoft.com/office/drawing/2014/main" id="{382A023B-B64F-41D2-9B66-F02829CC6CE2}"/>
            </a:ext>
          </a:extLst>
        </xdr:cNvPr>
        <xdr:cNvSpPr>
          <a:spLocks noChangeArrowheads="1"/>
        </xdr:cNvSpPr>
      </xdr:nvSpPr>
      <xdr:spPr bwMode="auto">
        <a:xfrm>
          <a:off x="457200" y="13077825"/>
          <a:ext cx="1076325" cy="2857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219075</xdr:colOff>
      <xdr:row>83</xdr:row>
      <xdr:rowOff>104775</xdr:rowOff>
    </xdr:from>
    <xdr:to>
      <xdr:col>3</xdr:col>
      <xdr:colOff>142875</xdr:colOff>
      <xdr:row>84</xdr:row>
      <xdr:rowOff>161925</xdr:rowOff>
    </xdr:to>
    <xdr:sp macro="" textlink="">
      <xdr:nvSpPr>
        <xdr:cNvPr id="17" name="AutoShape 23">
          <a:extLst>
            <a:ext uri="{FF2B5EF4-FFF2-40B4-BE49-F238E27FC236}">
              <a16:creationId xmlns:a16="http://schemas.microsoft.com/office/drawing/2014/main" id="{309FF31D-B066-44EC-9267-3B5CAED6730D}"/>
            </a:ext>
          </a:extLst>
        </xdr:cNvPr>
        <xdr:cNvSpPr>
          <a:spLocks noChangeArrowheads="1"/>
        </xdr:cNvSpPr>
      </xdr:nvSpPr>
      <xdr:spPr bwMode="auto">
        <a:xfrm>
          <a:off x="466725" y="15211425"/>
          <a:ext cx="107632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285750</xdr:colOff>
      <xdr:row>62</xdr:row>
      <xdr:rowOff>95250</xdr:rowOff>
    </xdr:from>
    <xdr:to>
      <xdr:col>3</xdr:col>
      <xdr:colOff>209550</xdr:colOff>
      <xdr:row>63</xdr:row>
      <xdr:rowOff>152400</xdr:rowOff>
    </xdr:to>
    <xdr:sp macro="" textlink="">
      <xdr:nvSpPr>
        <xdr:cNvPr id="18" name="AutoShape 33">
          <a:extLst>
            <a:ext uri="{FF2B5EF4-FFF2-40B4-BE49-F238E27FC236}">
              <a16:creationId xmlns:a16="http://schemas.microsoft.com/office/drawing/2014/main" id="{F7E8290A-890D-45FF-A533-89854C8801B6}"/>
            </a:ext>
          </a:extLst>
        </xdr:cNvPr>
        <xdr:cNvSpPr>
          <a:spLocks noChangeArrowheads="1"/>
        </xdr:cNvSpPr>
      </xdr:nvSpPr>
      <xdr:spPr bwMode="auto">
        <a:xfrm>
          <a:off x="533400" y="11058525"/>
          <a:ext cx="107632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361950</xdr:colOff>
      <xdr:row>51</xdr:row>
      <xdr:rowOff>95250</xdr:rowOff>
    </xdr:from>
    <xdr:to>
      <xdr:col>3</xdr:col>
      <xdr:colOff>285750</xdr:colOff>
      <xdr:row>52</xdr:row>
      <xdr:rowOff>152400</xdr:rowOff>
    </xdr:to>
    <xdr:sp macro="" textlink="">
      <xdr:nvSpPr>
        <xdr:cNvPr id="19" name="AutoShape 34">
          <a:extLst>
            <a:ext uri="{FF2B5EF4-FFF2-40B4-BE49-F238E27FC236}">
              <a16:creationId xmlns:a16="http://schemas.microsoft.com/office/drawing/2014/main" id="{85C9441D-5FF5-4396-9C6F-BDFCCC81A8AB}"/>
            </a:ext>
          </a:extLst>
        </xdr:cNvPr>
        <xdr:cNvSpPr>
          <a:spLocks noChangeArrowheads="1"/>
        </xdr:cNvSpPr>
      </xdr:nvSpPr>
      <xdr:spPr bwMode="auto">
        <a:xfrm>
          <a:off x="609600" y="8886825"/>
          <a:ext cx="107632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361950</xdr:colOff>
      <xdr:row>53</xdr:row>
      <xdr:rowOff>28575</xdr:rowOff>
    </xdr:from>
    <xdr:to>
      <xdr:col>7</xdr:col>
      <xdr:colOff>1085850</xdr:colOff>
      <xdr:row>55</xdr:row>
      <xdr:rowOff>152400</xdr:rowOff>
    </xdr:to>
    <xdr:pic>
      <xdr:nvPicPr>
        <xdr:cNvPr id="20" name="Picture 39">
          <a:extLst>
            <a:ext uri="{FF2B5EF4-FFF2-40B4-BE49-F238E27FC236}">
              <a16:creationId xmlns:a16="http://schemas.microsoft.com/office/drawing/2014/main" id="{F306147D-2DBF-4B39-8E12-98037624F5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09600" y="9220200"/>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228600</xdr:colOff>
      <xdr:row>85</xdr:row>
      <xdr:rowOff>28575</xdr:rowOff>
    </xdr:from>
    <xdr:to>
      <xdr:col>7</xdr:col>
      <xdr:colOff>952500</xdr:colOff>
      <xdr:row>87</xdr:row>
      <xdr:rowOff>152400</xdr:rowOff>
    </xdr:to>
    <xdr:pic>
      <xdr:nvPicPr>
        <xdr:cNvPr id="21" name="Picture 40">
          <a:extLst>
            <a:ext uri="{FF2B5EF4-FFF2-40B4-BE49-F238E27FC236}">
              <a16:creationId xmlns:a16="http://schemas.microsoft.com/office/drawing/2014/main" id="{6571FF06-688C-4FD8-A263-9E2C91028A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76250" y="1553527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228600</xdr:colOff>
      <xdr:row>74</xdr:row>
      <xdr:rowOff>57150</xdr:rowOff>
    </xdr:from>
    <xdr:to>
      <xdr:col>7</xdr:col>
      <xdr:colOff>952500</xdr:colOff>
      <xdr:row>76</xdr:row>
      <xdr:rowOff>180975</xdr:rowOff>
    </xdr:to>
    <xdr:pic>
      <xdr:nvPicPr>
        <xdr:cNvPr id="22" name="Picture 41">
          <a:extLst>
            <a:ext uri="{FF2B5EF4-FFF2-40B4-BE49-F238E27FC236}">
              <a16:creationId xmlns:a16="http://schemas.microsoft.com/office/drawing/2014/main" id="{304D955B-0F36-4049-B462-04417E0A65F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76250" y="13392150"/>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314325</xdr:colOff>
      <xdr:row>64</xdr:row>
      <xdr:rowOff>19050</xdr:rowOff>
    </xdr:from>
    <xdr:to>
      <xdr:col>7</xdr:col>
      <xdr:colOff>1038225</xdr:colOff>
      <xdr:row>66</xdr:row>
      <xdr:rowOff>142875</xdr:rowOff>
    </xdr:to>
    <xdr:pic>
      <xdr:nvPicPr>
        <xdr:cNvPr id="23" name="Picture 42">
          <a:extLst>
            <a:ext uri="{FF2B5EF4-FFF2-40B4-BE49-F238E27FC236}">
              <a16:creationId xmlns:a16="http://schemas.microsoft.com/office/drawing/2014/main" id="{0774A38D-2A34-40ED-BEB2-6D45A9094A8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1975" y="1138237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5</xdr:col>
      <xdr:colOff>942975</xdr:colOff>
      <xdr:row>36</xdr:row>
      <xdr:rowOff>95250</xdr:rowOff>
    </xdr:from>
    <xdr:to>
      <xdr:col>9</xdr:col>
      <xdr:colOff>657225</xdr:colOff>
      <xdr:row>39</xdr:row>
      <xdr:rowOff>47625</xdr:rowOff>
    </xdr:to>
    <xdr:sp macro="" textlink="">
      <xdr:nvSpPr>
        <xdr:cNvPr id="24" name="AutoShape 43">
          <a:extLst>
            <a:ext uri="{FF2B5EF4-FFF2-40B4-BE49-F238E27FC236}">
              <a16:creationId xmlns:a16="http://schemas.microsoft.com/office/drawing/2014/main" id="{70477DA3-26BB-464B-8BC3-E8949554E354}"/>
            </a:ext>
          </a:extLst>
        </xdr:cNvPr>
        <xdr:cNvSpPr>
          <a:spLocks noChangeArrowheads="1"/>
        </xdr:cNvSpPr>
      </xdr:nvSpPr>
      <xdr:spPr bwMode="auto">
        <a:xfrm>
          <a:off x="4419600" y="6353175"/>
          <a:ext cx="3276600" cy="409575"/>
        </a:xfrm>
        <a:prstGeom prst="wedgeRectCallout">
          <a:avLst>
            <a:gd name="adj1" fmla="val 14537"/>
            <a:gd name="adj2" fmla="val -133722"/>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lnSpc>
              <a:spcPts val="1300"/>
            </a:lnSpc>
            <a:defRPr sz="1000"/>
          </a:pPr>
          <a:r>
            <a:rPr lang="ja-JP" altLang="en-US" sz="1100" b="1" i="0" u="none" strike="noStrike" baseline="0">
              <a:solidFill>
                <a:srgbClr val="008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削除条件に該当するレコードを削除している ことを確認</a:t>
          </a:r>
        </a:p>
        <a:p>
          <a:pPr algn="l" rtl="0">
            <a:lnSpc>
              <a:spcPts val="1100"/>
            </a:lnSpc>
            <a:defRPr sz="1000"/>
          </a:pPr>
          <a:r>
            <a:rPr lang="ja-JP" altLang="en-US" sz="1000" b="0" i="0" u="none" strike="noStrike" baseline="0">
              <a:solidFill>
                <a:srgbClr val="000000"/>
              </a:solidFill>
              <a:latin typeface="ＭＳ Ｐゴシック"/>
              <a:ea typeface="ＭＳ Ｐゴシック"/>
            </a:rPr>
            <a:t>　(削除対象以外は削除処理を行っていない)</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xdr:col>
      <xdr:colOff>228600</xdr:colOff>
      <xdr:row>5</xdr:row>
      <xdr:rowOff>152400</xdr:rowOff>
    </xdr:from>
    <xdr:to>
      <xdr:col>3</xdr:col>
      <xdr:colOff>676275</xdr:colOff>
      <xdr:row>7</xdr:row>
      <xdr:rowOff>38100</xdr:rowOff>
    </xdr:to>
    <xdr:sp macro="" textlink="">
      <xdr:nvSpPr>
        <xdr:cNvPr id="2" name="AutoShape 4">
          <a:extLst>
            <a:ext uri="{FF2B5EF4-FFF2-40B4-BE49-F238E27FC236}">
              <a16:creationId xmlns:a16="http://schemas.microsoft.com/office/drawing/2014/main" id="{B62A2701-93EE-4FF5-B914-2973726EEC0A}"/>
            </a:ext>
          </a:extLst>
        </xdr:cNvPr>
        <xdr:cNvSpPr>
          <a:spLocks noChangeArrowheads="1"/>
        </xdr:cNvSpPr>
      </xdr:nvSpPr>
      <xdr:spPr bwMode="auto">
        <a:xfrm>
          <a:off x="476250" y="1200150"/>
          <a:ext cx="1038225" cy="2857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238125</xdr:colOff>
      <xdr:row>15</xdr:row>
      <xdr:rowOff>133350</xdr:rowOff>
    </xdr:from>
    <xdr:to>
      <xdr:col>4</xdr:col>
      <xdr:colOff>28575</xdr:colOff>
      <xdr:row>17</xdr:row>
      <xdr:rowOff>76200</xdr:rowOff>
    </xdr:to>
    <xdr:sp macro="" textlink="">
      <xdr:nvSpPr>
        <xdr:cNvPr id="3" name="AutoShape 5">
          <a:extLst>
            <a:ext uri="{FF2B5EF4-FFF2-40B4-BE49-F238E27FC236}">
              <a16:creationId xmlns:a16="http://schemas.microsoft.com/office/drawing/2014/main" id="{5A421B7E-CCE3-490F-A4EC-1F1224349708}"/>
            </a:ext>
          </a:extLst>
        </xdr:cNvPr>
        <xdr:cNvSpPr>
          <a:spLocks noChangeArrowheads="1"/>
        </xdr:cNvSpPr>
      </xdr:nvSpPr>
      <xdr:spPr bwMode="auto">
        <a:xfrm>
          <a:off x="485775" y="3152775"/>
          <a:ext cx="1066800" cy="34290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エラーログ sample</a:t>
          </a:r>
        </a:p>
      </xdr:txBody>
    </xdr:sp>
    <xdr:clientData/>
  </xdr:twoCellAnchor>
  <xdr:twoCellAnchor editAs="oneCell">
    <xdr:from>
      <xdr:col>1</xdr:col>
      <xdr:colOff>266700</xdr:colOff>
      <xdr:row>7</xdr:row>
      <xdr:rowOff>57150</xdr:rowOff>
    </xdr:from>
    <xdr:to>
      <xdr:col>8</xdr:col>
      <xdr:colOff>152400</xdr:colOff>
      <xdr:row>9</xdr:row>
      <xdr:rowOff>180975</xdr:rowOff>
    </xdr:to>
    <xdr:pic>
      <xdr:nvPicPr>
        <xdr:cNvPr id="4" name="Picture 15">
          <a:extLst>
            <a:ext uri="{FF2B5EF4-FFF2-40B4-BE49-F238E27FC236}">
              <a16:creationId xmlns:a16="http://schemas.microsoft.com/office/drawing/2014/main" id="{D6EE298A-F917-43F7-9240-934B97EE818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14350" y="1504950"/>
          <a:ext cx="3829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276225</xdr:colOff>
      <xdr:row>17</xdr:row>
      <xdr:rowOff>104775</xdr:rowOff>
    </xdr:from>
    <xdr:to>
      <xdr:col>8</xdr:col>
      <xdr:colOff>161925</xdr:colOff>
      <xdr:row>20</xdr:row>
      <xdr:rowOff>28575</xdr:rowOff>
    </xdr:to>
    <xdr:pic>
      <xdr:nvPicPr>
        <xdr:cNvPr id="5" name="Picture 16">
          <a:extLst>
            <a:ext uri="{FF2B5EF4-FFF2-40B4-BE49-F238E27FC236}">
              <a16:creationId xmlns:a16="http://schemas.microsoft.com/office/drawing/2014/main" id="{6807C6FF-A8C2-4E97-87B1-5579C4AD48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23875" y="3524250"/>
          <a:ext cx="3829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2</xdr:col>
      <xdr:colOff>76200</xdr:colOff>
      <xdr:row>25</xdr:row>
      <xdr:rowOff>152400</xdr:rowOff>
    </xdr:from>
    <xdr:to>
      <xdr:col>6</xdr:col>
      <xdr:colOff>219075</xdr:colOff>
      <xdr:row>28</xdr:row>
      <xdr:rowOff>66675</xdr:rowOff>
    </xdr:to>
    <xdr:sp macro="" textlink="">
      <xdr:nvSpPr>
        <xdr:cNvPr id="6" name="Rectangle 19">
          <a:extLst>
            <a:ext uri="{FF2B5EF4-FFF2-40B4-BE49-F238E27FC236}">
              <a16:creationId xmlns:a16="http://schemas.microsoft.com/office/drawing/2014/main" id="{BF916393-0C7F-4B4C-950D-CAD2550135BE}"/>
            </a:ext>
          </a:extLst>
        </xdr:cNvPr>
        <xdr:cNvSpPr>
          <a:spLocks noChangeArrowheads="1"/>
        </xdr:cNvSpPr>
      </xdr:nvSpPr>
      <xdr:spPr bwMode="auto">
        <a:xfrm>
          <a:off x="676275" y="5143500"/>
          <a:ext cx="2438400" cy="514350"/>
        </a:xfrm>
        <a:prstGeom prst="rect">
          <a:avLst/>
        </a:prstGeom>
        <a:solidFill>
          <a:srgbClr xmlns:mc="http://schemas.openxmlformats.org/markup-compatibility/2006" xmlns:a14="http://schemas.microsoft.com/office/drawing/2010/main" val="FFFFFF" mc:Ignorable="a14" a14:legacySpreadsheetColorIndex="65"/>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18288" anchor="ctr" upright="1"/>
        <a:lstStyle/>
        <a:p>
          <a:pPr algn="l" rtl="0">
            <a:lnSpc>
              <a:spcPts val="1200"/>
            </a:lnSpc>
            <a:defRPr sz="1000"/>
          </a:pPr>
          <a:r>
            <a:rPr lang="ja-JP" altLang="en-US" sz="1100" b="0" i="0" u="none" strike="noStrike" baseline="0">
              <a:solidFill>
                <a:srgbClr val="000000"/>
              </a:solidFill>
              <a:latin typeface="ＭＳ Ｐゴシック"/>
              <a:ea typeface="ＭＳ Ｐゴシック"/>
            </a:rPr>
            <a:t>　　輸入部品オーダー　  20123件</a:t>
          </a:r>
        </a:p>
        <a:p>
          <a:pPr algn="l" rtl="0">
            <a:lnSpc>
              <a:spcPts val="1200"/>
            </a:lnSpc>
            <a:defRPr sz="1000"/>
          </a:pPr>
          <a:r>
            <a:rPr lang="ja-JP" altLang="en-US" sz="1100" b="0" i="0" u="none" strike="noStrike" baseline="0">
              <a:solidFill>
                <a:srgbClr val="000000"/>
              </a:solidFill>
              <a:latin typeface="ＭＳ Ｐゴシック"/>
              <a:ea typeface="ＭＳ Ｐゴシック"/>
            </a:rPr>
            <a:t>　　メーカーマスタ       149732件</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globalymc.sharepoint.com/&#65297;&#65296;&#32076;&#21942;/&#26376;&#27425;&#27770;&#31639;/&#65296;&#65299;&#19979;&#26399;/&#26376;&#27425;&#27770;&#31639;/&#19978;&#26399;&#20206;&#27770;&#31639;&#22577;&#21578;&#32207;&#3492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portal:9998/Documents%20and%20Settings/jiangr.NETVISTA/&#26700;&#38754;/0923/&#38144;&#21806;&#25910;&#27454;&#24490;&#29615;&#35774;&#35745;&#27169;&#22411;V831&#65288;&#21152;&#36733;&#65289;.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portal:9998/Documents%20and%20Settings/jiangr.NETVISTA/&#26700;&#38754;/0923/&#36130;&#21153;&#31649;&#29702;&#24490;&#29615;&#35774;&#35745;&#27169;&#22411;&#65288;&#21152;&#36733;&#65289;V90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ZL\&#35937;&#23679;&#22269;&#36816;\&#22269;&#36816;\&#23457;&#35745;&#35760;&#24405;\&#25253;&#34920;&#35843;&#25972;_&#22269;&#36816;&#26412;&#37096;.xls"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alz1399\Desktop\IC&#22522;&#26412;&#35373;&#35336;\&#25104;&#26524;&#29289;&#12481;&#12455;&#12483;&#12463;\Java&#12496;&#12483;&#12481;\20250801\LDAJ0001_&#31292;&#20685;&#29366;&#27841;&#22793;&#26356;_&#12496;&#12483;&#12481;&#27231;&#33021;&#20181;&#27096;&#26360;_v1.00.xlsx" TargetMode="External"/><Relationship Id="rId1" Type="http://schemas.openxmlformats.org/officeDocument/2006/relationships/externalLinkPath" Target="https://globalymc.sharepoint.com/sites/YMSL_Teams_Sumafu_ERPgai/Shared%20Documents/00&#65294;&#29983;&#29987;&#35519;&#36948;&#12471;&#12473;&#12486;&#12512;&#37096;&#20849;&#36890;/10_YNS&#29983;&#29987;&#35519;&#36948;&#25913;&#38761;PJ/60_&#30456;&#35527;&#12539;&#26908;&#35342;&#20107;&#38917;/TCS&#26908;&#35342;/TCS&#12486;&#12531;&#12503;&#12524;&#12540;&#12488;/IC&#22522;&#26412;&#35373;&#35336;/&#25104;&#26524;&#29289;&#12481;&#12455;&#12483;&#12463;/Java&#12496;&#12483;&#12481;/20250801/LDAJ0001_&#31292;&#20685;&#29366;&#27841;&#22793;&#26356;_&#12496;&#12483;&#12481;&#27231;&#33021;&#20181;&#27096;&#26360;_v1.00.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portal:9998/zhouzhengchun/&#22825;&#20581;&#21326;&#22825;2003/&#25253;&#34920;&#35843;&#25972;&#31995;&#32479;-&#25253;&#20851;&#34892;-2003.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VEGAS\doc\KINMU\XLS\&#26085;&#39640;\&#21220;&#24608;&#34920;&#26085;&#39640;00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上期仮決算報告総表"/>
    </sheetNames>
    <definedNames>
      <definedName name="BS入力"/>
      <definedName name="PL入力"/>
      <definedName name="コメント入力"/>
      <definedName name="人員入力"/>
      <definedName name="総表印刷"/>
      <definedName name="売上入力"/>
    </defined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程序表模板"/>
      <sheetName val="系统表"/>
      <sheetName val="底稿目录"/>
      <sheetName val="索引"/>
      <sheetName val="科目选择"/>
      <sheetName val="标本-资产"/>
      <sheetName val="分录"/>
      <sheetName val="往来询证函"/>
      <sheetName val="信封模板"/>
      <sheetName val="往来函证表"/>
      <sheetName val="应收票据Dy"/>
      <sheetName val="应收票据Mx"/>
      <sheetName val="应收账款Dy"/>
      <sheetName val="应收账款Mx"/>
      <sheetName val="坏账准备_应收账款Dy"/>
      <sheetName val="坏账准备_应收账款Mx"/>
      <sheetName val="预收账款Dy"/>
      <sheetName val="预收账款Mx"/>
      <sheetName val="应交税金Dy"/>
      <sheetName val="应交税金mx1"/>
      <sheetName val="应交税金mx2"/>
      <sheetName val="应交税金mx3"/>
      <sheetName val="其他应交款Dy"/>
      <sheetName val="其他应交款mx"/>
      <sheetName val="主营业务收入Dy"/>
      <sheetName val="主营业务收入mx"/>
      <sheetName val="收入上年同期分析"/>
      <sheetName val="收入月份波动分析"/>
      <sheetName val="收入重要产品毛利分析"/>
      <sheetName val="收入重要客户分析"/>
      <sheetName val="收入销售发票核对"/>
      <sheetName val="收入截止测试"/>
      <sheetName val="营业费用Dy"/>
      <sheetName val="营业费用月份波动"/>
      <sheetName val="主营业务税金及附加Dy"/>
      <sheetName val="其他业务利润Dy"/>
      <sheetName val="其他业务利润明细表"/>
      <sheetName val="程序表原始数据"/>
      <sheetName val="初期値"/>
    </sheetNames>
    <sheetDataSet>
      <sheetData sheetId="0" refreshError="1"/>
      <sheetData sheetId="1" refreshError="1"/>
      <sheetData sheetId="2" refreshError="1"/>
      <sheetData sheetId="3"/>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系统表"/>
      <sheetName val="底稿目录"/>
      <sheetName val="索引"/>
      <sheetName val="往来询证函"/>
      <sheetName val="银行询证函"/>
      <sheetName val="科目选择"/>
      <sheetName val="分录"/>
      <sheetName val="信封模板"/>
      <sheetName val="往来函证表"/>
      <sheetName val="银行函证表"/>
      <sheetName val="货币资金Dy"/>
      <sheetName val="货币资金Mx"/>
      <sheetName val="程序表模板"/>
      <sheetName val="现金Dy"/>
      <sheetName val="现金盘点表"/>
      <sheetName val="银行存款Dy"/>
      <sheetName val="其他货币资金Dy"/>
      <sheetName val="短期投资Dy"/>
      <sheetName val="短期投资Mx"/>
      <sheetName val="短期投资跌价准备Dy"/>
      <sheetName val="短期投资跌价准备mx"/>
      <sheetName val="委托贷款Dy"/>
      <sheetName val="委托贷款mx"/>
      <sheetName val="应收股利Dy"/>
      <sheetName val="应收股利mx"/>
      <sheetName val="应收利息Dy"/>
      <sheetName val="应收利息mx"/>
      <sheetName val="应收补贴款Dy"/>
      <sheetName val="应收补贴款mx"/>
      <sheetName val="其他应收款Dy"/>
      <sheetName val="其他应收款mx"/>
      <sheetName val="坏账准备_其他应收款Dy"/>
      <sheetName val="坏账准备_其他应收款Mx"/>
      <sheetName val="其他流动资产Dy"/>
      <sheetName val="其他流动资产mx"/>
      <sheetName val="长期股权投资Dy"/>
      <sheetName val="长期股权投资Mx1"/>
      <sheetName val="长期股权投资Mx2"/>
      <sheetName val="长期投资减值准备Dy"/>
      <sheetName val="长期投资减值准备mx"/>
      <sheetName val="长期债权投资Dy"/>
      <sheetName val="长期债权投资Mx"/>
      <sheetName val="无形资产Dy"/>
      <sheetName val="无形资产Mx"/>
      <sheetName val="无形资产减值准备Dy"/>
      <sheetName val="无形资产减值准备mx"/>
      <sheetName val="长期待摊费用Dy"/>
      <sheetName val="长期待摊费用Mx"/>
      <sheetName val="短期借款Dy"/>
      <sheetName val="短期借款Mx"/>
      <sheetName val="短期借款利息测算"/>
      <sheetName val="应付股利Dy"/>
      <sheetName val="应付股利mx"/>
      <sheetName val="其他应付款Dy"/>
      <sheetName val="其他应付款mx"/>
      <sheetName val="内部往来Dy"/>
      <sheetName val="内部往来Mx"/>
      <sheetName val="一年内到期的长期负债Dy"/>
      <sheetName val="一年内到期的长期负债mx"/>
      <sheetName val="长期借款Dy"/>
      <sheetName val="长期借款Mx"/>
      <sheetName val="长期借款利息测算"/>
      <sheetName val="应付债券Dy"/>
      <sheetName val="应付债券Mx"/>
      <sheetName val="长期应付款Dy"/>
      <sheetName val="长期应付款mx"/>
      <sheetName val="专项应付款Dy"/>
      <sheetName val="专项应付款Mx"/>
      <sheetName val="股本Dy"/>
      <sheetName val="股本Mx"/>
      <sheetName val="资本公积Dy"/>
      <sheetName val="资本公积mx"/>
      <sheetName val="盈余公积Dy"/>
      <sheetName val="盈余公积mx"/>
      <sheetName val="未分配利润Dy"/>
      <sheetName val="管理费用Dy"/>
      <sheetName val="管理费用月份波动"/>
      <sheetName val="财务费用Dy"/>
      <sheetName val="投资收益Dy"/>
      <sheetName val="补贴收入Dy"/>
      <sheetName val="营业外收入Dy"/>
      <sheetName val="营业外支出Dy"/>
      <sheetName val="所得税Dy"/>
      <sheetName val="所得税纳税调整"/>
      <sheetName val="以前年度损益调整Dy"/>
      <sheetName val="标本-资产"/>
      <sheetName val="程序表原始数据"/>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sheetData sheetId="11" refreshError="1"/>
      <sheetData sheetId="12" refreshError="1"/>
      <sheetData sheetId="13" refreshError="1"/>
      <sheetData sheetId="14" refreshError="1"/>
      <sheetData sheetId="15"/>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主菜单"/>
      <sheetName val="导引表"/>
      <sheetName val="未审BS"/>
      <sheetName val="图表1"/>
      <sheetName val="未审IS"/>
      <sheetName val="未审分析"/>
      <sheetName val="AJE"/>
      <sheetName val="RJE"/>
      <sheetName val="TB_BS"/>
      <sheetName val="TB_IS"/>
      <sheetName val="TAX"/>
      <sheetName val="已审BS"/>
      <sheetName val="已审IS"/>
      <sheetName val="现金流量表"/>
      <sheetName val="CF_基础数据"/>
      <sheetName val="CF_前导表"/>
      <sheetName val="CF_补充分录"/>
      <sheetName val="CF_分析分录"/>
      <sheetName val="已审CF"/>
      <sheetName val="已审分析"/>
      <sheetName val="比率分析表"/>
      <sheetName val="分录"/>
      <sheetName val="评价标准"/>
      <sheetName val="报表调整_国运本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ver"/>
      <sheetName val="更新履歴"/>
      <sheetName val="処理概要"/>
      <sheetName val="バッチ機能仕様"/>
      <sheetName val="ファイル編集仕様書(ファイルIDorIF_ID)"/>
      <sheetName val="帳票編集仕様書(帳票ID)"/>
      <sheetName val="入出力一覧"/>
      <sheetName val="ファイルレイアウト"/>
      <sheetName val="帳票概要・レイアウト"/>
      <sheetName val="帳票項目定義"/>
      <sheetName val="概要図凡例"/>
      <sheetName val="入力選択肢"/>
      <sheetName val="補足１"/>
      <sheetName val="サンプル→"/>
      <sheetName val="処理概要_sample"/>
      <sheetName val="バッチ機能仕様_sample"/>
      <sheetName val="帳票編集仕様書(REP001)_sample"/>
      <sheetName val="入出力一覧_sample"/>
      <sheetName val="LDAJ0001_稼働状況変更_バッチ機能仕様書_v1.00"/>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索引"/>
      <sheetName val="业务信息"/>
      <sheetName val="单体BS"/>
      <sheetName val="单体IS"/>
      <sheetName val="单体CF"/>
      <sheetName val="减值准备"/>
      <sheetName val="合并BS"/>
      <sheetName val="合并IS"/>
      <sheetName val="合并CF"/>
      <sheetName val="分录"/>
    </sheetNames>
    <sheetDataSet>
      <sheetData sheetId="0" refreshError="1">
        <row r="4">
          <cell r="C4" t="str">
            <v>厦门象屿报关行有限公司</v>
          </cell>
        </row>
        <row r="6">
          <cell r="C6">
            <v>37986</v>
          </cell>
        </row>
        <row r="8">
          <cell r="C8" t="str">
            <v>年末数在前</v>
          </cell>
        </row>
      </sheetData>
      <sheetData sheetId="1" refreshError="1"/>
      <sheetData sheetId="2"/>
      <sheetData sheetId="3"/>
      <sheetData sheetId="4" refreshError="1"/>
      <sheetData sheetId="5" refreshError="1"/>
      <sheetData sheetId="6" refreshError="1"/>
      <sheetData sheetId="7"/>
      <sheetData sheetId="8" refreshError="1"/>
      <sheetData sheetId="9"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勤怠表"/>
      <sheetName val="初期値"/>
      <sheetName val="已审CF"/>
      <sheetName val="BaseSheet1"/>
      <sheetName val="勤怠表日高0012"/>
      <sheetName val="JOBID"/>
      <sheetName val="代表ID"/>
      <sheetName val="見積基礎値"/>
      <sheetName val="見積り内訳"/>
      <sheetName val="仕入業者コード"/>
      <sheetName val="得意先コード"/>
      <sheetName val="WBS1"/>
      <sheetName val="基本契約KFC"/>
      <sheetName val="選択肢"/>
      <sheetName val="ｼﾞｪﾈﾚｰﾄ準備"/>
      <sheetName val="工数"/>
      <sheetName val="間接・販管費率"/>
      <sheetName val="データディクショナリィ"/>
      <sheetName val="査読ｼｰﾄ"/>
      <sheetName val="決定一覧９年度"/>
      <sheetName val="マスタ"/>
      <sheetName val="作業手順書"/>
      <sheetName val="作業手順書（復旧手順）"/>
      <sheetName val="体制図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12700" cap="flat" cmpd="sng" algn="ctr">
          <a:solidFill>
            <a:srgbClr val="FF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12700" cap="flat" cmpd="sng" algn="ctr">
          <a:solidFill>
            <a:srgbClr val="FF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DEF5B-C835-4400-AC81-D786F6122B44}">
  <sheetPr codeName="Sheet1"/>
  <dimension ref="B12:H28"/>
  <sheetViews>
    <sheetView showGridLines="0" tabSelected="1" zoomScale="130" zoomScaleNormal="130" workbookViewId="0"/>
  </sheetViews>
  <sheetFormatPr defaultColWidth="9.36328125" defaultRowHeight="15"/>
  <cols>
    <col min="1" max="1" width="1.6328125" style="1" customWidth="1"/>
    <col min="2" max="2" width="8.08984375" style="1" customWidth="1"/>
    <col min="3" max="8" width="9.36328125" style="1"/>
    <col min="9" max="9" width="1.453125" style="1" customWidth="1"/>
    <col min="10" max="16384" width="9.36328125" style="1"/>
  </cols>
  <sheetData>
    <row r="12" spans="2:8">
      <c r="B12" s="481" t="s">
        <v>5</v>
      </c>
      <c r="C12" s="482"/>
      <c r="D12" s="481" t="s">
        <v>6</v>
      </c>
      <c r="E12" s="482"/>
      <c r="F12" s="481" t="s">
        <v>7</v>
      </c>
      <c r="G12" s="483"/>
      <c r="H12" s="482"/>
    </row>
    <row r="13" spans="2:8">
      <c r="B13" s="484" t="s">
        <v>3</v>
      </c>
      <c r="C13" s="485"/>
      <c r="D13" s="486" t="s">
        <v>113</v>
      </c>
      <c r="E13" s="486"/>
      <c r="F13" s="487" t="s">
        <v>114</v>
      </c>
      <c r="G13" s="487"/>
      <c r="H13" s="487"/>
    </row>
    <row r="16" spans="2:8">
      <c r="B16" s="481" t="s">
        <v>8</v>
      </c>
      <c r="C16" s="482"/>
      <c r="D16" s="484" t="s">
        <v>9</v>
      </c>
      <c r="E16" s="488"/>
      <c r="F16" s="488"/>
      <c r="G16" s="488"/>
      <c r="H16" s="485"/>
    </row>
    <row r="17" spans="2:8">
      <c r="B17" s="481" t="s">
        <v>10</v>
      </c>
      <c r="C17" s="482"/>
      <c r="D17" s="484"/>
      <c r="E17" s="488"/>
      <c r="F17" s="488"/>
      <c r="G17" s="488"/>
      <c r="H17" s="485"/>
    </row>
    <row r="18" spans="2:8">
      <c r="B18" s="481" t="s">
        <v>11</v>
      </c>
      <c r="C18" s="482"/>
      <c r="D18" s="489"/>
      <c r="E18" s="490"/>
      <c r="F18" s="490"/>
      <c r="G18" s="490"/>
      <c r="H18" s="491"/>
    </row>
    <row r="20" spans="2:8">
      <c r="B20" s="481" t="s">
        <v>12</v>
      </c>
      <c r="C20" s="483"/>
      <c r="D20" s="483"/>
      <c r="E20" s="483"/>
      <c r="F20" s="483"/>
      <c r="G20" s="483"/>
      <c r="H20" s="482"/>
    </row>
    <row r="21" spans="2:8">
      <c r="B21" s="2"/>
      <c r="C21" s="492" t="s">
        <v>1</v>
      </c>
      <c r="D21" s="493"/>
      <c r="E21" s="492" t="s">
        <v>0</v>
      </c>
      <c r="F21" s="493"/>
      <c r="G21" s="492" t="s">
        <v>13</v>
      </c>
      <c r="H21" s="493"/>
    </row>
    <row r="22" spans="2:8">
      <c r="B22" s="3" t="s">
        <v>14</v>
      </c>
      <c r="C22" s="494" t="s">
        <v>115</v>
      </c>
      <c r="D22" s="494"/>
      <c r="E22" s="494"/>
      <c r="F22" s="494"/>
      <c r="G22" s="494"/>
      <c r="H22" s="494"/>
    </row>
    <row r="23" spans="2:8">
      <c r="B23" s="3" t="s">
        <v>2</v>
      </c>
      <c r="C23" s="495">
        <v>45947</v>
      </c>
      <c r="D23" s="496"/>
      <c r="E23" s="497"/>
      <c r="F23" s="494"/>
      <c r="G23" s="497"/>
      <c r="H23" s="494"/>
    </row>
    <row r="25" spans="2:8">
      <c r="B25" s="481" t="s">
        <v>15</v>
      </c>
      <c r="C25" s="483"/>
      <c r="D25" s="483"/>
      <c r="E25" s="483"/>
      <c r="F25" s="483"/>
      <c r="G25" s="483"/>
      <c r="H25" s="482"/>
    </row>
    <row r="26" spans="2:8">
      <c r="B26" s="2"/>
      <c r="C26" s="492" t="s">
        <v>16</v>
      </c>
      <c r="D26" s="493"/>
      <c r="E26" s="492" t="s">
        <v>0</v>
      </c>
      <c r="F26" s="493"/>
      <c r="G26" s="492" t="s">
        <v>13</v>
      </c>
      <c r="H26" s="493"/>
    </row>
    <row r="27" spans="2:8">
      <c r="B27" s="3" t="s">
        <v>14</v>
      </c>
      <c r="C27" s="498" t="s">
        <v>1021</v>
      </c>
      <c r="D27" s="494"/>
      <c r="E27" s="494"/>
      <c r="F27" s="494"/>
      <c r="G27" s="494"/>
      <c r="H27" s="494"/>
    </row>
    <row r="28" spans="2:8">
      <c r="B28" s="3" t="s">
        <v>2</v>
      </c>
      <c r="C28" s="495">
        <v>45958</v>
      </c>
      <c r="D28" s="496"/>
      <c r="E28" s="497"/>
      <c r="F28" s="494"/>
      <c r="G28" s="497"/>
      <c r="H28" s="494"/>
    </row>
  </sheetData>
  <mergeCells count="32">
    <mergeCell ref="C27:D27"/>
    <mergeCell ref="E27:F27"/>
    <mergeCell ref="G27:H27"/>
    <mergeCell ref="C28:D28"/>
    <mergeCell ref="E28:F28"/>
    <mergeCell ref="G28:H28"/>
    <mergeCell ref="C23:D23"/>
    <mergeCell ref="E23:F23"/>
    <mergeCell ref="G23:H23"/>
    <mergeCell ref="B25:H25"/>
    <mergeCell ref="C26:D26"/>
    <mergeCell ref="E26:F26"/>
    <mergeCell ref="G26:H26"/>
    <mergeCell ref="B20:H20"/>
    <mergeCell ref="C21:D21"/>
    <mergeCell ref="E21:F21"/>
    <mergeCell ref="G21:H21"/>
    <mergeCell ref="C22:D22"/>
    <mergeCell ref="E22:F22"/>
    <mergeCell ref="G22:H22"/>
    <mergeCell ref="B16:C16"/>
    <mergeCell ref="D16:H16"/>
    <mergeCell ref="B17:C17"/>
    <mergeCell ref="D17:H17"/>
    <mergeCell ref="B18:C18"/>
    <mergeCell ref="D18:H18"/>
    <mergeCell ref="B12:C12"/>
    <mergeCell ref="D12:E12"/>
    <mergeCell ref="F12:H12"/>
    <mergeCell ref="B13:C13"/>
    <mergeCell ref="D13:E13"/>
    <mergeCell ref="F13:H13"/>
  </mergeCells>
  <phoneticPr fontId="3"/>
  <printOptions horizontalCentered="1"/>
  <pageMargins left="0.70866141732283472" right="0.70866141732283472" top="0.74803149606299213" bottom="0.74803149606299213" header="0.31496062992125984" footer="0.31496062992125984"/>
  <pageSetup paperSize="9"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87DBC-3145-4791-B23A-D2687C76D98E}">
  <sheetPr codeName="Sheet2"/>
  <dimension ref="B2:L27"/>
  <sheetViews>
    <sheetView zoomScaleNormal="100" zoomScaleSheetLayoutView="100" workbookViewId="0">
      <selection activeCell="F7" sqref="F7"/>
    </sheetView>
  </sheetViews>
  <sheetFormatPr defaultColWidth="7.453125" defaultRowHeight="15"/>
  <cols>
    <col min="1" max="1" width="2.90625" style="5" customWidth="1"/>
    <col min="2" max="2" width="6.26953125" style="5" bestFit="1" customWidth="1"/>
    <col min="3" max="3" width="15.54296875" style="5" customWidth="1"/>
    <col min="4" max="4" width="8" style="5" customWidth="1"/>
    <col min="5" max="5" width="13.36328125" style="5" customWidth="1"/>
    <col min="6" max="6" width="42" style="5" customWidth="1"/>
    <col min="7" max="7" width="11.08984375" style="5" bestFit="1" customWidth="1"/>
    <col min="8" max="8" width="8" style="5" customWidth="1"/>
    <col min="9" max="9" width="11.08984375" style="5" bestFit="1" customWidth="1"/>
    <col min="10" max="10" width="8" style="5" customWidth="1"/>
    <col min="11" max="11" width="44.08984375" style="5" customWidth="1"/>
    <col min="12" max="12" width="3.6328125" style="5" customWidth="1"/>
    <col min="13" max="16384" width="7.453125" style="5"/>
  </cols>
  <sheetData>
    <row r="2" spans="2:12">
      <c r="B2" s="4" t="s">
        <v>17</v>
      </c>
      <c r="C2" s="4" t="s">
        <v>18</v>
      </c>
      <c r="D2" s="4" t="s">
        <v>4</v>
      </c>
      <c r="E2" s="4" t="s">
        <v>19</v>
      </c>
      <c r="F2" s="4" t="s">
        <v>20</v>
      </c>
      <c r="G2" s="4" t="s">
        <v>21</v>
      </c>
      <c r="H2" s="4" t="s">
        <v>22</v>
      </c>
      <c r="I2" s="4" t="s">
        <v>23</v>
      </c>
      <c r="J2" s="4" t="s">
        <v>24</v>
      </c>
      <c r="K2" s="4" t="s">
        <v>25</v>
      </c>
    </row>
    <row r="3" spans="2:12">
      <c r="B3" s="6">
        <v>1</v>
      </c>
      <c r="C3" s="478">
        <v>45958</v>
      </c>
      <c r="D3" s="479" t="s">
        <v>1021</v>
      </c>
      <c r="E3" s="9"/>
      <c r="F3" s="8" t="s">
        <v>1020</v>
      </c>
      <c r="G3" s="7"/>
      <c r="H3" s="8"/>
      <c r="I3" s="7"/>
      <c r="J3" s="8"/>
      <c r="K3" s="8"/>
      <c r="L3" s="5" t="s">
        <v>26</v>
      </c>
    </row>
    <row r="4" spans="2:12">
      <c r="B4" s="6"/>
      <c r="C4" s="8"/>
      <c r="D4" s="8"/>
      <c r="E4" s="8"/>
      <c r="F4" s="8"/>
      <c r="G4" s="8"/>
      <c r="H4" s="8"/>
      <c r="I4" s="8"/>
      <c r="J4" s="8"/>
      <c r="K4" s="8"/>
      <c r="L4" s="5" t="s">
        <v>26</v>
      </c>
    </row>
    <row r="5" spans="2:12">
      <c r="B5" s="6"/>
      <c r="C5" s="8"/>
      <c r="D5" s="8"/>
      <c r="E5" s="8"/>
      <c r="F5" s="8"/>
      <c r="G5" s="8"/>
      <c r="H5" s="8"/>
      <c r="I5" s="8"/>
      <c r="J5" s="8"/>
      <c r="K5" s="8"/>
      <c r="L5" s="5" t="s">
        <v>26</v>
      </c>
    </row>
    <row r="6" spans="2:12">
      <c r="B6" s="6"/>
      <c r="C6" s="8"/>
      <c r="D6" s="8"/>
      <c r="E6" s="8"/>
      <c r="F6" s="8"/>
      <c r="G6" s="8"/>
      <c r="H6" s="8"/>
      <c r="I6" s="8"/>
      <c r="J6" s="8"/>
      <c r="K6" s="8"/>
      <c r="L6" s="5" t="s">
        <v>26</v>
      </c>
    </row>
    <row r="7" spans="2:12">
      <c r="B7" s="6"/>
      <c r="C7" s="8"/>
      <c r="D7" s="8"/>
      <c r="E7" s="8"/>
      <c r="F7" s="8"/>
      <c r="G7" s="8"/>
      <c r="H7" s="8"/>
      <c r="I7" s="8"/>
      <c r="J7" s="8"/>
      <c r="K7" s="8"/>
      <c r="L7" s="5" t="s">
        <v>26</v>
      </c>
    </row>
    <row r="8" spans="2:12">
      <c r="B8" s="6"/>
      <c r="C8" s="8"/>
      <c r="D8" s="8"/>
      <c r="E8" s="8"/>
      <c r="F8" s="8"/>
      <c r="G8" s="8"/>
      <c r="H8" s="8"/>
      <c r="I8" s="8"/>
      <c r="J8" s="8"/>
      <c r="K8" s="8"/>
      <c r="L8" s="5" t="s">
        <v>26</v>
      </c>
    </row>
    <row r="9" spans="2:12">
      <c r="B9" s="6"/>
      <c r="C9" s="8"/>
      <c r="D9" s="8"/>
      <c r="E9" s="8"/>
      <c r="F9" s="8"/>
      <c r="G9" s="8"/>
      <c r="H9" s="8"/>
      <c r="I9" s="8"/>
      <c r="J9" s="8"/>
      <c r="K9" s="8"/>
      <c r="L9" s="5" t="s">
        <v>26</v>
      </c>
    </row>
    <row r="10" spans="2:12">
      <c r="B10" s="6"/>
      <c r="C10" s="8"/>
      <c r="D10" s="8"/>
      <c r="E10" s="8"/>
      <c r="F10" s="8"/>
      <c r="G10" s="8"/>
      <c r="H10" s="8"/>
      <c r="I10" s="8"/>
      <c r="J10" s="8"/>
      <c r="K10" s="8"/>
      <c r="L10" s="5" t="s">
        <v>26</v>
      </c>
    </row>
    <row r="11" spans="2:12">
      <c r="B11" s="6"/>
      <c r="C11" s="8"/>
      <c r="D11" s="8"/>
      <c r="E11" s="8"/>
      <c r="F11" s="8"/>
      <c r="G11" s="8"/>
      <c r="H11" s="8"/>
      <c r="I11" s="8"/>
      <c r="J11" s="8"/>
      <c r="K11" s="8"/>
      <c r="L11" s="5" t="s">
        <v>26</v>
      </c>
    </row>
    <row r="12" spans="2:12">
      <c r="B12" s="6"/>
      <c r="C12" s="8"/>
      <c r="D12" s="8"/>
      <c r="E12" s="8"/>
      <c r="F12" s="8"/>
      <c r="G12" s="8"/>
      <c r="H12" s="8"/>
      <c r="I12" s="8"/>
      <c r="J12" s="8"/>
      <c r="K12" s="8"/>
      <c r="L12" s="5" t="s">
        <v>26</v>
      </c>
    </row>
    <row r="13" spans="2:12">
      <c r="B13" s="6"/>
      <c r="C13" s="8"/>
      <c r="D13" s="8"/>
      <c r="E13" s="8"/>
      <c r="F13" s="8"/>
      <c r="G13" s="8"/>
      <c r="H13" s="8"/>
      <c r="I13" s="8"/>
      <c r="J13" s="8"/>
      <c r="K13" s="8"/>
      <c r="L13" s="5" t="s">
        <v>26</v>
      </c>
    </row>
    <row r="14" spans="2:12">
      <c r="B14" s="6"/>
      <c r="C14" s="8"/>
      <c r="D14" s="8"/>
      <c r="E14" s="8"/>
      <c r="F14" s="8"/>
      <c r="G14" s="8"/>
      <c r="H14" s="8"/>
      <c r="I14" s="8"/>
      <c r="J14" s="8"/>
      <c r="K14" s="8"/>
      <c r="L14" s="5" t="s">
        <v>26</v>
      </c>
    </row>
    <row r="15" spans="2:12">
      <c r="B15" s="6"/>
      <c r="C15" s="8"/>
      <c r="D15" s="8"/>
      <c r="E15" s="8"/>
      <c r="F15" s="8"/>
      <c r="G15" s="8"/>
      <c r="H15" s="8"/>
      <c r="I15" s="8"/>
      <c r="J15" s="8"/>
      <c r="K15" s="8"/>
      <c r="L15" s="5" t="s">
        <v>26</v>
      </c>
    </row>
    <row r="16" spans="2:12">
      <c r="B16" s="6"/>
      <c r="C16" s="8"/>
      <c r="D16" s="8"/>
      <c r="E16" s="8"/>
      <c r="F16" s="8"/>
      <c r="G16" s="8"/>
      <c r="H16" s="8"/>
      <c r="I16" s="8"/>
      <c r="J16" s="8"/>
      <c r="K16" s="8"/>
      <c r="L16" s="5" t="s">
        <v>26</v>
      </c>
    </row>
    <row r="17" spans="2:12">
      <c r="B17" s="6"/>
      <c r="C17" s="8"/>
      <c r="D17" s="8"/>
      <c r="E17" s="8"/>
      <c r="F17" s="8"/>
      <c r="G17" s="8"/>
      <c r="H17" s="8"/>
      <c r="I17" s="8"/>
      <c r="J17" s="8"/>
      <c r="K17" s="8"/>
      <c r="L17" s="5" t="s">
        <v>26</v>
      </c>
    </row>
    <row r="18" spans="2:12">
      <c r="B18" s="6"/>
      <c r="C18" s="8"/>
      <c r="D18" s="8"/>
      <c r="E18" s="8"/>
      <c r="F18" s="8"/>
      <c r="G18" s="8"/>
      <c r="H18" s="8"/>
      <c r="I18" s="8"/>
      <c r="J18" s="8"/>
      <c r="K18" s="8"/>
      <c r="L18" s="5" t="s">
        <v>26</v>
      </c>
    </row>
    <row r="19" spans="2:12">
      <c r="B19" s="6"/>
      <c r="C19" s="8"/>
      <c r="D19" s="8"/>
      <c r="E19" s="8"/>
      <c r="F19" s="8"/>
      <c r="G19" s="8"/>
      <c r="H19" s="8"/>
      <c r="I19" s="8"/>
      <c r="J19" s="8"/>
      <c r="K19" s="8"/>
      <c r="L19" s="5" t="s">
        <v>26</v>
      </c>
    </row>
    <row r="20" spans="2:12">
      <c r="B20" s="6"/>
      <c r="C20" s="8"/>
      <c r="D20" s="8"/>
      <c r="E20" s="8"/>
      <c r="F20" s="8"/>
      <c r="G20" s="8"/>
      <c r="H20" s="8"/>
      <c r="I20" s="8"/>
      <c r="J20" s="8"/>
      <c r="K20" s="8"/>
      <c r="L20" s="5" t="s">
        <v>26</v>
      </c>
    </row>
    <row r="21" spans="2:12">
      <c r="B21" s="6"/>
      <c r="C21" s="8"/>
      <c r="D21" s="8"/>
      <c r="E21" s="8"/>
      <c r="F21" s="8"/>
      <c r="G21" s="8"/>
      <c r="H21" s="8"/>
      <c r="I21" s="8"/>
      <c r="J21" s="8"/>
      <c r="K21" s="8"/>
      <c r="L21" s="5" t="s">
        <v>26</v>
      </c>
    </row>
    <row r="22" spans="2:12">
      <c r="B22" s="6"/>
      <c r="C22" s="8"/>
      <c r="D22" s="8"/>
      <c r="E22" s="8"/>
      <c r="F22" s="8"/>
      <c r="G22" s="8"/>
      <c r="H22" s="8"/>
      <c r="I22" s="8"/>
      <c r="J22" s="8"/>
      <c r="K22" s="8"/>
      <c r="L22" s="5" t="s">
        <v>26</v>
      </c>
    </row>
    <row r="23" spans="2:12">
      <c r="B23" s="6"/>
      <c r="C23" s="8"/>
      <c r="D23" s="8"/>
      <c r="E23" s="8"/>
      <c r="F23" s="8"/>
      <c r="G23" s="8"/>
      <c r="H23" s="8"/>
      <c r="I23" s="8"/>
      <c r="J23" s="8"/>
      <c r="K23" s="8"/>
      <c r="L23" s="5" t="s">
        <v>26</v>
      </c>
    </row>
    <row r="24" spans="2:12">
      <c r="B24" s="6"/>
      <c r="C24" s="8"/>
      <c r="D24" s="8"/>
      <c r="E24" s="8"/>
      <c r="F24" s="8"/>
      <c r="G24" s="8"/>
      <c r="H24" s="8"/>
      <c r="I24" s="8"/>
      <c r="J24" s="8"/>
      <c r="K24" s="8"/>
      <c r="L24" s="5" t="s">
        <v>26</v>
      </c>
    </row>
    <row r="25" spans="2:12">
      <c r="B25" s="6"/>
      <c r="C25" s="8"/>
      <c r="D25" s="8"/>
      <c r="E25" s="8"/>
      <c r="F25" s="8"/>
      <c r="G25" s="8"/>
      <c r="H25" s="8"/>
      <c r="I25" s="8"/>
      <c r="J25" s="8"/>
      <c r="K25" s="8"/>
      <c r="L25" s="5" t="s">
        <v>26</v>
      </c>
    </row>
    <row r="26" spans="2:12">
      <c r="B26" s="6"/>
      <c r="C26" s="8"/>
      <c r="D26" s="8"/>
      <c r="E26" s="8"/>
      <c r="F26" s="8"/>
      <c r="G26" s="8"/>
      <c r="H26" s="8"/>
      <c r="I26" s="7"/>
      <c r="J26" s="8"/>
      <c r="K26" s="8"/>
      <c r="L26" s="5" t="s">
        <v>26</v>
      </c>
    </row>
    <row r="27" spans="2:12">
      <c r="B27" s="5" t="s">
        <v>26</v>
      </c>
      <c r="C27" s="5" t="s">
        <v>26</v>
      </c>
      <c r="D27" s="5" t="s">
        <v>26</v>
      </c>
      <c r="E27" s="5" t="s">
        <v>26</v>
      </c>
      <c r="F27" s="5" t="s">
        <v>26</v>
      </c>
      <c r="G27" s="5" t="s">
        <v>26</v>
      </c>
      <c r="H27" s="5" t="s">
        <v>26</v>
      </c>
      <c r="I27" s="5" t="s">
        <v>26</v>
      </c>
      <c r="J27" s="5" t="s">
        <v>26</v>
      </c>
      <c r="K27" s="5" t="s">
        <v>26</v>
      </c>
    </row>
  </sheetData>
  <phoneticPr fontId="3"/>
  <pageMargins left="0.7" right="0.7" top="0.75" bottom="0.75" header="0.3" footer="0.3"/>
  <pageSetup paperSize="9" scale="10"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9CF0E-B3DC-427B-811A-6C994A1DBB31}">
  <sheetPr codeName="Sheet3"/>
  <dimension ref="A2:N169"/>
  <sheetViews>
    <sheetView showGridLines="0" zoomScale="115" zoomScaleNormal="115" workbookViewId="0">
      <pane ySplit="5" topLeftCell="A6" activePane="bottomLeft" state="frozen"/>
      <selection pane="bottomLeft"/>
    </sheetView>
  </sheetViews>
  <sheetFormatPr defaultColWidth="9" defaultRowHeight="12.5"/>
  <cols>
    <col min="1" max="1" width="6.7265625" style="10" customWidth="1"/>
    <col min="2" max="2" width="25.36328125" style="15" customWidth="1"/>
    <col min="3" max="3" width="22.36328125" style="15" customWidth="1"/>
    <col min="4" max="4" width="36.90625" style="15" bestFit="1" customWidth="1"/>
    <col min="5" max="5" width="36.90625" style="15" customWidth="1"/>
    <col min="6" max="6" width="11" style="17" customWidth="1"/>
    <col min="7" max="7" width="12.36328125" style="15" customWidth="1"/>
    <col min="8" max="9" width="8.26953125" style="15" customWidth="1"/>
    <col min="10" max="10" width="7.90625" style="15" bestFit="1" customWidth="1"/>
    <col min="11" max="11" width="18.453125" style="15" bestFit="1" customWidth="1"/>
    <col min="12" max="12" width="10.36328125" style="15" bestFit="1" customWidth="1"/>
    <col min="13" max="13" width="10.90625" style="15" customWidth="1"/>
    <col min="14" max="14" width="16.26953125" style="15" customWidth="1"/>
    <col min="15" max="15" width="28" style="15" customWidth="1"/>
    <col min="16" max="16384" width="9" style="15"/>
  </cols>
  <sheetData>
    <row r="2" spans="1:14" ht="25.5" customHeight="1">
      <c r="B2" s="499" t="s">
        <v>27</v>
      </c>
      <c r="C2" s="500" t="s">
        <v>1022</v>
      </c>
      <c r="D2" s="501"/>
      <c r="E2" s="501"/>
      <c r="F2" s="11" t="s">
        <v>28</v>
      </c>
      <c r="G2" s="12">
        <f>COUNTIF(G6:G445,"*")</f>
        <v>63</v>
      </c>
      <c r="H2" s="502" t="s">
        <v>29</v>
      </c>
      <c r="I2" s="502"/>
      <c r="J2" s="12">
        <f>COUNTIF(L6:L445,"*")</f>
        <v>63</v>
      </c>
      <c r="K2" s="13" t="s">
        <v>30</v>
      </c>
      <c r="L2" s="12">
        <f>G2-J2</f>
        <v>0</v>
      </c>
      <c r="M2" s="14" t="s">
        <v>31</v>
      </c>
      <c r="N2" s="12">
        <f>COUNTIF(L6:L445,"OK")</f>
        <v>63</v>
      </c>
    </row>
    <row r="3" spans="1:14" ht="25.5" customHeight="1">
      <c r="B3" s="499"/>
      <c r="C3" s="501"/>
      <c r="D3" s="501"/>
      <c r="E3" s="501"/>
      <c r="F3" s="13" t="s">
        <v>32</v>
      </c>
      <c r="G3" s="16">
        <f>J2/G2</f>
        <v>1</v>
      </c>
      <c r="H3" s="502" t="s">
        <v>33</v>
      </c>
      <c r="I3" s="502"/>
      <c r="J3" s="16">
        <f>IF(J2=0,0,N2/J2)</f>
        <v>1</v>
      </c>
      <c r="K3" s="13"/>
      <c r="L3" s="12"/>
      <c r="M3" s="14"/>
      <c r="N3" s="12"/>
    </row>
    <row r="4" spans="1:14">
      <c r="M4" s="15" t="s">
        <v>34</v>
      </c>
      <c r="N4" s="15" t="s">
        <v>35</v>
      </c>
    </row>
    <row r="5" spans="1:14" s="19" customFormat="1" ht="27">
      <c r="A5" s="18" t="s">
        <v>36</v>
      </c>
      <c r="B5" s="18" t="s">
        <v>37</v>
      </c>
      <c r="C5" s="18" t="s">
        <v>38</v>
      </c>
      <c r="D5" s="18" t="s">
        <v>39</v>
      </c>
      <c r="E5" s="18" t="s">
        <v>40</v>
      </c>
      <c r="F5" s="18" t="s">
        <v>41</v>
      </c>
      <c r="G5" s="18" t="s">
        <v>42</v>
      </c>
      <c r="H5" s="18" t="s">
        <v>43</v>
      </c>
      <c r="I5" s="18" t="s">
        <v>44</v>
      </c>
      <c r="J5" s="18" t="s">
        <v>45</v>
      </c>
      <c r="K5" s="18" t="s">
        <v>46</v>
      </c>
      <c r="L5" s="18" t="s">
        <v>47</v>
      </c>
      <c r="M5" s="18" t="s">
        <v>48</v>
      </c>
      <c r="N5" s="18" t="s">
        <v>49</v>
      </c>
    </row>
    <row r="6" spans="1:14">
      <c r="A6" s="23" t="s">
        <v>50</v>
      </c>
      <c r="B6" s="24"/>
      <c r="C6" s="24"/>
      <c r="D6" s="24"/>
      <c r="E6" s="24"/>
      <c r="F6" s="25"/>
      <c r="G6" s="24"/>
      <c r="H6" s="24"/>
      <c r="I6" s="24"/>
      <c r="J6" s="24"/>
      <c r="K6" s="24"/>
      <c r="L6" s="24"/>
      <c r="M6" s="24"/>
      <c r="N6" s="26"/>
    </row>
    <row r="7" spans="1:14" ht="25">
      <c r="A7" s="20">
        <v>1</v>
      </c>
      <c r="B7" s="21" t="s">
        <v>51</v>
      </c>
      <c r="C7" s="21" t="s">
        <v>401</v>
      </c>
      <c r="D7" s="21" t="s">
        <v>404</v>
      </c>
      <c r="E7" s="21" t="s">
        <v>943</v>
      </c>
      <c r="F7" s="451" t="s">
        <v>1010</v>
      </c>
      <c r="G7" s="21" t="s">
        <v>52</v>
      </c>
      <c r="H7" s="21" t="s">
        <v>117</v>
      </c>
      <c r="I7" s="12" t="s">
        <v>116</v>
      </c>
      <c r="J7" s="21" t="s">
        <v>911</v>
      </c>
      <c r="K7" s="480" t="s">
        <v>1023</v>
      </c>
      <c r="L7" s="21" t="s">
        <v>911</v>
      </c>
      <c r="M7" s="21" t="s">
        <v>911</v>
      </c>
      <c r="N7" s="21"/>
    </row>
    <row r="8" spans="1:14" ht="25">
      <c r="A8" s="20">
        <v>2</v>
      </c>
      <c r="B8" s="21"/>
      <c r="C8" s="21"/>
      <c r="D8" s="21" t="s">
        <v>406</v>
      </c>
      <c r="E8" s="21" t="s">
        <v>943</v>
      </c>
      <c r="F8" s="451" t="s">
        <v>1010</v>
      </c>
      <c r="G8" s="21" t="s">
        <v>52</v>
      </c>
      <c r="H8" s="21" t="s">
        <v>117</v>
      </c>
      <c r="I8" s="12" t="s">
        <v>116</v>
      </c>
      <c r="J8" s="21" t="s">
        <v>911</v>
      </c>
      <c r="K8" s="480" t="s">
        <v>1023</v>
      </c>
      <c r="L8" s="21" t="s">
        <v>911</v>
      </c>
      <c r="M8" s="21" t="s">
        <v>911</v>
      </c>
      <c r="N8" s="21"/>
    </row>
    <row r="9" spans="1:14" ht="25">
      <c r="A9" s="20">
        <v>3</v>
      </c>
      <c r="B9" s="21"/>
      <c r="C9" s="21" t="s">
        <v>412</v>
      </c>
      <c r="D9" s="21" t="s">
        <v>78</v>
      </c>
      <c r="E9" s="21" t="s">
        <v>945</v>
      </c>
      <c r="F9" s="451" t="s">
        <v>1010</v>
      </c>
      <c r="G9" s="21" t="s">
        <v>52</v>
      </c>
      <c r="H9" s="21" t="s">
        <v>117</v>
      </c>
      <c r="I9" s="12" t="s">
        <v>116</v>
      </c>
      <c r="J9" s="21" t="s">
        <v>911</v>
      </c>
      <c r="K9" s="480" t="s">
        <v>1023</v>
      </c>
      <c r="L9" s="21" t="s">
        <v>911</v>
      </c>
      <c r="M9" s="21" t="s">
        <v>911</v>
      </c>
      <c r="N9" s="21"/>
    </row>
    <row r="10" spans="1:14" ht="25">
      <c r="A10" s="20">
        <v>4</v>
      </c>
      <c r="B10" s="21"/>
      <c r="C10" s="21"/>
      <c r="D10" s="21" t="s">
        <v>415</v>
      </c>
      <c r="E10" s="21" t="s">
        <v>945</v>
      </c>
      <c r="F10" s="451" t="s">
        <v>1010</v>
      </c>
      <c r="G10" s="21" t="s">
        <v>52</v>
      </c>
      <c r="H10" s="21" t="s">
        <v>117</v>
      </c>
      <c r="I10" s="12" t="s">
        <v>116</v>
      </c>
      <c r="J10" s="21" t="s">
        <v>911</v>
      </c>
      <c r="K10" s="480" t="s">
        <v>1023</v>
      </c>
      <c r="L10" s="21" t="s">
        <v>911</v>
      </c>
      <c r="M10" s="21" t="s">
        <v>911</v>
      </c>
      <c r="N10" s="21"/>
    </row>
    <row r="11" spans="1:14" ht="25">
      <c r="A11" s="20">
        <v>5</v>
      </c>
      <c r="B11" s="21"/>
      <c r="C11" s="21" t="s">
        <v>427</v>
      </c>
      <c r="D11" s="21" t="s">
        <v>431</v>
      </c>
      <c r="E11" s="21" t="s">
        <v>947</v>
      </c>
      <c r="F11" s="451" t="s">
        <v>1010</v>
      </c>
      <c r="G11" s="21" t="s">
        <v>52</v>
      </c>
      <c r="H11" s="21" t="s">
        <v>117</v>
      </c>
      <c r="I11" s="12" t="s">
        <v>116</v>
      </c>
      <c r="J11" s="21" t="s">
        <v>911</v>
      </c>
      <c r="K11" s="480" t="s">
        <v>1023</v>
      </c>
      <c r="L11" s="21" t="s">
        <v>911</v>
      </c>
      <c r="M11" s="21" t="s">
        <v>911</v>
      </c>
      <c r="N11" s="21"/>
    </row>
    <row r="12" spans="1:14" ht="25">
      <c r="A12" s="20">
        <v>6</v>
      </c>
      <c r="B12" s="22"/>
      <c r="C12" s="22"/>
      <c r="D12" s="22" t="s">
        <v>433</v>
      </c>
      <c r="E12" s="22" t="s">
        <v>947</v>
      </c>
      <c r="F12" s="451" t="s">
        <v>1010</v>
      </c>
      <c r="G12" s="22" t="s">
        <v>52</v>
      </c>
      <c r="H12" s="21" t="s">
        <v>117</v>
      </c>
      <c r="I12" s="12" t="s">
        <v>116</v>
      </c>
      <c r="J12" s="21" t="s">
        <v>911</v>
      </c>
      <c r="K12" s="480" t="s">
        <v>1023</v>
      </c>
      <c r="L12" s="21" t="s">
        <v>911</v>
      </c>
      <c r="M12" s="21" t="s">
        <v>911</v>
      </c>
      <c r="N12" s="21"/>
    </row>
    <row r="13" spans="1:14">
      <c r="A13" s="23" t="s">
        <v>53</v>
      </c>
      <c r="B13" s="24"/>
      <c r="C13" s="24"/>
      <c r="D13" s="24"/>
      <c r="E13" s="24"/>
      <c r="F13" s="25"/>
      <c r="G13" s="24"/>
      <c r="H13" s="24"/>
      <c r="I13" s="24"/>
      <c r="J13" s="24"/>
      <c r="K13" s="24"/>
      <c r="L13" s="24"/>
      <c r="M13" s="24"/>
      <c r="N13" s="26"/>
    </row>
    <row r="14" spans="1:14" ht="25">
      <c r="A14" s="20">
        <v>1</v>
      </c>
      <c r="B14" s="22" t="s">
        <v>54</v>
      </c>
      <c r="C14" s="22" t="s">
        <v>80</v>
      </c>
      <c r="D14" s="22" t="s">
        <v>646</v>
      </c>
      <c r="E14" s="22" t="s">
        <v>81</v>
      </c>
      <c r="F14" s="452" t="s">
        <v>1011</v>
      </c>
      <c r="G14" s="22" t="s">
        <v>52</v>
      </c>
      <c r="H14" s="21" t="s">
        <v>117</v>
      </c>
      <c r="I14" s="12" t="s">
        <v>116</v>
      </c>
      <c r="J14" s="21" t="s">
        <v>911</v>
      </c>
      <c r="K14" s="480" t="s">
        <v>1023</v>
      </c>
      <c r="L14" s="21" t="s">
        <v>911</v>
      </c>
      <c r="M14" s="21" t="s">
        <v>911</v>
      </c>
      <c r="N14" s="21"/>
    </row>
    <row r="15" spans="1:14" ht="50">
      <c r="A15" s="20">
        <v>2</v>
      </c>
      <c r="B15" s="22"/>
      <c r="C15" s="22"/>
      <c r="D15" s="22" t="s">
        <v>673</v>
      </c>
      <c r="E15" s="22" t="s">
        <v>949</v>
      </c>
      <c r="F15" s="452" t="s">
        <v>1011</v>
      </c>
      <c r="G15" s="22" t="s">
        <v>52</v>
      </c>
      <c r="H15" s="21" t="s">
        <v>117</v>
      </c>
      <c r="I15" s="12" t="s">
        <v>116</v>
      </c>
      <c r="J15" s="21" t="s">
        <v>911</v>
      </c>
      <c r="K15" s="480" t="s">
        <v>1023</v>
      </c>
      <c r="L15" s="21" t="s">
        <v>911</v>
      </c>
      <c r="M15" s="21" t="s">
        <v>911</v>
      </c>
      <c r="N15" s="21"/>
    </row>
    <row r="16" spans="1:14" ht="13">
      <c r="A16" s="20">
        <v>3</v>
      </c>
      <c r="B16" s="22"/>
      <c r="C16" s="22" t="s">
        <v>82</v>
      </c>
      <c r="D16" s="22" t="s">
        <v>701</v>
      </c>
      <c r="E16" s="22" t="s">
        <v>83</v>
      </c>
      <c r="F16" s="452" t="s">
        <v>1011</v>
      </c>
      <c r="G16" s="22" t="s">
        <v>52</v>
      </c>
      <c r="H16" s="21" t="s">
        <v>117</v>
      </c>
      <c r="I16" s="12" t="s">
        <v>116</v>
      </c>
      <c r="J16" s="21" t="s">
        <v>911</v>
      </c>
      <c r="K16" s="480" t="s">
        <v>1023</v>
      </c>
      <c r="L16" s="21" t="s">
        <v>911</v>
      </c>
      <c r="M16" s="21" t="s">
        <v>911</v>
      </c>
      <c r="N16" s="21"/>
    </row>
    <row r="17" spans="1:14" ht="37.5">
      <c r="A17" s="20">
        <v>4</v>
      </c>
      <c r="B17" s="22"/>
      <c r="C17" s="22"/>
      <c r="D17" s="22" t="s">
        <v>993</v>
      </c>
      <c r="E17" s="22" t="s">
        <v>951</v>
      </c>
      <c r="F17" s="452" t="s">
        <v>1011</v>
      </c>
      <c r="G17" s="22" t="s">
        <v>52</v>
      </c>
      <c r="H17" s="21" t="s">
        <v>117</v>
      </c>
      <c r="I17" s="12" t="s">
        <v>116</v>
      </c>
      <c r="J17" s="21" t="s">
        <v>911</v>
      </c>
      <c r="K17" s="480" t="s">
        <v>1023</v>
      </c>
      <c r="L17" s="21" t="s">
        <v>911</v>
      </c>
      <c r="M17" s="21" t="s">
        <v>911</v>
      </c>
      <c r="N17" s="21"/>
    </row>
    <row r="18" spans="1:14" ht="13">
      <c r="A18" s="20">
        <v>5</v>
      </c>
      <c r="B18" s="22"/>
      <c r="C18" s="22"/>
      <c r="D18" s="22" t="s">
        <v>705</v>
      </c>
      <c r="E18" s="22" t="s">
        <v>84</v>
      </c>
      <c r="F18" s="452" t="s">
        <v>1011</v>
      </c>
      <c r="G18" s="22" t="s">
        <v>52</v>
      </c>
      <c r="H18" s="21" t="s">
        <v>117</v>
      </c>
      <c r="I18" s="12" t="s">
        <v>116</v>
      </c>
      <c r="J18" s="21" t="s">
        <v>911</v>
      </c>
      <c r="K18" s="480" t="s">
        <v>1023</v>
      </c>
      <c r="L18" s="21" t="s">
        <v>911</v>
      </c>
      <c r="M18" s="21" t="s">
        <v>911</v>
      </c>
      <c r="N18" s="21"/>
    </row>
    <row r="19" spans="1:14" ht="37.5">
      <c r="A19" s="20">
        <v>6</v>
      </c>
      <c r="B19" s="22"/>
      <c r="C19" s="22"/>
      <c r="D19" s="22" t="s">
        <v>708</v>
      </c>
      <c r="E19" s="22" t="s">
        <v>951</v>
      </c>
      <c r="F19" s="452" t="s">
        <v>1011</v>
      </c>
      <c r="G19" s="22" t="s">
        <v>52</v>
      </c>
      <c r="H19" s="21" t="s">
        <v>117</v>
      </c>
      <c r="I19" s="12" t="s">
        <v>116</v>
      </c>
      <c r="J19" s="21" t="s">
        <v>911</v>
      </c>
      <c r="K19" s="480" t="s">
        <v>1023</v>
      </c>
      <c r="L19" s="21" t="s">
        <v>911</v>
      </c>
      <c r="M19" s="21" t="s">
        <v>911</v>
      </c>
      <c r="N19" s="21"/>
    </row>
    <row r="20" spans="1:14" ht="13">
      <c r="A20" s="20">
        <v>7</v>
      </c>
      <c r="B20" s="22"/>
      <c r="C20" s="22"/>
      <c r="D20" s="22" t="s">
        <v>706</v>
      </c>
      <c r="E20" s="22" t="s">
        <v>85</v>
      </c>
      <c r="F20" s="452" t="s">
        <v>1011</v>
      </c>
      <c r="G20" s="22" t="s">
        <v>52</v>
      </c>
      <c r="H20" s="21" t="s">
        <v>117</v>
      </c>
      <c r="I20" s="12" t="s">
        <v>116</v>
      </c>
      <c r="J20" s="21" t="s">
        <v>911</v>
      </c>
      <c r="K20" s="480" t="s">
        <v>1023</v>
      </c>
      <c r="L20" s="21" t="s">
        <v>911</v>
      </c>
      <c r="M20" s="21" t="s">
        <v>911</v>
      </c>
      <c r="N20" s="21"/>
    </row>
    <row r="21" spans="1:14" ht="37.5">
      <c r="A21" s="20">
        <v>8</v>
      </c>
      <c r="B21" s="22"/>
      <c r="C21" s="22"/>
      <c r="D21" s="22" t="s">
        <v>711</v>
      </c>
      <c r="E21" s="22" t="s">
        <v>951</v>
      </c>
      <c r="F21" s="452" t="s">
        <v>1011</v>
      </c>
      <c r="G21" s="22" t="s">
        <v>52</v>
      </c>
      <c r="H21" s="21" t="s">
        <v>117</v>
      </c>
      <c r="I21" s="12" t="s">
        <v>116</v>
      </c>
      <c r="J21" s="21" t="s">
        <v>911</v>
      </c>
      <c r="K21" s="480" t="s">
        <v>1023</v>
      </c>
      <c r="L21" s="21" t="s">
        <v>911</v>
      </c>
      <c r="M21" s="21" t="s">
        <v>911</v>
      </c>
      <c r="N21" s="21"/>
    </row>
    <row r="22" spans="1:14" ht="37.5">
      <c r="A22" s="20">
        <v>9</v>
      </c>
      <c r="B22" s="22"/>
      <c r="C22" s="22" t="s">
        <v>56</v>
      </c>
      <c r="D22" s="22" t="s">
        <v>721</v>
      </c>
      <c r="E22" s="22" t="s">
        <v>1002</v>
      </c>
      <c r="F22" s="452" t="s">
        <v>1011</v>
      </c>
      <c r="G22" s="22" t="s">
        <v>52</v>
      </c>
      <c r="H22" s="21" t="s">
        <v>117</v>
      </c>
      <c r="I22" s="12" t="s">
        <v>116</v>
      </c>
      <c r="J22" s="21" t="s">
        <v>911</v>
      </c>
      <c r="K22" s="480" t="s">
        <v>1023</v>
      </c>
      <c r="L22" s="21" t="s">
        <v>911</v>
      </c>
      <c r="M22" s="21" t="s">
        <v>911</v>
      </c>
      <c r="N22" s="21"/>
    </row>
    <row r="23" spans="1:14" ht="37.5">
      <c r="A23" s="465">
        <v>10</v>
      </c>
      <c r="B23" s="466"/>
      <c r="C23" s="466"/>
      <c r="D23" s="466" t="s">
        <v>989</v>
      </c>
      <c r="E23" s="466" t="s">
        <v>987</v>
      </c>
      <c r="F23" s="452" t="s">
        <v>1011</v>
      </c>
      <c r="G23" s="466" t="s">
        <v>117</v>
      </c>
      <c r="H23" s="467" t="s">
        <v>117</v>
      </c>
      <c r="I23" s="468" t="s">
        <v>116</v>
      </c>
      <c r="J23" s="467" t="s">
        <v>911</v>
      </c>
      <c r="K23" s="480" t="s">
        <v>1023</v>
      </c>
      <c r="L23" s="467" t="s">
        <v>911</v>
      </c>
      <c r="M23" s="467" t="s">
        <v>911</v>
      </c>
      <c r="N23" s="467"/>
    </row>
    <row r="24" spans="1:14" ht="25">
      <c r="A24" s="20">
        <v>11</v>
      </c>
      <c r="B24" s="22"/>
      <c r="C24" s="22" t="s">
        <v>86</v>
      </c>
      <c r="D24" s="22" t="s">
        <v>752</v>
      </c>
      <c r="E24" s="22" t="s">
        <v>87</v>
      </c>
      <c r="F24" s="452" t="s">
        <v>1011</v>
      </c>
      <c r="G24" s="22" t="s">
        <v>52</v>
      </c>
      <c r="H24" s="21" t="s">
        <v>117</v>
      </c>
      <c r="I24" s="12" t="s">
        <v>116</v>
      </c>
      <c r="J24" s="21" t="s">
        <v>911</v>
      </c>
      <c r="K24" s="480" t="s">
        <v>1023</v>
      </c>
      <c r="L24" s="21" t="s">
        <v>911</v>
      </c>
      <c r="M24" s="21" t="s">
        <v>911</v>
      </c>
      <c r="N24" s="21"/>
    </row>
    <row r="25" spans="1:14" ht="37.5">
      <c r="A25" s="20">
        <v>12</v>
      </c>
      <c r="B25" s="22"/>
      <c r="C25" s="22"/>
      <c r="D25" s="22" t="s">
        <v>754</v>
      </c>
      <c r="E25" s="22" t="s">
        <v>953</v>
      </c>
      <c r="F25" s="452" t="s">
        <v>1011</v>
      </c>
      <c r="G25" s="22" t="s">
        <v>52</v>
      </c>
      <c r="H25" s="21" t="s">
        <v>117</v>
      </c>
      <c r="I25" s="12" t="s">
        <v>116</v>
      </c>
      <c r="J25" s="21" t="s">
        <v>911</v>
      </c>
      <c r="K25" s="480" t="s">
        <v>1023</v>
      </c>
      <c r="L25" s="21" t="s">
        <v>911</v>
      </c>
      <c r="M25" s="21" t="s">
        <v>911</v>
      </c>
      <c r="N25" s="21"/>
    </row>
    <row r="26" spans="1:14" ht="37.5">
      <c r="A26" s="20">
        <v>13</v>
      </c>
      <c r="B26" s="22"/>
      <c r="C26" s="22" t="s">
        <v>88</v>
      </c>
      <c r="D26" s="22" t="s">
        <v>789</v>
      </c>
      <c r="E26" s="22" t="s">
        <v>979</v>
      </c>
      <c r="F26" s="452" t="s">
        <v>1011</v>
      </c>
      <c r="G26" s="22" t="s">
        <v>52</v>
      </c>
      <c r="H26" s="21" t="s">
        <v>117</v>
      </c>
      <c r="I26" s="12" t="s">
        <v>116</v>
      </c>
      <c r="J26" s="21" t="s">
        <v>911</v>
      </c>
      <c r="K26" s="480" t="s">
        <v>1023</v>
      </c>
      <c r="L26" s="21" t="s">
        <v>911</v>
      </c>
      <c r="M26" s="21" t="s">
        <v>911</v>
      </c>
      <c r="N26" s="21"/>
    </row>
    <row r="27" spans="1:14" ht="37.5">
      <c r="A27" s="20">
        <v>14</v>
      </c>
      <c r="B27" s="22"/>
      <c r="C27" s="22"/>
      <c r="D27" s="22" t="s">
        <v>793</v>
      </c>
      <c r="E27" s="22" t="s">
        <v>955</v>
      </c>
      <c r="F27" s="452" t="s">
        <v>1011</v>
      </c>
      <c r="G27" s="22" t="s">
        <v>52</v>
      </c>
      <c r="H27" s="21" t="s">
        <v>117</v>
      </c>
      <c r="I27" s="12" t="s">
        <v>116</v>
      </c>
      <c r="J27" s="21" t="s">
        <v>911</v>
      </c>
      <c r="K27" s="480" t="s">
        <v>1023</v>
      </c>
      <c r="L27" s="21" t="s">
        <v>911</v>
      </c>
      <c r="M27" s="21" t="s">
        <v>911</v>
      </c>
      <c r="N27" s="21"/>
    </row>
    <row r="28" spans="1:14" ht="25">
      <c r="A28" s="465">
        <v>15</v>
      </c>
      <c r="B28" s="22"/>
      <c r="C28" s="22" t="s">
        <v>55</v>
      </c>
      <c r="D28" s="22" t="s">
        <v>798</v>
      </c>
      <c r="E28" s="22" t="s">
        <v>90</v>
      </c>
      <c r="F28" s="452" t="s">
        <v>1011</v>
      </c>
      <c r="G28" s="22" t="s">
        <v>52</v>
      </c>
      <c r="H28" s="21" t="s">
        <v>117</v>
      </c>
      <c r="I28" s="12" t="s">
        <v>116</v>
      </c>
      <c r="J28" s="21" t="s">
        <v>911</v>
      </c>
      <c r="K28" s="480" t="s">
        <v>1023</v>
      </c>
      <c r="L28" s="21" t="s">
        <v>911</v>
      </c>
      <c r="M28" s="21" t="s">
        <v>911</v>
      </c>
      <c r="N28" s="21"/>
    </row>
    <row r="29" spans="1:14" ht="37.5">
      <c r="A29" s="20">
        <v>16</v>
      </c>
      <c r="B29" s="22"/>
      <c r="C29" s="22"/>
      <c r="D29" s="22" t="s">
        <v>909</v>
      </c>
      <c r="E29" s="22" t="s">
        <v>957</v>
      </c>
      <c r="F29" s="452" t="s">
        <v>1011</v>
      </c>
      <c r="G29" s="22" t="s">
        <v>52</v>
      </c>
      <c r="H29" s="21" t="s">
        <v>117</v>
      </c>
      <c r="I29" s="12" t="s">
        <v>116</v>
      </c>
      <c r="J29" s="21" t="s">
        <v>911</v>
      </c>
      <c r="K29" s="480" t="s">
        <v>1023</v>
      </c>
      <c r="L29" s="21" t="s">
        <v>911</v>
      </c>
      <c r="M29" s="21" t="s">
        <v>911</v>
      </c>
      <c r="N29" s="21"/>
    </row>
    <row r="30" spans="1:14">
      <c r="A30" s="23" t="s">
        <v>110</v>
      </c>
      <c r="B30" s="24"/>
      <c r="C30" s="24"/>
      <c r="D30" s="24"/>
      <c r="E30" s="24"/>
      <c r="F30" s="25"/>
      <c r="G30" s="24"/>
      <c r="H30" s="24"/>
      <c r="I30" s="24"/>
      <c r="J30" s="24"/>
      <c r="K30" s="24"/>
      <c r="L30" s="24"/>
      <c r="M30" s="24"/>
      <c r="N30" s="26"/>
    </row>
    <row r="31" spans="1:14" ht="13">
      <c r="A31" s="20">
        <v>1</v>
      </c>
      <c r="B31" s="22" t="s">
        <v>91</v>
      </c>
      <c r="C31" s="22" t="s">
        <v>76</v>
      </c>
      <c r="D31" s="22" t="s">
        <v>996</v>
      </c>
      <c r="E31" s="22" t="s">
        <v>997</v>
      </c>
      <c r="F31" s="452" t="s">
        <v>1011</v>
      </c>
      <c r="G31" s="22" t="s">
        <v>52</v>
      </c>
      <c r="H31" s="21" t="s">
        <v>117</v>
      </c>
      <c r="I31" s="12" t="s">
        <v>116</v>
      </c>
      <c r="J31" s="21" t="s">
        <v>911</v>
      </c>
      <c r="K31" s="480" t="s">
        <v>1023</v>
      </c>
      <c r="L31" s="21" t="s">
        <v>911</v>
      </c>
      <c r="M31" s="21" t="s">
        <v>911</v>
      </c>
      <c r="N31" s="21"/>
    </row>
    <row r="32" spans="1:14" ht="37.5">
      <c r="A32" s="20">
        <v>2</v>
      </c>
      <c r="B32" s="22"/>
      <c r="C32" s="22"/>
      <c r="D32" s="22" t="s">
        <v>803</v>
      </c>
      <c r="E32" s="22" t="s">
        <v>959</v>
      </c>
      <c r="F32" s="452" t="s">
        <v>1011</v>
      </c>
      <c r="G32" s="22" t="s">
        <v>52</v>
      </c>
      <c r="H32" s="21" t="s">
        <v>117</v>
      </c>
      <c r="I32" s="12" t="s">
        <v>116</v>
      </c>
      <c r="J32" s="21" t="s">
        <v>911</v>
      </c>
      <c r="K32" s="480" t="s">
        <v>1023</v>
      </c>
      <c r="L32" s="21" t="s">
        <v>911</v>
      </c>
      <c r="M32" s="21" t="s">
        <v>911</v>
      </c>
      <c r="N32" s="21"/>
    </row>
    <row r="33" spans="1:14" ht="13">
      <c r="A33" s="20">
        <v>3</v>
      </c>
      <c r="B33" s="21"/>
      <c r="C33" s="21" t="s">
        <v>77</v>
      </c>
      <c r="D33" s="21" t="s">
        <v>998</v>
      </c>
      <c r="E33" s="21" t="s">
        <v>997</v>
      </c>
      <c r="F33" s="452" t="s">
        <v>1011</v>
      </c>
      <c r="G33" s="21" t="s">
        <v>52</v>
      </c>
      <c r="H33" s="21" t="s">
        <v>117</v>
      </c>
      <c r="I33" s="12" t="s">
        <v>116</v>
      </c>
      <c r="J33" s="21" t="s">
        <v>911</v>
      </c>
      <c r="K33" s="480" t="s">
        <v>1023</v>
      </c>
      <c r="L33" s="21" t="s">
        <v>911</v>
      </c>
      <c r="M33" s="21" t="s">
        <v>911</v>
      </c>
      <c r="N33" s="21"/>
    </row>
    <row r="34" spans="1:14" ht="37.5">
      <c r="A34" s="20">
        <v>4</v>
      </c>
      <c r="B34" s="21"/>
      <c r="C34" s="21"/>
      <c r="D34" s="21" t="s">
        <v>808</v>
      </c>
      <c r="E34" s="21" t="s">
        <v>961</v>
      </c>
      <c r="F34" s="452" t="s">
        <v>1011</v>
      </c>
      <c r="G34" s="21" t="s">
        <v>52</v>
      </c>
      <c r="H34" s="21" t="s">
        <v>117</v>
      </c>
      <c r="I34" s="12" t="s">
        <v>116</v>
      </c>
      <c r="J34" s="21" t="s">
        <v>911</v>
      </c>
      <c r="K34" s="480" t="s">
        <v>1023</v>
      </c>
      <c r="L34" s="21" t="s">
        <v>911</v>
      </c>
      <c r="M34" s="21" t="s">
        <v>911</v>
      </c>
      <c r="N34" s="21"/>
    </row>
    <row r="35" spans="1:14" ht="13">
      <c r="A35" s="20">
        <v>5</v>
      </c>
      <c r="B35" s="21"/>
      <c r="C35" s="21" t="s">
        <v>79</v>
      </c>
      <c r="D35" s="21" t="s">
        <v>1000</v>
      </c>
      <c r="E35" s="21" t="s">
        <v>94</v>
      </c>
      <c r="F35" s="452" t="s">
        <v>1011</v>
      </c>
      <c r="G35" s="21" t="s">
        <v>52</v>
      </c>
      <c r="H35" s="21" t="s">
        <v>117</v>
      </c>
      <c r="I35" s="12" t="s">
        <v>116</v>
      </c>
      <c r="J35" s="21" t="s">
        <v>911</v>
      </c>
      <c r="K35" s="480" t="s">
        <v>1023</v>
      </c>
      <c r="L35" s="21" t="s">
        <v>911</v>
      </c>
      <c r="M35" s="21" t="s">
        <v>911</v>
      </c>
      <c r="N35" s="21"/>
    </row>
    <row r="36" spans="1:14" ht="37.5">
      <c r="A36" s="20">
        <v>6</v>
      </c>
      <c r="B36" s="21"/>
      <c r="C36" s="21"/>
      <c r="D36" s="21" t="s">
        <v>821</v>
      </c>
      <c r="E36" s="21" t="s">
        <v>963</v>
      </c>
      <c r="F36" s="452" t="s">
        <v>1011</v>
      </c>
      <c r="G36" s="21" t="s">
        <v>52</v>
      </c>
      <c r="H36" s="21" t="s">
        <v>117</v>
      </c>
      <c r="I36" s="12" t="s">
        <v>116</v>
      </c>
      <c r="J36" s="21" t="s">
        <v>911</v>
      </c>
      <c r="K36" s="480" t="s">
        <v>1023</v>
      </c>
      <c r="L36" s="21" t="s">
        <v>911</v>
      </c>
      <c r="M36" s="21" t="s">
        <v>911</v>
      </c>
      <c r="N36" s="21"/>
    </row>
    <row r="37" spans="1:14" ht="37.5">
      <c r="A37" s="20">
        <v>7</v>
      </c>
      <c r="B37" s="22" t="s">
        <v>92</v>
      </c>
      <c r="C37" s="22" t="s">
        <v>93</v>
      </c>
      <c r="D37" s="22" t="s">
        <v>1004</v>
      </c>
      <c r="E37" s="22" t="s">
        <v>94</v>
      </c>
      <c r="F37" s="452" t="s">
        <v>1011</v>
      </c>
      <c r="G37" s="22" t="s">
        <v>52</v>
      </c>
      <c r="H37" s="21" t="s">
        <v>117</v>
      </c>
      <c r="I37" s="12" t="s">
        <v>116</v>
      </c>
      <c r="J37" s="21" t="s">
        <v>911</v>
      </c>
      <c r="K37" s="480" t="s">
        <v>1023</v>
      </c>
      <c r="L37" s="21" t="s">
        <v>911</v>
      </c>
      <c r="M37" s="21" t="s">
        <v>911</v>
      </c>
      <c r="N37" s="21"/>
    </row>
    <row r="38" spans="1:14" ht="50">
      <c r="A38" s="20">
        <v>8</v>
      </c>
      <c r="B38" s="22"/>
      <c r="C38" s="22"/>
      <c r="D38" s="22" t="s">
        <v>1007</v>
      </c>
      <c r="E38" s="22" t="s">
        <v>965</v>
      </c>
      <c r="F38" s="452" t="s">
        <v>1011</v>
      </c>
      <c r="G38" s="22" t="s">
        <v>52</v>
      </c>
      <c r="H38" s="21" t="s">
        <v>117</v>
      </c>
      <c r="I38" s="12" t="s">
        <v>116</v>
      </c>
      <c r="J38" s="21" t="s">
        <v>911</v>
      </c>
      <c r="K38" s="480" t="s">
        <v>1023</v>
      </c>
      <c r="L38" s="21" t="s">
        <v>911</v>
      </c>
      <c r="M38" s="21" t="s">
        <v>911</v>
      </c>
      <c r="N38" s="21"/>
    </row>
    <row r="39" spans="1:14" ht="37.5">
      <c r="A39" s="20">
        <v>9</v>
      </c>
      <c r="B39" s="22"/>
      <c r="C39" s="22"/>
      <c r="D39" s="22" t="s">
        <v>1005</v>
      </c>
      <c r="E39" s="22" t="s">
        <v>94</v>
      </c>
      <c r="F39" s="452" t="s">
        <v>1011</v>
      </c>
      <c r="G39" s="22" t="s">
        <v>52</v>
      </c>
      <c r="H39" s="21" t="s">
        <v>117</v>
      </c>
      <c r="I39" s="12" t="s">
        <v>116</v>
      </c>
      <c r="J39" s="21" t="s">
        <v>911</v>
      </c>
      <c r="K39" s="480" t="s">
        <v>1023</v>
      </c>
      <c r="L39" s="21" t="s">
        <v>911</v>
      </c>
      <c r="M39" s="21" t="s">
        <v>911</v>
      </c>
      <c r="N39" s="21"/>
    </row>
    <row r="40" spans="1:14" ht="50">
      <c r="A40" s="20">
        <v>10</v>
      </c>
      <c r="B40" s="22"/>
      <c r="C40" s="22"/>
      <c r="D40" s="22" t="s">
        <v>1006</v>
      </c>
      <c r="E40" s="22" t="s">
        <v>965</v>
      </c>
      <c r="F40" s="452" t="s">
        <v>1011</v>
      </c>
      <c r="G40" s="22" t="s">
        <v>52</v>
      </c>
      <c r="H40" s="21" t="s">
        <v>117</v>
      </c>
      <c r="I40" s="12" t="s">
        <v>116</v>
      </c>
      <c r="J40" s="21" t="s">
        <v>911</v>
      </c>
      <c r="K40" s="480" t="s">
        <v>1023</v>
      </c>
      <c r="L40" s="21" t="s">
        <v>911</v>
      </c>
      <c r="M40" s="21" t="s">
        <v>911</v>
      </c>
      <c r="N40" s="21"/>
    </row>
    <row r="41" spans="1:14" ht="25">
      <c r="A41" s="20">
        <v>11</v>
      </c>
      <c r="B41" s="22"/>
      <c r="C41" s="22"/>
      <c r="D41" s="22" t="s">
        <v>837</v>
      </c>
      <c r="E41" s="22" t="s">
        <v>94</v>
      </c>
      <c r="F41" s="452" t="s">
        <v>1011</v>
      </c>
      <c r="G41" s="22" t="s">
        <v>52</v>
      </c>
      <c r="H41" s="21" t="s">
        <v>117</v>
      </c>
      <c r="I41" s="12" t="s">
        <v>116</v>
      </c>
      <c r="J41" s="21" t="s">
        <v>911</v>
      </c>
      <c r="K41" s="480" t="s">
        <v>1023</v>
      </c>
      <c r="L41" s="21" t="s">
        <v>911</v>
      </c>
      <c r="M41" s="21" t="s">
        <v>911</v>
      </c>
      <c r="N41" s="21"/>
    </row>
    <row r="42" spans="1:14" ht="50">
      <c r="A42" s="20">
        <v>12</v>
      </c>
      <c r="B42" s="22"/>
      <c r="C42" s="22"/>
      <c r="D42" s="22" t="s">
        <v>834</v>
      </c>
      <c r="E42" s="22" t="s">
        <v>965</v>
      </c>
      <c r="F42" s="452" t="s">
        <v>1011</v>
      </c>
      <c r="G42" s="22" t="s">
        <v>52</v>
      </c>
      <c r="H42" s="21" t="s">
        <v>117</v>
      </c>
      <c r="I42" s="12" t="s">
        <v>116</v>
      </c>
      <c r="J42" s="21" t="s">
        <v>911</v>
      </c>
      <c r="K42" s="480" t="s">
        <v>1023</v>
      </c>
      <c r="L42" s="21" t="s">
        <v>911</v>
      </c>
      <c r="M42" s="21" t="s">
        <v>911</v>
      </c>
      <c r="N42" s="21"/>
    </row>
    <row r="43" spans="1:14" ht="25">
      <c r="A43" s="20">
        <v>13</v>
      </c>
      <c r="B43" s="22" t="s">
        <v>96</v>
      </c>
      <c r="C43" s="22" t="s">
        <v>86</v>
      </c>
      <c r="D43" s="22" t="s">
        <v>841</v>
      </c>
      <c r="E43" s="22" t="s">
        <v>94</v>
      </c>
      <c r="F43" s="452" t="s">
        <v>1011</v>
      </c>
      <c r="G43" s="22" t="s">
        <v>52</v>
      </c>
      <c r="H43" s="21" t="s">
        <v>117</v>
      </c>
      <c r="I43" s="12" t="s">
        <v>116</v>
      </c>
      <c r="J43" s="21" t="s">
        <v>911</v>
      </c>
      <c r="K43" s="480" t="s">
        <v>1023</v>
      </c>
      <c r="L43" s="21" t="s">
        <v>911</v>
      </c>
      <c r="M43" s="21" t="s">
        <v>911</v>
      </c>
      <c r="N43" s="21"/>
    </row>
    <row r="44" spans="1:14" ht="37.5">
      <c r="A44" s="20">
        <v>14</v>
      </c>
      <c r="B44" s="22"/>
      <c r="C44" s="22"/>
      <c r="D44" s="22" t="s">
        <v>845</v>
      </c>
      <c r="E44" s="22" t="s">
        <v>967</v>
      </c>
      <c r="F44" s="452" t="s">
        <v>1011</v>
      </c>
      <c r="G44" s="22" t="s">
        <v>52</v>
      </c>
      <c r="H44" s="21" t="s">
        <v>117</v>
      </c>
      <c r="I44" s="12" t="s">
        <v>116</v>
      </c>
      <c r="J44" s="21" t="s">
        <v>911</v>
      </c>
      <c r="K44" s="480" t="s">
        <v>1023</v>
      </c>
      <c r="L44" s="21" t="s">
        <v>911</v>
      </c>
      <c r="M44" s="21" t="s">
        <v>911</v>
      </c>
      <c r="N44" s="21"/>
    </row>
    <row r="45" spans="1:14" ht="13">
      <c r="A45" s="20">
        <v>15</v>
      </c>
      <c r="B45" s="22" t="s">
        <v>999</v>
      </c>
      <c r="C45" s="22" t="s">
        <v>77</v>
      </c>
      <c r="D45" s="22" t="s">
        <v>1013</v>
      </c>
      <c r="E45" s="22" t="s">
        <v>94</v>
      </c>
      <c r="F45" s="452" t="s">
        <v>1011</v>
      </c>
      <c r="G45" s="22" t="s">
        <v>52</v>
      </c>
      <c r="H45" s="21" t="s">
        <v>117</v>
      </c>
      <c r="I45" s="12" t="s">
        <v>116</v>
      </c>
      <c r="J45" s="21" t="s">
        <v>911</v>
      </c>
      <c r="K45" s="480" t="s">
        <v>1023</v>
      </c>
      <c r="L45" s="21" t="s">
        <v>911</v>
      </c>
      <c r="M45" s="21" t="s">
        <v>911</v>
      </c>
      <c r="N45" s="21"/>
    </row>
    <row r="46" spans="1:14" ht="37.5">
      <c r="A46" s="20">
        <v>16</v>
      </c>
      <c r="B46" s="22"/>
      <c r="C46" s="22"/>
      <c r="D46" s="22" t="s">
        <v>873</v>
      </c>
      <c r="E46" s="22" t="s">
        <v>969</v>
      </c>
      <c r="F46" s="452" t="s">
        <v>1011</v>
      </c>
      <c r="G46" s="22" t="s">
        <v>52</v>
      </c>
      <c r="H46" s="21" t="s">
        <v>117</v>
      </c>
      <c r="I46" s="12" t="s">
        <v>116</v>
      </c>
      <c r="J46" s="21" t="s">
        <v>911</v>
      </c>
      <c r="K46" s="480" t="s">
        <v>1023</v>
      </c>
      <c r="L46" s="21" t="s">
        <v>911</v>
      </c>
      <c r="M46" s="21" t="s">
        <v>911</v>
      </c>
      <c r="N46" s="21"/>
    </row>
    <row r="47" spans="1:14" ht="25">
      <c r="A47" s="20">
        <v>17</v>
      </c>
      <c r="B47" s="21"/>
      <c r="C47" s="22"/>
      <c r="D47" s="21" t="s">
        <v>876</v>
      </c>
      <c r="E47" s="21" t="s">
        <v>94</v>
      </c>
      <c r="F47" s="452" t="s">
        <v>1011</v>
      </c>
      <c r="G47" s="21" t="s">
        <v>52</v>
      </c>
      <c r="H47" s="21" t="s">
        <v>117</v>
      </c>
      <c r="I47" s="12" t="s">
        <v>116</v>
      </c>
      <c r="J47" s="21" t="s">
        <v>911</v>
      </c>
      <c r="K47" s="480" t="s">
        <v>1023</v>
      </c>
      <c r="L47" s="21" t="s">
        <v>911</v>
      </c>
      <c r="M47" s="21" t="s">
        <v>911</v>
      </c>
      <c r="N47" s="21"/>
    </row>
    <row r="48" spans="1:14" ht="37.5">
      <c r="A48" s="20">
        <v>18</v>
      </c>
      <c r="B48" s="21"/>
      <c r="C48" s="21"/>
      <c r="D48" s="21" t="s">
        <v>878</v>
      </c>
      <c r="E48" s="21" t="s">
        <v>970</v>
      </c>
      <c r="F48" s="452" t="s">
        <v>1011</v>
      </c>
      <c r="G48" s="21" t="s">
        <v>52</v>
      </c>
      <c r="H48" s="21" t="s">
        <v>117</v>
      </c>
      <c r="I48" s="12" t="s">
        <v>116</v>
      </c>
      <c r="J48" s="21" t="s">
        <v>911</v>
      </c>
      <c r="K48" s="480" t="s">
        <v>1023</v>
      </c>
      <c r="L48" s="21" t="s">
        <v>911</v>
      </c>
      <c r="M48" s="21" t="s">
        <v>911</v>
      </c>
      <c r="N48" s="21"/>
    </row>
    <row r="49" spans="1:14" ht="13">
      <c r="A49" s="20">
        <v>19</v>
      </c>
      <c r="B49" s="21" t="s">
        <v>97</v>
      </c>
      <c r="C49" s="21" t="s">
        <v>98</v>
      </c>
      <c r="D49" s="21" t="s">
        <v>1003</v>
      </c>
      <c r="E49" s="21" t="s">
        <v>94</v>
      </c>
      <c r="F49" s="452" t="s">
        <v>1011</v>
      </c>
      <c r="G49" s="21" t="s">
        <v>52</v>
      </c>
      <c r="H49" s="21" t="s">
        <v>117</v>
      </c>
      <c r="I49" s="12" t="s">
        <v>116</v>
      </c>
      <c r="J49" s="21" t="s">
        <v>911</v>
      </c>
      <c r="K49" s="480" t="s">
        <v>1023</v>
      </c>
      <c r="L49" s="21" t="s">
        <v>911</v>
      </c>
      <c r="M49" s="21" t="s">
        <v>911</v>
      </c>
      <c r="N49" s="21"/>
    </row>
    <row r="50" spans="1:14" ht="37.5">
      <c r="A50" s="20">
        <v>20</v>
      </c>
      <c r="B50" s="21"/>
      <c r="C50" s="21"/>
      <c r="D50" s="21" t="s">
        <v>890</v>
      </c>
      <c r="E50" s="21" t="s">
        <v>972</v>
      </c>
      <c r="F50" s="452" t="s">
        <v>1011</v>
      </c>
      <c r="G50" s="21" t="s">
        <v>52</v>
      </c>
      <c r="H50" s="21" t="s">
        <v>117</v>
      </c>
      <c r="I50" s="12" t="s">
        <v>116</v>
      </c>
      <c r="J50" s="21" t="s">
        <v>911</v>
      </c>
      <c r="K50" s="480" t="s">
        <v>1023</v>
      </c>
      <c r="L50" s="21" t="s">
        <v>911</v>
      </c>
      <c r="M50" s="21" t="s">
        <v>911</v>
      </c>
      <c r="N50" s="21"/>
    </row>
    <row r="51" spans="1:14" ht="37.5">
      <c r="A51" s="20">
        <v>21</v>
      </c>
      <c r="B51" s="21"/>
      <c r="C51" s="21"/>
      <c r="D51" s="21" t="s">
        <v>892</v>
      </c>
      <c r="E51" s="21" t="s">
        <v>972</v>
      </c>
      <c r="F51" s="452" t="s">
        <v>1011</v>
      </c>
      <c r="G51" s="21" t="s">
        <v>52</v>
      </c>
      <c r="H51" s="21" t="s">
        <v>117</v>
      </c>
      <c r="I51" s="12" t="s">
        <v>116</v>
      </c>
      <c r="J51" s="21" t="s">
        <v>911</v>
      </c>
      <c r="K51" s="480" t="s">
        <v>1023</v>
      </c>
      <c r="L51" s="21" t="s">
        <v>911</v>
      </c>
      <c r="M51" s="21" t="s">
        <v>911</v>
      </c>
      <c r="N51" s="21"/>
    </row>
    <row r="52" spans="1:14" ht="37.5">
      <c r="A52" s="20">
        <v>22</v>
      </c>
      <c r="B52" s="21"/>
      <c r="C52" s="22"/>
      <c r="D52" s="21" t="s">
        <v>896</v>
      </c>
      <c r="E52" s="21" t="s">
        <v>974</v>
      </c>
      <c r="F52" s="452" t="s">
        <v>1011</v>
      </c>
      <c r="G52" s="21" t="s">
        <v>52</v>
      </c>
      <c r="H52" s="21" t="s">
        <v>117</v>
      </c>
      <c r="I52" s="12" t="s">
        <v>116</v>
      </c>
      <c r="J52" s="21" t="s">
        <v>911</v>
      </c>
      <c r="K52" s="480" t="s">
        <v>1023</v>
      </c>
      <c r="L52" s="21" t="s">
        <v>911</v>
      </c>
      <c r="M52" s="21" t="s">
        <v>911</v>
      </c>
      <c r="N52" s="21"/>
    </row>
    <row r="53" spans="1:14" ht="13">
      <c r="A53" s="20">
        <v>23</v>
      </c>
      <c r="B53" s="21" t="s">
        <v>99</v>
      </c>
      <c r="C53" s="21" t="s">
        <v>100</v>
      </c>
      <c r="D53" s="21" t="s">
        <v>884</v>
      </c>
      <c r="E53" s="21" t="s">
        <v>94</v>
      </c>
      <c r="F53" s="452" t="s">
        <v>1011</v>
      </c>
      <c r="G53" s="21" t="s">
        <v>52</v>
      </c>
      <c r="H53" s="21" t="s">
        <v>117</v>
      </c>
      <c r="I53" s="12" t="s">
        <v>116</v>
      </c>
      <c r="J53" s="21" t="s">
        <v>911</v>
      </c>
      <c r="K53" s="480" t="s">
        <v>1023</v>
      </c>
      <c r="L53" s="21" t="s">
        <v>911</v>
      </c>
      <c r="M53" s="21" t="s">
        <v>911</v>
      </c>
      <c r="N53" s="21"/>
    </row>
    <row r="54" spans="1:14" ht="37.5">
      <c r="A54" s="20">
        <v>24</v>
      </c>
      <c r="B54" s="21"/>
      <c r="C54" s="21"/>
      <c r="D54" s="21" t="s">
        <v>899</v>
      </c>
      <c r="E54" s="21" t="s">
        <v>976</v>
      </c>
      <c r="F54" s="452" t="s">
        <v>1011</v>
      </c>
      <c r="G54" s="21" t="s">
        <v>52</v>
      </c>
      <c r="H54" s="21" t="s">
        <v>117</v>
      </c>
      <c r="I54" s="12" t="s">
        <v>116</v>
      </c>
      <c r="J54" s="21" t="s">
        <v>911</v>
      </c>
      <c r="K54" s="480" t="s">
        <v>1023</v>
      </c>
      <c r="L54" s="21" t="s">
        <v>911</v>
      </c>
      <c r="M54" s="21" t="s">
        <v>911</v>
      </c>
      <c r="N54" s="21"/>
    </row>
    <row r="55" spans="1:14" ht="13">
      <c r="A55" s="20">
        <v>25</v>
      </c>
      <c r="B55" s="21" t="s">
        <v>101</v>
      </c>
      <c r="C55" s="21" t="s">
        <v>102</v>
      </c>
      <c r="D55" s="21" t="s">
        <v>887</v>
      </c>
      <c r="E55" s="21" t="s">
        <v>94</v>
      </c>
      <c r="F55" s="452" t="s">
        <v>1011</v>
      </c>
      <c r="G55" s="21" t="s">
        <v>52</v>
      </c>
      <c r="H55" s="21" t="s">
        <v>117</v>
      </c>
      <c r="I55" s="12" t="s">
        <v>116</v>
      </c>
      <c r="J55" s="21" t="s">
        <v>911</v>
      </c>
      <c r="K55" s="480" t="s">
        <v>1023</v>
      </c>
      <c r="L55" s="21" t="s">
        <v>911</v>
      </c>
      <c r="M55" s="21" t="s">
        <v>911</v>
      </c>
      <c r="N55" s="21"/>
    </row>
    <row r="56" spans="1:14" ht="50">
      <c r="A56" s="20">
        <v>26</v>
      </c>
      <c r="B56" s="21"/>
      <c r="C56" s="21"/>
      <c r="D56" s="21" t="s">
        <v>901</v>
      </c>
      <c r="E56" s="21" t="s">
        <v>978</v>
      </c>
      <c r="F56" s="452" t="s">
        <v>1011</v>
      </c>
      <c r="G56" s="21" t="s">
        <v>52</v>
      </c>
      <c r="H56" s="21" t="s">
        <v>117</v>
      </c>
      <c r="I56" s="12" t="s">
        <v>116</v>
      </c>
      <c r="J56" s="21" t="s">
        <v>911</v>
      </c>
      <c r="K56" s="480" t="s">
        <v>1023</v>
      </c>
      <c r="L56" s="21" t="s">
        <v>911</v>
      </c>
      <c r="M56" s="21" t="s">
        <v>911</v>
      </c>
      <c r="N56" s="21"/>
    </row>
    <row r="57" spans="1:14" ht="25">
      <c r="A57" s="20">
        <v>27</v>
      </c>
      <c r="B57" s="21"/>
      <c r="C57" s="22"/>
      <c r="D57" s="21" t="s">
        <v>905</v>
      </c>
      <c r="E57" s="21" t="s">
        <v>94</v>
      </c>
      <c r="F57" s="452" t="s">
        <v>1011</v>
      </c>
      <c r="G57" s="21" t="s">
        <v>52</v>
      </c>
      <c r="H57" s="21" t="s">
        <v>117</v>
      </c>
      <c r="I57" s="12" t="s">
        <v>116</v>
      </c>
      <c r="J57" s="21" t="s">
        <v>911</v>
      </c>
      <c r="K57" s="480" t="s">
        <v>1023</v>
      </c>
      <c r="L57" s="21" t="s">
        <v>911</v>
      </c>
      <c r="M57" s="21" t="s">
        <v>911</v>
      </c>
      <c r="N57" s="21"/>
    </row>
    <row r="58" spans="1:14" ht="50">
      <c r="A58" s="20">
        <v>28</v>
      </c>
      <c r="B58" s="21"/>
      <c r="C58" s="21"/>
      <c r="D58" s="21" t="s">
        <v>908</v>
      </c>
      <c r="E58" s="21" t="s">
        <v>978</v>
      </c>
      <c r="F58" s="452" t="s">
        <v>1011</v>
      </c>
      <c r="G58" s="21" t="s">
        <v>52</v>
      </c>
      <c r="H58" s="21" t="s">
        <v>117</v>
      </c>
      <c r="I58" s="12" t="s">
        <v>116</v>
      </c>
      <c r="J58" s="21" t="s">
        <v>911</v>
      </c>
      <c r="K58" s="480" t="s">
        <v>1023</v>
      </c>
      <c r="L58" s="21" t="s">
        <v>911</v>
      </c>
      <c r="M58" s="21" t="s">
        <v>911</v>
      </c>
      <c r="N58" s="21"/>
    </row>
    <row r="59" spans="1:14">
      <c r="A59" s="23" t="s">
        <v>111</v>
      </c>
      <c r="B59" s="24"/>
      <c r="C59" s="24"/>
      <c r="D59" s="24"/>
      <c r="E59" s="24"/>
      <c r="F59" s="25"/>
      <c r="G59" s="24"/>
      <c r="H59" s="24"/>
      <c r="I59" s="24"/>
      <c r="J59" s="24"/>
      <c r="K59" s="24"/>
      <c r="L59" s="24"/>
      <c r="M59" s="24"/>
      <c r="N59" s="26"/>
    </row>
    <row r="60" spans="1:14" ht="13">
      <c r="A60" s="20">
        <v>1</v>
      </c>
      <c r="B60" s="21" t="s">
        <v>104</v>
      </c>
      <c r="C60" s="21" t="s">
        <v>105</v>
      </c>
      <c r="D60" s="21" t="s">
        <v>914</v>
      </c>
      <c r="E60" s="21" t="s">
        <v>1001</v>
      </c>
      <c r="F60" s="452" t="s">
        <v>1011</v>
      </c>
      <c r="G60" s="21" t="s">
        <v>52</v>
      </c>
      <c r="H60" s="21" t="s">
        <v>117</v>
      </c>
      <c r="I60" s="12" t="s">
        <v>116</v>
      </c>
      <c r="J60" s="21" t="s">
        <v>911</v>
      </c>
      <c r="K60" s="480" t="s">
        <v>1023</v>
      </c>
      <c r="L60" s="21" t="s">
        <v>911</v>
      </c>
      <c r="M60" s="21" t="s">
        <v>911</v>
      </c>
      <c r="N60" s="21"/>
    </row>
    <row r="61" spans="1:14" ht="13">
      <c r="A61" s="20">
        <v>2</v>
      </c>
      <c r="B61" s="21"/>
      <c r="C61" s="21"/>
      <c r="D61" s="21" t="s">
        <v>915</v>
      </c>
      <c r="E61" s="21" t="s">
        <v>106</v>
      </c>
      <c r="F61" s="452" t="s">
        <v>1011</v>
      </c>
      <c r="G61" s="21" t="s">
        <v>52</v>
      </c>
      <c r="H61" s="21" t="s">
        <v>117</v>
      </c>
      <c r="I61" s="12" t="s">
        <v>116</v>
      </c>
      <c r="J61" s="21" t="s">
        <v>911</v>
      </c>
      <c r="K61" s="480" t="s">
        <v>1023</v>
      </c>
      <c r="L61" s="21" t="s">
        <v>911</v>
      </c>
      <c r="M61" s="21" t="s">
        <v>911</v>
      </c>
      <c r="N61" s="21"/>
    </row>
    <row r="62" spans="1:14" ht="13">
      <c r="A62" s="20">
        <v>3</v>
      </c>
      <c r="B62" s="21"/>
      <c r="C62" s="21"/>
      <c r="D62" s="21" t="s">
        <v>916</v>
      </c>
      <c r="E62" s="21" t="s">
        <v>918</v>
      </c>
      <c r="F62" s="452" t="s">
        <v>1011</v>
      </c>
      <c r="G62" s="21" t="s">
        <v>52</v>
      </c>
      <c r="H62" s="21" t="s">
        <v>117</v>
      </c>
      <c r="I62" s="12" t="s">
        <v>116</v>
      </c>
      <c r="J62" s="21" t="s">
        <v>911</v>
      </c>
      <c r="K62" s="480" t="s">
        <v>1023</v>
      </c>
      <c r="L62" s="21" t="s">
        <v>911</v>
      </c>
      <c r="M62" s="21" t="s">
        <v>911</v>
      </c>
      <c r="N62" s="21"/>
    </row>
    <row r="63" spans="1:14">
      <c r="A63" s="23" t="s">
        <v>112</v>
      </c>
      <c r="B63" s="24"/>
      <c r="C63" s="24"/>
      <c r="D63" s="24"/>
      <c r="E63" s="24"/>
      <c r="F63" s="25"/>
      <c r="G63" s="24"/>
      <c r="H63" s="24"/>
      <c r="I63" s="24"/>
      <c r="J63" s="24"/>
      <c r="K63" s="24"/>
      <c r="L63" s="24"/>
      <c r="M63" s="24"/>
      <c r="N63" s="26"/>
    </row>
    <row r="64" spans="1:14" ht="13">
      <c r="A64" s="20">
        <v>1</v>
      </c>
      <c r="B64" s="21" t="s">
        <v>57</v>
      </c>
      <c r="C64" s="21" t="s">
        <v>58</v>
      </c>
      <c r="D64" s="21" t="s">
        <v>59</v>
      </c>
      <c r="E64" s="21" t="s">
        <v>60</v>
      </c>
      <c r="F64" s="452" t="s">
        <v>1011</v>
      </c>
      <c r="G64" s="21" t="s">
        <v>52</v>
      </c>
      <c r="H64" s="21" t="s">
        <v>117</v>
      </c>
      <c r="I64" s="12" t="s">
        <v>116</v>
      </c>
      <c r="J64" s="21" t="s">
        <v>911</v>
      </c>
      <c r="K64" s="480" t="s">
        <v>1023</v>
      </c>
      <c r="L64" s="21" t="s">
        <v>911</v>
      </c>
      <c r="M64" s="21" t="s">
        <v>911</v>
      </c>
      <c r="N64" s="21"/>
    </row>
    <row r="65" spans="1:14" ht="13">
      <c r="A65" s="20">
        <v>2</v>
      </c>
      <c r="B65" s="21"/>
      <c r="C65" s="21" t="s">
        <v>61</v>
      </c>
      <c r="D65" s="21" t="s">
        <v>62</v>
      </c>
      <c r="E65" s="21" t="s">
        <v>107</v>
      </c>
      <c r="F65" s="452" t="s">
        <v>1011</v>
      </c>
      <c r="G65" s="21" t="s">
        <v>52</v>
      </c>
      <c r="H65" s="21" t="s">
        <v>117</v>
      </c>
      <c r="I65" s="12" t="s">
        <v>116</v>
      </c>
      <c r="J65" s="21" t="s">
        <v>911</v>
      </c>
      <c r="K65" s="480" t="s">
        <v>1023</v>
      </c>
      <c r="L65" s="21" t="s">
        <v>911</v>
      </c>
      <c r="M65" s="21" t="s">
        <v>911</v>
      </c>
      <c r="N65" s="21"/>
    </row>
    <row r="66" spans="1:14" ht="13">
      <c r="A66" s="20">
        <v>3</v>
      </c>
      <c r="B66" s="21"/>
      <c r="C66" s="21" t="s">
        <v>63</v>
      </c>
      <c r="D66" s="21" t="s">
        <v>64</v>
      </c>
      <c r="E66" s="21" t="s">
        <v>108</v>
      </c>
      <c r="F66" s="452" t="s">
        <v>1011</v>
      </c>
      <c r="G66" s="21" t="s">
        <v>52</v>
      </c>
      <c r="H66" s="21" t="s">
        <v>117</v>
      </c>
      <c r="I66" s="12" t="s">
        <v>116</v>
      </c>
      <c r="J66" s="21" t="s">
        <v>911</v>
      </c>
      <c r="K66" s="480" t="s">
        <v>1023</v>
      </c>
      <c r="L66" s="21" t="s">
        <v>911</v>
      </c>
      <c r="M66" s="21" t="s">
        <v>911</v>
      </c>
      <c r="N66" s="21"/>
    </row>
    <row r="67" spans="1:14" ht="13">
      <c r="A67" s="20">
        <v>4</v>
      </c>
      <c r="C67" s="21" t="s">
        <v>65</v>
      </c>
      <c r="D67" s="21" t="s">
        <v>66</v>
      </c>
      <c r="E67" s="21" t="s">
        <v>67</v>
      </c>
      <c r="F67" s="452" t="s">
        <v>1011</v>
      </c>
      <c r="G67" s="21" t="s">
        <v>52</v>
      </c>
      <c r="H67" s="21" t="s">
        <v>117</v>
      </c>
      <c r="I67" s="12" t="s">
        <v>116</v>
      </c>
      <c r="J67" s="21" t="s">
        <v>911</v>
      </c>
      <c r="K67" s="480" t="s">
        <v>1023</v>
      </c>
      <c r="L67" s="21" t="s">
        <v>911</v>
      </c>
      <c r="M67" s="21" t="s">
        <v>911</v>
      </c>
      <c r="N67" s="21"/>
    </row>
    <row r="68" spans="1:14" ht="13">
      <c r="A68" s="20">
        <v>5</v>
      </c>
      <c r="B68" s="21"/>
      <c r="C68" s="21" t="s">
        <v>68</v>
      </c>
      <c r="D68" s="21" t="s">
        <v>69</v>
      </c>
      <c r="E68" s="21" t="s">
        <v>70</v>
      </c>
      <c r="F68" s="452" t="s">
        <v>1011</v>
      </c>
      <c r="G68" s="21" t="s">
        <v>52</v>
      </c>
      <c r="H68" s="21" t="s">
        <v>117</v>
      </c>
      <c r="I68" s="12" t="s">
        <v>116</v>
      </c>
      <c r="J68" s="21" t="s">
        <v>911</v>
      </c>
      <c r="K68" s="480" t="s">
        <v>1023</v>
      </c>
      <c r="L68" s="21" t="s">
        <v>911</v>
      </c>
      <c r="M68" s="21" t="s">
        <v>911</v>
      </c>
      <c r="N68" s="21"/>
    </row>
    <row r="69" spans="1:14" ht="13">
      <c r="A69" s="20">
        <v>6</v>
      </c>
      <c r="B69" s="21" t="s">
        <v>674</v>
      </c>
      <c r="C69" s="21" t="s">
        <v>58</v>
      </c>
      <c r="D69" s="21" t="s">
        <v>71</v>
      </c>
      <c r="E69" s="21" t="s">
        <v>72</v>
      </c>
      <c r="F69" s="452" t="s">
        <v>1011</v>
      </c>
      <c r="G69" s="21" t="s">
        <v>52</v>
      </c>
      <c r="H69" s="21" t="s">
        <v>117</v>
      </c>
      <c r="I69" s="12" t="s">
        <v>116</v>
      </c>
      <c r="J69" s="21" t="s">
        <v>911</v>
      </c>
      <c r="K69" s="480" t="s">
        <v>1023</v>
      </c>
      <c r="L69" s="21" t="s">
        <v>911</v>
      </c>
      <c r="M69" s="21" t="s">
        <v>911</v>
      </c>
      <c r="N69" s="21"/>
    </row>
    <row r="70" spans="1:14" ht="13">
      <c r="A70" s="20">
        <v>7</v>
      </c>
      <c r="B70" s="21"/>
      <c r="C70" s="21" t="s">
        <v>58</v>
      </c>
      <c r="D70" s="21" t="s">
        <v>73</v>
      </c>
      <c r="E70" s="21" t="s">
        <v>74</v>
      </c>
      <c r="F70" s="452" t="s">
        <v>1011</v>
      </c>
      <c r="G70" s="21" t="s">
        <v>52</v>
      </c>
      <c r="H70" s="21" t="s">
        <v>117</v>
      </c>
      <c r="I70" s="12" t="s">
        <v>116</v>
      </c>
      <c r="J70" s="21" t="s">
        <v>911</v>
      </c>
      <c r="K70" s="480" t="s">
        <v>1023</v>
      </c>
      <c r="L70" s="21" t="s">
        <v>911</v>
      </c>
      <c r="M70" s="21" t="s">
        <v>911</v>
      </c>
      <c r="N70" s="21"/>
    </row>
    <row r="71" spans="1:14" ht="13">
      <c r="A71" s="20">
        <v>8</v>
      </c>
      <c r="B71" s="21"/>
      <c r="C71" s="21" t="s">
        <v>68</v>
      </c>
      <c r="D71" s="21" t="s">
        <v>75</v>
      </c>
      <c r="E71" s="21" t="s">
        <v>109</v>
      </c>
      <c r="F71" s="452" t="s">
        <v>1011</v>
      </c>
      <c r="G71" s="21" t="s">
        <v>52</v>
      </c>
      <c r="H71" s="21" t="s">
        <v>117</v>
      </c>
      <c r="I71" s="12" t="s">
        <v>116</v>
      </c>
      <c r="J71" s="21" t="s">
        <v>911</v>
      </c>
      <c r="K71" s="480" t="s">
        <v>1023</v>
      </c>
      <c r="L71" s="21" t="s">
        <v>911</v>
      </c>
      <c r="M71" s="21" t="s">
        <v>911</v>
      </c>
      <c r="N71" s="21"/>
    </row>
    <row r="72" spans="1:14" ht="13">
      <c r="A72" s="20">
        <v>9</v>
      </c>
      <c r="B72" s="21"/>
      <c r="C72" s="21" t="s">
        <v>980</v>
      </c>
      <c r="D72" s="21" t="s">
        <v>981</v>
      </c>
      <c r="E72" s="21" t="s">
        <v>982</v>
      </c>
      <c r="F72" s="452" t="s">
        <v>1011</v>
      </c>
      <c r="G72" s="21" t="s">
        <v>52</v>
      </c>
      <c r="H72" s="21" t="s">
        <v>117</v>
      </c>
      <c r="I72" s="12" t="s">
        <v>116</v>
      </c>
      <c r="J72" s="21" t="s">
        <v>911</v>
      </c>
      <c r="K72" s="480" t="s">
        <v>1023</v>
      </c>
      <c r="L72" s="21" t="s">
        <v>911</v>
      </c>
      <c r="M72" s="21" t="s">
        <v>911</v>
      </c>
      <c r="N72" s="21"/>
    </row>
    <row r="73" spans="1:14" ht="13">
      <c r="A73" s="20">
        <v>10</v>
      </c>
      <c r="B73" s="21"/>
      <c r="C73" s="21" t="s">
        <v>983</v>
      </c>
      <c r="D73" s="21" t="s">
        <v>984</v>
      </c>
      <c r="E73" s="21" t="s">
        <v>985</v>
      </c>
      <c r="F73" s="452" t="s">
        <v>1011</v>
      </c>
      <c r="G73" s="21" t="s">
        <v>52</v>
      </c>
      <c r="H73" s="21" t="s">
        <v>117</v>
      </c>
      <c r="I73" s="12" t="s">
        <v>116</v>
      </c>
      <c r="J73" s="21" t="s">
        <v>911</v>
      </c>
      <c r="K73" s="480" t="s">
        <v>1023</v>
      </c>
      <c r="L73" s="21" t="s">
        <v>911</v>
      </c>
      <c r="M73" s="21" t="s">
        <v>911</v>
      </c>
      <c r="N73" s="21"/>
    </row>
    <row r="74" spans="1:14">
      <c r="A74" s="20"/>
      <c r="B74" s="21"/>
      <c r="C74" s="21"/>
      <c r="D74" s="21"/>
      <c r="E74" s="21"/>
      <c r="F74" s="12"/>
      <c r="G74" s="21"/>
      <c r="H74" s="21"/>
      <c r="I74" s="12"/>
      <c r="J74" s="21"/>
      <c r="K74" s="21"/>
      <c r="L74" s="21"/>
      <c r="M74" s="21"/>
      <c r="N74" s="21"/>
    </row>
    <row r="75" spans="1:14">
      <c r="A75" s="20"/>
      <c r="B75" s="21"/>
      <c r="C75" s="21"/>
      <c r="D75" s="21"/>
      <c r="E75" s="21"/>
      <c r="F75" s="12"/>
      <c r="G75" s="21"/>
      <c r="H75" s="21"/>
      <c r="I75" s="12"/>
      <c r="J75" s="21"/>
      <c r="K75" s="21"/>
      <c r="L75" s="21"/>
      <c r="M75" s="21"/>
      <c r="N75" s="21"/>
    </row>
    <row r="76" spans="1:14">
      <c r="A76" s="20"/>
      <c r="B76" s="21"/>
      <c r="C76" s="21"/>
      <c r="D76" s="21"/>
      <c r="E76" s="21"/>
      <c r="F76" s="12"/>
      <c r="G76" s="21"/>
      <c r="H76" s="21"/>
      <c r="I76" s="12"/>
      <c r="J76" s="21"/>
      <c r="K76" s="21"/>
      <c r="L76" s="21"/>
      <c r="M76" s="21"/>
      <c r="N76" s="21"/>
    </row>
    <row r="77" spans="1:14">
      <c r="A77" s="20"/>
      <c r="B77" s="21"/>
      <c r="C77" s="21"/>
      <c r="D77" s="21"/>
      <c r="E77" s="21"/>
      <c r="F77" s="12"/>
      <c r="G77" s="21"/>
      <c r="H77" s="21"/>
      <c r="I77" s="12"/>
      <c r="J77" s="21"/>
      <c r="K77" s="21"/>
      <c r="L77" s="21"/>
      <c r="M77" s="21"/>
      <c r="N77" s="21"/>
    </row>
    <row r="78" spans="1:14">
      <c r="A78" s="20"/>
      <c r="B78" s="21"/>
      <c r="C78" s="21"/>
      <c r="D78" s="21"/>
      <c r="E78" s="21"/>
      <c r="F78" s="12"/>
      <c r="G78" s="21"/>
      <c r="H78" s="21"/>
      <c r="I78" s="12"/>
      <c r="J78" s="21"/>
      <c r="K78" s="21"/>
      <c r="L78" s="21"/>
      <c r="M78" s="21"/>
      <c r="N78" s="21"/>
    </row>
    <row r="79" spans="1:14">
      <c r="A79" s="20"/>
      <c r="B79" s="21"/>
      <c r="C79" s="21"/>
      <c r="D79" s="21"/>
      <c r="E79" s="21"/>
      <c r="F79" s="12"/>
      <c r="G79" s="21"/>
      <c r="H79" s="21"/>
      <c r="I79" s="12"/>
      <c r="J79" s="21"/>
      <c r="K79" s="21"/>
      <c r="L79" s="21"/>
      <c r="M79" s="21"/>
      <c r="N79" s="21"/>
    </row>
    <row r="80" spans="1:14">
      <c r="A80" s="20"/>
      <c r="B80" s="21"/>
      <c r="C80" s="21"/>
      <c r="D80" s="21"/>
      <c r="E80" s="21"/>
      <c r="F80" s="12"/>
      <c r="G80" s="21"/>
      <c r="H80" s="21"/>
      <c r="I80" s="12"/>
      <c r="J80" s="21"/>
      <c r="K80" s="21"/>
      <c r="L80" s="21"/>
      <c r="M80" s="21"/>
      <c r="N80" s="21"/>
    </row>
    <row r="81" spans="1:14">
      <c r="A81" s="20"/>
      <c r="B81" s="21"/>
      <c r="C81" s="21"/>
      <c r="D81" s="21"/>
      <c r="E81" s="21"/>
      <c r="F81" s="12"/>
      <c r="G81" s="21"/>
      <c r="H81" s="21"/>
      <c r="I81" s="12"/>
      <c r="J81" s="21"/>
      <c r="K81" s="21"/>
      <c r="L81" s="21"/>
      <c r="M81" s="21"/>
      <c r="N81" s="21"/>
    </row>
    <row r="82" spans="1:14">
      <c r="A82" s="20"/>
      <c r="B82" s="21"/>
      <c r="C82" s="21"/>
      <c r="D82" s="21"/>
      <c r="E82" s="21"/>
      <c r="F82" s="12"/>
      <c r="G82" s="21"/>
      <c r="H82" s="21"/>
      <c r="I82" s="12"/>
      <c r="J82" s="21"/>
      <c r="K82" s="21"/>
      <c r="L82" s="21"/>
      <c r="M82" s="21"/>
      <c r="N82" s="21"/>
    </row>
    <row r="83" spans="1:14">
      <c r="A83" s="20"/>
      <c r="B83" s="21"/>
      <c r="C83" s="21"/>
      <c r="D83" s="21"/>
      <c r="E83" s="21"/>
      <c r="F83" s="12"/>
      <c r="G83" s="21"/>
      <c r="H83" s="21"/>
      <c r="I83" s="12"/>
      <c r="J83" s="21"/>
      <c r="K83" s="21"/>
      <c r="L83" s="21"/>
      <c r="M83" s="21"/>
      <c r="N83" s="21"/>
    </row>
    <row r="84" spans="1:14">
      <c r="A84" s="20"/>
      <c r="B84" s="21"/>
      <c r="C84" s="21"/>
      <c r="D84" s="21"/>
      <c r="E84" s="21"/>
      <c r="F84" s="12"/>
      <c r="G84" s="21"/>
      <c r="H84" s="21"/>
      <c r="I84" s="12"/>
      <c r="J84" s="21"/>
      <c r="K84" s="21"/>
      <c r="L84" s="21"/>
      <c r="M84" s="21"/>
      <c r="N84" s="21"/>
    </row>
    <row r="85" spans="1:14">
      <c r="A85" s="20"/>
      <c r="B85" s="21"/>
      <c r="C85" s="21"/>
      <c r="D85" s="21"/>
      <c r="E85" s="21"/>
      <c r="F85" s="12"/>
      <c r="G85" s="21"/>
      <c r="H85" s="21"/>
      <c r="I85" s="12"/>
      <c r="J85" s="21"/>
      <c r="K85" s="21"/>
      <c r="L85" s="21"/>
      <c r="M85" s="21"/>
      <c r="N85" s="21"/>
    </row>
    <row r="86" spans="1:14">
      <c r="A86" s="20"/>
      <c r="B86" s="21"/>
      <c r="C86" s="21"/>
      <c r="D86" s="21"/>
      <c r="E86" s="21"/>
      <c r="F86" s="12"/>
      <c r="G86" s="21"/>
      <c r="H86" s="21"/>
      <c r="I86" s="12"/>
      <c r="J86" s="21"/>
      <c r="K86" s="21"/>
      <c r="L86" s="21"/>
      <c r="M86" s="21"/>
      <c r="N86" s="21"/>
    </row>
    <row r="87" spans="1:14">
      <c r="A87" s="20"/>
      <c r="B87" s="21"/>
      <c r="C87" s="21"/>
      <c r="D87" s="21"/>
      <c r="E87" s="21"/>
      <c r="F87" s="12"/>
      <c r="G87" s="21"/>
      <c r="H87" s="21"/>
      <c r="I87" s="12"/>
      <c r="J87" s="21"/>
      <c r="K87" s="21"/>
      <c r="L87" s="21"/>
      <c r="M87" s="21"/>
      <c r="N87" s="21"/>
    </row>
    <row r="88" spans="1:14">
      <c r="A88" s="20"/>
      <c r="B88" s="21"/>
      <c r="C88" s="21"/>
      <c r="D88" s="21"/>
      <c r="E88" s="21"/>
      <c r="F88" s="12"/>
      <c r="G88" s="21"/>
      <c r="H88" s="21"/>
      <c r="I88" s="12"/>
      <c r="J88" s="21"/>
      <c r="K88" s="21"/>
      <c r="L88" s="21"/>
      <c r="M88" s="21"/>
      <c r="N88" s="21"/>
    </row>
    <row r="89" spans="1:14">
      <c r="A89" s="20"/>
      <c r="B89" s="21"/>
      <c r="C89" s="21"/>
      <c r="D89" s="21"/>
      <c r="E89" s="21"/>
      <c r="F89" s="12"/>
      <c r="G89" s="21"/>
      <c r="H89" s="21"/>
      <c r="I89" s="12"/>
      <c r="J89" s="21"/>
      <c r="K89" s="21"/>
      <c r="L89" s="21"/>
      <c r="M89" s="21"/>
      <c r="N89" s="21"/>
    </row>
    <row r="90" spans="1:14">
      <c r="A90" s="20"/>
      <c r="B90" s="21"/>
      <c r="C90" s="21"/>
      <c r="D90" s="21"/>
      <c r="E90" s="21"/>
      <c r="F90" s="12"/>
      <c r="G90" s="21"/>
      <c r="H90" s="21"/>
      <c r="I90" s="12"/>
      <c r="J90" s="21"/>
      <c r="K90" s="21"/>
      <c r="L90" s="21"/>
      <c r="M90" s="21"/>
      <c r="N90" s="21"/>
    </row>
    <row r="91" spans="1:14">
      <c r="A91" s="20"/>
      <c r="B91" s="21"/>
      <c r="C91" s="21"/>
      <c r="D91" s="21"/>
      <c r="E91" s="21"/>
      <c r="F91" s="12"/>
      <c r="G91" s="21"/>
      <c r="H91" s="21"/>
      <c r="I91" s="12"/>
      <c r="J91" s="21"/>
      <c r="K91" s="21"/>
      <c r="L91" s="21"/>
      <c r="M91" s="21"/>
      <c r="N91" s="21"/>
    </row>
    <row r="92" spans="1:14">
      <c r="A92" s="20"/>
      <c r="B92" s="21"/>
      <c r="C92" s="21"/>
      <c r="D92" s="21"/>
      <c r="E92" s="21"/>
      <c r="F92" s="12"/>
      <c r="G92" s="21"/>
      <c r="H92" s="21"/>
      <c r="I92" s="12"/>
      <c r="J92" s="21"/>
      <c r="K92" s="21"/>
      <c r="L92" s="21"/>
      <c r="M92" s="21"/>
      <c r="N92" s="21"/>
    </row>
    <row r="93" spans="1:14">
      <c r="A93" s="20"/>
      <c r="B93" s="21"/>
      <c r="C93" s="21"/>
      <c r="D93" s="21"/>
      <c r="E93" s="21"/>
      <c r="F93" s="12"/>
      <c r="G93" s="21"/>
      <c r="H93" s="21"/>
      <c r="I93" s="12"/>
      <c r="J93" s="21"/>
      <c r="K93" s="21"/>
      <c r="L93" s="21"/>
      <c r="M93" s="21"/>
      <c r="N93" s="21"/>
    </row>
    <row r="94" spans="1:14">
      <c r="A94" s="20"/>
      <c r="B94" s="21"/>
      <c r="C94" s="21"/>
      <c r="D94" s="21"/>
      <c r="E94" s="21"/>
      <c r="F94" s="12"/>
      <c r="G94" s="21"/>
      <c r="H94" s="21"/>
      <c r="I94" s="12"/>
      <c r="J94" s="21"/>
      <c r="K94" s="21"/>
      <c r="L94" s="21"/>
      <c r="M94" s="21"/>
      <c r="N94" s="21"/>
    </row>
    <row r="95" spans="1:14">
      <c r="A95" s="20"/>
      <c r="B95" s="21"/>
      <c r="C95" s="21"/>
      <c r="D95" s="21"/>
      <c r="E95" s="21"/>
      <c r="F95" s="12"/>
      <c r="G95" s="21"/>
      <c r="H95" s="21"/>
      <c r="I95" s="12"/>
      <c r="J95" s="21"/>
      <c r="K95" s="21"/>
      <c r="L95" s="21"/>
      <c r="M95" s="21"/>
      <c r="N95" s="21"/>
    </row>
    <row r="96" spans="1:14">
      <c r="A96" s="20"/>
      <c r="B96" s="21"/>
      <c r="C96" s="21"/>
      <c r="D96" s="21"/>
      <c r="E96" s="21"/>
      <c r="F96" s="12"/>
      <c r="G96" s="21"/>
      <c r="H96" s="21"/>
      <c r="I96" s="12"/>
      <c r="J96" s="21"/>
      <c r="K96" s="21"/>
      <c r="L96" s="21"/>
      <c r="M96" s="21"/>
      <c r="N96" s="21"/>
    </row>
    <row r="97" spans="1:14">
      <c r="A97" s="20"/>
      <c r="B97" s="21"/>
      <c r="C97" s="21"/>
      <c r="D97" s="21"/>
      <c r="E97" s="21"/>
      <c r="F97" s="12"/>
      <c r="G97" s="21"/>
      <c r="H97" s="21"/>
      <c r="I97" s="12"/>
      <c r="J97" s="21"/>
      <c r="K97" s="21"/>
      <c r="L97" s="21"/>
      <c r="M97" s="21"/>
      <c r="N97" s="21"/>
    </row>
    <row r="98" spans="1:14">
      <c r="A98" s="20"/>
      <c r="B98" s="21"/>
      <c r="C98" s="21"/>
      <c r="D98" s="21"/>
      <c r="E98" s="21"/>
      <c r="F98" s="12"/>
      <c r="G98" s="21"/>
      <c r="H98" s="21"/>
      <c r="I98" s="12"/>
      <c r="J98" s="21"/>
      <c r="K98" s="21"/>
      <c r="L98" s="21"/>
      <c r="M98" s="21"/>
      <c r="N98" s="21"/>
    </row>
    <row r="99" spans="1:14">
      <c r="A99" s="20"/>
      <c r="B99" s="21"/>
      <c r="C99" s="21"/>
      <c r="D99" s="21"/>
      <c r="E99" s="21"/>
      <c r="F99" s="12"/>
      <c r="G99" s="21"/>
      <c r="H99" s="21"/>
      <c r="I99" s="12"/>
      <c r="J99" s="21"/>
      <c r="K99" s="21"/>
      <c r="L99" s="21"/>
      <c r="M99" s="21"/>
      <c r="N99" s="21"/>
    </row>
    <row r="100" spans="1:14">
      <c r="A100" s="20"/>
      <c r="B100" s="21"/>
      <c r="C100" s="21"/>
      <c r="D100" s="21"/>
      <c r="E100" s="21"/>
      <c r="F100" s="12"/>
      <c r="G100" s="21"/>
      <c r="H100" s="21"/>
      <c r="I100" s="12"/>
      <c r="J100" s="21"/>
      <c r="K100" s="21"/>
      <c r="L100" s="21"/>
      <c r="M100" s="21"/>
      <c r="N100" s="21"/>
    </row>
    <row r="101" spans="1:14">
      <c r="A101" s="20"/>
      <c r="B101" s="21"/>
      <c r="C101" s="21"/>
      <c r="D101" s="21"/>
      <c r="E101" s="21"/>
      <c r="F101" s="12"/>
      <c r="G101" s="21"/>
      <c r="H101" s="21"/>
      <c r="I101" s="12"/>
      <c r="J101" s="21"/>
      <c r="K101" s="21"/>
      <c r="L101" s="21"/>
      <c r="M101" s="21"/>
      <c r="N101" s="21"/>
    </row>
    <row r="102" spans="1:14">
      <c r="A102" s="20"/>
      <c r="B102" s="21"/>
      <c r="C102" s="21"/>
      <c r="D102" s="21"/>
      <c r="E102" s="21"/>
      <c r="F102" s="12"/>
      <c r="G102" s="21"/>
      <c r="H102" s="21"/>
      <c r="I102" s="12"/>
      <c r="J102" s="21"/>
      <c r="K102" s="21"/>
      <c r="L102" s="21"/>
      <c r="M102" s="21"/>
      <c r="N102" s="21"/>
    </row>
    <row r="103" spans="1:14">
      <c r="A103" s="20"/>
      <c r="B103" s="21"/>
      <c r="C103" s="21"/>
      <c r="D103" s="21"/>
      <c r="E103" s="21"/>
      <c r="F103" s="12"/>
      <c r="G103" s="21"/>
      <c r="H103" s="21"/>
      <c r="I103" s="12"/>
      <c r="J103" s="21"/>
      <c r="K103" s="21"/>
      <c r="L103" s="21"/>
      <c r="M103" s="21"/>
      <c r="N103" s="21"/>
    </row>
    <row r="104" spans="1:14">
      <c r="A104" s="20"/>
      <c r="B104" s="21"/>
      <c r="C104" s="21"/>
      <c r="D104" s="21"/>
      <c r="E104" s="21"/>
      <c r="F104" s="12"/>
      <c r="G104" s="21"/>
      <c r="H104" s="21"/>
      <c r="I104" s="12"/>
      <c r="J104" s="21"/>
      <c r="K104" s="21"/>
      <c r="L104" s="21"/>
      <c r="M104" s="21"/>
      <c r="N104" s="21"/>
    </row>
    <row r="105" spans="1:14">
      <c r="A105" s="20"/>
      <c r="B105" s="21"/>
      <c r="C105" s="21"/>
      <c r="D105" s="21"/>
      <c r="E105" s="21"/>
      <c r="F105" s="12"/>
      <c r="G105" s="21"/>
      <c r="H105" s="21"/>
      <c r="I105" s="12"/>
      <c r="J105" s="21"/>
      <c r="K105" s="21"/>
      <c r="L105" s="21"/>
      <c r="M105" s="21"/>
      <c r="N105" s="21"/>
    </row>
    <row r="106" spans="1:14">
      <c r="A106" s="20"/>
      <c r="B106" s="21"/>
      <c r="C106" s="21"/>
      <c r="D106" s="21"/>
      <c r="E106" s="21"/>
      <c r="F106" s="12"/>
      <c r="G106" s="21"/>
      <c r="H106" s="21"/>
      <c r="I106" s="12"/>
      <c r="J106" s="21"/>
      <c r="K106" s="21"/>
      <c r="L106" s="21"/>
      <c r="M106" s="21"/>
      <c r="N106" s="21"/>
    </row>
    <row r="107" spans="1:14">
      <c r="A107" s="20"/>
      <c r="B107" s="21"/>
      <c r="C107" s="21"/>
      <c r="D107" s="21"/>
      <c r="E107" s="21"/>
      <c r="F107" s="12"/>
      <c r="G107" s="21"/>
      <c r="H107" s="21"/>
      <c r="I107" s="12"/>
      <c r="J107" s="21"/>
      <c r="K107" s="21"/>
      <c r="L107" s="21"/>
      <c r="M107" s="21"/>
      <c r="N107" s="21"/>
    </row>
    <row r="108" spans="1:14">
      <c r="A108" s="20"/>
      <c r="B108" s="21"/>
      <c r="C108" s="21"/>
      <c r="D108" s="21"/>
      <c r="E108" s="21"/>
      <c r="F108" s="12"/>
      <c r="G108" s="21"/>
      <c r="H108" s="21"/>
      <c r="I108" s="12"/>
      <c r="J108" s="21"/>
      <c r="K108" s="21"/>
      <c r="L108" s="21"/>
      <c r="M108" s="21"/>
      <c r="N108" s="21"/>
    </row>
    <row r="109" spans="1:14">
      <c r="A109" s="20"/>
      <c r="B109" s="21"/>
      <c r="C109" s="21"/>
      <c r="D109" s="21"/>
      <c r="E109" s="21"/>
      <c r="F109" s="12"/>
      <c r="G109" s="21"/>
      <c r="H109" s="21"/>
      <c r="I109" s="12"/>
      <c r="J109" s="21"/>
      <c r="K109" s="21"/>
      <c r="L109" s="21"/>
      <c r="M109" s="21"/>
      <c r="N109" s="21"/>
    </row>
    <row r="110" spans="1:14">
      <c r="A110" s="20"/>
      <c r="B110" s="21"/>
      <c r="C110" s="21"/>
      <c r="D110" s="21"/>
      <c r="E110" s="21"/>
      <c r="F110" s="12"/>
      <c r="G110" s="21"/>
      <c r="H110" s="21"/>
      <c r="I110" s="12"/>
      <c r="J110" s="21"/>
      <c r="K110" s="21"/>
      <c r="L110" s="21"/>
      <c r="M110" s="21"/>
      <c r="N110" s="21"/>
    </row>
    <row r="111" spans="1:14">
      <c r="A111" s="20"/>
      <c r="B111" s="21"/>
      <c r="C111" s="21"/>
      <c r="D111" s="21"/>
      <c r="E111" s="21"/>
      <c r="F111" s="12"/>
      <c r="G111" s="21"/>
      <c r="H111" s="21"/>
      <c r="I111" s="12"/>
      <c r="J111" s="21"/>
      <c r="K111" s="21"/>
      <c r="L111" s="21"/>
      <c r="M111" s="21"/>
      <c r="N111" s="21"/>
    </row>
    <row r="112" spans="1:14">
      <c r="A112" s="20"/>
      <c r="B112" s="21"/>
      <c r="C112" s="21"/>
      <c r="D112" s="21"/>
      <c r="E112" s="21"/>
      <c r="F112" s="12"/>
      <c r="G112" s="21"/>
      <c r="H112" s="21"/>
      <c r="I112" s="12"/>
      <c r="J112" s="21"/>
      <c r="K112" s="21"/>
      <c r="L112" s="21"/>
      <c r="M112" s="21"/>
      <c r="N112" s="21"/>
    </row>
    <row r="113" spans="1:14">
      <c r="A113" s="20"/>
      <c r="B113" s="21"/>
      <c r="C113" s="21"/>
      <c r="D113" s="21"/>
      <c r="E113" s="21"/>
      <c r="F113" s="12"/>
      <c r="G113" s="21"/>
      <c r="H113" s="21"/>
      <c r="I113" s="12"/>
      <c r="J113" s="21"/>
      <c r="K113" s="21"/>
      <c r="L113" s="21"/>
      <c r="M113" s="21"/>
      <c r="N113" s="21"/>
    </row>
    <row r="114" spans="1:14">
      <c r="A114" s="20"/>
      <c r="B114" s="21"/>
      <c r="C114" s="21"/>
      <c r="D114" s="21"/>
      <c r="E114" s="21"/>
      <c r="F114" s="12"/>
      <c r="G114" s="21"/>
      <c r="H114" s="21"/>
      <c r="I114" s="12"/>
      <c r="J114" s="21"/>
      <c r="K114" s="21"/>
      <c r="L114" s="21"/>
      <c r="M114" s="21"/>
      <c r="N114" s="21"/>
    </row>
    <row r="115" spans="1:14">
      <c r="A115" s="20"/>
      <c r="B115" s="21"/>
      <c r="C115" s="21"/>
      <c r="D115" s="21"/>
      <c r="E115" s="21"/>
      <c r="F115" s="12"/>
      <c r="G115" s="21"/>
      <c r="H115" s="21"/>
      <c r="I115" s="12"/>
      <c r="J115" s="21"/>
      <c r="K115" s="21"/>
      <c r="L115" s="21"/>
      <c r="M115" s="21"/>
      <c r="N115" s="21"/>
    </row>
    <row r="116" spans="1:14">
      <c r="A116" s="20"/>
      <c r="B116" s="21"/>
      <c r="C116" s="21"/>
      <c r="D116" s="21"/>
      <c r="E116" s="21"/>
      <c r="F116" s="12"/>
      <c r="G116" s="21"/>
      <c r="H116" s="21"/>
      <c r="I116" s="12"/>
      <c r="J116" s="21"/>
      <c r="K116" s="21"/>
      <c r="L116" s="21"/>
      <c r="M116" s="21"/>
      <c r="N116" s="21"/>
    </row>
    <row r="117" spans="1:14">
      <c r="A117" s="20"/>
      <c r="B117" s="21"/>
      <c r="C117" s="21"/>
      <c r="D117" s="21"/>
      <c r="E117" s="21"/>
      <c r="F117" s="12"/>
      <c r="G117" s="21"/>
      <c r="H117" s="21"/>
      <c r="I117" s="12"/>
      <c r="J117" s="21"/>
      <c r="K117" s="21"/>
      <c r="L117" s="21"/>
      <c r="M117" s="21"/>
      <c r="N117" s="21"/>
    </row>
    <row r="118" spans="1:14">
      <c r="A118" s="20"/>
      <c r="B118" s="21"/>
      <c r="C118" s="21"/>
      <c r="D118" s="21"/>
      <c r="E118" s="21"/>
      <c r="F118" s="12"/>
      <c r="G118" s="21"/>
      <c r="H118" s="21"/>
      <c r="I118" s="12"/>
      <c r="J118" s="21"/>
      <c r="K118" s="21"/>
      <c r="L118" s="21"/>
      <c r="M118" s="21"/>
      <c r="N118" s="21"/>
    </row>
    <row r="119" spans="1:14">
      <c r="A119" s="20"/>
      <c r="B119" s="21"/>
      <c r="C119" s="21"/>
      <c r="D119" s="21"/>
      <c r="E119" s="21"/>
      <c r="F119" s="12"/>
      <c r="G119" s="21"/>
      <c r="H119" s="21"/>
      <c r="I119" s="12"/>
      <c r="J119" s="21"/>
      <c r="K119" s="21"/>
      <c r="L119" s="21"/>
      <c r="M119" s="21"/>
      <c r="N119" s="21"/>
    </row>
    <row r="120" spans="1:14">
      <c r="A120" s="20"/>
      <c r="B120" s="21"/>
      <c r="C120" s="21"/>
      <c r="D120" s="21"/>
      <c r="E120" s="21"/>
      <c r="F120" s="12"/>
      <c r="G120" s="21"/>
      <c r="H120" s="21"/>
      <c r="I120" s="12"/>
      <c r="J120" s="21"/>
      <c r="K120" s="21"/>
      <c r="L120" s="21"/>
      <c r="M120" s="21"/>
      <c r="N120" s="21"/>
    </row>
    <row r="121" spans="1:14">
      <c r="A121" s="20"/>
      <c r="B121" s="21"/>
      <c r="C121" s="21"/>
      <c r="D121" s="21"/>
      <c r="E121" s="21"/>
      <c r="F121" s="12"/>
      <c r="G121" s="21"/>
      <c r="H121" s="21"/>
      <c r="I121" s="12"/>
      <c r="J121" s="21"/>
      <c r="K121" s="21"/>
      <c r="L121" s="21"/>
      <c r="M121" s="21"/>
      <c r="N121" s="21"/>
    </row>
    <row r="122" spans="1:14">
      <c r="A122" s="20"/>
      <c r="B122" s="21"/>
      <c r="C122" s="21"/>
      <c r="D122" s="21"/>
      <c r="E122" s="21"/>
      <c r="F122" s="12"/>
      <c r="G122" s="21"/>
      <c r="H122" s="21"/>
      <c r="I122" s="12"/>
      <c r="J122" s="21"/>
      <c r="K122" s="21"/>
      <c r="L122" s="21"/>
      <c r="M122" s="21"/>
      <c r="N122" s="21"/>
    </row>
    <row r="123" spans="1:14">
      <c r="A123" s="20"/>
      <c r="B123" s="21"/>
      <c r="C123" s="21"/>
      <c r="D123" s="21"/>
      <c r="E123" s="21"/>
      <c r="F123" s="12"/>
      <c r="G123" s="21"/>
      <c r="H123" s="21"/>
      <c r="I123" s="12"/>
      <c r="J123" s="21"/>
      <c r="K123" s="21"/>
      <c r="L123" s="21"/>
      <c r="M123" s="21"/>
      <c r="N123" s="21"/>
    </row>
    <row r="124" spans="1:14">
      <c r="A124" s="20"/>
      <c r="B124" s="21"/>
      <c r="C124" s="21"/>
      <c r="D124" s="21"/>
      <c r="E124" s="21"/>
      <c r="F124" s="12"/>
      <c r="G124" s="21"/>
      <c r="H124" s="21"/>
      <c r="I124" s="12"/>
      <c r="J124" s="21"/>
      <c r="K124" s="21"/>
      <c r="L124" s="21"/>
      <c r="M124" s="21"/>
      <c r="N124" s="21"/>
    </row>
    <row r="125" spans="1:14">
      <c r="A125" s="20"/>
      <c r="B125" s="21"/>
      <c r="C125" s="21"/>
      <c r="D125" s="21"/>
      <c r="E125" s="21"/>
      <c r="F125" s="12"/>
      <c r="G125" s="21"/>
      <c r="H125" s="21"/>
      <c r="I125" s="12"/>
      <c r="J125" s="21"/>
      <c r="K125" s="21"/>
      <c r="L125" s="21"/>
      <c r="M125" s="21"/>
      <c r="N125" s="21"/>
    </row>
    <row r="126" spans="1:14">
      <c r="A126" s="20"/>
      <c r="B126" s="21"/>
      <c r="C126" s="21"/>
      <c r="D126" s="21"/>
      <c r="E126" s="21"/>
      <c r="F126" s="12"/>
      <c r="G126" s="21"/>
      <c r="H126" s="21"/>
      <c r="I126" s="12"/>
      <c r="J126" s="21"/>
      <c r="K126" s="21"/>
      <c r="L126" s="21"/>
      <c r="M126" s="21"/>
      <c r="N126" s="21"/>
    </row>
    <row r="127" spans="1:14">
      <c r="A127" s="20"/>
      <c r="B127" s="21"/>
      <c r="C127" s="21"/>
      <c r="D127" s="21"/>
      <c r="E127" s="21"/>
      <c r="F127" s="12"/>
      <c r="G127" s="21"/>
      <c r="H127" s="21"/>
      <c r="I127" s="12"/>
      <c r="J127" s="21"/>
      <c r="K127" s="21"/>
      <c r="L127" s="21"/>
      <c r="M127" s="21"/>
      <c r="N127" s="21"/>
    </row>
    <row r="128" spans="1:14">
      <c r="A128" s="20"/>
      <c r="B128" s="21"/>
      <c r="C128" s="21"/>
      <c r="D128" s="21"/>
      <c r="E128" s="21"/>
      <c r="F128" s="12"/>
      <c r="G128" s="21"/>
      <c r="H128" s="21"/>
      <c r="I128" s="12"/>
      <c r="J128" s="21"/>
      <c r="K128" s="21"/>
      <c r="L128" s="21"/>
      <c r="M128" s="21"/>
      <c r="N128" s="21"/>
    </row>
    <row r="129" spans="1:14">
      <c r="A129" s="20"/>
      <c r="B129" s="21"/>
      <c r="C129" s="21"/>
      <c r="D129" s="21"/>
      <c r="E129" s="21"/>
      <c r="F129" s="12"/>
      <c r="G129" s="21"/>
      <c r="H129" s="21"/>
      <c r="I129" s="12"/>
      <c r="J129" s="21"/>
      <c r="K129" s="21"/>
      <c r="L129" s="21"/>
      <c r="M129" s="21"/>
      <c r="N129" s="21"/>
    </row>
    <row r="130" spans="1:14">
      <c r="A130" s="20"/>
      <c r="B130" s="21"/>
      <c r="C130" s="21"/>
      <c r="D130" s="21"/>
      <c r="E130" s="21"/>
      <c r="F130" s="12"/>
      <c r="G130" s="21"/>
      <c r="H130" s="21"/>
      <c r="I130" s="12"/>
      <c r="J130" s="21"/>
      <c r="K130" s="21"/>
      <c r="L130" s="21"/>
      <c r="M130" s="21"/>
      <c r="N130" s="21"/>
    </row>
    <row r="131" spans="1:14">
      <c r="A131" s="20"/>
      <c r="B131" s="21"/>
      <c r="C131" s="21"/>
      <c r="D131" s="21"/>
      <c r="E131" s="21"/>
      <c r="F131" s="12"/>
      <c r="G131" s="21"/>
      <c r="H131" s="21"/>
      <c r="I131" s="12"/>
      <c r="J131" s="21"/>
      <c r="K131" s="21"/>
      <c r="L131" s="21"/>
      <c r="M131" s="21"/>
      <c r="N131" s="21"/>
    </row>
    <row r="132" spans="1:14">
      <c r="A132" s="20"/>
      <c r="B132" s="21"/>
      <c r="C132" s="21"/>
      <c r="D132" s="21"/>
      <c r="E132" s="21"/>
      <c r="F132" s="12"/>
      <c r="G132" s="21"/>
      <c r="H132" s="21"/>
      <c r="I132" s="12"/>
      <c r="J132" s="21"/>
      <c r="K132" s="21"/>
      <c r="L132" s="21"/>
      <c r="M132" s="21"/>
      <c r="N132" s="21"/>
    </row>
    <row r="133" spans="1:14">
      <c r="A133" s="20"/>
      <c r="B133" s="21"/>
      <c r="C133" s="21"/>
      <c r="D133" s="21"/>
      <c r="E133" s="21"/>
      <c r="F133" s="12"/>
      <c r="G133" s="21"/>
      <c r="H133" s="21"/>
      <c r="I133" s="12"/>
      <c r="J133" s="21"/>
      <c r="K133" s="21"/>
      <c r="L133" s="21"/>
      <c r="M133" s="21"/>
      <c r="N133" s="21"/>
    </row>
    <row r="134" spans="1:14">
      <c r="A134" s="20"/>
      <c r="B134" s="21"/>
      <c r="C134" s="21"/>
      <c r="D134" s="21"/>
      <c r="E134" s="21"/>
      <c r="F134" s="12"/>
      <c r="G134" s="21"/>
      <c r="H134" s="21"/>
      <c r="I134" s="12"/>
      <c r="J134" s="21"/>
      <c r="K134" s="21"/>
      <c r="L134" s="21"/>
      <c r="M134" s="21"/>
      <c r="N134" s="21"/>
    </row>
    <row r="135" spans="1:14">
      <c r="A135" s="20"/>
      <c r="B135" s="21"/>
      <c r="C135" s="21"/>
      <c r="D135" s="21"/>
      <c r="E135" s="21"/>
      <c r="F135" s="12"/>
      <c r="G135" s="21"/>
      <c r="H135" s="21"/>
      <c r="I135" s="12"/>
      <c r="J135" s="21"/>
      <c r="K135" s="21"/>
      <c r="L135" s="21"/>
      <c r="M135" s="21"/>
      <c r="N135" s="21"/>
    </row>
    <row r="136" spans="1:14">
      <c r="A136" s="20"/>
      <c r="B136" s="21"/>
      <c r="C136" s="21"/>
      <c r="D136" s="21"/>
      <c r="E136" s="21"/>
      <c r="F136" s="12"/>
      <c r="G136" s="21"/>
      <c r="H136" s="21"/>
      <c r="I136" s="12"/>
      <c r="J136" s="21"/>
      <c r="K136" s="21"/>
      <c r="L136" s="21"/>
      <c r="M136" s="21"/>
      <c r="N136" s="21"/>
    </row>
    <row r="137" spans="1:14">
      <c r="A137" s="20"/>
      <c r="B137" s="21"/>
      <c r="C137" s="21"/>
      <c r="D137" s="21"/>
      <c r="E137" s="21"/>
      <c r="F137" s="12"/>
      <c r="G137" s="21"/>
      <c r="H137" s="21"/>
      <c r="I137" s="12"/>
      <c r="J137" s="21"/>
      <c r="K137" s="21"/>
      <c r="L137" s="21"/>
      <c r="M137" s="21"/>
      <c r="N137" s="21"/>
    </row>
    <row r="138" spans="1:14">
      <c r="A138" s="20"/>
      <c r="B138" s="21"/>
      <c r="C138" s="21"/>
      <c r="D138" s="21"/>
      <c r="E138" s="21"/>
      <c r="F138" s="12"/>
      <c r="G138" s="21"/>
      <c r="H138" s="21"/>
      <c r="I138" s="12"/>
      <c r="J138" s="21"/>
      <c r="K138" s="21"/>
      <c r="L138" s="21"/>
      <c r="M138" s="21"/>
      <c r="N138" s="21"/>
    </row>
    <row r="139" spans="1:14">
      <c r="A139" s="20"/>
      <c r="B139" s="21"/>
      <c r="C139" s="21"/>
      <c r="D139" s="21"/>
      <c r="E139" s="21"/>
      <c r="F139" s="12"/>
      <c r="G139" s="21"/>
      <c r="H139" s="21"/>
      <c r="I139" s="12"/>
      <c r="J139" s="21"/>
      <c r="K139" s="21"/>
      <c r="L139" s="21"/>
      <c r="M139" s="21"/>
      <c r="N139" s="21"/>
    </row>
    <row r="140" spans="1:14">
      <c r="A140" s="20"/>
      <c r="B140" s="21"/>
      <c r="C140" s="21"/>
      <c r="D140" s="21"/>
      <c r="E140" s="21"/>
      <c r="F140" s="12"/>
      <c r="G140" s="21"/>
      <c r="H140" s="21"/>
      <c r="I140" s="12"/>
      <c r="J140" s="21"/>
      <c r="K140" s="21"/>
      <c r="L140" s="21"/>
      <c r="M140" s="21"/>
      <c r="N140" s="21"/>
    </row>
    <row r="141" spans="1:14">
      <c r="A141" s="20"/>
      <c r="B141" s="21"/>
      <c r="C141" s="21"/>
      <c r="D141" s="21"/>
      <c r="E141" s="21"/>
      <c r="F141" s="12"/>
      <c r="G141" s="21"/>
      <c r="H141" s="21"/>
      <c r="I141" s="12"/>
      <c r="J141" s="21"/>
      <c r="K141" s="21"/>
      <c r="L141" s="21"/>
      <c r="M141" s="21"/>
      <c r="N141" s="21"/>
    </row>
    <row r="142" spans="1:14">
      <c r="A142" s="20"/>
      <c r="B142" s="21"/>
      <c r="C142" s="21"/>
      <c r="D142" s="21"/>
      <c r="E142" s="21"/>
      <c r="F142" s="12"/>
      <c r="G142" s="21"/>
      <c r="H142" s="21"/>
      <c r="I142" s="12"/>
      <c r="J142" s="21"/>
      <c r="K142" s="21"/>
      <c r="L142" s="21"/>
      <c r="M142" s="21"/>
      <c r="N142" s="21"/>
    </row>
    <row r="143" spans="1:14">
      <c r="A143" s="20"/>
      <c r="B143" s="21"/>
      <c r="C143" s="21"/>
      <c r="D143" s="21"/>
      <c r="E143" s="21"/>
      <c r="F143" s="12"/>
      <c r="G143" s="21"/>
      <c r="H143" s="21"/>
      <c r="I143" s="12"/>
      <c r="J143" s="21"/>
      <c r="K143" s="21"/>
      <c r="L143" s="21"/>
      <c r="M143" s="21"/>
      <c r="N143" s="21"/>
    </row>
    <row r="144" spans="1:14">
      <c r="A144" s="20"/>
      <c r="B144" s="21"/>
      <c r="C144" s="21"/>
      <c r="D144" s="21"/>
      <c r="E144" s="21"/>
      <c r="F144" s="12"/>
      <c r="G144" s="21"/>
      <c r="H144" s="21"/>
      <c r="I144" s="12"/>
      <c r="J144" s="21"/>
      <c r="K144" s="21"/>
      <c r="L144" s="21"/>
      <c r="M144" s="21"/>
      <c r="N144" s="21"/>
    </row>
    <row r="145" spans="1:14">
      <c r="A145" s="20"/>
      <c r="B145" s="21"/>
      <c r="C145" s="21"/>
      <c r="D145" s="21"/>
      <c r="E145" s="21"/>
      <c r="F145" s="12"/>
      <c r="G145" s="21"/>
      <c r="H145" s="21"/>
      <c r="I145" s="12"/>
      <c r="J145" s="21"/>
      <c r="K145" s="21"/>
      <c r="L145" s="21"/>
      <c r="M145" s="21"/>
      <c r="N145" s="21"/>
    </row>
    <row r="146" spans="1:14">
      <c r="A146" s="20"/>
      <c r="B146" s="21"/>
      <c r="C146" s="21"/>
      <c r="D146" s="21"/>
      <c r="E146" s="21"/>
      <c r="F146" s="12"/>
      <c r="G146" s="21"/>
      <c r="H146" s="21"/>
      <c r="I146" s="12"/>
      <c r="J146" s="21"/>
      <c r="K146" s="21"/>
      <c r="L146" s="21"/>
      <c r="M146" s="21"/>
      <c r="N146" s="21"/>
    </row>
    <row r="147" spans="1:14">
      <c r="A147" s="20"/>
      <c r="B147" s="21"/>
      <c r="C147" s="21"/>
      <c r="D147" s="21"/>
      <c r="E147" s="21"/>
      <c r="F147" s="12"/>
      <c r="G147" s="21"/>
      <c r="H147" s="21"/>
      <c r="I147" s="12"/>
      <c r="J147" s="21"/>
      <c r="K147" s="21"/>
      <c r="L147" s="21"/>
      <c r="M147" s="21"/>
      <c r="N147" s="21"/>
    </row>
    <row r="148" spans="1:14">
      <c r="A148" s="20"/>
      <c r="B148" s="21"/>
      <c r="C148" s="21"/>
      <c r="D148" s="21"/>
      <c r="E148" s="21"/>
      <c r="F148" s="12"/>
      <c r="G148" s="21"/>
      <c r="H148" s="21"/>
      <c r="I148" s="12"/>
      <c r="J148" s="21"/>
      <c r="K148" s="21"/>
      <c r="L148" s="21"/>
      <c r="M148" s="21"/>
      <c r="N148" s="21"/>
    </row>
    <row r="149" spans="1:14">
      <c r="A149" s="20"/>
      <c r="B149" s="21"/>
      <c r="C149" s="21"/>
      <c r="D149" s="21"/>
      <c r="E149" s="21"/>
      <c r="F149" s="12"/>
      <c r="G149" s="21"/>
      <c r="H149" s="21"/>
      <c r="I149" s="12"/>
      <c r="J149" s="21"/>
      <c r="K149" s="21"/>
      <c r="L149" s="21"/>
      <c r="M149" s="21"/>
      <c r="N149" s="21"/>
    </row>
    <row r="150" spans="1:14">
      <c r="A150" s="20"/>
      <c r="B150" s="21"/>
      <c r="C150" s="21"/>
      <c r="D150" s="21"/>
      <c r="E150" s="21"/>
      <c r="F150" s="12"/>
      <c r="G150" s="21"/>
      <c r="H150" s="21"/>
      <c r="I150" s="12"/>
      <c r="J150" s="21"/>
      <c r="K150" s="21"/>
      <c r="L150" s="21"/>
      <c r="M150" s="21"/>
      <c r="N150" s="21"/>
    </row>
    <row r="151" spans="1:14">
      <c r="A151" s="20"/>
      <c r="B151" s="21"/>
      <c r="C151" s="21"/>
      <c r="D151" s="21"/>
      <c r="E151" s="21"/>
      <c r="F151" s="12"/>
      <c r="G151" s="21"/>
      <c r="H151" s="21"/>
      <c r="I151" s="12"/>
      <c r="J151" s="21"/>
      <c r="K151" s="21"/>
      <c r="L151" s="21"/>
      <c r="M151" s="21"/>
      <c r="N151" s="21"/>
    </row>
    <row r="152" spans="1:14">
      <c r="A152" s="20"/>
      <c r="B152" s="21"/>
      <c r="C152" s="21"/>
      <c r="D152" s="21"/>
      <c r="E152" s="21"/>
      <c r="F152" s="12"/>
      <c r="G152" s="21"/>
      <c r="H152" s="21"/>
      <c r="I152" s="12"/>
      <c r="J152" s="21"/>
      <c r="K152" s="21"/>
      <c r="L152" s="21"/>
      <c r="M152" s="21"/>
      <c r="N152" s="21"/>
    </row>
    <row r="153" spans="1:14">
      <c r="A153" s="20"/>
      <c r="B153" s="21"/>
      <c r="C153" s="21"/>
      <c r="D153" s="21"/>
      <c r="E153" s="21"/>
      <c r="F153" s="12"/>
      <c r="G153" s="21"/>
      <c r="H153" s="21"/>
      <c r="I153" s="12"/>
      <c r="J153" s="21"/>
      <c r="K153" s="21"/>
      <c r="L153" s="21"/>
      <c r="M153" s="21"/>
      <c r="N153" s="21"/>
    </row>
    <row r="154" spans="1:14">
      <c r="A154" s="20"/>
      <c r="B154" s="21"/>
      <c r="C154" s="21"/>
      <c r="D154" s="21"/>
      <c r="E154" s="21"/>
      <c r="F154" s="12"/>
      <c r="G154" s="21"/>
      <c r="H154" s="21"/>
      <c r="I154" s="12"/>
      <c r="J154" s="21"/>
      <c r="K154" s="21"/>
      <c r="L154" s="21"/>
      <c r="M154" s="21"/>
      <c r="N154" s="21"/>
    </row>
    <row r="155" spans="1:14">
      <c r="A155" s="20"/>
      <c r="B155" s="21"/>
      <c r="C155" s="21"/>
      <c r="D155" s="21"/>
      <c r="E155" s="21"/>
      <c r="F155" s="12"/>
      <c r="G155" s="21"/>
      <c r="H155" s="21"/>
      <c r="I155" s="12"/>
      <c r="J155" s="21"/>
      <c r="K155" s="21"/>
      <c r="L155" s="21"/>
      <c r="M155" s="21"/>
      <c r="N155" s="21"/>
    </row>
    <row r="156" spans="1:14">
      <c r="A156" s="20"/>
      <c r="B156" s="21"/>
      <c r="C156" s="21"/>
      <c r="D156" s="21"/>
      <c r="E156" s="21"/>
      <c r="F156" s="12"/>
      <c r="G156" s="21"/>
      <c r="H156" s="21"/>
      <c r="I156" s="12"/>
      <c r="J156" s="21"/>
      <c r="K156" s="21"/>
      <c r="L156" s="21"/>
      <c r="M156" s="21"/>
      <c r="N156" s="21"/>
    </row>
    <row r="157" spans="1:14">
      <c r="A157" s="20"/>
      <c r="B157" s="21"/>
      <c r="C157" s="21"/>
      <c r="D157" s="21"/>
      <c r="E157" s="21"/>
      <c r="F157" s="12"/>
      <c r="G157" s="21"/>
      <c r="H157" s="21"/>
      <c r="I157" s="12"/>
      <c r="J157" s="21"/>
      <c r="K157" s="21"/>
      <c r="L157" s="21"/>
      <c r="M157" s="21"/>
      <c r="N157" s="21"/>
    </row>
    <row r="158" spans="1:14">
      <c r="A158" s="20"/>
      <c r="B158" s="21"/>
      <c r="C158" s="21"/>
      <c r="D158" s="21"/>
      <c r="E158" s="21"/>
      <c r="F158" s="12"/>
      <c r="G158" s="21"/>
      <c r="H158" s="21"/>
      <c r="I158" s="12"/>
      <c r="J158" s="21"/>
      <c r="K158" s="21"/>
      <c r="L158" s="21"/>
      <c r="M158" s="21"/>
      <c r="N158" s="21"/>
    </row>
    <row r="159" spans="1:14">
      <c r="A159" s="20"/>
      <c r="B159" s="21"/>
      <c r="C159" s="21"/>
      <c r="D159" s="21"/>
      <c r="E159" s="21"/>
      <c r="F159" s="12"/>
      <c r="G159" s="21"/>
      <c r="H159" s="21"/>
      <c r="I159" s="12"/>
      <c r="J159" s="21"/>
      <c r="K159" s="21"/>
      <c r="L159" s="21"/>
      <c r="M159" s="21"/>
      <c r="N159" s="21"/>
    </row>
    <row r="160" spans="1:14">
      <c r="A160" s="20"/>
      <c r="B160" s="21"/>
      <c r="C160" s="21"/>
      <c r="D160" s="21"/>
      <c r="E160" s="21"/>
      <c r="F160" s="12"/>
      <c r="G160" s="21"/>
      <c r="H160" s="21"/>
      <c r="I160" s="12"/>
      <c r="J160" s="21"/>
      <c r="K160" s="21"/>
      <c r="L160" s="21"/>
      <c r="M160" s="21"/>
      <c r="N160" s="21"/>
    </row>
    <row r="161" spans="1:14">
      <c r="A161" s="20"/>
      <c r="B161" s="21"/>
      <c r="C161" s="21"/>
      <c r="D161" s="21"/>
      <c r="E161" s="21"/>
      <c r="F161" s="12"/>
      <c r="G161" s="21"/>
      <c r="H161" s="21"/>
      <c r="I161" s="12"/>
      <c r="J161" s="21"/>
      <c r="K161" s="21"/>
      <c r="L161" s="21"/>
      <c r="M161" s="21"/>
      <c r="N161" s="21"/>
    </row>
    <row r="162" spans="1:14">
      <c r="A162" s="20"/>
      <c r="B162" s="21"/>
      <c r="C162" s="21"/>
      <c r="D162" s="21"/>
      <c r="E162" s="21"/>
      <c r="F162" s="12"/>
      <c r="G162" s="21"/>
      <c r="H162" s="21"/>
      <c r="I162" s="12"/>
      <c r="J162" s="21"/>
      <c r="K162" s="21"/>
      <c r="L162" s="21"/>
      <c r="M162" s="21"/>
      <c r="N162" s="21"/>
    </row>
    <row r="163" spans="1:14">
      <c r="A163" s="20"/>
      <c r="B163" s="21"/>
      <c r="C163" s="21"/>
      <c r="D163" s="21"/>
      <c r="E163" s="21"/>
      <c r="F163" s="12"/>
      <c r="G163" s="21"/>
      <c r="H163" s="21"/>
      <c r="I163" s="12"/>
      <c r="J163" s="21"/>
      <c r="K163" s="21"/>
      <c r="L163" s="21"/>
      <c r="M163" s="21"/>
      <c r="N163" s="21"/>
    </row>
    <row r="164" spans="1:14">
      <c r="A164" s="20"/>
      <c r="B164" s="21"/>
      <c r="C164" s="21"/>
      <c r="D164" s="21"/>
      <c r="E164" s="21"/>
      <c r="F164" s="12"/>
      <c r="G164" s="21"/>
      <c r="H164" s="21"/>
      <c r="I164" s="12"/>
      <c r="J164" s="21"/>
      <c r="K164" s="21"/>
      <c r="L164" s="21"/>
      <c r="M164" s="21"/>
      <c r="N164" s="21"/>
    </row>
    <row r="165" spans="1:14">
      <c r="A165" s="20"/>
      <c r="B165" s="21"/>
      <c r="C165" s="21"/>
      <c r="D165" s="21"/>
      <c r="E165" s="21"/>
      <c r="F165" s="12"/>
      <c r="G165" s="21"/>
      <c r="H165" s="21"/>
      <c r="I165" s="12"/>
      <c r="J165" s="21"/>
      <c r="K165" s="21"/>
      <c r="L165" s="21"/>
      <c r="M165" s="21"/>
      <c r="N165" s="21"/>
    </row>
    <row r="166" spans="1:14">
      <c r="A166" s="20"/>
      <c r="B166" s="21"/>
      <c r="C166" s="21"/>
      <c r="D166" s="21"/>
      <c r="E166" s="21"/>
      <c r="F166" s="12"/>
      <c r="G166" s="21"/>
      <c r="H166" s="21"/>
      <c r="I166" s="12"/>
      <c r="J166" s="21"/>
      <c r="K166" s="21"/>
      <c r="L166" s="21"/>
      <c r="M166" s="21"/>
      <c r="N166" s="21"/>
    </row>
    <row r="167" spans="1:14">
      <c r="A167" s="20"/>
      <c r="B167" s="21"/>
      <c r="C167" s="21"/>
      <c r="D167" s="21"/>
      <c r="E167" s="21"/>
      <c r="F167" s="12"/>
      <c r="G167" s="21"/>
      <c r="H167" s="21"/>
      <c r="I167" s="12"/>
      <c r="J167" s="21"/>
      <c r="K167" s="21"/>
      <c r="L167" s="21"/>
      <c r="M167" s="21"/>
      <c r="N167" s="21"/>
    </row>
    <row r="168" spans="1:14">
      <c r="A168" s="20"/>
      <c r="B168" s="21"/>
      <c r="C168" s="21"/>
      <c r="D168" s="21"/>
      <c r="E168" s="21"/>
      <c r="F168" s="12"/>
      <c r="G168" s="21"/>
      <c r="H168" s="21"/>
      <c r="I168" s="12"/>
      <c r="J168" s="21"/>
      <c r="K168" s="21"/>
      <c r="L168" s="21"/>
      <c r="M168" s="21"/>
      <c r="N168" s="21"/>
    </row>
    <row r="169" spans="1:14">
      <c r="A169" s="20"/>
      <c r="B169" s="21"/>
      <c r="C169" s="21"/>
      <c r="D169" s="21"/>
      <c r="E169" s="21"/>
      <c r="F169" s="12"/>
      <c r="G169" s="21"/>
      <c r="H169" s="21"/>
      <c r="I169" s="12"/>
      <c r="J169" s="21"/>
      <c r="K169" s="21"/>
      <c r="L169" s="21"/>
      <c r="M169" s="21"/>
      <c r="N169" s="21"/>
    </row>
  </sheetData>
  <mergeCells count="4">
    <mergeCell ref="B2:B3"/>
    <mergeCell ref="C2:E3"/>
    <mergeCell ref="H2:I2"/>
    <mergeCell ref="H3:I3"/>
  </mergeCells>
  <phoneticPr fontId="3"/>
  <conditionalFormatting sqref="I7:I12 I14:I22 I24:I29 I31:I58 I60:I62 I64:I169">
    <cfRule type="cellIs" dxfId="2" priority="17" stopIfTrue="1" operator="equal">
      <formula>"否"</formula>
    </cfRule>
  </conditionalFormatting>
  <conditionalFormatting sqref="J6:J22 L6:M22 J24:J169 L24:M169">
    <cfRule type="cellIs" dxfId="1" priority="8" stopIfTrue="1" operator="equal">
      <formula>"NG"</formula>
    </cfRule>
  </conditionalFormatting>
  <conditionalFormatting sqref="M73:N73 M94:N104">
    <cfRule type="cellIs" dxfId="0" priority="21" stopIfTrue="1" operator="equal">
      <formula>"NG"</formula>
    </cfRule>
  </conditionalFormatting>
  <dataValidations count="4">
    <dataValidation type="list" allowBlank="1" showInputMessage="1" showErrorMessage="1" sqref="L6:M22 J6:J22 L24:M169 J24:J169" xr:uid="{FFC153D0-1D5B-414F-AD83-22875610DEB9}">
      <formula1>"OK,NG"</formula1>
    </dataValidation>
    <dataValidation type="list" allowBlank="1" showInputMessage="1" showErrorMessage="1" sqref="I6:I22 I24:I169" xr:uid="{428927EC-79D1-4235-9FBA-A45A4DF5AB72}">
      <formula1>"要,否"</formula1>
    </dataValidation>
    <dataValidation type="list" allowBlank="1" showInputMessage="1" showErrorMessage="1" sqref="H6:H22 H24:H169" xr:uid="{EF925F08-92D1-4C23-BC8A-7803F1D65B98}">
      <formula1>"ツール,手動"</formula1>
    </dataValidation>
    <dataValidation type="list" allowBlank="1" showInputMessage="1" showErrorMessage="1" sqref="G6:G22 G24:G169" xr:uid="{8CF506BF-CEA7-4022-9B75-8E42DE07E4E0}">
      <formula1>"生成AI,手動"</formula1>
    </dataValidation>
  </dataValidations>
  <hyperlinks>
    <hyperlink ref="F9" location="引数チェック!A1" display="引数チェック" xr:uid="{F7967D05-ACC5-4062-9B17-EA45FF143A45}"/>
    <hyperlink ref="F10" location="引数チェック!A1" display="引数チェック" xr:uid="{147A163A-F4EB-4469-A9CA-121438537B09}"/>
    <hyperlink ref="F11" location="引数チェック!A1" display="引数チェック" xr:uid="{F1455275-CE72-44E5-8A2B-2C8A8723C669}"/>
    <hyperlink ref="F7" location="引数チェック!A1" display="引数チェック" xr:uid="{CFFD0323-AF83-429F-A3DD-34A34254B4FD}"/>
    <hyperlink ref="F8" location="引数チェック!A1" display="引数チェック" xr:uid="{12B83E0E-E8B1-4D43-B5A7-0AEF60D45D63}"/>
    <hyperlink ref="F12" location="引数チェック!A1" display="引数チェック" xr:uid="{36FF8AE9-0244-47A5-A820-7D5BE778EEC9}"/>
    <hyperlink ref="F14" location="主処理!A1" display="主処理" xr:uid="{B987CFB8-40E9-4E7A-B4F8-564C461F490F}"/>
    <hyperlink ref="F15:F29" location="主処理!A1" display="主処理" xr:uid="{6BB35A32-2EB2-47C4-9EB2-C7D9E4336DD0}"/>
    <hyperlink ref="F31:F58" location="主処理!A1" display="主処理" xr:uid="{D52D880A-4DA8-492A-A285-C191CCB9FCB7}"/>
    <hyperlink ref="F64" location="主処理!A1" display="主処理" xr:uid="{0842EF1E-6A75-4E30-98EE-BA05C8226AFC}"/>
    <hyperlink ref="F65:F73" location="主処理!A1" display="主処理" xr:uid="{77689184-5593-4806-AA34-0F2D85625EB3}"/>
    <hyperlink ref="F60:F62" location="主処理!A1" display="主処理" xr:uid="{1780B544-E980-486A-ACB9-8CDFA3DFAD61}"/>
  </hyperlinks>
  <pageMargins left="0.78700000000000003" right="0.78700000000000003" top="0.98399999999999999" bottom="0.98399999999999999" header="0.51200000000000001" footer="0.51200000000000001"/>
  <pageSetup paperSize="9" scale="74" orientation="portrait" r:id="rId1"/>
  <headerFooter alignWithMargins="0"/>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57EB0-4A71-4650-AB9D-C04DB39B8D81}">
  <dimension ref="A1:BG110"/>
  <sheetViews>
    <sheetView showGridLines="0" workbookViewId="0">
      <pane ySplit="9" topLeftCell="A10" activePane="bottomLeft" state="frozen"/>
      <selection activeCell="H40" sqref="H40"/>
      <selection pane="bottomLeft" activeCell="H36" sqref="H36"/>
    </sheetView>
  </sheetViews>
  <sheetFormatPr defaultRowHeight="15"/>
  <cols>
    <col min="1" max="1" width="5.453125" style="28" bestFit="1" customWidth="1"/>
    <col min="2" max="2" width="4.6328125" style="28" customWidth="1"/>
    <col min="3" max="3" width="3.08984375" style="28" customWidth="1"/>
    <col min="4" max="4" width="16" style="30" bestFit="1" customWidth="1"/>
    <col min="5" max="5" width="13.36328125" style="30" bestFit="1" customWidth="1"/>
    <col min="6" max="6" width="23.26953125" style="30" bestFit="1" customWidth="1"/>
    <col min="7" max="7" width="18.08984375" style="30" customWidth="1"/>
    <col min="8" max="8" width="14.26953125" style="30" bestFit="1" customWidth="1"/>
    <col min="9" max="9" width="23.26953125" style="30" bestFit="1" customWidth="1"/>
    <col min="10" max="10" width="16.90625" style="30" bestFit="1" customWidth="1"/>
    <col min="11" max="11" width="19.6328125" style="28" bestFit="1" customWidth="1"/>
    <col min="12" max="12" width="23.26953125" style="28" customWidth="1"/>
    <col min="13" max="13" width="14.1796875" style="28" bestFit="1" customWidth="1"/>
    <col min="14" max="14" width="14.26953125" style="28" customWidth="1"/>
    <col min="15" max="15" width="23.26953125" style="28" customWidth="1"/>
    <col min="16" max="16" width="16.453125" style="28" bestFit="1" customWidth="1"/>
    <col min="17" max="17" width="15.54296875" style="28" bestFit="1" customWidth="1"/>
    <col min="18" max="18" width="23.26953125" style="28" customWidth="1"/>
    <col min="19" max="19" width="16.1796875" style="28" bestFit="1" customWidth="1"/>
    <col min="20" max="21" width="13.6328125" style="28" bestFit="1" customWidth="1"/>
    <col min="22" max="22" width="18.08984375" style="28" bestFit="1" customWidth="1"/>
    <col min="23" max="23" width="17" style="28" bestFit="1" customWidth="1"/>
    <col min="24" max="24" width="14.54296875" style="28" bestFit="1" customWidth="1"/>
    <col min="25" max="25" width="15.1796875" style="28" bestFit="1" customWidth="1"/>
    <col min="26" max="26" width="15.08984375" style="28" bestFit="1" customWidth="1"/>
    <col min="27" max="27" width="9.90625" style="28" bestFit="1" customWidth="1"/>
    <col min="28" max="28" width="13.6328125" style="28" bestFit="1" customWidth="1"/>
    <col min="29" max="29" width="24.6328125" style="28" bestFit="1" customWidth="1"/>
    <col min="30" max="30" width="14.54296875" style="28" customWidth="1"/>
    <col min="31" max="31" width="24.6328125" style="28" bestFit="1" customWidth="1"/>
    <col min="32" max="32" width="16.26953125" style="28" customWidth="1"/>
    <col min="33" max="33" width="14.7265625" style="28" bestFit="1" customWidth="1"/>
    <col min="34" max="34" width="21.36328125" style="28" customWidth="1"/>
    <col min="35" max="35" width="23.7265625" style="28" customWidth="1"/>
    <col min="36" max="36" width="23.08984375" style="28" customWidth="1"/>
    <col min="37" max="37" width="27.7265625" style="28" customWidth="1"/>
    <col min="38" max="38" width="9.90625" style="28" bestFit="1" customWidth="1"/>
    <col min="39" max="39" width="18.7265625" style="28" bestFit="1" customWidth="1"/>
    <col min="40" max="40" width="17.81640625" style="28" bestFit="1" customWidth="1"/>
    <col min="41" max="41" width="14.7265625" style="28" bestFit="1" customWidth="1"/>
    <col min="42" max="42" width="11.81640625" style="28" bestFit="1" customWidth="1"/>
    <col min="43" max="43" width="15.54296875" style="28" bestFit="1" customWidth="1"/>
    <col min="44" max="44" width="14.54296875" style="28" bestFit="1" customWidth="1"/>
    <col min="45" max="45" width="20.7265625" style="28" bestFit="1" customWidth="1"/>
    <col min="46" max="46" width="13.6328125" style="28" bestFit="1" customWidth="1"/>
    <col min="47" max="47" width="25.1796875" style="28" bestFit="1" customWidth="1"/>
    <col min="48" max="48" width="18.90625" style="28" bestFit="1" customWidth="1"/>
    <col min="49" max="49" width="20.1796875" style="28" bestFit="1" customWidth="1"/>
    <col min="50" max="50" width="16.08984375" style="28" bestFit="1" customWidth="1"/>
    <col min="51" max="51" width="18.90625" style="28" bestFit="1" customWidth="1"/>
    <col min="52" max="52" width="19.08984375" style="28" bestFit="1" customWidth="1"/>
    <col min="53" max="53" width="14.26953125" style="28" bestFit="1" customWidth="1"/>
    <col min="54" max="54" width="15.26953125" style="28" bestFit="1" customWidth="1"/>
    <col min="55" max="55" width="12.90625" style="28" bestFit="1" customWidth="1"/>
    <col min="56" max="56" width="12.6328125" style="28" bestFit="1" customWidth="1"/>
    <col min="57" max="57" width="15.6328125" style="28" bestFit="1" customWidth="1"/>
    <col min="58" max="58" width="13.453125" style="28" bestFit="1" customWidth="1"/>
    <col min="59" max="59" width="13.1796875" style="28" bestFit="1" customWidth="1"/>
    <col min="60" max="60" width="8.7265625" style="28" customWidth="1"/>
    <col min="61" max="256" width="9" style="28"/>
    <col min="257" max="257" width="3.08984375" style="28" customWidth="1"/>
    <col min="258" max="258" width="4.6328125" style="28" customWidth="1"/>
    <col min="259" max="259" width="3.08984375" style="28" customWidth="1"/>
    <col min="260" max="260" width="12.90625" style="28" customWidth="1"/>
    <col min="261" max="261" width="11.08984375" style="28" customWidth="1"/>
    <col min="262" max="262" width="12.26953125" style="28" customWidth="1"/>
    <col min="263" max="263" width="11.90625" style="28" customWidth="1"/>
    <col min="264" max="264" width="9.36328125" style="28" customWidth="1"/>
    <col min="265" max="265" width="11.08984375" style="28" customWidth="1"/>
    <col min="266" max="266" width="10.453125" style="28" customWidth="1"/>
    <col min="267" max="267" width="9.7265625" style="28" customWidth="1"/>
    <col min="268" max="512" width="9" style="28"/>
    <col min="513" max="513" width="3.08984375" style="28" customWidth="1"/>
    <col min="514" max="514" width="4.6328125" style="28" customWidth="1"/>
    <col min="515" max="515" width="3.08984375" style="28" customWidth="1"/>
    <col min="516" max="516" width="12.90625" style="28" customWidth="1"/>
    <col min="517" max="517" width="11.08984375" style="28" customWidth="1"/>
    <col min="518" max="518" width="12.26953125" style="28" customWidth="1"/>
    <col min="519" max="519" width="11.90625" style="28" customWidth="1"/>
    <col min="520" max="520" width="9.36328125" style="28" customWidth="1"/>
    <col min="521" max="521" width="11.08984375" style="28" customWidth="1"/>
    <col min="522" max="522" width="10.453125" style="28" customWidth="1"/>
    <col min="523" max="523" width="9.7265625" style="28" customWidth="1"/>
    <col min="524" max="768" width="9" style="28"/>
    <col min="769" max="769" width="3.08984375" style="28" customWidth="1"/>
    <col min="770" max="770" width="4.6328125" style="28" customWidth="1"/>
    <col min="771" max="771" width="3.08984375" style="28" customWidth="1"/>
    <col min="772" max="772" width="12.90625" style="28" customWidth="1"/>
    <col min="773" max="773" width="11.08984375" style="28" customWidth="1"/>
    <col min="774" max="774" width="12.26953125" style="28" customWidth="1"/>
    <col min="775" max="775" width="11.90625" style="28" customWidth="1"/>
    <col min="776" max="776" width="9.36328125" style="28" customWidth="1"/>
    <col min="777" max="777" width="11.08984375" style="28" customWidth="1"/>
    <col min="778" max="778" width="10.453125" style="28" customWidth="1"/>
    <col min="779" max="779" width="9.7265625" style="28" customWidth="1"/>
    <col min="780" max="1024" width="9" style="28"/>
    <col min="1025" max="1025" width="3.08984375" style="28" customWidth="1"/>
    <col min="1026" max="1026" width="4.6328125" style="28" customWidth="1"/>
    <col min="1027" max="1027" width="3.08984375" style="28" customWidth="1"/>
    <col min="1028" max="1028" width="12.90625" style="28" customWidth="1"/>
    <col min="1029" max="1029" width="11.08984375" style="28" customWidth="1"/>
    <col min="1030" max="1030" width="12.26953125" style="28" customWidth="1"/>
    <col min="1031" max="1031" width="11.90625" style="28" customWidth="1"/>
    <col min="1032" max="1032" width="9.36328125" style="28" customWidth="1"/>
    <col min="1033" max="1033" width="11.08984375" style="28" customWidth="1"/>
    <col min="1034" max="1034" width="10.453125" style="28" customWidth="1"/>
    <col min="1035" max="1035" width="9.7265625" style="28" customWidth="1"/>
    <col min="1036" max="1280" width="9" style="28"/>
    <col min="1281" max="1281" width="3.08984375" style="28" customWidth="1"/>
    <col min="1282" max="1282" width="4.6328125" style="28" customWidth="1"/>
    <col min="1283" max="1283" width="3.08984375" style="28" customWidth="1"/>
    <col min="1284" max="1284" width="12.90625" style="28" customWidth="1"/>
    <col min="1285" max="1285" width="11.08984375" style="28" customWidth="1"/>
    <col min="1286" max="1286" width="12.26953125" style="28" customWidth="1"/>
    <col min="1287" max="1287" width="11.90625" style="28" customWidth="1"/>
    <col min="1288" max="1288" width="9.36328125" style="28" customWidth="1"/>
    <col min="1289" max="1289" width="11.08984375" style="28" customWidth="1"/>
    <col min="1290" max="1290" width="10.453125" style="28" customWidth="1"/>
    <col min="1291" max="1291" width="9.7265625" style="28" customWidth="1"/>
    <col min="1292" max="1536" width="9" style="28"/>
    <col min="1537" max="1537" width="3.08984375" style="28" customWidth="1"/>
    <col min="1538" max="1538" width="4.6328125" style="28" customWidth="1"/>
    <col min="1539" max="1539" width="3.08984375" style="28" customWidth="1"/>
    <col min="1540" max="1540" width="12.90625" style="28" customWidth="1"/>
    <col min="1541" max="1541" width="11.08984375" style="28" customWidth="1"/>
    <col min="1542" max="1542" width="12.26953125" style="28" customWidth="1"/>
    <col min="1543" max="1543" width="11.90625" style="28" customWidth="1"/>
    <col min="1544" max="1544" width="9.36328125" style="28" customWidth="1"/>
    <col min="1545" max="1545" width="11.08984375" style="28" customWidth="1"/>
    <col min="1546" max="1546" width="10.453125" style="28" customWidth="1"/>
    <col min="1547" max="1547" width="9.7265625" style="28" customWidth="1"/>
    <col min="1548" max="1792" width="9" style="28"/>
    <col min="1793" max="1793" width="3.08984375" style="28" customWidth="1"/>
    <col min="1794" max="1794" width="4.6328125" style="28" customWidth="1"/>
    <col min="1795" max="1795" width="3.08984375" style="28" customWidth="1"/>
    <col min="1796" max="1796" width="12.90625" style="28" customWidth="1"/>
    <col min="1797" max="1797" width="11.08984375" style="28" customWidth="1"/>
    <col min="1798" max="1798" width="12.26953125" style="28" customWidth="1"/>
    <col min="1799" max="1799" width="11.90625" style="28" customWidth="1"/>
    <col min="1800" max="1800" width="9.36328125" style="28" customWidth="1"/>
    <col min="1801" max="1801" width="11.08984375" style="28" customWidth="1"/>
    <col min="1802" max="1802" width="10.453125" style="28" customWidth="1"/>
    <col min="1803" max="1803" width="9.7265625" style="28" customWidth="1"/>
    <col min="1804" max="2048" width="9" style="28"/>
    <col min="2049" max="2049" width="3.08984375" style="28" customWidth="1"/>
    <col min="2050" max="2050" width="4.6328125" style="28" customWidth="1"/>
    <col min="2051" max="2051" width="3.08984375" style="28" customWidth="1"/>
    <col min="2052" max="2052" width="12.90625" style="28" customWidth="1"/>
    <col min="2053" max="2053" width="11.08984375" style="28" customWidth="1"/>
    <col min="2054" max="2054" width="12.26953125" style="28" customWidth="1"/>
    <col min="2055" max="2055" width="11.90625" style="28" customWidth="1"/>
    <col min="2056" max="2056" width="9.36328125" style="28" customWidth="1"/>
    <col min="2057" max="2057" width="11.08984375" style="28" customWidth="1"/>
    <col min="2058" max="2058" width="10.453125" style="28" customWidth="1"/>
    <col min="2059" max="2059" width="9.7265625" style="28" customWidth="1"/>
    <col min="2060" max="2304" width="9" style="28"/>
    <col min="2305" max="2305" width="3.08984375" style="28" customWidth="1"/>
    <col min="2306" max="2306" width="4.6328125" style="28" customWidth="1"/>
    <col min="2307" max="2307" width="3.08984375" style="28" customWidth="1"/>
    <col min="2308" max="2308" width="12.90625" style="28" customWidth="1"/>
    <col min="2309" max="2309" width="11.08984375" style="28" customWidth="1"/>
    <col min="2310" max="2310" width="12.26953125" style="28" customWidth="1"/>
    <col min="2311" max="2311" width="11.90625" style="28" customWidth="1"/>
    <col min="2312" max="2312" width="9.36328125" style="28" customWidth="1"/>
    <col min="2313" max="2313" width="11.08984375" style="28" customWidth="1"/>
    <col min="2314" max="2314" width="10.453125" style="28" customWidth="1"/>
    <col min="2315" max="2315" width="9.7265625" style="28" customWidth="1"/>
    <col min="2316" max="2560" width="9" style="28"/>
    <col min="2561" max="2561" width="3.08984375" style="28" customWidth="1"/>
    <col min="2562" max="2562" width="4.6328125" style="28" customWidth="1"/>
    <col min="2563" max="2563" width="3.08984375" style="28" customWidth="1"/>
    <col min="2564" max="2564" width="12.90625" style="28" customWidth="1"/>
    <col min="2565" max="2565" width="11.08984375" style="28" customWidth="1"/>
    <col min="2566" max="2566" width="12.26953125" style="28" customWidth="1"/>
    <col min="2567" max="2567" width="11.90625" style="28" customWidth="1"/>
    <col min="2568" max="2568" width="9.36328125" style="28" customWidth="1"/>
    <col min="2569" max="2569" width="11.08984375" style="28" customWidth="1"/>
    <col min="2570" max="2570" width="10.453125" style="28" customWidth="1"/>
    <col min="2571" max="2571" width="9.7265625" style="28" customWidth="1"/>
    <col min="2572" max="2816" width="9" style="28"/>
    <col min="2817" max="2817" width="3.08984375" style="28" customWidth="1"/>
    <col min="2818" max="2818" width="4.6328125" style="28" customWidth="1"/>
    <col min="2819" max="2819" width="3.08984375" style="28" customWidth="1"/>
    <col min="2820" max="2820" width="12.90625" style="28" customWidth="1"/>
    <col min="2821" max="2821" width="11.08984375" style="28" customWidth="1"/>
    <col min="2822" max="2822" width="12.26953125" style="28" customWidth="1"/>
    <col min="2823" max="2823" width="11.90625" style="28" customWidth="1"/>
    <col min="2824" max="2824" width="9.36328125" style="28" customWidth="1"/>
    <col min="2825" max="2825" width="11.08984375" style="28" customWidth="1"/>
    <col min="2826" max="2826" width="10.453125" style="28" customWidth="1"/>
    <col min="2827" max="2827" width="9.7265625" style="28" customWidth="1"/>
    <col min="2828" max="3072" width="9" style="28"/>
    <col min="3073" max="3073" width="3.08984375" style="28" customWidth="1"/>
    <col min="3074" max="3074" width="4.6328125" style="28" customWidth="1"/>
    <col min="3075" max="3075" width="3.08984375" style="28" customWidth="1"/>
    <col min="3076" max="3076" width="12.90625" style="28" customWidth="1"/>
    <col min="3077" max="3077" width="11.08984375" style="28" customWidth="1"/>
    <col min="3078" max="3078" width="12.26953125" style="28" customWidth="1"/>
    <col min="3079" max="3079" width="11.90625" style="28" customWidth="1"/>
    <col min="3080" max="3080" width="9.36328125" style="28" customWidth="1"/>
    <col min="3081" max="3081" width="11.08984375" style="28" customWidth="1"/>
    <col min="3082" max="3082" width="10.453125" style="28" customWidth="1"/>
    <col min="3083" max="3083" width="9.7265625" style="28" customWidth="1"/>
    <col min="3084" max="3328" width="9" style="28"/>
    <col min="3329" max="3329" width="3.08984375" style="28" customWidth="1"/>
    <col min="3330" max="3330" width="4.6328125" style="28" customWidth="1"/>
    <col min="3331" max="3331" width="3.08984375" style="28" customWidth="1"/>
    <col min="3332" max="3332" width="12.90625" style="28" customWidth="1"/>
    <col min="3333" max="3333" width="11.08984375" style="28" customWidth="1"/>
    <col min="3334" max="3334" width="12.26953125" style="28" customWidth="1"/>
    <col min="3335" max="3335" width="11.90625" style="28" customWidth="1"/>
    <col min="3336" max="3336" width="9.36328125" style="28" customWidth="1"/>
    <col min="3337" max="3337" width="11.08984375" style="28" customWidth="1"/>
    <col min="3338" max="3338" width="10.453125" style="28" customWidth="1"/>
    <col min="3339" max="3339" width="9.7265625" style="28" customWidth="1"/>
    <col min="3340" max="3584" width="9" style="28"/>
    <col min="3585" max="3585" width="3.08984375" style="28" customWidth="1"/>
    <col min="3586" max="3586" width="4.6328125" style="28" customWidth="1"/>
    <col min="3587" max="3587" width="3.08984375" style="28" customWidth="1"/>
    <col min="3588" max="3588" width="12.90625" style="28" customWidth="1"/>
    <col min="3589" max="3589" width="11.08984375" style="28" customWidth="1"/>
    <col min="3590" max="3590" width="12.26953125" style="28" customWidth="1"/>
    <col min="3591" max="3591" width="11.90625" style="28" customWidth="1"/>
    <col min="3592" max="3592" width="9.36328125" style="28" customWidth="1"/>
    <col min="3593" max="3593" width="11.08984375" style="28" customWidth="1"/>
    <col min="3594" max="3594" width="10.453125" style="28" customWidth="1"/>
    <col min="3595" max="3595" width="9.7265625" style="28" customWidth="1"/>
    <col min="3596" max="3840" width="9" style="28"/>
    <col min="3841" max="3841" width="3.08984375" style="28" customWidth="1"/>
    <col min="3842" max="3842" width="4.6328125" style="28" customWidth="1"/>
    <col min="3843" max="3843" width="3.08984375" style="28" customWidth="1"/>
    <col min="3844" max="3844" width="12.90625" style="28" customWidth="1"/>
    <col min="3845" max="3845" width="11.08984375" style="28" customWidth="1"/>
    <col min="3846" max="3846" width="12.26953125" style="28" customWidth="1"/>
    <col min="3847" max="3847" width="11.90625" style="28" customWidth="1"/>
    <col min="3848" max="3848" width="9.36328125" style="28" customWidth="1"/>
    <col min="3849" max="3849" width="11.08984375" style="28" customWidth="1"/>
    <col min="3850" max="3850" width="10.453125" style="28" customWidth="1"/>
    <col min="3851" max="3851" width="9.7265625" style="28" customWidth="1"/>
    <col min="3852" max="4096" width="9" style="28"/>
    <col min="4097" max="4097" width="3.08984375" style="28" customWidth="1"/>
    <col min="4098" max="4098" width="4.6328125" style="28" customWidth="1"/>
    <col min="4099" max="4099" width="3.08984375" style="28" customWidth="1"/>
    <col min="4100" max="4100" width="12.90625" style="28" customWidth="1"/>
    <col min="4101" max="4101" width="11.08984375" style="28" customWidth="1"/>
    <col min="4102" max="4102" width="12.26953125" style="28" customWidth="1"/>
    <col min="4103" max="4103" width="11.90625" style="28" customWidth="1"/>
    <col min="4104" max="4104" width="9.36328125" style="28" customWidth="1"/>
    <col min="4105" max="4105" width="11.08984375" style="28" customWidth="1"/>
    <col min="4106" max="4106" width="10.453125" style="28" customWidth="1"/>
    <col min="4107" max="4107" width="9.7265625" style="28" customWidth="1"/>
    <col min="4108" max="4352" width="9" style="28"/>
    <col min="4353" max="4353" width="3.08984375" style="28" customWidth="1"/>
    <col min="4354" max="4354" width="4.6328125" style="28" customWidth="1"/>
    <col min="4355" max="4355" width="3.08984375" style="28" customWidth="1"/>
    <col min="4356" max="4356" width="12.90625" style="28" customWidth="1"/>
    <col min="4357" max="4357" width="11.08984375" style="28" customWidth="1"/>
    <col min="4358" max="4358" width="12.26953125" style="28" customWidth="1"/>
    <col min="4359" max="4359" width="11.90625" style="28" customWidth="1"/>
    <col min="4360" max="4360" width="9.36328125" style="28" customWidth="1"/>
    <col min="4361" max="4361" width="11.08984375" style="28" customWidth="1"/>
    <col min="4362" max="4362" width="10.453125" style="28" customWidth="1"/>
    <col min="4363" max="4363" width="9.7265625" style="28" customWidth="1"/>
    <col min="4364" max="4608" width="9" style="28"/>
    <col min="4609" max="4609" width="3.08984375" style="28" customWidth="1"/>
    <col min="4610" max="4610" width="4.6328125" style="28" customWidth="1"/>
    <col min="4611" max="4611" width="3.08984375" style="28" customWidth="1"/>
    <col min="4612" max="4612" width="12.90625" style="28" customWidth="1"/>
    <col min="4613" max="4613" width="11.08984375" style="28" customWidth="1"/>
    <col min="4614" max="4614" width="12.26953125" style="28" customWidth="1"/>
    <col min="4615" max="4615" width="11.90625" style="28" customWidth="1"/>
    <col min="4616" max="4616" width="9.36328125" style="28" customWidth="1"/>
    <col min="4617" max="4617" width="11.08984375" style="28" customWidth="1"/>
    <col min="4618" max="4618" width="10.453125" style="28" customWidth="1"/>
    <col min="4619" max="4619" width="9.7265625" style="28" customWidth="1"/>
    <col min="4620" max="4864" width="9" style="28"/>
    <col min="4865" max="4865" width="3.08984375" style="28" customWidth="1"/>
    <col min="4866" max="4866" width="4.6328125" style="28" customWidth="1"/>
    <col min="4867" max="4867" width="3.08984375" style="28" customWidth="1"/>
    <col min="4868" max="4868" width="12.90625" style="28" customWidth="1"/>
    <col min="4869" max="4869" width="11.08984375" style="28" customWidth="1"/>
    <col min="4870" max="4870" width="12.26953125" style="28" customWidth="1"/>
    <col min="4871" max="4871" width="11.90625" style="28" customWidth="1"/>
    <col min="4872" max="4872" width="9.36328125" style="28" customWidth="1"/>
    <col min="4873" max="4873" width="11.08984375" style="28" customWidth="1"/>
    <col min="4874" max="4874" width="10.453125" style="28" customWidth="1"/>
    <col min="4875" max="4875" width="9.7265625" style="28" customWidth="1"/>
    <col min="4876" max="5120" width="9" style="28"/>
    <col min="5121" max="5121" width="3.08984375" style="28" customWidth="1"/>
    <col min="5122" max="5122" width="4.6328125" style="28" customWidth="1"/>
    <col min="5123" max="5123" width="3.08984375" style="28" customWidth="1"/>
    <col min="5124" max="5124" width="12.90625" style="28" customWidth="1"/>
    <col min="5125" max="5125" width="11.08984375" style="28" customWidth="1"/>
    <col min="5126" max="5126" width="12.26953125" style="28" customWidth="1"/>
    <col min="5127" max="5127" width="11.90625" style="28" customWidth="1"/>
    <col min="5128" max="5128" width="9.36328125" style="28" customWidth="1"/>
    <col min="5129" max="5129" width="11.08984375" style="28" customWidth="1"/>
    <col min="5130" max="5130" width="10.453125" style="28" customWidth="1"/>
    <col min="5131" max="5131" width="9.7265625" style="28" customWidth="1"/>
    <col min="5132" max="5376" width="9" style="28"/>
    <col min="5377" max="5377" width="3.08984375" style="28" customWidth="1"/>
    <col min="5378" max="5378" width="4.6328125" style="28" customWidth="1"/>
    <col min="5379" max="5379" width="3.08984375" style="28" customWidth="1"/>
    <col min="5380" max="5380" width="12.90625" style="28" customWidth="1"/>
    <col min="5381" max="5381" width="11.08984375" style="28" customWidth="1"/>
    <col min="5382" max="5382" width="12.26953125" style="28" customWidth="1"/>
    <col min="5383" max="5383" width="11.90625" style="28" customWidth="1"/>
    <col min="5384" max="5384" width="9.36328125" style="28" customWidth="1"/>
    <col min="5385" max="5385" width="11.08984375" style="28" customWidth="1"/>
    <col min="5386" max="5386" width="10.453125" style="28" customWidth="1"/>
    <col min="5387" max="5387" width="9.7265625" style="28" customWidth="1"/>
    <col min="5388" max="5632" width="9" style="28"/>
    <col min="5633" max="5633" width="3.08984375" style="28" customWidth="1"/>
    <col min="5634" max="5634" width="4.6328125" style="28" customWidth="1"/>
    <col min="5635" max="5635" width="3.08984375" style="28" customWidth="1"/>
    <col min="5636" max="5636" width="12.90625" style="28" customWidth="1"/>
    <col min="5637" max="5637" width="11.08984375" style="28" customWidth="1"/>
    <col min="5638" max="5638" width="12.26953125" style="28" customWidth="1"/>
    <col min="5639" max="5639" width="11.90625" style="28" customWidth="1"/>
    <col min="5640" max="5640" width="9.36328125" style="28" customWidth="1"/>
    <col min="5641" max="5641" width="11.08984375" style="28" customWidth="1"/>
    <col min="5642" max="5642" width="10.453125" style="28" customWidth="1"/>
    <col min="5643" max="5643" width="9.7265625" style="28" customWidth="1"/>
    <col min="5644" max="5888" width="9" style="28"/>
    <col min="5889" max="5889" width="3.08984375" style="28" customWidth="1"/>
    <col min="5890" max="5890" width="4.6328125" style="28" customWidth="1"/>
    <col min="5891" max="5891" width="3.08984375" style="28" customWidth="1"/>
    <col min="5892" max="5892" width="12.90625" style="28" customWidth="1"/>
    <col min="5893" max="5893" width="11.08984375" style="28" customWidth="1"/>
    <col min="5894" max="5894" width="12.26953125" style="28" customWidth="1"/>
    <col min="5895" max="5895" width="11.90625" style="28" customWidth="1"/>
    <col min="5896" max="5896" width="9.36328125" style="28" customWidth="1"/>
    <col min="5897" max="5897" width="11.08984375" style="28" customWidth="1"/>
    <col min="5898" max="5898" width="10.453125" style="28" customWidth="1"/>
    <col min="5899" max="5899" width="9.7265625" style="28" customWidth="1"/>
    <col min="5900" max="6144" width="9" style="28"/>
    <col min="6145" max="6145" width="3.08984375" style="28" customWidth="1"/>
    <col min="6146" max="6146" width="4.6328125" style="28" customWidth="1"/>
    <col min="6147" max="6147" width="3.08984375" style="28" customWidth="1"/>
    <col min="6148" max="6148" width="12.90625" style="28" customWidth="1"/>
    <col min="6149" max="6149" width="11.08984375" style="28" customWidth="1"/>
    <col min="6150" max="6150" width="12.26953125" style="28" customWidth="1"/>
    <col min="6151" max="6151" width="11.90625" style="28" customWidth="1"/>
    <col min="6152" max="6152" width="9.36328125" style="28" customWidth="1"/>
    <col min="6153" max="6153" width="11.08984375" style="28" customWidth="1"/>
    <col min="6154" max="6154" width="10.453125" style="28" customWidth="1"/>
    <col min="6155" max="6155" width="9.7265625" style="28" customWidth="1"/>
    <col min="6156" max="6400" width="9" style="28"/>
    <col min="6401" max="6401" width="3.08984375" style="28" customWidth="1"/>
    <col min="6402" max="6402" width="4.6328125" style="28" customWidth="1"/>
    <col min="6403" max="6403" width="3.08984375" style="28" customWidth="1"/>
    <col min="6404" max="6404" width="12.90625" style="28" customWidth="1"/>
    <col min="6405" max="6405" width="11.08984375" style="28" customWidth="1"/>
    <col min="6406" max="6406" width="12.26953125" style="28" customWidth="1"/>
    <col min="6407" max="6407" width="11.90625" style="28" customWidth="1"/>
    <col min="6408" max="6408" width="9.36328125" style="28" customWidth="1"/>
    <col min="6409" max="6409" width="11.08984375" style="28" customWidth="1"/>
    <col min="6410" max="6410" width="10.453125" style="28" customWidth="1"/>
    <col min="6411" max="6411" width="9.7265625" style="28" customWidth="1"/>
    <col min="6412" max="6656" width="9" style="28"/>
    <col min="6657" max="6657" width="3.08984375" style="28" customWidth="1"/>
    <col min="6658" max="6658" width="4.6328125" style="28" customWidth="1"/>
    <col min="6659" max="6659" width="3.08984375" style="28" customWidth="1"/>
    <col min="6660" max="6660" width="12.90625" style="28" customWidth="1"/>
    <col min="6661" max="6661" width="11.08984375" style="28" customWidth="1"/>
    <col min="6662" max="6662" width="12.26953125" style="28" customWidth="1"/>
    <col min="6663" max="6663" width="11.90625" style="28" customWidth="1"/>
    <col min="6664" max="6664" width="9.36328125" style="28" customWidth="1"/>
    <col min="6665" max="6665" width="11.08984375" style="28" customWidth="1"/>
    <col min="6666" max="6666" width="10.453125" style="28" customWidth="1"/>
    <col min="6667" max="6667" width="9.7265625" style="28" customWidth="1"/>
    <col min="6668" max="6912" width="9" style="28"/>
    <col min="6913" max="6913" width="3.08984375" style="28" customWidth="1"/>
    <col min="6914" max="6914" width="4.6328125" style="28" customWidth="1"/>
    <col min="6915" max="6915" width="3.08984375" style="28" customWidth="1"/>
    <col min="6916" max="6916" width="12.90625" style="28" customWidth="1"/>
    <col min="6917" max="6917" width="11.08984375" style="28" customWidth="1"/>
    <col min="6918" max="6918" width="12.26953125" style="28" customWidth="1"/>
    <col min="6919" max="6919" width="11.90625" style="28" customWidth="1"/>
    <col min="6920" max="6920" width="9.36328125" style="28" customWidth="1"/>
    <col min="6921" max="6921" width="11.08984375" style="28" customWidth="1"/>
    <col min="6922" max="6922" width="10.453125" style="28" customWidth="1"/>
    <col min="6923" max="6923" width="9.7265625" style="28" customWidth="1"/>
    <col min="6924" max="7168" width="9" style="28"/>
    <col min="7169" max="7169" width="3.08984375" style="28" customWidth="1"/>
    <col min="7170" max="7170" width="4.6328125" style="28" customWidth="1"/>
    <col min="7171" max="7171" width="3.08984375" style="28" customWidth="1"/>
    <col min="7172" max="7172" width="12.90625" style="28" customWidth="1"/>
    <col min="7173" max="7173" width="11.08984375" style="28" customWidth="1"/>
    <col min="7174" max="7174" width="12.26953125" style="28" customWidth="1"/>
    <col min="7175" max="7175" width="11.90625" style="28" customWidth="1"/>
    <col min="7176" max="7176" width="9.36328125" style="28" customWidth="1"/>
    <col min="7177" max="7177" width="11.08984375" style="28" customWidth="1"/>
    <col min="7178" max="7178" width="10.453125" style="28" customWidth="1"/>
    <col min="7179" max="7179" width="9.7265625" style="28" customWidth="1"/>
    <col min="7180" max="7424" width="9" style="28"/>
    <col min="7425" max="7425" width="3.08984375" style="28" customWidth="1"/>
    <col min="7426" max="7426" width="4.6328125" style="28" customWidth="1"/>
    <col min="7427" max="7427" width="3.08984375" style="28" customWidth="1"/>
    <col min="7428" max="7428" width="12.90625" style="28" customWidth="1"/>
    <col min="7429" max="7429" width="11.08984375" style="28" customWidth="1"/>
    <col min="7430" max="7430" width="12.26953125" style="28" customWidth="1"/>
    <col min="7431" max="7431" width="11.90625" style="28" customWidth="1"/>
    <col min="7432" max="7432" width="9.36328125" style="28" customWidth="1"/>
    <col min="7433" max="7433" width="11.08984375" style="28" customWidth="1"/>
    <col min="7434" max="7434" width="10.453125" style="28" customWidth="1"/>
    <col min="7435" max="7435" width="9.7265625" style="28" customWidth="1"/>
    <col min="7436" max="7680" width="9" style="28"/>
    <col min="7681" max="7681" width="3.08984375" style="28" customWidth="1"/>
    <col min="7682" max="7682" width="4.6328125" style="28" customWidth="1"/>
    <col min="7683" max="7683" width="3.08984375" style="28" customWidth="1"/>
    <col min="7684" max="7684" width="12.90625" style="28" customWidth="1"/>
    <col min="7685" max="7685" width="11.08984375" style="28" customWidth="1"/>
    <col min="7686" max="7686" width="12.26953125" style="28" customWidth="1"/>
    <col min="7687" max="7687" width="11.90625" style="28" customWidth="1"/>
    <col min="7688" max="7688" width="9.36328125" style="28" customWidth="1"/>
    <col min="7689" max="7689" width="11.08984375" style="28" customWidth="1"/>
    <col min="7690" max="7690" width="10.453125" style="28" customWidth="1"/>
    <col min="7691" max="7691" width="9.7265625" style="28" customWidth="1"/>
    <col min="7692" max="7936" width="9" style="28"/>
    <col min="7937" max="7937" width="3.08984375" style="28" customWidth="1"/>
    <col min="7938" max="7938" width="4.6328125" style="28" customWidth="1"/>
    <col min="7939" max="7939" width="3.08984375" style="28" customWidth="1"/>
    <col min="7940" max="7940" width="12.90625" style="28" customWidth="1"/>
    <col min="7941" max="7941" width="11.08984375" style="28" customWidth="1"/>
    <col min="7942" max="7942" width="12.26953125" style="28" customWidth="1"/>
    <col min="7943" max="7943" width="11.90625" style="28" customWidth="1"/>
    <col min="7944" max="7944" width="9.36328125" style="28" customWidth="1"/>
    <col min="7945" max="7945" width="11.08984375" style="28" customWidth="1"/>
    <col min="7946" max="7946" width="10.453125" style="28" customWidth="1"/>
    <col min="7947" max="7947" width="9.7265625" style="28" customWidth="1"/>
    <col min="7948" max="8192" width="9" style="28"/>
    <col min="8193" max="8193" width="3.08984375" style="28" customWidth="1"/>
    <col min="8194" max="8194" width="4.6328125" style="28" customWidth="1"/>
    <col min="8195" max="8195" width="3.08984375" style="28" customWidth="1"/>
    <col min="8196" max="8196" width="12.90625" style="28" customWidth="1"/>
    <col min="8197" max="8197" width="11.08984375" style="28" customWidth="1"/>
    <col min="8198" max="8198" width="12.26953125" style="28" customWidth="1"/>
    <col min="8199" max="8199" width="11.90625" style="28" customWidth="1"/>
    <col min="8200" max="8200" width="9.36328125" style="28" customWidth="1"/>
    <col min="8201" max="8201" width="11.08984375" style="28" customWidth="1"/>
    <col min="8202" max="8202" width="10.453125" style="28" customWidth="1"/>
    <col min="8203" max="8203" width="9.7265625" style="28" customWidth="1"/>
    <col min="8204" max="8448" width="9" style="28"/>
    <col min="8449" max="8449" width="3.08984375" style="28" customWidth="1"/>
    <col min="8450" max="8450" width="4.6328125" style="28" customWidth="1"/>
    <col min="8451" max="8451" width="3.08984375" style="28" customWidth="1"/>
    <col min="8452" max="8452" width="12.90625" style="28" customWidth="1"/>
    <col min="8453" max="8453" width="11.08984375" style="28" customWidth="1"/>
    <col min="8454" max="8454" width="12.26953125" style="28" customWidth="1"/>
    <col min="8455" max="8455" width="11.90625" style="28" customWidth="1"/>
    <col min="8456" max="8456" width="9.36328125" style="28" customWidth="1"/>
    <col min="8457" max="8457" width="11.08984375" style="28" customWidth="1"/>
    <col min="8458" max="8458" width="10.453125" style="28" customWidth="1"/>
    <col min="8459" max="8459" width="9.7265625" style="28" customWidth="1"/>
    <col min="8460" max="8704" width="9" style="28"/>
    <col min="8705" max="8705" width="3.08984375" style="28" customWidth="1"/>
    <col min="8706" max="8706" width="4.6328125" style="28" customWidth="1"/>
    <col min="8707" max="8707" width="3.08984375" style="28" customWidth="1"/>
    <col min="8708" max="8708" width="12.90625" style="28" customWidth="1"/>
    <col min="8709" max="8709" width="11.08984375" style="28" customWidth="1"/>
    <col min="8710" max="8710" width="12.26953125" style="28" customWidth="1"/>
    <col min="8711" max="8711" width="11.90625" style="28" customWidth="1"/>
    <col min="8712" max="8712" width="9.36328125" style="28" customWidth="1"/>
    <col min="8713" max="8713" width="11.08984375" style="28" customWidth="1"/>
    <col min="8714" max="8714" width="10.453125" style="28" customWidth="1"/>
    <col min="8715" max="8715" width="9.7265625" style="28" customWidth="1"/>
    <col min="8716" max="8960" width="9" style="28"/>
    <col min="8961" max="8961" width="3.08984375" style="28" customWidth="1"/>
    <col min="8962" max="8962" width="4.6328125" style="28" customWidth="1"/>
    <col min="8963" max="8963" width="3.08984375" style="28" customWidth="1"/>
    <col min="8964" max="8964" width="12.90625" style="28" customWidth="1"/>
    <col min="8965" max="8965" width="11.08984375" style="28" customWidth="1"/>
    <col min="8966" max="8966" width="12.26953125" style="28" customWidth="1"/>
    <col min="8967" max="8967" width="11.90625" style="28" customWidth="1"/>
    <col min="8968" max="8968" width="9.36328125" style="28" customWidth="1"/>
    <col min="8969" max="8969" width="11.08984375" style="28" customWidth="1"/>
    <col min="8970" max="8970" width="10.453125" style="28" customWidth="1"/>
    <col min="8971" max="8971" width="9.7265625" style="28" customWidth="1"/>
    <col min="8972" max="9216" width="9" style="28"/>
    <col min="9217" max="9217" width="3.08984375" style="28" customWidth="1"/>
    <col min="9218" max="9218" width="4.6328125" style="28" customWidth="1"/>
    <col min="9219" max="9219" width="3.08984375" style="28" customWidth="1"/>
    <col min="9220" max="9220" width="12.90625" style="28" customWidth="1"/>
    <col min="9221" max="9221" width="11.08984375" style="28" customWidth="1"/>
    <col min="9222" max="9222" width="12.26953125" style="28" customWidth="1"/>
    <col min="9223" max="9223" width="11.90625" style="28" customWidth="1"/>
    <col min="9224" max="9224" width="9.36328125" style="28" customWidth="1"/>
    <col min="9225" max="9225" width="11.08984375" style="28" customWidth="1"/>
    <col min="9226" max="9226" width="10.453125" style="28" customWidth="1"/>
    <col min="9227" max="9227" width="9.7265625" style="28" customWidth="1"/>
    <col min="9228" max="9472" width="9" style="28"/>
    <col min="9473" max="9473" width="3.08984375" style="28" customWidth="1"/>
    <col min="9474" max="9474" width="4.6328125" style="28" customWidth="1"/>
    <col min="9475" max="9475" width="3.08984375" style="28" customWidth="1"/>
    <col min="9476" max="9476" width="12.90625" style="28" customWidth="1"/>
    <col min="9477" max="9477" width="11.08984375" style="28" customWidth="1"/>
    <col min="9478" max="9478" width="12.26953125" style="28" customWidth="1"/>
    <col min="9479" max="9479" width="11.90625" style="28" customWidth="1"/>
    <col min="9480" max="9480" width="9.36328125" style="28" customWidth="1"/>
    <col min="9481" max="9481" width="11.08984375" style="28" customWidth="1"/>
    <col min="9482" max="9482" width="10.453125" style="28" customWidth="1"/>
    <col min="9483" max="9483" width="9.7265625" style="28" customWidth="1"/>
    <col min="9484" max="9728" width="9" style="28"/>
    <col min="9729" max="9729" width="3.08984375" style="28" customWidth="1"/>
    <col min="9730" max="9730" width="4.6328125" style="28" customWidth="1"/>
    <col min="9731" max="9731" width="3.08984375" style="28" customWidth="1"/>
    <col min="9732" max="9732" width="12.90625" style="28" customWidth="1"/>
    <col min="9733" max="9733" width="11.08984375" style="28" customWidth="1"/>
    <col min="9734" max="9734" width="12.26953125" style="28" customWidth="1"/>
    <col min="9735" max="9735" width="11.90625" style="28" customWidth="1"/>
    <col min="9736" max="9736" width="9.36328125" style="28" customWidth="1"/>
    <col min="9737" max="9737" width="11.08984375" style="28" customWidth="1"/>
    <col min="9738" max="9738" width="10.453125" style="28" customWidth="1"/>
    <col min="9739" max="9739" width="9.7265625" style="28" customWidth="1"/>
    <col min="9740" max="9984" width="9" style="28"/>
    <col min="9985" max="9985" width="3.08984375" style="28" customWidth="1"/>
    <col min="9986" max="9986" width="4.6328125" style="28" customWidth="1"/>
    <col min="9987" max="9987" width="3.08984375" style="28" customWidth="1"/>
    <col min="9988" max="9988" width="12.90625" style="28" customWidth="1"/>
    <col min="9989" max="9989" width="11.08984375" style="28" customWidth="1"/>
    <col min="9990" max="9990" width="12.26953125" style="28" customWidth="1"/>
    <col min="9991" max="9991" width="11.90625" style="28" customWidth="1"/>
    <col min="9992" max="9992" width="9.36328125" style="28" customWidth="1"/>
    <col min="9993" max="9993" width="11.08984375" style="28" customWidth="1"/>
    <col min="9994" max="9994" width="10.453125" style="28" customWidth="1"/>
    <col min="9995" max="9995" width="9.7265625" style="28" customWidth="1"/>
    <col min="9996" max="10240" width="9" style="28"/>
    <col min="10241" max="10241" width="3.08984375" style="28" customWidth="1"/>
    <col min="10242" max="10242" width="4.6328125" style="28" customWidth="1"/>
    <col min="10243" max="10243" width="3.08984375" style="28" customWidth="1"/>
    <col min="10244" max="10244" width="12.90625" style="28" customWidth="1"/>
    <col min="10245" max="10245" width="11.08984375" style="28" customWidth="1"/>
    <col min="10246" max="10246" width="12.26953125" style="28" customWidth="1"/>
    <col min="10247" max="10247" width="11.90625" style="28" customWidth="1"/>
    <col min="10248" max="10248" width="9.36328125" style="28" customWidth="1"/>
    <col min="10249" max="10249" width="11.08984375" style="28" customWidth="1"/>
    <col min="10250" max="10250" width="10.453125" style="28" customWidth="1"/>
    <col min="10251" max="10251" width="9.7265625" style="28" customWidth="1"/>
    <col min="10252" max="10496" width="9" style="28"/>
    <col min="10497" max="10497" width="3.08984375" style="28" customWidth="1"/>
    <col min="10498" max="10498" width="4.6328125" style="28" customWidth="1"/>
    <col min="10499" max="10499" width="3.08984375" style="28" customWidth="1"/>
    <col min="10500" max="10500" width="12.90625" style="28" customWidth="1"/>
    <col min="10501" max="10501" width="11.08984375" style="28" customWidth="1"/>
    <col min="10502" max="10502" width="12.26953125" style="28" customWidth="1"/>
    <col min="10503" max="10503" width="11.90625" style="28" customWidth="1"/>
    <col min="10504" max="10504" width="9.36328125" style="28" customWidth="1"/>
    <col min="10505" max="10505" width="11.08984375" style="28" customWidth="1"/>
    <col min="10506" max="10506" width="10.453125" style="28" customWidth="1"/>
    <col min="10507" max="10507" width="9.7265625" style="28" customWidth="1"/>
    <col min="10508" max="10752" width="9" style="28"/>
    <col min="10753" max="10753" width="3.08984375" style="28" customWidth="1"/>
    <col min="10754" max="10754" width="4.6328125" style="28" customWidth="1"/>
    <col min="10755" max="10755" width="3.08984375" style="28" customWidth="1"/>
    <col min="10756" max="10756" width="12.90625" style="28" customWidth="1"/>
    <col min="10757" max="10757" width="11.08984375" style="28" customWidth="1"/>
    <col min="10758" max="10758" width="12.26953125" style="28" customWidth="1"/>
    <col min="10759" max="10759" width="11.90625" style="28" customWidth="1"/>
    <col min="10760" max="10760" width="9.36328125" style="28" customWidth="1"/>
    <col min="10761" max="10761" width="11.08984375" style="28" customWidth="1"/>
    <col min="10762" max="10762" width="10.453125" style="28" customWidth="1"/>
    <col min="10763" max="10763" width="9.7265625" style="28" customWidth="1"/>
    <col min="10764" max="11008" width="9" style="28"/>
    <col min="11009" max="11009" width="3.08984375" style="28" customWidth="1"/>
    <col min="11010" max="11010" width="4.6328125" style="28" customWidth="1"/>
    <col min="11011" max="11011" width="3.08984375" style="28" customWidth="1"/>
    <col min="11012" max="11012" width="12.90625" style="28" customWidth="1"/>
    <col min="11013" max="11013" width="11.08984375" style="28" customWidth="1"/>
    <col min="11014" max="11014" width="12.26953125" style="28" customWidth="1"/>
    <col min="11015" max="11015" width="11.90625" style="28" customWidth="1"/>
    <col min="11016" max="11016" width="9.36328125" style="28" customWidth="1"/>
    <col min="11017" max="11017" width="11.08984375" style="28" customWidth="1"/>
    <col min="11018" max="11018" width="10.453125" style="28" customWidth="1"/>
    <col min="11019" max="11019" width="9.7265625" style="28" customWidth="1"/>
    <col min="11020" max="11264" width="9" style="28"/>
    <col min="11265" max="11265" width="3.08984375" style="28" customWidth="1"/>
    <col min="11266" max="11266" width="4.6328125" style="28" customWidth="1"/>
    <col min="11267" max="11267" width="3.08984375" style="28" customWidth="1"/>
    <col min="11268" max="11268" width="12.90625" style="28" customWidth="1"/>
    <col min="11269" max="11269" width="11.08984375" style="28" customWidth="1"/>
    <col min="11270" max="11270" width="12.26953125" style="28" customWidth="1"/>
    <col min="11271" max="11271" width="11.90625" style="28" customWidth="1"/>
    <col min="11272" max="11272" width="9.36328125" style="28" customWidth="1"/>
    <col min="11273" max="11273" width="11.08984375" style="28" customWidth="1"/>
    <col min="11274" max="11274" width="10.453125" style="28" customWidth="1"/>
    <col min="11275" max="11275" width="9.7265625" style="28" customWidth="1"/>
    <col min="11276" max="11520" width="9" style="28"/>
    <col min="11521" max="11521" width="3.08984375" style="28" customWidth="1"/>
    <col min="11522" max="11522" width="4.6328125" style="28" customWidth="1"/>
    <col min="11523" max="11523" width="3.08984375" style="28" customWidth="1"/>
    <col min="11524" max="11524" width="12.90625" style="28" customWidth="1"/>
    <col min="11525" max="11525" width="11.08984375" style="28" customWidth="1"/>
    <col min="11526" max="11526" width="12.26953125" style="28" customWidth="1"/>
    <col min="11527" max="11527" width="11.90625" style="28" customWidth="1"/>
    <col min="11528" max="11528" width="9.36328125" style="28" customWidth="1"/>
    <col min="11529" max="11529" width="11.08984375" style="28" customWidth="1"/>
    <col min="11530" max="11530" width="10.453125" style="28" customWidth="1"/>
    <col min="11531" max="11531" width="9.7265625" style="28" customWidth="1"/>
    <col min="11532" max="11776" width="9" style="28"/>
    <col min="11777" max="11777" width="3.08984375" style="28" customWidth="1"/>
    <col min="11778" max="11778" width="4.6328125" style="28" customWidth="1"/>
    <col min="11779" max="11779" width="3.08984375" style="28" customWidth="1"/>
    <col min="11780" max="11780" width="12.90625" style="28" customWidth="1"/>
    <col min="11781" max="11781" width="11.08984375" style="28" customWidth="1"/>
    <col min="11782" max="11782" width="12.26953125" style="28" customWidth="1"/>
    <col min="11783" max="11783" width="11.90625" style="28" customWidth="1"/>
    <col min="11784" max="11784" width="9.36328125" style="28" customWidth="1"/>
    <col min="11785" max="11785" width="11.08984375" style="28" customWidth="1"/>
    <col min="11786" max="11786" width="10.453125" style="28" customWidth="1"/>
    <col min="11787" max="11787" width="9.7265625" style="28" customWidth="1"/>
    <col min="11788" max="12032" width="9" style="28"/>
    <col min="12033" max="12033" width="3.08984375" style="28" customWidth="1"/>
    <col min="12034" max="12034" width="4.6328125" style="28" customWidth="1"/>
    <col min="12035" max="12035" width="3.08984375" style="28" customWidth="1"/>
    <col min="12036" max="12036" width="12.90625" style="28" customWidth="1"/>
    <col min="12037" max="12037" width="11.08984375" style="28" customWidth="1"/>
    <col min="12038" max="12038" width="12.26953125" style="28" customWidth="1"/>
    <col min="12039" max="12039" width="11.90625" style="28" customWidth="1"/>
    <col min="12040" max="12040" width="9.36328125" style="28" customWidth="1"/>
    <col min="12041" max="12041" width="11.08984375" style="28" customWidth="1"/>
    <col min="12042" max="12042" width="10.453125" style="28" customWidth="1"/>
    <col min="12043" max="12043" width="9.7265625" style="28" customWidth="1"/>
    <col min="12044" max="12288" width="9" style="28"/>
    <col min="12289" max="12289" width="3.08984375" style="28" customWidth="1"/>
    <col min="12290" max="12290" width="4.6328125" style="28" customWidth="1"/>
    <col min="12291" max="12291" width="3.08984375" style="28" customWidth="1"/>
    <col min="12292" max="12292" width="12.90625" style="28" customWidth="1"/>
    <col min="12293" max="12293" width="11.08984375" style="28" customWidth="1"/>
    <col min="12294" max="12294" width="12.26953125" style="28" customWidth="1"/>
    <col min="12295" max="12295" width="11.90625" style="28" customWidth="1"/>
    <col min="12296" max="12296" width="9.36328125" style="28" customWidth="1"/>
    <col min="12297" max="12297" width="11.08984375" style="28" customWidth="1"/>
    <col min="12298" max="12298" width="10.453125" style="28" customWidth="1"/>
    <col min="12299" max="12299" width="9.7265625" style="28" customWidth="1"/>
    <col min="12300" max="12544" width="9" style="28"/>
    <col min="12545" max="12545" width="3.08984375" style="28" customWidth="1"/>
    <col min="12546" max="12546" width="4.6328125" style="28" customWidth="1"/>
    <col min="12547" max="12547" width="3.08984375" style="28" customWidth="1"/>
    <col min="12548" max="12548" width="12.90625" style="28" customWidth="1"/>
    <col min="12549" max="12549" width="11.08984375" style="28" customWidth="1"/>
    <col min="12550" max="12550" width="12.26953125" style="28" customWidth="1"/>
    <col min="12551" max="12551" width="11.90625" style="28" customWidth="1"/>
    <col min="12552" max="12552" width="9.36328125" style="28" customWidth="1"/>
    <col min="12553" max="12553" width="11.08984375" style="28" customWidth="1"/>
    <col min="12554" max="12554" width="10.453125" style="28" customWidth="1"/>
    <col min="12555" max="12555" width="9.7265625" style="28" customWidth="1"/>
    <col min="12556" max="12800" width="9" style="28"/>
    <col min="12801" max="12801" width="3.08984375" style="28" customWidth="1"/>
    <col min="12802" max="12802" width="4.6328125" style="28" customWidth="1"/>
    <col min="12803" max="12803" width="3.08984375" style="28" customWidth="1"/>
    <col min="12804" max="12804" width="12.90625" style="28" customWidth="1"/>
    <col min="12805" max="12805" width="11.08984375" style="28" customWidth="1"/>
    <col min="12806" max="12806" width="12.26953125" style="28" customWidth="1"/>
    <col min="12807" max="12807" width="11.90625" style="28" customWidth="1"/>
    <col min="12808" max="12808" width="9.36328125" style="28" customWidth="1"/>
    <col min="12809" max="12809" width="11.08984375" style="28" customWidth="1"/>
    <col min="12810" max="12810" width="10.453125" style="28" customWidth="1"/>
    <col min="12811" max="12811" width="9.7265625" style="28" customWidth="1"/>
    <col min="12812" max="13056" width="9" style="28"/>
    <col min="13057" max="13057" width="3.08984375" style="28" customWidth="1"/>
    <col min="13058" max="13058" width="4.6328125" style="28" customWidth="1"/>
    <col min="13059" max="13059" width="3.08984375" style="28" customWidth="1"/>
    <col min="13060" max="13060" width="12.90625" style="28" customWidth="1"/>
    <col min="13061" max="13061" width="11.08984375" style="28" customWidth="1"/>
    <col min="13062" max="13062" width="12.26953125" style="28" customWidth="1"/>
    <col min="13063" max="13063" width="11.90625" style="28" customWidth="1"/>
    <col min="13064" max="13064" width="9.36328125" style="28" customWidth="1"/>
    <col min="13065" max="13065" width="11.08984375" style="28" customWidth="1"/>
    <col min="13066" max="13066" width="10.453125" style="28" customWidth="1"/>
    <col min="13067" max="13067" width="9.7265625" style="28" customWidth="1"/>
    <col min="13068" max="13312" width="9" style="28"/>
    <col min="13313" max="13313" width="3.08984375" style="28" customWidth="1"/>
    <col min="13314" max="13314" width="4.6328125" style="28" customWidth="1"/>
    <col min="13315" max="13315" width="3.08984375" style="28" customWidth="1"/>
    <col min="13316" max="13316" width="12.90625" style="28" customWidth="1"/>
    <col min="13317" max="13317" width="11.08984375" style="28" customWidth="1"/>
    <col min="13318" max="13318" width="12.26953125" style="28" customWidth="1"/>
    <col min="13319" max="13319" width="11.90625" style="28" customWidth="1"/>
    <col min="13320" max="13320" width="9.36328125" style="28" customWidth="1"/>
    <col min="13321" max="13321" width="11.08984375" style="28" customWidth="1"/>
    <col min="13322" max="13322" width="10.453125" style="28" customWidth="1"/>
    <col min="13323" max="13323" width="9.7265625" style="28" customWidth="1"/>
    <col min="13324" max="13568" width="9" style="28"/>
    <col min="13569" max="13569" width="3.08984375" style="28" customWidth="1"/>
    <col min="13570" max="13570" width="4.6328125" style="28" customWidth="1"/>
    <col min="13571" max="13571" width="3.08984375" style="28" customWidth="1"/>
    <col min="13572" max="13572" width="12.90625" style="28" customWidth="1"/>
    <col min="13573" max="13573" width="11.08984375" style="28" customWidth="1"/>
    <col min="13574" max="13574" width="12.26953125" style="28" customWidth="1"/>
    <col min="13575" max="13575" width="11.90625" style="28" customWidth="1"/>
    <col min="13576" max="13576" width="9.36328125" style="28" customWidth="1"/>
    <col min="13577" max="13577" width="11.08984375" style="28" customWidth="1"/>
    <col min="13578" max="13578" width="10.453125" style="28" customWidth="1"/>
    <col min="13579" max="13579" width="9.7265625" style="28" customWidth="1"/>
    <col min="13580" max="13824" width="9" style="28"/>
    <col min="13825" max="13825" width="3.08984375" style="28" customWidth="1"/>
    <col min="13826" max="13826" width="4.6328125" style="28" customWidth="1"/>
    <col min="13827" max="13827" width="3.08984375" style="28" customWidth="1"/>
    <col min="13828" max="13828" width="12.90625" style="28" customWidth="1"/>
    <col min="13829" max="13829" width="11.08984375" style="28" customWidth="1"/>
    <col min="13830" max="13830" width="12.26953125" style="28" customWidth="1"/>
    <col min="13831" max="13831" width="11.90625" style="28" customWidth="1"/>
    <col min="13832" max="13832" width="9.36328125" style="28" customWidth="1"/>
    <col min="13833" max="13833" width="11.08984375" style="28" customWidth="1"/>
    <col min="13834" max="13834" width="10.453125" style="28" customWidth="1"/>
    <col min="13835" max="13835" width="9.7265625" style="28" customWidth="1"/>
    <col min="13836" max="14080" width="9" style="28"/>
    <col min="14081" max="14081" width="3.08984375" style="28" customWidth="1"/>
    <col min="14082" max="14082" width="4.6328125" style="28" customWidth="1"/>
    <col min="14083" max="14083" width="3.08984375" style="28" customWidth="1"/>
    <col min="14084" max="14084" width="12.90625" style="28" customWidth="1"/>
    <col min="14085" max="14085" width="11.08984375" style="28" customWidth="1"/>
    <col min="14086" max="14086" width="12.26953125" style="28" customWidth="1"/>
    <col min="14087" max="14087" width="11.90625" style="28" customWidth="1"/>
    <col min="14088" max="14088" width="9.36328125" style="28" customWidth="1"/>
    <col min="14089" max="14089" width="11.08984375" style="28" customWidth="1"/>
    <col min="14090" max="14090" width="10.453125" style="28" customWidth="1"/>
    <col min="14091" max="14091" width="9.7265625" style="28" customWidth="1"/>
    <col min="14092" max="14336" width="9" style="28"/>
    <col min="14337" max="14337" width="3.08984375" style="28" customWidth="1"/>
    <col min="14338" max="14338" width="4.6328125" style="28" customWidth="1"/>
    <col min="14339" max="14339" width="3.08984375" style="28" customWidth="1"/>
    <col min="14340" max="14340" width="12.90625" style="28" customWidth="1"/>
    <col min="14341" max="14341" width="11.08984375" style="28" customWidth="1"/>
    <col min="14342" max="14342" width="12.26953125" style="28" customWidth="1"/>
    <col min="14343" max="14343" width="11.90625" style="28" customWidth="1"/>
    <col min="14344" max="14344" width="9.36328125" style="28" customWidth="1"/>
    <col min="14345" max="14345" width="11.08984375" style="28" customWidth="1"/>
    <col min="14346" max="14346" width="10.453125" style="28" customWidth="1"/>
    <col min="14347" max="14347" width="9.7265625" style="28" customWidth="1"/>
    <col min="14348" max="14592" width="9" style="28"/>
    <col min="14593" max="14593" width="3.08984375" style="28" customWidth="1"/>
    <col min="14594" max="14594" width="4.6328125" style="28" customWidth="1"/>
    <col min="14595" max="14595" width="3.08984375" style="28" customWidth="1"/>
    <col min="14596" max="14596" width="12.90625" style="28" customWidth="1"/>
    <col min="14597" max="14597" width="11.08984375" style="28" customWidth="1"/>
    <col min="14598" max="14598" width="12.26953125" style="28" customWidth="1"/>
    <col min="14599" max="14599" width="11.90625" style="28" customWidth="1"/>
    <col min="14600" max="14600" width="9.36328125" style="28" customWidth="1"/>
    <col min="14601" max="14601" width="11.08984375" style="28" customWidth="1"/>
    <col min="14602" max="14602" width="10.453125" style="28" customWidth="1"/>
    <col min="14603" max="14603" width="9.7265625" style="28" customWidth="1"/>
    <col min="14604" max="14848" width="9" style="28"/>
    <col min="14849" max="14849" width="3.08984375" style="28" customWidth="1"/>
    <col min="14850" max="14850" width="4.6328125" style="28" customWidth="1"/>
    <col min="14851" max="14851" width="3.08984375" style="28" customWidth="1"/>
    <col min="14852" max="14852" width="12.90625" style="28" customWidth="1"/>
    <col min="14853" max="14853" width="11.08984375" style="28" customWidth="1"/>
    <col min="14854" max="14854" width="12.26953125" style="28" customWidth="1"/>
    <col min="14855" max="14855" width="11.90625" style="28" customWidth="1"/>
    <col min="14856" max="14856" width="9.36328125" style="28" customWidth="1"/>
    <col min="14857" max="14857" width="11.08984375" style="28" customWidth="1"/>
    <col min="14858" max="14858" width="10.453125" style="28" customWidth="1"/>
    <col min="14859" max="14859" width="9.7265625" style="28" customWidth="1"/>
    <col min="14860" max="15104" width="9" style="28"/>
    <col min="15105" max="15105" width="3.08984375" style="28" customWidth="1"/>
    <col min="15106" max="15106" width="4.6328125" style="28" customWidth="1"/>
    <col min="15107" max="15107" width="3.08984375" style="28" customWidth="1"/>
    <col min="15108" max="15108" width="12.90625" style="28" customWidth="1"/>
    <col min="15109" max="15109" width="11.08984375" style="28" customWidth="1"/>
    <col min="15110" max="15110" width="12.26953125" style="28" customWidth="1"/>
    <col min="15111" max="15111" width="11.90625" style="28" customWidth="1"/>
    <col min="15112" max="15112" width="9.36328125" style="28" customWidth="1"/>
    <col min="15113" max="15113" width="11.08984375" style="28" customWidth="1"/>
    <col min="15114" max="15114" width="10.453125" style="28" customWidth="1"/>
    <col min="15115" max="15115" width="9.7265625" style="28" customWidth="1"/>
    <col min="15116" max="15360" width="9" style="28"/>
    <col min="15361" max="15361" width="3.08984375" style="28" customWidth="1"/>
    <col min="15362" max="15362" width="4.6328125" style="28" customWidth="1"/>
    <col min="15363" max="15363" width="3.08984375" style="28" customWidth="1"/>
    <col min="15364" max="15364" width="12.90625" style="28" customWidth="1"/>
    <col min="15365" max="15365" width="11.08984375" style="28" customWidth="1"/>
    <col min="15366" max="15366" width="12.26953125" style="28" customWidth="1"/>
    <col min="15367" max="15367" width="11.90625" style="28" customWidth="1"/>
    <col min="15368" max="15368" width="9.36328125" style="28" customWidth="1"/>
    <col min="15369" max="15369" width="11.08984375" style="28" customWidth="1"/>
    <col min="15370" max="15370" width="10.453125" style="28" customWidth="1"/>
    <col min="15371" max="15371" width="9.7265625" style="28" customWidth="1"/>
    <col min="15372" max="15616" width="9" style="28"/>
    <col min="15617" max="15617" width="3.08984375" style="28" customWidth="1"/>
    <col min="15618" max="15618" width="4.6328125" style="28" customWidth="1"/>
    <col min="15619" max="15619" width="3.08984375" style="28" customWidth="1"/>
    <col min="15620" max="15620" width="12.90625" style="28" customWidth="1"/>
    <col min="15621" max="15621" width="11.08984375" style="28" customWidth="1"/>
    <col min="15622" max="15622" width="12.26953125" style="28" customWidth="1"/>
    <col min="15623" max="15623" width="11.90625" style="28" customWidth="1"/>
    <col min="15624" max="15624" width="9.36328125" style="28" customWidth="1"/>
    <col min="15625" max="15625" width="11.08984375" style="28" customWidth="1"/>
    <col min="15626" max="15626" width="10.453125" style="28" customWidth="1"/>
    <col min="15627" max="15627" width="9.7265625" style="28" customWidth="1"/>
    <col min="15628" max="15872" width="9" style="28"/>
    <col min="15873" max="15873" width="3.08984375" style="28" customWidth="1"/>
    <col min="15874" max="15874" width="4.6328125" style="28" customWidth="1"/>
    <col min="15875" max="15875" width="3.08984375" style="28" customWidth="1"/>
    <col min="15876" max="15876" width="12.90625" style="28" customWidth="1"/>
    <col min="15877" max="15877" width="11.08984375" style="28" customWidth="1"/>
    <col min="15878" max="15878" width="12.26953125" style="28" customWidth="1"/>
    <col min="15879" max="15879" width="11.90625" style="28" customWidth="1"/>
    <col min="15880" max="15880" width="9.36328125" style="28" customWidth="1"/>
    <col min="15881" max="15881" width="11.08984375" style="28" customWidth="1"/>
    <col min="15882" max="15882" width="10.453125" style="28" customWidth="1"/>
    <col min="15883" max="15883" width="9.7265625" style="28" customWidth="1"/>
    <col min="15884" max="16128" width="9" style="28"/>
    <col min="16129" max="16129" width="3.08984375" style="28" customWidth="1"/>
    <col min="16130" max="16130" width="4.6328125" style="28" customWidth="1"/>
    <col min="16131" max="16131" width="3.08984375" style="28" customWidth="1"/>
    <col min="16132" max="16132" width="12.90625" style="28" customWidth="1"/>
    <col min="16133" max="16133" width="11.08984375" style="28" customWidth="1"/>
    <col min="16134" max="16134" width="12.26953125" style="28" customWidth="1"/>
    <col min="16135" max="16135" width="11.90625" style="28" customWidth="1"/>
    <col min="16136" max="16136" width="9.36328125" style="28" customWidth="1"/>
    <col min="16137" max="16137" width="11.08984375" style="28" customWidth="1"/>
    <col min="16138" max="16138" width="10.453125" style="28" customWidth="1"/>
    <col min="16139" max="16139" width="9.7265625" style="28" customWidth="1"/>
    <col min="16140" max="16384" width="9" style="28"/>
  </cols>
  <sheetData>
    <row r="1" spans="1:41">
      <c r="A1" s="319" t="s">
        <v>118</v>
      </c>
    </row>
    <row r="2" spans="1:41" s="77" customFormat="1" ht="24" customHeight="1" thickBot="1">
      <c r="A2" s="76"/>
      <c r="B2" s="509" t="s">
        <v>208</v>
      </c>
      <c r="C2" s="509"/>
      <c r="D2" s="509"/>
      <c r="E2" s="509"/>
      <c r="F2" s="509"/>
      <c r="G2" s="509"/>
      <c r="H2" s="509"/>
      <c r="I2" s="509"/>
      <c r="J2" s="509"/>
      <c r="K2" s="509"/>
    </row>
    <row r="3" spans="1:41" s="77" customFormat="1" ht="13.5" customHeight="1" thickTop="1">
      <c r="A3" s="78"/>
      <c r="B3" s="79"/>
      <c r="C3" s="80"/>
      <c r="D3" s="80"/>
      <c r="E3" s="80"/>
      <c r="F3" s="80"/>
      <c r="G3" s="80"/>
      <c r="H3" s="80"/>
      <c r="I3" s="80"/>
      <c r="J3" s="80"/>
    </row>
    <row r="4" spans="1:41" s="77" customFormat="1" ht="13.5" customHeight="1">
      <c r="A4" s="78"/>
      <c r="B4" s="81" t="s">
        <v>209</v>
      </c>
      <c r="C4" s="82"/>
      <c r="D4" s="83" t="s">
        <v>210</v>
      </c>
      <c r="E4" s="84" t="s">
        <v>211</v>
      </c>
      <c r="F4" s="85" t="s">
        <v>212</v>
      </c>
      <c r="G4" s="86" t="s">
        <v>213</v>
      </c>
      <c r="H4" s="86" t="s">
        <v>214</v>
      </c>
      <c r="I4" s="86" t="s">
        <v>215</v>
      </c>
    </row>
    <row r="5" spans="1:41" s="77" customFormat="1" ht="13.5" customHeight="1">
      <c r="A5" s="78"/>
      <c r="B5" s="81"/>
      <c r="C5" s="87"/>
      <c r="D5" s="88"/>
      <c r="E5" s="88"/>
      <c r="F5" s="88"/>
      <c r="G5" s="89"/>
      <c r="H5" s="90"/>
      <c r="I5" s="90"/>
    </row>
    <row r="6" spans="1:41" s="77" customFormat="1" ht="13.5" customHeight="1">
      <c r="A6" s="78"/>
      <c r="B6" s="81"/>
      <c r="C6" s="87"/>
      <c r="D6" s="88"/>
      <c r="E6" s="88"/>
      <c r="F6" s="88"/>
      <c r="G6" s="89"/>
      <c r="H6" s="90"/>
      <c r="I6" s="90"/>
    </row>
    <row r="7" spans="1:41" s="77" customFormat="1" ht="13.5" customHeight="1">
      <c r="A7" s="78"/>
      <c r="B7" s="81"/>
      <c r="C7" s="87"/>
      <c r="D7" s="88"/>
      <c r="E7" s="88"/>
      <c r="F7" s="88"/>
      <c r="G7" s="89"/>
      <c r="H7" s="90"/>
      <c r="I7" s="90"/>
    </row>
    <row r="8" spans="1:41" s="77" customFormat="1" ht="13.5" customHeight="1">
      <c r="A8" s="78"/>
      <c r="B8" s="81"/>
      <c r="C8" s="87"/>
      <c r="D8" s="88"/>
      <c r="E8" s="88"/>
      <c r="F8" s="88"/>
      <c r="G8" s="89"/>
      <c r="H8" s="90"/>
      <c r="I8" s="90"/>
    </row>
    <row r="9" spans="1:41" ht="13.5" customHeight="1">
      <c r="B9" s="34"/>
      <c r="C9" s="34"/>
      <c r="D9" s="34"/>
      <c r="E9" s="35"/>
    </row>
    <row r="11" spans="1:41" ht="19.5" customHeight="1">
      <c r="B11" s="91"/>
      <c r="C11" s="92"/>
      <c r="D11" s="380" t="s">
        <v>452</v>
      </c>
      <c r="E11" s="381"/>
      <c r="F11" s="381"/>
      <c r="G11" s="381"/>
      <c r="H11" s="381"/>
      <c r="I11" s="381"/>
      <c r="J11" s="381"/>
      <c r="K11" s="381"/>
      <c r="L11" s="381"/>
      <c r="M11" s="381"/>
      <c r="N11" s="381"/>
      <c r="O11" s="381"/>
      <c r="P11" s="381"/>
      <c r="Q11" s="381"/>
      <c r="R11" s="381"/>
      <c r="S11" s="381"/>
      <c r="T11" s="381"/>
      <c r="U11" s="382"/>
      <c r="V11" s="382"/>
      <c r="W11" s="382"/>
      <c r="X11" s="382"/>
      <c r="Y11" s="382"/>
      <c r="Z11" s="378"/>
      <c r="AA11" s="378"/>
      <c r="AB11" s="378"/>
      <c r="AC11" s="378"/>
      <c r="AD11" s="378"/>
      <c r="AE11" s="378"/>
      <c r="AF11" s="378"/>
      <c r="AG11" s="94"/>
      <c r="AH11" s="94"/>
      <c r="AI11" s="94"/>
      <c r="AJ11" s="94"/>
      <c r="AK11" s="94"/>
      <c r="AL11" s="94"/>
      <c r="AM11" s="95"/>
      <c r="AN11" s="95"/>
      <c r="AO11" s="95"/>
    </row>
    <row r="12" spans="1:41" s="98" customFormat="1" ht="16.5" customHeight="1">
      <c r="A12" s="503" t="s">
        <v>216</v>
      </c>
      <c r="B12" s="503"/>
      <c r="C12" s="504"/>
      <c r="E12" s="337"/>
      <c r="F12" s="336" t="s">
        <v>217</v>
      </c>
      <c r="G12" s="337"/>
      <c r="H12" s="337"/>
      <c r="I12" s="337"/>
      <c r="J12" s="338"/>
      <c r="K12" s="338"/>
      <c r="L12" s="338"/>
      <c r="M12" s="338"/>
      <c r="N12" s="338"/>
      <c r="O12" s="338"/>
      <c r="P12" s="338"/>
      <c r="Q12" s="338"/>
      <c r="R12" s="338"/>
      <c r="S12" s="338"/>
      <c r="T12" s="338"/>
      <c r="U12" s="372"/>
      <c r="V12" s="373"/>
      <c r="W12" s="373"/>
      <c r="X12" s="373"/>
      <c r="Y12" s="373"/>
      <c r="Z12" s="374"/>
      <c r="AA12" s="374"/>
      <c r="AB12" s="374"/>
      <c r="AC12" s="374"/>
      <c r="AD12" s="374"/>
      <c r="AE12" s="374"/>
      <c r="AF12" s="374"/>
      <c r="AG12" s="97"/>
      <c r="AH12" s="97"/>
      <c r="AI12" s="97"/>
      <c r="AJ12" s="97"/>
      <c r="AK12" s="97"/>
      <c r="AL12" s="97"/>
    </row>
    <row r="13" spans="1:41" s="105" customFormat="1" ht="93.75" customHeight="1">
      <c r="A13" s="99"/>
      <c r="B13" s="100" t="s">
        <v>218</v>
      </c>
      <c r="C13" s="101" t="s">
        <v>219</v>
      </c>
      <c r="D13" s="371" t="s">
        <v>657</v>
      </c>
      <c r="E13" s="335" t="s">
        <v>453</v>
      </c>
      <c r="F13" s="335" t="s">
        <v>454</v>
      </c>
      <c r="G13" s="335" t="s">
        <v>455</v>
      </c>
      <c r="H13" s="335" t="s">
        <v>456</v>
      </c>
      <c r="I13" s="335" t="s">
        <v>457</v>
      </c>
      <c r="J13" s="335" t="s">
        <v>458</v>
      </c>
      <c r="K13" s="339" t="s">
        <v>459</v>
      </c>
      <c r="L13" s="335" t="s">
        <v>460</v>
      </c>
      <c r="M13" s="340" t="s">
        <v>461</v>
      </c>
      <c r="N13" s="341" t="s">
        <v>462</v>
      </c>
      <c r="O13" s="341" t="s">
        <v>463</v>
      </c>
      <c r="P13" s="341" t="s">
        <v>464</v>
      </c>
      <c r="Q13" s="341" t="s">
        <v>465</v>
      </c>
      <c r="R13" s="341" t="s">
        <v>146</v>
      </c>
      <c r="S13" s="341" t="s">
        <v>148</v>
      </c>
      <c r="T13" s="341" t="s">
        <v>466</v>
      </c>
      <c r="U13" s="375"/>
      <c r="V13" s="375"/>
      <c r="W13" s="375"/>
      <c r="X13" s="375"/>
      <c r="Y13" s="375"/>
      <c r="Z13" s="375"/>
      <c r="AA13" s="375"/>
      <c r="AB13" s="375"/>
      <c r="AC13" s="375"/>
      <c r="AD13" s="375"/>
      <c r="AE13" s="375"/>
      <c r="AF13" s="375"/>
      <c r="AG13" s="102"/>
      <c r="AH13" s="103"/>
      <c r="AI13" s="103"/>
      <c r="AJ13" s="103"/>
      <c r="AK13" s="103"/>
      <c r="AL13" s="103"/>
      <c r="AM13" s="104"/>
      <c r="AN13" s="104"/>
      <c r="AO13" s="104"/>
    </row>
    <row r="14" spans="1:41" s="95" customFormat="1" ht="13.5" customHeight="1">
      <c r="A14" s="106"/>
      <c r="B14" s="107"/>
      <c r="C14" s="108"/>
      <c r="D14" s="405" t="s">
        <v>686</v>
      </c>
      <c r="E14" s="335" t="s">
        <v>436</v>
      </c>
      <c r="F14" s="335" t="s">
        <v>437</v>
      </c>
      <c r="G14" s="335" t="s">
        <v>438</v>
      </c>
      <c r="H14" s="335" t="s">
        <v>439</v>
      </c>
      <c r="I14" s="335" t="s">
        <v>440</v>
      </c>
      <c r="J14" s="335" t="s">
        <v>441</v>
      </c>
      <c r="K14" s="335" t="s">
        <v>442</v>
      </c>
      <c r="L14" s="335" t="s">
        <v>443</v>
      </c>
      <c r="M14" s="335" t="s">
        <v>444</v>
      </c>
      <c r="N14" s="335" t="s">
        <v>445</v>
      </c>
      <c r="O14" s="335" t="s">
        <v>446</v>
      </c>
      <c r="P14" s="335" t="s">
        <v>447</v>
      </c>
      <c r="Q14" s="335" t="s">
        <v>448</v>
      </c>
      <c r="R14" s="335" t="s">
        <v>449</v>
      </c>
      <c r="S14" s="335" t="s">
        <v>450</v>
      </c>
      <c r="T14" s="335" t="s">
        <v>451</v>
      </c>
      <c r="U14" s="376"/>
      <c r="V14" s="376"/>
      <c r="W14" s="377"/>
      <c r="X14" s="377"/>
      <c r="Y14" s="377"/>
      <c r="Z14" s="377"/>
      <c r="AA14" s="378"/>
      <c r="AB14" s="378"/>
      <c r="AC14" s="378"/>
      <c r="AD14" s="378"/>
      <c r="AE14" s="378"/>
      <c r="AF14" s="378"/>
      <c r="AG14" s="94"/>
      <c r="AH14" s="94"/>
      <c r="AI14" s="94"/>
      <c r="AJ14" s="94"/>
      <c r="AK14" s="94"/>
      <c r="AL14" s="94"/>
    </row>
    <row r="15" spans="1:41" ht="13.5" customHeight="1">
      <c r="A15" s="109"/>
      <c r="B15" s="110"/>
      <c r="C15" s="111"/>
      <c r="D15" s="405" t="s">
        <v>687</v>
      </c>
      <c r="E15" s="368" t="s">
        <v>468</v>
      </c>
      <c r="F15" s="368" t="s">
        <v>468</v>
      </c>
      <c r="G15" s="368" t="s">
        <v>469</v>
      </c>
      <c r="H15" s="368" t="s">
        <v>470</v>
      </c>
      <c r="I15" s="368" t="s">
        <v>468</v>
      </c>
      <c r="J15" s="369" t="s">
        <v>471</v>
      </c>
      <c r="K15" s="368" t="s">
        <v>470</v>
      </c>
      <c r="L15" s="369" t="s">
        <v>470</v>
      </c>
      <c r="M15" s="369" t="s">
        <v>472</v>
      </c>
      <c r="N15" s="370" t="s">
        <v>473</v>
      </c>
      <c r="O15" s="368" t="s">
        <v>474</v>
      </c>
      <c r="P15" s="368" t="s">
        <v>475</v>
      </c>
      <c r="Q15" s="369" t="s">
        <v>475</v>
      </c>
      <c r="R15" s="369" t="s">
        <v>223</v>
      </c>
      <c r="S15" s="370" t="s">
        <v>475</v>
      </c>
      <c r="T15" s="335" t="s">
        <v>475</v>
      </c>
      <c r="U15" s="377"/>
      <c r="V15" s="377"/>
      <c r="W15" s="377"/>
      <c r="X15" s="377"/>
      <c r="Y15" s="377"/>
      <c r="Z15" s="377"/>
      <c r="AA15" s="377"/>
      <c r="AB15" s="378"/>
      <c r="AC15" s="379"/>
      <c r="AD15" s="378"/>
      <c r="AE15" s="379"/>
      <c r="AF15" s="378"/>
      <c r="AG15" s="94"/>
      <c r="AH15" s="94"/>
      <c r="AI15" s="112"/>
      <c r="AJ15" s="94"/>
      <c r="AK15" s="112"/>
      <c r="AL15" s="94"/>
      <c r="AM15" s="95"/>
      <c r="AN15" s="95"/>
      <c r="AO15" s="95"/>
    </row>
    <row r="16" spans="1:41" ht="13.5" customHeight="1">
      <c r="A16" s="113"/>
      <c r="B16" s="383" t="s">
        <v>669</v>
      </c>
      <c r="C16" s="111" t="s">
        <v>217</v>
      </c>
      <c r="D16" s="407" t="s">
        <v>648</v>
      </c>
      <c r="E16" s="407" t="s">
        <v>649</v>
      </c>
      <c r="F16" s="407" t="s">
        <v>650</v>
      </c>
      <c r="G16" s="407" t="s">
        <v>535</v>
      </c>
      <c r="H16" s="407" t="s">
        <v>232</v>
      </c>
      <c r="I16" s="407" t="s">
        <v>651</v>
      </c>
      <c r="J16" s="407" t="s">
        <v>538</v>
      </c>
      <c r="K16" s="407" t="s">
        <v>534</v>
      </c>
      <c r="L16" s="407" t="s">
        <v>534</v>
      </c>
      <c r="M16" s="407" t="s">
        <v>652</v>
      </c>
      <c r="N16" s="407" t="s">
        <v>534</v>
      </c>
      <c r="O16" s="407" t="s">
        <v>653</v>
      </c>
      <c r="P16" s="407" t="s">
        <v>654</v>
      </c>
      <c r="Q16" s="407" t="s">
        <v>654</v>
      </c>
      <c r="R16" s="407" t="s">
        <v>655</v>
      </c>
      <c r="S16" s="407" t="s">
        <v>656</v>
      </c>
      <c r="T16" s="407" t="s">
        <v>656</v>
      </c>
      <c r="U16" s="377"/>
      <c r="V16" s="377"/>
      <c r="W16" s="377"/>
      <c r="X16" s="377"/>
      <c r="Y16" s="377"/>
      <c r="Z16" s="377"/>
      <c r="AA16" s="377"/>
      <c r="AB16" s="378"/>
      <c r="AC16" s="379"/>
      <c r="AD16" s="378"/>
      <c r="AE16" s="379"/>
      <c r="AF16" s="378"/>
      <c r="AG16" s="94"/>
      <c r="AH16" s="88"/>
      <c r="AI16" s="112"/>
      <c r="AJ16" s="94"/>
      <c r="AK16" s="94"/>
      <c r="AL16" s="94"/>
      <c r="AM16" s="95"/>
      <c r="AN16" s="95"/>
      <c r="AO16" s="95"/>
    </row>
    <row r="17" spans="1:42" ht="13.5" customHeight="1">
      <c r="A17" s="114"/>
      <c r="B17" s="383" t="s">
        <v>670</v>
      </c>
      <c r="C17" s="111" t="s">
        <v>228</v>
      </c>
      <c r="D17" s="407" t="s">
        <v>658</v>
      </c>
      <c r="E17" s="407" t="s">
        <v>649</v>
      </c>
      <c r="F17" s="407" t="s">
        <v>659</v>
      </c>
      <c r="G17" s="407" t="s">
        <v>535</v>
      </c>
      <c r="H17" s="407" t="s">
        <v>232</v>
      </c>
      <c r="I17" s="407" t="s">
        <v>651</v>
      </c>
      <c r="J17" s="407" t="s">
        <v>660</v>
      </c>
      <c r="K17" s="407" t="s">
        <v>534</v>
      </c>
      <c r="L17" s="407" t="s">
        <v>534</v>
      </c>
      <c r="M17" s="407" t="s">
        <v>661</v>
      </c>
      <c r="N17" s="407" t="s">
        <v>534</v>
      </c>
      <c r="O17" s="407" t="s">
        <v>653</v>
      </c>
      <c r="P17" s="407" t="s">
        <v>654</v>
      </c>
      <c r="Q17" s="407" t="s">
        <v>654</v>
      </c>
      <c r="R17" s="407" t="s">
        <v>662</v>
      </c>
      <c r="S17" s="407" t="s">
        <v>656</v>
      </c>
      <c r="T17" s="407" t="s">
        <v>656</v>
      </c>
      <c r="U17" s="377"/>
      <c r="V17" s="377"/>
      <c r="W17" s="377"/>
      <c r="X17" s="377"/>
      <c r="Y17" s="377"/>
      <c r="Z17" s="377"/>
      <c r="AA17" s="377"/>
      <c r="AB17" s="378"/>
      <c r="AC17" s="379"/>
      <c r="AD17" s="378"/>
      <c r="AE17" s="379"/>
      <c r="AF17" s="378"/>
      <c r="AG17" s="94"/>
      <c r="AH17" s="88"/>
      <c r="AI17" s="112"/>
      <c r="AJ17" s="94"/>
      <c r="AK17" s="94"/>
      <c r="AL17" s="94"/>
      <c r="AM17" s="95"/>
      <c r="AN17" s="95"/>
      <c r="AO17" s="95"/>
    </row>
    <row r="18" spans="1:42" ht="13.5" customHeight="1">
      <c r="A18" s="114"/>
      <c r="B18" s="383" t="s">
        <v>671</v>
      </c>
      <c r="C18" s="111" t="s">
        <v>228</v>
      </c>
      <c r="D18" s="407" t="s">
        <v>663</v>
      </c>
      <c r="E18" s="407" t="s">
        <v>649</v>
      </c>
      <c r="F18" s="407" t="s">
        <v>650</v>
      </c>
      <c r="G18" s="407" t="s">
        <v>535</v>
      </c>
      <c r="H18" s="407" t="s">
        <v>232</v>
      </c>
      <c r="I18" s="407" t="s">
        <v>651</v>
      </c>
      <c r="J18" s="407" t="s">
        <v>660</v>
      </c>
      <c r="K18" s="407" t="s">
        <v>534</v>
      </c>
      <c r="L18" s="407" t="s">
        <v>534</v>
      </c>
      <c r="M18" s="407" t="s">
        <v>664</v>
      </c>
      <c r="N18" s="407" t="s">
        <v>534</v>
      </c>
      <c r="O18" s="407" t="s">
        <v>665</v>
      </c>
      <c r="P18" s="407" t="s">
        <v>666</v>
      </c>
      <c r="Q18" s="407" t="s">
        <v>666</v>
      </c>
      <c r="R18" s="407" t="s">
        <v>665</v>
      </c>
      <c r="S18" s="407" t="s">
        <v>666</v>
      </c>
      <c r="T18" s="407" t="s">
        <v>666</v>
      </c>
      <c r="U18" s="377"/>
      <c r="V18" s="377"/>
      <c r="W18" s="377"/>
      <c r="X18" s="377"/>
      <c r="Y18" s="377"/>
      <c r="Z18" s="377"/>
      <c r="AA18" s="377"/>
      <c r="AB18" s="378"/>
      <c r="AC18" s="379"/>
      <c r="AD18" s="378"/>
      <c r="AE18" s="379"/>
      <c r="AF18" s="378"/>
      <c r="AG18" s="94"/>
      <c r="AH18" s="88"/>
      <c r="AI18" s="112"/>
      <c r="AJ18" s="94"/>
      <c r="AK18" s="94"/>
      <c r="AL18" s="94"/>
      <c r="AM18" s="95"/>
      <c r="AN18" s="95"/>
      <c r="AO18" s="95"/>
    </row>
    <row r="19" spans="1:42" ht="13.5" customHeight="1">
      <c r="A19" s="113"/>
      <c r="B19" s="383" t="s">
        <v>672</v>
      </c>
      <c r="C19" s="111" t="s">
        <v>228</v>
      </c>
      <c r="D19" s="407" t="s">
        <v>667</v>
      </c>
      <c r="E19" s="407" t="s">
        <v>649</v>
      </c>
      <c r="F19" s="407" t="s">
        <v>650</v>
      </c>
      <c r="G19" s="407" t="s">
        <v>535</v>
      </c>
      <c r="H19" s="407" t="s">
        <v>232</v>
      </c>
      <c r="I19" s="407" t="s">
        <v>651</v>
      </c>
      <c r="J19" s="407" t="s">
        <v>660</v>
      </c>
      <c r="K19" s="407" t="s">
        <v>534</v>
      </c>
      <c r="L19" s="407" t="s">
        <v>534</v>
      </c>
      <c r="M19" s="407" t="s">
        <v>668</v>
      </c>
      <c r="N19" s="407" t="s">
        <v>534</v>
      </c>
      <c r="O19" s="407" t="s">
        <v>653</v>
      </c>
      <c r="P19" s="407" t="s">
        <v>654</v>
      </c>
      <c r="Q19" s="407" t="s">
        <v>654</v>
      </c>
      <c r="R19" s="407" t="s">
        <v>655</v>
      </c>
      <c r="S19" s="407" t="s">
        <v>656</v>
      </c>
      <c r="T19" s="407" t="s">
        <v>656</v>
      </c>
      <c r="U19" s="377"/>
      <c r="V19" s="377"/>
      <c r="W19" s="377"/>
      <c r="X19" s="377"/>
      <c r="Y19" s="377"/>
      <c r="Z19" s="377"/>
      <c r="AA19" s="377"/>
      <c r="AB19" s="378"/>
      <c r="AC19" s="379"/>
      <c r="AD19" s="378"/>
      <c r="AE19" s="379"/>
      <c r="AF19" s="378"/>
      <c r="AG19" s="94"/>
      <c r="AH19" s="88"/>
      <c r="AI19" s="112"/>
      <c r="AJ19" s="94"/>
      <c r="AK19" s="94"/>
      <c r="AL19" s="94"/>
      <c r="AM19" s="95"/>
      <c r="AN19" s="95"/>
      <c r="AO19" s="95"/>
    </row>
    <row r="20" spans="1:42" ht="13.5" customHeight="1">
      <c r="A20" s="106"/>
      <c r="B20" s="110"/>
      <c r="C20" s="111"/>
      <c r="D20" s="377"/>
      <c r="E20" s="403"/>
      <c r="F20" s="377"/>
      <c r="G20" s="377"/>
      <c r="H20" s="414"/>
      <c r="I20" s="377"/>
      <c r="J20" s="377"/>
      <c r="K20" s="377"/>
      <c r="L20" s="377"/>
      <c r="M20" s="377"/>
      <c r="N20" s="377"/>
      <c r="O20" s="377"/>
      <c r="P20" s="403"/>
      <c r="Q20" s="377"/>
      <c r="R20" s="377"/>
      <c r="S20" s="377"/>
      <c r="T20" s="375"/>
      <c r="U20" s="377"/>
      <c r="V20" s="377"/>
      <c r="W20" s="377"/>
      <c r="X20" s="377"/>
      <c r="Y20" s="377"/>
      <c r="Z20" s="377"/>
      <c r="AA20" s="377"/>
      <c r="AB20" s="378"/>
      <c r="AC20" s="379"/>
      <c r="AD20" s="378"/>
      <c r="AE20" s="379"/>
      <c r="AF20" s="378"/>
      <c r="AG20" s="94"/>
      <c r="AH20" s="94"/>
      <c r="AI20" s="112"/>
      <c r="AJ20" s="94"/>
      <c r="AK20" s="112"/>
      <c r="AL20" s="94"/>
      <c r="AM20" s="95"/>
      <c r="AN20" s="95"/>
      <c r="AO20" s="95"/>
    </row>
    <row r="21" spans="1:42" ht="13.5" customHeight="1">
      <c r="A21" s="106"/>
      <c r="B21" s="110"/>
      <c r="C21" s="111"/>
      <c r="D21" s="377"/>
      <c r="E21" s="403"/>
      <c r="F21" s="377"/>
      <c r="G21" s="377"/>
      <c r="H21" s="414"/>
      <c r="I21" s="377"/>
      <c r="J21" s="377"/>
      <c r="K21" s="377"/>
      <c r="L21" s="377"/>
      <c r="M21" s="377"/>
      <c r="N21" s="377"/>
      <c r="O21" s="377"/>
      <c r="P21" s="403"/>
      <c r="Q21" s="377"/>
      <c r="R21" s="377"/>
      <c r="S21" s="377"/>
      <c r="T21" s="375"/>
      <c r="U21" s="377"/>
      <c r="V21" s="377"/>
      <c r="W21" s="377"/>
      <c r="X21" s="377"/>
      <c r="Y21" s="377"/>
      <c r="Z21" s="377"/>
      <c r="AA21" s="377"/>
      <c r="AB21" s="378"/>
      <c r="AC21" s="379"/>
      <c r="AD21" s="378"/>
      <c r="AE21" s="379"/>
      <c r="AF21" s="378"/>
      <c r="AG21" s="94"/>
      <c r="AH21" s="94"/>
      <c r="AI21" s="112"/>
      <c r="AJ21" s="94"/>
      <c r="AK21" s="112"/>
      <c r="AL21" s="94"/>
      <c r="AM21" s="95"/>
      <c r="AN21" s="95"/>
      <c r="AO21" s="95"/>
    </row>
    <row r="22" spans="1:42" ht="13.5" customHeight="1">
      <c r="A22" s="106"/>
      <c r="B22" s="110"/>
      <c r="C22" s="111"/>
      <c r="D22" s="377"/>
      <c r="E22" s="403"/>
      <c r="F22" s="377"/>
      <c r="G22" s="377"/>
      <c r="H22" s="414"/>
      <c r="I22" s="377"/>
      <c r="J22" s="377"/>
      <c r="K22" s="377"/>
      <c r="L22" s="377"/>
      <c r="M22" s="377"/>
      <c r="N22" s="377"/>
      <c r="O22" s="377"/>
      <c r="P22" s="403"/>
      <c r="Q22" s="377"/>
      <c r="R22" s="377"/>
      <c r="S22" s="377"/>
      <c r="T22" s="375"/>
      <c r="U22" s="377"/>
      <c r="V22" s="377"/>
      <c r="W22" s="377"/>
      <c r="X22" s="377"/>
      <c r="Y22" s="377"/>
      <c r="Z22" s="377"/>
      <c r="AA22" s="377"/>
      <c r="AB22" s="378"/>
      <c r="AC22" s="379"/>
      <c r="AD22" s="378"/>
      <c r="AE22" s="379"/>
      <c r="AF22" s="378"/>
      <c r="AG22" s="94"/>
      <c r="AH22" s="94"/>
      <c r="AI22" s="112"/>
      <c r="AJ22" s="94"/>
      <c r="AK22" s="112"/>
      <c r="AL22" s="94"/>
      <c r="AM22" s="95"/>
      <c r="AN22" s="95"/>
      <c r="AO22" s="95"/>
    </row>
    <row r="23" spans="1:42" ht="13.5" customHeight="1">
      <c r="A23" s="106"/>
      <c r="B23" s="110"/>
      <c r="C23" s="111"/>
      <c r="D23" s="377"/>
      <c r="E23" s="403"/>
      <c r="F23" s="377"/>
      <c r="G23" s="377"/>
      <c r="H23" s="414"/>
      <c r="I23" s="377"/>
      <c r="J23" s="377"/>
      <c r="K23" s="377"/>
      <c r="L23" s="377"/>
      <c r="M23" s="377"/>
      <c r="N23" s="377"/>
      <c r="O23" s="377"/>
      <c r="P23" s="403"/>
      <c r="Q23" s="377"/>
      <c r="R23" s="377"/>
      <c r="S23" s="377"/>
      <c r="T23" s="375"/>
      <c r="U23" s="377"/>
      <c r="V23" s="377"/>
      <c r="W23" s="377"/>
      <c r="X23" s="377"/>
      <c r="Y23" s="377"/>
      <c r="Z23" s="377"/>
      <c r="AA23" s="377"/>
      <c r="AB23" s="378"/>
      <c r="AC23" s="379"/>
      <c r="AD23" s="378"/>
      <c r="AE23" s="379"/>
      <c r="AF23" s="378"/>
      <c r="AG23" s="94"/>
      <c r="AH23" s="94"/>
      <c r="AI23" s="112"/>
      <c r="AJ23" s="94"/>
      <c r="AK23" s="112"/>
      <c r="AL23" s="94"/>
      <c r="AM23" s="95"/>
      <c r="AN23" s="95"/>
      <c r="AO23" s="95"/>
    </row>
    <row r="24" spans="1:42">
      <c r="B24" s="91"/>
      <c r="C24" s="108"/>
      <c r="D24" s="91"/>
      <c r="E24" s="91"/>
      <c r="F24" s="91"/>
      <c r="G24" s="91"/>
      <c r="H24" s="91"/>
      <c r="I24" s="91"/>
      <c r="J24" s="91"/>
      <c r="K24" s="91"/>
      <c r="L24" s="91"/>
      <c r="M24" s="91"/>
      <c r="N24" s="91"/>
      <c r="O24" s="91"/>
      <c r="P24" s="91"/>
      <c r="Q24" s="91"/>
      <c r="R24" s="91"/>
      <c r="S24" s="91"/>
      <c r="T24" s="115"/>
      <c r="U24" s="115"/>
      <c r="V24" s="115"/>
      <c r="W24" s="116"/>
      <c r="X24" s="115"/>
      <c r="Y24" s="115"/>
      <c r="Z24" s="95"/>
      <c r="AA24" s="95"/>
      <c r="AB24" s="95"/>
      <c r="AC24" s="95"/>
      <c r="AD24" s="95"/>
      <c r="AE24" s="95"/>
      <c r="AF24" s="95"/>
      <c r="AG24" s="94"/>
      <c r="AH24" s="94"/>
      <c r="AI24" s="94"/>
      <c r="AJ24" s="94"/>
      <c r="AK24" s="94"/>
      <c r="AL24" s="94"/>
      <c r="AM24" s="95"/>
      <c r="AN24" s="95"/>
      <c r="AO24" s="95"/>
    </row>
    <row r="25" spans="1:42">
      <c r="B25" s="91"/>
      <c r="C25" s="108"/>
      <c r="D25" s="91"/>
      <c r="E25" s="91"/>
      <c r="F25" s="91"/>
      <c r="G25" s="91"/>
      <c r="H25" s="91"/>
      <c r="I25" s="91"/>
      <c r="J25" s="91"/>
      <c r="K25" s="91"/>
      <c r="L25" s="91"/>
      <c r="M25" s="91"/>
      <c r="N25" s="91"/>
      <c r="O25" s="91"/>
      <c r="P25" s="91"/>
      <c r="Q25" s="91"/>
      <c r="R25" s="91"/>
      <c r="S25" s="91"/>
      <c r="T25" s="115"/>
      <c r="U25" s="115"/>
      <c r="V25" s="115"/>
      <c r="W25" s="117"/>
      <c r="X25" s="115"/>
      <c r="Y25" s="115"/>
      <c r="Z25" s="95"/>
      <c r="AA25" s="95"/>
      <c r="AB25" s="95"/>
      <c r="AC25" s="95"/>
      <c r="AD25" s="95"/>
      <c r="AE25" s="95"/>
      <c r="AF25" s="95"/>
      <c r="AG25" s="95"/>
      <c r="AH25" s="95"/>
      <c r="AI25" s="95"/>
      <c r="AJ25" s="95"/>
      <c r="AK25" s="95"/>
      <c r="AL25" s="95"/>
      <c r="AM25" s="95"/>
      <c r="AN25" s="95"/>
      <c r="AO25" s="95"/>
    </row>
    <row r="26" spans="1:42" ht="19.5" customHeight="1">
      <c r="B26" s="91"/>
      <c r="C26" s="92"/>
      <c r="D26" s="393" t="s">
        <v>679</v>
      </c>
      <c r="E26" s="394"/>
      <c r="F26" s="394"/>
      <c r="G26" s="394"/>
      <c r="H26" s="394"/>
      <c r="I26" s="394"/>
      <c r="J26" s="394"/>
      <c r="K26" s="394"/>
      <c r="L26" s="394"/>
      <c r="M26" s="394"/>
      <c r="N26" s="394"/>
      <c r="O26" s="395"/>
      <c r="P26" s="395"/>
      <c r="Q26" s="395"/>
      <c r="R26" s="395"/>
      <c r="S26" s="395"/>
      <c r="T26" s="389"/>
      <c r="U26" s="389"/>
      <c r="V26" s="389"/>
      <c r="W26" s="389"/>
      <c r="X26" s="389"/>
      <c r="Y26" s="389"/>
      <c r="Z26" s="390"/>
      <c r="AA26" s="390"/>
      <c r="AB26" s="390"/>
      <c r="AC26" s="390"/>
      <c r="AD26" s="390"/>
      <c r="AE26" s="390"/>
      <c r="AF26" s="390"/>
      <c r="AG26" s="390"/>
      <c r="AH26" s="390"/>
      <c r="AI26" s="390"/>
      <c r="AJ26" s="390"/>
      <c r="AK26" s="390"/>
      <c r="AL26" s="390"/>
      <c r="AM26" s="390"/>
      <c r="AN26" s="390"/>
      <c r="AO26" s="390"/>
      <c r="AP26" s="322"/>
    </row>
    <row r="27" spans="1:42" s="98" customFormat="1" ht="16.5" customHeight="1">
      <c r="A27" s="503" t="s">
        <v>216</v>
      </c>
      <c r="B27" s="503"/>
      <c r="C27" s="504"/>
      <c r="D27" s="336"/>
      <c r="E27" s="392"/>
      <c r="F27" s="336"/>
      <c r="G27" s="336" t="s">
        <v>217</v>
      </c>
      <c r="H27" s="392"/>
      <c r="I27" s="392"/>
      <c r="J27" s="392"/>
      <c r="K27" s="392"/>
      <c r="L27" s="392"/>
      <c r="M27" s="392"/>
      <c r="N27" s="392"/>
      <c r="O27" s="384"/>
      <c r="P27" s="384"/>
      <c r="Q27" s="384"/>
      <c r="R27" s="384"/>
      <c r="S27" s="384"/>
      <c r="T27" s="384"/>
      <c r="U27" s="384"/>
      <c r="V27" s="384"/>
      <c r="W27" s="384"/>
      <c r="X27" s="384"/>
      <c r="Y27" s="384"/>
      <c r="Z27" s="385"/>
      <c r="AA27" s="385"/>
      <c r="AB27" s="385"/>
      <c r="AC27" s="385"/>
      <c r="AD27" s="385"/>
      <c r="AE27" s="385"/>
      <c r="AF27" s="385"/>
      <c r="AG27" s="385"/>
      <c r="AH27" s="385"/>
      <c r="AI27" s="385"/>
      <c r="AJ27" s="385"/>
      <c r="AK27" s="385"/>
      <c r="AL27" s="385"/>
      <c r="AM27" s="385"/>
      <c r="AN27" s="385"/>
      <c r="AO27" s="385"/>
      <c r="AP27" s="385"/>
    </row>
    <row r="28" spans="1:42" s="105" customFormat="1" ht="105" customHeight="1">
      <c r="B28" s="100" t="s">
        <v>218</v>
      </c>
      <c r="C28" s="121" t="s">
        <v>231</v>
      </c>
      <c r="D28" s="371" t="s">
        <v>688</v>
      </c>
      <c r="E28" s="335" t="s">
        <v>682</v>
      </c>
      <c r="F28" s="371" t="s">
        <v>689</v>
      </c>
      <c r="G28" s="335" t="s">
        <v>683</v>
      </c>
      <c r="H28" s="341" t="s">
        <v>462</v>
      </c>
      <c r="I28" s="341" t="s">
        <v>463</v>
      </c>
      <c r="J28" s="341" t="s">
        <v>464</v>
      </c>
      <c r="K28" s="341" t="s">
        <v>465</v>
      </c>
      <c r="L28" s="341" t="s">
        <v>146</v>
      </c>
      <c r="M28" s="341" t="s">
        <v>148</v>
      </c>
      <c r="N28" s="341" t="s">
        <v>466</v>
      </c>
      <c r="O28" s="396"/>
      <c r="P28" s="396"/>
      <c r="Q28" s="397"/>
      <c r="R28" s="397"/>
      <c r="S28" s="398"/>
      <c r="T28" s="399"/>
      <c r="U28" s="399"/>
      <c r="V28" s="398"/>
      <c r="W28" s="398"/>
      <c r="X28" s="398"/>
      <c r="Y28" s="398"/>
      <c r="Z28" s="400"/>
      <c r="AA28" s="400"/>
      <c r="AB28" s="401"/>
      <c r="AC28" s="401"/>
      <c r="AD28" s="401"/>
      <c r="AE28" s="401"/>
      <c r="AF28" s="401"/>
      <c r="AG28" s="401"/>
      <c r="AH28" s="400"/>
      <c r="AI28" s="401"/>
      <c r="AJ28" s="400"/>
      <c r="AK28" s="401"/>
      <c r="AL28" s="400"/>
      <c r="AM28" s="400"/>
      <c r="AN28" s="400"/>
      <c r="AO28" s="400"/>
      <c r="AP28" s="402"/>
    </row>
    <row r="29" spans="1:42" s="95" customFormat="1" ht="13.5" customHeight="1">
      <c r="B29" s="107"/>
      <c r="C29" s="108"/>
      <c r="D29" s="405" t="s">
        <v>690</v>
      </c>
      <c r="E29" s="335" t="s">
        <v>680</v>
      </c>
      <c r="F29" s="405" t="s">
        <v>692</v>
      </c>
      <c r="G29" s="335" t="s">
        <v>681</v>
      </c>
      <c r="H29" s="335" t="s">
        <v>445</v>
      </c>
      <c r="I29" s="335" t="s">
        <v>446</v>
      </c>
      <c r="J29" s="335" t="s">
        <v>447</v>
      </c>
      <c r="K29" s="335" t="s">
        <v>448</v>
      </c>
      <c r="L29" s="335" t="s">
        <v>449</v>
      </c>
      <c r="M29" s="335" t="s">
        <v>450</v>
      </c>
      <c r="N29" s="335" t="s">
        <v>451</v>
      </c>
      <c r="O29" s="376"/>
      <c r="P29" s="376"/>
      <c r="Q29" s="377"/>
      <c r="R29" s="377"/>
      <c r="S29" s="377"/>
      <c r="T29" s="377"/>
      <c r="U29" s="376"/>
      <c r="V29" s="376"/>
      <c r="W29" s="377"/>
      <c r="X29" s="376"/>
      <c r="Y29" s="390"/>
      <c r="Z29" s="376"/>
      <c r="AA29" s="390"/>
      <c r="AB29" s="390"/>
      <c r="AC29" s="376"/>
      <c r="AD29" s="390"/>
      <c r="AE29" s="390"/>
      <c r="AF29" s="390"/>
      <c r="AG29" s="390"/>
      <c r="AH29" s="390"/>
      <c r="AI29" s="390"/>
      <c r="AJ29" s="390"/>
      <c r="AK29" s="390"/>
      <c r="AL29" s="390"/>
      <c r="AM29" s="390"/>
      <c r="AN29" s="390"/>
      <c r="AO29" s="390"/>
      <c r="AP29" s="390"/>
    </row>
    <row r="30" spans="1:42" s="95" customFormat="1" ht="13.5" customHeight="1">
      <c r="B30" s="107"/>
      <c r="C30" s="108"/>
      <c r="D30" s="405" t="s">
        <v>691</v>
      </c>
      <c r="E30" s="335" t="s">
        <v>685</v>
      </c>
      <c r="F30" s="405" t="s">
        <v>693</v>
      </c>
      <c r="G30" s="335" t="s">
        <v>470</v>
      </c>
      <c r="H30" s="335" t="s">
        <v>684</v>
      </c>
      <c r="I30" s="335" t="s">
        <v>474</v>
      </c>
      <c r="J30" s="335" t="s">
        <v>475</v>
      </c>
      <c r="K30" s="335" t="s">
        <v>475</v>
      </c>
      <c r="L30" s="335" t="s">
        <v>223</v>
      </c>
      <c r="M30" s="335" t="s">
        <v>475</v>
      </c>
      <c r="N30" s="335" t="s">
        <v>475</v>
      </c>
      <c r="O30" s="376"/>
      <c r="P30" s="376"/>
      <c r="Q30" s="377"/>
      <c r="R30" s="377"/>
      <c r="S30" s="377"/>
      <c r="T30" s="377"/>
      <c r="U30" s="376"/>
      <c r="V30" s="376"/>
      <c r="W30" s="377"/>
      <c r="X30" s="376"/>
      <c r="Y30" s="390"/>
      <c r="Z30" s="376"/>
      <c r="AA30" s="390"/>
      <c r="AB30" s="390"/>
      <c r="AC30" s="376"/>
      <c r="AD30" s="390"/>
      <c r="AE30" s="390"/>
      <c r="AF30" s="390"/>
      <c r="AG30" s="390"/>
      <c r="AH30" s="390"/>
      <c r="AI30" s="390"/>
      <c r="AJ30" s="390"/>
      <c r="AK30" s="390"/>
      <c r="AL30" s="390"/>
      <c r="AM30" s="390"/>
      <c r="AN30" s="390"/>
      <c r="AO30" s="390"/>
      <c r="AP30" s="390"/>
    </row>
    <row r="31" spans="1:42" ht="13.5" customHeight="1">
      <c r="B31" s="110" t="s">
        <v>229</v>
      </c>
      <c r="C31" s="111" t="s">
        <v>228</v>
      </c>
      <c r="D31" s="407" t="s">
        <v>651</v>
      </c>
      <c r="E31" s="407" t="s">
        <v>694</v>
      </c>
      <c r="F31" s="407" t="s">
        <v>695</v>
      </c>
      <c r="G31" s="407" t="s">
        <v>534</v>
      </c>
      <c r="H31" s="407" t="s">
        <v>534</v>
      </c>
      <c r="I31" s="407" t="s">
        <v>696</v>
      </c>
      <c r="J31" s="407" t="s">
        <v>697</v>
      </c>
      <c r="K31" s="407" t="s">
        <v>697</v>
      </c>
      <c r="L31" s="407" t="s">
        <v>698</v>
      </c>
      <c r="M31" s="407" t="s">
        <v>699</v>
      </c>
      <c r="N31" s="407" t="s">
        <v>699</v>
      </c>
      <c r="O31" s="377"/>
      <c r="P31" s="403"/>
      <c r="Q31" s="377"/>
      <c r="R31" s="377"/>
      <c r="S31" s="377"/>
      <c r="T31" s="377"/>
      <c r="U31" s="377"/>
      <c r="V31" s="377"/>
      <c r="W31" s="377"/>
      <c r="X31" s="377"/>
      <c r="Y31" s="377"/>
      <c r="Z31" s="390"/>
      <c r="AA31" s="390"/>
      <c r="AB31" s="390"/>
      <c r="AC31" s="390"/>
      <c r="AD31" s="377"/>
      <c r="AE31" s="377"/>
      <c r="AF31" s="377"/>
      <c r="AG31" s="377"/>
      <c r="AH31" s="390"/>
      <c r="AI31" s="390"/>
      <c r="AJ31" s="390"/>
      <c r="AK31" s="390"/>
      <c r="AL31" s="390"/>
      <c r="AM31" s="377"/>
      <c r="AN31" s="390"/>
      <c r="AO31" s="377"/>
      <c r="AP31" s="390"/>
    </row>
    <row r="32" spans="1:42" ht="13.5" customHeight="1">
      <c r="B32" s="110" t="s">
        <v>224</v>
      </c>
      <c r="C32" s="111" t="s">
        <v>228</v>
      </c>
      <c r="D32" s="407" t="s">
        <v>700</v>
      </c>
      <c r="E32" s="407" t="s">
        <v>694</v>
      </c>
      <c r="F32" s="407" t="s">
        <v>695</v>
      </c>
      <c r="G32" s="407" t="s">
        <v>534</v>
      </c>
      <c r="H32" s="407" t="s">
        <v>534</v>
      </c>
      <c r="I32" s="407" t="s">
        <v>696</v>
      </c>
      <c r="J32" s="407" t="s">
        <v>697</v>
      </c>
      <c r="K32" s="407" t="s">
        <v>697</v>
      </c>
      <c r="L32" s="407" t="s">
        <v>698</v>
      </c>
      <c r="M32" s="407" t="s">
        <v>699</v>
      </c>
      <c r="N32" s="407" t="s">
        <v>699</v>
      </c>
      <c r="O32" s="377"/>
      <c r="P32" s="403"/>
      <c r="Q32" s="377"/>
      <c r="R32" s="377"/>
      <c r="S32" s="377"/>
      <c r="T32" s="377"/>
      <c r="U32" s="377"/>
      <c r="V32" s="377"/>
      <c r="W32" s="377"/>
      <c r="X32" s="377"/>
      <c r="Y32" s="377"/>
      <c r="Z32" s="390"/>
      <c r="AA32" s="390"/>
      <c r="AB32" s="390"/>
      <c r="AC32" s="390"/>
      <c r="AD32" s="377"/>
      <c r="AE32" s="377"/>
      <c r="AF32" s="377"/>
      <c r="AG32" s="377"/>
      <c r="AH32" s="390"/>
      <c r="AI32" s="390"/>
      <c r="AJ32" s="390"/>
      <c r="AK32" s="390"/>
      <c r="AL32" s="390"/>
      <c r="AM32" s="377"/>
      <c r="AN32" s="390"/>
      <c r="AO32" s="377"/>
      <c r="AP32" s="390"/>
    </row>
    <row r="33" spans="1:59" ht="13.5" customHeight="1">
      <c r="B33" s="110" t="s">
        <v>227</v>
      </c>
      <c r="C33" s="111" t="s">
        <v>228</v>
      </c>
      <c r="D33" s="407" t="s">
        <v>659</v>
      </c>
      <c r="E33" s="407" t="s">
        <v>694</v>
      </c>
      <c r="F33" s="407" t="s">
        <v>695</v>
      </c>
      <c r="G33" s="407" t="s">
        <v>534</v>
      </c>
      <c r="H33" s="407" t="s">
        <v>534</v>
      </c>
      <c r="I33" s="407" t="s">
        <v>696</v>
      </c>
      <c r="J33" s="407" t="s">
        <v>697</v>
      </c>
      <c r="K33" s="407" t="s">
        <v>697</v>
      </c>
      <c r="L33" s="407" t="s">
        <v>698</v>
      </c>
      <c r="M33" s="407" t="s">
        <v>699</v>
      </c>
      <c r="N33" s="407" t="s">
        <v>699</v>
      </c>
      <c r="O33" s="377"/>
      <c r="P33" s="403"/>
      <c r="Q33" s="377"/>
      <c r="R33" s="377"/>
      <c r="S33" s="377"/>
      <c r="T33" s="377"/>
      <c r="U33" s="377"/>
      <c r="V33" s="377"/>
      <c r="W33" s="377"/>
      <c r="X33" s="377"/>
      <c r="Y33" s="377"/>
      <c r="Z33" s="390"/>
      <c r="AA33" s="390"/>
      <c r="AB33" s="390"/>
      <c r="AC33" s="390"/>
      <c r="AD33" s="377"/>
      <c r="AE33" s="377"/>
      <c r="AF33" s="377"/>
      <c r="AG33" s="377"/>
      <c r="AH33" s="390"/>
      <c r="AI33" s="390"/>
      <c r="AJ33" s="390"/>
      <c r="AK33" s="390"/>
      <c r="AL33" s="390"/>
      <c r="AM33" s="377"/>
      <c r="AN33" s="390"/>
      <c r="AO33" s="377"/>
      <c r="AP33" s="390"/>
    </row>
    <row r="34" spans="1:59" ht="13.5" customHeight="1">
      <c r="B34" s="110" t="s">
        <v>233</v>
      </c>
      <c r="C34" s="111" t="s">
        <v>228</v>
      </c>
      <c r="D34" s="407" t="s">
        <v>539</v>
      </c>
      <c r="E34" s="407" t="s">
        <v>694</v>
      </c>
      <c r="F34" s="407" t="s">
        <v>695</v>
      </c>
      <c r="G34" s="407" t="s">
        <v>534</v>
      </c>
      <c r="H34" s="407" t="s">
        <v>534</v>
      </c>
      <c r="I34" s="407" t="s">
        <v>696</v>
      </c>
      <c r="J34" s="407" t="s">
        <v>697</v>
      </c>
      <c r="K34" s="407" t="s">
        <v>697</v>
      </c>
      <c r="L34" s="407" t="s">
        <v>698</v>
      </c>
      <c r="M34" s="407" t="s">
        <v>699</v>
      </c>
      <c r="N34" s="407" t="s">
        <v>699</v>
      </c>
      <c r="O34" s="377"/>
      <c r="P34" s="403"/>
      <c r="Q34" s="377"/>
      <c r="R34" s="377"/>
      <c r="S34" s="377"/>
      <c r="T34" s="377"/>
      <c r="U34" s="377"/>
      <c r="V34" s="377"/>
      <c r="W34" s="377"/>
      <c r="X34" s="377"/>
      <c r="Y34" s="377"/>
      <c r="Z34" s="390"/>
      <c r="AA34" s="390"/>
      <c r="AB34" s="390"/>
      <c r="AC34" s="390"/>
      <c r="AD34" s="377"/>
      <c r="AE34" s="377"/>
      <c r="AF34" s="377"/>
      <c r="AG34" s="377"/>
      <c r="AH34" s="390"/>
      <c r="AI34" s="390"/>
      <c r="AJ34" s="390"/>
      <c r="AK34" s="390"/>
      <c r="AL34" s="390"/>
      <c r="AM34" s="377"/>
      <c r="AN34" s="390"/>
      <c r="AO34" s="377"/>
      <c r="AP34" s="390"/>
    </row>
    <row r="35" spans="1:59" ht="13.5" customHeight="1">
      <c r="B35" s="110" t="s">
        <v>234</v>
      </c>
      <c r="C35" s="111" t="s">
        <v>217</v>
      </c>
      <c r="D35" s="407" t="s">
        <v>650</v>
      </c>
      <c r="E35" s="407" t="s">
        <v>694</v>
      </c>
      <c r="F35" s="407" t="s">
        <v>695</v>
      </c>
      <c r="G35" s="407" t="s">
        <v>534</v>
      </c>
      <c r="H35" s="407" t="s">
        <v>534</v>
      </c>
      <c r="I35" s="407" t="s">
        <v>696</v>
      </c>
      <c r="J35" s="407" t="s">
        <v>697</v>
      </c>
      <c r="K35" s="407" t="s">
        <v>697</v>
      </c>
      <c r="L35" s="407" t="s">
        <v>698</v>
      </c>
      <c r="M35" s="407" t="s">
        <v>699</v>
      </c>
      <c r="N35" s="407" t="s">
        <v>699</v>
      </c>
      <c r="O35" s="377"/>
      <c r="P35" s="403"/>
      <c r="Q35" s="377"/>
      <c r="R35" s="377"/>
      <c r="S35" s="377"/>
      <c r="T35" s="377"/>
      <c r="U35" s="377"/>
      <c r="V35" s="377"/>
      <c r="W35" s="377"/>
      <c r="X35" s="377"/>
      <c r="Y35" s="377"/>
      <c r="Z35" s="390"/>
      <c r="AA35" s="390"/>
      <c r="AB35" s="390"/>
      <c r="AC35" s="390"/>
      <c r="AD35" s="377"/>
      <c r="AE35" s="377"/>
      <c r="AF35" s="377"/>
      <c r="AG35" s="377"/>
      <c r="AH35" s="390"/>
      <c r="AI35" s="390"/>
      <c r="AJ35" s="390"/>
      <c r="AK35" s="390"/>
      <c r="AL35" s="390"/>
      <c r="AM35" s="377"/>
      <c r="AN35" s="390"/>
      <c r="AO35" s="377"/>
      <c r="AP35" s="390"/>
    </row>
    <row r="36" spans="1:59" ht="13.5" customHeight="1">
      <c r="B36" s="110" t="s">
        <v>806</v>
      </c>
      <c r="C36" s="111" t="s">
        <v>228</v>
      </c>
      <c r="D36" s="407" t="s">
        <v>700</v>
      </c>
      <c r="E36" s="407" t="s">
        <v>694</v>
      </c>
      <c r="F36" s="407" t="s">
        <v>805</v>
      </c>
      <c r="G36" s="407" t="s">
        <v>232</v>
      </c>
      <c r="H36" s="407" t="s">
        <v>534</v>
      </c>
      <c r="I36" s="407" t="s">
        <v>696</v>
      </c>
      <c r="J36" s="407" t="s">
        <v>697</v>
      </c>
      <c r="K36" s="407" t="s">
        <v>697</v>
      </c>
      <c r="L36" s="407" t="s">
        <v>698</v>
      </c>
      <c r="M36" s="407" t="s">
        <v>699</v>
      </c>
      <c r="N36" s="407" t="s">
        <v>699</v>
      </c>
      <c r="O36" s="377"/>
      <c r="P36" s="403"/>
      <c r="Q36" s="377"/>
      <c r="R36" s="377"/>
      <c r="S36" s="377"/>
      <c r="T36" s="377"/>
      <c r="U36" s="377"/>
      <c r="V36" s="377"/>
      <c r="W36" s="377"/>
      <c r="X36" s="377"/>
      <c r="Y36" s="377"/>
      <c r="Z36" s="390"/>
      <c r="AA36" s="390"/>
      <c r="AB36" s="390"/>
      <c r="AC36" s="390"/>
      <c r="AD36" s="377"/>
      <c r="AE36" s="377"/>
      <c r="AF36" s="377"/>
      <c r="AG36" s="377"/>
      <c r="AH36" s="390"/>
      <c r="AI36" s="390"/>
      <c r="AJ36" s="390"/>
      <c r="AK36" s="390"/>
      <c r="AL36" s="390"/>
      <c r="AM36" s="377"/>
      <c r="AN36" s="390"/>
      <c r="AO36" s="377"/>
      <c r="AP36" s="390"/>
    </row>
    <row r="37" spans="1:59" ht="13.5" customHeight="1">
      <c r="B37" s="110" t="s">
        <v>225</v>
      </c>
      <c r="C37" s="111" t="s">
        <v>228</v>
      </c>
      <c r="D37" s="407" t="s">
        <v>659</v>
      </c>
      <c r="E37" s="407" t="s">
        <v>694</v>
      </c>
      <c r="F37" s="407" t="s">
        <v>805</v>
      </c>
      <c r="G37" s="407" t="s">
        <v>232</v>
      </c>
      <c r="H37" s="407" t="s">
        <v>534</v>
      </c>
      <c r="I37" s="407" t="s">
        <v>696</v>
      </c>
      <c r="J37" s="407" t="s">
        <v>697</v>
      </c>
      <c r="K37" s="407" t="s">
        <v>697</v>
      </c>
      <c r="L37" s="407" t="s">
        <v>698</v>
      </c>
      <c r="M37" s="407" t="s">
        <v>699</v>
      </c>
      <c r="N37" s="407" t="s">
        <v>699</v>
      </c>
      <c r="O37" s="377"/>
      <c r="P37" s="403"/>
      <c r="Q37" s="377"/>
      <c r="R37" s="377"/>
      <c r="S37" s="377"/>
      <c r="T37" s="377"/>
      <c r="U37" s="377"/>
      <c r="V37" s="377"/>
      <c r="W37" s="377"/>
      <c r="X37" s="377"/>
      <c r="Y37" s="377"/>
      <c r="Z37" s="390"/>
      <c r="AA37" s="390"/>
      <c r="AB37" s="390"/>
      <c r="AC37" s="390"/>
      <c r="AD37" s="377"/>
      <c r="AE37" s="377"/>
      <c r="AF37" s="377"/>
      <c r="AG37" s="377"/>
      <c r="AH37" s="390"/>
      <c r="AI37" s="390"/>
      <c r="AJ37" s="390"/>
      <c r="AK37" s="390"/>
      <c r="AL37" s="390"/>
      <c r="AM37" s="377"/>
      <c r="AN37" s="390"/>
      <c r="AO37" s="377"/>
      <c r="AP37" s="390"/>
    </row>
    <row r="38" spans="1:59" ht="13.5" customHeight="1">
      <c r="B38" s="110" t="s">
        <v>226</v>
      </c>
      <c r="C38" s="111" t="s">
        <v>228</v>
      </c>
      <c r="D38" s="407" t="s">
        <v>539</v>
      </c>
      <c r="E38" s="407" t="s">
        <v>694</v>
      </c>
      <c r="F38" s="407" t="s">
        <v>805</v>
      </c>
      <c r="G38" s="407" t="s">
        <v>232</v>
      </c>
      <c r="H38" s="407" t="s">
        <v>534</v>
      </c>
      <c r="I38" s="407" t="s">
        <v>696</v>
      </c>
      <c r="J38" s="407" t="s">
        <v>697</v>
      </c>
      <c r="K38" s="407" t="s">
        <v>697</v>
      </c>
      <c r="L38" s="407" t="s">
        <v>698</v>
      </c>
      <c r="M38" s="407" t="s">
        <v>699</v>
      </c>
      <c r="N38" s="407" t="s">
        <v>699</v>
      </c>
      <c r="O38" s="377"/>
      <c r="P38" s="403"/>
      <c r="Q38" s="377"/>
      <c r="R38" s="377"/>
      <c r="S38" s="377"/>
      <c r="T38" s="377"/>
      <c r="U38" s="377"/>
      <c r="V38" s="403"/>
      <c r="W38" s="377"/>
      <c r="X38" s="377"/>
      <c r="Y38" s="377"/>
      <c r="Z38" s="390"/>
      <c r="AA38" s="390"/>
      <c r="AB38" s="390"/>
      <c r="AC38" s="390"/>
      <c r="AD38" s="377"/>
      <c r="AE38" s="377"/>
      <c r="AF38" s="377"/>
      <c r="AG38" s="377"/>
      <c r="AH38" s="390"/>
      <c r="AI38" s="390"/>
      <c r="AJ38" s="390"/>
      <c r="AK38" s="390"/>
      <c r="AL38" s="404"/>
      <c r="AM38" s="377"/>
      <c r="AN38" s="390"/>
      <c r="AO38" s="377"/>
      <c r="AP38" s="390"/>
    </row>
    <row r="39" spans="1:59" ht="13.5" customHeight="1">
      <c r="B39" s="110" t="s">
        <v>236</v>
      </c>
      <c r="C39" s="111" t="s">
        <v>217</v>
      </c>
      <c r="D39" s="407" t="s">
        <v>650</v>
      </c>
      <c r="E39" s="407" t="s">
        <v>694</v>
      </c>
      <c r="F39" s="407" t="s">
        <v>805</v>
      </c>
      <c r="G39" s="407" t="s">
        <v>232</v>
      </c>
      <c r="H39" s="407" t="s">
        <v>534</v>
      </c>
      <c r="I39" s="407" t="s">
        <v>696</v>
      </c>
      <c r="J39" s="407" t="s">
        <v>697</v>
      </c>
      <c r="K39" s="407" t="s">
        <v>697</v>
      </c>
      <c r="L39" s="407" t="s">
        <v>698</v>
      </c>
      <c r="M39" s="407" t="s">
        <v>699</v>
      </c>
      <c r="N39" s="407" t="s">
        <v>699</v>
      </c>
      <c r="O39" s="377"/>
      <c r="P39" s="403"/>
      <c r="Q39" s="377"/>
      <c r="R39" s="377"/>
      <c r="S39" s="377"/>
      <c r="T39" s="377"/>
      <c r="U39" s="377"/>
      <c r="V39" s="403"/>
      <c r="W39" s="377"/>
      <c r="X39" s="377"/>
      <c r="Y39" s="377"/>
      <c r="Z39" s="390"/>
      <c r="AA39" s="390"/>
      <c r="AB39" s="390"/>
      <c r="AC39" s="390"/>
      <c r="AD39" s="377"/>
      <c r="AE39" s="377"/>
      <c r="AF39" s="377"/>
      <c r="AG39" s="377"/>
      <c r="AH39" s="390"/>
      <c r="AI39" s="390"/>
      <c r="AJ39" s="390"/>
      <c r="AK39" s="390"/>
      <c r="AL39" s="390"/>
      <c r="AM39" s="377"/>
      <c r="AN39" s="390"/>
      <c r="AO39" s="377"/>
      <c r="AP39" s="390"/>
    </row>
    <row r="40" spans="1:59" ht="13.5" customHeight="1">
      <c r="B40" s="110" t="s">
        <v>814</v>
      </c>
      <c r="C40" s="111" t="s">
        <v>228</v>
      </c>
      <c r="D40" s="407" t="s">
        <v>650</v>
      </c>
      <c r="E40" s="407" t="s">
        <v>809</v>
      </c>
      <c r="F40" s="407" t="s">
        <v>810</v>
      </c>
      <c r="G40" s="407" t="s">
        <v>232</v>
      </c>
      <c r="H40" s="407" t="s">
        <v>534</v>
      </c>
      <c r="I40" s="407" t="s">
        <v>696</v>
      </c>
      <c r="J40" s="407" t="s">
        <v>697</v>
      </c>
      <c r="K40" s="407" t="s">
        <v>697</v>
      </c>
      <c r="L40" s="407" t="s">
        <v>698</v>
      </c>
      <c r="M40" s="407" t="s">
        <v>699</v>
      </c>
      <c r="N40" s="407" t="s">
        <v>699</v>
      </c>
      <c r="O40" s="377"/>
      <c r="P40" s="403"/>
      <c r="Q40" s="377"/>
      <c r="R40" s="377"/>
      <c r="S40" s="377"/>
      <c r="T40" s="377"/>
      <c r="U40" s="377"/>
      <c r="V40" s="403"/>
      <c r="W40" s="377"/>
      <c r="X40" s="377"/>
      <c r="Y40" s="377"/>
      <c r="Z40" s="390"/>
      <c r="AA40" s="390"/>
      <c r="AB40" s="390"/>
      <c r="AC40" s="390"/>
      <c r="AD40" s="377"/>
      <c r="AE40" s="377"/>
      <c r="AF40" s="377"/>
      <c r="AG40" s="377"/>
      <c r="AH40" s="390"/>
      <c r="AI40" s="390"/>
      <c r="AJ40" s="390"/>
      <c r="AK40" s="390"/>
      <c r="AL40" s="390"/>
      <c r="AM40" s="377"/>
      <c r="AN40" s="390"/>
      <c r="AO40" s="377"/>
      <c r="AP40" s="390"/>
    </row>
    <row r="41" spans="1:59" ht="13.5" customHeight="1">
      <c r="B41" s="110" t="s">
        <v>815</v>
      </c>
      <c r="C41" s="111" t="s">
        <v>228</v>
      </c>
      <c r="D41" s="407" t="s">
        <v>650</v>
      </c>
      <c r="E41" s="407" t="s">
        <v>809</v>
      </c>
      <c r="F41" s="407" t="s">
        <v>811</v>
      </c>
      <c r="G41" s="407" t="s">
        <v>232</v>
      </c>
      <c r="H41" s="407" t="s">
        <v>534</v>
      </c>
      <c r="I41" s="407" t="s">
        <v>696</v>
      </c>
      <c r="J41" s="407" t="s">
        <v>697</v>
      </c>
      <c r="K41" s="407" t="s">
        <v>697</v>
      </c>
      <c r="L41" s="407" t="s">
        <v>698</v>
      </c>
      <c r="M41" s="407" t="s">
        <v>699</v>
      </c>
      <c r="N41" s="407" t="s">
        <v>699</v>
      </c>
      <c r="O41" s="377"/>
      <c r="P41" s="403"/>
      <c r="Q41" s="377"/>
      <c r="R41" s="377"/>
      <c r="S41" s="377"/>
      <c r="T41" s="377"/>
      <c r="U41" s="377"/>
      <c r="V41" s="403"/>
      <c r="W41" s="377"/>
      <c r="X41" s="377"/>
      <c r="Y41" s="377"/>
      <c r="Z41" s="390"/>
      <c r="AA41" s="390"/>
      <c r="AB41" s="390"/>
      <c r="AC41" s="390"/>
      <c r="AD41" s="377"/>
      <c r="AE41" s="377"/>
      <c r="AF41" s="377"/>
      <c r="AG41" s="377"/>
      <c r="AH41" s="390"/>
      <c r="AI41" s="390"/>
      <c r="AJ41" s="390"/>
      <c r="AK41" s="390"/>
      <c r="AL41" s="390"/>
      <c r="AM41" s="377"/>
      <c r="AN41" s="390"/>
      <c r="AO41" s="377"/>
      <c r="AP41" s="390"/>
    </row>
    <row r="42" spans="1:59" ht="13.5" customHeight="1">
      <c r="B42" s="110" t="s">
        <v>816</v>
      </c>
      <c r="C42" s="111" t="s">
        <v>217</v>
      </c>
      <c r="D42" s="407" t="s">
        <v>650</v>
      </c>
      <c r="E42" s="407" t="s">
        <v>809</v>
      </c>
      <c r="F42" s="407" t="s">
        <v>812</v>
      </c>
      <c r="G42" s="407" t="s">
        <v>534</v>
      </c>
      <c r="H42" s="407" t="s">
        <v>534</v>
      </c>
      <c r="I42" s="407" t="s">
        <v>696</v>
      </c>
      <c r="J42" s="407" t="s">
        <v>697</v>
      </c>
      <c r="K42" s="407" t="s">
        <v>697</v>
      </c>
      <c r="L42" s="407" t="s">
        <v>698</v>
      </c>
      <c r="M42" s="407" t="s">
        <v>699</v>
      </c>
      <c r="N42" s="407" t="s">
        <v>699</v>
      </c>
      <c r="O42" s="377"/>
      <c r="P42" s="403"/>
      <c r="Q42" s="377"/>
      <c r="R42" s="377"/>
      <c r="S42" s="377"/>
      <c r="T42" s="377"/>
      <c r="U42" s="377"/>
      <c r="V42" s="403"/>
      <c r="W42" s="377"/>
      <c r="X42" s="377"/>
      <c r="Y42" s="377"/>
      <c r="Z42" s="390"/>
      <c r="AA42" s="390"/>
      <c r="AB42" s="390"/>
      <c r="AC42" s="390"/>
      <c r="AD42" s="377"/>
      <c r="AE42" s="377"/>
      <c r="AF42" s="377"/>
      <c r="AG42" s="377"/>
      <c r="AH42" s="390"/>
      <c r="AI42" s="390"/>
      <c r="AJ42" s="390"/>
      <c r="AK42" s="390"/>
      <c r="AL42" s="390"/>
      <c r="AM42" s="377"/>
      <c r="AN42" s="390"/>
      <c r="AO42" s="377"/>
      <c r="AP42" s="390"/>
    </row>
    <row r="43" spans="1:59" ht="13.5" customHeight="1">
      <c r="B43" s="110" t="s">
        <v>817</v>
      </c>
      <c r="C43" s="111" t="s">
        <v>217</v>
      </c>
      <c r="D43" s="407" t="s">
        <v>650</v>
      </c>
      <c r="E43" s="407" t="s">
        <v>809</v>
      </c>
      <c r="F43" s="407" t="s">
        <v>813</v>
      </c>
      <c r="G43" s="407" t="s">
        <v>534</v>
      </c>
      <c r="H43" s="407" t="s">
        <v>534</v>
      </c>
      <c r="I43" s="407" t="s">
        <v>696</v>
      </c>
      <c r="J43" s="407" t="s">
        <v>697</v>
      </c>
      <c r="K43" s="407" t="s">
        <v>697</v>
      </c>
      <c r="L43" s="407" t="s">
        <v>698</v>
      </c>
      <c r="M43" s="407" t="s">
        <v>699</v>
      </c>
      <c r="N43" s="407" t="s">
        <v>699</v>
      </c>
      <c r="O43" s="377"/>
      <c r="P43" s="403"/>
      <c r="Q43" s="377"/>
      <c r="R43" s="377"/>
      <c r="S43" s="377"/>
      <c r="T43" s="377"/>
      <c r="U43" s="377"/>
      <c r="V43" s="403"/>
      <c r="W43" s="377"/>
      <c r="X43" s="377"/>
      <c r="Y43" s="377"/>
      <c r="Z43" s="390"/>
      <c r="AA43" s="390"/>
      <c r="AB43" s="390"/>
      <c r="AC43" s="390"/>
      <c r="AD43" s="377"/>
      <c r="AE43" s="377"/>
      <c r="AF43" s="377"/>
      <c r="AG43" s="377"/>
      <c r="AH43" s="390"/>
      <c r="AI43" s="390"/>
      <c r="AJ43" s="390"/>
      <c r="AK43" s="390"/>
      <c r="AL43" s="390"/>
      <c r="AM43" s="377"/>
      <c r="AN43" s="390"/>
      <c r="AO43" s="377"/>
      <c r="AP43" s="390"/>
    </row>
    <row r="44" spans="1:59" ht="13.5" customHeight="1">
      <c r="B44" s="110" t="s">
        <v>865</v>
      </c>
      <c r="C44" s="111" t="s">
        <v>217</v>
      </c>
      <c r="D44" s="407" t="s">
        <v>650</v>
      </c>
      <c r="E44" s="407" t="s">
        <v>863</v>
      </c>
      <c r="F44" s="407" t="s">
        <v>864</v>
      </c>
      <c r="G44" s="407" t="s">
        <v>534</v>
      </c>
      <c r="H44" s="407" t="s">
        <v>534</v>
      </c>
      <c r="I44" s="407" t="s">
        <v>696</v>
      </c>
      <c r="J44" s="407" t="s">
        <v>697</v>
      </c>
      <c r="K44" s="407" t="s">
        <v>697</v>
      </c>
      <c r="L44" s="407" t="s">
        <v>698</v>
      </c>
      <c r="M44" s="407" t="s">
        <v>699</v>
      </c>
      <c r="N44" s="407" t="s">
        <v>699</v>
      </c>
      <c r="O44" s="377"/>
      <c r="P44" s="403"/>
      <c r="Q44" s="377"/>
      <c r="R44" s="377"/>
      <c r="S44" s="377"/>
      <c r="T44" s="377"/>
      <c r="U44" s="377"/>
      <c r="V44" s="403"/>
      <c r="W44" s="377"/>
      <c r="X44" s="377"/>
      <c r="Y44" s="377"/>
      <c r="Z44" s="390"/>
      <c r="AA44" s="390"/>
      <c r="AB44" s="390"/>
      <c r="AC44" s="390"/>
      <c r="AD44" s="377"/>
      <c r="AE44" s="377"/>
      <c r="AF44" s="377"/>
      <c r="AG44" s="377"/>
      <c r="AH44" s="390"/>
      <c r="AI44" s="390"/>
      <c r="AJ44" s="390"/>
      <c r="AK44" s="390"/>
      <c r="AL44" s="390"/>
      <c r="AM44" s="377"/>
      <c r="AN44" s="390"/>
      <c r="AO44" s="377"/>
      <c r="AP44" s="390"/>
    </row>
    <row r="45" spans="1:59" ht="13.5" customHeight="1">
      <c r="B45" s="110"/>
      <c r="C45" s="111"/>
      <c r="D45" s="403"/>
      <c r="E45" s="377"/>
      <c r="F45" s="377"/>
      <c r="G45" s="377"/>
      <c r="H45" s="377"/>
      <c r="I45" s="413"/>
      <c r="J45" s="377"/>
      <c r="K45" s="377"/>
      <c r="L45" s="377"/>
      <c r="M45" s="377"/>
      <c r="N45" s="377"/>
      <c r="O45" s="377"/>
      <c r="P45" s="403"/>
      <c r="Q45" s="377"/>
      <c r="R45" s="377"/>
      <c r="S45" s="377"/>
      <c r="T45" s="377"/>
      <c r="U45" s="377"/>
      <c r="V45" s="403"/>
      <c r="W45" s="377"/>
      <c r="X45" s="377"/>
      <c r="Y45" s="377"/>
      <c r="Z45" s="390"/>
      <c r="AA45" s="390"/>
      <c r="AB45" s="390"/>
      <c r="AC45" s="390"/>
      <c r="AD45" s="377"/>
      <c r="AE45" s="377"/>
      <c r="AF45" s="377"/>
      <c r="AG45" s="377"/>
      <c r="AH45" s="390"/>
      <c r="AI45" s="390"/>
      <c r="AJ45" s="390"/>
      <c r="AK45" s="390"/>
      <c r="AL45" s="390"/>
      <c r="AM45" s="377"/>
      <c r="AN45" s="390"/>
      <c r="AO45" s="377"/>
      <c r="AP45" s="390"/>
    </row>
    <row r="46" spans="1:59">
      <c r="B46" s="91"/>
      <c r="C46" s="108"/>
      <c r="D46" s="91"/>
      <c r="E46" s="91"/>
      <c r="F46" s="91"/>
      <c r="G46" s="122"/>
      <c r="H46" s="91"/>
      <c r="I46" s="91"/>
      <c r="J46" s="91"/>
      <c r="K46" s="91"/>
      <c r="L46" s="91"/>
      <c r="M46" s="91"/>
      <c r="N46" s="91"/>
      <c r="O46" s="91"/>
      <c r="P46" s="91"/>
      <c r="Q46" s="91"/>
      <c r="R46" s="91"/>
      <c r="S46" s="91"/>
      <c r="T46" s="115"/>
      <c r="U46" s="115"/>
      <c r="V46" s="116"/>
      <c r="W46" s="115"/>
      <c r="X46" s="115"/>
      <c r="Y46" s="115"/>
      <c r="Z46" s="95"/>
      <c r="AA46" s="95"/>
      <c r="AB46" s="95"/>
      <c r="AC46" s="95"/>
      <c r="AD46" s="95"/>
      <c r="AE46" s="95"/>
      <c r="AF46" s="95"/>
      <c r="AG46" s="95"/>
      <c r="AH46" s="95"/>
      <c r="AI46" s="95"/>
      <c r="AJ46" s="95"/>
      <c r="AK46" s="95"/>
      <c r="AL46" s="95"/>
      <c r="AM46" s="95"/>
      <c r="AN46" s="95"/>
      <c r="AO46" s="95"/>
    </row>
    <row r="47" spans="1:59" ht="20" customHeight="1">
      <c r="B47" s="91"/>
      <c r="C47" s="92"/>
      <c r="D47" s="505" t="s">
        <v>712</v>
      </c>
      <c r="E47" s="506"/>
      <c r="F47" s="506"/>
      <c r="G47" s="506"/>
      <c r="H47" s="506"/>
      <c r="I47" s="506"/>
      <c r="J47" s="506"/>
      <c r="K47" s="506"/>
      <c r="L47" s="506"/>
      <c r="M47" s="506"/>
      <c r="N47" s="506"/>
      <c r="O47" s="506"/>
      <c r="P47" s="506"/>
      <c r="Q47" s="506"/>
      <c r="R47" s="506"/>
      <c r="S47" s="506"/>
      <c r="T47" s="118"/>
      <c r="U47" s="118"/>
      <c r="V47" s="118"/>
      <c r="W47" s="118"/>
      <c r="X47" s="118"/>
      <c r="Y47" s="118"/>
      <c r="Z47" s="119"/>
      <c r="AA47" s="119"/>
      <c r="AB47" s="119"/>
      <c r="AC47" s="119"/>
      <c r="AD47" s="119"/>
      <c r="AE47" s="119"/>
      <c r="AF47" s="119"/>
      <c r="AG47" s="119"/>
      <c r="AH47" s="119"/>
      <c r="AI47" s="119"/>
      <c r="AJ47" s="119"/>
      <c r="AK47" s="119"/>
      <c r="AL47" s="119"/>
      <c r="AM47" s="119"/>
      <c r="AN47" s="119"/>
      <c r="AO47" s="119"/>
      <c r="AP47" s="120"/>
      <c r="AQ47" s="120"/>
      <c r="AR47" s="120"/>
      <c r="AS47" s="120"/>
      <c r="AT47" s="120"/>
      <c r="AU47" s="120"/>
      <c r="AV47" s="120"/>
      <c r="AW47" s="120"/>
      <c r="AX47" s="120"/>
      <c r="AY47" s="120"/>
      <c r="AZ47" s="120"/>
      <c r="BA47" s="120"/>
      <c r="BB47" s="120"/>
      <c r="BC47" s="120"/>
      <c r="BD47" s="120"/>
      <c r="BE47" s="120"/>
      <c r="BF47" s="120"/>
      <c r="BG47" s="120"/>
    </row>
    <row r="48" spans="1:59" s="98" customFormat="1" ht="16.5" customHeight="1">
      <c r="A48" s="503" t="s">
        <v>216</v>
      </c>
      <c r="B48" s="503"/>
      <c r="C48" s="504"/>
      <c r="D48" s="358"/>
      <c r="E48" s="358"/>
      <c r="F48" s="358"/>
      <c r="G48" s="364"/>
      <c r="H48" s="364"/>
      <c r="I48" s="359"/>
      <c r="J48" s="359"/>
      <c r="K48" s="364"/>
      <c r="L48" s="364"/>
      <c r="M48" s="364"/>
      <c r="N48" s="364"/>
      <c r="O48" s="364"/>
      <c r="P48" s="364"/>
      <c r="Q48" s="364"/>
      <c r="R48" s="364"/>
      <c r="S48" s="364"/>
      <c r="T48" s="364"/>
      <c r="U48" s="364"/>
      <c r="V48" s="364"/>
      <c r="W48" s="364"/>
      <c r="X48" s="364"/>
      <c r="Y48" s="364"/>
      <c r="Z48" s="365"/>
      <c r="AA48" s="365"/>
      <c r="AB48" s="365"/>
      <c r="AC48" s="365"/>
      <c r="AD48" s="365"/>
      <c r="AE48" s="365"/>
      <c r="AF48" s="365"/>
      <c r="AG48" s="365"/>
      <c r="AH48" s="365"/>
      <c r="AI48" s="365"/>
      <c r="AJ48" s="365"/>
      <c r="AK48" s="365"/>
      <c r="AL48" s="359"/>
      <c r="AM48" s="365"/>
      <c r="AN48" s="365"/>
      <c r="AO48" s="365"/>
      <c r="AP48" s="359" t="s">
        <v>217</v>
      </c>
      <c r="AQ48" s="365"/>
      <c r="AR48" s="365"/>
      <c r="AS48" s="359"/>
      <c r="AT48" s="365"/>
      <c r="AU48" s="365"/>
      <c r="AV48" s="365"/>
      <c r="AW48" s="365"/>
      <c r="AX48" s="365"/>
      <c r="AY48" s="365"/>
      <c r="AZ48" s="365"/>
      <c r="BA48" s="365"/>
      <c r="BB48" s="365"/>
      <c r="BC48" s="365"/>
      <c r="BD48" s="365"/>
      <c r="BE48" s="365"/>
      <c r="BF48" s="365"/>
      <c r="BG48" s="365"/>
    </row>
    <row r="49" spans="1:59" s="105" customFormat="1" ht="86" customHeight="1">
      <c r="B49" s="100" t="s">
        <v>218</v>
      </c>
      <c r="C49" s="121" t="s">
        <v>219</v>
      </c>
      <c r="D49" s="334" t="s">
        <v>540</v>
      </c>
      <c r="E49" s="334" t="s">
        <v>541</v>
      </c>
      <c r="F49" s="334" t="s">
        <v>542</v>
      </c>
      <c r="G49" s="341" t="s">
        <v>484</v>
      </c>
      <c r="H49" s="341" t="s">
        <v>543</v>
      </c>
      <c r="I49" s="341" t="s">
        <v>544</v>
      </c>
      <c r="J49" s="341" t="s">
        <v>545</v>
      </c>
      <c r="K49" s="341" t="s">
        <v>546</v>
      </c>
      <c r="L49" s="341" t="s">
        <v>547</v>
      </c>
      <c r="M49" s="341" t="s">
        <v>548</v>
      </c>
      <c r="N49" s="341" t="s">
        <v>549</v>
      </c>
      <c r="O49" s="341" t="s">
        <v>550</v>
      </c>
      <c r="P49" s="341" t="s">
        <v>551</v>
      </c>
      <c r="Q49" s="341" t="s">
        <v>552</v>
      </c>
      <c r="R49" s="341" t="s">
        <v>553</v>
      </c>
      <c r="S49" s="341" t="s">
        <v>554</v>
      </c>
      <c r="T49" s="341" t="s">
        <v>555</v>
      </c>
      <c r="U49" s="341" t="s">
        <v>556</v>
      </c>
      <c r="V49" s="341" t="s">
        <v>557</v>
      </c>
      <c r="W49" s="341" t="s">
        <v>558</v>
      </c>
      <c r="X49" s="341" t="s">
        <v>559</v>
      </c>
      <c r="Y49" s="341" t="s">
        <v>560</v>
      </c>
      <c r="Z49" s="341" t="s">
        <v>561</v>
      </c>
      <c r="AA49" s="341" t="s">
        <v>562</v>
      </c>
      <c r="AB49" s="341" t="s">
        <v>563</v>
      </c>
      <c r="AC49" s="341" t="s">
        <v>564</v>
      </c>
      <c r="AD49" s="341" t="s">
        <v>565</v>
      </c>
      <c r="AE49" s="341" t="s">
        <v>566</v>
      </c>
      <c r="AF49" s="341" t="s">
        <v>567</v>
      </c>
      <c r="AG49" s="341" t="s">
        <v>568</v>
      </c>
      <c r="AH49" s="341" t="s">
        <v>569</v>
      </c>
      <c r="AI49" s="341" t="s">
        <v>570</v>
      </c>
      <c r="AJ49" s="341" t="s">
        <v>571</v>
      </c>
      <c r="AK49" s="341" t="s">
        <v>572</v>
      </c>
      <c r="AL49" s="341" t="s">
        <v>573</v>
      </c>
      <c r="AM49" s="341" t="s">
        <v>574</v>
      </c>
      <c r="AN49" s="341" t="s">
        <v>575</v>
      </c>
      <c r="AO49" s="341" t="s">
        <v>576</v>
      </c>
      <c r="AP49" s="341" t="s">
        <v>577</v>
      </c>
      <c r="AQ49" s="341" t="s">
        <v>578</v>
      </c>
      <c r="AR49" s="341" t="s">
        <v>579</v>
      </c>
      <c r="AS49" s="341" t="s">
        <v>580</v>
      </c>
      <c r="AT49" s="341" t="s">
        <v>581</v>
      </c>
      <c r="AU49" s="341" t="s">
        <v>582</v>
      </c>
      <c r="AV49" s="341" t="s">
        <v>583</v>
      </c>
      <c r="AW49" s="341" t="s">
        <v>584</v>
      </c>
      <c r="AX49" s="341" t="s">
        <v>585</v>
      </c>
      <c r="AY49" s="341" t="s">
        <v>586</v>
      </c>
      <c r="AZ49" s="341" t="s">
        <v>587</v>
      </c>
      <c r="BA49" s="341" t="s">
        <v>462</v>
      </c>
      <c r="BB49" s="341" t="s">
        <v>463</v>
      </c>
      <c r="BC49" s="341" t="s">
        <v>464</v>
      </c>
      <c r="BD49" s="341" t="s">
        <v>465</v>
      </c>
      <c r="BE49" s="341" t="s">
        <v>146</v>
      </c>
      <c r="BF49" s="341" t="s">
        <v>148</v>
      </c>
      <c r="BG49" s="341" t="s">
        <v>466</v>
      </c>
    </row>
    <row r="50" spans="1:59" s="105" customFormat="1" ht="12.5">
      <c r="B50" s="100"/>
      <c r="C50" s="412"/>
      <c r="D50" s="334" t="s">
        <v>501</v>
      </c>
      <c r="E50" s="334" t="s">
        <v>502</v>
      </c>
      <c r="F50" s="334" t="s">
        <v>503</v>
      </c>
      <c r="G50" s="335" t="s">
        <v>505</v>
      </c>
      <c r="H50" s="335" t="s">
        <v>506</v>
      </c>
      <c r="I50" s="335" t="s">
        <v>588</v>
      </c>
      <c r="J50" s="335" t="s">
        <v>589</v>
      </c>
      <c r="K50" s="335" t="s">
        <v>590</v>
      </c>
      <c r="L50" s="335" t="s">
        <v>591</v>
      </c>
      <c r="M50" s="335" t="s">
        <v>592</v>
      </c>
      <c r="N50" s="335" t="s">
        <v>593</v>
      </c>
      <c r="O50" s="335" t="s">
        <v>594</v>
      </c>
      <c r="P50" s="335" t="s">
        <v>595</v>
      </c>
      <c r="Q50" s="335" t="s">
        <v>596</v>
      </c>
      <c r="R50" s="335" t="s">
        <v>597</v>
      </c>
      <c r="S50" s="335" t="s">
        <v>598</v>
      </c>
      <c r="T50" s="335" t="s">
        <v>599</v>
      </c>
      <c r="U50" s="335" t="s">
        <v>600</v>
      </c>
      <c r="V50" s="335" t="s">
        <v>601</v>
      </c>
      <c r="W50" s="335" t="s">
        <v>602</v>
      </c>
      <c r="X50" s="335" t="s">
        <v>603</v>
      </c>
      <c r="Y50" s="335" t="s">
        <v>604</v>
      </c>
      <c r="Z50" s="335" t="s">
        <v>605</v>
      </c>
      <c r="AA50" s="335" t="s">
        <v>606</v>
      </c>
      <c r="AB50" s="335" t="s">
        <v>607</v>
      </c>
      <c r="AC50" s="335" t="s">
        <v>608</v>
      </c>
      <c r="AD50" s="335" t="s">
        <v>609</v>
      </c>
      <c r="AE50" s="335" t="s">
        <v>610</v>
      </c>
      <c r="AF50" s="335" t="s">
        <v>611</v>
      </c>
      <c r="AG50" s="335" t="s">
        <v>612</v>
      </c>
      <c r="AH50" s="335" t="s">
        <v>613</v>
      </c>
      <c r="AI50" s="335" t="s">
        <v>614</v>
      </c>
      <c r="AJ50" s="335" t="s">
        <v>615</v>
      </c>
      <c r="AK50" s="335" t="s">
        <v>616</v>
      </c>
      <c r="AL50" s="335" t="s">
        <v>439</v>
      </c>
      <c r="AM50" s="335" t="s">
        <v>617</v>
      </c>
      <c r="AN50" s="335" t="s">
        <v>618</v>
      </c>
      <c r="AO50" s="335" t="s">
        <v>619</v>
      </c>
      <c r="AP50" s="335" t="s">
        <v>440</v>
      </c>
      <c r="AQ50" s="335" t="s">
        <v>620</v>
      </c>
      <c r="AR50" s="335" t="s">
        <v>621</v>
      </c>
      <c r="AS50" s="335" t="s">
        <v>622</v>
      </c>
      <c r="AT50" s="335" t="s">
        <v>623</v>
      </c>
      <c r="AU50" s="335" t="s">
        <v>624</v>
      </c>
      <c r="AV50" s="335" t="s">
        <v>625</v>
      </c>
      <c r="AW50" s="335" t="s">
        <v>626</v>
      </c>
      <c r="AX50" s="335" t="s">
        <v>627</v>
      </c>
      <c r="AY50" s="335" t="s">
        <v>628</v>
      </c>
      <c r="AZ50" s="335" t="s">
        <v>629</v>
      </c>
      <c r="BA50" s="335" t="s">
        <v>445</v>
      </c>
      <c r="BB50" s="335" t="s">
        <v>446</v>
      </c>
      <c r="BC50" s="335" t="s">
        <v>447</v>
      </c>
      <c r="BD50" s="335" t="s">
        <v>448</v>
      </c>
      <c r="BE50" s="335" t="s">
        <v>449</v>
      </c>
      <c r="BF50" s="335" t="s">
        <v>450</v>
      </c>
      <c r="BG50" s="335" t="s">
        <v>451</v>
      </c>
    </row>
    <row r="51" spans="1:59" s="95" customFormat="1" ht="13.5" customHeight="1">
      <c r="B51" s="107"/>
      <c r="C51" s="108"/>
      <c r="D51" s="334" t="s">
        <v>522</v>
      </c>
      <c r="E51" s="334" t="s">
        <v>630</v>
      </c>
      <c r="F51" s="334" t="s">
        <v>467</v>
      </c>
      <c r="G51" s="335" t="s">
        <v>470</v>
      </c>
      <c r="H51" s="335" t="s">
        <v>470</v>
      </c>
      <c r="I51" s="335" t="s">
        <v>470</v>
      </c>
      <c r="J51" s="335" t="s">
        <v>470</v>
      </c>
      <c r="K51" s="335" t="s">
        <v>470</v>
      </c>
      <c r="L51" s="335" t="s">
        <v>631</v>
      </c>
      <c r="M51" s="335" t="s">
        <v>631</v>
      </c>
      <c r="N51" s="335" t="s">
        <v>467</v>
      </c>
      <c r="O51" s="335" t="s">
        <v>632</v>
      </c>
      <c r="P51" s="335" t="s">
        <v>470</v>
      </c>
      <c r="Q51" s="335" t="s">
        <v>528</v>
      </c>
      <c r="R51" s="335" t="s">
        <v>524</v>
      </c>
      <c r="S51" s="335" t="s">
        <v>528</v>
      </c>
      <c r="T51" s="335" t="s">
        <v>524</v>
      </c>
      <c r="U51" s="335" t="s">
        <v>524</v>
      </c>
      <c r="V51" s="335" t="s">
        <v>470</v>
      </c>
      <c r="W51" s="335" t="s">
        <v>633</v>
      </c>
      <c r="X51" s="335" t="s">
        <v>633</v>
      </c>
      <c r="Y51" s="335" t="s">
        <v>468</v>
      </c>
      <c r="Z51" s="335" t="s">
        <v>632</v>
      </c>
      <c r="AA51" s="335" t="s">
        <v>632</v>
      </c>
      <c r="AB51" s="335" t="s">
        <v>524</v>
      </c>
      <c r="AC51" s="335" t="s">
        <v>527</v>
      </c>
      <c r="AD51" s="335" t="s">
        <v>528</v>
      </c>
      <c r="AE51" s="335" t="s">
        <v>528</v>
      </c>
      <c r="AF51" s="335" t="s">
        <v>634</v>
      </c>
      <c r="AG51" s="335" t="s">
        <v>634</v>
      </c>
      <c r="AH51" s="335" t="s">
        <v>528</v>
      </c>
      <c r="AI51" s="335" t="s">
        <v>528</v>
      </c>
      <c r="AJ51" s="335" t="s">
        <v>634</v>
      </c>
      <c r="AK51" s="335" t="s">
        <v>634</v>
      </c>
      <c r="AL51" s="335" t="s">
        <v>470</v>
      </c>
      <c r="AM51" s="335" t="s">
        <v>470</v>
      </c>
      <c r="AN51" s="335" t="s">
        <v>470</v>
      </c>
      <c r="AO51" s="335" t="s">
        <v>470</v>
      </c>
      <c r="AP51" s="335" t="s">
        <v>468</v>
      </c>
      <c r="AQ51" s="335" t="s">
        <v>467</v>
      </c>
      <c r="AR51" s="335" t="s">
        <v>470</v>
      </c>
      <c r="AS51" s="335" t="s">
        <v>524</v>
      </c>
      <c r="AT51" s="335" t="s">
        <v>524</v>
      </c>
      <c r="AU51" s="335" t="s">
        <v>470</v>
      </c>
      <c r="AV51" s="335" t="s">
        <v>635</v>
      </c>
      <c r="AW51" s="335" t="s">
        <v>528</v>
      </c>
      <c r="AX51" s="335" t="s">
        <v>468</v>
      </c>
      <c r="AY51" s="335" t="s">
        <v>470</v>
      </c>
      <c r="AZ51" s="335" t="s">
        <v>470</v>
      </c>
      <c r="BA51" s="335" t="s">
        <v>473</v>
      </c>
      <c r="BB51" s="335" t="s">
        <v>474</v>
      </c>
      <c r="BC51" s="335" t="s">
        <v>475</v>
      </c>
      <c r="BD51" s="335" t="s">
        <v>475</v>
      </c>
      <c r="BE51" s="335" t="s">
        <v>474</v>
      </c>
      <c r="BF51" s="335" t="s">
        <v>475</v>
      </c>
      <c r="BG51" s="335" t="s">
        <v>475</v>
      </c>
    </row>
    <row r="52" spans="1:59">
      <c r="A52" s="110"/>
      <c r="B52" s="110" t="s">
        <v>229</v>
      </c>
      <c r="C52" s="111" t="s">
        <v>217</v>
      </c>
      <c r="D52" s="407" t="s">
        <v>713</v>
      </c>
      <c r="E52" s="407" t="s">
        <v>648</v>
      </c>
      <c r="F52" s="407" t="s">
        <v>648</v>
      </c>
      <c r="G52" s="407" t="s">
        <v>533</v>
      </c>
      <c r="H52" s="407" t="s">
        <v>533</v>
      </c>
      <c r="I52" s="407" t="s">
        <v>636</v>
      </c>
      <c r="J52" s="407" t="s">
        <v>534</v>
      </c>
      <c r="K52" s="407" t="s">
        <v>534</v>
      </c>
      <c r="L52" s="407" t="s">
        <v>156</v>
      </c>
      <c r="M52" s="407" t="s">
        <v>156</v>
      </c>
      <c r="N52" s="407" t="s">
        <v>156</v>
      </c>
      <c r="O52" s="407" t="s">
        <v>156</v>
      </c>
      <c r="P52" s="407" t="s">
        <v>637</v>
      </c>
      <c r="Q52" s="407" t="s">
        <v>534</v>
      </c>
      <c r="R52" s="407" t="s">
        <v>714</v>
      </c>
      <c r="S52" s="407" t="s">
        <v>638</v>
      </c>
      <c r="T52" s="407" t="s">
        <v>715</v>
      </c>
      <c r="U52" s="407" t="s">
        <v>716</v>
      </c>
      <c r="V52" s="407" t="s">
        <v>232</v>
      </c>
      <c r="W52" s="407" t="s">
        <v>717</v>
      </c>
      <c r="X52" s="407" t="s">
        <v>717</v>
      </c>
      <c r="Y52" s="407"/>
      <c r="Z52" s="407"/>
      <c r="AA52" s="407" t="s">
        <v>156</v>
      </c>
      <c r="AB52" s="407">
        <v>1</v>
      </c>
      <c r="AC52" s="407">
        <v>99999999</v>
      </c>
      <c r="AD52" s="407">
        <v>0</v>
      </c>
      <c r="AE52" s="407">
        <v>0</v>
      </c>
      <c r="AF52" s="407">
        <v>0</v>
      </c>
      <c r="AG52" s="407">
        <v>0</v>
      </c>
      <c r="AH52" s="407">
        <v>0</v>
      </c>
      <c r="AI52" s="407">
        <v>0</v>
      </c>
      <c r="AJ52" s="407">
        <v>0</v>
      </c>
      <c r="AK52" s="407">
        <v>0</v>
      </c>
      <c r="AL52" s="407">
        <v>1</v>
      </c>
      <c r="AM52" s="407">
        <v>1</v>
      </c>
      <c r="AN52" s="407">
        <v>0</v>
      </c>
      <c r="AO52" s="407">
        <v>0</v>
      </c>
      <c r="AP52" s="407">
        <v>1</v>
      </c>
      <c r="AQ52" s="407" t="s">
        <v>156</v>
      </c>
      <c r="AR52" s="407" t="s">
        <v>639</v>
      </c>
      <c r="AS52" s="407">
        <v>0</v>
      </c>
      <c r="AT52" s="407">
        <v>0</v>
      </c>
      <c r="AU52" s="407">
        <v>1</v>
      </c>
      <c r="AV52" s="407">
        <v>0</v>
      </c>
      <c r="AW52" s="407">
        <v>0</v>
      </c>
      <c r="AX52" s="407">
        <v>0</v>
      </c>
      <c r="AY52" s="407">
        <v>0</v>
      </c>
      <c r="AZ52" s="407">
        <v>1</v>
      </c>
      <c r="BA52" s="407">
        <v>0</v>
      </c>
      <c r="BB52" s="407">
        <v>39864.674351851849</v>
      </c>
      <c r="BC52" s="407">
        <v>440393</v>
      </c>
      <c r="BD52" s="407">
        <v>440393</v>
      </c>
      <c r="BE52" s="407">
        <v>45482.05810185185</v>
      </c>
      <c r="BF52" s="407" t="s">
        <v>640</v>
      </c>
      <c r="BG52" s="407" t="s">
        <v>640</v>
      </c>
    </row>
    <row r="53" spans="1:59">
      <c r="A53" s="110"/>
      <c r="B53" s="110" t="s">
        <v>224</v>
      </c>
      <c r="C53" s="111" t="s">
        <v>228</v>
      </c>
      <c r="D53" s="407" t="s">
        <v>713</v>
      </c>
      <c r="E53" s="407" t="s">
        <v>648</v>
      </c>
      <c r="F53" s="407" t="s">
        <v>718</v>
      </c>
      <c r="G53" s="407" t="s">
        <v>533</v>
      </c>
      <c r="H53" s="407" t="s">
        <v>533</v>
      </c>
      <c r="I53" s="407" t="s">
        <v>636</v>
      </c>
      <c r="J53" s="407" t="s">
        <v>534</v>
      </c>
      <c r="K53" s="407" t="s">
        <v>534</v>
      </c>
      <c r="L53" s="407" t="s">
        <v>156</v>
      </c>
      <c r="M53" s="407" t="s">
        <v>156</v>
      </c>
      <c r="N53" s="407" t="s">
        <v>156</v>
      </c>
      <c r="O53" s="407" t="s">
        <v>156</v>
      </c>
      <c r="P53" s="407" t="s">
        <v>637</v>
      </c>
      <c r="Q53" s="407" t="s">
        <v>534</v>
      </c>
      <c r="R53" s="407" t="s">
        <v>714</v>
      </c>
      <c r="S53" s="407" t="s">
        <v>638</v>
      </c>
      <c r="T53" s="407" t="s">
        <v>715</v>
      </c>
      <c r="U53" s="407" t="s">
        <v>716</v>
      </c>
      <c r="V53" s="407" t="s">
        <v>232</v>
      </c>
      <c r="W53" s="407" t="s">
        <v>717</v>
      </c>
      <c r="X53" s="407" t="s">
        <v>717</v>
      </c>
      <c r="Y53" s="407"/>
      <c r="Z53" s="407"/>
      <c r="AA53" s="407" t="s">
        <v>156</v>
      </c>
      <c r="AB53" s="407">
        <v>1</v>
      </c>
      <c r="AC53" s="407">
        <v>99999999</v>
      </c>
      <c r="AD53" s="407">
        <v>0</v>
      </c>
      <c r="AE53" s="407">
        <v>0</v>
      </c>
      <c r="AF53" s="407">
        <v>0</v>
      </c>
      <c r="AG53" s="407">
        <v>0</v>
      </c>
      <c r="AH53" s="407">
        <v>0</v>
      </c>
      <c r="AI53" s="407">
        <v>0</v>
      </c>
      <c r="AJ53" s="407">
        <v>0</v>
      </c>
      <c r="AK53" s="407">
        <v>0</v>
      </c>
      <c r="AL53" s="407">
        <v>1</v>
      </c>
      <c r="AM53" s="407">
        <v>1</v>
      </c>
      <c r="AN53" s="407">
        <v>0</v>
      </c>
      <c r="AO53" s="407">
        <v>0</v>
      </c>
      <c r="AP53" s="407">
        <v>1</v>
      </c>
      <c r="AQ53" s="407" t="s">
        <v>156</v>
      </c>
      <c r="AR53" s="407" t="s">
        <v>639</v>
      </c>
      <c r="AS53" s="407">
        <v>0</v>
      </c>
      <c r="AT53" s="407">
        <v>0</v>
      </c>
      <c r="AU53" s="407">
        <v>1</v>
      </c>
      <c r="AV53" s="407">
        <v>0</v>
      </c>
      <c r="AW53" s="407">
        <v>0</v>
      </c>
      <c r="AX53" s="407">
        <v>0</v>
      </c>
      <c r="AY53" s="407">
        <v>0</v>
      </c>
      <c r="AZ53" s="407">
        <v>1</v>
      </c>
      <c r="BA53" s="407">
        <v>0</v>
      </c>
      <c r="BB53" s="407">
        <v>39864.674351851849</v>
      </c>
      <c r="BC53" s="407">
        <v>440393</v>
      </c>
      <c r="BD53" s="407">
        <v>440393</v>
      </c>
      <c r="BE53" s="407">
        <v>45482.05810185185</v>
      </c>
      <c r="BF53" s="407" t="s">
        <v>640</v>
      </c>
      <c r="BG53" s="407" t="s">
        <v>640</v>
      </c>
    </row>
    <row r="54" spans="1:59">
      <c r="A54" s="110"/>
      <c r="B54" s="110" t="s">
        <v>227</v>
      </c>
      <c r="C54" s="111" t="s">
        <v>228</v>
      </c>
      <c r="D54" s="407" t="s">
        <v>713</v>
      </c>
      <c r="E54" s="407" t="s">
        <v>718</v>
      </c>
      <c r="F54" s="407" t="s">
        <v>648</v>
      </c>
      <c r="G54" s="407" t="s">
        <v>533</v>
      </c>
      <c r="H54" s="407" t="s">
        <v>533</v>
      </c>
      <c r="I54" s="407" t="s">
        <v>636</v>
      </c>
      <c r="J54" s="407" t="s">
        <v>534</v>
      </c>
      <c r="K54" s="407" t="s">
        <v>534</v>
      </c>
      <c r="L54" s="407" t="s">
        <v>156</v>
      </c>
      <c r="M54" s="407" t="s">
        <v>156</v>
      </c>
      <c r="N54" s="407" t="s">
        <v>156</v>
      </c>
      <c r="O54" s="407" t="s">
        <v>156</v>
      </c>
      <c r="P54" s="407" t="s">
        <v>637</v>
      </c>
      <c r="Q54" s="407" t="s">
        <v>534</v>
      </c>
      <c r="R54" s="407" t="s">
        <v>714</v>
      </c>
      <c r="S54" s="407" t="s">
        <v>638</v>
      </c>
      <c r="T54" s="407" t="s">
        <v>715</v>
      </c>
      <c r="U54" s="407" t="s">
        <v>716</v>
      </c>
      <c r="V54" s="407" t="s">
        <v>232</v>
      </c>
      <c r="W54" s="407" t="s">
        <v>717</v>
      </c>
      <c r="X54" s="407" t="s">
        <v>717</v>
      </c>
      <c r="Y54" s="407"/>
      <c r="Z54" s="407"/>
      <c r="AA54" s="407" t="s">
        <v>156</v>
      </c>
      <c r="AB54" s="407">
        <v>1</v>
      </c>
      <c r="AC54" s="407">
        <v>99999999</v>
      </c>
      <c r="AD54" s="407">
        <v>0</v>
      </c>
      <c r="AE54" s="407">
        <v>0</v>
      </c>
      <c r="AF54" s="407">
        <v>0</v>
      </c>
      <c r="AG54" s="407">
        <v>0</v>
      </c>
      <c r="AH54" s="407">
        <v>0</v>
      </c>
      <c r="AI54" s="407">
        <v>0</v>
      </c>
      <c r="AJ54" s="407">
        <v>0</v>
      </c>
      <c r="AK54" s="407">
        <v>0</v>
      </c>
      <c r="AL54" s="407">
        <v>1</v>
      </c>
      <c r="AM54" s="407">
        <v>1</v>
      </c>
      <c r="AN54" s="407">
        <v>0</v>
      </c>
      <c r="AO54" s="407">
        <v>0</v>
      </c>
      <c r="AP54" s="407">
        <v>1</v>
      </c>
      <c r="AQ54" s="407" t="s">
        <v>156</v>
      </c>
      <c r="AR54" s="407" t="s">
        <v>639</v>
      </c>
      <c r="AS54" s="407">
        <v>0</v>
      </c>
      <c r="AT54" s="407">
        <v>0</v>
      </c>
      <c r="AU54" s="407">
        <v>1</v>
      </c>
      <c r="AV54" s="407">
        <v>0</v>
      </c>
      <c r="AW54" s="407">
        <v>0</v>
      </c>
      <c r="AX54" s="407">
        <v>0</v>
      </c>
      <c r="AY54" s="407">
        <v>0</v>
      </c>
      <c r="AZ54" s="407">
        <v>1</v>
      </c>
      <c r="BA54" s="407">
        <v>0</v>
      </c>
      <c r="BB54" s="407">
        <v>39864.674351851849</v>
      </c>
      <c r="BC54" s="407">
        <v>440393</v>
      </c>
      <c r="BD54" s="407">
        <v>440393</v>
      </c>
      <c r="BE54" s="407">
        <v>45482.05810185185</v>
      </c>
      <c r="BF54" s="407" t="s">
        <v>640</v>
      </c>
      <c r="BG54" s="407" t="s">
        <v>640</v>
      </c>
    </row>
    <row r="55" spans="1:59">
      <c r="A55" s="110"/>
      <c r="B55" s="110" t="s">
        <v>230</v>
      </c>
      <c r="C55" s="111" t="s">
        <v>228</v>
      </c>
      <c r="D55" s="407" t="s">
        <v>713</v>
      </c>
      <c r="E55" s="407" t="s">
        <v>648</v>
      </c>
      <c r="F55" s="407" t="s">
        <v>719</v>
      </c>
      <c r="G55" s="407" t="s">
        <v>533</v>
      </c>
      <c r="H55" s="407" t="s">
        <v>533</v>
      </c>
      <c r="I55" s="407" t="s">
        <v>636</v>
      </c>
      <c r="J55" s="407" t="s">
        <v>534</v>
      </c>
      <c r="K55" s="407" t="s">
        <v>534</v>
      </c>
      <c r="L55" s="407" t="s">
        <v>156</v>
      </c>
      <c r="M55" s="407" t="s">
        <v>156</v>
      </c>
      <c r="N55" s="407" t="s">
        <v>156</v>
      </c>
      <c r="O55" s="407" t="s">
        <v>156</v>
      </c>
      <c r="P55" s="407" t="s">
        <v>637</v>
      </c>
      <c r="Q55" s="407" t="s">
        <v>534</v>
      </c>
      <c r="R55" s="407" t="s">
        <v>714</v>
      </c>
      <c r="S55" s="407" t="s">
        <v>638</v>
      </c>
      <c r="T55" s="407" t="s">
        <v>715</v>
      </c>
      <c r="U55" s="407" t="s">
        <v>716</v>
      </c>
      <c r="V55" s="407" t="s">
        <v>232</v>
      </c>
      <c r="W55" s="407" t="s">
        <v>717</v>
      </c>
      <c r="X55" s="407" t="s">
        <v>717</v>
      </c>
      <c r="Y55" s="407"/>
      <c r="Z55" s="407"/>
      <c r="AA55" s="407" t="s">
        <v>156</v>
      </c>
      <c r="AB55" s="407">
        <v>1</v>
      </c>
      <c r="AC55" s="407">
        <v>99999999</v>
      </c>
      <c r="AD55" s="407">
        <v>0</v>
      </c>
      <c r="AE55" s="407">
        <v>0</v>
      </c>
      <c r="AF55" s="407">
        <v>0</v>
      </c>
      <c r="AG55" s="407">
        <v>0</v>
      </c>
      <c r="AH55" s="407">
        <v>0</v>
      </c>
      <c r="AI55" s="407">
        <v>0</v>
      </c>
      <c r="AJ55" s="407">
        <v>0</v>
      </c>
      <c r="AK55" s="407">
        <v>0</v>
      </c>
      <c r="AL55" s="407">
        <v>1</v>
      </c>
      <c r="AM55" s="407">
        <v>1</v>
      </c>
      <c r="AN55" s="407">
        <v>0</v>
      </c>
      <c r="AO55" s="407">
        <v>0</v>
      </c>
      <c r="AP55" s="407">
        <v>1</v>
      </c>
      <c r="AQ55" s="407" t="s">
        <v>156</v>
      </c>
      <c r="AR55" s="407" t="s">
        <v>639</v>
      </c>
      <c r="AS55" s="407">
        <v>0</v>
      </c>
      <c r="AT55" s="407">
        <v>0</v>
      </c>
      <c r="AU55" s="407">
        <v>1</v>
      </c>
      <c r="AV55" s="407">
        <v>0</v>
      </c>
      <c r="AW55" s="407">
        <v>0</v>
      </c>
      <c r="AX55" s="407">
        <v>0</v>
      </c>
      <c r="AY55" s="407">
        <v>0</v>
      </c>
      <c r="AZ55" s="407">
        <v>1</v>
      </c>
      <c r="BA55" s="407">
        <v>0</v>
      </c>
      <c r="BB55" s="407">
        <v>39864.674351851849</v>
      </c>
      <c r="BC55" s="407">
        <v>440393</v>
      </c>
      <c r="BD55" s="407">
        <v>440393</v>
      </c>
      <c r="BE55" s="407">
        <v>45482.05810185185</v>
      </c>
      <c r="BF55" s="407" t="s">
        <v>640</v>
      </c>
      <c r="BG55" s="407" t="s">
        <v>640</v>
      </c>
    </row>
    <row r="56" spans="1:59">
      <c r="B56" s="91"/>
      <c r="C56" s="108"/>
      <c r="D56" s="91"/>
      <c r="E56" s="91"/>
      <c r="F56" s="91"/>
      <c r="G56" s="122"/>
      <c r="H56" s="91"/>
      <c r="I56" s="91"/>
      <c r="J56" s="91"/>
      <c r="K56" s="91"/>
      <c r="L56" s="91"/>
      <c r="M56" s="91"/>
      <c r="N56" s="91"/>
      <c r="O56" s="91"/>
      <c r="P56" s="91"/>
      <c r="Q56" s="91"/>
      <c r="R56" s="91"/>
      <c r="S56" s="91"/>
      <c r="T56" s="115"/>
      <c r="U56" s="115"/>
      <c r="V56" s="115"/>
      <c r="W56" s="115"/>
      <c r="X56" s="115"/>
      <c r="Y56" s="115"/>
      <c r="Z56" s="95"/>
      <c r="AA56" s="95"/>
      <c r="AB56" s="95"/>
      <c r="AC56" s="95"/>
      <c r="AD56" s="95"/>
      <c r="AE56" s="95"/>
      <c r="AF56" s="95"/>
      <c r="AG56" s="95"/>
      <c r="AH56" s="95"/>
      <c r="AI56" s="95"/>
      <c r="AJ56" s="95"/>
      <c r="AK56" s="95"/>
      <c r="AL56" s="95"/>
      <c r="AM56" s="95"/>
      <c r="AN56" s="95"/>
      <c r="AO56" s="95"/>
    </row>
    <row r="57" spans="1:59">
      <c r="B57" s="91"/>
      <c r="C57" s="108"/>
      <c r="D57" s="91"/>
      <c r="E57" s="91"/>
      <c r="F57" s="91"/>
      <c r="G57" s="122"/>
      <c r="H57" s="91"/>
      <c r="I57" s="91"/>
      <c r="J57" s="91"/>
      <c r="K57" s="91"/>
      <c r="L57" s="91"/>
      <c r="M57" s="91"/>
      <c r="N57" s="91"/>
      <c r="O57" s="91"/>
      <c r="P57" s="91"/>
      <c r="Q57" s="91"/>
      <c r="R57" s="91"/>
      <c r="S57" s="91"/>
      <c r="T57" s="115"/>
      <c r="U57" s="115"/>
      <c r="V57" s="115"/>
      <c r="W57" s="115"/>
      <c r="X57" s="115"/>
      <c r="Y57" s="115"/>
      <c r="Z57" s="95"/>
      <c r="AA57" s="95"/>
      <c r="AB57" s="95"/>
      <c r="AC57" s="95"/>
      <c r="AD57" s="95"/>
      <c r="AE57" s="95"/>
      <c r="AF57" s="95"/>
      <c r="AG57" s="95"/>
      <c r="AH57" s="95"/>
      <c r="AI57" s="95"/>
      <c r="AJ57" s="95"/>
      <c r="AK57" s="95"/>
      <c r="AL57" s="95"/>
      <c r="AM57" s="95"/>
      <c r="AN57" s="95"/>
      <c r="AO57" s="95"/>
    </row>
    <row r="58" spans="1:59">
      <c r="B58" s="91"/>
      <c r="C58" s="108"/>
      <c r="D58" s="91"/>
      <c r="E58" s="91"/>
      <c r="F58" s="91"/>
      <c r="G58" s="122"/>
      <c r="H58" s="91"/>
      <c r="I58" s="91"/>
      <c r="J58" s="91"/>
      <c r="K58" s="91"/>
      <c r="L58" s="91"/>
      <c r="M58" s="91"/>
      <c r="N58" s="91"/>
      <c r="O58" s="91"/>
      <c r="P58" s="91"/>
      <c r="Q58" s="91"/>
      <c r="R58" s="91"/>
      <c r="S58" s="91"/>
      <c r="T58" s="115"/>
      <c r="U58" s="115"/>
      <c r="V58" s="115"/>
      <c r="W58" s="115"/>
      <c r="X58" s="115"/>
      <c r="Y58" s="115"/>
      <c r="Z58" s="95"/>
      <c r="AA58" s="95"/>
      <c r="AB58" s="95"/>
      <c r="AC58" s="95"/>
      <c r="AD58" s="95"/>
      <c r="AE58" s="95"/>
      <c r="AF58" s="95"/>
      <c r="AG58" s="95"/>
      <c r="AH58" s="95"/>
      <c r="AI58" s="95"/>
      <c r="AJ58" s="95"/>
      <c r="AK58" s="95"/>
      <c r="AL58" s="95"/>
      <c r="AM58" s="95"/>
      <c r="AN58" s="95"/>
      <c r="AO58" s="95"/>
    </row>
    <row r="59" spans="1:59" ht="19.5" customHeight="1">
      <c r="B59" s="91"/>
      <c r="C59" s="92"/>
      <c r="D59" s="393" t="s">
        <v>723</v>
      </c>
      <c r="E59" s="394"/>
      <c r="F59" s="394"/>
      <c r="G59" s="394"/>
      <c r="H59" s="394"/>
      <c r="I59" s="394"/>
      <c r="J59" s="394"/>
      <c r="K59" s="394"/>
      <c r="L59" s="394"/>
      <c r="M59" s="394"/>
      <c r="N59" s="395"/>
      <c r="O59" s="395"/>
      <c r="P59" s="395"/>
      <c r="Q59" s="395"/>
      <c r="R59" s="395"/>
      <c r="S59" s="395"/>
      <c r="T59" s="389"/>
      <c r="U59" s="389"/>
      <c r="V59" s="389"/>
      <c r="W59" s="389"/>
      <c r="X59" s="389"/>
      <c r="Y59" s="389"/>
      <c r="Z59" s="390"/>
      <c r="AA59" s="390"/>
      <c r="AB59" s="390"/>
      <c r="AC59" s="390"/>
      <c r="AD59" s="390"/>
      <c r="AE59" s="390"/>
      <c r="AF59" s="390"/>
      <c r="AG59" s="390"/>
      <c r="AH59" s="390"/>
      <c r="AI59" s="390"/>
      <c r="AJ59" s="390"/>
      <c r="AK59" s="390"/>
      <c r="AL59" s="390"/>
      <c r="AM59" s="390"/>
      <c r="AN59" s="390"/>
      <c r="AO59" s="390"/>
      <c r="AP59" s="322"/>
    </row>
    <row r="60" spans="1:59" s="98" customFormat="1" ht="16.5" customHeight="1">
      <c r="A60" s="503" t="s">
        <v>216</v>
      </c>
      <c r="B60" s="503"/>
      <c r="C60" s="504"/>
      <c r="D60" s="336"/>
      <c r="E60" s="336" t="s">
        <v>217</v>
      </c>
      <c r="F60" s="336"/>
      <c r="G60" s="336"/>
      <c r="H60" s="392"/>
      <c r="I60" s="392"/>
      <c r="J60" s="392"/>
      <c r="K60" s="392"/>
      <c r="L60" s="392"/>
      <c r="M60" s="392"/>
      <c r="N60" s="384"/>
      <c r="O60" s="384"/>
      <c r="P60" s="384"/>
      <c r="Q60" s="384"/>
      <c r="R60" s="384"/>
      <c r="S60" s="384"/>
      <c r="T60" s="384"/>
      <c r="U60" s="384"/>
      <c r="V60" s="384"/>
      <c r="W60" s="384"/>
      <c r="X60" s="384"/>
      <c r="Y60" s="384"/>
      <c r="Z60" s="385"/>
      <c r="AA60" s="385"/>
      <c r="AB60" s="385"/>
      <c r="AC60" s="385"/>
      <c r="AD60" s="385"/>
      <c r="AE60" s="385"/>
      <c r="AF60" s="385"/>
      <c r="AG60" s="385"/>
      <c r="AH60" s="385"/>
      <c r="AI60" s="385"/>
      <c r="AJ60" s="385"/>
      <c r="AK60" s="385"/>
      <c r="AL60" s="385"/>
      <c r="AM60" s="385"/>
      <c r="AN60" s="385"/>
      <c r="AO60" s="385"/>
      <c r="AP60" s="385"/>
    </row>
    <row r="61" spans="1:59" s="105" customFormat="1" ht="105" customHeight="1">
      <c r="B61" s="100" t="s">
        <v>218</v>
      </c>
      <c r="C61" s="121" t="s">
        <v>219</v>
      </c>
      <c r="D61" s="371" t="s">
        <v>727</v>
      </c>
      <c r="E61" s="335" t="s">
        <v>86</v>
      </c>
      <c r="F61" s="415" t="s">
        <v>728</v>
      </c>
      <c r="G61" s="341" t="s">
        <v>462</v>
      </c>
      <c r="H61" s="341" t="s">
        <v>463</v>
      </c>
      <c r="I61" s="341" t="s">
        <v>464</v>
      </c>
      <c r="J61" s="341" t="s">
        <v>465</v>
      </c>
      <c r="K61" s="341" t="s">
        <v>146</v>
      </c>
      <c r="L61" s="341" t="s">
        <v>148</v>
      </c>
      <c r="M61" s="341" t="s">
        <v>466</v>
      </c>
      <c r="N61" s="386"/>
      <c r="O61" s="396"/>
      <c r="P61" s="396"/>
      <c r="Q61" s="397"/>
      <c r="R61" s="397"/>
      <c r="S61" s="398"/>
      <c r="T61" s="399"/>
      <c r="U61" s="399"/>
      <c r="V61" s="398"/>
      <c r="W61" s="398"/>
      <c r="X61" s="398"/>
      <c r="Y61" s="398"/>
      <c r="Z61" s="400"/>
      <c r="AA61" s="400"/>
      <c r="AB61" s="401"/>
      <c r="AC61" s="401"/>
      <c r="AD61" s="401"/>
      <c r="AE61" s="401"/>
      <c r="AF61" s="401"/>
      <c r="AG61" s="401"/>
      <c r="AH61" s="400"/>
      <c r="AI61" s="401"/>
      <c r="AJ61" s="400"/>
      <c r="AK61" s="401"/>
      <c r="AL61" s="400"/>
      <c r="AM61" s="400"/>
      <c r="AN61" s="400"/>
      <c r="AO61" s="400"/>
      <c r="AP61" s="402"/>
    </row>
    <row r="62" spans="1:59" s="95" customFormat="1" ht="13.5" customHeight="1">
      <c r="B62" s="107"/>
      <c r="C62" s="108"/>
      <c r="D62" s="405" t="s">
        <v>724</v>
      </c>
      <c r="E62" s="335" t="s">
        <v>725</v>
      </c>
      <c r="F62" s="416" t="s">
        <v>726</v>
      </c>
      <c r="G62" s="335" t="s">
        <v>445</v>
      </c>
      <c r="H62" s="335" t="s">
        <v>446</v>
      </c>
      <c r="I62" s="335" t="s">
        <v>447</v>
      </c>
      <c r="J62" s="335" t="s">
        <v>448</v>
      </c>
      <c r="K62" s="335" t="s">
        <v>449</v>
      </c>
      <c r="L62" s="335" t="s">
        <v>450</v>
      </c>
      <c r="M62" s="335" t="s">
        <v>451</v>
      </c>
      <c r="N62" s="375"/>
      <c r="O62" s="376"/>
      <c r="P62" s="376"/>
      <c r="Q62" s="377"/>
      <c r="R62" s="377"/>
      <c r="S62" s="377"/>
      <c r="T62" s="377"/>
      <c r="U62" s="376"/>
      <c r="V62" s="376"/>
      <c r="W62" s="377"/>
      <c r="X62" s="376"/>
      <c r="Y62" s="390"/>
      <c r="Z62" s="376"/>
      <c r="AA62" s="390"/>
      <c r="AB62" s="390"/>
      <c r="AC62" s="376"/>
      <c r="AD62" s="390"/>
      <c r="AE62" s="390"/>
      <c r="AF62" s="390"/>
      <c r="AG62" s="390"/>
      <c r="AH62" s="390"/>
      <c r="AI62" s="390"/>
      <c r="AJ62" s="390"/>
      <c r="AK62" s="390"/>
      <c r="AL62" s="390"/>
      <c r="AM62" s="390"/>
      <c r="AN62" s="390"/>
      <c r="AO62" s="390"/>
      <c r="AP62" s="390"/>
    </row>
    <row r="63" spans="1:59" s="95" customFormat="1" ht="13.5" customHeight="1">
      <c r="B63" s="107"/>
      <c r="C63" s="108"/>
      <c r="D63" s="405" t="s">
        <v>472</v>
      </c>
      <c r="E63" s="367" t="s">
        <v>527</v>
      </c>
      <c r="F63" s="416" t="s">
        <v>474</v>
      </c>
      <c r="G63" s="367" t="s">
        <v>684</v>
      </c>
      <c r="H63" s="367" t="s">
        <v>474</v>
      </c>
      <c r="I63" s="367" t="s">
        <v>475</v>
      </c>
      <c r="J63" s="367" t="s">
        <v>475</v>
      </c>
      <c r="K63" s="367" t="s">
        <v>223</v>
      </c>
      <c r="L63" s="335" t="s">
        <v>475</v>
      </c>
      <c r="M63" s="335" t="s">
        <v>475</v>
      </c>
      <c r="N63" s="387"/>
      <c r="O63" s="376"/>
      <c r="P63" s="376"/>
      <c r="Q63" s="377"/>
      <c r="R63" s="377"/>
      <c r="S63" s="377"/>
      <c r="T63" s="377"/>
      <c r="U63" s="376"/>
      <c r="V63" s="376"/>
      <c r="W63" s="377"/>
      <c r="X63" s="376"/>
      <c r="Y63" s="390"/>
      <c r="Z63" s="376"/>
      <c r="AA63" s="390"/>
      <c r="AB63" s="390"/>
      <c r="AC63" s="376"/>
      <c r="AD63" s="390"/>
      <c r="AE63" s="390"/>
      <c r="AF63" s="390"/>
      <c r="AG63" s="390"/>
      <c r="AH63" s="390"/>
      <c r="AI63" s="390"/>
      <c r="AJ63" s="390"/>
      <c r="AK63" s="390"/>
      <c r="AL63" s="390"/>
      <c r="AM63" s="390"/>
      <c r="AN63" s="390"/>
      <c r="AO63" s="390"/>
      <c r="AP63" s="390"/>
    </row>
    <row r="64" spans="1:59" ht="13.5" customHeight="1">
      <c r="B64" s="110" t="s">
        <v>229</v>
      </c>
      <c r="C64" s="111" t="s">
        <v>228</v>
      </c>
      <c r="D64" s="407" t="s">
        <v>734</v>
      </c>
      <c r="E64" s="407" t="s">
        <v>735</v>
      </c>
      <c r="F64" s="407" t="s">
        <v>736</v>
      </c>
      <c r="G64" s="407" t="s">
        <v>737</v>
      </c>
      <c r="H64" s="407" t="s">
        <v>738</v>
      </c>
      <c r="I64" s="407" t="s">
        <v>739</v>
      </c>
      <c r="J64" s="407" t="s">
        <v>740</v>
      </c>
      <c r="K64" s="407" t="s">
        <v>741</v>
      </c>
      <c r="L64" s="407" t="s">
        <v>742</v>
      </c>
      <c r="M64" s="407" t="s">
        <v>742</v>
      </c>
      <c r="N64" s="387"/>
      <c r="O64" s="377"/>
      <c r="P64" s="403"/>
      <c r="Q64" s="377"/>
      <c r="R64" s="377"/>
      <c r="S64" s="377"/>
      <c r="T64" s="377"/>
      <c r="U64" s="377"/>
      <c r="V64" s="377"/>
      <c r="W64" s="377"/>
      <c r="X64" s="377"/>
      <c r="Y64" s="377"/>
      <c r="Z64" s="390"/>
      <c r="AA64" s="390"/>
      <c r="AB64" s="390"/>
      <c r="AC64" s="390"/>
      <c r="AD64" s="377"/>
      <c r="AE64" s="377"/>
      <c r="AF64" s="377"/>
      <c r="AG64" s="377"/>
      <c r="AH64" s="390"/>
      <c r="AI64" s="390"/>
      <c r="AJ64" s="390"/>
      <c r="AK64" s="390"/>
      <c r="AL64" s="390"/>
      <c r="AM64" s="377"/>
      <c r="AN64" s="390"/>
      <c r="AO64" s="377"/>
      <c r="AP64" s="390"/>
    </row>
    <row r="65" spans="1:42" ht="13.5" customHeight="1">
      <c r="B65" s="110" t="s">
        <v>224</v>
      </c>
      <c r="C65" s="111" t="s">
        <v>217</v>
      </c>
      <c r="D65" s="407" t="s">
        <v>729</v>
      </c>
      <c r="E65" s="407" t="s">
        <v>730</v>
      </c>
      <c r="F65" s="407" t="s">
        <v>731</v>
      </c>
      <c r="G65" s="407" t="s">
        <v>534</v>
      </c>
      <c r="H65" s="407" t="s">
        <v>731</v>
      </c>
      <c r="I65" s="407" t="s">
        <v>732</v>
      </c>
      <c r="J65" s="407" t="s">
        <v>733</v>
      </c>
      <c r="K65" s="407" t="s">
        <v>731</v>
      </c>
      <c r="L65" s="407" t="s">
        <v>732</v>
      </c>
      <c r="M65" s="407" t="s">
        <v>733</v>
      </c>
      <c r="N65" s="387"/>
      <c r="O65" s="377"/>
      <c r="P65" s="403"/>
      <c r="Q65" s="377"/>
      <c r="R65" s="377"/>
      <c r="S65" s="377"/>
      <c r="T65" s="377"/>
      <c r="U65" s="377"/>
      <c r="V65" s="377"/>
      <c r="W65" s="377"/>
      <c r="X65" s="377"/>
      <c r="Y65" s="377"/>
      <c r="Z65" s="390"/>
      <c r="AA65" s="390"/>
      <c r="AB65" s="390"/>
      <c r="AC65" s="390"/>
      <c r="AD65" s="377"/>
      <c r="AE65" s="377"/>
      <c r="AF65" s="377"/>
      <c r="AG65" s="377"/>
      <c r="AH65" s="390"/>
      <c r="AI65" s="390"/>
      <c r="AJ65" s="390"/>
      <c r="AK65" s="390"/>
      <c r="AL65" s="390"/>
      <c r="AM65" s="377"/>
      <c r="AN65" s="390"/>
      <c r="AO65" s="377"/>
      <c r="AP65" s="390"/>
    </row>
    <row r="66" spans="1:42" ht="13.5" customHeight="1">
      <c r="B66" s="110" t="s">
        <v>227</v>
      </c>
      <c r="C66" s="111" t="s">
        <v>228</v>
      </c>
      <c r="D66" s="407" t="s">
        <v>743</v>
      </c>
      <c r="E66" s="407" t="s">
        <v>744</v>
      </c>
      <c r="F66" s="407" t="s">
        <v>745</v>
      </c>
      <c r="G66" s="407" t="s">
        <v>536</v>
      </c>
      <c r="H66" s="407" t="s">
        <v>745</v>
      </c>
      <c r="I66" s="407" t="s">
        <v>746</v>
      </c>
      <c r="J66" s="407" t="s">
        <v>747</v>
      </c>
      <c r="K66" s="407" t="s">
        <v>745</v>
      </c>
      <c r="L66" s="407" t="s">
        <v>748</v>
      </c>
      <c r="M66" s="407" t="s">
        <v>750</v>
      </c>
      <c r="N66" s="387"/>
      <c r="O66" s="377"/>
      <c r="P66" s="403"/>
      <c r="Q66" s="377"/>
      <c r="R66" s="377"/>
      <c r="S66" s="377"/>
      <c r="T66" s="377"/>
      <c r="U66" s="377"/>
      <c r="V66" s="377"/>
      <c r="W66" s="377"/>
      <c r="X66" s="377"/>
      <c r="Y66" s="377"/>
      <c r="Z66" s="390"/>
      <c r="AA66" s="390"/>
      <c r="AB66" s="390"/>
      <c r="AC66" s="390"/>
      <c r="AD66" s="377"/>
      <c r="AE66" s="377"/>
      <c r="AF66" s="377"/>
      <c r="AG66" s="377"/>
      <c r="AH66" s="390"/>
      <c r="AI66" s="390"/>
      <c r="AJ66" s="390"/>
      <c r="AK66" s="390"/>
      <c r="AL66" s="390"/>
      <c r="AM66" s="377"/>
      <c r="AN66" s="390"/>
      <c r="AO66" s="377"/>
      <c r="AP66" s="390"/>
    </row>
    <row r="67" spans="1:42" ht="13.5" customHeight="1">
      <c r="B67" s="110" t="s">
        <v>233</v>
      </c>
      <c r="C67" s="111" t="s">
        <v>228</v>
      </c>
      <c r="D67" s="407" t="s">
        <v>749</v>
      </c>
      <c r="E67" s="407" t="s">
        <v>744</v>
      </c>
      <c r="F67" s="407" t="s">
        <v>745</v>
      </c>
      <c r="G67" s="407" t="s">
        <v>536</v>
      </c>
      <c r="H67" s="407" t="s">
        <v>745</v>
      </c>
      <c r="I67" s="407" t="s">
        <v>746</v>
      </c>
      <c r="J67" s="407" t="s">
        <v>747</v>
      </c>
      <c r="K67" s="407" t="s">
        <v>745</v>
      </c>
      <c r="L67" s="407" t="s">
        <v>748</v>
      </c>
      <c r="M67" s="407" t="s">
        <v>750</v>
      </c>
      <c r="N67" s="387"/>
      <c r="O67" s="377"/>
      <c r="P67" s="403"/>
      <c r="Q67" s="377"/>
      <c r="R67" s="377"/>
      <c r="S67" s="377"/>
      <c r="T67" s="377"/>
      <c r="U67" s="377"/>
      <c r="V67" s="377"/>
      <c r="W67" s="377"/>
      <c r="X67" s="377"/>
      <c r="Y67" s="377"/>
      <c r="Z67" s="390"/>
      <c r="AA67" s="390"/>
      <c r="AB67" s="390"/>
      <c r="AC67" s="390"/>
      <c r="AD67" s="377"/>
      <c r="AE67" s="377"/>
      <c r="AF67" s="377"/>
      <c r="AG67" s="377"/>
      <c r="AH67" s="390"/>
      <c r="AI67" s="390"/>
      <c r="AJ67" s="390"/>
      <c r="AK67" s="390"/>
      <c r="AL67" s="390"/>
      <c r="AM67" s="377"/>
      <c r="AN67" s="390"/>
      <c r="AO67" s="377"/>
      <c r="AP67" s="390"/>
    </row>
    <row r="68" spans="1:42" ht="13.5" customHeight="1">
      <c r="B68" s="110" t="s">
        <v>234</v>
      </c>
      <c r="C68" s="111" t="s">
        <v>217</v>
      </c>
      <c r="D68" s="407" t="s">
        <v>868</v>
      </c>
      <c r="E68" s="407" t="s">
        <v>869</v>
      </c>
      <c r="F68" s="407" t="s">
        <v>731</v>
      </c>
      <c r="G68" s="407" t="s">
        <v>534</v>
      </c>
      <c r="H68" s="407" t="s">
        <v>731</v>
      </c>
      <c r="I68" s="407" t="s">
        <v>732</v>
      </c>
      <c r="J68" s="407" t="s">
        <v>733</v>
      </c>
      <c r="K68" s="407" t="s">
        <v>731</v>
      </c>
      <c r="L68" s="407" t="s">
        <v>732</v>
      </c>
      <c r="M68" s="407" t="s">
        <v>733</v>
      </c>
      <c r="N68" s="387"/>
      <c r="O68" s="377"/>
      <c r="P68" s="403"/>
      <c r="Q68" s="377"/>
      <c r="R68" s="377"/>
      <c r="S68" s="377"/>
      <c r="T68" s="377"/>
      <c r="U68" s="377"/>
      <c r="V68" s="377"/>
      <c r="W68" s="377"/>
      <c r="X68" s="377"/>
      <c r="Y68" s="377"/>
      <c r="Z68" s="390"/>
      <c r="AA68" s="390"/>
      <c r="AB68" s="390"/>
      <c r="AC68" s="390"/>
      <c r="AD68" s="377"/>
      <c r="AE68" s="377"/>
      <c r="AF68" s="377"/>
      <c r="AG68" s="377"/>
      <c r="AH68" s="390"/>
      <c r="AI68" s="390"/>
      <c r="AJ68" s="390"/>
      <c r="AK68" s="390"/>
      <c r="AL68" s="390"/>
      <c r="AM68" s="377"/>
      <c r="AN68" s="390"/>
      <c r="AO68" s="377"/>
      <c r="AP68" s="390"/>
    </row>
    <row r="69" spans="1:42">
      <c r="B69" s="91"/>
      <c r="C69" s="108"/>
      <c r="D69" s="91"/>
      <c r="E69" s="91"/>
      <c r="F69" s="91"/>
      <c r="G69" s="122"/>
      <c r="H69" s="91"/>
      <c r="I69" s="91"/>
      <c r="J69" s="91"/>
      <c r="K69" s="91"/>
      <c r="L69" s="91"/>
      <c r="M69" s="91"/>
      <c r="N69" s="91"/>
      <c r="O69" s="91"/>
      <c r="P69" s="91"/>
      <c r="Q69" s="91"/>
      <c r="R69" s="91"/>
      <c r="S69" s="91"/>
      <c r="T69" s="115"/>
      <c r="U69" s="115"/>
      <c r="V69" s="115"/>
      <c r="W69" s="115"/>
      <c r="X69" s="115"/>
      <c r="Y69" s="115"/>
      <c r="Z69" s="95"/>
      <c r="AA69" s="95"/>
      <c r="AB69" s="95"/>
      <c r="AC69" s="95"/>
      <c r="AD69" s="95"/>
      <c r="AE69" s="95"/>
      <c r="AF69" s="95"/>
      <c r="AG69" s="95"/>
      <c r="AH69" s="95"/>
      <c r="AI69" s="95"/>
      <c r="AJ69" s="95"/>
      <c r="AK69" s="95"/>
      <c r="AL69" s="95"/>
      <c r="AM69" s="95"/>
      <c r="AN69" s="95"/>
      <c r="AO69" s="95"/>
    </row>
    <row r="70" spans="1:42">
      <c r="B70" s="91"/>
      <c r="C70" s="108"/>
      <c r="D70" s="91"/>
      <c r="E70" s="91"/>
      <c r="F70" s="91"/>
      <c r="G70" s="122"/>
      <c r="H70" s="91"/>
      <c r="I70" s="91"/>
      <c r="J70" s="91"/>
      <c r="K70" s="91"/>
      <c r="L70" s="91"/>
      <c r="M70" s="91"/>
      <c r="N70" s="91"/>
      <c r="O70" s="91"/>
      <c r="P70" s="91"/>
      <c r="Q70" s="91"/>
      <c r="R70" s="91"/>
      <c r="S70" s="91"/>
      <c r="T70" s="115"/>
      <c r="U70" s="115"/>
      <c r="V70" s="115"/>
      <c r="W70" s="115"/>
      <c r="X70" s="115"/>
      <c r="Y70" s="115"/>
      <c r="Z70" s="95"/>
      <c r="AA70" s="95"/>
      <c r="AB70" s="95"/>
      <c r="AC70" s="95"/>
      <c r="AD70" s="95"/>
      <c r="AE70" s="95"/>
      <c r="AF70" s="95"/>
      <c r="AG70" s="95"/>
      <c r="AH70" s="95"/>
      <c r="AI70" s="95"/>
      <c r="AJ70" s="95"/>
      <c r="AK70" s="95"/>
      <c r="AL70" s="95"/>
      <c r="AM70" s="95"/>
      <c r="AN70" s="95"/>
      <c r="AO70" s="95"/>
    </row>
    <row r="71" spans="1:42" ht="19.5" customHeight="1">
      <c r="B71" s="91"/>
      <c r="C71" s="92"/>
      <c r="D71" s="393" t="s">
        <v>755</v>
      </c>
      <c r="E71" s="394"/>
      <c r="F71" s="394"/>
      <c r="G71" s="394"/>
      <c r="H71" s="394"/>
      <c r="I71" s="394"/>
      <c r="J71" s="394"/>
      <c r="K71" s="394"/>
      <c r="L71" s="394"/>
      <c r="M71" s="394"/>
      <c r="N71" s="394"/>
      <c r="O71" s="394"/>
      <c r="P71" s="394"/>
      <c r="Q71" s="394"/>
      <c r="R71" s="394"/>
      <c r="S71" s="395"/>
      <c r="T71" s="389"/>
      <c r="U71" s="389"/>
      <c r="V71" s="389"/>
      <c r="W71" s="389"/>
      <c r="X71" s="389"/>
      <c r="Y71" s="389"/>
      <c r="Z71" s="390"/>
      <c r="AA71" s="390"/>
      <c r="AB71" s="390"/>
      <c r="AC71" s="390"/>
      <c r="AD71" s="390"/>
      <c r="AE71" s="390"/>
      <c r="AF71" s="390"/>
      <c r="AG71" s="390"/>
      <c r="AH71" s="390"/>
      <c r="AI71" s="390"/>
      <c r="AJ71" s="390"/>
      <c r="AK71" s="390"/>
      <c r="AL71" s="390"/>
      <c r="AM71" s="390"/>
      <c r="AN71" s="390"/>
      <c r="AO71" s="390"/>
      <c r="AP71" s="322"/>
    </row>
    <row r="72" spans="1:42" s="98" customFormat="1" ht="16.5" customHeight="1">
      <c r="A72" s="503" t="s">
        <v>216</v>
      </c>
      <c r="B72" s="503"/>
      <c r="C72" s="504"/>
      <c r="D72" s="336"/>
      <c r="E72" s="392"/>
      <c r="F72" s="336" t="s">
        <v>217</v>
      </c>
      <c r="G72" s="336"/>
      <c r="H72" s="392"/>
      <c r="I72" s="392"/>
      <c r="J72" s="392"/>
      <c r="K72" s="392"/>
      <c r="L72" s="392"/>
      <c r="M72" s="392"/>
      <c r="N72" s="392"/>
      <c r="O72" s="392"/>
      <c r="P72" s="392"/>
      <c r="Q72" s="392"/>
      <c r="R72" s="392"/>
      <c r="S72" s="384"/>
      <c r="T72" s="384"/>
      <c r="U72" s="384"/>
      <c r="V72" s="384"/>
      <c r="W72" s="384"/>
      <c r="X72" s="384"/>
      <c r="Y72" s="384"/>
      <c r="Z72" s="385"/>
      <c r="AA72" s="385"/>
      <c r="AB72" s="385"/>
      <c r="AC72" s="385"/>
      <c r="AD72" s="385"/>
      <c r="AE72" s="385"/>
      <c r="AF72" s="385"/>
      <c r="AG72" s="385"/>
      <c r="AH72" s="385"/>
      <c r="AI72" s="385"/>
      <c r="AJ72" s="385"/>
      <c r="AK72" s="385"/>
      <c r="AL72" s="385"/>
      <c r="AM72" s="385"/>
      <c r="AN72" s="385"/>
      <c r="AO72" s="385"/>
      <c r="AP72" s="385"/>
    </row>
    <row r="73" spans="1:42" s="105" customFormat="1" ht="105" customHeight="1">
      <c r="B73" s="100" t="s">
        <v>218</v>
      </c>
      <c r="C73" s="121" t="s">
        <v>219</v>
      </c>
      <c r="D73" s="371" t="s">
        <v>756</v>
      </c>
      <c r="E73" s="371" t="s">
        <v>757</v>
      </c>
      <c r="F73" s="415" t="s">
        <v>758</v>
      </c>
      <c r="G73" s="335" t="s">
        <v>759</v>
      </c>
      <c r="H73" s="371" t="s">
        <v>760</v>
      </c>
      <c r="I73" s="341" t="s">
        <v>761</v>
      </c>
      <c r="J73" s="341" t="s">
        <v>762</v>
      </c>
      <c r="K73" s="341" t="s">
        <v>763</v>
      </c>
      <c r="L73" s="341" t="s">
        <v>462</v>
      </c>
      <c r="M73" s="341" t="s">
        <v>463</v>
      </c>
      <c r="N73" s="341" t="s">
        <v>464</v>
      </c>
      <c r="O73" s="341" t="s">
        <v>465</v>
      </c>
      <c r="P73" s="341" t="s">
        <v>146</v>
      </c>
      <c r="Q73" s="341" t="s">
        <v>148</v>
      </c>
      <c r="R73" s="341" t="s">
        <v>466</v>
      </c>
      <c r="S73" s="398"/>
      <c r="T73" s="399"/>
      <c r="U73" s="399"/>
      <c r="V73" s="398"/>
      <c r="W73" s="398"/>
      <c r="X73" s="398"/>
      <c r="Y73" s="398"/>
      <c r="Z73" s="400"/>
      <c r="AA73" s="400"/>
      <c r="AB73" s="401"/>
      <c r="AC73" s="401"/>
      <c r="AD73" s="401"/>
      <c r="AE73" s="401"/>
      <c r="AF73" s="401"/>
      <c r="AG73" s="401"/>
      <c r="AH73" s="400"/>
      <c r="AI73" s="401"/>
      <c r="AJ73" s="400"/>
      <c r="AK73" s="401"/>
      <c r="AL73" s="400"/>
      <c r="AM73" s="400"/>
      <c r="AN73" s="400"/>
      <c r="AO73" s="400"/>
      <c r="AP73" s="402"/>
    </row>
    <row r="74" spans="1:42" s="95" customFormat="1" ht="13.5" customHeight="1">
      <c r="B74" s="107"/>
      <c r="C74" s="108"/>
      <c r="D74" s="405" t="s">
        <v>764</v>
      </c>
      <c r="E74" s="405" t="s">
        <v>765</v>
      </c>
      <c r="F74" s="416" t="s">
        <v>766</v>
      </c>
      <c r="G74" s="335" t="s">
        <v>767</v>
      </c>
      <c r="H74" s="405" t="s">
        <v>768</v>
      </c>
      <c r="I74" s="335" t="s">
        <v>769</v>
      </c>
      <c r="J74" s="335" t="s">
        <v>770</v>
      </c>
      <c r="K74" s="335" t="s">
        <v>771</v>
      </c>
      <c r="L74" s="335" t="s">
        <v>445</v>
      </c>
      <c r="M74" s="335" t="s">
        <v>446</v>
      </c>
      <c r="N74" s="335" t="s">
        <v>447</v>
      </c>
      <c r="O74" s="335" t="s">
        <v>448</v>
      </c>
      <c r="P74" s="335" t="s">
        <v>449</v>
      </c>
      <c r="Q74" s="335" t="s">
        <v>450</v>
      </c>
      <c r="R74" s="335" t="s">
        <v>451</v>
      </c>
      <c r="S74" s="377"/>
      <c r="T74" s="377"/>
      <c r="U74" s="376"/>
      <c r="V74" s="376"/>
      <c r="W74" s="377"/>
      <c r="X74" s="376"/>
      <c r="Y74" s="390"/>
      <c r="Z74" s="376"/>
      <c r="AA74" s="390"/>
      <c r="AB74" s="390"/>
      <c r="AC74" s="376"/>
      <c r="AD74" s="390"/>
      <c r="AE74" s="390"/>
      <c r="AF74" s="390"/>
      <c r="AG74" s="390"/>
      <c r="AH74" s="390"/>
      <c r="AI74" s="390"/>
      <c r="AJ74" s="390"/>
      <c r="AK74" s="390"/>
      <c r="AL74" s="390"/>
      <c r="AM74" s="390"/>
      <c r="AN74" s="390"/>
      <c r="AO74" s="390"/>
      <c r="AP74" s="390"/>
    </row>
    <row r="75" spans="1:42" s="95" customFormat="1" ht="13.5" customHeight="1">
      <c r="B75" s="107"/>
      <c r="C75" s="108"/>
      <c r="D75" s="405" t="s">
        <v>691</v>
      </c>
      <c r="E75" s="405" t="s">
        <v>527</v>
      </c>
      <c r="F75" s="416" t="s">
        <v>772</v>
      </c>
      <c r="G75" s="367" t="s">
        <v>773</v>
      </c>
      <c r="H75" s="405" t="s">
        <v>774</v>
      </c>
      <c r="I75" s="367" t="s">
        <v>775</v>
      </c>
      <c r="J75" s="367" t="s">
        <v>775</v>
      </c>
      <c r="K75" s="367" t="s">
        <v>775</v>
      </c>
      <c r="L75" s="367" t="s">
        <v>684</v>
      </c>
      <c r="M75" s="367" t="s">
        <v>474</v>
      </c>
      <c r="N75" s="367" t="s">
        <v>475</v>
      </c>
      <c r="O75" s="367" t="s">
        <v>475</v>
      </c>
      <c r="P75" s="367" t="s">
        <v>223</v>
      </c>
      <c r="Q75" s="367" t="s">
        <v>475</v>
      </c>
      <c r="R75" s="367" t="s">
        <v>475</v>
      </c>
      <c r="S75" s="377"/>
      <c r="T75" s="377"/>
      <c r="U75" s="376"/>
      <c r="V75" s="376"/>
      <c r="W75" s="377"/>
      <c r="X75" s="376"/>
      <c r="Y75" s="390"/>
      <c r="Z75" s="376"/>
      <c r="AA75" s="390"/>
      <c r="AB75" s="390"/>
      <c r="AC75" s="376"/>
      <c r="AD75" s="390"/>
      <c r="AE75" s="390"/>
      <c r="AF75" s="390"/>
      <c r="AG75" s="390"/>
      <c r="AH75" s="390"/>
      <c r="AI75" s="390"/>
      <c r="AJ75" s="390"/>
      <c r="AK75" s="390"/>
      <c r="AL75" s="390"/>
      <c r="AM75" s="390"/>
      <c r="AN75" s="390"/>
      <c r="AO75" s="390"/>
      <c r="AP75" s="390"/>
    </row>
    <row r="76" spans="1:42" ht="13.5" customHeight="1">
      <c r="B76" s="110" t="s">
        <v>229</v>
      </c>
      <c r="C76" s="111" t="s">
        <v>228</v>
      </c>
      <c r="D76" s="407" t="s">
        <v>776</v>
      </c>
      <c r="E76" s="407" t="s">
        <v>777</v>
      </c>
      <c r="F76" s="407" t="s">
        <v>778</v>
      </c>
      <c r="G76" s="407" t="s">
        <v>778</v>
      </c>
      <c r="H76" s="407" t="s">
        <v>779</v>
      </c>
      <c r="I76" s="407" t="s">
        <v>232</v>
      </c>
      <c r="J76" s="407" t="s">
        <v>533</v>
      </c>
      <c r="K76" s="407" t="s">
        <v>636</v>
      </c>
      <c r="L76" s="407" t="s">
        <v>534</v>
      </c>
      <c r="M76" s="407"/>
      <c r="N76" s="407"/>
      <c r="O76" s="407"/>
      <c r="P76" s="407"/>
      <c r="Q76" s="407"/>
      <c r="R76" s="407"/>
      <c r="S76" s="377"/>
      <c r="T76" s="377"/>
      <c r="U76" s="377"/>
      <c r="V76" s="377"/>
      <c r="W76" s="377"/>
      <c r="X76" s="377"/>
      <c r="Y76" s="377"/>
      <c r="Z76" s="390"/>
      <c r="AA76" s="390"/>
      <c r="AB76" s="390"/>
      <c r="AC76" s="390"/>
      <c r="AD76" s="377"/>
      <c r="AE76" s="377"/>
      <c r="AF76" s="377"/>
      <c r="AG76" s="377"/>
      <c r="AH76" s="390"/>
      <c r="AI76" s="390"/>
      <c r="AJ76" s="390"/>
      <c r="AK76" s="390"/>
      <c r="AL76" s="390"/>
      <c r="AM76" s="377"/>
      <c r="AN76" s="390"/>
      <c r="AO76" s="377"/>
      <c r="AP76" s="390"/>
    </row>
    <row r="77" spans="1:42" ht="13.5" customHeight="1">
      <c r="B77" s="110" t="s">
        <v>224</v>
      </c>
      <c r="C77" s="111" t="s">
        <v>228</v>
      </c>
      <c r="D77" s="407" t="s">
        <v>780</v>
      </c>
      <c r="E77" s="407" t="s">
        <v>781</v>
      </c>
      <c r="F77" s="407" t="s">
        <v>533</v>
      </c>
      <c r="G77" s="407" t="s">
        <v>156</v>
      </c>
      <c r="H77" s="407" t="s">
        <v>782</v>
      </c>
      <c r="I77" s="407" t="s">
        <v>156</v>
      </c>
      <c r="J77" s="407" t="s">
        <v>156</v>
      </c>
      <c r="K77" s="407" t="s">
        <v>156</v>
      </c>
      <c r="L77" s="407" t="s">
        <v>534</v>
      </c>
      <c r="M77" s="407" t="s">
        <v>783</v>
      </c>
      <c r="N77" s="407" t="s">
        <v>784</v>
      </c>
      <c r="O77" s="407" t="s">
        <v>785</v>
      </c>
      <c r="P77" s="407" t="s">
        <v>783</v>
      </c>
      <c r="Q77" s="407" t="s">
        <v>784</v>
      </c>
      <c r="R77" s="407" t="s">
        <v>785</v>
      </c>
      <c r="S77" s="377"/>
      <c r="T77" s="377"/>
      <c r="U77" s="377"/>
      <c r="V77" s="377"/>
      <c r="W77" s="377"/>
      <c r="X77" s="377"/>
      <c r="Y77" s="377"/>
      <c r="Z77" s="390"/>
      <c r="AA77" s="390"/>
      <c r="AB77" s="390"/>
      <c r="AC77" s="390"/>
      <c r="AD77" s="377"/>
      <c r="AE77" s="377"/>
      <c r="AF77" s="377"/>
      <c r="AG77" s="377"/>
      <c r="AH77" s="390"/>
      <c r="AI77" s="390"/>
      <c r="AJ77" s="390"/>
      <c r="AK77" s="390"/>
      <c r="AL77" s="390"/>
      <c r="AM77" s="377"/>
      <c r="AN77" s="390"/>
      <c r="AO77" s="377"/>
      <c r="AP77" s="390"/>
    </row>
    <row r="78" spans="1:42" ht="13.5" customHeight="1">
      <c r="B78" s="110" t="s">
        <v>227</v>
      </c>
      <c r="C78" s="111" t="s">
        <v>228</v>
      </c>
      <c r="D78" s="407" t="s">
        <v>780</v>
      </c>
      <c r="E78" s="407" t="s">
        <v>781</v>
      </c>
      <c r="F78" s="407" t="s">
        <v>636</v>
      </c>
      <c r="G78" s="407" t="s">
        <v>156</v>
      </c>
      <c r="H78" s="407" t="s">
        <v>779</v>
      </c>
      <c r="I78" s="407" t="s">
        <v>156</v>
      </c>
      <c r="J78" s="407" t="s">
        <v>156</v>
      </c>
      <c r="K78" s="407" t="s">
        <v>156</v>
      </c>
      <c r="L78" s="407" t="s">
        <v>534</v>
      </c>
      <c r="M78" s="407" t="s">
        <v>783</v>
      </c>
      <c r="N78" s="407" t="s">
        <v>784</v>
      </c>
      <c r="O78" s="407" t="s">
        <v>785</v>
      </c>
      <c r="P78" s="407" t="s">
        <v>783</v>
      </c>
      <c r="Q78" s="407" t="s">
        <v>784</v>
      </c>
      <c r="R78" s="407" t="s">
        <v>785</v>
      </c>
      <c r="S78" s="377"/>
      <c r="T78" s="377"/>
      <c r="U78" s="377"/>
      <c r="V78" s="377"/>
      <c r="W78" s="377"/>
      <c r="X78" s="377"/>
      <c r="Y78" s="377"/>
      <c r="Z78" s="390"/>
      <c r="AA78" s="390"/>
      <c r="AB78" s="390"/>
      <c r="AC78" s="390"/>
      <c r="AD78" s="377"/>
      <c r="AE78" s="377"/>
      <c r="AF78" s="377"/>
      <c r="AG78" s="377"/>
      <c r="AH78" s="390"/>
      <c r="AI78" s="390"/>
      <c r="AJ78" s="390"/>
      <c r="AK78" s="390"/>
      <c r="AL78" s="390"/>
      <c r="AM78" s="377"/>
      <c r="AN78" s="390"/>
      <c r="AO78" s="377"/>
      <c r="AP78" s="390"/>
    </row>
    <row r="79" spans="1:42" ht="13.5" customHeight="1">
      <c r="B79" s="110" t="s">
        <v>230</v>
      </c>
      <c r="C79" s="111" t="s">
        <v>228</v>
      </c>
      <c r="D79" s="407" t="s">
        <v>786</v>
      </c>
      <c r="E79" s="407" t="s">
        <v>790</v>
      </c>
      <c r="F79" s="407" t="s">
        <v>778</v>
      </c>
      <c r="G79" s="407" t="s">
        <v>778</v>
      </c>
      <c r="H79" s="407" t="s">
        <v>779</v>
      </c>
      <c r="I79" s="407" t="s">
        <v>232</v>
      </c>
      <c r="J79" s="407" t="s">
        <v>533</v>
      </c>
      <c r="K79" s="407" t="s">
        <v>636</v>
      </c>
      <c r="L79" s="407" t="s">
        <v>534</v>
      </c>
      <c r="M79" s="407"/>
      <c r="N79" s="407"/>
      <c r="O79" s="407"/>
      <c r="P79" s="407"/>
      <c r="Q79" s="407"/>
      <c r="R79" s="407"/>
      <c r="S79" s="377"/>
      <c r="T79" s="377"/>
      <c r="U79" s="377"/>
      <c r="V79" s="377"/>
      <c r="W79" s="377"/>
      <c r="X79" s="377"/>
      <c r="Y79" s="377"/>
      <c r="Z79" s="390"/>
      <c r="AA79" s="390"/>
      <c r="AB79" s="390"/>
      <c r="AC79" s="390"/>
      <c r="AD79" s="377"/>
      <c r="AE79" s="377"/>
      <c r="AF79" s="377"/>
      <c r="AG79" s="377"/>
      <c r="AH79" s="390"/>
      <c r="AI79" s="390"/>
      <c r="AJ79" s="390"/>
      <c r="AK79" s="390"/>
      <c r="AL79" s="390"/>
      <c r="AM79" s="377"/>
      <c r="AN79" s="390"/>
      <c r="AO79" s="377"/>
      <c r="AP79" s="390"/>
    </row>
    <row r="80" spans="1:42" ht="13.5" customHeight="1">
      <c r="B80" s="110" t="s">
        <v>1012</v>
      </c>
      <c r="C80" s="111" t="s">
        <v>228</v>
      </c>
      <c r="D80" s="407" t="s">
        <v>786</v>
      </c>
      <c r="E80" s="407" t="s">
        <v>791</v>
      </c>
      <c r="F80" s="407" t="s">
        <v>778</v>
      </c>
      <c r="G80" s="407" t="s">
        <v>778</v>
      </c>
      <c r="H80" s="407" t="s">
        <v>779</v>
      </c>
      <c r="I80" s="407" t="s">
        <v>232</v>
      </c>
      <c r="J80" s="407" t="s">
        <v>533</v>
      </c>
      <c r="K80" s="407" t="s">
        <v>636</v>
      </c>
      <c r="L80" s="407" t="s">
        <v>534</v>
      </c>
      <c r="M80" s="407"/>
      <c r="N80" s="407"/>
      <c r="O80" s="407"/>
      <c r="P80" s="407"/>
      <c r="Q80" s="407"/>
      <c r="R80" s="407"/>
      <c r="S80" s="377"/>
      <c r="T80" s="377"/>
      <c r="U80" s="377"/>
      <c r="V80" s="377"/>
      <c r="W80" s="377"/>
      <c r="X80" s="377"/>
      <c r="Y80" s="377"/>
      <c r="Z80" s="390"/>
      <c r="AA80" s="390"/>
      <c r="AB80" s="390"/>
      <c r="AC80" s="390"/>
      <c r="AD80" s="377"/>
      <c r="AE80" s="377"/>
      <c r="AF80" s="377"/>
      <c r="AG80" s="377"/>
      <c r="AH80" s="390"/>
      <c r="AI80" s="390"/>
      <c r="AJ80" s="390"/>
      <c r="AK80" s="390"/>
      <c r="AL80" s="390"/>
      <c r="AM80" s="377"/>
      <c r="AN80" s="390"/>
      <c r="AO80" s="377"/>
      <c r="AP80" s="390"/>
    </row>
    <row r="81" spans="1:42" ht="13.5" customHeight="1">
      <c r="B81" s="110" t="s">
        <v>806</v>
      </c>
      <c r="C81" s="111" t="s">
        <v>228</v>
      </c>
      <c r="D81" s="407" t="s">
        <v>786</v>
      </c>
      <c r="E81" s="407" t="s">
        <v>787</v>
      </c>
      <c r="F81" s="407" t="s">
        <v>778</v>
      </c>
      <c r="G81" s="407" t="s">
        <v>778</v>
      </c>
      <c r="H81" s="407" t="s">
        <v>782</v>
      </c>
      <c r="I81" s="407" t="s">
        <v>232</v>
      </c>
      <c r="J81" s="407" t="s">
        <v>533</v>
      </c>
      <c r="K81" s="407" t="s">
        <v>636</v>
      </c>
      <c r="L81" s="407" t="s">
        <v>534</v>
      </c>
      <c r="M81" s="407"/>
      <c r="N81" s="407"/>
      <c r="O81" s="407"/>
      <c r="P81" s="407"/>
      <c r="Q81" s="407"/>
      <c r="R81" s="407"/>
      <c r="S81" s="377"/>
      <c r="T81" s="377"/>
      <c r="U81" s="377"/>
      <c r="V81" s="377"/>
      <c r="W81" s="377"/>
      <c r="X81" s="377"/>
      <c r="Y81" s="377"/>
      <c r="Z81" s="390"/>
      <c r="AA81" s="390"/>
      <c r="AB81" s="390"/>
      <c r="AC81" s="390"/>
      <c r="AD81" s="377"/>
      <c r="AE81" s="377"/>
      <c r="AF81" s="377"/>
      <c r="AG81" s="377"/>
      <c r="AH81" s="390"/>
      <c r="AI81" s="390"/>
      <c r="AJ81" s="390"/>
      <c r="AK81" s="390"/>
      <c r="AL81" s="390"/>
      <c r="AM81" s="377"/>
      <c r="AN81" s="390"/>
      <c r="AO81" s="377"/>
      <c r="AP81" s="390"/>
    </row>
    <row r="82" spans="1:42" ht="13.5" customHeight="1">
      <c r="B82" s="110" t="s">
        <v>225</v>
      </c>
      <c r="C82" s="111" t="s">
        <v>217</v>
      </c>
      <c r="D82" s="407" t="s">
        <v>786</v>
      </c>
      <c r="E82" s="407" t="s">
        <v>870</v>
      </c>
      <c r="F82" s="407" t="s">
        <v>871</v>
      </c>
      <c r="G82" s="407" t="s">
        <v>778</v>
      </c>
      <c r="H82" s="407" t="s">
        <v>779</v>
      </c>
      <c r="I82" s="407" t="s">
        <v>232</v>
      </c>
      <c r="J82" s="407" t="s">
        <v>533</v>
      </c>
      <c r="K82" s="407" t="s">
        <v>636</v>
      </c>
      <c r="L82" s="407" t="s">
        <v>534</v>
      </c>
      <c r="M82" s="407"/>
      <c r="N82" s="407"/>
      <c r="O82" s="407"/>
      <c r="P82" s="407"/>
      <c r="Q82" s="407"/>
      <c r="R82" s="407"/>
      <c r="S82" s="377"/>
      <c r="T82" s="377"/>
      <c r="U82" s="377"/>
      <c r="V82" s="403"/>
      <c r="W82" s="377"/>
      <c r="X82" s="377"/>
      <c r="Y82" s="377"/>
      <c r="Z82" s="390"/>
      <c r="AA82" s="390"/>
      <c r="AB82" s="390"/>
      <c r="AC82" s="390"/>
      <c r="AD82" s="377"/>
      <c r="AE82" s="377"/>
      <c r="AF82" s="377"/>
      <c r="AG82" s="377"/>
      <c r="AH82" s="390"/>
      <c r="AI82" s="390"/>
      <c r="AJ82" s="390"/>
      <c r="AK82" s="390"/>
      <c r="AL82" s="404"/>
      <c r="AM82" s="377"/>
      <c r="AN82" s="390"/>
      <c r="AO82" s="377"/>
      <c r="AP82" s="390"/>
    </row>
    <row r="83" spans="1:42" ht="13.5" customHeight="1">
      <c r="B83" s="110" t="s">
        <v>226</v>
      </c>
      <c r="C83" s="111" t="s">
        <v>217</v>
      </c>
      <c r="D83" s="407" t="s">
        <v>926</v>
      </c>
      <c r="E83" s="407" t="s">
        <v>927</v>
      </c>
      <c r="F83" s="407" t="s">
        <v>778</v>
      </c>
      <c r="G83" s="407" t="s">
        <v>778</v>
      </c>
      <c r="H83" s="407" t="s">
        <v>779</v>
      </c>
      <c r="I83" s="407" t="s">
        <v>232</v>
      </c>
      <c r="J83" s="407" t="s">
        <v>533</v>
      </c>
      <c r="K83" s="407" t="s">
        <v>636</v>
      </c>
      <c r="L83" s="407" t="s">
        <v>534</v>
      </c>
      <c r="M83" s="407"/>
      <c r="N83" s="407"/>
      <c r="O83" s="407"/>
      <c r="P83" s="407"/>
      <c r="Q83" s="407"/>
      <c r="R83" s="407"/>
      <c r="S83" s="377"/>
      <c r="T83" s="377"/>
      <c r="U83" s="377"/>
      <c r="V83" s="403"/>
      <c r="W83" s="377"/>
      <c r="X83" s="377"/>
      <c r="Y83" s="377"/>
      <c r="Z83" s="390"/>
      <c r="AA83" s="390"/>
      <c r="AB83" s="390"/>
      <c r="AC83" s="390"/>
      <c r="AD83" s="377"/>
      <c r="AE83" s="377"/>
      <c r="AF83" s="377"/>
      <c r="AG83" s="377"/>
      <c r="AH83" s="390"/>
      <c r="AI83" s="390"/>
      <c r="AJ83" s="390"/>
      <c r="AK83" s="390"/>
      <c r="AL83" s="404"/>
      <c r="AM83" s="377"/>
      <c r="AN83" s="390"/>
      <c r="AO83" s="377"/>
      <c r="AP83" s="390"/>
    </row>
    <row r="84" spans="1:42" ht="13.5" customHeight="1">
      <c r="B84" s="110"/>
      <c r="C84" s="111"/>
      <c r="D84" s="464"/>
      <c r="E84" s="387"/>
      <c r="F84" s="387"/>
      <c r="G84" s="387"/>
      <c r="H84" s="387"/>
      <c r="I84" s="417"/>
      <c r="J84" s="387"/>
      <c r="K84" s="387"/>
      <c r="L84" s="387"/>
      <c r="M84" s="387"/>
      <c r="N84" s="387"/>
      <c r="O84" s="377"/>
      <c r="P84" s="403"/>
      <c r="Q84" s="377"/>
      <c r="R84" s="377"/>
      <c r="S84" s="377"/>
      <c r="T84" s="377"/>
      <c r="U84" s="377"/>
      <c r="V84" s="403"/>
      <c r="W84" s="377"/>
      <c r="X84" s="377"/>
      <c r="Y84" s="377"/>
      <c r="Z84" s="390"/>
      <c r="AA84" s="390"/>
      <c r="AB84" s="390"/>
      <c r="AC84" s="390"/>
      <c r="AD84" s="377"/>
      <c r="AE84" s="377"/>
      <c r="AF84" s="377"/>
      <c r="AG84" s="377"/>
      <c r="AH84" s="390"/>
      <c r="AI84" s="390"/>
      <c r="AJ84" s="390"/>
      <c r="AK84" s="390"/>
      <c r="AL84" s="404"/>
      <c r="AM84" s="377"/>
      <c r="AN84" s="390"/>
      <c r="AO84" s="377"/>
      <c r="AP84" s="390"/>
    </row>
    <row r="85" spans="1:42">
      <c r="B85" s="91"/>
      <c r="C85" s="108"/>
      <c r="D85" s="91"/>
      <c r="E85" s="91"/>
      <c r="F85" s="91"/>
      <c r="G85" s="122"/>
      <c r="H85" s="91"/>
      <c r="I85" s="91"/>
      <c r="J85" s="91"/>
      <c r="K85" s="91"/>
      <c r="L85" s="91"/>
      <c r="M85" s="91"/>
      <c r="N85" s="91"/>
      <c r="O85" s="91"/>
      <c r="P85" s="91"/>
      <c r="Q85" s="91"/>
      <c r="R85" s="91"/>
      <c r="S85" s="91"/>
      <c r="T85" s="115"/>
      <c r="U85" s="115"/>
      <c r="V85" s="115"/>
      <c r="W85" s="115"/>
      <c r="X85" s="115"/>
      <c r="Y85" s="115"/>
      <c r="Z85" s="95"/>
      <c r="AA85" s="95"/>
      <c r="AB85" s="95"/>
      <c r="AC85" s="95"/>
      <c r="AD85" s="95"/>
      <c r="AE85" s="95"/>
      <c r="AF85" s="95"/>
      <c r="AG85" s="95"/>
      <c r="AH85" s="95"/>
      <c r="AI85" s="95"/>
      <c r="AJ85" s="95"/>
      <c r="AK85" s="95"/>
      <c r="AL85" s="95"/>
      <c r="AM85" s="95"/>
      <c r="AN85" s="95"/>
      <c r="AO85" s="95"/>
    </row>
    <row r="86" spans="1:42" ht="19.5" customHeight="1">
      <c r="B86" s="91"/>
      <c r="C86" s="92"/>
      <c r="D86" s="505" t="s">
        <v>482</v>
      </c>
      <c r="E86" s="506"/>
      <c r="F86" s="506"/>
      <c r="G86" s="507"/>
      <c r="H86" s="507"/>
      <c r="I86" s="507"/>
      <c r="J86" s="507"/>
      <c r="K86" s="507"/>
      <c r="L86" s="507"/>
      <c r="M86" s="507"/>
      <c r="N86" s="507"/>
      <c r="O86" s="507"/>
      <c r="P86" s="507"/>
      <c r="Q86" s="507"/>
      <c r="R86" s="507"/>
      <c r="S86" s="507"/>
      <c r="T86" s="507"/>
      <c r="U86" s="507"/>
      <c r="V86" s="507"/>
      <c r="W86" s="507"/>
      <c r="X86" s="507"/>
      <c r="Y86" s="508"/>
      <c r="Z86" s="93"/>
      <c r="AA86" s="93"/>
      <c r="AB86" s="93"/>
      <c r="AC86" s="93"/>
      <c r="AD86" s="93"/>
      <c r="AE86" s="357"/>
      <c r="AF86" s="378"/>
      <c r="AH86" s="94"/>
      <c r="AI86" s="94"/>
      <c r="AJ86" s="94"/>
      <c r="AK86" s="94"/>
      <c r="AL86" s="94"/>
      <c r="AM86" s="95"/>
      <c r="AN86" s="95"/>
      <c r="AO86" s="95"/>
    </row>
    <row r="87" spans="1:42" s="98" customFormat="1" ht="16.5" customHeight="1">
      <c r="A87" s="503" t="s">
        <v>216</v>
      </c>
      <c r="B87" s="503"/>
      <c r="C87" s="504"/>
      <c r="D87" s="358"/>
      <c r="E87" s="358"/>
      <c r="F87" s="358"/>
      <c r="G87" s="359" t="s">
        <v>217</v>
      </c>
      <c r="H87" s="359"/>
      <c r="I87" s="359"/>
      <c r="J87" s="359"/>
      <c r="K87" s="359"/>
      <c r="L87" s="359"/>
      <c r="M87" s="359"/>
      <c r="N87" s="359"/>
      <c r="O87" s="359"/>
      <c r="P87" s="359"/>
      <c r="Q87" s="359"/>
      <c r="R87" s="359"/>
      <c r="S87" s="359"/>
      <c r="T87" s="359"/>
      <c r="U87" s="359"/>
      <c r="V87" s="359"/>
      <c r="W87" s="359"/>
      <c r="X87" s="359"/>
      <c r="Y87" s="359"/>
      <c r="Z87" s="359"/>
      <c r="AA87" s="359"/>
      <c r="AB87" s="359"/>
      <c r="AC87" s="359"/>
      <c r="AD87" s="359"/>
      <c r="AE87" s="359"/>
      <c r="AF87" s="374"/>
      <c r="AG87" s="97"/>
      <c r="AH87" s="97"/>
      <c r="AI87" s="97"/>
      <c r="AJ87" s="97"/>
      <c r="AK87" s="97"/>
      <c r="AL87" s="97"/>
    </row>
    <row r="88" spans="1:42" s="105" customFormat="1" ht="92" customHeight="1">
      <c r="A88" s="99"/>
      <c r="B88" s="100" t="s">
        <v>218</v>
      </c>
      <c r="C88" s="101" t="s">
        <v>219</v>
      </c>
      <c r="D88" s="334" t="s">
        <v>220</v>
      </c>
      <c r="E88" s="334" t="s">
        <v>221</v>
      </c>
      <c r="F88" s="334" t="s">
        <v>222</v>
      </c>
      <c r="G88" s="341" t="s">
        <v>483</v>
      </c>
      <c r="H88" s="341" t="s">
        <v>484</v>
      </c>
      <c r="I88" s="341" t="s">
        <v>485</v>
      </c>
      <c r="J88" s="341" t="s">
        <v>486</v>
      </c>
      <c r="K88" s="341" t="s">
        <v>487</v>
      </c>
      <c r="L88" s="341" t="s">
        <v>488</v>
      </c>
      <c r="M88" s="341" t="s">
        <v>489</v>
      </c>
      <c r="N88" s="341" t="s">
        <v>490</v>
      </c>
      <c r="O88" s="341" t="s">
        <v>491</v>
      </c>
      <c r="P88" s="341" t="s">
        <v>492</v>
      </c>
      <c r="Q88" s="341" t="s">
        <v>493</v>
      </c>
      <c r="R88" s="341" t="s">
        <v>494</v>
      </c>
      <c r="S88" s="341" t="s">
        <v>495</v>
      </c>
      <c r="T88" s="341" t="s">
        <v>496</v>
      </c>
      <c r="U88" s="341" t="s">
        <v>497</v>
      </c>
      <c r="V88" s="341" t="s">
        <v>498</v>
      </c>
      <c r="W88" s="341" t="s">
        <v>499</v>
      </c>
      <c r="X88" s="341" t="s">
        <v>500</v>
      </c>
      <c r="Y88" s="341" t="s">
        <v>462</v>
      </c>
      <c r="Z88" s="341" t="s">
        <v>463</v>
      </c>
      <c r="AA88" s="341" t="s">
        <v>464</v>
      </c>
      <c r="AB88" s="341" t="s">
        <v>465</v>
      </c>
      <c r="AC88" s="341" t="s">
        <v>146</v>
      </c>
      <c r="AD88" s="341" t="s">
        <v>148</v>
      </c>
      <c r="AE88" s="341" t="s">
        <v>466</v>
      </c>
      <c r="AF88" s="401"/>
      <c r="AG88" s="94"/>
      <c r="AH88" s="103"/>
      <c r="AI88" s="103"/>
      <c r="AJ88" s="103"/>
      <c r="AK88" s="103"/>
      <c r="AL88" s="103"/>
      <c r="AM88" s="104"/>
      <c r="AN88" s="104"/>
      <c r="AO88" s="104"/>
    </row>
    <row r="89" spans="1:42" s="105" customFormat="1">
      <c r="A89" s="99"/>
      <c r="B89" s="100"/>
      <c r="C89" s="418"/>
      <c r="D89" s="334" t="s">
        <v>501</v>
      </c>
      <c r="E89" s="334" t="s">
        <v>502</v>
      </c>
      <c r="F89" s="334" t="s">
        <v>503</v>
      </c>
      <c r="G89" s="335" t="s">
        <v>504</v>
      </c>
      <c r="H89" s="335" t="s">
        <v>505</v>
      </c>
      <c r="I89" s="335" t="s">
        <v>506</v>
      </c>
      <c r="J89" s="335" t="s">
        <v>507</v>
      </c>
      <c r="K89" s="335" t="s">
        <v>508</v>
      </c>
      <c r="L89" s="335" t="s">
        <v>509</v>
      </c>
      <c r="M89" s="335" t="s">
        <v>510</v>
      </c>
      <c r="N89" s="335" t="s">
        <v>511</v>
      </c>
      <c r="O89" s="335" t="s">
        <v>512</v>
      </c>
      <c r="P89" s="335" t="s">
        <v>513</v>
      </c>
      <c r="Q89" s="335" t="s">
        <v>514</v>
      </c>
      <c r="R89" s="335" t="s">
        <v>515</v>
      </c>
      <c r="S89" s="335" t="s">
        <v>516</v>
      </c>
      <c r="T89" s="335" t="s">
        <v>517</v>
      </c>
      <c r="U89" s="335" t="s">
        <v>518</v>
      </c>
      <c r="V89" s="335" t="s">
        <v>519</v>
      </c>
      <c r="W89" s="335" t="s">
        <v>520</v>
      </c>
      <c r="X89" s="335" t="s">
        <v>521</v>
      </c>
      <c r="Y89" s="335" t="s">
        <v>445</v>
      </c>
      <c r="Z89" s="335" t="s">
        <v>446</v>
      </c>
      <c r="AA89" s="335" t="s">
        <v>447</v>
      </c>
      <c r="AB89" s="335" t="s">
        <v>448</v>
      </c>
      <c r="AC89" s="335" t="s">
        <v>449</v>
      </c>
      <c r="AD89" s="335" t="s">
        <v>450</v>
      </c>
      <c r="AE89" s="335" t="s">
        <v>451</v>
      </c>
      <c r="AF89" s="401"/>
      <c r="AG89" s="94"/>
      <c r="AH89" s="103"/>
      <c r="AI89" s="103"/>
      <c r="AJ89" s="103"/>
      <c r="AK89" s="103"/>
      <c r="AL89" s="103"/>
      <c r="AM89" s="104"/>
      <c r="AN89" s="104"/>
      <c r="AO89" s="104"/>
    </row>
    <row r="90" spans="1:42" s="95" customFormat="1" ht="13.5" customHeight="1">
      <c r="A90" s="106"/>
      <c r="B90" s="107"/>
      <c r="C90" s="108"/>
      <c r="D90" s="334" t="s">
        <v>522</v>
      </c>
      <c r="E90" s="334" t="s">
        <v>467</v>
      </c>
      <c r="F90" s="334" t="s">
        <v>467</v>
      </c>
      <c r="G90" s="341" t="s">
        <v>470</v>
      </c>
      <c r="H90" s="341" t="s">
        <v>470</v>
      </c>
      <c r="I90" s="341" t="s">
        <v>470</v>
      </c>
      <c r="J90" s="341" t="s">
        <v>523</v>
      </c>
      <c r="K90" s="341" t="s">
        <v>524</v>
      </c>
      <c r="L90" s="341" t="s">
        <v>525</v>
      </c>
      <c r="M90" s="335" t="s">
        <v>468</v>
      </c>
      <c r="N90" s="341" t="s">
        <v>468</v>
      </c>
      <c r="O90" s="341" t="s">
        <v>526</v>
      </c>
      <c r="P90" s="341" t="s">
        <v>470</v>
      </c>
      <c r="Q90" s="341" t="s">
        <v>527</v>
      </c>
      <c r="R90" s="341" t="s">
        <v>528</v>
      </c>
      <c r="S90" s="341" t="s">
        <v>527</v>
      </c>
      <c r="T90" s="341" t="s">
        <v>472</v>
      </c>
      <c r="U90" s="335" t="s">
        <v>529</v>
      </c>
      <c r="V90" s="341" t="s">
        <v>529</v>
      </c>
      <c r="W90" s="341" t="s">
        <v>530</v>
      </c>
      <c r="X90" s="341" t="s">
        <v>470</v>
      </c>
      <c r="Y90" s="341" t="s">
        <v>473</v>
      </c>
      <c r="Z90" s="341" t="s">
        <v>531</v>
      </c>
      <c r="AA90" s="341" t="s">
        <v>475</v>
      </c>
      <c r="AB90" s="341" t="s">
        <v>475</v>
      </c>
      <c r="AC90" s="335" t="s">
        <v>474</v>
      </c>
      <c r="AD90" s="341" t="s">
        <v>475</v>
      </c>
      <c r="AE90" s="341" t="s">
        <v>475</v>
      </c>
      <c r="AF90" s="378"/>
      <c r="AG90" s="94"/>
      <c r="AH90" s="94"/>
      <c r="AI90" s="94"/>
      <c r="AJ90" s="94"/>
      <c r="AK90" s="94"/>
      <c r="AL90" s="94"/>
    </row>
    <row r="91" spans="1:42">
      <c r="B91" s="110" t="s">
        <v>229</v>
      </c>
      <c r="C91" s="111" t="s">
        <v>217</v>
      </c>
      <c r="D91" s="407" t="s">
        <v>713</v>
      </c>
      <c r="E91" s="407" t="s">
        <v>648</v>
      </c>
      <c r="F91" s="407" t="s">
        <v>648</v>
      </c>
      <c r="G91" s="407" t="s">
        <v>232</v>
      </c>
      <c r="H91" s="407" t="s">
        <v>533</v>
      </c>
      <c r="I91" s="407" t="s">
        <v>533</v>
      </c>
      <c r="J91" s="407" t="s">
        <v>233</v>
      </c>
      <c r="K91" s="407" t="s">
        <v>714</v>
      </c>
      <c r="L91" s="407" t="s">
        <v>714</v>
      </c>
      <c r="M91" s="407" t="s">
        <v>156</v>
      </c>
      <c r="N91" s="407" t="s">
        <v>535</v>
      </c>
      <c r="O91" s="407"/>
      <c r="P91" s="407" t="s">
        <v>533</v>
      </c>
      <c r="Q91" s="407" t="s">
        <v>156</v>
      </c>
      <c r="R91" s="407" t="s">
        <v>235</v>
      </c>
      <c r="S91" s="407" t="s">
        <v>794</v>
      </c>
      <c r="T91" s="407"/>
      <c r="U91" s="407" t="s">
        <v>795</v>
      </c>
      <c r="V91" s="407" t="s">
        <v>796</v>
      </c>
      <c r="W91" s="407" t="s">
        <v>156</v>
      </c>
      <c r="X91" s="407"/>
      <c r="Y91" s="407" t="s">
        <v>534</v>
      </c>
      <c r="Z91" s="407">
        <v>39864.674351851849</v>
      </c>
      <c r="AA91" s="407">
        <v>440393</v>
      </c>
      <c r="AB91" s="407">
        <v>440393</v>
      </c>
      <c r="AC91" s="407">
        <v>40134.391365740739</v>
      </c>
      <c r="AD91" s="407">
        <v>330622</v>
      </c>
      <c r="AE91" s="407">
        <v>330622</v>
      </c>
      <c r="AF91" s="95"/>
      <c r="AG91" s="95"/>
      <c r="AH91" s="95"/>
      <c r="AI91" s="95"/>
      <c r="AJ91" s="95"/>
      <c r="AK91" s="95"/>
      <c r="AL91" s="95"/>
      <c r="AM91" s="95"/>
      <c r="AN91" s="95"/>
      <c r="AO91" s="95"/>
    </row>
    <row r="92" spans="1:42">
      <c r="B92" s="110" t="s">
        <v>224</v>
      </c>
      <c r="C92" s="111" t="s">
        <v>228</v>
      </c>
      <c r="D92" s="407" t="s">
        <v>713</v>
      </c>
      <c r="E92" s="407" t="s">
        <v>648</v>
      </c>
      <c r="F92" s="407" t="s">
        <v>718</v>
      </c>
      <c r="G92" s="407" t="s">
        <v>232</v>
      </c>
      <c r="H92" s="407" t="s">
        <v>533</v>
      </c>
      <c r="I92" s="407" t="s">
        <v>533</v>
      </c>
      <c r="J92" s="407" t="s">
        <v>233</v>
      </c>
      <c r="K92" s="407" t="s">
        <v>714</v>
      </c>
      <c r="L92" s="407" t="s">
        <v>714</v>
      </c>
      <c r="M92" s="407" t="s">
        <v>156</v>
      </c>
      <c r="N92" s="407" t="s">
        <v>535</v>
      </c>
      <c r="O92" s="407"/>
      <c r="P92" s="407" t="s">
        <v>533</v>
      </c>
      <c r="Q92" s="407" t="s">
        <v>156</v>
      </c>
      <c r="R92" s="407" t="s">
        <v>235</v>
      </c>
      <c r="S92" s="407" t="s">
        <v>794</v>
      </c>
      <c r="T92" s="407"/>
      <c r="U92" s="407" t="s">
        <v>795</v>
      </c>
      <c r="V92" s="407" t="s">
        <v>796</v>
      </c>
      <c r="W92" s="407" t="s">
        <v>156</v>
      </c>
      <c r="X92" s="407"/>
      <c r="Y92" s="407" t="s">
        <v>534</v>
      </c>
      <c r="Z92" s="407">
        <v>39864.674351851849</v>
      </c>
      <c r="AA92" s="407">
        <v>440393</v>
      </c>
      <c r="AB92" s="407">
        <v>440393</v>
      </c>
      <c r="AC92" s="407">
        <v>40134.391365740739</v>
      </c>
      <c r="AD92" s="407">
        <v>330622</v>
      </c>
      <c r="AE92" s="407">
        <v>330622</v>
      </c>
      <c r="AF92" s="95"/>
      <c r="AG92" s="95"/>
      <c r="AH92" s="95"/>
      <c r="AI92" s="95"/>
      <c r="AJ92" s="95"/>
      <c r="AK92" s="95"/>
      <c r="AL92" s="95"/>
      <c r="AM92" s="95"/>
      <c r="AN92" s="95"/>
      <c r="AO92" s="95"/>
    </row>
    <row r="93" spans="1:42">
      <c r="B93" s="110" t="s">
        <v>227</v>
      </c>
      <c r="C93" s="111" t="s">
        <v>228</v>
      </c>
      <c r="D93" s="407" t="s">
        <v>713</v>
      </c>
      <c r="E93" s="407" t="s">
        <v>718</v>
      </c>
      <c r="F93" s="407" t="s">
        <v>648</v>
      </c>
      <c r="G93" s="407" t="s">
        <v>232</v>
      </c>
      <c r="H93" s="407" t="s">
        <v>533</v>
      </c>
      <c r="I93" s="407" t="s">
        <v>533</v>
      </c>
      <c r="J93" s="407" t="s">
        <v>233</v>
      </c>
      <c r="K93" s="407" t="s">
        <v>714</v>
      </c>
      <c r="L93" s="407" t="s">
        <v>714</v>
      </c>
      <c r="M93" s="407" t="s">
        <v>156</v>
      </c>
      <c r="N93" s="407" t="s">
        <v>535</v>
      </c>
      <c r="O93" s="407"/>
      <c r="P93" s="407" t="s">
        <v>533</v>
      </c>
      <c r="Q93" s="407" t="s">
        <v>156</v>
      </c>
      <c r="R93" s="407" t="s">
        <v>235</v>
      </c>
      <c r="S93" s="407" t="s">
        <v>794</v>
      </c>
      <c r="T93" s="407"/>
      <c r="U93" s="407" t="s">
        <v>795</v>
      </c>
      <c r="V93" s="407" t="s">
        <v>796</v>
      </c>
      <c r="W93" s="407" t="s">
        <v>156</v>
      </c>
      <c r="X93" s="407"/>
      <c r="Y93" s="407" t="s">
        <v>534</v>
      </c>
      <c r="Z93" s="407">
        <v>39864.674351851849</v>
      </c>
      <c r="AA93" s="407">
        <v>440393</v>
      </c>
      <c r="AB93" s="407">
        <v>440393</v>
      </c>
      <c r="AC93" s="407">
        <v>40134.391365740739</v>
      </c>
      <c r="AD93" s="407">
        <v>330622</v>
      </c>
      <c r="AE93" s="407">
        <v>330622</v>
      </c>
      <c r="AF93" s="95"/>
      <c r="AG93" s="95"/>
      <c r="AH93" s="95"/>
      <c r="AI93" s="95"/>
      <c r="AJ93" s="95"/>
      <c r="AK93" s="95"/>
      <c r="AL93" s="95"/>
      <c r="AM93" s="95"/>
      <c r="AN93" s="95"/>
      <c r="AO93" s="95"/>
    </row>
    <row r="94" spans="1:42" ht="15" customHeight="1">
      <c r="A94" s="435"/>
      <c r="B94" s="110">
        <v>4</v>
      </c>
      <c r="C94" s="111" t="s">
        <v>228</v>
      </c>
      <c r="D94" s="407" t="s">
        <v>713</v>
      </c>
      <c r="E94" s="407">
        <v>6206</v>
      </c>
      <c r="F94" s="407" t="s">
        <v>719</v>
      </c>
      <c r="G94" s="407" t="s">
        <v>232</v>
      </c>
      <c r="H94" s="407" t="s">
        <v>533</v>
      </c>
      <c r="I94" s="407" t="s">
        <v>533</v>
      </c>
      <c r="J94" s="407" t="s">
        <v>233</v>
      </c>
      <c r="K94" s="407" t="s">
        <v>714</v>
      </c>
      <c r="L94" s="407" t="s">
        <v>714</v>
      </c>
      <c r="M94" s="407" t="s">
        <v>156</v>
      </c>
      <c r="N94" s="407" t="s">
        <v>535</v>
      </c>
      <c r="O94" s="407"/>
      <c r="P94" s="407" t="s">
        <v>533</v>
      </c>
      <c r="Q94" s="407" t="s">
        <v>156</v>
      </c>
      <c r="R94" s="407" t="s">
        <v>235</v>
      </c>
      <c r="S94" s="407" t="s">
        <v>794</v>
      </c>
      <c r="T94" s="407"/>
      <c r="U94" s="407" t="s">
        <v>795</v>
      </c>
      <c r="V94" s="407" t="s">
        <v>796</v>
      </c>
      <c r="W94" s="407" t="s">
        <v>156</v>
      </c>
      <c r="X94" s="407"/>
      <c r="Y94" s="407" t="s">
        <v>534</v>
      </c>
      <c r="Z94" s="407">
        <v>39864.674351851849</v>
      </c>
      <c r="AA94" s="407">
        <v>440393</v>
      </c>
      <c r="AB94" s="407">
        <v>440393</v>
      </c>
      <c r="AC94" s="407">
        <v>40134.391365740739</v>
      </c>
      <c r="AD94" s="407">
        <v>330622</v>
      </c>
      <c r="AE94" s="407">
        <v>330622</v>
      </c>
      <c r="AF94" s="378"/>
      <c r="AG94" s="378"/>
      <c r="AH94" s="378"/>
      <c r="AI94" s="378"/>
      <c r="AJ94" s="378"/>
      <c r="AK94" s="378"/>
      <c r="AL94" s="378"/>
      <c r="AM94" s="378"/>
      <c r="AN94" s="95"/>
      <c r="AO94" s="95"/>
    </row>
    <row r="95" spans="1:42" ht="15" customHeight="1">
      <c r="A95" s="435"/>
      <c r="B95" s="435"/>
      <c r="C95" s="435"/>
      <c r="D95" s="435"/>
      <c r="E95" s="435"/>
      <c r="F95" s="419"/>
      <c r="G95" s="419"/>
      <c r="H95" s="419"/>
      <c r="I95" s="419"/>
      <c r="J95" s="419"/>
      <c r="K95" s="419"/>
      <c r="L95" s="419"/>
      <c r="M95" s="419"/>
      <c r="N95" s="419"/>
      <c r="O95" s="419"/>
      <c r="P95" s="419"/>
      <c r="Q95" s="419"/>
      <c r="R95" s="419"/>
      <c r="S95" s="419"/>
      <c r="T95" s="379"/>
      <c r="U95" s="379"/>
      <c r="V95" s="379"/>
      <c r="W95" s="379"/>
      <c r="X95" s="379"/>
      <c r="Y95" s="379"/>
      <c r="Z95" s="378"/>
      <c r="AA95" s="378"/>
      <c r="AB95" s="378"/>
      <c r="AC95" s="378"/>
      <c r="AD95" s="378"/>
      <c r="AE95" s="378"/>
      <c r="AF95" s="378"/>
      <c r="AG95" s="378"/>
      <c r="AH95" s="378"/>
      <c r="AI95" s="378"/>
      <c r="AJ95" s="378"/>
      <c r="AK95" s="378"/>
      <c r="AL95" s="378"/>
      <c r="AM95" s="378"/>
      <c r="AN95" s="95"/>
      <c r="AO95" s="95"/>
    </row>
    <row r="96" spans="1:42">
      <c r="A96" s="333"/>
      <c r="B96" s="419"/>
      <c r="C96" s="420"/>
      <c r="D96" s="419"/>
      <c r="E96" s="419"/>
      <c r="F96" s="419"/>
      <c r="G96" s="419"/>
      <c r="H96" s="419"/>
      <c r="I96" s="419"/>
      <c r="J96" s="419"/>
      <c r="K96" s="419"/>
      <c r="L96" s="419"/>
      <c r="M96" s="419"/>
      <c r="N96" s="419"/>
      <c r="O96" s="419"/>
      <c r="P96" s="419"/>
      <c r="Q96" s="419"/>
      <c r="R96" s="419"/>
      <c r="S96" s="419"/>
      <c r="T96" s="379"/>
      <c r="U96" s="379"/>
      <c r="V96" s="379"/>
      <c r="W96" s="379"/>
      <c r="X96" s="379"/>
      <c r="Y96" s="379"/>
      <c r="Z96" s="378"/>
      <c r="AA96" s="378"/>
      <c r="AB96" s="378"/>
      <c r="AC96" s="378"/>
      <c r="AD96" s="378"/>
      <c r="AE96" s="378"/>
      <c r="AF96" s="378"/>
      <c r="AG96" s="378"/>
      <c r="AH96" s="378"/>
      <c r="AI96" s="378"/>
      <c r="AJ96" s="378"/>
      <c r="AK96" s="378"/>
      <c r="AL96" s="378"/>
      <c r="AM96" s="378"/>
      <c r="AN96" s="95"/>
      <c r="AO96" s="95"/>
    </row>
    <row r="97" spans="1:41" ht="19.5" customHeight="1">
      <c r="A97" s="333"/>
      <c r="B97" s="419"/>
      <c r="C97" s="422"/>
      <c r="D97" s="382"/>
      <c r="E97" s="382"/>
      <c r="F97" s="382"/>
      <c r="G97" s="382"/>
      <c r="H97" s="382"/>
      <c r="I97" s="382"/>
      <c r="J97" s="382"/>
      <c r="K97" s="382"/>
      <c r="L97" s="382"/>
      <c r="M97" s="382"/>
      <c r="N97" s="382"/>
      <c r="O97" s="382"/>
      <c r="P97" s="382"/>
      <c r="Q97" s="382"/>
      <c r="R97" s="382"/>
      <c r="S97" s="382"/>
      <c r="T97" s="382"/>
      <c r="U97" s="382"/>
      <c r="V97" s="382"/>
      <c r="W97" s="382"/>
      <c r="X97" s="382"/>
      <c r="Y97" s="382"/>
      <c r="Z97" s="378"/>
      <c r="AA97" s="378"/>
      <c r="AB97" s="378"/>
      <c r="AC97" s="378"/>
      <c r="AD97" s="378"/>
      <c r="AE97" s="378"/>
      <c r="AF97" s="378"/>
      <c r="AG97" s="378"/>
      <c r="AH97" s="378"/>
      <c r="AI97" s="378"/>
      <c r="AJ97" s="378"/>
      <c r="AK97" s="378"/>
      <c r="AL97" s="378"/>
      <c r="AM97" s="378"/>
      <c r="AN97" s="95"/>
      <c r="AO97" s="95"/>
    </row>
    <row r="98" spans="1:41" s="98" customFormat="1" ht="16.5" customHeight="1">
      <c r="A98" s="436"/>
      <c r="B98" s="436"/>
      <c r="C98" s="436"/>
      <c r="D98" s="373"/>
      <c r="E98" s="373"/>
      <c r="F98" s="373"/>
      <c r="G98" s="373"/>
      <c r="H98" s="373"/>
      <c r="I98" s="373"/>
      <c r="J98" s="372"/>
      <c r="K98" s="372"/>
      <c r="L98" s="372"/>
      <c r="M98" s="372"/>
      <c r="N98" s="372"/>
      <c r="O98" s="372"/>
      <c r="P98" s="372"/>
      <c r="Q98" s="372"/>
      <c r="R98" s="372"/>
      <c r="S98" s="372"/>
      <c r="T98" s="372"/>
      <c r="U98" s="372"/>
      <c r="V98" s="373"/>
      <c r="W98" s="373"/>
      <c r="X98" s="373"/>
      <c r="Y98" s="373"/>
      <c r="Z98" s="374"/>
      <c r="AA98" s="374"/>
      <c r="AB98" s="374"/>
      <c r="AC98" s="374"/>
      <c r="AD98" s="374"/>
      <c r="AE98" s="374"/>
      <c r="AF98" s="374"/>
      <c r="AG98" s="374"/>
      <c r="AH98" s="374"/>
      <c r="AI98" s="374"/>
      <c r="AJ98" s="374"/>
      <c r="AK98" s="374"/>
      <c r="AL98" s="374"/>
      <c r="AM98" s="374"/>
    </row>
    <row r="99" spans="1:41" s="105" customFormat="1" ht="93.75" customHeight="1">
      <c r="A99" s="423"/>
      <c r="B99" s="424"/>
      <c r="C99" s="425"/>
      <c r="D99" s="426"/>
      <c r="E99" s="427"/>
      <c r="F99" s="397"/>
      <c r="G99" s="426"/>
      <c r="H99" s="427"/>
      <c r="I99" s="426"/>
      <c r="J99" s="397"/>
      <c r="K99" s="396"/>
      <c r="L99" s="427"/>
      <c r="M99" s="396"/>
      <c r="N99" s="399"/>
      <c r="O99" s="396"/>
      <c r="P99" s="397"/>
      <c r="Q99" s="426"/>
      <c r="R99" s="397"/>
      <c r="S99" s="398"/>
      <c r="T99" s="399"/>
      <c r="U99" s="399"/>
      <c r="V99" s="398"/>
      <c r="W99" s="428"/>
      <c r="X99" s="428"/>
      <c r="Y99" s="398"/>
      <c r="Z99" s="400"/>
      <c r="AA99" s="400"/>
      <c r="AB99" s="401"/>
      <c r="AC99" s="401"/>
      <c r="AD99" s="401"/>
      <c r="AE99" s="401"/>
      <c r="AF99" s="401"/>
      <c r="AG99" s="401"/>
      <c r="AH99" s="400"/>
      <c r="AI99" s="400"/>
      <c r="AJ99" s="400"/>
      <c r="AK99" s="400"/>
      <c r="AL99" s="400"/>
      <c r="AM99" s="429"/>
      <c r="AN99" s="104"/>
      <c r="AO99" s="104"/>
    </row>
    <row r="100" spans="1:41" s="95" customFormat="1" ht="13.5" customHeight="1">
      <c r="A100" s="430"/>
      <c r="B100" s="431"/>
      <c r="C100" s="420"/>
      <c r="D100" s="377"/>
      <c r="E100" s="376"/>
      <c r="F100" s="376"/>
      <c r="G100" s="376"/>
      <c r="H100" s="376"/>
      <c r="I100" s="376"/>
      <c r="J100" s="377"/>
      <c r="K100" s="376"/>
      <c r="L100" s="377"/>
      <c r="M100" s="377"/>
      <c r="N100" s="377"/>
      <c r="O100" s="376"/>
      <c r="P100" s="376"/>
      <c r="Q100" s="377"/>
      <c r="R100" s="377"/>
      <c r="S100" s="377"/>
      <c r="T100" s="376"/>
      <c r="U100" s="376"/>
      <c r="V100" s="376"/>
      <c r="W100" s="377"/>
      <c r="X100" s="377"/>
      <c r="Y100" s="377"/>
      <c r="Z100" s="377"/>
      <c r="AA100" s="378"/>
      <c r="AB100" s="378"/>
      <c r="AC100" s="378"/>
      <c r="AD100" s="378"/>
      <c r="AE100" s="378"/>
      <c r="AF100" s="378"/>
      <c r="AG100" s="378"/>
      <c r="AH100" s="378"/>
      <c r="AI100" s="378"/>
      <c r="AJ100" s="378"/>
      <c r="AK100" s="378"/>
      <c r="AL100" s="378"/>
      <c r="AM100" s="378"/>
    </row>
    <row r="101" spans="1:41" ht="13.5" customHeight="1">
      <c r="A101" s="432"/>
      <c r="B101" s="433"/>
      <c r="C101" s="434"/>
      <c r="D101" s="377"/>
      <c r="E101" s="377"/>
      <c r="F101" s="377"/>
      <c r="G101" s="377"/>
      <c r="H101" s="414"/>
      <c r="I101" s="377"/>
      <c r="J101" s="377"/>
      <c r="K101" s="377"/>
      <c r="L101" s="377"/>
      <c r="M101" s="377"/>
      <c r="N101" s="377"/>
      <c r="O101" s="377"/>
      <c r="P101" s="403"/>
      <c r="Q101" s="377"/>
      <c r="R101" s="377"/>
      <c r="S101" s="377"/>
      <c r="T101" s="377"/>
      <c r="U101" s="377"/>
      <c r="V101" s="377"/>
      <c r="W101" s="377"/>
      <c r="X101" s="377"/>
      <c r="Y101" s="377"/>
      <c r="Z101" s="377"/>
      <c r="AA101" s="377"/>
      <c r="AB101" s="378"/>
      <c r="AC101" s="379"/>
      <c r="AD101" s="378"/>
      <c r="AE101" s="379"/>
      <c r="AF101" s="378"/>
      <c r="AG101" s="378"/>
      <c r="AH101" s="377"/>
      <c r="AI101" s="379"/>
      <c r="AJ101" s="378"/>
      <c r="AK101" s="378"/>
      <c r="AL101" s="378"/>
      <c r="AM101" s="378"/>
      <c r="AN101" s="95"/>
      <c r="AO101" s="95"/>
    </row>
    <row r="102" spans="1:41" ht="13.5" customHeight="1">
      <c r="A102" s="432"/>
      <c r="B102" s="433"/>
      <c r="C102" s="434"/>
      <c r="D102" s="377"/>
      <c r="E102" s="377"/>
      <c r="F102" s="377"/>
      <c r="G102" s="377"/>
      <c r="H102" s="414"/>
      <c r="I102" s="377"/>
      <c r="J102" s="377"/>
      <c r="K102" s="377"/>
      <c r="L102" s="377"/>
      <c r="M102" s="377"/>
      <c r="N102" s="377"/>
      <c r="O102" s="377"/>
      <c r="P102" s="403"/>
      <c r="Q102" s="377"/>
      <c r="R102" s="377"/>
      <c r="S102" s="377"/>
      <c r="T102" s="377"/>
      <c r="U102" s="377"/>
      <c r="V102" s="377"/>
      <c r="W102" s="377"/>
      <c r="X102" s="377"/>
      <c r="Y102" s="377"/>
      <c r="Z102" s="377"/>
      <c r="AA102" s="377"/>
      <c r="AB102" s="378"/>
      <c r="AC102" s="379"/>
      <c r="AD102" s="378"/>
      <c r="AE102" s="379"/>
      <c r="AF102" s="378"/>
      <c r="AG102" s="378"/>
      <c r="AH102" s="377"/>
      <c r="AI102" s="379"/>
      <c r="AJ102" s="378"/>
      <c r="AK102" s="378"/>
      <c r="AL102" s="378"/>
      <c r="AM102" s="378"/>
      <c r="AN102" s="95"/>
      <c r="AO102" s="95"/>
    </row>
    <row r="103" spans="1:41" ht="13.5" customHeight="1">
      <c r="A103" s="432"/>
      <c r="B103" s="433"/>
      <c r="C103" s="434"/>
      <c r="D103" s="377"/>
      <c r="E103" s="377"/>
      <c r="F103" s="377"/>
      <c r="G103" s="377"/>
      <c r="H103" s="414"/>
      <c r="I103" s="377"/>
      <c r="J103" s="377"/>
      <c r="K103" s="377"/>
      <c r="L103" s="377"/>
      <c r="M103" s="377"/>
      <c r="N103" s="377"/>
      <c r="O103" s="377"/>
      <c r="P103" s="403"/>
      <c r="Q103" s="377"/>
      <c r="R103" s="377"/>
      <c r="S103" s="377"/>
      <c r="T103" s="377"/>
      <c r="U103" s="377"/>
      <c r="V103" s="377"/>
      <c r="W103" s="377"/>
      <c r="X103" s="377"/>
      <c r="Y103" s="377"/>
      <c r="Z103" s="377"/>
      <c r="AA103" s="377"/>
      <c r="AB103" s="378"/>
      <c r="AC103" s="379"/>
      <c r="AD103" s="378"/>
      <c r="AE103" s="379"/>
      <c r="AF103" s="378"/>
      <c r="AG103" s="378"/>
      <c r="AH103" s="378"/>
      <c r="AI103" s="379"/>
      <c r="AJ103" s="378"/>
      <c r="AK103" s="379"/>
      <c r="AL103" s="378"/>
      <c r="AM103" s="378"/>
      <c r="AN103" s="95"/>
      <c r="AO103" s="95"/>
    </row>
    <row r="104" spans="1:41">
      <c r="A104" s="333"/>
      <c r="B104" s="419"/>
      <c r="C104" s="420"/>
      <c r="D104" s="419"/>
      <c r="E104" s="419"/>
      <c r="F104" s="419"/>
      <c r="G104" s="419"/>
      <c r="H104" s="419"/>
      <c r="I104" s="419"/>
      <c r="J104" s="419"/>
      <c r="K104" s="419"/>
      <c r="L104" s="419"/>
      <c r="M104" s="419"/>
      <c r="N104" s="419"/>
      <c r="O104" s="419"/>
      <c r="P104" s="419"/>
      <c r="Q104" s="419"/>
      <c r="R104" s="419"/>
      <c r="S104" s="419"/>
      <c r="T104" s="379"/>
      <c r="U104" s="379"/>
      <c r="V104" s="379"/>
      <c r="W104" s="379"/>
      <c r="X104" s="379"/>
      <c r="Y104" s="379"/>
      <c r="Z104" s="378"/>
      <c r="AA104" s="378"/>
      <c r="AB104" s="378"/>
      <c r="AC104" s="378"/>
      <c r="AD104" s="378"/>
      <c r="AE104" s="378"/>
      <c r="AF104" s="378"/>
      <c r="AG104" s="378"/>
      <c r="AH104" s="378"/>
      <c r="AI104" s="378"/>
      <c r="AJ104" s="378"/>
      <c r="AK104" s="378"/>
      <c r="AL104" s="378"/>
      <c r="AM104" s="378"/>
      <c r="AN104" s="95"/>
      <c r="AO104" s="95"/>
    </row>
    <row r="105" spans="1:41">
      <c r="A105" s="333"/>
      <c r="B105" s="419"/>
      <c r="C105" s="420"/>
      <c r="D105" s="419"/>
      <c r="E105" s="419"/>
      <c r="F105" s="419"/>
      <c r="G105" s="419"/>
      <c r="H105" s="419"/>
      <c r="I105" s="419"/>
      <c r="J105" s="419"/>
      <c r="K105" s="419"/>
      <c r="L105" s="419"/>
      <c r="M105" s="419"/>
      <c r="N105" s="419"/>
      <c r="O105" s="419"/>
      <c r="P105" s="419"/>
      <c r="Q105" s="419"/>
      <c r="R105" s="419"/>
      <c r="S105" s="419"/>
      <c r="T105" s="379"/>
      <c r="U105" s="379"/>
      <c r="V105" s="379"/>
      <c r="W105" s="379"/>
      <c r="X105" s="379"/>
      <c r="Y105" s="379"/>
      <c r="Z105" s="378"/>
      <c r="AA105" s="378"/>
      <c r="AB105" s="378"/>
      <c r="AC105" s="378"/>
      <c r="AD105" s="378"/>
      <c r="AE105" s="378"/>
      <c r="AF105" s="378"/>
      <c r="AG105" s="378"/>
      <c r="AH105" s="378"/>
      <c r="AI105" s="378"/>
      <c r="AJ105" s="378"/>
      <c r="AK105" s="378"/>
      <c r="AL105" s="378"/>
      <c r="AM105" s="378"/>
      <c r="AN105" s="95"/>
      <c r="AO105" s="95"/>
    </row>
    <row r="106" spans="1:41">
      <c r="A106" s="333"/>
      <c r="B106" s="419"/>
      <c r="C106" s="420"/>
      <c r="D106" s="419"/>
      <c r="E106" s="419"/>
      <c r="F106" s="419"/>
      <c r="G106" s="419"/>
      <c r="H106" s="419"/>
      <c r="I106" s="419"/>
      <c r="J106" s="419"/>
      <c r="K106" s="419"/>
      <c r="L106" s="419"/>
      <c r="M106" s="419"/>
      <c r="N106" s="419"/>
      <c r="O106" s="419"/>
      <c r="P106" s="419"/>
      <c r="Q106" s="419"/>
      <c r="R106" s="419"/>
      <c r="S106" s="419"/>
      <c r="T106" s="379"/>
      <c r="U106" s="379"/>
      <c r="V106" s="379"/>
      <c r="W106" s="379"/>
      <c r="X106" s="379"/>
      <c r="Y106" s="379"/>
      <c r="Z106" s="378"/>
      <c r="AA106" s="378"/>
      <c r="AB106" s="378"/>
      <c r="AC106" s="378"/>
      <c r="AD106" s="378"/>
      <c r="AE106" s="378"/>
      <c r="AF106" s="378"/>
      <c r="AG106" s="378"/>
      <c r="AH106" s="378"/>
      <c r="AI106" s="378"/>
      <c r="AJ106" s="378"/>
      <c r="AK106" s="378"/>
      <c r="AL106" s="378"/>
      <c r="AM106" s="378"/>
      <c r="AN106" s="95"/>
      <c r="AO106" s="95"/>
    </row>
    <row r="107" spans="1:41">
      <c r="A107" s="333"/>
      <c r="B107" s="419"/>
      <c r="C107" s="420"/>
      <c r="D107" s="419"/>
      <c r="E107" s="419"/>
      <c r="F107" s="419"/>
      <c r="G107" s="419"/>
      <c r="H107" s="419"/>
      <c r="I107" s="419"/>
      <c r="J107" s="419"/>
      <c r="K107" s="419"/>
      <c r="L107" s="419"/>
      <c r="M107" s="419"/>
      <c r="N107" s="419"/>
      <c r="O107" s="419"/>
      <c r="P107" s="419"/>
      <c r="Q107" s="419"/>
      <c r="R107" s="419"/>
      <c r="S107" s="419"/>
      <c r="T107" s="379"/>
      <c r="U107" s="379"/>
      <c r="V107" s="379"/>
      <c r="W107" s="379"/>
      <c r="X107" s="379"/>
      <c r="Y107" s="379"/>
      <c r="Z107" s="378"/>
      <c r="AA107" s="378"/>
      <c r="AB107" s="378"/>
      <c r="AC107" s="378"/>
      <c r="AD107" s="378"/>
      <c r="AE107" s="378"/>
      <c r="AF107" s="378"/>
      <c r="AG107" s="378"/>
      <c r="AH107" s="378"/>
      <c r="AI107" s="378"/>
      <c r="AJ107" s="378"/>
      <c r="AK107" s="378"/>
      <c r="AL107" s="378"/>
      <c r="AM107" s="378"/>
      <c r="AN107" s="95"/>
      <c r="AO107" s="95"/>
    </row>
    <row r="108" spans="1:41">
      <c r="A108" s="333"/>
      <c r="B108" s="419"/>
      <c r="C108" s="420"/>
      <c r="D108" s="419"/>
      <c r="E108" s="419"/>
      <c r="F108" s="419"/>
      <c r="G108" s="419"/>
      <c r="H108" s="419"/>
      <c r="I108" s="419"/>
      <c r="J108" s="419"/>
      <c r="K108" s="419"/>
      <c r="L108" s="419"/>
      <c r="M108" s="419"/>
      <c r="N108" s="419"/>
      <c r="O108" s="419"/>
      <c r="P108" s="419"/>
      <c r="Q108" s="419"/>
      <c r="R108" s="419"/>
      <c r="S108" s="419"/>
      <c r="T108" s="379"/>
      <c r="U108" s="379"/>
      <c r="V108" s="379"/>
      <c r="W108" s="379"/>
      <c r="X108" s="379"/>
      <c r="Y108" s="379"/>
      <c r="Z108" s="378"/>
      <c r="AA108" s="378"/>
      <c r="AB108" s="378"/>
      <c r="AC108" s="378"/>
      <c r="AD108" s="378"/>
      <c r="AE108" s="378"/>
      <c r="AF108" s="378"/>
      <c r="AG108" s="378"/>
      <c r="AH108" s="378"/>
      <c r="AI108" s="378"/>
      <c r="AJ108" s="378"/>
      <c r="AK108" s="378"/>
      <c r="AL108" s="378"/>
      <c r="AM108" s="378"/>
      <c r="AN108" s="95"/>
      <c r="AO108" s="95"/>
    </row>
    <row r="109" spans="1:41">
      <c r="A109" s="333"/>
      <c r="B109" s="333"/>
      <c r="C109" s="333"/>
      <c r="D109" s="421"/>
      <c r="E109" s="421"/>
      <c r="F109" s="421"/>
      <c r="G109" s="421"/>
      <c r="H109" s="421"/>
      <c r="I109" s="421"/>
      <c r="J109" s="421"/>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row>
    <row r="110" spans="1:41">
      <c r="A110" s="333"/>
      <c r="B110" s="333"/>
      <c r="C110" s="333"/>
      <c r="D110" s="421"/>
      <c r="E110" s="421"/>
      <c r="F110" s="421"/>
      <c r="G110" s="421"/>
      <c r="H110" s="421"/>
      <c r="I110" s="421"/>
      <c r="J110" s="421"/>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row>
  </sheetData>
  <mergeCells count="9">
    <mergeCell ref="A60:C60"/>
    <mergeCell ref="A72:C72"/>
    <mergeCell ref="D86:Y86"/>
    <mergeCell ref="A87:C87"/>
    <mergeCell ref="B2:K2"/>
    <mergeCell ref="A12:C12"/>
    <mergeCell ref="A27:C27"/>
    <mergeCell ref="D47:S47"/>
    <mergeCell ref="A48:C48"/>
  </mergeCells>
  <phoneticPr fontId="3"/>
  <hyperlinks>
    <hyperlink ref="A1" location="TCS!A1" display="戻る" xr:uid="{1895600D-5CAE-4E6A-8C52-05C0A34722D0}"/>
  </hyperlinks>
  <pageMargins left="0.75" right="0.75" top="1" bottom="1" header="0.51200000000000001" footer="0.51200000000000001"/>
  <pageSetup paperSize="9" orientation="portrait"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2184B-F84A-4EEC-859E-456D0151E16C}">
  <dimension ref="A1:M60"/>
  <sheetViews>
    <sheetView showGridLines="0" zoomScaleNormal="100" workbookViewId="0">
      <pane ySplit="3" topLeftCell="A4" activePane="bottomLeft" state="frozen"/>
      <selection activeCell="H40" sqref="H40"/>
      <selection pane="bottomLeft"/>
    </sheetView>
  </sheetViews>
  <sheetFormatPr defaultColWidth="9" defaultRowHeight="15"/>
  <cols>
    <col min="1" max="1" width="9.36328125" style="28" customWidth="1"/>
    <col min="2" max="2" width="7.453125" style="28" customWidth="1"/>
    <col min="3" max="3" width="10.453125" style="28" customWidth="1"/>
    <col min="4" max="4" width="20.1796875" style="30" customWidth="1"/>
    <col min="5" max="5" width="18.81640625" style="30" customWidth="1"/>
    <col min="6" max="6" width="35" style="30" customWidth="1"/>
    <col min="7" max="7" width="22.36328125" style="30" customWidth="1"/>
    <col min="8" max="12" width="9" style="30"/>
    <col min="13" max="13" width="5" style="30" customWidth="1"/>
    <col min="14" max="16384" width="9" style="28"/>
  </cols>
  <sheetData>
    <row r="1" spans="1:13">
      <c r="A1" s="319" t="s">
        <v>118</v>
      </c>
    </row>
    <row r="2" spans="1:13" ht="33" thickBot="1">
      <c r="A2" s="31"/>
      <c r="B2" s="32" t="s">
        <v>119</v>
      </c>
      <c r="C2" s="33"/>
      <c r="D2" s="33"/>
      <c r="E2" s="33"/>
      <c r="F2" s="33"/>
      <c r="G2" s="33"/>
      <c r="H2" s="33"/>
      <c r="I2" s="33"/>
      <c r="J2" s="33"/>
      <c r="K2" s="33"/>
      <c r="L2" s="33"/>
      <c r="M2" s="33"/>
    </row>
    <row r="3" spans="1:13" ht="16" thickTop="1" thickBot="1">
      <c r="B3" s="34" t="s">
        <v>120</v>
      </c>
      <c r="C3" s="34" t="s">
        <v>121</v>
      </c>
      <c r="D3" s="34"/>
      <c r="E3" s="35"/>
    </row>
    <row r="4" spans="1:13">
      <c r="B4" s="318" t="s">
        <v>403</v>
      </c>
      <c r="C4" s="37" t="s">
        <v>402</v>
      </c>
      <c r="D4" s="37"/>
      <c r="E4" s="37"/>
      <c r="F4" s="37"/>
      <c r="G4" s="37"/>
      <c r="H4" s="37"/>
      <c r="I4" s="37"/>
      <c r="J4" s="37"/>
      <c r="K4" s="37"/>
      <c r="L4" s="37"/>
      <c r="M4" s="38"/>
    </row>
    <row r="5" spans="1:13">
      <c r="B5" s="43"/>
      <c r="C5" s="44"/>
      <c r="D5" s="44"/>
      <c r="E5" s="44"/>
      <c r="F5" s="44"/>
      <c r="G5" s="44"/>
      <c r="H5" s="44"/>
      <c r="I5" s="44"/>
      <c r="J5" s="44"/>
      <c r="K5" s="44"/>
      <c r="L5" s="44"/>
      <c r="M5" s="45"/>
    </row>
    <row r="6" spans="1:13">
      <c r="B6" s="46"/>
      <c r="C6" s="329" t="s">
        <v>124</v>
      </c>
      <c r="D6" s="329" t="s">
        <v>405</v>
      </c>
      <c r="E6" s="49"/>
      <c r="F6" s="50"/>
      <c r="G6" s="50"/>
      <c r="H6" s="50"/>
      <c r="I6" s="50"/>
      <c r="J6" s="50"/>
      <c r="K6" s="50"/>
      <c r="L6" s="50"/>
      <c r="M6" s="51"/>
    </row>
    <row r="7" spans="1:13" s="52" customFormat="1" ht="13.5">
      <c r="B7" s="43"/>
      <c r="C7" s="326" t="s">
        <v>126</v>
      </c>
      <c r="D7" s="44"/>
      <c r="E7" s="44"/>
      <c r="F7" s="44"/>
      <c r="G7" s="44"/>
      <c r="H7" s="44"/>
      <c r="I7" s="44"/>
      <c r="J7" s="44"/>
      <c r="K7" s="44"/>
      <c r="L7" s="44"/>
      <c r="M7" s="45"/>
    </row>
    <row r="8" spans="1:13" s="52" customFormat="1" ht="13.5">
      <c r="B8" s="43"/>
      <c r="C8" s="326" t="s">
        <v>995</v>
      </c>
      <c r="D8" s="321"/>
      <c r="E8" s="322"/>
      <c r="F8" s="322"/>
      <c r="G8" s="321"/>
      <c r="H8" s="44"/>
      <c r="I8" s="44"/>
      <c r="J8" s="44"/>
      <c r="K8" s="44"/>
      <c r="L8" s="44"/>
      <c r="M8" s="45"/>
    </row>
    <row r="9" spans="1:13" s="52" customFormat="1" ht="13.5">
      <c r="B9" s="43"/>
      <c r="C9" s="331"/>
      <c r="D9" s="321"/>
      <c r="E9" s="322"/>
      <c r="F9" s="322"/>
      <c r="G9" s="321"/>
      <c r="H9" s="44"/>
      <c r="I9" s="44"/>
      <c r="J9" s="44"/>
      <c r="K9" s="44"/>
      <c r="L9" s="44"/>
      <c r="M9" s="45"/>
    </row>
    <row r="10" spans="1:13" s="52" customFormat="1" ht="13.5">
      <c r="B10" s="43"/>
      <c r="C10" s="324" t="s">
        <v>153</v>
      </c>
      <c r="D10" s="321"/>
      <c r="E10" s="322"/>
      <c r="F10" s="323"/>
      <c r="G10" s="321"/>
      <c r="H10" s="44"/>
      <c r="I10" s="44"/>
      <c r="J10" s="44"/>
      <c r="K10" s="44"/>
      <c r="L10" s="44"/>
      <c r="M10" s="45"/>
    </row>
    <row r="11" spans="1:13" s="52" customFormat="1" ht="13.5">
      <c r="B11" s="43"/>
      <c r="C11" s="330" t="s">
        <v>154</v>
      </c>
      <c r="D11" s="330" t="s">
        <v>155</v>
      </c>
      <c r="E11" s="330" t="s">
        <v>157</v>
      </c>
      <c r="F11" s="330" t="s">
        <v>159</v>
      </c>
      <c r="G11" s="330" t="s">
        <v>409</v>
      </c>
      <c r="H11" s="330"/>
      <c r="I11" s="44"/>
      <c r="J11" s="44"/>
      <c r="K11" s="44"/>
      <c r="L11" s="44"/>
      <c r="M11" s="45"/>
    </row>
    <row r="12" spans="1:13" s="52" customFormat="1" ht="13.5">
      <c r="B12" s="43"/>
      <c r="C12" s="330">
        <v>-2</v>
      </c>
      <c r="D12" s="330" t="s">
        <v>156</v>
      </c>
      <c r="E12" s="330" t="s">
        <v>942</v>
      </c>
      <c r="F12" s="330" t="s">
        <v>410</v>
      </c>
      <c r="G12" s="330" t="s">
        <v>677</v>
      </c>
      <c r="H12" s="330"/>
      <c r="I12" s="44"/>
      <c r="J12" s="44"/>
      <c r="K12" s="44"/>
      <c r="L12" s="44"/>
      <c r="M12" s="45"/>
    </row>
    <row r="13" spans="1:13" s="52" customFormat="1" ht="13.5">
      <c r="B13" s="43"/>
      <c r="C13" s="332"/>
      <c r="D13" s="321"/>
      <c r="E13" s="322"/>
      <c r="F13" s="322"/>
      <c r="G13" s="321"/>
      <c r="H13" s="44"/>
      <c r="I13" s="44"/>
      <c r="J13" s="44"/>
      <c r="K13" s="44"/>
      <c r="L13" s="44"/>
      <c r="M13" s="45"/>
    </row>
    <row r="14" spans="1:13">
      <c r="B14" s="46"/>
      <c r="C14" s="329" t="s">
        <v>124</v>
      </c>
      <c r="D14" s="48" t="s">
        <v>407</v>
      </c>
      <c r="E14" s="49"/>
      <c r="F14" s="50"/>
      <c r="G14" s="50"/>
      <c r="H14" s="50"/>
      <c r="I14" s="50"/>
      <c r="J14" s="50"/>
      <c r="K14" s="50"/>
      <c r="L14" s="50"/>
      <c r="M14" s="51"/>
    </row>
    <row r="15" spans="1:13" s="52" customFormat="1" ht="13.5">
      <c r="B15" s="43"/>
      <c r="C15" s="325" t="s">
        <v>126</v>
      </c>
      <c r="D15" s="44"/>
      <c r="E15" s="44"/>
      <c r="F15" s="44"/>
      <c r="G15" s="44"/>
      <c r="H15" s="44"/>
      <c r="I15" s="44"/>
      <c r="J15" s="44"/>
      <c r="K15" s="44"/>
      <c r="L15" s="44"/>
      <c r="M15" s="45"/>
    </row>
    <row r="16" spans="1:13" s="52" customFormat="1" ht="13.5">
      <c r="B16" s="43"/>
      <c r="C16" s="330" t="s">
        <v>408</v>
      </c>
      <c r="D16" s="321"/>
      <c r="E16" s="322"/>
      <c r="F16" s="322"/>
      <c r="G16" s="321"/>
      <c r="H16" s="44"/>
      <c r="I16" s="44"/>
      <c r="J16" s="44"/>
      <c r="K16" s="44"/>
      <c r="L16" s="44"/>
      <c r="M16" s="45"/>
    </row>
    <row r="17" spans="2:13" s="52" customFormat="1" ht="13.5">
      <c r="B17" s="43"/>
      <c r="C17" s="331"/>
      <c r="D17" s="321"/>
      <c r="E17" s="322"/>
      <c r="F17" s="322"/>
      <c r="G17" s="321"/>
      <c r="H17" s="44"/>
      <c r="I17" s="44"/>
      <c r="J17" s="44"/>
      <c r="K17" s="44"/>
      <c r="L17" s="44"/>
      <c r="M17" s="45"/>
    </row>
    <row r="18" spans="2:13" s="52" customFormat="1" ht="13.5">
      <c r="B18" s="43"/>
      <c r="C18" s="324" t="s">
        <v>153</v>
      </c>
      <c r="D18" s="321"/>
      <c r="E18" s="322"/>
      <c r="F18" s="322"/>
      <c r="G18" s="321"/>
      <c r="H18" s="44"/>
      <c r="I18" s="44"/>
      <c r="J18" s="44"/>
      <c r="K18" s="44"/>
      <c r="L18" s="44"/>
      <c r="M18" s="45"/>
    </row>
    <row r="19" spans="2:13" s="52" customFormat="1" ht="13.5">
      <c r="B19" s="43"/>
      <c r="C19" s="330" t="s">
        <v>154</v>
      </c>
      <c r="D19" s="330" t="s">
        <v>155</v>
      </c>
      <c r="E19" s="330" t="s">
        <v>157</v>
      </c>
      <c r="F19" s="330" t="s">
        <v>159</v>
      </c>
      <c r="G19" s="330" t="s">
        <v>409</v>
      </c>
      <c r="H19" s="44"/>
      <c r="I19" s="44"/>
      <c r="J19" s="44"/>
      <c r="K19" s="44"/>
      <c r="L19" s="44"/>
      <c r="M19" s="45"/>
    </row>
    <row r="20" spans="2:13" s="52" customFormat="1" ht="13.5">
      <c r="B20" s="43"/>
      <c r="C20" s="332">
        <v>-2</v>
      </c>
      <c r="D20" s="330" t="s">
        <v>156</v>
      </c>
      <c r="E20" s="330" t="s">
        <v>920</v>
      </c>
      <c r="F20" s="330" t="s">
        <v>410</v>
      </c>
      <c r="G20" s="330" t="s">
        <v>677</v>
      </c>
      <c r="H20" s="44"/>
      <c r="I20" s="44"/>
      <c r="J20" s="44"/>
      <c r="K20" s="44"/>
      <c r="L20" s="44"/>
      <c r="M20" s="45"/>
    </row>
    <row r="21" spans="2:13" s="52" customFormat="1" ht="14" thickBot="1">
      <c r="B21" s="43"/>
      <c r="C21" s="321"/>
      <c r="D21" s="321"/>
      <c r="E21" s="322"/>
      <c r="F21" s="322"/>
      <c r="G21" s="321"/>
      <c r="H21" s="44"/>
      <c r="I21" s="44"/>
      <c r="J21" s="44"/>
      <c r="K21" s="44"/>
      <c r="L21" s="44"/>
      <c r="M21" s="45"/>
    </row>
    <row r="22" spans="2:13">
      <c r="B22" s="318" t="s">
        <v>411</v>
      </c>
      <c r="C22" s="37" t="s">
        <v>413</v>
      </c>
      <c r="D22" s="37"/>
      <c r="E22" s="37"/>
      <c r="F22" s="37"/>
      <c r="G22" s="37"/>
      <c r="H22" s="37"/>
      <c r="I22" s="37"/>
      <c r="J22" s="37"/>
      <c r="K22" s="37"/>
      <c r="L22" s="37"/>
      <c r="M22" s="38"/>
    </row>
    <row r="23" spans="2:13" s="52" customFormat="1" ht="13.5">
      <c r="B23" s="43"/>
      <c r="C23" s="321"/>
      <c r="D23" s="321"/>
      <c r="E23" s="322"/>
      <c r="F23" s="322"/>
      <c r="G23" s="321"/>
      <c r="H23" s="44"/>
      <c r="I23" s="44"/>
      <c r="J23" s="44"/>
      <c r="K23" s="44"/>
      <c r="L23" s="44"/>
      <c r="M23" s="45"/>
    </row>
    <row r="24" spans="2:13" s="52" customFormat="1" ht="13.5">
      <c r="B24" s="43"/>
      <c r="C24" s="329" t="s">
        <v>124</v>
      </c>
      <c r="D24" s="329" t="s">
        <v>414</v>
      </c>
      <c r="E24" s="49"/>
      <c r="F24" s="50"/>
      <c r="G24" s="50"/>
      <c r="H24" s="50"/>
      <c r="I24" s="50"/>
      <c r="J24" s="50"/>
      <c r="K24" s="50"/>
      <c r="L24" s="50"/>
      <c r="M24" s="45"/>
    </row>
    <row r="25" spans="2:13" s="52" customFormat="1" ht="13.5">
      <c r="B25" s="43"/>
      <c r="C25" s="330" t="s">
        <v>417</v>
      </c>
      <c r="D25" s="330"/>
      <c r="E25" s="330"/>
      <c r="F25" s="330"/>
      <c r="G25" s="330"/>
      <c r="H25" s="44"/>
      <c r="I25" s="44"/>
      <c r="J25" s="44"/>
      <c r="K25" s="44"/>
      <c r="L25" s="44"/>
      <c r="M25" s="45"/>
    </row>
    <row r="26" spans="2:13" s="52" customFormat="1" ht="13.5">
      <c r="B26" s="43"/>
      <c r="C26" s="330" t="s">
        <v>418</v>
      </c>
      <c r="D26" s="330"/>
      <c r="E26" s="330"/>
      <c r="F26" s="330"/>
      <c r="G26" s="330"/>
      <c r="H26" s="44"/>
      <c r="I26" s="44"/>
      <c r="J26" s="44"/>
      <c r="K26" s="44"/>
      <c r="L26" s="44"/>
      <c r="M26" s="45"/>
    </row>
    <row r="27" spans="2:13" s="52" customFormat="1" ht="13.5">
      <c r="B27" s="43"/>
      <c r="C27" s="330"/>
      <c r="D27" s="330"/>
      <c r="E27" s="330"/>
      <c r="F27" s="330"/>
      <c r="G27" s="330"/>
      <c r="H27" s="44"/>
      <c r="I27" s="44"/>
      <c r="J27" s="44"/>
      <c r="K27" s="44"/>
      <c r="L27" s="44"/>
      <c r="M27" s="45"/>
    </row>
    <row r="28" spans="2:13" s="52" customFormat="1" ht="13.5">
      <c r="B28" s="43"/>
      <c r="C28" s="330" t="s">
        <v>419</v>
      </c>
      <c r="D28" s="330"/>
      <c r="E28" s="330"/>
      <c r="F28" s="330"/>
      <c r="G28" s="330"/>
      <c r="H28" s="44"/>
      <c r="I28" s="44"/>
      <c r="J28" s="44"/>
      <c r="K28" s="44"/>
      <c r="L28" s="44"/>
      <c r="M28" s="45"/>
    </row>
    <row r="29" spans="2:13" s="52" customFormat="1" ht="13.5">
      <c r="B29" s="43"/>
      <c r="C29" s="330" t="s">
        <v>420</v>
      </c>
      <c r="D29" s="330" t="s">
        <v>421</v>
      </c>
      <c r="E29" s="330" t="s">
        <v>422</v>
      </c>
      <c r="F29" s="330" t="s">
        <v>423</v>
      </c>
      <c r="G29" s="330" t="s">
        <v>424</v>
      </c>
      <c r="H29" s="44"/>
      <c r="I29" s="44"/>
      <c r="J29" s="44"/>
      <c r="K29" s="44"/>
      <c r="L29" s="44"/>
      <c r="M29" s="45"/>
    </row>
    <row r="30" spans="2:13">
      <c r="B30" s="59"/>
      <c r="C30" s="330">
        <v>-2</v>
      </c>
      <c r="D30" s="330" t="s">
        <v>156</v>
      </c>
      <c r="E30" s="330" t="s">
        <v>944</v>
      </c>
      <c r="F30" s="330" t="s">
        <v>922</v>
      </c>
      <c r="G30" s="330" t="s">
        <v>677</v>
      </c>
      <c r="H30" s="328"/>
      <c r="I30" s="328"/>
      <c r="J30" s="328"/>
      <c r="K30" s="328"/>
      <c r="L30" s="60"/>
      <c r="M30" s="51"/>
    </row>
    <row r="31" spans="2:13">
      <c r="B31" s="59"/>
      <c r="C31" s="30"/>
      <c r="D31" s="60"/>
      <c r="E31" s="60"/>
      <c r="F31" s="60"/>
      <c r="G31" s="60"/>
      <c r="H31" s="60"/>
      <c r="I31" s="60"/>
      <c r="J31" s="60"/>
      <c r="K31" s="60"/>
      <c r="L31" s="60"/>
      <c r="M31" s="51"/>
    </row>
    <row r="32" spans="2:13">
      <c r="B32" s="46"/>
      <c r="C32" s="329" t="s">
        <v>124</v>
      </c>
      <c r="D32" s="48" t="s">
        <v>416</v>
      </c>
      <c r="E32" s="49"/>
      <c r="F32" s="50"/>
      <c r="G32" s="50"/>
      <c r="H32" s="50"/>
      <c r="I32" s="50"/>
      <c r="J32" s="50"/>
      <c r="K32" s="50"/>
      <c r="L32" s="50"/>
      <c r="M32" s="51"/>
    </row>
    <row r="33" spans="2:13" s="52" customFormat="1" ht="13.5">
      <c r="B33" s="43"/>
      <c r="C33" s="330" t="s">
        <v>417</v>
      </c>
      <c r="D33" s="321"/>
      <c r="E33" s="321"/>
      <c r="F33" s="321"/>
      <c r="G33" s="321"/>
      <c r="H33" s="321"/>
      <c r="I33" s="321"/>
      <c r="J33" s="321"/>
      <c r="K33" s="321"/>
      <c r="L33" s="321"/>
      <c r="M33" s="45"/>
    </row>
    <row r="34" spans="2:13" s="52" customFormat="1" ht="13.5">
      <c r="B34" s="43"/>
      <c r="C34" s="330" t="s">
        <v>425</v>
      </c>
      <c r="D34" s="330"/>
      <c r="E34" s="330"/>
      <c r="F34" s="330"/>
      <c r="G34" s="330"/>
      <c r="H34" s="321"/>
      <c r="I34" s="321"/>
      <c r="J34" s="321"/>
      <c r="K34" s="321"/>
      <c r="L34" s="321"/>
      <c r="M34" s="45"/>
    </row>
    <row r="35" spans="2:13" s="52" customFormat="1" ht="13.5">
      <c r="B35" s="43"/>
      <c r="C35" s="330"/>
      <c r="D35" s="330"/>
      <c r="E35" s="330"/>
      <c r="F35" s="330"/>
      <c r="G35" s="330"/>
      <c r="H35" s="321"/>
      <c r="I35" s="321"/>
      <c r="J35" s="321"/>
      <c r="K35" s="321"/>
      <c r="L35" s="321"/>
      <c r="M35" s="45"/>
    </row>
    <row r="36" spans="2:13" s="52" customFormat="1" ht="13.5">
      <c r="B36" s="43"/>
      <c r="C36" s="330" t="s">
        <v>419</v>
      </c>
      <c r="D36" s="330"/>
      <c r="E36" s="330"/>
      <c r="F36" s="330"/>
      <c r="G36" s="330"/>
      <c r="H36" s="321"/>
      <c r="I36" s="321"/>
      <c r="J36" s="321"/>
      <c r="K36" s="321"/>
      <c r="L36" s="321"/>
      <c r="M36" s="45"/>
    </row>
    <row r="37" spans="2:13" s="52" customFormat="1" ht="13.5">
      <c r="B37" s="43"/>
      <c r="C37" s="330" t="s">
        <v>420</v>
      </c>
      <c r="D37" s="330" t="s">
        <v>421</v>
      </c>
      <c r="E37" s="330" t="s">
        <v>422</v>
      </c>
      <c r="F37" s="330" t="s">
        <v>423</v>
      </c>
      <c r="G37" s="330" t="s">
        <v>424</v>
      </c>
      <c r="H37" s="321"/>
      <c r="I37" s="321"/>
      <c r="J37" s="321"/>
      <c r="K37" s="321"/>
      <c r="L37" s="321"/>
      <c r="M37" s="45"/>
    </row>
    <row r="38" spans="2:13" s="52" customFormat="1" ht="13.5">
      <c r="B38" s="43"/>
      <c r="C38" s="330">
        <v>-2</v>
      </c>
      <c r="D38" s="330" t="s">
        <v>156</v>
      </c>
      <c r="E38" s="330" t="s">
        <v>921</v>
      </c>
      <c r="F38" s="330" t="s">
        <v>922</v>
      </c>
      <c r="G38" s="330" t="s">
        <v>677</v>
      </c>
      <c r="H38" s="321"/>
      <c r="I38" s="321"/>
      <c r="J38" s="321"/>
      <c r="K38" s="321"/>
      <c r="L38" s="321"/>
      <c r="M38" s="45"/>
    </row>
    <row r="39" spans="2:13" s="52" customFormat="1" ht="14" thickBot="1">
      <c r="B39" s="43"/>
      <c r="C39" s="321"/>
      <c r="D39" s="321"/>
      <c r="E39" s="322"/>
      <c r="F39" s="322"/>
      <c r="G39" s="321"/>
      <c r="H39" s="321"/>
      <c r="I39" s="321"/>
      <c r="J39" s="321"/>
      <c r="K39" s="321"/>
      <c r="L39" s="321"/>
      <c r="M39" s="45"/>
    </row>
    <row r="40" spans="2:13" s="52" customFormat="1" ht="13.5">
      <c r="B40" s="318" t="s">
        <v>426</v>
      </c>
      <c r="C40" s="37" t="s">
        <v>428</v>
      </c>
      <c r="D40" s="37"/>
      <c r="E40" s="37"/>
      <c r="F40" s="37"/>
      <c r="G40" s="37"/>
      <c r="H40" s="37"/>
      <c r="I40" s="37"/>
      <c r="J40" s="37"/>
      <c r="K40" s="37"/>
      <c r="L40" s="37"/>
      <c r="M40" s="38"/>
    </row>
    <row r="41" spans="2:13" s="52" customFormat="1" ht="13.5">
      <c r="B41" s="43"/>
      <c r="C41" s="321"/>
      <c r="D41" s="321"/>
      <c r="E41" s="322"/>
      <c r="F41" s="322"/>
      <c r="G41" s="321"/>
      <c r="H41" s="321"/>
      <c r="I41" s="321"/>
      <c r="J41" s="321"/>
      <c r="K41" s="321"/>
      <c r="L41" s="321"/>
      <c r="M41" s="45"/>
    </row>
    <row r="42" spans="2:13" s="52" customFormat="1" ht="13.5">
      <c r="B42" s="43"/>
      <c r="C42" s="329" t="s">
        <v>124</v>
      </c>
      <c r="D42" s="329" t="s">
        <v>432</v>
      </c>
      <c r="E42" s="49"/>
      <c r="F42" s="50"/>
      <c r="G42" s="50"/>
      <c r="H42" s="50"/>
      <c r="I42" s="50"/>
      <c r="J42" s="50"/>
      <c r="K42" s="50"/>
      <c r="L42" s="50"/>
      <c r="M42" s="45"/>
    </row>
    <row r="43" spans="2:13" s="52" customFormat="1" ht="13.5">
      <c r="B43" s="43"/>
      <c r="C43" s="330" t="s">
        <v>417</v>
      </c>
      <c r="D43" s="330"/>
      <c r="E43" s="330"/>
      <c r="F43" s="330"/>
      <c r="G43" s="330"/>
      <c r="H43" s="321"/>
      <c r="I43" s="321"/>
      <c r="J43" s="321"/>
      <c r="K43" s="321"/>
      <c r="L43" s="321"/>
      <c r="M43" s="45"/>
    </row>
    <row r="44" spans="2:13" s="52" customFormat="1" ht="13.5">
      <c r="B44" s="43"/>
      <c r="C44" s="330" t="s">
        <v>429</v>
      </c>
      <c r="D44" s="330"/>
      <c r="E44" s="330"/>
      <c r="F44" s="330"/>
      <c r="G44" s="330"/>
      <c r="H44" s="321"/>
      <c r="I44" s="321"/>
      <c r="J44" s="321"/>
      <c r="K44" s="321"/>
      <c r="L44" s="321"/>
      <c r="M44" s="45"/>
    </row>
    <row r="45" spans="2:13" s="52" customFormat="1" ht="13.5">
      <c r="B45" s="43"/>
      <c r="C45" s="330"/>
      <c r="D45" s="330"/>
      <c r="E45" s="330"/>
      <c r="F45" s="330"/>
      <c r="G45" s="330"/>
      <c r="H45" s="321"/>
      <c r="I45" s="321"/>
      <c r="J45" s="321"/>
      <c r="K45" s="321"/>
      <c r="L45" s="321"/>
      <c r="M45" s="45"/>
    </row>
    <row r="46" spans="2:13" s="52" customFormat="1" ht="13.5">
      <c r="B46" s="43"/>
      <c r="C46" s="330" t="s">
        <v>419</v>
      </c>
      <c r="D46" s="330"/>
      <c r="E46" s="330"/>
      <c r="F46" s="330"/>
      <c r="G46" s="330"/>
      <c r="H46" s="321"/>
      <c r="I46" s="321"/>
      <c r="J46" s="321"/>
      <c r="K46" s="321"/>
      <c r="L46" s="321"/>
      <c r="M46" s="45"/>
    </row>
    <row r="47" spans="2:13" s="52" customFormat="1" ht="13.5">
      <c r="B47" s="43"/>
      <c r="C47" s="330" t="s">
        <v>420</v>
      </c>
      <c r="D47" s="330" t="s">
        <v>421</v>
      </c>
      <c r="E47" s="330" t="s">
        <v>422</v>
      </c>
      <c r="F47" s="330" t="s">
        <v>423</v>
      </c>
      <c r="G47" s="330" t="s">
        <v>424</v>
      </c>
      <c r="H47" s="321"/>
      <c r="I47" s="321"/>
      <c r="J47" s="321"/>
      <c r="K47" s="321"/>
      <c r="L47" s="321"/>
      <c r="M47" s="45"/>
    </row>
    <row r="48" spans="2:13">
      <c r="B48" s="59"/>
      <c r="C48" s="330">
        <v>-2</v>
      </c>
      <c r="D48" s="330" t="s">
        <v>156</v>
      </c>
      <c r="E48" s="330" t="s">
        <v>946</v>
      </c>
      <c r="F48" s="330" t="s">
        <v>924</v>
      </c>
      <c r="G48" s="330" t="s">
        <v>677</v>
      </c>
      <c r="H48" s="328"/>
      <c r="I48" s="328"/>
      <c r="J48" s="328"/>
      <c r="K48" s="328"/>
      <c r="L48" s="328"/>
      <c r="M48" s="51"/>
    </row>
    <row r="49" spans="2:13">
      <c r="B49" s="59"/>
      <c r="C49" s="327"/>
      <c r="D49" s="328"/>
      <c r="E49" s="328"/>
      <c r="F49" s="328"/>
      <c r="G49" s="328"/>
      <c r="H49" s="328"/>
      <c r="I49" s="328"/>
      <c r="J49" s="328"/>
      <c r="K49" s="328"/>
      <c r="L49" s="328"/>
      <c r="M49" s="51"/>
    </row>
    <row r="50" spans="2:13">
      <c r="B50" s="59"/>
      <c r="C50" s="329" t="s">
        <v>124</v>
      </c>
      <c r="D50" s="329" t="s">
        <v>434</v>
      </c>
      <c r="E50" s="49"/>
      <c r="F50" s="50"/>
      <c r="G50" s="50"/>
      <c r="H50" s="50"/>
      <c r="I50" s="50"/>
      <c r="J50" s="50"/>
      <c r="K50" s="50"/>
      <c r="L50" s="50"/>
      <c r="M50" s="51"/>
    </row>
    <row r="51" spans="2:13">
      <c r="B51" s="59"/>
      <c r="C51" s="330" t="s">
        <v>417</v>
      </c>
      <c r="D51" s="330"/>
      <c r="E51" s="330"/>
      <c r="F51" s="330"/>
      <c r="G51" s="330"/>
      <c r="H51" s="328"/>
      <c r="I51" s="328"/>
      <c r="J51" s="328"/>
      <c r="K51" s="328"/>
      <c r="L51" s="328"/>
      <c r="M51" s="51"/>
    </row>
    <row r="52" spans="2:13">
      <c r="B52" s="59"/>
      <c r="C52" s="330" t="s">
        <v>430</v>
      </c>
      <c r="D52" s="330"/>
      <c r="E52" s="330"/>
      <c r="F52" s="330"/>
      <c r="G52" s="330"/>
      <c r="H52" s="328"/>
      <c r="I52" s="328"/>
      <c r="J52" s="328"/>
      <c r="K52" s="328"/>
      <c r="L52" s="328"/>
      <c r="M52" s="51"/>
    </row>
    <row r="53" spans="2:13">
      <c r="B53" s="59"/>
      <c r="C53" s="330"/>
      <c r="D53" s="330"/>
      <c r="E53" s="330"/>
      <c r="F53" s="330"/>
      <c r="G53" s="330"/>
      <c r="H53" s="328"/>
      <c r="I53" s="328"/>
      <c r="J53" s="328"/>
      <c r="K53" s="328"/>
      <c r="L53" s="328"/>
      <c r="M53" s="51"/>
    </row>
    <row r="54" spans="2:13">
      <c r="B54" s="59"/>
      <c r="C54" s="330" t="s">
        <v>419</v>
      </c>
      <c r="D54" s="330"/>
      <c r="E54" s="330"/>
      <c r="F54" s="330"/>
      <c r="G54" s="330"/>
      <c r="H54" s="328"/>
      <c r="I54" s="328"/>
      <c r="J54" s="328"/>
      <c r="K54" s="328"/>
      <c r="L54" s="328"/>
      <c r="M54" s="51"/>
    </row>
    <row r="55" spans="2:13">
      <c r="B55" s="59"/>
      <c r="C55" s="330" t="s">
        <v>420</v>
      </c>
      <c r="D55" s="330" t="s">
        <v>421</v>
      </c>
      <c r="E55" s="330" t="s">
        <v>422</v>
      </c>
      <c r="F55" s="330" t="s">
        <v>423</v>
      </c>
      <c r="G55" s="330" t="s">
        <v>424</v>
      </c>
      <c r="H55" s="328"/>
      <c r="I55" s="328"/>
      <c r="J55" s="328"/>
      <c r="K55" s="328"/>
      <c r="L55" s="328"/>
      <c r="M55" s="51"/>
    </row>
    <row r="56" spans="2:13">
      <c r="B56" s="46"/>
      <c r="C56" s="330">
        <v>-2</v>
      </c>
      <c r="D56" s="330" t="s">
        <v>156</v>
      </c>
      <c r="E56" s="330" t="s">
        <v>923</v>
      </c>
      <c r="F56" s="330" t="s">
        <v>924</v>
      </c>
      <c r="G56" s="330" t="s">
        <v>677</v>
      </c>
      <c r="H56" s="321"/>
      <c r="I56" s="321"/>
      <c r="J56" s="321"/>
      <c r="K56" s="321"/>
      <c r="L56" s="321"/>
      <c r="M56" s="51"/>
    </row>
    <row r="57" spans="2:13" s="52" customFormat="1" ht="13.5">
      <c r="B57" s="43"/>
      <c r="C57" s="327"/>
      <c r="D57" s="321"/>
      <c r="E57" s="321"/>
      <c r="F57" s="321"/>
      <c r="G57" s="321"/>
      <c r="H57" s="321"/>
      <c r="I57" s="321"/>
      <c r="J57" s="321"/>
      <c r="K57" s="321"/>
      <c r="L57" s="321"/>
      <c r="M57" s="45"/>
    </row>
    <row r="58" spans="2:13" s="52" customFormat="1" ht="13.5">
      <c r="B58" s="43"/>
      <c r="C58" s="320"/>
      <c r="D58" s="321"/>
      <c r="E58" s="322"/>
      <c r="F58" s="322"/>
      <c r="G58" s="321"/>
      <c r="H58" s="321"/>
      <c r="I58" s="321"/>
      <c r="J58" s="321"/>
      <c r="K58" s="321"/>
      <c r="L58" s="321"/>
      <c r="M58" s="45"/>
    </row>
    <row r="59" spans="2:13" s="52" customFormat="1" ht="13.5">
      <c r="B59" s="43"/>
      <c r="C59" s="320"/>
      <c r="D59" s="321"/>
      <c r="E59" s="322"/>
      <c r="F59" s="322"/>
      <c r="G59" s="321"/>
      <c r="H59" s="321"/>
      <c r="I59" s="321"/>
      <c r="J59" s="321"/>
      <c r="K59" s="321"/>
      <c r="L59" s="321"/>
      <c r="M59" s="45"/>
    </row>
    <row r="60" spans="2:13" ht="15.5" thickBot="1">
      <c r="B60" s="72"/>
      <c r="C60" s="73"/>
      <c r="D60" s="74"/>
      <c r="E60" s="74"/>
      <c r="F60" s="74"/>
      <c r="G60" s="74"/>
      <c r="H60" s="74"/>
      <c r="I60" s="74"/>
      <c r="J60" s="74"/>
      <c r="K60" s="74"/>
      <c r="L60" s="74"/>
      <c r="M60" s="75"/>
    </row>
  </sheetData>
  <phoneticPr fontId="21" type="noConversion"/>
  <hyperlinks>
    <hyperlink ref="A1" location="TCS!A1" display="戻る" xr:uid="{32BA54F3-8408-4FCA-8329-0CB4FDF8DA39}"/>
  </hyperlinks>
  <pageMargins left="0.78700000000000003" right="0.78700000000000003" top="0.98399999999999999" bottom="0.98399999999999999" header="0.51200000000000001" footer="0.51200000000000001"/>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25AB5-A7A8-49E9-A284-D646BB7BEE42}">
  <dimension ref="A1:BK920"/>
  <sheetViews>
    <sheetView zoomScale="85" zoomScaleNormal="85" workbookViewId="0"/>
  </sheetViews>
  <sheetFormatPr defaultRowHeight="13"/>
  <cols>
    <col min="2" max="2" width="17.26953125" bestFit="1" customWidth="1"/>
    <col min="3" max="3" width="101.1796875" bestFit="1" customWidth="1"/>
    <col min="4" max="4" width="13.36328125" bestFit="1" customWidth="1"/>
    <col min="5" max="5" width="23.26953125" bestFit="1" customWidth="1"/>
    <col min="6" max="6" width="123.6328125" bestFit="1" customWidth="1"/>
    <col min="7" max="8" width="23.26953125" bestFit="1" customWidth="1"/>
    <col min="9" max="9" width="14.90625" bestFit="1" customWidth="1"/>
    <col min="10" max="10" width="23.26953125" bestFit="1" customWidth="1"/>
    <col min="11" max="12" width="23.26953125" customWidth="1"/>
    <col min="13" max="13" width="18.7265625" bestFit="1" customWidth="1"/>
    <col min="14" max="14" width="23.26953125" customWidth="1"/>
    <col min="15" max="16" width="23.26953125" bestFit="1" customWidth="1"/>
    <col min="17" max="17" width="23.26953125" customWidth="1"/>
    <col min="18" max="18" width="18.90625" bestFit="1" customWidth="1"/>
    <col min="19" max="19" width="16.36328125" bestFit="1" customWidth="1"/>
    <col min="20" max="20" width="20.26953125" customWidth="1"/>
    <col min="21" max="21" width="23.453125" bestFit="1" customWidth="1"/>
    <col min="22" max="22" width="17" bestFit="1" customWidth="1"/>
    <col min="23" max="23" width="15" bestFit="1" customWidth="1"/>
    <col min="24" max="24" width="15.1796875" bestFit="1" customWidth="1"/>
    <col min="25" max="25" width="15.26953125" bestFit="1" customWidth="1"/>
    <col min="26" max="26" width="12.90625" bestFit="1" customWidth="1"/>
    <col min="27" max="27" width="13.6328125" bestFit="1" customWidth="1"/>
    <col min="28" max="28" width="15.6328125" bestFit="1" customWidth="1"/>
    <col min="29" max="29" width="13.453125" bestFit="1" customWidth="1"/>
    <col min="30" max="30" width="13.1796875" customWidth="1"/>
    <col min="31" max="31" width="13.36328125" bestFit="1" customWidth="1"/>
    <col min="32" max="32" width="14.7265625" bestFit="1" customWidth="1"/>
    <col min="33" max="33" width="14.54296875" bestFit="1" customWidth="1"/>
    <col min="34" max="34" width="15.90625" bestFit="1" customWidth="1"/>
    <col min="35" max="35" width="19.36328125" bestFit="1" customWidth="1"/>
    <col min="36" max="36" width="20.7265625" bestFit="1" customWidth="1"/>
    <col min="37" max="37" width="9.90625" bestFit="1" customWidth="1"/>
    <col min="38" max="38" width="18.7265625" bestFit="1" customWidth="1"/>
    <col min="39" max="39" width="17.81640625" bestFit="1" customWidth="1"/>
    <col min="40" max="40" width="14.7265625" bestFit="1" customWidth="1"/>
    <col min="41" max="41" width="23.26953125" customWidth="1"/>
    <col min="42" max="42" width="15.54296875" bestFit="1" customWidth="1"/>
    <col min="43" max="43" width="14.54296875" bestFit="1" customWidth="1"/>
    <col min="44" max="44" width="20.7265625" bestFit="1" customWidth="1"/>
    <col min="45" max="45" width="13.6328125" bestFit="1" customWidth="1"/>
    <col min="46" max="46" width="25.1796875" bestFit="1" customWidth="1"/>
    <col min="47" max="47" width="18.90625" bestFit="1" customWidth="1"/>
    <col min="48" max="48" width="20.1796875" bestFit="1" customWidth="1"/>
    <col min="49" max="49" width="16.08984375" bestFit="1" customWidth="1"/>
    <col min="50" max="50" width="18.90625" bestFit="1" customWidth="1"/>
    <col min="51" max="51" width="19.08984375" bestFit="1" customWidth="1"/>
    <col min="52" max="52" width="14.26953125" bestFit="1" customWidth="1"/>
    <col min="53" max="53" width="15.26953125" bestFit="1" customWidth="1"/>
    <col min="54" max="54" width="12.90625" bestFit="1" customWidth="1"/>
    <col min="55" max="55" width="12.6328125" bestFit="1" customWidth="1"/>
    <col min="56" max="56" width="15.6328125" bestFit="1" customWidth="1"/>
    <col min="57" max="57" width="13.453125" bestFit="1" customWidth="1"/>
    <col min="58" max="58" width="13.1796875" bestFit="1" customWidth="1"/>
  </cols>
  <sheetData>
    <row r="1" spans="1:58" ht="15.5" thickBot="1">
      <c r="A1" s="463" t="s">
        <v>118</v>
      </c>
      <c r="B1" s="342"/>
      <c r="C1" s="343"/>
      <c r="D1" s="344"/>
      <c r="E1" s="344"/>
      <c r="F1" s="344"/>
      <c r="G1" s="344"/>
      <c r="H1" s="345"/>
      <c r="I1" s="344"/>
      <c r="J1" s="344"/>
      <c r="K1" s="344"/>
      <c r="L1" s="344"/>
      <c r="M1" s="344"/>
      <c r="N1" s="344"/>
      <c r="O1" s="344"/>
      <c r="P1" s="344"/>
      <c r="Q1" s="344"/>
      <c r="R1" s="345"/>
      <c r="S1" s="345"/>
      <c r="T1" s="345"/>
      <c r="U1" s="345"/>
      <c r="V1" s="345"/>
      <c r="W1" s="345"/>
      <c r="X1" s="345"/>
      <c r="Y1" s="345"/>
      <c r="Z1" s="345"/>
      <c r="AA1" s="345"/>
      <c r="AB1" s="345"/>
      <c r="AC1" s="345"/>
      <c r="AD1" s="345"/>
      <c r="AE1" s="345"/>
      <c r="AF1" s="345"/>
      <c r="AG1" s="345"/>
      <c r="AH1" s="345"/>
      <c r="AI1" s="345"/>
      <c r="AJ1" s="345"/>
      <c r="AK1" s="345"/>
      <c r="AL1" s="345"/>
      <c r="AM1" s="345"/>
      <c r="AN1" s="345"/>
      <c r="AO1" s="344"/>
      <c r="AP1" s="345"/>
      <c r="AQ1" s="345"/>
      <c r="AR1" s="345"/>
      <c r="AS1" s="345"/>
      <c r="AT1" s="345"/>
      <c r="AU1" s="345"/>
      <c r="AV1" s="345"/>
      <c r="AW1" s="345"/>
      <c r="AX1" s="345"/>
      <c r="AY1" s="345"/>
      <c r="AZ1" s="345"/>
      <c r="BA1" s="345"/>
      <c r="BB1" s="345"/>
      <c r="BC1" s="345"/>
      <c r="BD1" s="345"/>
      <c r="BE1" s="345"/>
      <c r="BF1" s="346"/>
    </row>
    <row r="2" spans="1:58" ht="33" thickBot="1">
      <c r="A2" s="347"/>
      <c r="B2" s="437" t="s">
        <v>476</v>
      </c>
      <c r="C2" s="438"/>
      <c r="D2" s="438"/>
      <c r="E2" s="438"/>
      <c r="F2" s="438"/>
      <c r="G2" s="438"/>
      <c r="H2" s="438"/>
      <c r="I2" s="438"/>
      <c r="J2" s="438"/>
      <c r="K2" s="438"/>
      <c r="L2" s="438"/>
      <c r="M2" s="438"/>
      <c r="N2" s="438"/>
      <c r="O2" s="438"/>
      <c r="P2" s="438"/>
      <c r="Q2" s="438"/>
      <c r="R2" s="438"/>
      <c r="S2" s="438"/>
      <c r="T2" s="438"/>
      <c r="U2" s="438"/>
      <c r="V2" s="438"/>
      <c r="W2" s="438"/>
      <c r="X2" s="438"/>
      <c r="Y2" s="438"/>
      <c r="Z2" s="438"/>
      <c r="AA2" s="438"/>
      <c r="AB2" s="438"/>
      <c r="AC2" s="438"/>
      <c r="AD2" s="438"/>
      <c r="AE2" s="438"/>
      <c r="AF2" s="438"/>
      <c r="AG2" s="438"/>
      <c r="AH2" s="438"/>
      <c r="AI2" s="438"/>
      <c r="AJ2" s="438"/>
      <c r="AK2" s="438"/>
      <c r="AL2" s="438"/>
      <c r="AM2" s="438"/>
      <c r="AN2" s="438"/>
      <c r="AO2" s="438"/>
      <c r="AP2" s="438"/>
      <c r="AQ2" s="438"/>
      <c r="AR2" s="438"/>
      <c r="AS2" s="438"/>
      <c r="AT2" s="438"/>
      <c r="AU2" s="438"/>
      <c r="AV2" s="438"/>
      <c r="AW2" s="438"/>
      <c r="AX2" s="438"/>
      <c r="AY2" s="438"/>
      <c r="AZ2" s="438"/>
      <c r="BA2" s="438"/>
      <c r="BB2" s="438"/>
      <c r="BC2" s="438"/>
      <c r="BD2" s="438"/>
      <c r="BE2" s="438"/>
      <c r="BF2" s="450"/>
    </row>
    <row r="3" spans="1:58" ht="14" thickTop="1" thickBot="1">
      <c r="B3" s="349" t="s">
        <v>120</v>
      </c>
      <c r="C3" s="439" t="s">
        <v>121</v>
      </c>
      <c r="BF3" s="348"/>
    </row>
    <row r="4" spans="1:58" ht="14" thickBot="1">
      <c r="B4" s="350" t="s">
        <v>477</v>
      </c>
      <c r="C4" s="351" t="s">
        <v>646</v>
      </c>
      <c r="D4" s="351"/>
      <c r="E4" s="351"/>
      <c r="F4" s="351"/>
      <c r="G4" s="351"/>
      <c r="H4" s="351"/>
      <c r="I4" s="351"/>
      <c r="J4" s="351"/>
      <c r="K4" s="351"/>
      <c r="L4" s="351"/>
      <c r="M4" s="351"/>
      <c r="N4" s="351"/>
      <c r="O4" s="351"/>
      <c r="P4" s="351"/>
      <c r="Q4" s="351"/>
      <c r="R4" s="351"/>
      <c r="S4" s="351"/>
      <c r="T4" s="351"/>
      <c r="U4" s="351"/>
      <c r="V4" s="351"/>
      <c r="W4" s="351"/>
      <c r="X4" s="351"/>
      <c r="Y4" s="351"/>
      <c r="Z4" s="351"/>
      <c r="AA4" s="351"/>
      <c r="AB4" s="351"/>
      <c r="AC4" s="351"/>
      <c r="AD4" s="351"/>
      <c r="AE4" s="351"/>
      <c r="AF4" s="351"/>
      <c r="AG4" s="351"/>
      <c r="AH4" s="351"/>
      <c r="AI4" s="351"/>
      <c r="AJ4" s="351"/>
      <c r="AK4" s="351"/>
      <c r="AL4" s="351"/>
      <c r="AM4" s="351"/>
      <c r="AN4" s="351"/>
      <c r="AO4" s="351"/>
      <c r="AP4" s="351"/>
      <c r="AQ4" s="351"/>
      <c r="AR4" s="351"/>
      <c r="AS4" s="351"/>
      <c r="AT4" s="351"/>
      <c r="AU4" s="351"/>
      <c r="AV4" s="351"/>
      <c r="AW4" s="351"/>
      <c r="AX4" s="351"/>
      <c r="AY4" s="351"/>
      <c r="AZ4" s="351"/>
      <c r="BA4" s="351"/>
      <c r="BB4" s="351"/>
      <c r="BC4" s="351"/>
      <c r="BD4" s="351"/>
      <c r="BE4" s="351"/>
      <c r="BF4" s="454"/>
    </row>
    <row r="5" spans="1:58" ht="14" thickBot="1">
      <c r="B5" s="350" t="s">
        <v>479</v>
      </c>
      <c r="C5" s="351" t="s">
        <v>701</v>
      </c>
      <c r="D5" s="351"/>
      <c r="E5" s="351"/>
      <c r="F5" s="351"/>
      <c r="G5" s="351"/>
      <c r="H5" s="351"/>
      <c r="I5" s="351"/>
      <c r="J5" s="351"/>
      <c r="K5" s="351"/>
      <c r="L5" s="351"/>
      <c r="M5" s="351"/>
      <c r="N5" s="351"/>
      <c r="O5" s="351"/>
      <c r="P5" s="351"/>
      <c r="Q5" s="351"/>
      <c r="R5" s="351"/>
      <c r="S5" s="351"/>
      <c r="T5" s="351"/>
      <c r="U5" s="351"/>
      <c r="V5" s="351"/>
      <c r="W5" s="351"/>
      <c r="X5" s="351"/>
      <c r="Y5" s="351"/>
      <c r="Z5" s="351"/>
      <c r="AA5" s="351"/>
      <c r="AB5" s="351"/>
      <c r="AC5" s="351"/>
      <c r="AD5" s="351"/>
      <c r="AE5" s="351"/>
      <c r="AF5" s="351"/>
      <c r="AG5" s="351"/>
      <c r="AH5" s="351"/>
      <c r="AI5" s="351"/>
      <c r="AJ5" s="351"/>
      <c r="AK5" s="351"/>
      <c r="AL5" s="351"/>
      <c r="AM5" s="351"/>
      <c r="AN5" s="351"/>
      <c r="AO5" s="351"/>
      <c r="AP5" s="351"/>
      <c r="AQ5" s="351"/>
      <c r="AR5" s="351"/>
      <c r="AS5" s="351"/>
      <c r="AT5" s="351"/>
      <c r="AU5" s="351"/>
      <c r="AV5" s="351"/>
      <c r="AW5" s="351"/>
      <c r="AX5" s="351"/>
      <c r="AY5" s="351"/>
      <c r="AZ5" s="351"/>
      <c r="BA5" s="351"/>
      <c r="BB5" s="351"/>
      <c r="BC5" s="351"/>
      <c r="BD5" s="351"/>
      <c r="BE5" s="351"/>
      <c r="BF5" s="454"/>
    </row>
    <row r="6" spans="1:58" ht="14" thickBot="1">
      <c r="B6" s="350" t="s">
        <v>703</v>
      </c>
      <c r="C6" s="351" t="s">
        <v>705</v>
      </c>
      <c r="D6" s="351"/>
      <c r="E6" s="351"/>
      <c r="F6" s="351"/>
      <c r="G6" s="351"/>
      <c r="H6" s="351"/>
      <c r="I6" s="351"/>
      <c r="J6" s="351"/>
      <c r="K6" s="351"/>
      <c r="L6" s="351"/>
      <c r="M6" s="351"/>
      <c r="N6" s="351"/>
      <c r="O6" s="351"/>
      <c r="P6" s="351"/>
      <c r="Q6" s="351"/>
      <c r="R6" s="351"/>
      <c r="S6" s="351"/>
      <c r="T6" s="351"/>
      <c r="U6" s="351"/>
      <c r="V6" s="351"/>
      <c r="W6" s="351"/>
      <c r="X6" s="351"/>
      <c r="Y6" s="351"/>
      <c r="Z6" s="351"/>
      <c r="AA6" s="351"/>
      <c r="AB6" s="351"/>
      <c r="AC6" s="351"/>
      <c r="AD6" s="351"/>
      <c r="AE6" s="351"/>
      <c r="AF6" s="351"/>
      <c r="AG6" s="351"/>
      <c r="AH6" s="351"/>
      <c r="AI6" s="351"/>
      <c r="AJ6" s="351"/>
      <c r="AK6" s="351"/>
      <c r="AL6" s="351"/>
      <c r="AM6" s="351"/>
      <c r="AN6" s="351"/>
      <c r="AO6" s="351"/>
      <c r="AP6" s="351"/>
      <c r="AQ6" s="351"/>
      <c r="AR6" s="351"/>
      <c r="AS6" s="351"/>
      <c r="AT6" s="351"/>
      <c r="AU6" s="351"/>
      <c r="AV6" s="351"/>
      <c r="AW6" s="351"/>
      <c r="AX6" s="351"/>
      <c r="AY6" s="351"/>
      <c r="AZ6" s="351"/>
      <c r="BA6" s="351"/>
      <c r="BB6" s="351"/>
      <c r="BC6" s="351"/>
      <c r="BD6" s="351"/>
      <c r="BE6" s="351"/>
      <c r="BF6" s="454"/>
    </row>
    <row r="7" spans="1:58" ht="14" thickBot="1">
      <c r="B7" s="350" t="s">
        <v>704</v>
      </c>
      <c r="C7" s="351" t="s">
        <v>706</v>
      </c>
      <c r="D7" s="351"/>
      <c r="E7" s="351"/>
      <c r="F7" s="351"/>
      <c r="G7" s="351"/>
      <c r="H7" s="351"/>
      <c r="I7" s="351"/>
      <c r="J7" s="351"/>
      <c r="K7" s="351"/>
      <c r="L7" s="351"/>
      <c r="M7" s="351"/>
      <c r="N7" s="351"/>
      <c r="O7" s="351"/>
      <c r="P7" s="351"/>
      <c r="Q7" s="351"/>
      <c r="R7" s="351"/>
      <c r="S7" s="351"/>
      <c r="T7" s="351"/>
      <c r="U7" s="351"/>
      <c r="V7" s="351"/>
      <c r="W7" s="351"/>
      <c r="X7" s="351"/>
      <c r="Y7" s="351"/>
      <c r="Z7" s="351"/>
      <c r="AA7" s="351"/>
      <c r="AB7" s="351"/>
      <c r="AC7" s="351"/>
      <c r="AD7" s="351"/>
      <c r="AE7" s="351"/>
      <c r="AF7" s="351"/>
      <c r="AG7" s="351"/>
      <c r="AH7" s="351"/>
      <c r="AI7" s="351"/>
      <c r="AJ7" s="351"/>
      <c r="AK7" s="351"/>
      <c r="AL7" s="351"/>
      <c r="AM7" s="351"/>
      <c r="AN7" s="351"/>
      <c r="AO7" s="351"/>
      <c r="AP7" s="351"/>
      <c r="AQ7" s="351"/>
      <c r="AR7" s="351"/>
      <c r="AS7" s="351"/>
      <c r="AT7" s="351"/>
      <c r="AU7" s="351"/>
      <c r="AV7" s="351"/>
      <c r="AW7" s="351"/>
      <c r="AX7" s="351"/>
      <c r="AY7" s="351"/>
      <c r="AZ7" s="351"/>
      <c r="BA7" s="351"/>
      <c r="BB7" s="351"/>
      <c r="BC7" s="351"/>
      <c r="BD7" s="351"/>
      <c r="BE7" s="351"/>
      <c r="BF7" s="454"/>
    </row>
    <row r="8" spans="1:58" ht="14" thickBot="1">
      <c r="B8" s="350" t="s">
        <v>720</v>
      </c>
      <c r="C8" s="351" t="s">
        <v>721</v>
      </c>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c r="AS8" s="351"/>
      <c r="AT8" s="351"/>
      <c r="AU8" s="351"/>
      <c r="AV8" s="351"/>
      <c r="AW8" s="351"/>
      <c r="AX8" s="351"/>
      <c r="AY8" s="351"/>
      <c r="AZ8" s="351"/>
      <c r="BA8" s="351"/>
      <c r="BB8" s="351"/>
      <c r="BC8" s="351"/>
      <c r="BD8" s="351"/>
      <c r="BE8" s="351"/>
      <c r="BF8" s="454"/>
    </row>
    <row r="9" spans="1:58" ht="14" thickBot="1">
      <c r="B9" s="350" t="s">
        <v>751</v>
      </c>
      <c r="C9" s="351" t="s">
        <v>752</v>
      </c>
      <c r="D9" s="351"/>
      <c r="E9" s="351"/>
      <c r="F9" s="351"/>
      <c r="G9" s="351"/>
      <c r="H9" s="351"/>
      <c r="I9" s="351"/>
      <c r="J9" s="351"/>
      <c r="K9" s="351"/>
      <c r="L9" s="351"/>
      <c r="M9" s="351"/>
      <c r="N9" s="351"/>
      <c r="O9" s="351"/>
      <c r="P9" s="351"/>
      <c r="Q9" s="351"/>
      <c r="R9" s="351"/>
      <c r="S9" s="351"/>
      <c r="T9" s="351"/>
      <c r="U9" s="351"/>
      <c r="V9" s="351"/>
      <c r="W9" s="351"/>
      <c r="X9" s="351"/>
      <c r="Y9" s="351"/>
      <c r="Z9" s="351"/>
      <c r="AA9" s="351"/>
      <c r="AB9" s="351"/>
      <c r="AC9" s="351"/>
      <c r="AD9" s="351"/>
      <c r="AE9" s="351"/>
      <c r="AF9" s="351"/>
      <c r="AG9" s="351"/>
      <c r="AH9" s="351"/>
      <c r="AI9" s="351"/>
      <c r="AJ9" s="351"/>
      <c r="AK9" s="351"/>
      <c r="AL9" s="351"/>
      <c r="AM9" s="351"/>
      <c r="AN9" s="351"/>
      <c r="AO9" s="351"/>
      <c r="AP9" s="351"/>
      <c r="AQ9" s="351"/>
      <c r="AR9" s="351"/>
      <c r="AS9" s="351"/>
      <c r="AT9" s="351"/>
      <c r="AU9" s="351"/>
      <c r="AV9" s="351"/>
      <c r="AW9" s="351"/>
      <c r="AX9" s="351"/>
      <c r="AY9" s="351"/>
      <c r="AZ9" s="351"/>
      <c r="BA9" s="351"/>
      <c r="BB9" s="351"/>
      <c r="BC9" s="351"/>
      <c r="BD9" s="351"/>
      <c r="BE9" s="351"/>
      <c r="BF9" s="454"/>
    </row>
    <row r="10" spans="1:58" ht="14" thickBot="1">
      <c r="B10" s="350" t="s">
        <v>788</v>
      </c>
      <c r="C10" s="351" t="s">
        <v>789</v>
      </c>
      <c r="D10" s="351"/>
      <c r="E10" s="351"/>
      <c r="F10" s="351"/>
      <c r="G10" s="351"/>
      <c r="H10" s="351"/>
      <c r="I10" s="351"/>
      <c r="J10" s="351"/>
      <c r="K10" s="351"/>
      <c r="L10" s="351"/>
      <c r="M10" s="351"/>
      <c r="N10" s="351"/>
      <c r="O10" s="351"/>
      <c r="P10" s="351"/>
      <c r="Q10" s="351"/>
      <c r="R10" s="351"/>
      <c r="S10" s="351"/>
      <c r="T10" s="351"/>
      <c r="U10" s="351"/>
      <c r="V10" s="351"/>
      <c r="W10" s="351"/>
      <c r="X10" s="351"/>
      <c r="Y10" s="351"/>
      <c r="Z10" s="351"/>
      <c r="AA10" s="351"/>
      <c r="AB10" s="351"/>
      <c r="AC10" s="351"/>
      <c r="AD10" s="351"/>
      <c r="AE10" s="351"/>
      <c r="AF10" s="351"/>
      <c r="AG10" s="351"/>
      <c r="AH10" s="351"/>
      <c r="AI10" s="351"/>
      <c r="AJ10" s="351"/>
      <c r="AK10" s="351"/>
      <c r="AL10" s="351"/>
      <c r="AM10" s="351"/>
      <c r="AN10" s="351"/>
      <c r="AO10" s="351"/>
      <c r="AP10" s="351"/>
      <c r="AQ10" s="351"/>
      <c r="AR10" s="351"/>
      <c r="AS10" s="351"/>
      <c r="AT10" s="351"/>
      <c r="AU10" s="351"/>
      <c r="AV10" s="351"/>
      <c r="AW10" s="351"/>
      <c r="AX10" s="351"/>
      <c r="AY10" s="351"/>
      <c r="AZ10" s="351"/>
      <c r="BA10" s="351"/>
      <c r="BB10" s="351"/>
      <c r="BC10" s="351"/>
      <c r="BD10" s="351"/>
      <c r="BE10" s="351"/>
      <c r="BF10" s="454"/>
    </row>
    <row r="11" spans="1:58" ht="14" thickBot="1">
      <c r="B11" s="350" t="s">
        <v>797</v>
      </c>
      <c r="C11" s="351" t="s">
        <v>89</v>
      </c>
      <c r="D11" s="351"/>
      <c r="E11" s="351"/>
      <c r="F11" s="351"/>
      <c r="G11" s="351"/>
      <c r="H11" s="351"/>
      <c r="I11" s="351"/>
      <c r="J11" s="351"/>
      <c r="K11" s="351"/>
      <c r="L11" s="351"/>
      <c r="M11" s="351"/>
      <c r="N11" s="351"/>
      <c r="O11" s="351"/>
      <c r="P11" s="351"/>
      <c r="Q11" s="351"/>
      <c r="R11" s="351"/>
      <c r="S11" s="351"/>
      <c r="T11" s="351"/>
      <c r="U11" s="351"/>
      <c r="V11" s="351"/>
      <c r="W11" s="351"/>
      <c r="X11" s="351"/>
      <c r="Y11" s="351"/>
      <c r="Z11" s="351"/>
      <c r="AA11" s="351"/>
      <c r="AB11" s="351"/>
      <c r="AC11" s="351"/>
      <c r="AD11" s="351"/>
      <c r="AE11" s="351"/>
      <c r="AF11" s="351"/>
      <c r="AG11" s="351"/>
      <c r="AH11" s="351"/>
      <c r="AI11" s="351"/>
      <c r="AJ11" s="351"/>
      <c r="AK11" s="351"/>
      <c r="AL11" s="351"/>
      <c r="AM11" s="351"/>
      <c r="AN11" s="351"/>
      <c r="AO11" s="351"/>
      <c r="AP11" s="351"/>
      <c r="AQ11" s="351"/>
      <c r="AR11" s="351"/>
      <c r="AS11" s="351"/>
      <c r="AT11" s="351"/>
      <c r="AU11" s="351"/>
      <c r="AV11" s="351"/>
      <c r="AW11" s="351"/>
      <c r="AX11" s="351"/>
      <c r="AY11" s="351"/>
      <c r="AZ11" s="351"/>
      <c r="BA11" s="351"/>
      <c r="BB11" s="351"/>
      <c r="BC11" s="351"/>
      <c r="BD11" s="351"/>
      <c r="BE11" s="351"/>
      <c r="BF11" s="454"/>
    </row>
    <row r="12" spans="1:58" ht="14" thickBot="1">
      <c r="B12" s="350" t="s">
        <v>800</v>
      </c>
      <c r="C12" s="351" t="s">
        <v>996</v>
      </c>
      <c r="D12" s="351"/>
      <c r="E12" s="351"/>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c r="AD12" s="351"/>
      <c r="AE12" s="351"/>
      <c r="AF12" s="351"/>
      <c r="AG12" s="351"/>
      <c r="AH12" s="351"/>
      <c r="AI12" s="351"/>
      <c r="AJ12" s="351"/>
      <c r="AK12" s="351"/>
      <c r="AL12" s="351"/>
      <c r="AM12" s="351"/>
      <c r="AN12" s="351"/>
      <c r="AO12" s="351"/>
      <c r="AP12" s="351"/>
      <c r="AQ12" s="351"/>
      <c r="AR12" s="351"/>
      <c r="AS12" s="351"/>
      <c r="AT12" s="351"/>
      <c r="AU12" s="351"/>
      <c r="AV12" s="351"/>
      <c r="AW12" s="351"/>
      <c r="AX12" s="351"/>
      <c r="AY12" s="351"/>
      <c r="AZ12" s="351"/>
      <c r="BA12" s="351"/>
      <c r="BB12" s="351"/>
      <c r="BC12" s="351"/>
      <c r="BD12" s="351"/>
      <c r="BE12" s="351"/>
      <c r="BF12" s="454"/>
    </row>
    <row r="13" spans="1:58" ht="14" thickBot="1">
      <c r="B13" s="350" t="s">
        <v>801</v>
      </c>
      <c r="C13" s="351" t="s">
        <v>998</v>
      </c>
      <c r="D13" s="351"/>
      <c r="E13" s="351"/>
      <c r="F13" s="351"/>
      <c r="G13" s="351"/>
      <c r="H13" s="351"/>
      <c r="I13" s="351"/>
      <c r="J13" s="351"/>
      <c r="K13" s="351"/>
      <c r="L13" s="351"/>
      <c r="M13" s="351"/>
      <c r="N13" s="351"/>
      <c r="O13" s="351"/>
      <c r="P13" s="351"/>
      <c r="Q13" s="351"/>
      <c r="R13" s="351"/>
      <c r="S13" s="351"/>
      <c r="T13" s="351"/>
      <c r="U13" s="351"/>
      <c r="V13" s="351"/>
      <c r="W13" s="351"/>
      <c r="X13" s="351"/>
      <c r="Y13" s="351"/>
      <c r="Z13" s="351"/>
      <c r="AA13" s="351"/>
      <c r="AB13" s="351"/>
      <c r="AC13" s="351"/>
      <c r="AD13" s="351"/>
      <c r="AE13" s="351"/>
      <c r="AF13" s="351"/>
      <c r="AG13" s="351"/>
      <c r="AH13" s="351"/>
      <c r="AI13" s="351"/>
      <c r="AJ13" s="351"/>
      <c r="AK13" s="351"/>
      <c r="AL13" s="351"/>
      <c r="AM13" s="351"/>
      <c r="AN13" s="351"/>
      <c r="AO13" s="351"/>
      <c r="AP13" s="351"/>
      <c r="AQ13" s="351"/>
      <c r="AR13" s="351"/>
      <c r="AS13" s="351"/>
      <c r="AT13" s="351"/>
      <c r="AU13" s="351"/>
      <c r="AV13" s="351"/>
      <c r="AW13" s="351"/>
      <c r="AX13" s="351"/>
      <c r="AY13" s="351"/>
      <c r="AZ13" s="351"/>
      <c r="BA13" s="351"/>
      <c r="BB13" s="351"/>
      <c r="BC13" s="351"/>
      <c r="BD13" s="351"/>
      <c r="BE13" s="351"/>
      <c r="BF13" s="454"/>
    </row>
    <row r="14" spans="1:58" ht="14" thickBot="1">
      <c r="B14" s="350" t="s">
        <v>819</v>
      </c>
      <c r="C14" s="351" t="s">
        <v>1000</v>
      </c>
      <c r="D14" s="351"/>
      <c r="E14" s="351"/>
      <c r="F14" s="351"/>
      <c r="G14" s="351"/>
      <c r="H14" s="351"/>
      <c r="I14" s="351"/>
      <c r="J14" s="351"/>
      <c r="K14" s="351"/>
      <c r="L14" s="351"/>
      <c r="M14" s="351"/>
      <c r="N14" s="351"/>
      <c r="O14" s="351"/>
      <c r="P14" s="351"/>
      <c r="Q14" s="351"/>
      <c r="R14" s="351"/>
      <c r="S14" s="351"/>
      <c r="T14" s="351"/>
      <c r="U14" s="351"/>
      <c r="V14" s="351"/>
      <c r="W14" s="351"/>
      <c r="X14" s="351"/>
      <c r="Y14" s="351"/>
      <c r="Z14" s="351"/>
      <c r="AA14" s="351"/>
      <c r="AB14" s="351"/>
      <c r="AC14" s="351"/>
      <c r="AD14" s="351"/>
      <c r="AE14" s="351"/>
      <c r="AF14" s="351"/>
      <c r="AG14" s="351"/>
      <c r="AH14" s="351"/>
      <c r="AI14" s="351"/>
      <c r="AJ14" s="351"/>
      <c r="AK14" s="351"/>
      <c r="AL14" s="351"/>
      <c r="AM14" s="351"/>
      <c r="AN14" s="351"/>
      <c r="AO14" s="351"/>
      <c r="AP14" s="351"/>
      <c r="AQ14" s="351"/>
      <c r="AR14" s="351"/>
      <c r="AS14" s="351"/>
      <c r="AT14" s="351"/>
      <c r="AU14" s="351"/>
      <c r="AV14" s="351"/>
      <c r="AW14" s="351"/>
      <c r="AX14" s="351"/>
      <c r="AY14" s="351"/>
      <c r="AZ14" s="351"/>
      <c r="BA14" s="351"/>
      <c r="BB14" s="351"/>
      <c r="BC14" s="351"/>
      <c r="BD14" s="351"/>
      <c r="BE14" s="351"/>
      <c r="BF14" s="454"/>
    </row>
    <row r="15" spans="1:58" ht="14" thickBot="1">
      <c r="B15" s="350" t="s">
        <v>823</v>
      </c>
      <c r="C15" s="351" t="s">
        <v>1008</v>
      </c>
      <c r="D15" s="351"/>
      <c r="E15" s="351"/>
      <c r="F15" s="351"/>
      <c r="G15" s="351"/>
      <c r="H15" s="351"/>
      <c r="I15" s="351"/>
      <c r="J15" s="351"/>
      <c r="K15" s="351"/>
      <c r="L15" s="351"/>
      <c r="M15" s="351"/>
      <c r="N15" s="351"/>
      <c r="O15" s="351"/>
      <c r="P15" s="351"/>
      <c r="Q15" s="351"/>
      <c r="R15" s="351"/>
      <c r="S15" s="351"/>
      <c r="T15" s="351"/>
      <c r="U15" s="351"/>
      <c r="V15" s="351"/>
      <c r="W15" s="351"/>
      <c r="X15" s="351"/>
      <c r="Y15" s="351"/>
      <c r="Z15" s="351"/>
      <c r="AA15" s="351"/>
      <c r="AB15" s="351"/>
      <c r="AC15" s="351"/>
      <c r="AD15" s="351"/>
      <c r="AE15" s="351"/>
      <c r="AF15" s="351"/>
      <c r="AG15" s="351"/>
      <c r="AH15" s="351"/>
      <c r="AI15" s="351"/>
      <c r="AJ15" s="351"/>
      <c r="AK15" s="351"/>
      <c r="AL15" s="351"/>
      <c r="AM15" s="351"/>
      <c r="AN15" s="351"/>
      <c r="AO15" s="351"/>
      <c r="AP15" s="351"/>
      <c r="AQ15" s="351"/>
      <c r="AR15" s="351"/>
      <c r="AS15" s="351"/>
      <c r="AT15" s="351"/>
      <c r="AU15" s="351"/>
      <c r="AV15" s="351"/>
      <c r="AW15" s="351"/>
      <c r="AX15" s="351"/>
      <c r="AY15" s="351"/>
      <c r="AZ15" s="351"/>
      <c r="BA15" s="351"/>
      <c r="BB15" s="351"/>
      <c r="BC15" s="351"/>
      <c r="BD15" s="351"/>
      <c r="BE15" s="351"/>
      <c r="BF15" s="454"/>
    </row>
    <row r="16" spans="1:58" ht="14" thickBot="1">
      <c r="B16" s="350" t="s">
        <v>866</v>
      </c>
      <c r="C16" s="351" t="s">
        <v>1014</v>
      </c>
      <c r="D16" s="351"/>
      <c r="E16" s="351"/>
      <c r="F16" s="351"/>
      <c r="G16" s="351"/>
      <c r="H16" s="351"/>
      <c r="I16" s="351"/>
      <c r="J16" s="351"/>
      <c r="K16" s="351"/>
      <c r="L16" s="351"/>
      <c r="M16" s="351"/>
      <c r="N16" s="351"/>
      <c r="O16" s="351"/>
      <c r="P16" s="351"/>
      <c r="Q16" s="351"/>
      <c r="R16" s="351"/>
      <c r="S16" s="351"/>
      <c r="T16" s="351"/>
      <c r="U16" s="351"/>
      <c r="V16" s="351"/>
      <c r="W16" s="351"/>
      <c r="X16" s="351"/>
      <c r="Y16" s="351"/>
      <c r="Z16" s="351"/>
      <c r="AA16" s="351"/>
      <c r="AB16" s="351"/>
      <c r="AC16" s="351"/>
      <c r="AD16" s="351"/>
      <c r="AE16" s="351"/>
      <c r="AF16" s="351"/>
      <c r="AG16" s="351"/>
      <c r="AH16" s="351"/>
      <c r="AI16" s="351"/>
      <c r="AJ16" s="351"/>
      <c r="AK16" s="351"/>
      <c r="AL16" s="351"/>
      <c r="AM16" s="351"/>
      <c r="AN16" s="351"/>
      <c r="AO16" s="351"/>
      <c r="AP16" s="351"/>
      <c r="AQ16" s="351"/>
      <c r="AR16" s="351"/>
      <c r="AS16" s="351"/>
      <c r="AT16" s="351"/>
      <c r="AU16" s="351"/>
      <c r="AV16" s="351"/>
      <c r="AW16" s="351"/>
      <c r="AX16" s="351"/>
      <c r="AY16" s="351"/>
      <c r="AZ16" s="351"/>
      <c r="BA16" s="351"/>
      <c r="BB16" s="351"/>
      <c r="BC16" s="351"/>
      <c r="BD16" s="351"/>
      <c r="BE16" s="351"/>
      <c r="BF16" s="454"/>
    </row>
    <row r="17" spans="2:58" ht="14" thickBot="1">
      <c r="B17" s="350" t="s">
        <v>880</v>
      </c>
      <c r="C17" s="351" t="s">
        <v>881</v>
      </c>
      <c r="D17" s="351"/>
      <c r="E17" s="351"/>
      <c r="F17" s="351"/>
      <c r="G17" s="351"/>
      <c r="H17" s="351"/>
      <c r="I17" s="351"/>
      <c r="J17" s="351"/>
      <c r="K17" s="351"/>
      <c r="L17" s="351"/>
      <c r="M17" s="351"/>
      <c r="N17" s="351"/>
      <c r="O17" s="351"/>
      <c r="P17" s="351"/>
      <c r="Q17" s="351"/>
      <c r="R17" s="351"/>
      <c r="S17" s="351"/>
      <c r="T17" s="351"/>
      <c r="U17" s="351"/>
      <c r="V17" s="351"/>
      <c r="W17" s="351"/>
      <c r="X17" s="351"/>
      <c r="Y17" s="351"/>
      <c r="Z17" s="351"/>
      <c r="AA17" s="351"/>
      <c r="AB17" s="351"/>
      <c r="AC17" s="351"/>
      <c r="AD17" s="351"/>
      <c r="AE17" s="351"/>
      <c r="AF17" s="351"/>
      <c r="AG17" s="351"/>
      <c r="AH17" s="351"/>
      <c r="AI17" s="351"/>
      <c r="AJ17" s="351"/>
      <c r="AK17" s="351"/>
      <c r="AL17" s="351"/>
      <c r="AM17" s="351"/>
      <c r="AN17" s="351"/>
      <c r="AO17" s="351"/>
      <c r="AP17" s="351"/>
      <c r="AQ17" s="351"/>
      <c r="AR17" s="351"/>
      <c r="AS17" s="351"/>
      <c r="AT17" s="351"/>
      <c r="AU17" s="351"/>
      <c r="AV17" s="351"/>
      <c r="AW17" s="351"/>
      <c r="AX17" s="351"/>
      <c r="AY17" s="351"/>
      <c r="AZ17" s="351"/>
      <c r="BA17" s="351"/>
      <c r="BB17" s="351"/>
      <c r="BC17" s="351"/>
      <c r="BD17" s="351"/>
      <c r="BE17" s="351"/>
      <c r="BF17" s="454"/>
    </row>
    <row r="18" spans="2:58" ht="14" thickBot="1">
      <c r="B18" s="350" t="s">
        <v>883</v>
      </c>
      <c r="C18" s="351" t="s">
        <v>885</v>
      </c>
      <c r="D18" s="351"/>
      <c r="E18" s="351"/>
      <c r="F18" s="351"/>
      <c r="G18" s="351"/>
      <c r="H18" s="351"/>
      <c r="I18" s="351"/>
      <c r="J18" s="351"/>
      <c r="K18" s="351"/>
      <c r="L18" s="351"/>
      <c r="M18" s="351"/>
      <c r="N18" s="351"/>
      <c r="O18" s="351"/>
      <c r="P18" s="351"/>
      <c r="Q18" s="351"/>
      <c r="R18" s="351"/>
      <c r="S18" s="351"/>
      <c r="T18" s="351"/>
      <c r="U18" s="351"/>
      <c r="V18" s="351"/>
      <c r="W18" s="351"/>
      <c r="X18" s="351"/>
      <c r="Y18" s="351"/>
      <c r="Z18" s="351"/>
      <c r="AA18" s="351"/>
      <c r="AB18" s="351"/>
      <c r="AC18" s="351"/>
      <c r="AD18" s="351"/>
      <c r="AE18" s="351"/>
      <c r="AF18" s="351"/>
      <c r="AG18" s="351"/>
      <c r="AH18" s="351"/>
      <c r="AI18" s="351"/>
      <c r="AJ18" s="351"/>
      <c r="AK18" s="351"/>
      <c r="AL18" s="351"/>
      <c r="AM18" s="351"/>
      <c r="AN18" s="351"/>
      <c r="AO18" s="351"/>
      <c r="AP18" s="351"/>
      <c r="AQ18" s="351"/>
      <c r="AR18" s="351"/>
      <c r="AS18" s="351"/>
      <c r="AT18" s="351"/>
      <c r="AU18" s="351"/>
      <c r="AV18" s="351"/>
      <c r="AW18" s="351"/>
      <c r="AX18" s="351"/>
      <c r="AY18" s="351"/>
      <c r="AZ18" s="351"/>
      <c r="BA18" s="351"/>
      <c r="BB18" s="351"/>
      <c r="BC18" s="351"/>
      <c r="BD18" s="351"/>
      <c r="BE18" s="351"/>
      <c r="BF18" s="454"/>
    </row>
    <row r="19" spans="2:58" ht="14" thickBot="1">
      <c r="B19" s="350" t="s">
        <v>886</v>
      </c>
      <c r="C19" s="351" t="s">
        <v>103</v>
      </c>
      <c r="D19" s="351"/>
      <c r="E19" s="351"/>
      <c r="F19" s="351"/>
      <c r="G19" s="351"/>
      <c r="H19" s="351"/>
      <c r="I19" s="351"/>
      <c r="J19" s="351"/>
      <c r="K19" s="351"/>
      <c r="L19" s="351"/>
      <c r="M19" s="351"/>
      <c r="N19" s="351"/>
      <c r="O19" s="351"/>
      <c r="P19" s="351"/>
      <c r="Q19" s="351"/>
      <c r="R19" s="351"/>
      <c r="S19" s="351"/>
      <c r="T19" s="351"/>
      <c r="U19" s="351"/>
      <c r="V19" s="351"/>
      <c r="W19" s="351"/>
      <c r="X19" s="351"/>
      <c r="Y19" s="351"/>
      <c r="Z19" s="351"/>
      <c r="AA19" s="351"/>
      <c r="AB19" s="351"/>
      <c r="AC19" s="351"/>
      <c r="AD19" s="351"/>
      <c r="AE19" s="351"/>
      <c r="AF19" s="351"/>
      <c r="AG19" s="351"/>
      <c r="AH19" s="351"/>
      <c r="AI19" s="351"/>
      <c r="AJ19" s="351"/>
      <c r="AK19" s="351"/>
      <c r="AL19" s="351"/>
      <c r="AM19" s="351"/>
      <c r="AN19" s="351"/>
      <c r="AO19" s="351"/>
      <c r="AP19" s="351"/>
      <c r="AQ19" s="351"/>
      <c r="AR19" s="351"/>
      <c r="AS19" s="351"/>
      <c r="AT19" s="351"/>
      <c r="AU19" s="351"/>
      <c r="AV19" s="351"/>
      <c r="AW19" s="351"/>
      <c r="AX19" s="351"/>
      <c r="AY19" s="351"/>
      <c r="AZ19" s="351"/>
      <c r="BA19" s="351"/>
      <c r="BB19" s="351"/>
      <c r="BC19" s="351"/>
      <c r="BD19" s="351"/>
      <c r="BE19" s="351"/>
      <c r="BF19" s="454"/>
    </row>
    <row r="20" spans="2:58" ht="14" thickBot="1">
      <c r="B20" s="352" t="s">
        <v>675</v>
      </c>
      <c r="C20" s="351" t="s">
        <v>480</v>
      </c>
      <c r="D20" s="351"/>
      <c r="E20" s="351"/>
      <c r="F20" s="351"/>
      <c r="G20" s="351"/>
      <c r="H20" s="351"/>
      <c r="I20" s="351"/>
      <c r="J20" s="351"/>
      <c r="K20" s="351"/>
      <c r="L20" s="351"/>
      <c r="M20" s="351"/>
      <c r="N20" s="351"/>
      <c r="O20" s="351"/>
      <c r="P20" s="351"/>
      <c r="Q20" s="351"/>
      <c r="R20" s="351"/>
      <c r="S20" s="351"/>
      <c r="T20" s="351"/>
      <c r="U20" s="351"/>
      <c r="V20" s="351"/>
      <c r="W20" s="351"/>
      <c r="X20" s="351"/>
      <c r="Y20" s="351"/>
      <c r="Z20" s="351"/>
      <c r="AA20" s="351"/>
      <c r="AB20" s="351"/>
      <c r="AC20" s="351"/>
      <c r="AD20" s="351"/>
      <c r="AE20" s="351"/>
      <c r="AF20" s="351"/>
      <c r="AG20" s="351"/>
      <c r="AH20" s="351"/>
      <c r="AI20" s="351"/>
      <c r="AJ20" s="351"/>
      <c r="AK20" s="351"/>
      <c r="AL20" s="351"/>
      <c r="AM20" s="351"/>
      <c r="AN20" s="351"/>
      <c r="AO20" s="351"/>
      <c r="AP20" s="351"/>
      <c r="AQ20" s="351"/>
      <c r="AR20" s="351"/>
      <c r="AS20" s="351"/>
      <c r="AT20" s="351"/>
      <c r="AU20" s="351"/>
      <c r="AV20" s="351"/>
      <c r="AW20" s="351"/>
      <c r="AX20" s="351"/>
      <c r="AY20" s="351"/>
      <c r="AZ20" s="351"/>
      <c r="BA20" s="351"/>
      <c r="BB20" s="351"/>
      <c r="BC20" s="351"/>
      <c r="BD20" s="351"/>
      <c r="BE20" s="351"/>
      <c r="BF20" s="454"/>
    </row>
    <row r="21" spans="2:58" ht="13.5">
      <c r="B21" s="353"/>
      <c r="C21" s="354"/>
      <c r="D21" s="440"/>
      <c r="E21" s="440"/>
      <c r="F21" s="440"/>
      <c r="G21" s="440"/>
      <c r="H21" s="440"/>
      <c r="I21" s="440"/>
      <c r="J21" s="440"/>
      <c r="K21" s="440"/>
      <c r="L21" s="440"/>
      <c r="M21" s="440"/>
      <c r="N21" s="440"/>
      <c r="O21" s="440"/>
      <c r="P21" s="440"/>
      <c r="Q21" s="440"/>
      <c r="R21" s="440"/>
      <c r="S21" s="440"/>
      <c r="T21" s="440"/>
      <c r="U21" s="440"/>
      <c r="V21" s="440"/>
      <c r="W21" s="440"/>
      <c r="X21" s="440"/>
      <c r="Y21" s="440"/>
      <c r="Z21" s="440"/>
      <c r="AA21" s="440"/>
      <c r="AB21" s="440"/>
      <c r="AC21" s="440"/>
      <c r="AD21" s="440"/>
      <c r="AE21" s="440"/>
      <c r="AF21" s="440"/>
      <c r="AG21" s="440"/>
      <c r="AH21" s="440"/>
      <c r="AI21" s="440"/>
      <c r="AJ21" s="440"/>
      <c r="AK21" s="440"/>
      <c r="AL21" s="440"/>
      <c r="AM21" s="440"/>
      <c r="AN21" s="440"/>
      <c r="AO21" s="440"/>
      <c r="AP21" s="440"/>
      <c r="AQ21" s="440"/>
      <c r="AR21" s="440"/>
      <c r="AS21" s="440"/>
      <c r="AT21" s="440"/>
      <c r="AU21" s="440"/>
      <c r="AV21" s="440"/>
      <c r="AW21" s="440"/>
      <c r="AX21" s="440"/>
      <c r="AY21" s="440"/>
      <c r="AZ21" s="440"/>
      <c r="BA21" s="440"/>
      <c r="BB21" s="440"/>
      <c r="BC21" s="440"/>
      <c r="BD21" s="440"/>
      <c r="BE21" s="440"/>
      <c r="BF21" s="455"/>
    </row>
    <row r="22" spans="2:58" ht="13.5">
      <c r="B22" s="353"/>
      <c r="C22" s="354" t="s">
        <v>481</v>
      </c>
      <c r="D22" s="440"/>
      <c r="E22" s="440"/>
      <c r="F22" s="440"/>
      <c r="G22" s="440"/>
      <c r="H22" s="440"/>
      <c r="I22" s="440"/>
      <c r="J22" s="440"/>
      <c r="K22" s="440"/>
      <c r="L22" s="440"/>
      <c r="M22" s="440"/>
      <c r="N22" s="440"/>
      <c r="O22" s="440"/>
      <c r="P22" s="440"/>
      <c r="Q22" s="440"/>
      <c r="AD22" s="440"/>
      <c r="AE22" s="440"/>
      <c r="AF22" s="440"/>
      <c r="AG22" s="440"/>
      <c r="AH22" s="440"/>
      <c r="AI22" s="440"/>
      <c r="AJ22" s="440"/>
      <c r="AK22" s="440"/>
      <c r="AL22" s="440"/>
      <c r="AM22" s="440"/>
      <c r="AN22" s="440"/>
      <c r="AO22" s="440"/>
      <c r="AP22" s="440"/>
      <c r="AQ22" s="440"/>
      <c r="AR22" s="440"/>
      <c r="AS22" s="440"/>
      <c r="AT22" s="440"/>
      <c r="AU22" s="440"/>
      <c r="AV22" s="440"/>
      <c r="AW22" s="440"/>
      <c r="AX22" s="440"/>
      <c r="AY22" s="440"/>
      <c r="AZ22" s="440"/>
      <c r="BA22" s="440"/>
      <c r="BB22" s="440"/>
      <c r="BC22" s="440"/>
      <c r="BD22" s="440"/>
      <c r="BE22" s="440"/>
      <c r="BF22" s="455"/>
    </row>
    <row r="23" spans="2:58" ht="13.5">
      <c r="B23" s="353"/>
      <c r="C23" s="354" t="s">
        <v>647</v>
      </c>
      <c r="D23" s="440"/>
      <c r="E23" s="440"/>
      <c r="F23" s="440"/>
      <c r="G23" s="440"/>
      <c r="H23" s="440"/>
      <c r="I23" s="440"/>
      <c r="J23" s="440"/>
      <c r="K23" s="440"/>
      <c r="L23" s="440"/>
      <c r="M23" s="440"/>
      <c r="N23" s="440"/>
      <c r="O23" s="440"/>
      <c r="P23" s="440"/>
      <c r="Q23" s="440"/>
      <c r="AD23" s="440"/>
      <c r="AE23" s="440"/>
      <c r="AF23" s="440"/>
      <c r="AG23" s="440"/>
      <c r="AH23" s="440"/>
      <c r="AI23" s="440"/>
      <c r="AJ23" s="440"/>
      <c r="AK23" s="440"/>
      <c r="AL23" s="440"/>
      <c r="AM23" s="440"/>
      <c r="AN23" s="440"/>
      <c r="AO23" s="440"/>
      <c r="AP23" s="440"/>
      <c r="AQ23" s="440"/>
      <c r="AR23" s="440"/>
      <c r="AS23" s="440"/>
      <c r="AT23" s="440"/>
      <c r="AU23" s="440"/>
      <c r="AV23" s="440"/>
      <c r="AW23" s="440"/>
      <c r="AX23" s="440"/>
      <c r="AY23" s="440"/>
      <c r="AZ23" s="440"/>
      <c r="BA23" s="440"/>
      <c r="BB23" s="440"/>
      <c r="BC23" s="440"/>
      <c r="BD23" s="440"/>
      <c r="BE23" s="440"/>
      <c r="BF23" s="455"/>
    </row>
    <row r="24" spans="2:58" ht="13.5">
      <c r="B24" s="353"/>
      <c r="C24" s="354"/>
      <c r="D24" s="440"/>
      <c r="E24" s="440"/>
      <c r="F24" s="440"/>
      <c r="G24" s="440"/>
      <c r="H24" s="440"/>
      <c r="I24" s="440"/>
      <c r="J24" s="440"/>
      <c r="K24" s="440"/>
      <c r="L24" s="440"/>
      <c r="M24" s="440"/>
      <c r="N24" s="440"/>
      <c r="O24" s="440"/>
      <c r="P24" s="440"/>
      <c r="Q24" s="440"/>
      <c r="AD24" s="440"/>
      <c r="AE24" s="440"/>
      <c r="AF24" s="440"/>
      <c r="AG24" s="440"/>
      <c r="AH24" s="440"/>
      <c r="AI24" s="440"/>
      <c r="AJ24" s="440"/>
      <c r="AK24" s="440"/>
      <c r="AL24" s="440"/>
      <c r="AM24" s="440"/>
      <c r="AN24" s="440"/>
      <c r="AO24" s="440"/>
      <c r="AP24" s="440"/>
      <c r="AQ24" s="440"/>
      <c r="AR24" s="440"/>
      <c r="AS24" s="440"/>
      <c r="AT24" s="440"/>
      <c r="AU24" s="440"/>
      <c r="AV24" s="440"/>
      <c r="AW24" s="440"/>
      <c r="AX24" s="440"/>
      <c r="AY24" s="440"/>
      <c r="AZ24" s="440"/>
      <c r="BA24" s="440"/>
      <c r="BB24" s="440"/>
      <c r="BC24" s="440"/>
      <c r="BD24" s="440"/>
      <c r="BE24" s="440"/>
      <c r="BF24" s="455"/>
    </row>
    <row r="25" spans="2:58" ht="15">
      <c r="B25" s="353"/>
      <c r="C25" s="380" t="s">
        <v>452</v>
      </c>
      <c r="D25" s="381"/>
      <c r="E25" s="381"/>
      <c r="F25" s="381"/>
      <c r="G25" s="381"/>
      <c r="H25" s="381"/>
      <c r="I25" s="381"/>
      <c r="J25" s="381"/>
      <c r="K25" s="381"/>
      <c r="L25" s="381"/>
      <c r="M25" s="381"/>
      <c r="N25" s="381"/>
      <c r="O25" s="381"/>
      <c r="P25" s="381"/>
      <c r="Q25" s="381"/>
      <c r="R25" s="381"/>
      <c r="S25" s="381"/>
      <c r="BF25" s="348"/>
    </row>
    <row r="26" spans="2:58" ht="15">
      <c r="B26" s="353"/>
      <c r="D26" s="337"/>
      <c r="E26" s="336" t="s">
        <v>217</v>
      </c>
      <c r="F26" s="337"/>
      <c r="G26" s="337"/>
      <c r="H26" s="337"/>
      <c r="I26" s="338"/>
      <c r="J26" s="338"/>
      <c r="K26" s="338"/>
      <c r="L26" s="338"/>
      <c r="M26" s="338"/>
      <c r="N26" s="338"/>
      <c r="O26" s="338"/>
      <c r="P26" s="338"/>
      <c r="Q26" s="338"/>
      <c r="R26" s="338"/>
      <c r="S26" s="338"/>
      <c r="BF26" s="348"/>
    </row>
    <row r="27" spans="2:58" ht="13.5">
      <c r="B27" s="353"/>
      <c r="C27" s="371" t="s">
        <v>657</v>
      </c>
      <c r="D27" s="335" t="s">
        <v>453</v>
      </c>
      <c r="E27" s="335" t="s">
        <v>454</v>
      </c>
      <c r="F27" s="335" t="s">
        <v>455</v>
      </c>
      <c r="G27" s="335" t="s">
        <v>456</v>
      </c>
      <c r="H27" s="335" t="s">
        <v>457</v>
      </c>
      <c r="I27" s="335" t="s">
        <v>458</v>
      </c>
      <c r="J27" s="339" t="s">
        <v>459</v>
      </c>
      <c r="K27" s="335" t="s">
        <v>460</v>
      </c>
      <c r="L27" s="340" t="s">
        <v>461</v>
      </c>
      <c r="M27" s="341" t="s">
        <v>462</v>
      </c>
      <c r="N27" s="341" t="s">
        <v>463</v>
      </c>
      <c r="O27" s="341" t="s">
        <v>464</v>
      </c>
      <c r="P27" s="341" t="s">
        <v>465</v>
      </c>
      <c r="Q27" s="341" t="s">
        <v>146</v>
      </c>
      <c r="R27" s="341" t="s">
        <v>148</v>
      </c>
      <c r="S27" s="335" t="s">
        <v>466</v>
      </c>
      <c r="BF27" s="348"/>
    </row>
    <row r="28" spans="2:58" ht="13.5">
      <c r="B28" s="353"/>
      <c r="C28" s="371" t="s">
        <v>686</v>
      </c>
      <c r="D28" s="335" t="s">
        <v>436</v>
      </c>
      <c r="E28" s="335" t="s">
        <v>437</v>
      </c>
      <c r="F28" s="335" t="s">
        <v>438</v>
      </c>
      <c r="G28" s="335" t="s">
        <v>439</v>
      </c>
      <c r="H28" s="335" t="s">
        <v>440</v>
      </c>
      <c r="I28" s="335" t="s">
        <v>441</v>
      </c>
      <c r="J28" s="335" t="s">
        <v>442</v>
      </c>
      <c r="K28" s="335" t="s">
        <v>443</v>
      </c>
      <c r="L28" s="335" t="s">
        <v>444</v>
      </c>
      <c r="M28" s="335" t="s">
        <v>445</v>
      </c>
      <c r="N28" s="335" t="s">
        <v>446</v>
      </c>
      <c r="O28" s="335" t="s">
        <v>447</v>
      </c>
      <c r="P28" s="335" t="s">
        <v>448</v>
      </c>
      <c r="Q28" s="335" t="s">
        <v>449</v>
      </c>
      <c r="R28" s="335" t="s">
        <v>450</v>
      </c>
      <c r="S28" s="335" t="s">
        <v>451</v>
      </c>
      <c r="BF28" s="348"/>
    </row>
    <row r="29" spans="2:58" ht="13.5">
      <c r="B29" s="360"/>
      <c r="C29" s="371" t="s">
        <v>687</v>
      </c>
      <c r="D29" s="335" t="s">
        <v>468</v>
      </c>
      <c r="E29" s="335" t="s">
        <v>468</v>
      </c>
      <c r="F29" s="335" t="s">
        <v>469</v>
      </c>
      <c r="G29" s="335" t="s">
        <v>470</v>
      </c>
      <c r="H29" s="335" t="s">
        <v>468</v>
      </c>
      <c r="I29" s="335" t="s">
        <v>471</v>
      </c>
      <c r="J29" s="335" t="s">
        <v>470</v>
      </c>
      <c r="K29" s="335" t="s">
        <v>470</v>
      </c>
      <c r="L29" s="335" t="s">
        <v>472</v>
      </c>
      <c r="M29" s="335" t="s">
        <v>473</v>
      </c>
      <c r="N29" s="335" t="s">
        <v>474</v>
      </c>
      <c r="O29" s="335" t="s">
        <v>475</v>
      </c>
      <c r="P29" s="335" t="s">
        <v>475</v>
      </c>
      <c r="Q29" s="335" t="s">
        <v>223</v>
      </c>
      <c r="R29" s="335" t="s">
        <v>475</v>
      </c>
      <c r="S29" s="335" t="s">
        <v>475</v>
      </c>
      <c r="BF29" s="348"/>
    </row>
    <row r="30" spans="2:58" ht="14">
      <c r="B30" s="360" t="s">
        <v>532</v>
      </c>
      <c r="C30" s="361" t="s">
        <v>1015</v>
      </c>
      <c r="D30" s="407" t="s">
        <v>649</v>
      </c>
      <c r="E30" s="407" t="s">
        <v>650</v>
      </c>
      <c r="F30" s="407" t="s">
        <v>535</v>
      </c>
      <c r="G30" s="407" t="s">
        <v>232</v>
      </c>
      <c r="H30" s="407" t="s">
        <v>651</v>
      </c>
      <c r="I30" s="407" t="s">
        <v>538</v>
      </c>
      <c r="J30" s="407" t="s">
        <v>534</v>
      </c>
      <c r="K30" s="407" t="s">
        <v>534</v>
      </c>
      <c r="L30" s="407" t="s">
        <v>652</v>
      </c>
      <c r="M30" s="407" t="s">
        <v>534</v>
      </c>
      <c r="N30" s="407" t="s">
        <v>653</v>
      </c>
      <c r="O30" s="407" t="s">
        <v>654</v>
      </c>
      <c r="P30" s="407" t="s">
        <v>654</v>
      </c>
      <c r="Q30" s="407" t="s">
        <v>655</v>
      </c>
      <c r="R30" s="407" t="s">
        <v>656</v>
      </c>
      <c r="S30" s="407" t="s">
        <v>656</v>
      </c>
      <c r="BF30" s="348"/>
    </row>
    <row r="31" spans="2:58" ht="14">
      <c r="B31" s="362" t="s">
        <v>537</v>
      </c>
      <c r="C31" s="388" t="s">
        <v>658</v>
      </c>
      <c r="D31" s="407" t="s">
        <v>649</v>
      </c>
      <c r="E31" s="407" t="s">
        <v>659</v>
      </c>
      <c r="F31" s="407" t="s">
        <v>535</v>
      </c>
      <c r="G31" s="407" t="s">
        <v>232</v>
      </c>
      <c r="H31" s="407" t="s">
        <v>651</v>
      </c>
      <c r="I31" s="407" t="s">
        <v>660</v>
      </c>
      <c r="J31" s="407" t="s">
        <v>534</v>
      </c>
      <c r="K31" s="407" t="s">
        <v>534</v>
      </c>
      <c r="L31" s="407" t="s">
        <v>661</v>
      </c>
      <c r="M31" s="407" t="s">
        <v>534</v>
      </c>
      <c r="N31" s="407" t="s">
        <v>653</v>
      </c>
      <c r="O31" s="407" t="s">
        <v>654</v>
      </c>
      <c r="P31" s="407" t="s">
        <v>654</v>
      </c>
      <c r="Q31" s="407" t="s">
        <v>662</v>
      </c>
      <c r="R31" s="407" t="s">
        <v>656</v>
      </c>
      <c r="S31" s="407" t="s">
        <v>656</v>
      </c>
      <c r="BF31" s="348"/>
    </row>
    <row r="32" spans="2:58" ht="14">
      <c r="B32" s="362" t="s">
        <v>537</v>
      </c>
      <c r="C32" s="388" t="s">
        <v>663</v>
      </c>
      <c r="D32" s="407" t="s">
        <v>649</v>
      </c>
      <c r="E32" s="407" t="s">
        <v>650</v>
      </c>
      <c r="F32" s="407" t="s">
        <v>535</v>
      </c>
      <c r="G32" s="407" t="s">
        <v>232</v>
      </c>
      <c r="H32" s="407" t="s">
        <v>651</v>
      </c>
      <c r="I32" s="407" t="s">
        <v>660</v>
      </c>
      <c r="J32" s="407" t="s">
        <v>534</v>
      </c>
      <c r="K32" s="407" t="s">
        <v>534</v>
      </c>
      <c r="L32" s="407" t="s">
        <v>664</v>
      </c>
      <c r="M32" s="407" t="s">
        <v>534</v>
      </c>
      <c r="N32" s="407" t="s">
        <v>665</v>
      </c>
      <c r="O32" s="407" t="s">
        <v>666</v>
      </c>
      <c r="P32" s="407" t="s">
        <v>666</v>
      </c>
      <c r="Q32" s="407" t="s">
        <v>665</v>
      </c>
      <c r="R32" s="407" t="s">
        <v>666</v>
      </c>
      <c r="S32" s="407" t="s">
        <v>666</v>
      </c>
      <c r="BF32" s="348"/>
    </row>
    <row r="33" spans="2:58" ht="14">
      <c r="B33" s="362" t="s">
        <v>537</v>
      </c>
      <c r="C33" s="388" t="s">
        <v>667</v>
      </c>
      <c r="D33" s="407" t="s">
        <v>649</v>
      </c>
      <c r="E33" s="407" t="s">
        <v>650</v>
      </c>
      <c r="F33" s="407" t="s">
        <v>535</v>
      </c>
      <c r="G33" s="407" t="s">
        <v>232</v>
      </c>
      <c r="H33" s="407" t="s">
        <v>651</v>
      </c>
      <c r="I33" s="407" t="s">
        <v>660</v>
      </c>
      <c r="J33" s="407" t="s">
        <v>534</v>
      </c>
      <c r="K33" s="407" t="s">
        <v>534</v>
      </c>
      <c r="L33" s="407" t="s">
        <v>668</v>
      </c>
      <c r="M33" s="407" t="s">
        <v>534</v>
      </c>
      <c r="N33" s="407" t="s">
        <v>653</v>
      </c>
      <c r="O33" s="407" t="s">
        <v>654</v>
      </c>
      <c r="P33" s="407" t="s">
        <v>654</v>
      </c>
      <c r="Q33" s="407" t="s">
        <v>655</v>
      </c>
      <c r="R33" s="407" t="s">
        <v>656</v>
      </c>
      <c r="S33" s="407" t="s">
        <v>656</v>
      </c>
      <c r="BF33" s="348"/>
    </row>
    <row r="34" spans="2:58" ht="14">
      <c r="B34" s="366"/>
      <c r="E34" s="391"/>
      <c r="F34" s="391"/>
      <c r="G34" s="391"/>
      <c r="H34" s="391"/>
      <c r="I34" s="391"/>
      <c r="J34" s="391"/>
      <c r="K34" s="391"/>
      <c r="L34" s="391"/>
      <c r="M34" s="391"/>
      <c r="N34" s="391"/>
      <c r="O34" s="391"/>
      <c r="P34" s="391"/>
      <c r="Q34" s="391"/>
      <c r="R34" s="391"/>
      <c r="S34" s="375"/>
      <c r="BF34" s="348"/>
    </row>
    <row r="35" spans="2:58">
      <c r="B35" s="366"/>
      <c r="C35" s="393" t="s">
        <v>679</v>
      </c>
      <c r="D35" s="394"/>
      <c r="E35" s="394"/>
      <c r="F35" s="394"/>
      <c r="G35" s="394"/>
      <c r="H35" s="394"/>
      <c r="I35" s="394"/>
      <c r="J35" s="394"/>
      <c r="K35" s="394"/>
      <c r="L35" s="394"/>
      <c r="M35" s="394"/>
      <c r="BF35" s="348"/>
    </row>
    <row r="36" spans="2:58" ht="15">
      <c r="B36" s="366"/>
      <c r="C36" s="336"/>
      <c r="D36" s="392"/>
      <c r="E36" s="336"/>
      <c r="F36" s="336" t="s">
        <v>217</v>
      </c>
      <c r="G36" s="392"/>
      <c r="H36" s="392"/>
      <c r="I36" s="392"/>
      <c r="J36" s="392"/>
      <c r="K36" s="392"/>
      <c r="L36" s="392"/>
      <c r="M36" s="392"/>
      <c r="BF36" s="348"/>
    </row>
    <row r="37" spans="2:58">
      <c r="B37" s="366"/>
      <c r="C37" s="371" t="s">
        <v>688</v>
      </c>
      <c r="D37" s="335" t="s">
        <v>682</v>
      </c>
      <c r="E37" s="371" t="s">
        <v>689</v>
      </c>
      <c r="F37" s="335" t="s">
        <v>683</v>
      </c>
      <c r="G37" s="341" t="s">
        <v>462</v>
      </c>
      <c r="H37" s="341" t="s">
        <v>463</v>
      </c>
      <c r="I37" s="341" t="s">
        <v>464</v>
      </c>
      <c r="J37" s="341" t="s">
        <v>465</v>
      </c>
      <c r="K37" s="341" t="s">
        <v>146</v>
      </c>
      <c r="L37" s="341" t="s">
        <v>148</v>
      </c>
      <c r="M37" s="341" t="s">
        <v>466</v>
      </c>
      <c r="BF37" s="348"/>
    </row>
    <row r="38" spans="2:58" ht="14">
      <c r="B38" s="366"/>
      <c r="C38" s="405" t="s">
        <v>690</v>
      </c>
      <c r="D38" s="335" t="s">
        <v>680</v>
      </c>
      <c r="E38" s="405" t="s">
        <v>692</v>
      </c>
      <c r="F38" s="335" t="s">
        <v>681</v>
      </c>
      <c r="G38" s="335" t="s">
        <v>445</v>
      </c>
      <c r="H38" s="335" t="s">
        <v>446</v>
      </c>
      <c r="I38" s="335" t="s">
        <v>447</v>
      </c>
      <c r="J38" s="335" t="s">
        <v>448</v>
      </c>
      <c r="K38" s="335" t="s">
        <v>449</v>
      </c>
      <c r="L38" s="335" t="s">
        <v>450</v>
      </c>
      <c r="M38" s="335" t="s">
        <v>451</v>
      </c>
      <c r="BF38" s="348"/>
    </row>
    <row r="39" spans="2:58" ht="14">
      <c r="B39" s="366"/>
      <c r="C39" s="405" t="s">
        <v>691</v>
      </c>
      <c r="D39" s="367" t="s">
        <v>685</v>
      </c>
      <c r="E39" s="405" t="s">
        <v>693</v>
      </c>
      <c r="F39" s="367" t="s">
        <v>470</v>
      </c>
      <c r="G39" s="367" t="s">
        <v>684</v>
      </c>
      <c r="H39" s="367" t="s">
        <v>474</v>
      </c>
      <c r="I39" s="367" t="s">
        <v>475</v>
      </c>
      <c r="J39" s="367" t="s">
        <v>475</v>
      </c>
      <c r="K39" s="367" t="s">
        <v>223</v>
      </c>
      <c r="L39" s="367" t="s">
        <v>475</v>
      </c>
      <c r="M39" s="406" t="s">
        <v>475</v>
      </c>
      <c r="BF39" s="348"/>
    </row>
    <row r="40" spans="2:58" ht="14">
      <c r="B40" s="362" t="s">
        <v>537</v>
      </c>
      <c r="C40" s="388" t="s">
        <v>651</v>
      </c>
      <c r="D40" s="407" t="s">
        <v>694</v>
      </c>
      <c r="E40" s="407" t="s">
        <v>695</v>
      </c>
      <c r="F40" s="407" t="s">
        <v>534</v>
      </c>
      <c r="G40" s="407" t="s">
        <v>534</v>
      </c>
      <c r="H40" s="408" t="s">
        <v>696</v>
      </c>
      <c r="I40" s="407" t="s">
        <v>697</v>
      </c>
      <c r="J40" s="407" t="s">
        <v>697</v>
      </c>
      <c r="K40" s="407" t="s">
        <v>698</v>
      </c>
      <c r="L40" s="407" t="s">
        <v>699</v>
      </c>
      <c r="M40" s="406" t="s">
        <v>699</v>
      </c>
      <c r="BF40" s="348"/>
    </row>
    <row r="41" spans="2:58" ht="14">
      <c r="B41" s="362" t="s">
        <v>537</v>
      </c>
      <c r="C41" s="388" t="s">
        <v>700</v>
      </c>
      <c r="D41" s="407" t="s">
        <v>694</v>
      </c>
      <c r="E41" s="407" t="s">
        <v>695</v>
      </c>
      <c r="F41" s="407" t="s">
        <v>534</v>
      </c>
      <c r="G41" s="407" t="s">
        <v>534</v>
      </c>
      <c r="H41" s="408" t="s">
        <v>696</v>
      </c>
      <c r="I41" s="407" t="s">
        <v>697</v>
      </c>
      <c r="J41" s="407" t="s">
        <v>697</v>
      </c>
      <c r="K41" s="407" t="s">
        <v>698</v>
      </c>
      <c r="L41" s="407" t="s">
        <v>699</v>
      </c>
      <c r="M41" s="406" t="s">
        <v>699</v>
      </c>
      <c r="BF41" s="348"/>
    </row>
    <row r="42" spans="2:58" ht="14">
      <c r="B42" s="362" t="s">
        <v>537</v>
      </c>
      <c r="C42" s="388" t="s">
        <v>659</v>
      </c>
      <c r="D42" s="407" t="s">
        <v>694</v>
      </c>
      <c r="E42" s="407" t="s">
        <v>695</v>
      </c>
      <c r="F42" s="407" t="s">
        <v>534</v>
      </c>
      <c r="G42" s="407" t="s">
        <v>534</v>
      </c>
      <c r="H42" s="408" t="s">
        <v>696</v>
      </c>
      <c r="I42" s="407" t="s">
        <v>697</v>
      </c>
      <c r="J42" s="407" t="s">
        <v>697</v>
      </c>
      <c r="K42" s="407" t="s">
        <v>698</v>
      </c>
      <c r="L42" s="407" t="s">
        <v>699</v>
      </c>
      <c r="M42" s="406" t="s">
        <v>699</v>
      </c>
      <c r="BF42" s="348"/>
    </row>
    <row r="43" spans="2:58" ht="14">
      <c r="B43" s="362" t="s">
        <v>537</v>
      </c>
      <c r="C43" s="388" t="s">
        <v>539</v>
      </c>
      <c r="D43" s="407" t="s">
        <v>694</v>
      </c>
      <c r="E43" s="407" t="s">
        <v>695</v>
      </c>
      <c r="F43" s="407" t="s">
        <v>534</v>
      </c>
      <c r="G43" s="407" t="s">
        <v>534</v>
      </c>
      <c r="H43" s="410" t="s">
        <v>696</v>
      </c>
      <c r="I43" s="407" t="s">
        <v>697</v>
      </c>
      <c r="J43" s="407" t="s">
        <v>697</v>
      </c>
      <c r="K43" s="407" t="s">
        <v>698</v>
      </c>
      <c r="L43" s="407" t="s">
        <v>699</v>
      </c>
      <c r="M43" s="406" t="s">
        <v>699</v>
      </c>
      <c r="BF43" s="348"/>
    </row>
    <row r="44" spans="2:58" ht="14">
      <c r="B44" s="360" t="s">
        <v>532</v>
      </c>
      <c r="C44" s="406" t="s">
        <v>650</v>
      </c>
      <c r="D44" s="407" t="s">
        <v>694</v>
      </c>
      <c r="E44" s="407" t="s">
        <v>695</v>
      </c>
      <c r="F44" s="407" t="s">
        <v>534</v>
      </c>
      <c r="G44" s="407" t="s">
        <v>534</v>
      </c>
      <c r="H44" s="410" t="s">
        <v>696</v>
      </c>
      <c r="I44" s="407" t="s">
        <v>697</v>
      </c>
      <c r="J44" s="407" t="s">
        <v>697</v>
      </c>
      <c r="K44" s="407" t="s">
        <v>698</v>
      </c>
      <c r="L44" s="407" t="s">
        <v>699</v>
      </c>
      <c r="M44" s="406" t="s">
        <v>699</v>
      </c>
      <c r="BF44" s="348"/>
    </row>
    <row r="45" spans="2:58" ht="14">
      <c r="B45" s="362" t="s">
        <v>537</v>
      </c>
      <c r="C45" s="406" t="s">
        <v>650</v>
      </c>
      <c r="D45" s="406" t="s">
        <v>694</v>
      </c>
      <c r="E45" s="388" t="s">
        <v>805</v>
      </c>
      <c r="F45" s="407" t="s">
        <v>232</v>
      </c>
      <c r="G45" s="407" t="s">
        <v>534</v>
      </c>
      <c r="H45" s="407" t="s">
        <v>696</v>
      </c>
      <c r="I45" s="407" t="s">
        <v>697</v>
      </c>
      <c r="J45" s="407" t="s">
        <v>697</v>
      </c>
      <c r="K45" s="407" t="s">
        <v>698</v>
      </c>
      <c r="L45" s="407" t="s">
        <v>699</v>
      </c>
      <c r="M45" s="407" t="s">
        <v>699</v>
      </c>
      <c r="BF45" s="348"/>
    </row>
    <row r="46" spans="2:58" ht="14">
      <c r="B46" s="362" t="s">
        <v>537</v>
      </c>
      <c r="C46" s="411" t="s">
        <v>650</v>
      </c>
      <c r="D46" s="411" t="s">
        <v>809</v>
      </c>
      <c r="E46" s="388" t="s">
        <v>810</v>
      </c>
      <c r="F46" s="407" t="s">
        <v>232</v>
      </c>
      <c r="G46" s="407" t="s">
        <v>534</v>
      </c>
      <c r="H46" s="407" t="s">
        <v>696</v>
      </c>
      <c r="I46" s="407" t="s">
        <v>697</v>
      </c>
      <c r="J46" s="407" t="s">
        <v>697</v>
      </c>
      <c r="K46" s="407" t="s">
        <v>698</v>
      </c>
      <c r="L46" s="407" t="s">
        <v>699</v>
      </c>
      <c r="M46" s="407" t="s">
        <v>699</v>
      </c>
      <c r="BF46" s="348"/>
    </row>
    <row r="47" spans="2:58" ht="14">
      <c r="B47" s="362" t="s">
        <v>537</v>
      </c>
      <c r="C47" s="411" t="s">
        <v>650</v>
      </c>
      <c r="D47" s="411" t="s">
        <v>809</v>
      </c>
      <c r="E47" s="388" t="s">
        <v>811</v>
      </c>
      <c r="F47" s="407" t="s">
        <v>232</v>
      </c>
      <c r="G47" s="407" t="s">
        <v>534</v>
      </c>
      <c r="H47" s="407" t="s">
        <v>696</v>
      </c>
      <c r="I47" s="407" t="s">
        <v>697</v>
      </c>
      <c r="J47" s="407" t="s">
        <v>697</v>
      </c>
      <c r="K47" s="407" t="s">
        <v>698</v>
      </c>
      <c r="L47" s="407" t="s">
        <v>699</v>
      </c>
      <c r="M47" s="407" t="s">
        <v>699</v>
      </c>
      <c r="BF47" s="348"/>
    </row>
    <row r="48" spans="2:58" ht="14">
      <c r="B48" s="360" t="s">
        <v>532</v>
      </c>
      <c r="C48" s="411" t="s">
        <v>650</v>
      </c>
      <c r="D48" s="411" t="s">
        <v>809</v>
      </c>
      <c r="E48" s="411" t="s">
        <v>812</v>
      </c>
      <c r="F48" s="407" t="s">
        <v>534</v>
      </c>
      <c r="G48" s="407" t="s">
        <v>534</v>
      </c>
      <c r="H48" s="407" t="s">
        <v>696</v>
      </c>
      <c r="I48" s="407" t="s">
        <v>697</v>
      </c>
      <c r="J48" s="407" t="s">
        <v>697</v>
      </c>
      <c r="K48" s="407" t="s">
        <v>698</v>
      </c>
      <c r="L48" s="407" t="s">
        <v>699</v>
      </c>
      <c r="M48" s="407" t="s">
        <v>699</v>
      </c>
      <c r="BF48" s="348"/>
    </row>
    <row r="49" spans="1:59" ht="14">
      <c r="B49" s="360" t="s">
        <v>532</v>
      </c>
      <c r="C49" s="411" t="s">
        <v>650</v>
      </c>
      <c r="D49" s="411" t="s">
        <v>809</v>
      </c>
      <c r="E49" s="411" t="s">
        <v>813</v>
      </c>
      <c r="F49" s="407" t="s">
        <v>534</v>
      </c>
      <c r="G49" s="407" t="s">
        <v>534</v>
      </c>
      <c r="H49" s="407" t="s">
        <v>696</v>
      </c>
      <c r="I49" s="407" t="s">
        <v>697</v>
      </c>
      <c r="J49" s="407" t="s">
        <v>697</v>
      </c>
      <c r="K49" s="407" t="s">
        <v>698</v>
      </c>
      <c r="L49" s="407" t="s">
        <v>699</v>
      </c>
      <c r="M49" s="407" t="s">
        <v>699</v>
      </c>
      <c r="BF49" s="348"/>
    </row>
    <row r="50" spans="1:59" ht="14">
      <c r="B50" s="360"/>
      <c r="C50" s="387"/>
      <c r="D50" s="387"/>
      <c r="E50" s="387"/>
      <c r="F50" s="387"/>
      <c r="G50" s="387"/>
      <c r="I50" s="387"/>
      <c r="J50" s="387"/>
      <c r="K50" s="387"/>
      <c r="L50" s="387"/>
      <c r="M50" s="387"/>
      <c r="AO50" s="417"/>
      <c r="BF50" s="348"/>
    </row>
    <row r="51" spans="1:59" ht="14">
      <c r="B51" s="360"/>
      <c r="C51" s="387"/>
      <c r="D51" s="387"/>
      <c r="E51" s="387"/>
      <c r="F51" s="387"/>
      <c r="G51" s="387"/>
      <c r="I51" s="387"/>
      <c r="J51" s="387"/>
      <c r="K51" s="387"/>
      <c r="L51" s="387"/>
      <c r="M51" s="387"/>
      <c r="AO51" s="417"/>
      <c r="BF51" s="348"/>
    </row>
    <row r="52" spans="1:59" ht="14">
      <c r="B52" s="366"/>
      <c r="E52" s="391"/>
      <c r="F52" s="391"/>
      <c r="G52" s="391"/>
      <c r="I52" s="391"/>
      <c r="J52" s="391"/>
      <c r="K52" s="391"/>
      <c r="L52" s="391"/>
      <c r="M52" s="391"/>
      <c r="N52" s="391"/>
      <c r="O52" s="391"/>
      <c r="P52" s="391"/>
      <c r="Q52" s="391"/>
      <c r="R52" s="391"/>
      <c r="S52" s="375"/>
      <c r="AO52" s="391"/>
      <c r="BF52" s="348"/>
    </row>
    <row r="53" spans="1:59" s="28" customFormat="1" ht="19.5" customHeight="1">
      <c r="B53" s="441"/>
      <c r="C53" s="355" t="s">
        <v>712</v>
      </c>
      <c r="D53" s="356"/>
      <c r="E53" s="356"/>
      <c r="F53" s="356"/>
      <c r="G53" s="356"/>
      <c r="H53" s="120"/>
      <c r="I53" s="356"/>
      <c r="J53" s="356"/>
      <c r="K53" s="356"/>
      <c r="L53" s="356"/>
      <c r="M53" s="356"/>
      <c r="N53" s="356"/>
      <c r="O53" s="356"/>
      <c r="P53" s="356"/>
      <c r="Q53" s="356"/>
      <c r="R53" s="356"/>
      <c r="S53" s="118"/>
      <c r="T53" s="118"/>
      <c r="U53" s="118"/>
      <c r="V53" s="118"/>
      <c r="W53" s="118"/>
      <c r="X53" s="118"/>
      <c r="Y53" s="119"/>
      <c r="Z53" s="119"/>
      <c r="AA53" s="119"/>
      <c r="AB53" s="119"/>
      <c r="AC53" s="119"/>
      <c r="AD53" s="119"/>
      <c r="AE53" s="119"/>
      <c r="AF53" s="119"/>
      <c r="AG53" s="119"/>
      <c r="AH53" s="119"/>
      <c r="AI53" s="119"/>
      <c r="AJ53" s="119"/>
      <c r="AK53" s="119"/>
      <c r="AL53" s="119"/>
      <c r="AM53" s="119"/>
      <c r="AN53" s="119"/>
      <c r="AO53" s="356"/>
      <c r="AP53" s="120"/>
      <c r="AQ53" s="120"/>
      <c r="AR53" s="120"/>
      <c r="AS53" s="120"/>
      <c r="AT53" s="120"/>
      <c r="AU53" s="120"/>
      <c r="AV53" s="120"/>
      <c r="AW53" s="120"/>
      <c r="AX53" s="120"/>
      <c r="AY53" s="120"/>
      <c r="AZ53" s="120"/>
      <c r="BA53" s="120"/>
      <c r="BB53" s="120"/>
      <c r="BC53" s="120"/>
      <c r="BD53" s="120"/>
      <c r="BE53" s="120"/>
      <c r="BF53" s="456"/>
      <c r="BG53"/>
    </row>
    <row r="54" spans="1:59" s="98" customFormat="1" ht="16.5" customHeight="1">
      <c r="A54" s="96"/>
      <c r="B54" s="442"/>
      <c r="C54" s="358"/>
      <c r="D54" s="358"/>
      <c r="E54" s="358"/>
      <c r="F54" s="359" t="s">
        <v>217</v>
      </c>
      <c r="G54" s="364"/>
      <c r="H54" s="359"/>
      <c r="I54" s="359"/>
      <c r="J54" s="364"/>
      <c r="K54" s="364"/>
      <c r="L54" s="364"/>
      <c r="M54" s="364"/>
      <c r="N54" s="364"/>
      <c r="O54" s="364"/>
      <c r="P54" s="364"/>
      <c r="Q54" s="364"/>
      <c r="R54" s="364"/>
      <c r="S54" s="364"/>
      <c r="T54" s="364"/>
      <c r="U54" s="364"/>
      <c r="V54" s="364"/>
      <c r="W54" s="364"/>
      <c r="X54" s="364"/>
      <c r="Y54" s="365"/>
      <c r="Z54" s="365"/>
      <c r="AA54" s="365"/>
      <c r="AB54" s="365"/>
      <c r="AC54" s="365"/>
      <c r="AD54" s="365"/>
      <c r="AE54" s="365"/>
      <c r="AF54" s="365"/>
      <c r="AG54" s="365"/>
      <c r="AH54" s="365"/>
      <c r="AI54" s="365"/>
      <c r="AJ54" s="365"/>
      <c r="AK54" s="359"/>
      <c r="AL54" s="365"/>
      <c r="AM54" s="365"/>
      <c r="AN54" s="365"/>
      <c r="AO54" s="359"/>
      <c r="AP54" s="365"/>
      <c r="AQ54" s="365"/>
      <c r="AR54" s="359"/>
      <c r="AS54" s="365"/>
      <c r="AT54" s="365"/>
      <c r="AU54" s="365"/>
      <c r="AV54" s="365"/>
      <c r="AW54" s="365"/>
      <c r="AX54" s="365"/>
      <c r="AY54" s="365"/>
      <c r="AZ54" s="365"/>
      <c r="BA54" s="365"/>
      <c r="BB54" s="365"/>
      <c r="BC54" s="365"/>
      <c r="BD54" s="365"/>
      <c r="BE54" s="365"/>
      <c r="BF54" s="457"/>
      <c r="BG54"/>
    </row>
    <row r="55" spans="1:59" s="105" customFormat="1" ht="86" customHeight="1">
      <c r="B55" s="443"/>
      <c r="C55" s="334" t="s">
        <v>540</v>
      </c>
      <c r="D55" s="334" t="s">
        <v>541</v>
      </c>
      <c r="E55" s="334" t="s">
        <v>542</v>
      </c>
      <c r="F55" s="341" t="s">
        <v>577</v>
      </c>
      <c r="G55" s="341" t="s">
        <v>543</v>
      </c>
      <c r="H55" s="341" t="s">
        <v>484</v>
      </c>
      <c r="I55" s="341" t="s">
        <v>545</v>
      </c>
      <c r="J55" s="341" t="s">
        <v>546</v>
      </c>
      <c r="K55" s="341" t="s">
        <v>547</v>
      </c>
      <c r="L55" s="341" t="s">
        <v>548</v>
      </c>
      <c r="M55" s="341" t="s">
        <v>549</v>
      </c>
      <c r="N55" s="341" t="s">
        <v>550</v>
      </c>
      <c r="O55" s="341" t="s">
        <v>551</v>
      </c>
      <c r="P55" s="341" t="s">
        <v>552</v>
      </c>
      <c r="Q55" s="341" t="s">
        <v>553</v>
      </c>
      <c r="R55" s="341" t="s">
        <v>554</v>
      </c>
      <c r="S55" s="341" t="s">
        <v>555</v>
      </c>
      <c r="T55" s="341" t="s">
        <v>556</v>
      </c>
      <c r="U55" s="341" t="s">
        <v>557</v>
      </c>
      <c r="V55" s="341" t="s">
        <v>558</v>
      </c>
      <c r="W55" s="341" t="s">
        <v>559</v>
      </c>
      <c r="X55" s="341" t="s">
        <v>560</v>
      </c>
      <c r="Y55" s="341" t="s">
        <v>561</v>
      </c>
      <c r="Z55" s="341" t="s">
        <v>562</v>
      </c>
      <c r="AA55" s="341" t="s">
        <v>563</v>
      </c>
      <c r="AB55" s="341" t="s">
        <v>564</v>
      </c>
      <c r="AC55" s="341" t="s">
        <v>565</v>
      </c>
      <c r="AD55" s="341" t="s">
        <v>566</v>
      </c>
      <c r="AE55" s="341" t="s">
        <v>567</v>
      </c>
      <c r="AF55" s="341" t="s">
        <v>568</v>
      </c>
      <c r="AG55" s="341" t="s">
        <v>569</v>
      </c>
      <c r="AH55" s="341" t="s">
        <v>570</v>
      </c>
      <c r="AI55" s="341" t="s">
        <v>571</v>
      </c>
      <c r="AJ55" s="341" t="s">
        <v>572</v>
      </c>
      <c r="AK55" s="341" t="s">
        <v>573</v>
      </c>
      <c r="AL55" s="341" t="s">
        <v>574</v>
      </c>
      <c r="AM55" s="341" t="s">
        <v>575</v>
      </c>
      <c r="AN55" s="341" t="s">
        <v>576</v>
      </c>
      <c r="AO55" s="341" t="s">
        <v>544</v>
      </c>
      <c r="AP55" s="341" t="s">
        <v>578</v>
      </c>
      <c r="AQ55" s="341" t="s">
        <v>579</v>
      </c>
      <c r="AR55" s="341" t="s">
        <v>580</v>
      </c>
      <c r="AS55" s="341" t="s">
        <v>581</v>
      </c>
      <c r="AT55" s="341" t="s">
        <v>582</v>
      </c>
      <c r="AU55" s="341" t="s">
        <v>583</v>
      </c>
      <c r="AV55" s="341" t="s">
        <v>584</v>
      </c>
      <c r="AW55" s="341" t="s">
        <v>585</v>
      </c>
      <c r="AX55" s="341" t="s">
        <v>586</v>
      </c>
      <c r="AY55" s="341" t="s">
        <v>587</v>
      </c>
      <c r="AZ55" s="341" t="s">
        <v>462</v>
      </c>
      <c r="BA55" s="341" t="s">
        <v>463</v>
      </c>
      <c r="BB55" s="341" t="s">
        <v>464</v>
      </c>
      <c r="BC55" s="341" t="s">
        <v>465</v>
      </c>
      <c r="BD55" s="341" t="s">
        <v>146</v>
      </c>
      <c r="BE55" s="341" t="s">
        <v>148</v>
      </c>
      <c r="BF55" s="458" t="s">
        <v>466</v>
      </c>
      <c r="BG55"/>
    </row>
    <row r="56" spans="1:59" s="105" customFormat="1">
      <c r="B56" s="443"/>
      <c r="C56" s="334" t="s">
        <v>501</v>
      </c>
      <c r="D56" s="334" t="s">
        <v>502</v>
      </c>
      <c r="E56" s="334" t="s">
        <v>503</v>
      </c>
      <c r="F56" s="335" t="s">
        <v>440</v>
      </c>
      <c r="G56" s="335" t="s">
        <v>506</v>
      </c>
      <c r="H56" s="335" t="s">
        <v>505</v>
      </c>
      <c r="I56" s="335" t="s">
        <v>589</v>
      </c>
      <c r="J56" s="335" t="s">
        <v>590</v>
      </c>
      <c r="K56" s="335" t="s">
        <v>591</v>
      </c>
      <c r="L56" s="335" t="s">
        <v>592</v>
      </c>
      <c r="M56" s="335" t="s">
        <v>593</v>
      </c>
      <c r="N56" s="335" t="s">
        <v>594</v>
      </c>
      <c r="O56" s="335" t="s">
        <v>595</v>
      </c>
      <c r="P56" s="335" t="s">
        <v>596</v>
      </c>
      <c r="Q56" s="335" t="s">
        <v>597</v>
      </c>
      <c r="R56" s="335" t="s">
        <v>598</v>
      </c>
      <c r="S56" s="335" t="s">
        <v>599</v>
      </c>
      <c r="T56" s="335" t="s">
        <v>600</v>
      </c>
      <c r="U56" s="335" t="s">
        <v>601</v>
      </c>
      <c r="V56" s="335" t="s">
        <v>602</v>
      </c>
      <c r="W56" s="335" t="s">
        <v>603</v>
      </c>
      <c r="X56" s="335" t="s">
        <v>604</v>
      </c>
      <c r="Y56" s="335" t="s">
        <v>605</v>
      </c>
      <c r="Z56" s="335" t="s">
        <v>606</v>
      </c>
      <c r="AA56" s="335" t="s">
        <v>607</v>
      </c>
      <c r="AB56" s="335" t="s">
        <v>608</v>
      </c>
      <c r="AC56" s="335" t="s">
        <v>609</v>
      </c>
      <c r="AD56" s="335" t="s">
        <v>610</v>
      </c>
      <c r="AE56" s="335" t="s">
        <v>611</v>
      </c>
      <c r="AF56" s="335" t="s">
        <v>612</v>
      </c>
      <c r="AG56" s="335" t="s">
        <v>613</v>
      </c>
      <c r="AH56" s="335" t="s">
        <v>614</v>
      </c>
      <c r="AI56" s="335" t="s">
        <v>615</v>
      </c>
      <c r="AJ56" s="335" t="s">
        <v>616</v>
      </c>
      <c r="AK56" s="335" t="s">
        <v>439</v>
      </c>
      <c r="AL56" s="335" t="s">
        <v>617</v>
      </c>
      <c r="AM56" s="335" t="s">
        <v>618</v>
      </c>
      <c r="AN56" s="335" t="s">
        <v>619</v>
      </c>
      <c r="AO56" s="335" t="s">
        <v>588</v>
      </c>
      <c r="AP56" s="335" t="s">
        <v>620</v>
      </c>
      <c r="AQ56" s="335" t="s">
        <v>621</v>
      </c>
      <c r="AR56" s="335" t="s">
        <v>622</v>
      </c>
      <c r="AS56" s="335" t="s">
        <v>623</v>
      </c>
      <c r="AT56" s="335" t="s">
        <v>624</v>
      </c>
      <c r="AU56" s="335" t="s">
        <v>625</v>
      </c>
      <c r="AV56" s="335" t="s">
        <v>626</v>
      </c>
      <c r="AW56" s="335" t="s">
        <v>627</v>
      </c>
      <c r="AX56" s="335" t="s">
        <v>628</v>
      </c>
      <c r="AY56" s="335" t="s">
        <v>629</v>
      </c>
      <c r="AZ56" s="335" t="s">
        <v>445</v>
      </c>
      <c r="BA56" s="335" t="s">
        <v>446</v>
      </c>
      <c r="BB56" s="335" t="s">
        <v>447</v>
      </c>
      <c r="BC56" s="335" t="s">
        <v>448</v>
      </c>
      <c r="BD56" s="335" t="s">
        <v>449</v>
      </c>
      <c r="BE56" s="335" t="s">
        <v>450</v>
      </c>
      <c r="BF56" s="459" t="s">
        <v>451</v>
      </c>
      <c r="BG56"/>
    </row>
    <row r="57" spans="1:59" s="95" customFormat="1" ht="13.5" customHeight="1">
      <c r="B57" s="444"/>
      <c r="C57" s="334" t="s">
        <v>522</v>
      </c>
      <c r="D57" s="334" t="s">
        <v>630</v>
      </c>
      <c r="E57" s="334" t="s">
        <v>467</v>
      </c>
      <c r="F57" s="363" t="s">
        <v>468</v>
      </c>
      <c r="G57" s="363" t="s">
        <v>470</v>
      </c>
      <c r="H57" s="363" t="s">
        <v>470</v>
      </c>
      <c r="I57" s="363" t="s">
        <v>470</v>
      </c>
      <c r="J57" s="363" t="s">
        <v>470</v>
      </c>
      <c r="K57" s="363" t="s">
        <v>631</v>
      </c>
      <c r="L57" s="363" t="s">
        <v>631</v>
      </c>
      <c r="M57" s="363" t="s">
        <v>467</v>
      </c>
      <c r="N57" s="363" t="s">
        <v>632</v>
      </c>
      <c r="O57" s="363" t="s">
        <v>470</v>
      </c>
      <c r="P57" s="363" t="s">
        <v>528</v>
      </c>
      <c r="Q57" s="363" t="s">
        <v>524</v>
      </c>
      <c r="R57" s="363" t="s">
        <v>528</v>
      </c>
      <c r="S57" s="363" t="s">
        <v>524</v>
      </c>
      <c r="T57" s="363" t="s">
        <v>524</v>
      </c>
      <c r="U57" s="363" t="s">
        <v>470</v>
      </c>
      <c r="V57" s="363" t="s">
        <v>633</v>
      </c>
      <c r="W57" s="363" t="s">
        <v>633</v>
      </c>
      <c r="X57" s="363" t="s">
        <v>468</v>
      </c>
      <c r="Y57" s="363" t="s">
        <v>632</v>
      </c>
      <c r="Z57" s="363" t="s">
        <v>632</v>
      </c>
      <c r="AA57" s="363" t="s">
        <v>524</v>
      </c>
      <c r="AB57" s="363" t="s">
        <v>527</v>
      </c>
      <c r="AC57" s="363" t="s">
        <v>528</v>
      </c>
      <c r="AD57" s="363" t="s">
        <v>528</v>
      </c>
      <c r="AE57" s="363" t="s">
        <v>634</v>
      </c>
      <c r="AF57" s="363" t="s">
        <v>634</v>
      </c>
      <c r="AG57" s="363" t="s">
        <v>528</v>
      </c>
      <c r="AH57" s="363" t="s">
        <v>528</v>
      </c>
      <c r="AI57" s="363" t="s">
        <v>634</v>
      </c>
      <c r="AJ57" s="363" t="s">
        <v>634</v>
      </c>
      <c r="AK57" s="363" t="s">
        <v>470</v>
      </c>
      <c r="AL57" s="363" t="s">
        <v>470</v>
      </c>
      <c r="AM57" s="363" t="s">
        <v>470</v>
      </c>
      <c r="AN57" s="363" t="s">
        <v>470</v>
      </c>
      <c r="AO57" s="363" t="s">
        <v>470</v>
      </c>
      <c r="AP57" s="363" t="s">
        <v>467</v>
      </c>
      <c r="AQ57" s="363" t="s">
        <v>470</v>
      </c>
      <c r="AR57" s="363" t="s">
        <v>524</v>
      </c>
      <c r="AS57" s="363" t="s">
        <v>524</v>
      </c>
      <c r="AT57" s="363" t="s">
        <v>470</v>
      </c>
      <c r="AU57" s="363" t="s">
        <v>635</v>
      </c>
      <c r="AV57" s="363" t="s">
        <v>528</v>
      </c>
      <c r="AW57" s="363" t="s">
        <v>468</v>
      </c>
      <c r="AX57" s="363" t="s">
        <v>470</v>
      </c>
      <c r="AY57" s="363" t="s">
        <v>470</v>
      </c>
      <c r="AZ57" s="363" t="s">
        <v>473</v>
      </c>
      <c r="BA57" s="363" t="s">
        <v>474</v>
      </c>
      <c r="BB57" s="363" t="s">
        <v>475</v>
      </c>
      <c r="BC57" s="363" t="s">
        <v>475</v>
      </c>
      <c r="BD57" s="363" t="s">
        <v>474</v>
      </c>
      <c r="BE57" s="363" t="s">
        <v>475</v>
      </c>
      <c r="BF57" s="460" t="s">
        <v>475</v>
      </c>
      <c r="BG57"/>
    </row>
    <row r="58" spans="1:59" s="28" customFormat="1" ht="15">
      <c r="B58" s="360" t="s">
        <v>532</v>
      </c>
      <c r="C58" s="406" t="s">
        <v>713</v>
      </c>
      <c r="D58" s="406" t="s">
        <v>648</v>
      </c>
      <c r="E58" s="406" t="s">
        <v>648</v>
      </c>
      <c r="F58" s="406">
        <v>1</v>
      </c>
      <c r="G58" s="406" t="s">
        <v>533</v>
      </c>
      <c r="H58" s="406" t="s">
        <v>533</v>
      </c>
      <c r="I58" s="406" t="s">
        <v>534</v>
      </c>
      <c r="J58" s="406" t="s">
        <v>534</v>
      </c>
      <c r="K58" s="406" t="s">
        <v>156</v>
      </c>
      <c r="L58" s="406" t="s">
        <v>156</v>
      </c>
      <c r="M58" s="406" t="s">
        <v>156</v>
      </c>
      <c r="N58" s="406" t="s">
        <v>156</v>
      </c>
      <c r="O58" s="406" t="s">
        <v>637</v>
      </c>
      <c r="P58" s="406" t="s">
        <v>534</v>
      </c>
      <c r="Q58" s="406" t="s">
        <v>714</v>
      </c>
      <c r="R58" s="406" t="s">
        <v>638</v>
      </c>
      <c r="S58" s="406" t="s">
        <v>715</v>
      </c>
      <c r="T58" s="406" t="s">
        <v>716</v>
      </c>
      <c r="U58" s="406" t="s">
        <v>232</v>
      </c>
      <c r="V58" s="406" t="s">
        <v>717</v>
      </c>
      <c r="W58" s="406" t="s">
        <v>717</v>
      </c>
      <c r="X58" s="406"/>
      <c r="Y58" s="406"/>
      <c r="Z58" s="406" t="s">
        <v>156</v>
      </c>
      <c r="AA58" s="406">
        <v>1</v>
      </c>
      <c r="AB58" s="406">
        <v>99999999</v>
      </c>
      <c r="AC58" s="406">
        <v>0</v>
      </c>
      <c r="AD58" s="406">
        <v>0</v>
      </c>
      <c r="AE58" s="406">
        <v>0</v>
      </c>
      <c r="AF58" s="406">
        <v>0</v>
      </c>
      <c r="AG58" s="406">
        <v>0</v>
      </c>
      <c r="AH58" s="406">
        <v>0</v>
      </c>
      <c r="AI58" s="406">
        <v>0</v>
      </c>
      <c r="AJ58" s="406">
        <v>0</v>
      </c>
      <c r="AK58" s="406">
        <v>1</v>
      </c>
      <c r="AL58" s="406">
        <v>1</v>
      </c>
      <c r="AM58" s="406">
        <v>0</v>
      </c>
      <c r="AN58" s="406">
        <v>0</v>
      </c>
      <c r="AO58" s="406" t="s">
        <v>636</v>
      </c>
      <c r="AP58" s="406" t="s">
        <v>156</v>
      </c>
      <c r="AQ58" s="406" t="s">
        <v>639</v>
      </c>
      <c r="AR58" s="406">
        <v>0</v>
      </c>
      <c r="AS58" s="406">
        <v>0</v>
      </c>
      <c r="AT58" s="406">
        <v>1</v>
      </c>
      <c r="AU58" s="406">
        <v>0</v>
      </c>
      <c r="AV58" s="406">
        <v>0</v>
      </c>
      <c r="AW58" s="406">
        <v>0</v>
      </c>
      <c r="AX58" s="406">
        <v>0</v>
      </c>
      <c r="AY58" s="406">
        <v>1</v>
      </c>
      <c r="AZ58" s="406">
        <v>0</v>
      </c>
      <c r="BA58" s="406">
        <v>39864.674351851849</v>
      </c>
      <c r="BB58" s="406">
        <v>440393</v>
      </c>
      <c r="BC58" s="406">
        <v>440393</v>
      </c>
      <c r="BD58" s="406">
        <v>45482.05810185185</v>
      </c>
      <c r="BE58" s="406" t="s">
        <v>640</v>
      </c>
      <c r="BF58" s="461" t="s">
        <v>640</v>
      </c>
      <c r="BG58"/>
    </row>
    <row r="59" spans="1:59" s="28" customFormat="1" ht="15">
      <c r="B59" s="362" t="s">
        <v>537</v>
      </c>
      <c r="C59" s="406" t="s">
        <v>713</v>
      </c>
      <c r="D59" s="406" t="s">
        <v>648</v>
      </c>
      <c r="E59" s="388" t="s">
        <v>718</v>
      </c>
      <c r="F59" s="406">
        <v>1</v>
      </c>
      <c r="G59" s="406" t="s">
        <v>533</v>
      </c>
      <c r="H59" s="406" t="s">
        <v>533</v>
      </c>
      <c r="I59" s="406" t="s">
        <v>534</v>
      </c>
      <c r="J59" s="406" t="s">
        <v>534</v>
      </c>
      <c r="K59" s="406" t="s">
        <v>156</v>
      </c>
      <c r="L59" s="406" t="s">
        <v>156</v>
      </c>
      <c r="M59" s="406" t="s">
        <v>156</v>
      </c>
      <c r="N59" s="406" t="s">
        <v>156</v>
      </c>
      <c r="O59" s="406" t="s">
        <v>637</v>
      </c>
      <c r="P59" s="406" t="s">
        <v>534</v>
      </c>
      <c r="Q59" s="406" t="s">
        <v>714</v>
      </c>
      <c r="R59" s="406" t="s">
        <v>638</v>
      </c>
      <c r="S59" s="406" t="s">
        <v>715</v>
      </c>
      <c r="T59" s="406" t="s">
        <v>716</v>
      </c>
      <c r="U59" s="406" t="s">
        <v>232</v>
      </c>
      <c r="V59" s="406" t="s">
        <v>717</v>
      </c>
      <c r="W59" s="406" t="s">
        <v>717</v>
      </c>
      <c r="X59" s="406"/>
      <c r="Y59" s="406"/>
      <c r="Z59" s="406" t="s">
        <v>156</v>
      </c>
      <c r="AA59" s="406">
        <v>1</v>
      </c>
      <c r="AB59" s="406">
        <v>99999999</v>
      </c>
      <c r="AC59" s="406">
        <v>0</v>
      </c>
      <c r="AD59" s="406">
        <v>0</v>
      </c>
      <c r="AE59" s="406">
        <v>0</v>
      </c>
      <c r="AF59" s="406">
        <v>0</v>
      </c>
      <c r="AG59" s="406">
        <v>0</v>
      </c>
      <c r="AH59" s="406">
        <v>0</v>
      </c>
      <c r="AI59" s="406">
        <v>0</v>
      </c>
      <c r="AJ59" s="406">
        <v>0</v>
      </c>
      <c r="AK59" s="406">
        <v>1</v>
      </c>
      <c r="AL59" s="406">
        <v>1</v>
      </c>
      <c r="AM59" s="406">
        <v>0</v>
      </c>
      <c r="AN59" s="406">
        <v>0</v>
      </c>
      <c r="AO59" s="406" t="s">
        <v>636</v>
      </c>
      <c r="AP59" s="406" t="s">
        <v>156</v>
      </c>
      <c r="AQ59" s="406" t="s">
        <v>639</v>
      </c>
      <c r="AR59" s="406">
        <v>0</v>
      </c>
      <c r="AS59" s="406">
        <v>0</v>
      </c>
      <c r="AT59" s="406">
        <v>1</v>
      </c>
      <c r="AU59" s="406">
        <v>0</v>
      </c>
      <c r="AV59" s="406">
        <v>0</v>
      </c>
      <c r="AW59" s="406">
        <v>0</v>
      </c>
      <c r="AX59" s="406">
        <v>0</v>
      </c>
      <c r="AY59" s="406">
        <v>1</v>
      </c>
      <c r="AZ59" s="406">
        <v>0</v>
      </c>
      <c r="BA59" s="406">
        <v>39864.674351851849</v>
      </c>
      <c r="BB59" s="406">
        <v>440393</v>
      </c>
      <c r="BC59" s="406">
        <v>440393</v>
      </c>
      <c r="BD59" s="406">
        <v>45482.05810185185</v>
      </c>
      <c r="BE59" s="406" t="s">
        <v>640</v>
      </c>
      <c r="BF59" s="461" t="s">
        <v>640</v>
      </c>
      <c r="BG59"/>
    </row>
    <row r="60" spans="1:59" s="28" customFormat="1" ht="15">
      <c r="B60" s="362" t="s">
        <v>537</v>
      </c>
      <c r="C60" s="406" t="s">
        <v>713</v>
      </c>
      <c r="D60" s="388" t="s">
        <v>718</v>
      </c>
      <c r="E60" s="387" t="s">
        <v>648</v>
      </c>
      <c r="F60" s="406">
        <v>1</v>
      </c>
      <c r="G60" s="406" t="s">
        <v>533</v>
      </c>
      <c r="H60" s="406" t="s">
        <v>533</v>
      </c>
      <c r="I60" s="406" t="s">
        <v>534</v>
      </c>
      <c r="J60" s="406" t="s">
        <v>534</v>
      </c>
      <c r="K60" s="406" t="s">
        <v>156</v>
      </c>
      <c r="L60" s="406" t="s">
        <v>156</v>
      </c>
      <c r="M60" s="406" t="s">
        <v>156</v>
      </c>
      <c r="N60" s="406" t="s">
        <v>156</v>
      </c>
      <c r="O60" s="406" t="s">
        <v>637</v>
      </c>
      <c r="P60" s="406" t="s">
        <v>534</v>
      </c>
      <c r="Q60" s="406" t="s">
        <v>714</v>
      </c>
      <c r="R60" s="406" t="s">
        <v>638</v>
      </c>
      <c r="S60" s="406" t="s">
        <v>715</v>
      </c>
      <c r="T60" s="406" t="s">
        <v>716</v>
      </c>
      <c r="U60" s="406" t="s">
        <v>232</v>
      </c>
      <c r="V60" s="406" t="s">
        <v>717</v>
      </c>
      <c r="W60" s="406" t="s">
        <v>717</v>
      </c>
      <c r="X60" s="406"/>
      <c r="Y60" s="406"/>
      <c r="Z60" s="406" t="s">
        <v>156</v>
      </c>
      <c r="AA60" s="406">
        <v>1</v>
      </c>
      <c r="AB60" s="406">
        <v>99999999</v>
      </c>
      <c r="AC60" s="406">
        <v>0</v>
      </c>
      <c r="AD60" s="406">
        <v>0</v>
      </c>
      <c r="AE60" s="406">
        <v>0</v>
      </c>
      <c r="AF60" s="406">
        <v>0</v>
      </c>
      <c r="AG60" s="406">
        <v>0</v>
      </c>
      <c r="AH60" s="406">
        <v>0</v>
      </c>
      <c r="AI60" s="406">
        <v>0</v>
      </c>
      <c r="AJ60" s="406">
        <v>0</v>
      </c>
      <c r="AK60" s="406">
        <v>1</v>
      </c>
      <c r="AL60" s="406">
        <v>1</v>
      </c>
      <c r="AM60" s="406">
        <v>0</v>
      </c>
      <c r="AN60" s="406">
        <v>0</v>
      </c>
      <c r="AO60" s="406" t="s">
        <v>636</v>
      </c>
      <c r="AP60" s="406" t="s">
        <v>156</v>
      </c>
      <c r="AQ60" s="406" t="s">
        <v>639</v>
      </c>
      <c r="AR60" s="406">
        <v>0</v>
      </c>
      <c r="AS60" s="406">
        <v>0</v>
      </c>
      <c r="AT60" s="406">
        <v>1</v>
      </c>
      <c r="AU60" s="406">
        <v>0</v>
      </c>
      <c r="AV60" s="406">
        <v>0</v>
      </c>
      <c r="AW60" s="406">
        <v>0</v>
      </c>
      <c r="AX60" s="406">
        <v>0</v>
      </c>
      <c r="AY60" s="406">
        <v>1</v>
      </c>
      <c r="AZ60" s="406">
        <v>0</v>
      </c>
      <c r="BA60" s="406">
        <v>39864.674351851849</v>
      </c>
      <c r="BB60" s="406">
        <v>440393</v>
      </c>
      <c r="BC60" s="406">
        <v>440393</v>
      </c>
      <c r="BD60" s="406">
        <v>45482.05810185185</v>
      </c>
      <c r="BE60" s="406" t="s">
        <v>640</v>
      </c>
      <c r="BF60" s="461" t="s">
        <v>640</v>
      </c>
      <c r="BG60"/>
    </row>
    <row r="61" spans="1:59" s="28" customFormat="1" ht="15">
      <c r="B61" s="362" t="s">
        <v>537</v>
      </c>
      <c r="C61" s="406" t="s">
        <v>713</v>
      </c>
      <c r="D61" s="387" t="s">
        <v>648</v>
      </c>
      <c r="E61" s="388" t="s">
        <v>719</v>
      </c>
      <c r="F61" s="406">
        <v>1</v>
      </c>
      <c r="G61" s="406" t="s">
        <v>533</v>
      </c>
      <c r="H61" s="406">
        <v>1</v>
      </c>
      <c r="I61" s="406" t="s">
        <v>534</v>
      </c>
      <c r="J61" s="406" t="s">
        <v>534</v>
      </c>
      <c r="K61" s="406" t="s">
        <v>156</v>
      </c>
      <c r="L61" s="406" t="s">
        <v>156</v>
      </c>
      <c r="M61" s="406" t="s">
        <v>156</v>
      </c>
      <c r="N61" s="406" t="s">
        <v>156</v>
      </c>
      <c r="O61" s="406" t="s">
        <v>637</v>
      </c>
      <c r="P61" s="406" t="s">
        <v>534</v>
      </c>
      <c r="Q61" s="406" t="s">
        <v>714</v>
      </c>
      <c r="R61" s="406" t="s">
        <v>638</v>
      </c>
      <c r="S61" s="406" t="s">
        <v>715</v>
      </c>
      <c r="T61" s="406" t="s">
        <v>716</v>
      </c>
      <c r="U61" s="406" t="s">
        <v>232</v>
      </c>
      <c r="V61" s="406" t="s">
        <v>717</v>
      </c>
      <c r="W61" s="406" t="s">
        <v>717</v>
      </c>
      <c r="X61" s="406"/>
      <c r="Y61" s="406"/>
      <c r="Z61" s="406" t="s">
        <v>156</v>
      </c>
      <c r="AA61" s="406">
        <v>1</v>
      </c>
      <c r="AB61" s="406">
        <v>99999999</v>
      </c>
      <c r="AC61" s="406">
        <v>0</v>
      </c>
      <c r="AD61" s="406">
        <v>0</v>
      </c>
      <c r="AE61" s="406">
        <v>0</v>
      </c>
      <c r="AF61" s="406">
        <v>0</v>
      </c>
      <c r="AG61" s="406">
        <v>0</v>
      </c>
      <c r="AH61" s="406">
        <v>0</v>
      </c>
      <c r="AI61" s="406">
        <v>0</v>
      </c>
      <c r="AJ61" s="406">
        <v>0</v>
      </c>
      <c r="AK61" s="406">
        <v>1</v>
      </c>
      <c r="AL61" s="406">
        <v>1</v>
      </c>
      <c r="AM61" s="406">
        <v>0</v>
      </c>
      <c r="AN61" s="406">
        <v>0</v>
      </c>
      <c r="AO61" s="406" t="s">
        <v>636</v>
      </c>
      <c r="AP61" s="406" t="s">
        <v>156</v>
      </c>
      <c r="AQ61" s="406" t="s">
        <v>639</v>
      </c>
      <c r="AR61" s="406">
        <v>0</v>
      </c>
      <c r="AS61" s="406">
        <v>0</v>
      </c>
      <c r="AT61" s="406">
        <v>1</v>
      </c>
      <c r="AU61" s="406">
        <v>0</v>
      </c>
      <c r="AV61" s="406">
        <v>0</v>
      </c>
      <c r="AW61" s="406">
        <v>0</v>
      </c>
      <c r="AX61" s="406">
        <v>0</v>
      </c>
      <c r="AY61" s="406">
        <v>1</v>
      </c>
      <c r="AZ61" s="406">
        <v>0</v>
      </c>
      <c r="BA61" s="406">
        <v>39864.674351851849</v>
      </c>
      <c r="BB61" s="406">
        <v>440393</v>
      </c>
      <c r="BC61" s="406">
        <v>440393</v>
      </c>
      <c r="BD61" s="406">
        <v>45482.05810185185</v>
      </c>
      <c r="BE61" s="406" t="s">
        <v>640</v>
      </c>
      <c r="BF61" s="461" t="s">
        <v>640</v>
      </c>
      <c r="BG61"/>
    </row>
    <row r="62" spans="1:59" s="28" customFormat="1" ht="15">
      <c r="B62" s="444"/>
      <c r="C62" s="387"/>
      <c r="D62" s="387"/>
      <c r="E62" s="387"/>
      <c r="F62" s="387"/>
      <c r="G62" s="387"/>
      <c r="H62" s="387"/>
      <c r="I62" s="387"/>
      <c r="J62" s="387"/>
      <c r="K62" s="387"/>
      <c r="L62" s="387"/>
      <c r="M62"/>
      <c r="N62"/>
      <c r="O62"/>
      <c r="P62"/>
      <c r="Q62"/>
      <c r="R62"/>
      <c r="S62"/>
      <c r="T62"/>
      <c r="U62"/>
      <c r="V62"/>
      <c r="W62"/>
      <c r="X62"/>
      <c r="Y62"/>
      <c r="Z62"/>
      <c r="AA62"/>
      <c r="AB62"/>
      <c r="AC62"/>
      <c r="AD62"/>
      <c r="AE62"/>
      <c r="AF62"/>
      <c r="AG62"/>
      <c r="AH62"/>
      <c r="AI62"/>
      <c r="AJ62"/>
      <c r="AK62"/>
      <c r="AL62"/>
      <c r="AM62"/>
      <c r="AN62"/>
      <c r="AO62"/>
      <c r="AP62"/>
      <c r="AQ62"/>
      <c r="AR62"/>
      <c r="AS62"/>
      <c r="AT62"/>
      <c r="AU62"/>
      <c r="AV62"/>
      <c r="AW62"/>
      <c r="AX62"/>
      <c r="AY62"/>
      <c r="AZ62"/>
      <c r="BA62"/>
      <c r="BB62"/>
      <c r="BC62"/>
      <c r="BD62"/>
      <c r="BE62"/>
      <c r="BF62" s="149"/>
      <c r="BG62"/>
    </row>
    <row r="63" spans="1:59" s="28" customFormat="1" ht="15">
      <c r="B63" s="444"/>
      <c r="C63" s="393" t="s">
        <v>723</v>
      </c>
      <c r="D63" s="394"/>
      <c r="E63" s="394"/>
      <c r="F63" s="394"/>
      <c r="G63" s="394"/>
      <c r="H63" s="394"/>
      <c r="I63" s="394"/>
      <c r="J63" s="394"/>
      <c r="K63" s="394"/>
      <c r="L63" s="394"/>
      <c r="M63"/>
      <c r="N63"/>
      <c r="O63"/>
      <c r="P63"/>
      <c r="Q63"/>
      <c r="R63"/>
      <c r="S63"/>
      <c r="T63"/>
      <c r="U63"/>
      <c r="V63"/>
      <c r="W63"/>
      <c r="X63"/>
      <c r="Y63"/>
      <c r="Z63"/>
      <c r="AA63"/>
      <c r="AB63"/>
      <c r="AC63"/>
      <c r="AD63"/>
      <c r="AE63"/>
      <c r="AF63"/>
      <c r="AG63"/>
      <c r="AH63"/>
      <c r="AI63"/>
      <c r="AJ63"/>
      <c r="AK63"/>
      <c r="AL63"/>
      <c r="AM63"/>
      <c r="AN63"/>
      <c r="AO63"/>
      <c r="AP63"/>
      <c r="AQ63"/>
      <c r="AR63"/>
      <c r="AS63"/>
      <c r="AT63"/>
      <c r="AU63"/>
      <c r="AV63"/>
      <c r="AW63"/>
      <c r="AX63"/>
      <c r="AY63"/>
      <c r="AZ63"/>
      <c r="BA63"/>
      <c r="BB63"/>
      <c r="BC63"/>
      <c r="BD63"/>
      <c r="BE63"/>
      <c r="BF63" s="149"/>
      <c r="BG63"/>
    </row>
    <row r="64" spans="1:59" s="28" customFormat="1" ht="15">
      <c r="B64" s="444"/>
      <c r="C64" s="336"/>
      <c r="D64" s="336" t="s">
        <v>217</v>
      </c>
      <c r="E64" s="336"/>
      <c r="F64" s="336"/>
      <c r="G64" s="392"/>
      <c r="H64" s="392"/>
      <c r="I64" s="392"/>
      <c r="J64" s="392"/>
      <c r="K64" s="392"/>
      <c r="L64" s="392"/>
      <c r="M64"/>
      <c r="N64"/>
      <c r="O64"/>
      <c r="P64"/>
      <c r="Q64"/>
      <c r="R64"/>
      <c r="S64"/>
      <c r="T64"/>
      <c r="U64"/>
      <c r="V64"/>
      <c r="W64"/>
      <c r="X64"/>
      <c r="Y64"/>
      <c r="Z64"/>
      <c r="AA64"/>
      <c r="AB64"/>
      <c r="AC64"/>
      <c r="AD64"/>
      <c r="AE64"/>
      <c r="AF64"/>
      <c r="AG64"/>
      <c r="AH64"/>
      <c r="AI64"/>
      <c r="AJ64"/>
      <c r="AK64"/>
      <c r="AL64"/>
      <c r="AM64"/>
      <c r="AN64"/>
      <c r="AO64"/>
      <c r="AP64"/>
      <c r="AQ64"/>
      <c r="AR64"/>
      <c r="AS64"/>
      <c r="AT64"/>
      <c r="AU64"/>
      <c r="AV64"/>
      <c r="AW64"/>
      <c r="AX64"/>
      <c r="AY64"/>
      <c r="AZ64"/>
      <c r="BA64"/>
      <c r="BB64"/>
      <c r="BC64"/>
      <c r="BD64"/>
      <c r="BE64"/>
      <c r="BF64" s="149"/>
      <c r="BG64"/>
    </row>
    <row r="65" spans="2:59" s="28" customFormat="1" ht="15">
      <c r="B65" s="444"/>
      <c r="C65" s="371" t="s">
        <v>727</v>
      </c>
      <c r="D65" s="335" t="s">
        <v>86</v>
      </c>
      <c r="E65" s="335" t="s">
        <v>728</v>
      </c>
      <c r="F65" s="341" t="s">
        <v>462</v>
      </c>
      <c r="G65" s="341" t="s">
        <v>463</v>
      </c>
      <c r="H65" s="341" t="s">
        <v>464</v>
      </c>
      <c r="I65" s="341" t="s">
        <v>465</v>
      </c>
      <c r="J65" s="341" t="s">
        <v>146</v>
      </c>
      <c r="K65" s="341" t="s">
        <v>148</v>
      </c>
      <c r="L65" s="341" t="s">
        <v>466</v>
      </c>
      <c r="M65"/>
      <c r="N65"/>
      <c r="O65"/>
      <c r="P65"/>
      <c r="Q65"/>
      <c r="R65"/>
      <c r="S65"/>
      <c r="T65"/>
      <c r="U65"/>
      <c r="V65"/>
      <c r="W65"/>
      <c r="X65"/>
      <c r="Y65"/>
      <c r="Z65"/>
      <c r="AA65"/>
      <c r="AB65"/>
      <c r="AC65"/>
      <c r="AD65"/>
      <c r="AE65"/>
      <c r="AF65"/>
      <c r="AG65"/>
      <c r="AH65"/>
      <c r="AI65"/>
      <c r="AJ65"/>
      <c r="AK65"/>
      <c r="AL65"/>
      <c r="AM65"/>
      <c r="AN65"/>
      <c r="AO65"/>
      <c r="AP65"/>
      <c r="AQ65"/>
      <c r="AR65"/>
      <c r="AS65"/>
      <c r="AT65"/>
      <c r="AU65"/>
      <c r="AV65"/>
      <c r="AW65"/>
      <c r="AX65"/>
      <c r="AY65"/>
      <c r="AZ65"/>
      <c r="BA65"/>
      <c r="BB65"/>
      <c r="BC65"/>
      <c r="BD65"/>
      <c r="BE65"/>
      <c r="BF65" s="149"/>
      <c r="BG65"/>
    </row>
    <row r="66" spans="2:59" s="28" customFormat="1" ht="15">
      <c r="B66" s="444"/>
      <c r="C66" s="405" t="s">
        <v>724</v>
      </c>
      <c r="D66" s="335" t="s">
        <v>725</v>
      </c>
      <c r="E66" s="335" t="s">
        <v>726</v>
      </c>
      <c r="F66" s="335" t="s">
        <v>445</v>
      </c>
      <c r="G66" s="335" t="s">
        <v>446</v>
      </c>
      <c r="H66" s="335" t="s">
        <v>447</v>
      </c>
      <c r="I66" s="335" t="s">
        <v>448</v>
      </c>
      <c r="J66" s="335" t="s">
        <v>449</v>
      </c>
      <c r="K66" s="335" t="s">
        <v>450</v>
      </c>
      <c r="L66" s="335" t="s">
        <v>451</v>
      </c>
      <c r="M66"/>
      <c r="N66"/>
      <c r="O66"/>
      <c r="P66"/>
      <c r="Q66"/>
      <c r="R66"/>
      <c r="S66"/>
      <c r="T66"/>
      <c r="U66"/>
      <c r="V66"/>
      <c r="W66"/>
      <c r="X66"/>
      <c r="Y66"/>
      <c r="Z66"/>
      <c r="AA66"/>
      <c r="AB66"/>
      <c r="AC66"/>
      <c r="AD66"/>
      <c r="AE66"/>
      <c r="AF66"/>
      <c r="AG66"/>
      <c r="AH66"/>
      <c r="AI66"/>
      <c r="AJ66"/>
      <c r="AK66"/>
      <c r="AL66"/>
      <c r="AM66"/>
      <c r="AN66"/>
      <c r="AO66"/>
      <c r="AP66"/>
      <c r="AQ66"/>
      <c r="AR66"/>
      <c r="AS66"/>
      <c r="AT66"/>
      <c r="AU66"/>
      <c r="AV66"/>
      <c r="AW66"/>
      <c r="AX66"/>
      <c r="AY66"/>
      <c r="AZ66"/>
      <c r="BA66"/>
      <c r="BB66"/>
      <c r="BC66"/>
      <c r="BD66"/>
      <c r="BE66"/>
      <c r="BF66" s="149"/>
      <c r="BG66"/>
    </row>
    <row r="67" spans="2:59" s="28" customFormat="1" ht="15">
      <c r="B67" s="444"/>
      <c r="C67" s="405" t="s">
        <v>472</v>
      </c>
      <c r="D67" s="367" t="s">
        <v>527</v>
      </c>
      <c r="E67" s="335" t="s">
        <v>474</v>
      </c>
      <c r="F67" s="367" t="s">
        <v>684</v>
      </c>
      <c r="G67" s="367" t="s">
        <v>474</v>
      </c>
      <c r="H67" s="367" t="s">
        <v>475</v>
      </c>
      <c r="I67" s="367" t="s">
        <v>475</v>
      </c>
      <c r="J67" s="367" t="s">
        <v>223</v>
      </c>
      <c r="K67" s="335" t="s">
        <v>475</v>
      </c>
      <c r="L67" s="335" t="s">
        <v>475</v>
      </c>
      <c r="M67"/>
      <c r="N67"/>
      <c r="O67"/>
      <c r="P67"/>
      <c r="Q67"/>
      <c r="R67"/>
      <c r="S67"/>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c r="BE67"/>
      <c r="BF67" s="149"/>
      <c r="BG67"/>
    </row>
    <row r="68" spans="2:59" s="28" customFormat="1" ht="15">
      <c r="B68" s="362" t="s">
        <v>537</v>
      </c>
      <c r="C68" s="388" t="s">
        <v>734</v>
      </c>
      <c r="D68" s="407" t="s">
        <v>735</v>
      </c>
      <c r="E68" s="407" t="s">
        <v>736</v>
      </c>
      <c r="F68" s="407" t="s">
        <v>737</v>
      </c>
      <c r="G68" s="407" t="s">
        <v>738</v>
      </c>
      <c r="H68" s="408" t="s">
        <v>739</v>
      </c>
      <c r="I68" s="407" t="s">
        <v>740</v>
      </c>
      <c r="J68" s="407" t="s">
        <v>741</v>
      </c>
      <c r="K68" s="407" t="s">
        <v>742</v>
      </c>
      <c r="L68" s="335" t="s">
        <v>742</v>
      </c>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c r="BE68"/>
      <c r="BF68" s="149"/>
      <c r="BG68"/>
    </row>
    <row r="69" spans="2:59" s="28" customFormat="1" ht="15">
      <c r="B69" s="360" t="s">
        <v>532</v>
      </c>
      <c r="C69" s="387" t="s">
        <v>729</v>
      </c>
      <c r="D69" s="407" t="s">
        <v>730</v>
      </c>
      <c r="E69" s="407" t="s">
        <v>731</v>
      </c>
      <c r="F69" s="407" t="s">
        <v>534</v>
      </c>
      <c r="G69" s="407" t="s">
        <v>731</v>
      </c>
      <c r="H69" s="408" t="s">
        <v>732</v>
      </c>
      <c r="I69" s="407" t="s">
        <v>733</v>
      </c>
      <c r="J69" s="407" t="s">
        <v>731</v>
      </c>
      <c r="K69" s="407" t="s">
        <v>732</v>
      </c>
      <c r="L69" s="335" t="s">
        <v>733</v>
      </c>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c r="BE69"/>
      <c r="BF69" s="149"/>
      <c r="BG69"/>
    </row>
    <row r="70" spans="2:59" s="28" customFormat="1" ht="15">
      <c r="B70" s="362" t="s">
        <v>537</v>
      </c>
      <c r="C70" s="388" t="s">
        <v>743</v>
      </c>
      <c r="D70" s="407" t="s">
        <v>744</v>
      </c>
      <c r="E70" s="407" t="s">
        <v>745</v>
      </c>
      <c r="F70" s="407" t="s">
        <v>536</v>
      </c>
      <c r="G70" s="407" t="s">
        <v>745</v>
      </c>
      <c r="H70" s="408" t="s">
        <v>746</v>
      </c>
      <c r="I70" s="407" t="s">
        <v>747</v>
      </c>
      <c r="J70" s="407" t="s">
        <v>745</v>
      </c>
      <c r="K70" s="407" t="s">
        <v>748</v>
      </c>
      <c r="L70" s="335" t="s">
        <v>750</v>
      </c>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c r="BE70"/>
      <c r="BF70" s="149"/>
      <c r="BG70"/>
    </row>
    <row r="71" spans="2:59" s="28" customFormat="1" ht="15">
      <c r="B71" s="362" t="s">
        <v>537</v>
      </c>
      <c r="C71" s="388" t="s">
        <v>749</v>
      </c>
      <c r="D71" s="407" t="s">
        <v>744</v>
      </c>
      <c r="E71" s="407" t="s">
        <v>745</v>
      </c>
      <c r="F71" s="407" t="s">
        <v>536</v>
      </c>
      <c r="G71" s="407" t="s">
        <v>745</v>
      </c>
      <c r="H71" s="410" t="s">
        <v>746</v>
      </c>
      <c r="I71" s="407" t="s">
        <v>747</v>
      </c>
      <c r="J71" s="407" t="s">
        <v>745</v>
      </c>
      <c r="K71" s="407" t="s">
        <v>748</v>
      </c>
      <c r="L71" s="335" t="s">
        <v>750</v>
      </c>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c r="BE71"/>
      <c r="BF71" s="149"/>
      <c r="BG71"/>
    </row>
    <row r="72" spans="2:59" s="28" customFormat="1" ht="15">
      <c r="B72" s="129"/>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c r="BE72"/>
      <c r="BF72" s="149"/>
      <c r="BG72"/>
    </row>
    <row r="73" spans="2:59" s="28" customFormat="1" ht="15">
      <c r="B73" s="129"/>
      <c r="C73" s="393" t="s">
        <v>755</v>
      </c>
      <c r="D73" s="394"/>
      <c r="E73" s="394"/>
      <c r="F73" s="394"/>
      <c r="G73" s="394"/>
      <c r="H73" s="394"/>
      <c r="I73" s="394"/>
      <c r="J73" s="394"/>
      <c r="K73" s="394"/>
      <c r="L73" s="394"/>
      <c r="M73" s="394"/>
      <c r="N73" s="394"/>
      <c r="O73" s="394"/>
      <c r="P73" s="394"/>
      <c r="Q73" s="394"/>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s="149"/>
      <c r="BG73"/>
    </row>
    <row r="74" spans="2:59" s="28" customFormat="1" ht="15">
      <c r="B74" s="129"/>
      <c r="C74" s="336"/>
      <c r="D74" s="392"/>
      <c r="E74" s="336" t="s">
        <v>217</v>
      </c>
      <c r="F74" s="336"/>
      <c r="G74" s="392"/>
      <c r="H74" s="392"/>
      <c r="I74" s="392"/>
      <c r="J74" s="392"/>
      <c r="K74" s="392"/>
      <c r="L74" s="392"/>
      <c r="M74" s="392"/>
      <c r="N74" s="392"/>
      <c r="O74" s="392"/>
      <c r="P74" s="392"/>
      <c r="Q74" s="392"/>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s="149"/>
      <c r="BG74"/>
    </row>
    <row r="75" spans="2:59" s="28" customFormat="1" ht="15">
      <c r="B75" s="129"/>
      <c r="C75" s="371" t="s">
        <v>756</v>
      </c>
      <c r="D75" s="371" t="s">
        <v>757</v>
      </c>
      <c r="E75" s="415" t="s">
        <v>758</v>
      </c>
      <c r="F75" s="335" t="s">
        <v>759</v>
      </c>
      <c r="G75" s="371" t="s">
        <v>760</v>
      </c>
      <c r="H75" s="341" t="s">
        <v>761</v>
      </c>
      <c r="I75" s="341" t="s">
        <v>762</v>
      </c>
      <c r="J75" s="341" t="s">
        <v>763</v>
      </c>
      <c r="K75" s="341" t="s">
        <v>462</v>
      </c>
      <c r="L75" s="341" t="s">
        <v>463</v>
      </c>
      <c r="M75" s="341" t="s">
        <v>464</v>
      </c>
      <c r="N75" s="341" t="s">
        <v>465</v>
      </c>
      <c r="O75" s="341" t="s">
        <v>146</v>
      </c>
      <c r="P75" s="341" t="s">
        <v>148</v>
      </c>
      <c r="Q75" s="341" t="s">
        <v>466</v>
      </c>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s="149"/>
      <c r="BG75"/>
    </row>
    <row r="76" spans="2:59" s="28" customFormat="1" ht="15">
      <c r="B76" s="129"/>
      <c r="C76" s="405" t="s">
        <v>764</v>
      </c>
      <c r="D76" s="405" t="s">
        <v>765</v>
      </c>
      <c r="E76" s="416" t="s">
        <v>766</v>
      </c>
      <c r="F76" s="335" t="s">
        <v>767</v>
      </c>
      <c r="G76" s="405" t="s">
        <v>768</v>
      </c>
      <c r="H76" s="335" t="s">
        <v>769</v>
      </c>
      <c r="I76" s="335" t="s">
        <v>770</v>
      </c>
      <c r="J76" s="335" t="s">
        <v>771</v>
      </c>
      <c r="K76" s="335" t="s">
        <v>445</v>
      </c>
      <c r="L76" s="335" t="s">
        <v>446</v>
      </c>
      <c r="M76" s="335" t="s">
        <v>447</v>
      </c>
      <c r="N76" s="335" t="s">
        <v>448</v>
      </c>
      <c r="O76" s="335" t="s">
        <v>449</v>
      </c>
      <c r="P76" s="335" t="s">
        <v>450</v>
      </c>
      <c r="Q76" s="335" t="s">
        <v>451</v>
      </c>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s="149"/>
      <c r="BG76"/>
    </row>
    <row r="77" spans="2:59" s="28" customFormat="1" ht="15">
      <c r="B77" s="129"/>
      <c r="C77" s="405" t="s">
        <v>691</v>
      </c>
      <c r="D77" s="405" t="s">
        <v>527</v>
      </c>
      <c r="E77" s="416" t="s">
        <v>772</v>
      </c>
      <c r="F77" s="367" t="s">
        <v>773</v>
      </c>
      <c r="G77" s="405" t="s">
        <v>774</v>
      </c>
      <c r="H77" s="367" t="s">
        <v>775</v>
      </c>
      <c r="I77" s="367" t="s">
        <v>775</v>
      </c>
      <c r="J77" s="367" t="s">
        <v>775</v>
      </c>
      <c r="K77" s="367" t="s">
        <v>684</v>
      </c>
      <c r="L77" s="367" t="s">
        <v>474</v>
      </c>
      <c r="M77" s="367" t="s">
        <v>475</v>
      </c>
      <c r="N77" s="367" t="s">
        <v>475</v>
      </c>
      <c r="O77" s="367" t="s">
        <v>223</v>
      </c>
      <c r="P77" s="367" t="s">
        <v>475</v>
      </c>
      <c r="Q77" s="367" t="s">
        <v>475</v>
      </c>
      <c r="R77"/>
      <c r="S77"/>
      <c r="T77"/>
      <c r="U77"/>
      <c r="V77"/>
      <c r="W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s="149"/>
      <c r="BG77"/>
    </row>
    <row r="78" spans="2:59" s="28" customFormat="1" ht="15">
      <c r="B78" s="362" t="s">
        <v>537</v>
      </c>
      <c r="C78" s="406" t="s">
        <v>786</v>
      </c>
      <c r="D78" s="388" t="s">
        <v>790</v>
      </c>
      <c r="E78" s="407" t="s">
        <v>778</v>
      </c>
      <c r="F78" s="407" t="s">
        <v>778</v>
      </c>
      <c r="G78" s="407" t="s">
        <v>779</v>
      </c>
      <c r="H78" s="410" t="s">
        <v>232</v>
      </c>
      <c r="I78" s="407" t="s">
        <v>533</v>
      </c>
      <c r="J78" s="407" t="s">
        <v>636</v>
      </c>
      <c r="K78" s="407" t="s">
        <v>534</v>
      </c>
      <c r="L78" s="406"/>
      <c r="M78" s="406"/>
      <c r="N78" s="406"/>
      <c r="O78" s="406"/>
      <c r="P78" s="406"/>
      <c r="Q78" s="406"/>
      <c r="R78"/>
      <c r="S78"/>
      <c r="T78"/>
      <c r="U78"/>
      <c r="V78"/>
      <c r="W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s="149"/>
      <c r="BG78"/>
    </row>
    <row r="79" spans="2:59" s="28" customFormat="1" ht="15">
      <c r="B79" s="362" t="s">
        <v>537</v>
      </c>
      <c r="C79" s="411" t="s">
        <v>786</v>
      </c>
      <c r="D79" s="388" t="s">
        <v>791</v>
      </c>
      <c r="E79" s="407" t="s">
        <v>778</v>
      </c>
      <c r="F79" s="407" t="s">
        <v>778</v>
      </c>
      <c r="G79" s="407" t="s">
        <v>779</v>
      </c>
      <c r="H79" s="410" t="s">
        <v>232</v>
      </c>
      <c r="I79" s="407" t="s">
        <v>533</v>
      </c>
      <c r="J79" s="407" t="s">
        <v>636</v>
      </c>
      <c r="K79" s="407" t="s">
        <v>534</v>
      </c>
      <c r="L79" s="406"/>
      <c r="M79" s="406"/>
      <c r="N79" s="406"/>
      <c r="O79" s="406"/>
      <c r="P79" s="406"/>
      <c r="Q79" s="406"/>
      <c r="R79"/>
      <c r="S79"/>
      <c r="T79"/>
      <c r="U79"/>
      <c r="V79"/>
      <c r="W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s="149"/>
      <c r="BG79"/>
    </row>
    <row r="80" spans="2:59" s="28" customFormat="1" ht="15">
      <c r="B80" s="362" t="s">
        <v>537</v>
      </c>
      <c r="C80" s="411" t="s">
        <v>786</v>
      </c>
      <c r="D80" s="407" t="s">
        <v>787</v>
      </c>
      <c r="E80" s="407" t="s">
        <v>778</v>
      </c>
      <c r="F80" s="407" t="s">
        <v>778</v>
      </c>
      <c r="G80" s="388" t="s">
        <v>782</v>
      </c>
      <c r="H80" s="408" t="s">
        <v>232</v>
      </c>
      <c r="I80" s="407" t="s">
        <v>533</v>
      </c>
      <c r="J80" s="407" t="s">
        <v>636</v>
      </c>
      <c r="K80" s="407" t="s">
        <v>534</v>
      </c>
      <c r="L80" s="406"/>
      <c r="M80" s="406"/>
      <c r="N80" s="406"/>
      <c r="O80" s="406"/>
      <c r="P80" s="406"/>
      <c r="Q80" s="406"/>
      <c r="R80"/>
      <c r="S80"/>
      <c r="T80"/>
      <c r="U80"/>
      <c r="V80"/>
      <c r="W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s="149"/>
      <c r="BG80"/>
    </row>
    <row r="81" spans="2:59" s="28" customFormat="1" ht="15">
      <c r="B81" s="360" t="s">
        <v>532</v>
      </c>
      <c r="C81" s="411" t="s">
        <v>926</v>
      </c>
      <c r="D81" s="411" t="s">
        <v>927</v>
      </c>
      <c r="E81" s="411" t="s">
        <v>1019</v>
      </c>
      <c r="F81" s="411" t="s">
        <v>778</v>
      </c>
      <c r="G81" s="411" t="s">
        <v>779</v>
      </c>
      <c r="H81" s="411" t="s">
        <v>232</v>
      </c>
      <c r="I81" s="411" t="s">
        <v>533</v>
      </c>
      <c r="J81" s="411" t="s">
        <v>636</v>
      </c>
      <c r="K81" s="411" t="s">
        <v>534</v>
      </c>
      <c r="L81" s="411"/>
      <c r="M81" s="411"/>
      <c r="N81" s="411"/>
      <c r="O81" s="411"/>
      <c r="P81" s="411"/>
      <c r="Q81" s="411"/>
      <c r="R81"/>
      <c r="S81"/>
      <c r="T81"/>
      <c r="U81"/>
      <c r="V81"/>
      <c r="W81"/>
      <c r="X81"/>
      <c r="Y81"/>
      <c r="Z81"/>
      <c r="AA81"/>
      <c r="AB81"/>
      <c r="AC81"/>
      <c r="AD81"/>
      <c r="AE81"/>
      <c r="AF81"/>
      <c r="AG81"/>
      <c r="AH81"/>
      <c r="AI81"/>
      <c r="AJ81"/>
      <c r="AK81"/>
      <c r="AL81"/>
      <c r="AM81"/>
      <c r="AN81"/>
      <c r="AO81"/>
      <c r="AP81"/>
      <c r="AQ81"/>
      <c r="AR81"/>
      <c r="AS81"/>
      <c r="AT81"/>
      <c r="AU81"/>
      <c r="AV81"/>
      <c r="AW81"/>
      <c r="AX81"/>
      <c r="AY81"/>
      <c r="AZ81"/>
      <c r="BA81"/>
      <c r="BB81"/>
      <c r="BC81"/>
      <c r="BD81"/>
      <c r="BE81"/>
      <c r="BF81" s="149"/>
      <c r="BG81"/>
    </row>
    <row r="82" spans="2:59" s="28" customFormat="1" ht="15">
      <c r="B82" s="129"/>
      <c r="G82" s="445"/>
      <c r="BF82" s="149"/>
      <c r="BG82"/>
    </row>
    <row r="83" spans="2:59" s="28" customFormat="1" ht="15">
      <c r="B83" s="129"/>
      <c r="C83" s="355" t="s">
        <v>482</v>
      </c>
      <c r="D83" s="356"/>
      <c r="E83" s="356"/>
      <c r="F83" s="474"/>
      <c r="G83" s="474"/>
      <c r="H83" s="474"/>
      <c r="I83" s="474"/>
      <c r="J83" s="474"/>
      <c r="K83" s="474"/>
      <c r="L83" s="474"/>
      <c r="M83" s="474"/>
      <c r="N83" s="474"/>
      <c r="O83" s="474"/>
      <c r="P83" s="474"/>
      <c r="Q83" s="474"/>
      <c r="R83" s="474"/>
      <c r="S83" s="474"/>
      <c r="T83" s="474"/>
      <c r="U83" s="474"/>
      <c r="V83" s="474"/>
      <c r="W83" s="474"/>
      <c r="X83" s="475"/>
      <c r="Y83" s="93"/>
      <c r="Z83" s="93"/>
      <c r="AA83" s="93"/>
      <c r="AB83" s="93"/>
      <c r="AC83" s="93"/>
      <c r="AD83" s="357"/>
      <c r="BF83" s="149"/>
      <c r="BG83"/>
    </row>
    <row r="84" spans="2:59" s="28" customFormat="1" ht="15">
      <c r="B84" s="129"/>
      <c r="C84" s="358"/>
      <c r="D84" s="358"/>
      <c r="E84" s="358"/>
      <c r="F84" s="359" t="s">
        <v>217</v>
      </c>
      <c r="G84" s="359"/>
      <c r="H84" s="359"/>
      <c r="I84" s="359"/>
      <c r="J84" s="359"/>
      <c r="K84" s="359"/>
      <c r="L84" s="359"/>
      <c r="M84" s="359"/>
      <c r="N84" s="359"/>
      <c r="O84" s="359"/>
      <c r="P84" s="359"/>
      <c r="Q84" s="359"/>
      <c r="R84" s="359"/>
      <c r="S84" s="359"/>
      <c r="T84" s="359"/>
      <c r="U84" s="359"/>
      <c r="V84" s="359"/>
      <c r="W84" s="359"/>
      <c r="X84" s="359"/>
      <c r="Y84" s="359"/>
      <c r="Z84" s="359"/>
      <c r="AA84" s="359"/>
      <c r="AB84" s="359"/>
      <c r="AC84" s="359"/>
      <c r="AD84" s="359"/>
      <c r="BF84" s="149"/>
      <c r="BG84"/>
    </row>
    <row r="85" spans="2:59" s="28" customFormat="1" ht="15">
      <c r="B85" s="129"/>
      <c r="C85" s="334" t="s">
        <v>220</v>
      </c>
      <c r="D85" s="334" t="s">
        <v>221</v>
      </c>
      <c r="E85" s="334" t="s">
        <v>222</v>
      </c>
      <c r="F85" s="341" t="s">
        <v>483</v>
      </c>
      <c r="G85" s="341" t="s">
        <v>484</v>
      </c>
      <c r="H85" s="341" t="s">
        <v>485</v>
      </c>
      <c r="I85" s="341" t="s">
        <v>486</v>
      </c>
      <c r="J85" s="341" t="s">
        <v>487</v>
      </c>
      <c r="K85" s="341" t="s">
        <v>488</v>
      </c>
      <c r="L85" s="341" t="s">
        <v>489</v>
      </c>
      <c r="M85" s="341" t="s">
        <v>490</v>
      </c>
      <c r="N85" s="341" t="s">
        <v>491</v>
      </c>
      <c r="O85" s="341" t="s">
        <v>492</v>
      </c>
      <c r="P85" s="341" t="s">
        <v>493</v>
      </c>
      <c r="Q85" s="341" t="s">
        <v>494</v>
      </c>
      <c r="R85" s="341" t="s">
        <v>495</v>
      </c>
      <c r="S85" s="341" t="s">
        <v>496</v>
      </c>
      <c r="T85" s="341" t="s">
        <v>497</v>
      </c>
      <c r="U85" s="341" t="s">
        <v>498</v>
      </c>
      <c r="V85" s="341" t="s">
        <v>499</v>
      </c>
      <c r="W85" s="341" t="s">
        <v>500</v>
      </c>
      <c r="X85" s="341" t="s">
        <v>462</v>
      </c>
      <c r="Y85" s="341" t="s">
        <v>463</v>
      </c>
      <c r="Z85" s="341" t="s">
        <v>464</v>
      </c>
      <c r="AA85" s="341" t="s">
        <v>465</v>
      </c>
      <c r="AB85" s="341" t="s">
        <v>146</v>
      </c>
      <c r="AC85" s="341" t="s">
        <v>148</v>
      </c>
      <c r="AD85" s="341" t="s">
        <v>466</v>
      </c>
      <c r="BF85" s="149"/>
      <c r="BG85"/>
    </row>
    <row r="86" spans="2:59" s="28" customFormat="1" ht="15">
      <c r="B86" s="129"/>
      <c r="C86" s="334" t="s">
        <v>501</v>
      </c>
      <c r="D86" s="334" t="s">
        <v>502</v>
      </c>
      <c r="E86" s="334" t="s">
        <v>503</v>
      </c>
      <c r="F86" s="335" t="s">
        <v>504</v>
      </c>
      <c r="G86" s="335" t="s">
        <v>505</v>
      </c>
      <c r="H86" s="335" t="s">
        <v>506</v>
      </c>
      <c r="I86" s="335" t="s">
        <v>507</v>
      </c>
      <c r="J86" s="335" t="s">
        <v>508</v>
      </c>
      <c r="K86" s="335" t="s">
        <v>509</v>
      </c>
      <c r="L86" s="335" t="s">
        <v>510</v>
      </c>
      <c r="M86" s="335" t="s">
        <v>511</v>
      </c>
      <c r="N86" s="335" t="s">
        <v>512</v>
      </c>
      <c r="O86" s="335" t="s">
        <v>513</v>
      </c>
      <c r="P86" s="335" t="s">
        <v>514</v>
      </c>
      <c r="Q86" s="335" t="s">
        <v>515</v>
      </c>
      <c r="R86" s="335" t="s">
        <v>516</v>
      </c>
      <c r="S86" s="335" t="s">
        <v>517</v>
      </c>
      <c r="T86" s="335" t="s">
        <v>518</v>
      </c>
      <c r="U86" s="335" t="s">
        <v>519</v>
      </c>
      <c r="V86" s="335" t="s">
        <v>520</v>
      </c>
      <c r="W86" s="335" t="s">
        <v>521</v>
      </c>
      <c r="X86" s="335" t="s">
        <v>445</v>
      </c>
      <c r="Y86" s="335" t="s">
        <v>446</v>
      </c>
      <c r="Z86" s="335" t="s">
        <v>447</v>
      </c>
      <c r="AA86" s="335" t="s">
        <v>448</v>
      </c>
      <c r="AB86" s="335" t="s">
        <v>449</v>
      </c>
      <c r="AC86" s="335" t="s">
        <v>450</v>
      </c>
      <c r="AD86" s="335" t="s">
        <v>451</v>
      </c>
      <c r="BF86" s="149"/>
      <c r="BG86"/>
    </row>
    <row r="87" spans="2:59" s="28" customFormat="1" ht="15">
      <c r="B87" s="129"/>
      <c r="C87" s="334" t="s">
        <v>522</v>
      </c>
      <c r="D87" s="334" t="s">
        <v>467</v>
      </c>
      <c r="E87" s="334" t="s">
        <v>467</v>
      </c>
      <c r="F87" s="341" t="s">
        <v>470</v>
      </c>
      <c r="G87" s="341" t="s">
        <v>470</v>
      </c>
      <c r="H87" s="341" t="s">
        <v>470</v>
      </c>
      <c r="I87" s="341" t="s">
        <v>523</v>
      </c>
      <c r="J87" s="341" t="s">
        <v>524</v>
      </c>
      <c r="K87" s="341" t="s">
        <v>525</v>
      </c>
      <c r="L87" s="335" t="s">
        <v>468</v>
      </c>
      <c r="M87" s="341" t="s">
        <v>468</v>
      </c>
      <c r="N87" s="341" t="s">
        <v>526</v>
      </c>
      <c r="O87" s="341" t="s">
        <v>470</v>
      </c>
      <c r="P87" s="341" t="s">
        <v>527</v>
      </c>
      <c r="Q87" s="341" t="s">
        <v>528</v>
      </c>
      <c r="R87" s="341" t="s">
        <v>527</v>
      </c>
      <c r="S87" s="341" t="s">
        <v>472</v>
      </c>
      <c r="T87" s="335" t="s">
        <v>529</v>
      </c>
      <c r="U87" s="341" t="s">
        <v>529</v>
      </c>
      <c r="V87" s="341" t="s">
        <v>530</v>
      </c>
      <c r="W87" s="341" t="s">
        <v>470</v>
      </c>
      <c r="X87" s="341" t="s">
        <v>473</v>
      </c>
      <c r="Y87" s="341" t="s">
        <v>531</v>
      </c>
      <c r="Z87" s="341" t="s">
        <v>475</v>
      </c>
      <c r="AA87" s="341" t="s">
        <v>475</v>
      </c>
      <c r="AB87" s="335" t="s">
        <v>474</v>
      </c>
      <c r="AC87" s="341" t="s">
        <v>475</v>
      </c>
      <c r="AD87" s="341" t="s">
        <v>475</v>
      </c>
      <c r="BF87" s="149"/>
      <c r="BG87"/>
    </row>
    <row r="88" spans="2:59" s="28" customFormat="1" ht="15">
      <c r="B88" s="360" t="s">
        <v>532</v>
      </c>
      <c r="C88" s="406" t="s">
        <v>713</v>
      </c>
      <c r="D88" s="406" t="s">
        <v>648</v>
      </c>
      <c r="E88" s="406" t="s">
        <v>648</v>
      </c>
      <c r="F88" s="406" t="s">
        <v>232</v>
      </c>
      <c r="G88" s="406" t="s">
        <v>533</v>
      </c>
      <c r="H88" s="406" t="s">
        <v>533</v>
      </c>
      <c r="I88" s="406" t="s">
        <v>233</v>
      </c>
      <c r="J88" s="406" t="s">
        <v>714</v>
      </c>
      <c r="K88" s="406" t="s">
        <v>714</v>
      </c>
      <c r="L88" s="406" t="s">
        <v>156</v>
      </c>
      <c r="M88" s="406" t="s">
        <v>535</v>
      </c>
      <c r="N88" s="406"/>
      <c r="O88" s="406" t="s">
        <v>533</v>
      </c>
      <c r="P88" s="406" t="s">
        <v>156</v>
      </c>
      <c r="Q88" s="406" t="s">
        <v>235</v>
      </c>
      <c r="R88" s="406" t="s">
        <v>794</v>
      </c>
      <c r="S88" s="406"/>
      <c r="T88" s="406" t="s">
        <v>795</v>
      </c>
      <c r="U88" s="406" t="s">
        <v>796</v>
      </c>
      <c r="V88" s="406" t="s">
        <v>156</v>
      </c>
      <c r="W88" s="406"/>
      <c r="X88" s="406" t="s">
        <v>534</v>
      </c>
      <c r="Y88" s="406">
        <v>39864.674351851849</v>
      </c>
      <c r="Z88" s="406">
        <v>440393</v>
      </c>
      <c r="AA88" s="406">
        <v>440393</v>
      </c>
      <c r="AB88" s="406">
        <v>40134.391365740739</v>
      </c>
      <c r="AC88" s="406">
        <v>330622</v>
      </c>
      <c r="AD88" s="406">
        <v>330622</v>
      </c>
      <c r="BF88" s="149"/>
      <c r="BG88"/>
    </row>
    <row r="89" spans="2:59" s="28" customFormat="1" ht="15">
      <c r="B89" s="362" t="s">
        <v>537</v>
      </c>
      <c r="C89" s="406" t="s">
        <v>713</v>
      </c>
      <c r="D89" s="406" t="s">
        <v>648</v>
      </c>
      <c r="E89" s="388" t="s">
        <v>718</v>
      </c>
      <c r="F89" s="406" t="s">
        <v>232</v>
      </c>
      <c r="G89" s="406" t="s">
        <v>533</v>
      </c>
      <c r="H89" s="406" t="s">
        <v>533</v>
      </c>
      <c r="I89" s="406" t="s">
        <v>233</v>
      </c>
      <c r="J89" s="406" t="s">
        <v>714</v>
      </c>
      <c r="K89" s="406" t="s">
        <v>714</v>
      </c>
      <c r="L89" s="406" t="s">
        <v>156</v>
      </c>
      <c r="M89" s="406" t="s">
        <v>535</v>
      </c>
      <c r="N89" s="406"/>
      <c r="O89" s="406" t="s">
        <v>533</v>
      </c>
      <c r="P89" s="406" t="s">
        <v>156</v>
      </c>
      <c r="Q89" s="406" t="s">
        <v>235</v>
      </c>
      <c r="R89" s="406" t="s">
        <v>794</v>
      </c>
      <c r="S89" s="406"/>
      <c r="T89" s="406" t="s">
        <v>795</v>
      </c>
      <c r="U89" s="406" t="s">
        <v>796</v>
      </c>
      <c r="V89" s="406" t="s">
        <v>156</v>
      </c>
      <c r="W89" s="406"/>
      <c r="X89" s="406" t="s">
        <v>534</v>
      </c>
      <c r="Y89" s="406">
        <v>39864.674351851849</v>
      </c>
      <c r="Z89" s="406">
        <v>440393</v>
      </c>
      <c r="AA89" s="406">
        <v>440393</v>
      </c>
      <c r="AB89" s="406">
        <v>40134.391365740739</v>
      </c>
      <c r="AC89" s="406">
        <v>330622</v>
      </c>
      <c r="AD89" s="406">
        <v>330622</v>
      </c>
      <c r="BF89" s="149"/>
      <c r="BG89"/>
    </row>
    <row r="90" spans="2:59" s="28" customFormat="1" ht="15">
      <c r="B90" s="362" t="s">
        <v>537</v>
      </c>
      <c r="C90" s="406" t="s">
        <v>713</v>
      </c>
      <c r="D90" s="388" t="s">
        <v>718</v>
      </c>
      <c r="E90" s="406" t="s">
        <v>648</v>
      </c>
      <c r="F90" s="406" t="s">
        <v>232</v>
      </c>
      <c r="G90" s="406" t="s">
        <v>533</v>
      </c>
      <c r="H90" s="406" t="s">
        <v>533</v>
      </c>
      <c r="I90" s="406" t="s">
        <v>233</v>
      </c>
      <c r="J90" s="406" t="s">
        <v>714</v>
      </c>
      <c r="K90" s="406" t="s">
        <v>714</v>
      </c>
      <c r="L90" s="406" t="s">
        <v>156</v>
      </c>
      <c r="M90" s="406" t="s">
        <v>535</v>
      </c>
      <c r="N90" s="406"/>
      <c r="O90" s="406" t="s">
        <v>533</v>
      </c>
      <c r="P90" s="406" t="s">
        <v>156</v>
      </c>
      <c r="Q90" s="406" t="s">
        <v>235</v>
      </c>
      <c r="R90" s="406" t="s">
        <v>794</v>
      </c>
      <c r="S90" s="406"/>
      <c r="T90" s="406" t="s">
        <v>795</v>
      </c>
      <c r="U90" s="406" t="s">
        <v>796</v>
      </c>
      <c r="V90" s="406" t="s">
        <v>156</v>
      </c>
      <c r="W90" s="406"/>
      <c r="X90" s="406" t="s">
        <v>534</v>
      </c>
      <c r="Y90" s="406">
        <v>39864.674351851849</v>
      </c>
      <c r="Z90" s="406">
        <v>440393</v>
      </c>
      <c r="AA90" s="406">
        <v>440393</v>
      </c>
      <c r="AB90" s="406">
        <v>40134.391365740739</v>
      </c>
      <c r="AC90" s="406">
        <v>330622</v>
      </c>
      <c r="AD90" s="406">
        <v>330622</v>
      </c>
      <c r="BF90" s="149"/>
      <c r="BG90"/>
    </row>
    <row r="91" spans="2:59" s="28" customFormat="1" ht="15">
      <c r="B91" s="362" t="s">
        <v>537</v>
      </c>
      <c r="C91" s="406" t="s">
        <v>713</v>
      </c>
      <c r="D91" s="406">
        <v>6206</v>
      </c>
      <c r="E91" s="388" t="s">
        <v>719</v>
      </c>
      <c r="F91" s="406" t="s">
        <v>232</v>
      </c>
      <c r="G91" s="406" t="s">
        <v>533</v>
      </c>
      <c r="H91" s="406" t="s">
        <v>533</v>
      </c>
      <c r="I91" s="406" t="s">
        <v>233</v>
      </c>
      <c r="J91" s="406" t="s">
        <v>714</v>
      </c>
      <c r="K91" s="406" t="s">
        <v>714</v>
      </c>
      <c r="L91" s="406" t="s">
        <v>156</v>
      </c>
      <c r="M91" s="406" t="s">
        <v>535</v>
      </c>
      <c r="N91" s="406"/>
      <c r="O91" s="406" t="s">
        <v>533</v>
      </c>
      <c r="P91" s="406" t="s">
        <v>156</v>
      </c>
      <c r="Q91" s="406" t="s">
        <v>235</v>
      </c>
      <c r="R91" s="406" t="s">
        <v>794</v>
      </c>
      <c r="S91" s="406"/>
      <c r="T91" s="406" t="s">
        <v>795</v>
      </c>
      <c r="U91" s="406" t="s">
        <v>796</v>
      </c>
      <c r="V91" s="406" t="s">
        <v>156</v>
      </c>
      <c r="W91" s="406"/>
      <c r="X91" s="406" t="s">
        <v>534</v>
      </c>
      <c r="Y91" s="406">
        <v>39864.674351851849</v>
      </c>
      <c r="Z91" s="406">
        <v>440393</v>
      </c>
      <c r="AA91" s="406">
        <v>440393</v>
      </c>
      <c r="AB91" s="406">
        <v>40134.391365740739</v>
      </c>
      <c r="AC91" s="406">
        <v>330622</v>
      </c>
      <c r="AD91" s="406">
        <v>330622</v>
      </c>
      <c r="BF91" s="149"/>
      <c r="BG91"/>
    </row>
    <row r="92" spans="2:59" s="28" customFormat="1" ht="15">
      <c r="B92" s="129"/>
      <c r="G92" s="445"/>
      <c r="BF92" s="149"/>
      <c r="BG92"/>
    </row>
    <row r="93" spans="2:59" s="28" customFormat="1" ht="15">
      <c r="B93" s="129"/>
      <c r="G93" s="445"/>
      <c r="BF93" s="149"/>
      <c r="BG93"/>
    </row>
    <row r="94" spans="2:59" ht="14">
      <c r="B94" s="366"/>
      <c r="E94" s="391"/>
      <c r="F94" s="391"/>
      <c r="G94" s="391"/>
      <c r="I94" s="391"/>
      <c r="J94" s="391"/>
      <c r="K94" s="391"/>
      <c r="L94" s="391"/>
      <c r="M94" s="391"/>
      <c r="N94" s="391"/>
      <c r="O94" s="391"/>
      <c r="P94" s="391"/>
      <c r="Q94" s="391"/>
      <c r="R94" s="391"/>
      <c r="S94" s="375"/>
      <c r="AO94" s="391"/>
      <c r="BF94" s="348"/>
    </row>
    <row r="95" spans="2:59" ht="13.5">
      <c r="B95" s="366"/>
      <c r="C95" s="354" t="s">
        <v>153</v>
      </c>
      <c r="D95" s="354"/>
      <c r="E95" s="354"/>
      <c r="F95" s="354"/>
      <c r="G95" s="354"/>
      <c r="BF95" s="348"/>
    </row>
    <row r="96" spans="2:59" ht="14">
      <c r="B96" s="366"/>
      <c r="C96" s="354" t="s">
        <v>641</v>
      </c>
      <c r="D96" s="354" t="s">
        <v>642</v>
      </c>
      <c r="E96" s="354" t="s">
        <v>205</v>
      </c>
      <c r="F96" s="354" t="s">
        <v>643</v>
      </c>
      <c r="G96" s="354" t="s">
        <v>644</v>
      </c>
      <c r="I96" s="325"/>
      <c r="J96" s="325"/>
      <c r="K96" s="325"/>
      <c r="L96" s="325"/>
      <c r="M96" s="325"/>
      <c r="N96" s="325"/>
      <c r="AO96" s="325"/>
      <c r="BF96" s="348"/>
    </row>
    <row r="97" spans="2:58" ht="14.5" thickBot="1">
      <c r="B97" s="366"/>
      <c r="C97" s="354">
        <v>0</v>
      </c>
      <c r="D97" s="354"/>
      <c r="E97" s="354"/>
      <c r="F97" s="354"/>
      <c r="G97" s="354"/>
      <c r="I97" s="325"/>
      <c r="J97" s="325"/>
      <c r="K97" s="325"/>
      <c r="L97" s="325"/>
      <c r="M97" s="325"/>
      <c r="N97" s="325"/>
      <c r="AO97" s="325"/>
      <c r="BF97" s="348"/>
    </row>
    <row r="98" spans="2:58" ht="14" thickBot="1">
      <c r="B98" s="350" t="s">
        <v>478</v>
      </c>
      <c r="C98" s="351" t="s">
        <v>673</v>
      </c>
      <c r="D98" s="351"/>
      <c r="E98" s="351"/>
      <c r="F98" s="351"/>
      <c r="G98" s="351"/>
      <c r="H98" s="351"/>
      <c r="I98" s="351"/>
      <c r="J98" s="351"/>
      <c r="K98" s="351"/>
      <c r="L98" s="351"/>
      <c r="M98" s="351"/>
      <c r="N98" s="351"/>
      <c r="O98" s="351"/>
      <c r="P98" s="351"/>
      <c r="Q98" s="351"/>
      <c r="R98" s="351"/>
      <c r="S98" s="351"/>
      <c r="T98" s="351"/>
      <c r="U98" s="351"/>
      <c r="V98" s="351"/>
      <c r="W98" s="351"/>
      <c r="X98" s="351"/>
      <c r="Y98" s="351"/>
      <c r="Z98" s="351"/>
      <c r="AA98" s="351"/>
      <c r="AB98" s="351"/>
      <c r="AC98" s="351"/>
      <c r="AD98" s="351"/>
      <c r="AE98" s="351"/>
      <c r="AF98" s="351"/>
      <c r="AG98" s="351"/>
      <c r="AH98" s="351"/>
      <c r="AI98" s="351"/>
      <c r="AJ98" s="351"/>
      <c r="AK98" s="351"/>
      <c r="AL98" s="351"/>
      <c r="AM98" s="351"/>
      <c r="AN98" s="351"/>
      <c r="AO98" s="351"/>
      <c r="AP98" s="351"/>
      <c r="AQ98" s="351"/>
      <c r="AR98" s="351"/>
      <c r="AS98" s="351"/>
      <c r="AT98" s="351"/>
      <c r="AU98" s="351"/>
      <c r="AV98" s="351"/>
      <c r="AW98" s="351"/>
      <c r="AX98" s="351"/>
      <c r="AY98" s="351"/>
      <c r="AZ98" s="351"/>
      <c r="BA98" s="351"/>
      <c r="BB98" s="351"/>
      <c r="BC98" s="351"/>
      <c r="BD98" s="351"/>
      <c r="BE98" s="351"/>
      <c r="BF98" s="454"/>
    </row>
    <row r="99" spans="2:58" ht="14" thickBot="1">
      <c r="B99" s="352" t="s">
        <v>986</v>
      </c>
      <c r="C99" s="351" t="s">
        <v>674</v>
      </c>
      <c r="D99" s="351"/>
      <c r="E99" s="351"/>
      <c r="F99" s="351"/>
      <c r="G99" s="351"/>
      <c r="H99" s="351"/>
      <c r="I99" s="351"/>
      <c r="J99" s="351"/>
      <c r="K99" s="351"/>
      <c r="L99" s="351"/>
      <c r="M99" s="351"/>
      <c r="N99" s="351"/>
      <c r="O99" s="351"/>
      <c r="P99" s="351"/>
      <c r="Q99" s="351"/>
      <c r="R99" s="351"/>
      <c r="S99" s="351"/>
      <c r="T99" s="351"/>
      <c r="U99" s="351"/>
      <c r="V99" s="351"/>
      <c r="W99" s="351"/>
      <c r="X99" s="351"/>
      <c r="Y99" s="351"/>
      <c r="Z99" s="351"/>
      <c r="AA99" s="351"/>
      <c r="AB99" s="351"/>
      <c r="AC99" s="351"/>
      <c r="AD99" s="351"/>
      <c r="AE99" s="351"/>
      <c r="AF99" s="351"/>
      <c r="AG99" s="351"/>
      <c r="AH99" s="351"/>
      <c r="AI99" s="351"/>
      <c r="AJ99" s="351"/>
      <c r="AK99" s="351"/>
      <c r="AL99" s="351"/>
      <c r="AM99" s="351"/>
      <c r="AN99" s="351"/>
      <c r="AO99" s="351"/>
      <c r="AP99" s="351"/>
      <c r="AQ99" s="351"/>
      <c r="AR99" s="351"/>
      <c r="AS99" s="351"/>
      <c r="AT99" s="351"/>
      <c r="AU99" s="351"/>
      <c r="AV99" s="351"/>
      <c r="AW99" s="351"/>
      <c r="AX99" s="351"/>
      <c r="AY99" s="351"/>
      <c r="AZ99" s="351"/>
      <c r="BA99" s="351"/>
      <c r="BB99" s="351"/>
      <c r="BC99" s="351"/>
      <c r="BD99" s="351"/>
      <c r="BE99" s="351"/>
      <c r="BF99" s="454"/>
    </row>
    <row r="100" spans="2:58">
      <c r="B100" s="366"/>
      <c r="BF100" s="348"/>
    </row>
    <row r="101" spans="2:58" ht="13.5">
      <c r="B101" s="366"/>
      <c r="C101" s="354" t="s">
        <v>481</v>
      </c>
      <c r="D101" s="354"/>
      <c r="E101" s="354"/>
      <c r="F101" s="354"/>
      <c r="G101" s="354"/>
      <c r="AO101" s="354"/>
      <c r="BF101" s="348"/>
    </row>
    <row r="102" spans="2:58" ht="13.5">
      <c r="B102" s="366"/>
      <c r="C102" s="354" t="s">
        <v>678</v>
      </c>
      <c r="D102" s="354"/>
      <c r="E102" s="354"/>
      <c r="F102" s="354"/>
      <c r="G102" s="354"/>
      <c r="AO102" s="354"/>
      <c r="BF102" s="348"/>
    </row>
    <row r="103" spans="2:58">
      <c r="B103" s="366"/>
      <c r="BF103" s="348"/>
    </row>
    <row r="104" spans="2:58" ht="15">
      <c r="B104" s="353"/>
      <c r="C104" s="380" t="s">
        <v>452</v>
      </c>
      <c r="D104" s="381"/>
      <c r="E104" s="381"/>
      <c r="F104" s="381"/>
      <c r="G104" s="381"/>
      <c r="H104" s="381"/>
      <c r="I104" s="381"/>
      <c r="J104" s="381"/>
      <c r="K104" s="381"/>
      <c r="L104" s="381"/>
      <c r="M104" s="381"/>
      <c r="N104" s="381"/>
      <c r="O104" s="381"/>
      <c r="P104" s="381"/>
      <c r="Q104" s="381"/>
      <c r="R104" s="381"/>
      <c r="S104" s="381"/>
      <c r="BF104" s="348"/>
    </row>
    <row r="105" spans="2:58" ht="15">
      <c r="B105" s="353"/>
      <c r="D105" s="337"/>
      <c r="E105" s="336" t="s">
        <v>217</v>
      </c>
      <c r="F105" s="337"/>
      <c r="G105" s="337"/>
      <c r="H105" s="337"/>
      <c r="I105" s="338"/>
      <c r="J105" s="338"/>
      <c r="K105" s="338"/>
      <c r="L105" s="338"/>
      <c r="M105" s="338"/>
      <c r="N105" s="338"/>
      <c r="O105" s="338"/>
      <c r="P105" s="338"/>
      <c r="Q105" s="338"/>
      <c r="R105" s="338"/>
      <c r="S105" s="338"/>
      <c r="BF105" s="348"/>
    </row>
    <row r="106" spans="2:58" ht="13.5">
      <c r="B106" s="353"/>
      <c r="C106" s="371" t="s">
        <v>657</v>
      </c>
      <c r="D106" s="335" t="s">
        <v>453</v>
      </c>
      <c r="E106" s="335" t="s">
        <v>454</v>
      </c>
      <c r="F106" s="335" t="s">
        <v>455</v>
      </c>
      <c r="G106" s="335" t="s">
        <v>456</v>
      </c>
      <c r="H106" s="335" t="s">
        <v>457</v>
      </c>
      <c r="I106" s="335" t="s">
        <v>458</v>
      </c>
      <c r="J106" s="339" t="s">
        <v>459</v>
      </c>
      <c r="K106" s="335" t="s">
        <v>460</v>
      </c>
      <c r="L106" s="340" t="s">
        <v>461</v>
      </c>
      <c r="M106" s="341" t="s">
        <v>462</v>
      </c>
      <c r="N106" s="341" t="s">
        <v>463</v>
      </c>
      <c r="O106" s="341" t="s">
        <v>464</v>
      </c>
      <c r="P106" s="341" t="s">
        <v>465</v>
      </c>
      <c r="Q106" s="341" t="s">
        <v>146</v>
      </c>
      <c r="R106" s="341" t="s">
        <v>148</v>
      </c>
      <c r="S106" s="335" t="s">
        <v>466</v>
      </c>
      <c r="BF106" s="348"/>
    </row>
    <row r="107" spans="2:58" ht="13.5">
      <c r="B107" s="353"/>
      <c r="C107" s="335" t="s">
        <v>435</v>
      </c>
      <c r="D107" s="335" t="s">
        <v>436</v>
      </c>
      <c r="E107" s="335" t="s">
        <v>437</v>
      </c>
      <c r="F107" s="335" t="s">
        <v>438</v>
      </c>
      <c r="G107" s="335" t="s">
        <v>439</v>
      </c>
      <c r="H107" s="335" t="s">
        <v>440</v>
      </c>
      <c r="I107" s="335" t="s">
        <v>441</v>
      </c>
      <c r="J107" s="335" t="s">
        <v>442</v>
      </c>
      <c r="K107" s="335" t="s">
        <v>443</v>
      </c>
      <c r="L107" s="335" t="s">
        <v>444</v>
      </c>
      <c r="M107" s="335" t="s">
        <v>445</v>
      </c>
      <c r="N107" s="335" t="s">
        <v>446</v>
      </c>
      <c r="O107" s="335" t="s">
        <v>447</v>
      </c>
      <c r="P107" s="335" t="s">
        <v>448</v>
      </c>
      <c r="Q107" s="335" t="s">
        <v>449</v>
      </c>
      <c r="R107" s="335" t="s">
        <v>450</v>
      </c>
      <c r="S107" s="335" t="s">
        <v>451</v>
      </c>
      <c r="BF107" s="348"/>
    </row>
    <row r="108" spans="2:58" ht="14">
      <c r="B108" s="360"/>
      <c r="C108" s="367" t="s">
        <v>467</v>
      </c>
      <c r="D108" s="368" t="s">
        <v>468</v>
      </c>
      <c r="E108" s="368" t="s">
        <v>468</v>
      </c>
      <c r="F108" s="368" t="s">
        <v>469</v>
      </c>
      <c r="G108" s="368" t="s">
        <v>470</v>
      </c>
      <c r="H108" s="368" t="s">
        <v>468</v>
      </c>
      <c r="I108" s="369" t="s">
        <v>471</v>
      </c>
      <c r="J108" s="368" t="s">
        <v>470</v>
      </c>
      <c r="K108" s="369" t="s">
        <v>470</v>
      </c>
      <c r="L108" s="369" t="s">
        <v>472</v>
      </c>
      <c r="M108" s="370" t="s">
        <v>473</v>
      </c>
      <c r="N108" s="368" t="s">
        <v>474</v>
      </c>
      <c r="O108" s="368" t="s">
        <v>475</v>
      </c>
      <c r="P108" s="369" t="s">
        <v>475</v>
      </c>
      <c r="Q108" s="369" t="s">
        <v>223</v>
      </c>
      <c r="R108" s="370" t="s">
        <v>475</v>
      </c>
      <c r="S108" s="335" t="s">
        <v>475</v>
      </c>
      <c r="BF108" s="348"/>
    </row>
    <row r="109" spans="2:58" ht="14">
      <c r="B109" s="362" t="s">
        <v>537</v>
      </c>
      <c r="C109" s="388" t="s">
        <v>648</v>
      </c>
      <c r="D109" s="361" t="s">
        <v>649</v>
      </c>
      <c r="E109" s="361" t="s">
        <v>650</v>
      </c>
      <c r="F109" s="361" t="s">
        <v>535</v>
      </c>
      <c r="G109" s="361" t="s">
        <v>232</v>
      </c>
      <c r="H109" s="361" t="s">
        <v>651</v>
      </c>
      <c r="I109" s="361" t="s">
        <v>538</v>
      </c>
      <c r="J109" s="361" t="s">
        <v>534</v>
      </c>
      <c r="K109" s="361" t="s">
        <v>534</v>
      </c>
      <c r="L109" s="361" t="s">
        <v>652</v>
      </c>
      <c r="M109" s="361" t="s">
        <v>534</v>
      </c>
      <c r="N109" s="361" t="s">
        <v>653</v>
      </c>
      <c r="O109" s="361" t="s">
        <v>654</v>
      </c>
      <c r="P109" s="361" t="s">
        <v>654</v>
      </c>
      <c r="Q109" s="361" t="s">
        <v>655</v>
      </c>
      <c r="R109" s="361" t="s">
        <v>656</v>
      </c>
      <c r="S109" s="335" t="s">
        <v>656</v>
      </c>
      <c r="BF109" s="348"/>
    </row>
    <row r="110" spans="2:58" ht="14">
      <c r="B110" s="362" t="s">
        <v>537</v>
      </c>
      <c r="C110" s="388" t="s">
        <v>658</v>
      </c>
      <c r="D110" s="361" t="s">
        <v>649</v>
      </c>
      <c r="E110" s="361" t="s">
        <v>659</v>
      </c>
      <c r="F110" s="361" t="s">
        <v>535</v>
      </c>
      <c r="G110" s="361" t="s">
        <v>232</v>
      </c>
      <c r="H110" s="361" t="s">
        <v>651</v>
      </c>
      <c r="I110" s="361" t="s">
        <v>660</v>
      </c>
      <c r="J110" s="361" t="s">
        <v>534</v>
      </c>
      <c r="K110" s="361" t="s">
        <v>534</v>
      </c>
      <c r="L110" s="361" t="s">
        <v>661</v>
      </c>
      <c r="M110" s="361" t="s">
        <v>534</v>
      </c>
      <c r="N110" s="361" t="s">
        <v>653</v>
      </c>
      <c r="O110" s="361" t="s">
        <v>654</v>
      </c>
      <c r="P110" s="361" t="s">
        <v>654</v>
      </c>
      <c r="Q110" s="361" t="s">
        <v>662</v>
      </c>
      <c r="R110" s="361" t="s">
        <v>656</v>
      </c>
      <c r="S110" s="335" t="s">
        <v>656</v>
      </c>
      <c r="BF110" s="348"/>
    </row>
    <row r="111" spans="2:58" ht="14">
      <c r="B111" s="362" t="s">
        <v>537</v>
      </c>
      <c r="C111" s="388" t="s">
        <v>663</v>
      </c>
      <c r="D111" s="361" t="s">
        <v>649</v>
      </c>
      <c r="E111" s="361" t="s">
        <v>650</v>
      </c>
      <c r="F111" s="361" t="s">
        <v>535</v>
      </c>
      <c r="G111" s="361" t="s">
        <v>232</v>
      </c>
      <c r="H111" s="361" t="s">
        <v>651</v>
      </c>
      <c r="I111" s="361" t="s">
        <v>660</v>
      </c>
      <c r="J111" s="361" t="s">
        <v>534</v>
      </c>
      <c r="K111" s="361" t="s">
        <v>534</v>
      </c>
      <c r="L111" s="361" t="s">
        <v>664</v>
      </c>
      <c r="M111" s="361" t="s">
        <v>534</v>
      </c>
      <c r="N111" s="361" t="s">
        <v>665</v>
      </c>
      <c r="O111" s="361" t="s">
        <v>666</v>
      </c>
      <c r="P111" s="361" t="s">
        <v>666</v>
      </c>
      <c r="Q111" s="361" t="s">
        <v>665</v>
      </c>
      <c r="R111" s="361" t="s">
        <v>666</v>
      </c>
      <c r="S111" s="335" t="s">
        <v>666</v>
      </c>
      <c r="BF111" s="348"/>
    </row>
    <row r="112" spans="2:58" ht="14">
      <c r="B112" s="362" t="s">
        <v>537</v>
      </c>
      <c r="C112" s="388" t="s">
        <v>667</v>
      </c>
      <c r="D112" s="361" t="s">
        <v>649</v>
      </c>
      <c r="E112" s="361" t="s">
        <v>650</v>
      </c>
      <c r="F112" s="361" t="s">
        <v>535</v>
      </c>
      <c r="G112" s="361" t="s">
        <v>232</v>
      </c>
      <c r="H112" s="361" t="s">
        <v>651</v>
      </c>
      <c r="I112" s="361" t="s">
        <v>660</v>
      </c>
      <c r="J112" s="361" t="s">
        <v>534</v>
      </c>
      <c r="K112" s="361" t="s">
        <v>534</v>
      </c>
      <c r="L112" s="361" t="s">
        <v>668</v>
      </c>
      <c r="M112" s="361" t="s">
        <v>534</v>
      </c>
      <c r="N112" s="361" t="s">
        <v>653</v>
      </c>
      <c r="O112" s="361" t="s">
        <v>654</v>
      </c>
      <c r="P112" s="361" t="s">
        <v>654</v>
      </c>
      <c r="Q112" s="361" t="s">
        <v>655</v>
      </c>
      <c r="R112" s="361" t="s">
        <v>656</v>
      </c>
      <c r="S112" s="335" t="s">
        <v>656</v>
      </c>
      <c r="BF112" s="348"/>
    </row>
    <row r="113" spans="2:58">
      <c r="B113" s="366"/>
      <c r="BF113" s="348"/>
    </row>
    <row r="114" spans="2:58" ht="13.5">
      <c r="B114" s="366"/>
      <c r="C114" s="354" t="s">
        <v>153</v>
      </c>
      <c r="D114" s="354"/>
      <c r="E114" s="354"/>
      <c r="F114" s="354"/>
      <c r="G114" s="354"/>
      <c r="BF114" s="348"/>
    </row>
    <row r="115" spans="2:58" ht="13.5">
      <c r="B115" s="366"/>
      <c r="C115" s="354" t="s">
        <v>641</v>
      </c>
      <c r="D115" s="354" t="s">
        <v>642</v>
      </c>
      <c r="E115" s="354" t="s">
        <v>205</v>
      </c>
      <c r="F115" s="354" t="s">
        <v>643</v>
      </c>
      <c r="G115" s="354" t="s">
        <v>644</v>
      </c>
      <c r="BF115" s="348"/>
    </row>
    <row r="116" spans="2:58" ht="13.5">
      <c r="B116" s="366"/>
      <c r="C116" s="354">
        <v>-2</v>
      </c>
      <c r="D116" s="354" t="s">
        <v>156</v>
      </c>
      <c r="E116" s="354" t="s">
        <v>948</v>
      </c>
      <c r="F116" s="354" t="s">
        <v>676</v>
      </c>
      <c r="G116" s="354" t="s">
        <v>677</v>
      </c>
      <c r="BF116" s="348"/>
    </row>
    <row r="117" spans="2:58">
      <c r="B117" s="366"/>
      <c r="BF117" s="348"/>
    </row>
    <row r="118" spans="2:58">
      <c r="B118" s="366"/>
      <c r="BF118" s="348"/>
    </row>
    <row r="119" spans="2:58" ht="13.5" thickBot="1">
      <c r="B119" s="366"/>
      <c r="BF119" s="348"/>
    </row>
    <row r="120" spans="2:58" ht="14" thickBot="1">
      <c r="B120" s="350" t="s">
        <v>702</v>
      </c>
      <c r="C120" s="351" t="s">
        <v>993</v>
      </c>
      <c r="D120" s="351"/>
      <c r="E120" s="351"/>
      <c r="F120" s="351"/>
      <c r="G120" s="351"/>
      <c r="H120" s="351"/>
      <c r="I120" s="351"/>
      <c r="J120" s="351"/>
      <c r="K120" s="351"/>
      <c r="L120" s="351"/>
      <c r="M120" s="351"/>
      <c r="N120" s="351"/>
      <c r="O120" s="351"/>
      <c r="P120" s="351"/>
      <c r="Q120" s="351"/>
      <c r="R120" s="351"/>
      <c r="S120" s="351"/>
      <c r="T120" s="351"/>
      <c r="U120" s="351"/>
      <c r="V120" s="351"/>
      <c r="W120" s="351"/>
      <c r="X120" s="351"/>
      <c r="Y120" s="351"/>
      <c r="Z120" s="351"/>
      <c r="AA120" s="351"/>
      <c r="AB120" s="351"/>
      <c r="AC120" s="351"/>
      <c r="AD120" s="351"/>
      <c r="AE120" s="351"/>
      <c r="AF120" s="351"/>
      <c r="AG120" s="351"/>
      <c r="AH120" s="351"/>
      <c r="AI120" s="351"/>
      <c r="AJ120" s="351"/>
      <c r="AK120" s="351"/>
      <c r="AL120" s="351"/>
      <c r="AM120" s="351"/>
      <c r="AN120" s="351"/>
      <c r="AO120" s="351"/>
      <c r="AP120" s="351"/>
      <c r="AQ120" s="351"/>
      <c r="AR120" s="351"/>
      <c r="AS120" s="351"/>
      <c r="AT120" s="351"/>
      <c r="AU120" s="351"/>
      <c r="AV120" s="351"/>
      <c r="AW120" s="351"/>
      <c r="AX120" s="351"/>
      <c r="AY120" s="351"/>
      <c r="AZ120" s="351"/>
      <c r="BA120" s="351"/>
      <c r="BB120" s="351"/>
      <c r="BC120" s="351"/>
      <c r="BD120" s="351"/>
      <c r="BE120" s="351"/>
      <c r="BF120" s="454"/>
    </row>
    <row r="121" spans="2:58" ht="14" thickBot="1">
      <c r="B121" s="352" t="s">
        <v>986</v>
      </c>
      <c r="C121" s="351" t="s">
        <v>674</v>
      </c>
      <c r="D121" s="351"/>
      <c r="E121" s="351"/>
      <c r="F121" s="351"/>
      <c r="G121" s="351"/>
      <c r="H121" s="351"/>
      <c r="I121" s="351"/>
      <c r="J121" s="351"/>
      <c r="K121" s="351"/>
      <c r="L121" s="351"/>
      <c r="M121" s="351"/>
      <c r="N121" s="351"/>
      <c r="O121" s="351"/>
      <c r="P121" s="351"/>
      <c r="Q121" s="351"/>
      <c r="R121" s="351"/>
      <c r="S121" s="351"/>
      <c r="T121" s="351"/>
      <c r="U121" s="351"/>
      <c r="V121" s="351"/>
      <c r="W121" s="351"/>
      <c r="X121" s="351"/>
      <c r="Y121" s="351"/>
      <c r="Z121" s="351"/>
      <c r="AA121" s="351"/>
      <c r="AB121" s="351"/>
      <c r="AC121" s="351"/>
      <c r="AD121" s="351"/>
      <c r="AE121" s="351"/>
      <c r="AF121" s="351"/>
      <c r="AG121" s="351"/>
      <c r="AH121" s="351"/>
      <c r="AI121" s="351"/>
      <c r="AJ121" s="351"/>
      <c r="AK121" s="351"/>
      <c r="AL121" s="351"/>
      <c r="AM121" s="351"/>
      <c r="AN121" s="351"/>
      <c r="AO121" s="351"/>
      <c r="AP121" s="351"/>
      <c r="AQ121" s="351"/>
      <c r="AR121" s="351"/>
      <c r="AS121" s="351"/>
      <c r="AT121" s="351"/>
      <c r="AU121" s="351"/>
      <c r="AV121" s="351"/>
      <c r="AW121" s="351"/>
      <c r="AX121" s="351"/>
      <c r="AY121" s="351"/>
      <c r="AZ121" s="351"/>
      <c r="BA121" s="351"/>
      <c r="BB121" s="351"/>
      <c r="BC121" s="351"/>
      <c r="BD121" s="351"/>
      <c r="BE121" s="351"/>
      <c r="BF121" s="454"/>
    </row>
    <row r="122" spans="2:58">
      <c r="B122" s="366"/>
      <c r="BF122" s="348"/>
    </row>
    <row r="123" spans="2:58" ht="13.5">
      <c r="B123" s="366"/>
      <c r="C123" s="354" t="s">
        <v>481</v>
      </c>
      <c r="BF123" s="348"/>
    </row>
    <row r="124" spans="2:58" ht="13.5">
      <c r="B124" s="366"/>
      <c r="C124" s="354" t="s">
        <v>929</v>
      </c>
      <c r="BF124" s="348"/>
    </row>
    <row r="125" spans="2:58">
      <c r="B125" s="366"/>
      <c r="BF125" s="348"/>
    </row>
    <row r="126" spans="2:58" ht="15">
      <c r="B126" s="353"/>
      <c r="C126" s="380" t="s">
        <v>452</v>
      </c>
      <c r="D126" s="381"/>
      <c r="E126" s="381"/>
      <c r="F126" s="381"/>
      <c r="G126" s="381"/>
      <c r="H126" s="381"/>
      <c r="I126" s="381"/>
      <c r="J126" s="381"/>
      <c r="K126" s="381"/>
      <c r="L126" s="381"/>
      <c r="M126" s="381"/>
      <c r="N126" s="381"/>
      <c r="O126" s="381"/>
      <c r="P126" s="381"/>
      <c r="Q126" s="381"/>
      <c r="R126" s="381"/>
      <c r="S126" s="381"/>
      <c r="BF126" s="348"/>
    </row>
    <row r="127" spans="2:58" ht="15">
      <c r="B127" s="353"/>
      <c r="C127" s="337"/>
      <c r="D127" s="337"/>
      <c r="E127" s="336" t="s">
        <v>217</v>
      </c>
      <c r="F127" s="337"/>
      <c r="G127" s="337"/>
      <c r="H127" s="337"/>
      <c r="I127" s="338"/>
      <c r="J127" s="338"/>
      <c r="K127" s="338"/>
      <c r="L127" s="338"/>
      <c r="M127" s="338"/>
      <c r="N127" s="338"/>
      <c r="O127" s="338"/>
      <c r="P127" s="338"/>
      <c r="Q127" s="338"/>
      <c r="R127" s="338"/>
      <c r="S127" s="338"/>
      <c r="BF127" s="348"/>
    </row>
    <row r="128" spans="2:58" ht="13.5">
      <c r="B128" s="353"/>
      <c r="C128" s="371" t="s">
        <v>657</v>
      </c>
      <c r="D128" s="335" t="s">
        <v>453</v>
      </c>
      <c r="E128" s="335" t="s">
        <v>454</v>
      </c>
      <c r="F128" s="335" t="s">
        <v>455</v>
      </c>
      <c r="G128" s="335" t="s">
        <v>456</v>
      </c>
      <c r="H128" s="335" t="s">
        <v>457</v>
      </c>
      <c r="I128" s="335" t="s">
        <v>458</v>
      </c>
      <c r="J128" s="339" t="s">
        <v>459</v>
      </c>
      <c r="K128" s="335" t="s">
        <v>460</v>
      </c>
      <c r="L128" s="340" t="s">
        <v>461</v>
      </c>
      <c r="M128" s="341" t="s">
        <v>462</v>
      </c>
      <c r="N128" s="341" t="s">
        <v>463</v>
      </c>
      <c r="O128" s="341" t="s">
        <v>464</v>
      </c>
      <c r="P128" s="341" t="s">
        <v>465</v>
      </c>
      <c r="Q128" s="341" t="s">
        <v>146</v>
      </c>
      <c r="R128" s="341" t="s">
        <v>148</v>
      </c>
      <c r="S128" s="335" t="s">
        <v>466</v>
      </c>
      <c r="BF128" s="348"/>
    </row>
    <row r="129" spans="2:58" ht="13.5">
      <c r="B129" s="353"/>
      <c r="C129" s="335" t="s">
        <v>435</v>
      </c>
      <c r="D129" s="335" t="s">
        <v>436</v>
      </c>
      <c r="E129" s="335" t="s">
        <v>437</v>
      </c>
      <c r="F129" s="335" t="s">
        <v>438</v>
      </c>
      <c r="G129" s="335" t="s">
        <v>439</v>
      </c>
      <c r="H129" s="335" t="s">
        <v>440</v>
      </c>
      <c r="I129" s="335" t="s">
        <v>441</v>
      </c>
      <c r="J129" s="335" t="s">
        <v>442</v>
      </c>
      <c r="K129" s="335" t="s">
        <v>443</v>
      </c>
      <c r="L129" s="335" t="s">
        <v>444</v>
      </c>
      <c r="M129" s="335" t="s">
        <v>445</v>
      </c>
      <c r="N129" s="335" t="s">
        <v>446</v>
      </c>
      <c r="O129" s="335" t="s">
        <v>447</v>
      </c>
      <c r="P129" s="335" t="s">
        <v>448</v>
      </c>
      <c r="Q129" s="335" t="s">
        <v>449</v>
      </c>
      <c r="R129" s="335" t="s">
        <v>450</v>
      </c>
      <c r="S129" s="335" t="s">
        <v>451</v>
      </c>
      <c r="BF129" s="348"/>
    </row>
    <row r="130" spans="2:58" ht="14">
      <c r="B130" s="360"/>
      <c r="C130" s="367" t="s">
        <v>467</v>
      </c>
      <c r="D130" s="368" t="s">
        <v>468</v>
      </c>
      <c r="E130" s="368" t="s">
        <v>468</v>
      </c>
      <c r="F130" s="368" t="s">
        <v>469</v>
      </c>
      <c r="G130" s="368" t="s">
        <v>470</v>
      </c>
      <c r="H130" s="368" t="s">
        <v>468</v>
      </c>
      <c r="I130" s="369" t="s">
        <v>471</v>
      </c>
      <c r="J130" s="368" t="s">
        <v>470</v>
      </c>
      <c r="K130" s="369" t="s">
        <v>470</v>
      </c>
      <c r="L130" s="369" t="s">
        <v>472</v>
      </c>
      <c r="M130" s="370" t="s">
        <v>473</v>
      </c>
      <c r="N130" s="368" t="s">
        <v>474</v>
      </c>
      <c r="O130" s="368" t="s">
        <v>475</v>
      </c>
      <c r="P130" s="369" t="s">
        <v>475</v>
      </c>
      <c r="Q130" s="369" t="s">
        <v>223</v>
      </c>
      <c r="R130" s="370" t="s">
        <v>475</v>
      </c>
      <c r="S130" s="335" t="s">
        <v>475</v>
      </c>
      <c r="BF130" s="348"/>
    </row>
    <row r="131" spans="2:58" ht="14">
      <c r="B131" s="360" t="s">
        <v>532</v>
      </c>
      <c r="C131" s="361" t="s">
        <v>648</v>
      </c>
      <c r="D131" s="361" t="s">
        <v>649</v>
      </c>
      <c r="E131" s="361" t="s">
        <v>650</v>
      </c>
      <c r="F131" s="361" t="s">
        <v>535</v>
      </c>
      <c r="G131" s="361" t="s">
        <v>232</v>
      </c>
      <c r="H131" s="361" t="s">
        <v>651</v>
      </c>
      <c r="I131" s="361" t="s">
        <v>538</v>
      </c>
      <c r="J131" s="361" t="s">
        <v>534</v>
      </c>
      <c r="K131" s="361" t="s">
        <v>534</v>
      </c>
      <c r="L131" s="361" t="s">
        <v>652</v>
      </c>
      <c r="M131" s="361" t="s">
        <v>534</v>
      </c>
      <c r="N131" s="361" t="s">
        <v>653</v>
      </c>
      <c r="O131" s="361" t="s">
        <v>654</v>
      </c>
      <c r="P131" s="361" t="s">
        <v>654</v>
      </c>
      <c r="Q131" s="361" t="s">
        <v>655</v>
      </c>
      <c r="R131" s="361" t="s">
        <v>656</v>
      </c>
      <c r="S131" s="335" t="s">
        <v>656</v>
      </c>
      <c r="BF131" s="348"/>
    </row>
    <row r="132" spans="2:58" ht="14">
      <c r="B132" s="362" t="s">
        <v>537</v>
      </c>
      <c r="C132" s="388" t="s">
        <v>658</v>
      </c>
      <c r="D132" s="361" t="s">
        <v>649</v>
      </c>
      <c r="E132" s="361" t="s">
        <v>659</v>
      </c>
      <c r="F132" s="361" t="s">
        <v>535</v>
      </c>
      <c r="G132" s="361" t="s">
        <v>232</v>
      </c>
      <c r="H132" s="361" t="s">
        <v>651</v>
      </c>
      <c r="I132" s="361" t="s">
        <v>660</v>
      </c>
      <c r="J132" s="361" t="s">
        <v>534</v>
      </c>
      <c r="K132" s="361" t="s">
        <v>534</v>
      </c>
      <c r="L132" s="361" t="s">
        <v>661</v>
      </c>
      <c r="M132" s="361" t="s">
        <v>534</v>
      </c>
      <c r="N132" s="361" t="s">
        <v>653</v>
      </c>
      <c r="O132" s="361" t="s">
        <v>654</v>
      </c>
      <c r="P132" s="361" t="s">
        <v>654</v>
      </c>
      <c r="Q132" s="361" t="s">
        <v>662</v>
      </c>
      <c r="R132" s="361" t="s">
        <v>656</v>
      </c>
      <c r="S132" s="335" t="s">
        <v>656</v>
      </c>
      <c r="BF132" s="348"/>
    </row>
    <row r="133" spans="2:58" ht="14">
      <c r="B133" s="362" t="s">
        <v>537</v>
      </c>
      <c r="C133" s="388" t="s">
        <v>663</v>
      </c>
      <c r="D133" s="361" t="s">
        <v>649</v>
      </c>
      <c r="E133" s="361" t="s">
        <v>650</v>
      </c>
      <c r="F133" s="361" t="s">
        <v>535</v>
      </c>
      <c r="G133" s="361" t="s">
        <v>232</v>
      </c>
      <c r="H133" s="361" t="s">
        <v>651</v>
      </c>
      <c r="I133" s="361" t="s">
        <v>660</v>
      </c>
      <c r="J133" s="361" t="s">
        <v>534</v>
      </c>
      <c r="K133" s="361" t="s">
        <v>534</v>
      </c>
      <c r="L133" s="361" t="s">
        <v>664</v>
      </c>
      <c r="M133" s="361" t="s">
        <v>534</v>
      </c>
      <c r="N133" s="361" t="s">
        <v>665</v>
      </c>
      <c r="O133" s="361" t="s">
        <v>666</v>
      </c>
      <c r="P133" s="361" t="s">
        <v>666</v>
      </c>
      <c r="Q133" s="361" t="s">
        <v>665</v>
      </c>
      <c r="R133" s="361" t="s">
        <v>666</v>
      </c>
      <c r="S133" s="335" t="s">
        <v>666</v>
      </c>
      <c r="BF133" s="348"/>
    </row>
    <row r="134" spans="2:58" ht="14">
      <c r="B134" s="362" t="s">
        <v>537</v>
      </c>
      <c r="C134" s="388" t="s">
        <v>667</v>
      </c>
      <c r="D134" s="361" t="s">
        <v>649</v>
      </c>
      <c r="E134" s="361" t="s">
        <v>650</v>
      </c>
      <c r="F134" s="361" t="s">
        <v>535</v>
      </c>
      <c r="G134" s="361" t="s">
        <v>232</v>
      </c>
      <c r="H134" s="361" t="s">
        <v>651</v>
      </c>
      <c r="I134" s="361" t="s">
        <v>660</v>
      </c>
      <c r="J134" s="361" t="s">
        <v>534</v>
      </c>
      <c r="K134" s="361" t="s">
        <v>534</v>
      </c>
      <c r="L134" s="361" t="s">
        <v>668</v>
      </c>
      <c r="M134" s="361" t="s">
        <v>534</v>
      </c>
      <c r="N134" s="361" t="s">
        <v>653</v>
      </c>
      <c r="O134" s="361" t="s">
        <v>654</v>
      </c>
      <c r="P134" s="361" t="s">
        <v>654</v>
      </c>
      <c r="Q134" s="361" t="s">
        <v>655</v>
      </c>
      <c r="R134" s="361" t="s">
        <v>656</v>
      </c>
      <c r="S134" s="335" t="s">
        <v>656</v>
      </c>
      <c r="BF134" s="348"/>
    </row>
    <row r="135" spans="2:58" ht="14">
      <c r="B135" s="366"/>
      <c r="E135" s="391"/>
      <c r="F135" s="391"/>
      <c r="G135" s="391"/>
      <c r="H135" s="391"/>
      <c r="I135" s="391"/>
      <c r="J135" s="391"/>
      <c r="K135" s="391"/>
      <c r="L135" s="391"/>
      <c r="M135" s="391"/>
      <c r="N135" s="391"/>
      <c r="O135" s="391"/>
      <c r="P135" s="391"/>
      <c r="Q135" s="391"/>
      <c r="R135" s="391"/>
      <c r="S135" s="375"/>
      <c r="BF135" s="348"/>
    </row>
    <row r="136" spans="2:58">
      <c r="B136" s="366"/>
      <c r="C136" s="393" t="s">
        <v>679</v>
      </c>
      <c r="D136" s="394"/>
      <c r="E136" s="394"/>
      <c r="F136" s="394"/>
      <c r="G136" s="394"/>
      <c r="H136" s="394"/>
      <c r="I136" s="394"/>
      <c r="J136" s="394"/>
      <c r="K136" s="394"/>
      <c r="L136" s="394"/>
      <c r="M136" s="394"/>
      <c r="BF136" s="348"/>
    </row>
    <row r="137" spans="2:58" ht="15">
      <c r="B137" s="366"/>
      <c r="C137" s="336"/>
      <c r="D137" s="392"/>
      <c r="E137" s="336"/>
      <c r="F137" s="336" t="s">
        <v>217</v>
      </c>
      <c r="G137" s="392"/>
      <c r="H137" s="392"/>
      <c r="I137" s="392"/>
      <c r="J137" s="392"/>
      <c r="K137" s="392"/>
      <c r="L137" s="392"/>
      <c r="M137" s="392"/>
      <c r="BF137" s="348"/>
    </row>
    <row r="138" spans="2:58">
      <c r="B138" s="366"/>
      <c r="C138" s="371" t="s">
        <v>688</v>
      </c>
      <c r="D138" s="335" t="s">
        <v>682</v>
      </c>
      <c r="E138" s="371" t="s">
        <v>689</v>
      </c>
      <c r="F138" s="335" t="s">
        <v>683</v>
      </c>
      <c r="G138" s="341" t="s">
        <v>462</v>
      </c>
      <c r="H138" s="341" t="s">
        <v>463</v>
      </c>
      <c r="I138" s="341" t="s">
        <v>464</v>
      </c>
      <c r="J138" s="341" t="s">
        <v>465</v>
      </c>
      <c r="K138" s="341" t="s">
        <v>146</v>
      </c>
      <c r="L138" s="341" t="s">
        <v>148</v>
      </c>
      <c r="M138" s="341" t="s">
        <v>466</v>
      </c>
      <c r="BF138" s="348"/>
    </row>
    <row r="139" spans="2:58" ht="14">
      <c r="B139" s="366"/>
      <c r="C139" s="405" t="s">
        <v>690</v>
      </c>
      <c r="D139" s="335" t="s">
        <v>680</v>
      </c>
      <c r="E139" s="405" t="s">
        <v>692</v>
      </c>
      <c r="F139" s="335" t="s">
        <v>681</v>
      </c>
      <c r="G139" s="335" t="s">
        <v>445</v>
      </c>
      <c r="H139" s="335" t="s">
        <v>446</v>
      </c>
      <c r="I139" s="335" t="s">
        <v>447</v>
      </c>
      <c r="J139" s="335" t="s">
        <v>448</v>
      </c>
      <c r="K139" s="335" t="s">
        <v>449</v>
      </c>
      <c r="L139" s="335" t="s">
        <v>450</v>
      </c>
      <c r="M139" s="335" t="s">
        <v>451</v>
      </c>
      <c r="BF139" s="348"/>
    </row>
    <row r="140" spans="2:58" ht="14">
      <c r="B140" s="366"/>
      <c r="C140" s="405" t="s">
        <v>691</v>
      </c>
      <c r="D140" s="367" t="s">
        <v>685</v>
      </c>
      <c r="E140" s="405" t="s">
        <v>693</v>
      </c>
      <c r="F140" s="367" t="s">
        <v>470</v>
      </c>
      <c r="G140" s="367" t="s">
        <v>684</v>
      </c>
      <c r="H140" s="367" t="s">
        <v>474</v>
      </c>
      <c r="I140" s="367" t="s">
        <v>475</v>
      </c>
      <c r="J140" s="367" t="s">
        <v>475</v>
      </c>
      <c r="K140" s="367" t="s">
        <v>223</v>
      </c>
      <c r="L140" s="367" t="s">
        <v>475</v>
      </c>
      <c r="M140" s="367" t="s">
        <v>475</v>
      </c>
      <c r="BF140" s="348"/>
    </row>
    <row r="141" spans="2:58" ht="14">
      <c r="B141" s="362" t="s">
        <v>537</v>
      </c>
      <c r="C141" s="388" t="s">
        <v>651</v>
      </c>
      <c r="D141" s="407" t="s">
        <v>694</v>
      </c>
      <c r="E141" s="388" t="s">
        <v>695</v>
      </c>
      <c r="F141" s="407" t="s">
        <v>534</v>
      </c>
      <c r="G141" s="407" t="s">
        <v>534</v>
      </c>
      <c r="H141" s="408" t="s">
        <v>696</v>
      </c>
      <c r="I141" s="407" t="s">
        <v>697</v>
      </c>
      <c r="J141" s="407" t="s">
        <v>697</v>
      </c>
      <c r="K141" s="407" t="s">
        <v>698</v>
      </c>
      <c r="L141" s="407" t="s">
        <v>699</v>
      </c>
      <c r="M141" s="407" t="s">
        <v>699</v>
      </c>
      <c r="BF141" s="348"/>
    </row>
    <row r="142" spans="2:58" ht="14">
      <c r="B142" s="362" t="s">
        <v>537</v>
      </c>
      <c r="C142" s="388" t="s">
        <v>700</v>
      </c>
      <c r="D142" s="407" t="s">
        <v>694</v>
      </c>
      <c r="E142" s="388" t="s">
        <v>695</v>
      </c>
      <c r="F142" s="407" t="s">
        <v>534</v>
      </c>
      <c r="G142" s="407" t="s">
        <v>534</v>
      </c>
      <c r="H142" s="408" t="s">
        <v>696</v>
      </c>
      <c r="I142" s="407" t="s">
        <v>697</v>
      </c>
      <c r="J142" s="407" t="s">
        <v>697</v>
      </c>
      <c r="K142" s="407" t="s">
        <v>698</v>
      </c>
      <c r="L142" s="407" t="s">
        <v>699</v>
      </c>
      <c r="M142" s="409" t="s">
        <v>699</v>
      </c>
      <c r="BF142" s="348"/>
    </row>
    <row r="143" spans="2:58" ht="14">
      <c r="B143" s="362" t="s">
        <v>537</v>
      </c>
      <c r="C143" s="388" t="s">
        <v>659</v>
      </c>
      <c r="D143" s="407" t="s">
        <v>694</v>
      </c>
      <c r="E143" s="388" t="s">
        <v>695</v>
      </c>
      <c r="F143" s="407" t="s">
        <v>534</v>
      </c>
      <c r="G143" s="407" t="s">
        <v>534</v>
      </c>
      <c r="H143" s="408" t="s">
        <v>696</v>
      </c>
      <c r="I143" s="407" t="s">
        <v>697</v>
      </c>
      <c r="J143" s="407" t="s">
        <v>697</v>
      </c>
      <c r="K143" s="407" t="s">
        <v>698</v>
      </c>
      <c r="L143" s="407" t="s">
        <v>699</v>
      </c>
      <c r="M143" s="409" t="s">
        <v>699</v>
      </c>
      <c r="BF143" s="348"/>
    </row>
    <row r="144" spans="2:58" ht="14">
      <c r="B144" s="362" t="s">
        <v>537</v>
      </c>
      <c r="C144" s="388" t="s">
        <v>539</v>
      </c>
      <c r="D144" s="407" t="s">
        <v>694</v>
      </c>
      <c r="E144" s="388" t="s">
        <v>695</v>
      </c>
      <c r="F144" s="407" t="s">
        <v>534</v>
      </c>
      <c r="G144" s="407" t="s">
        <v>534</v>
      </c>
      <c r="H144" s="410" t="s">
        <v>696</v>
      </c>
      <c r="I144" s="407" t="s">
        <v>697</v>
      </c>
      <c r="J144" s="407" t="s">
        <v>697</v>
      </c>
      <c r="K144" s="407" t="s">
        <v>698</v>
      </c>
      <c r="L144" s="407" t="s">
        <v>699</v>
      </c>
      <c r="M144" s="409" t="s">
        <v>699</v>
      </c>
      <c r="BF144" s="348"/>
    </row>
    <row r="145" spans="2:58" ht="14">
      <c r="B145" s="362" t="s">
        <v>537</v>
      </c>
      <c r="C145" s="406" t="s">
        <v>650</v>
      </c>
      <c r="D145" s="407" t="s">
        <v>694</v>
      </c>
      <c r="E145" s="388" t="s">
        <v>695</v>
      </c>
      <c r="F145" s="407" t="s">
        <v>534</v>
      </c>
      <c r="G145" s="407" t="s">
        <v>534</v>
      </c>
      <c r="H145" s="410" t="s">
        <v>696</v>
      </c>
      <c r="I145" s="407" t="s">
        <v>697</v>
      </c>
      <c r="J145" s="407" t="s">
        <v>697</v>
      </c>
      <c r="K145" s="407" t="s">
        <v>698</v>
      </c>
      <c r="L145" s="407" t="s">
        <v>699</v>
      </c>
      <c r="M145" s="409" t="s">
        <v>699</v>
      </c>
      <c r="BF145" s="348"/>
    </row>
    <row r="146" spans="2:58">
      <c r="B146" s="366"/>
      <c r="BF146" s="348"/>
    </row>
    <row r="147" spans="2:58" ht="13.5">
      <c r="B147" s="366"/>
      <c r="C147" s="354" t="s">
        <v>153</v>
      </c>
      <c r="D147" s="354"/>
      <c r="E147" s="354"/>
      <c r="F147" s="354"/>
      <c r="G147" s="354"/>
      <c r="BF147" s="348"/>
    </row>
    <row r="148" spans="2:58" ht="13.5">
      <c r="B148" s="366"/>
      <c r="C148" s="354" t="s">
        <v>641</v>
      </c>
      <c r="D148" s="354" t="s">
        <v>642</v>
      </c>
      <c r="E148" s="354" t="s">
        <v>205</v>
      </c>
      <c r="F148" s="354" t="s">
        <v>643</v>
      </c>
      <c r="G148" s="354" t="s">
        <v>644</v>
      </c>
      <c r="BF148" s="348"/>
    </row>
    <row r="149" spans="2:58" ht="13.5">
      <c r="B149" s="366"/>
      <c r="C149" s="354">
        <v>-2</v>
      </c>
      <c r="D149" s="354" t="s">
        <v>156</v>
      </c>
      <c r="E149" s="354" t="s">
        <v>950</v>
      </c>
      <c r="F149" s="354" t="s">
        <v>928</v>
      </c>
      <c r="G149" s="354" t="s">
        <v>677</v>
      </c>
      <c r="BF149" s="348"/>
    </row>
    <row r="150" spans="2:58" ht="13.5" thickBot="1">
      <c r="B150" s="366"/>
      <c r="BF150" s="348"/>
    </row>
    <row r="151" spans="2:58" ht="14" thickBot="1">
      <c r="B151" s="350" t="s">
        <v>707</v>
      </c>
      <c r="C151" s="351" t="s">
        <v>708</v>
      </c>
      <c r="D151" s="351"/>
      <c r="E151" s="351"/>
      <c r="F151" s="351"/>
      <c r="G151" s="351"/>
      <c r="H151" s="351"/>
      <c r="I151" s="351"/>
      <c r="J151" s="351"/>
      <c r="K151" s="351"/>
      <c r="L151" s="351"/>
      <c r="M151" s="351"/>
      <c r="N151" s="351"/>
      <c r="O151" s="351"/>
      <c r="P151" s="351"/>
      <c r="Q151" s="351"/>
      <c r="R151" s="351"/>
      <c r="S151" s="351"/>
      <c r="T151" s="351"/>
      <c r="U151" s="351"/>
      <c r="V151" s="351"/>
      <c r="W151" s="351"/>
      <c r="X151" s="351"/>
      <c r="Y151" s="351"/>
      <c r="Z151" s="351"/>
      <c r="AA151" s="351"/>
      <c r="AB151" s="351"/>
      <c r="AC151" s="351"/>
      <c r="AD151" s="351"/>
      <c r="AE151" s="351"/>
      <c r="AF151" s="351"/>
      <c r="AG151" s="351"/>
      <c r="AH151" s="351"/>
      <c r="AI151" s="351"/>
      <c r="AJ151" s="351"/>
      <c r="AK151" s="351"/>
      <c r="AL151" s="351"/>
      <c r="AM151" s="351"/>
      <c r="AN151" s="351"/>
      <c r="AO151" s="351"/>
      <c r="AP151" s="351"/>
      <c r="AQ151" s="351"/>
      <c r="AR151" s="351"/>
      <c r="AS151" s="351"/>
      <c r="AT151" s="351"/>
      <c r="AU151" s="351"/>
      <c r="AV151" s="351"/>
      <c r="AW151" s="351"/>
      <c r="AX151" s="351"/>
      <c r="AY151" s="351"/>
      <c r="AZ151" s="351"/>
      <c r="BA151" s="351"/>
      <c r="BB151" s="351"/>
      <c r="BC151" s="351"/>
      <c r="BD151" s="351"/>
      <c r="BE151" s="351"/>
      <c r="BF151" s="454"/>
    </row>
    <row r="152" spans="2:58" ht="14" thickBot="1">
      <c r="B152" s="352" t="s">
        <v>986</v>
      </c>
      <c r="C152" s="351" t="s">
        <v>674</v>
      </c>
      <c r="D152" s="351"/>
      <c r="E152" s="351"/>
      <c r="F152" s="351"/>
      <c r="G152" s="351"/>
      <c r="H152" s="351"/>
      <c r="I152" s="351"/>
      <c r="J152" s="351"/>
      <c r="K152" s="351"/>
      <c r="L152" s="351"/>
      <c r="M152" s="351"/>
      <c r="N152" s="351"/>
      <c r="O152" s="351"/>
      <c r="P152" s="351"/>
      <c r="Q152" s="351"/>
      <c r="R152" s="351"/>
      <c r="S152" s="351"/>
      <c r="T152" s="351"/>
      <c r="U152" s="351"/>
      <c r="V152" s="351"/>
      <c r="W152" s="351"/>
      <c r="X152" s="351"/>
      <c r="Y152" s="351"/>
      <c r="Z152" s="351"/>
      <c r="AA152" s="351"/>
      <c r="AB152" s="351"/>
      <c r="AC152" s="351"/>
      <c r="AD152" s="351"/>
      <c r="AE152" s="351"/>
      <c r="AF152" s="351"/>
      <c r="AG152" s="351"/>
      <c r="AH152" s="351"/>
      <c r="AI152" s="351"/>
      <c r="AJ152" s="351"/>
      <c r="AK152" s="351"/>
      <c r="AL152" s="351"/>
      <c r="AM152" s="351"/>
      <c r="AN152" s="351"/>
      <c r="AO152" s="351"/>
      <c r="AP152" s="351"/>
      <c r="AQ152" s="351"/>
      <c r="AR152" s="351"/>
      <c r="AS152" s="351"/>
      <c r="AT152" s="351"/>
      <c r="AU152" s="351"/>
      <c r="AV152" s="351"/>
      <c r="AW152" s="351"/>
      <c r="AX152" s="351"/>
      <c r="AY152" s="351"/>
      <c r="AZ152" s="351"/>
      <c r="BA152" s="351"/>
      <c r="BB152" s="351"/>
      <c r="BC152" s="351"/>
      <c r="BD152" s="351"/>
      <c r="BE152" s="351"/>
      <c r="BF152" s="454"/>
    </row>
    <row r="153" spans="2:58">
      <c r="B153" s="366"/>
      <c r="BF153" s="348"/>
    </row>
    <row r="154" spans="2:58" ht="13.5">
      <c r="B154" s="366"/>
      <c r="C154" s="354" t="s">
        <v>481</v>
      </c>
      <c r="BF154" s="348"/>
    </row>
    <row r="155" spans="2:58" ht="13.5">
      <c r="B155" s="366"/>
      <c r="C155" s="354" t="s">
        <v>709</v>
      </c>
      <c r="BF155" s="348"/>
    </row>
    <row r="156" spans="2:58">
      <c r="B156" s="366"/>
      <c r="BF156" s="348"/>
    </row>
    <row r="157" spans="2:58" ht="15">
      <c r="B157" s="353"/>
      <c r="C157" s="380" t="s">
        <v>452</v>
      </c>
      <c r="D157" s="381"/>
      <c r="E157" s="381"/>
      <c r="F157" s="381"/>
      <c r="G157" s="381"/>
      <c r="H157" s="381"/>
      <c r="I157" s="381"/>
      <c r="J157" s="381"/>
      <c r="K157" s="381"/>
      <c r="L157" s="381"/>
      <c r="M157" s="381"/>
      <c r="N157" s="381"/>
      <c r="O157" s="381"/>
      <c r="P157" s="381"/>
      <c r="Q157" s="381"/>
      <c r="R157" s="381"/>
      <c r="S157" s="381"/>
      <c r="BF157" s="348"/>
    </row>
    <row r="158" spans="2:58" ht="15">
      <c r="B158" s="353"/>
      <c r="D158" s="337"/>
      <c r="E158" s="336" t="s">
        <v>217</v>
      </c>
      <c r="F158" s="337"/>
      <c r="G158" s="337"/>
      <c r="H158" s="337"/>
      <c r="I158" s="338"/>
      <c r="J158" s="338"/>
      <c r="K158" s="338"/>
      <c r="L158" s="338"/>
      <c r="M158" s="338"/>
      <c r="N158" s="338"/>
      <c r="O158" s="338"/>
      <c r="P158" s="338"/>
      <c r="Q158" s="338"/>
      <c r="R158" s="338"/>
      <c r="S158" s="338"/>
      <c r="BF158" s="348"/>
    </row>
    <row r="159" spans="2:58" ht="13.5">
      <c r="B159" s="353"/>
      <c r="C159" s="371" t="s">
        <v>657</v>
      </c>
      <c r="D159" s="335" t="s">
        <v>453</v>
      </c>
      <c r="E159" s="335" t="s">
        <v>454</v>
      </c>
      <c r="F159" s="335" t="s">
        <v>455</v>
      </c>
      <c r="G159" s="335" t="s">
        <v>456</v>
      </c>
      <c r="H159" s="335" t="s">
        <v>457</v>
      </c>
      <c r="I159" s="335" t="s">
        <v>458</v>
      </c>
      <c r="J159" s="339" t="s">
        <v>459</v>
      </c>
      <c r="K159" s="335" t="s">
        <v>460</v>
      </c>
      <c r="L159" s="340" t="s">
        <v>461</v>
      </c>
      <c r="M159" s="341" t="s">
        <v>462</v>
      </c>
      <c r="N159" s="341" t="s">
        <v>463</v>
      </c>
      <c r="O159" s="341" t="s">
        <v>464</v>
      </c>
      <c r="P159" s="341" t="s">
        <v>465</v>
      </c>
      <c r="Q159" s="341" t="s">
        <v>146</v>
      </c>
      <c r="R159" s="341" t="s">
        <v>148</v>
      </c>
      <c r="S159" s="335" t="s">
        <v>466</v>
      </c>
      <c r="BF159" s="348"/>
    </row>
    <row r="160" spans="2:58" ht="13.5">
      <c r="B160" s="353"/>
      <c r="C160" s="335" t="s">
        <v>435</v>
      </c>
      <c r="D160" s="335" t="s">
        <v>436</v>
      </c>
      <c r="E160" s="335" t="s">
        <v>437</v>
      </c>
      <c r="F160" s="335" t="s">
        <v>438</v>
      </c>
      <c r="G160" s="335" t="s">
        <v>439</v>
      </c>
      <c r="H160" s="335" t="s">
        <v>440</v>
      </c>
      <c r="I160" s="335" t="s">
        <v>441</v>
      </c>
      <c r="J160" s="335" t="s">
        <v>442</v>
      </c>
      <c r="K160" s="335" t="s">
        <v>443</v>
      </c>
      <c r="L160" s="335" t="s">
        <v>444</v>
      </c>
      <c r="M160" s="335" t="s">
        <v>445</v>
      </c>
      <c r="N160" s="335" t="s">
        <v>446</v>
      </c>
      <c r="O160" s="335" t="s">
        <v>447</v>
      </c>
      <c r="P160" s="335" t="s">
        <v>448</v>
      </c>
      <c r="Q160" s="335" t="s">
        <v>449</v>
      </c>
      <c r="R160" s="335" t="s">
        <v>450</v>
      </c>
      <c r="S160" s="335" t="s">
        <v>451</v>
      </c>
      <c r="BF160" s="348"/>
    </row>
    <row r="161" spans="2:58" ht="14">
      <c r="B161" s="360"/>
      <c r="C161" s="367" t="s">
        <v>467</v>
      </c>
      <c r="D161" s="368" t="s">
        <v>468</v>
      </c>
      <c r="E161" s="368" t="s">
        <v>468</v>
      </c>
      <c r="F161" s="368" t="s">
        <v>469</v>
      </c>
      <c r="G161" s="368" t="s">
        <v>470</v>
      </c>
      <c r="H161" s="368" t="s">
        <v>468</v>
      </c>
      <c r="I161" s="369" t="s">
        <v>471</v>
      </c>
      <c r="J161" s="368" t="s">
        <v>470</v>
      </c>
      <c r="K161" s="369" t="s">
        <v>470</v>
      </c>
      <c r="L161" s="369" t="s">
        <v>472</v>
      </c>
      <c r="M161" s="370" t="s">
        <v>473</v>
      </c>
      <c r="N161" s="368" t="s">
        <v>474</v>
      </c>
      <c r="O161" s="368" t="s">
        <v>475</v>
      </c>
      <c r="P161" s="369" t="s">
        <v>475</v>
      </c>
      <c r="Q161" s="369" t="s">
        <v>223</v>
      </c>
      <c r="R161" s="370" t="s">
        <v>475</v>
      </c>
      <c r="S161" s="335" t="s">
        <v>475</v>
      </c>
      <c r="BF161" s="348"/>
    </row>
    <row r="162" spans="2:58" ht="14">
      <c r="B162" s="360" t="s">
        <v>532</v>
      </c>
      <c r="C162" s="361" t="s">
        <v>648</v>
      </c>
      <c r="D162" s="361" t="s">
        <v>649</v>
      </c>
      <c r="E162" s="361" t="s">
        <v>650</v>
      </c>
      <c r="F162" s="361" t="s">
        <v>535</v>
      </c>
      <c r="G162" s="361" t="s">
        <v>232</v>
      </c>
      <c r="H162" s="361" t="s">
        <v>651</v>
      </c>
      <c r="I162" s="361" t="s">
        <v>538</v>
      </c>
      <c r="J162" s="361" t="s">
        <v>534</v>
      </c>
      <c r="K162" s="361" t="s">
        <v>534</v>
      </c>
      <c r="L162" s="361" t="s">
        <v>652</v>
      </c>
      <c r="M162" s="361" t="s">
        <v>534</v>
      </c>
      <c r="N162" s="361" t="s">
        <v>653</v>
      </c>
      <c r="O162" s="361" t="s">
        <v>654</v>
      </c>
      <c r="P162" s="361" t="s">
        <v>654</v>
      </c>
      <c r="Q162" s="361" t="s">
        <v>655</v>
      </c>
      <c r="R162" s="361" t="s">
        <v>656</v>
      </c>
      <c r="S162" s="335" t="s">
        <v>656</v>
      </c>
      <c r="BF162" s="348"/>
    </row>
    <row r="163" spans="2:58" ht="14">
      <c r="B163" s="362" t="s">
        <v>537</v>
      </c>
      <c r="C163" s="388" t="s">
        <v>658</v>
      </c>
      <c r="D163" s="361" t="s">
        <v>649</v>
      </c>
      <c r="E163" s="361" t="s">
        <v>659</v>
      </c>
      <c r="F163" s="361" t="s">
        <v>535</v>
      </c>
      <c r="G163" s="361" t="s">
        <v>232</v>
      </c>
      <c r="H163" s="361" t="s">
        <v>651</v>
      </c>
      <c r="I163" s="361" t="s">
        <v>660</v>
      </c>
      <c r="J163" s="361" t="s">
        <v>534</v>
      </c>
      <c r="K163" s="361" t="s">
        <v>534</v>
      </c>
      <c r="L163" s="361" t="s">
        <v>661</v>
      </c>
      <c r="M163" s="361" t="s">
        <v>534</v>
      </c>
      <c r="N163" s="361" t="s">
        <v>653</v>
      </c>
      <c r="O163" s="361" t="s">
        <v>654</v>
      </c>
      <c r="P163" s="361" t="s">
        <v>654</v>
      </c>
      <c r="Q163" s="361" t="s">
        <v>662</v>
      </c>
      <c r="R163" s="361" t="s">
        <v>656</v>
      </c>
      <c r="S163" s="335" t="s">
        <v>656</v>
      </c>
      <c r="BF163" s="348"/>
    </row>
    <row r="164" spans="2:58" ht="14">
      <c r="B164" s="362" t="s">
        <v>537</v>
      </c>
      <c r="C164" s="388" t="s">
        <v>663</v>
      </c>
      <c r="D164" s="361" t="s">
        <v>649</v>
      </c>
      <c r="E164" s="361" t="s">
        <v>650</v>
      </c>
      <c r="F164" s="361" t="s">
        <v>535</v>
      </c>
      <c r="G164" s="361" t="s">
        <v>232</v>
      </c>
      <c r="H164" s="361" t="s">
        <v>651</v>
      </c>
      <c r="I164" s="361" t="s">
        <v>660</v>
      </c>
      <c r="J164" s="361" t="s">
        <v>534</v>
      </c>
      <c r="K164" s="361" t="s">
        <v>534</v>
      </c>
      <c r="L164" s="361" t="s">
        <v>664</v>
      </c>
      <c r="M164" s="361" t="s">
        <v>534</v>
      </c>
      <c r="N164" s="361" t="s">
        <v>665</v>
      </c>
      <c r="O164" s="361" t="s">
        <v>666</v>
      </c>
      <c r="P164" s="361" t="s">
        <v>666</v>
      </c>
      <c r="Q164" s="361" t="s">
        <v>665</v>
      </c>
      <c r="R164" s="361" t="s">
        <v>666</v>
      </c>
      <c r="S164" s="335" t="s">
        <v>666</v>
      </c>
      <c r="BF164" s="348"/>
    </row>
    <row r="165" spans="2:58" ht="14">
      <c r="B165" s="362" t="s">
        <v>537</v>
      </c>
      <c r="C165" s="388" t="s">
        <v>667</v>
      </c>
      <c r="D165" s="361" t="s">
        <v>649</v>
      </c>
      <c r="E165" s="361" t="s">
        <v>650</v>
      </c>
      <c r="F165" s="361" t="s">
        <v>535</v>
      </c>
      <c r="G165" s="361" t="s">
        <v>232</v>
      </c>
      <c r="H165" s="361" t="s">
        <v>651</v>
      </c>
      <c r="I165" s="361" t="s">
        <v>660</v>
      </c>
      <c r="J165" s="361" t="s">
        <v>534</v>
      </c>
      <c r="K165" s="361" t="s">
        <v>534</v>
      </c>
      <c r="L165" s="361" t="s">
        <v>668</v>
      </c>
      <c r="M165" s="361" t="s">
        <v>534</v>
      </c>
      <c r="N165" s="361" t="s">
        <v>653</v>
      </c>
      <c r="O165" s="361" t="s">
        <v>654</v>
      </c>
      <c r="P165" s="361" t="s">
        <v>654</v>
      </c>
      <c r="Q165" s="361" t="s">
        <v>655</v>
      </c>
      <c r="R165" s="361" t="s">
        <v>656</v>
      </c>
      <c r="S165" s="335" t="s">
        <v>656</v>
      </c>
      <c r="BF165" s="348"/>
    </row>
    <row r="166" spans="2:58" ht="14">
      <c r="B166" s="366"/>
      <c r="E166" s="391"/>
      <c r="F166" s="391"/>
      <c r="G166" s="391"/>
      <c r="H166" s="391"/>
      <c r="I166" s="391"/>
      <c r="J166" s="391"/>
      <c r="K166" s="391"/>
      <c r="L166" s="391"/>
      <c r="M166" s="391"/>
      <c r="N166" s="391"/>
      <c r="O166" s="391"/>
      <c r="P166" s="391"/>
      <c r="Q166" s="391"/>
      <c r="R166" s="391"/>
      <c r="S166" s="375"/>
      <c r="BF166" s="348"/>
    </row>
    <row r="167" spans="2:58">
      <c r="B167" s="366"/>
      <c r="C167" s="393" t="s">
        <v>679</v>
      </c>
      <c r="D167" s="394"/>
      <c r="E167" s="394"/>
      <c r="F167" s="394"/>
      <c r="G167" s="394"/>
      <c r="H167" s="394"/>
      <c r="I167" s="394"/>
      <c r="J167" s="394"/>
      <c r="K167" s="394"/>
      <c r="L167" s="394"/>
      <c r="M167" s="394"/>
      <c r="BF167" s="348"/>
    </row>
    <row r="168" spans="2:58" ht="15">
      <c r="B168" s="366"/>
      <c r="C168" s="336"/>
      <c r="D168" s="392"/>
      <c r="E168" s="336"/>
      <c r="F168" s="336" t="s">
        <v>217</v>
      </c>
      <c r="G168" s="392"/>
      <c r="H168" s="392"/>
      <c r="I168" s="392"/>
      <c r="J168" s="392"/>
      <c r="K168" s="392"/>
      <c r="L168" s="392"/>
      <c r="M168" s="392"/>
      <c r="BF168" s="348"/>
    </row>
    <row r="169" spans="2:58">
      <c r="B169" s="366"/>
      <c r="C169" s="371" t="s">
        <v>688</v>
      </c>
      <c r="D169" s="335" t="s">
        <v>682</v>
      </c>
      <c r="E169" s="371" t="s">
        <v>689</v>
      </c>
      <c r="F169" s="335" t="s">
        <v>683</v>
      </c>
      <c r="G169" s="341" t="s">
        <v>462</v>
      </c>
      <c r="H169" s="341" t="s">
        <v>463</v>
      </c>
      <c r="I169" s="341" t="s">
        <v>464</v>
      </c>
      <c r="J169" s="341" t="s">
        <v>465</v>
      </c>
      <c r="K169" s="341" t="s">
        <v>146</v>
      </c>
      <c r="L169" s="341" t="s">
        <v>148</v>
      </c>
      <c r="M169" s="341" t="s">
        <v>466</v>
      </c>
      <c r="BF169" s="348"/>
    </row>
    <row r="170" spans="2:58" ht="14">
      <c r="B170" s="366"/>
      <c r="C170" s="405" t="s">
        <v>690</v>
      </c>
      <c r="D170" s="335" t="s">
        <v>680</v>
      </c>
      <c r="E170" s="405" t="s">
        <v>692</v>
      </c>
      <c r="F170" s="335" t="s">
        <v>681</v>
      </c>
      <c r="G170" s="335" t="s">
        <v>445</v>
      </c>
      <c r="H170" s="335" t="s">
        <v>446</v>
      </c>
      <c r="I170" s="335" t="s">
        <v>447</v>
      </c>
      <c r="J170" s="335" t="s">
        <v>448</v>
      </c>
      <c r="K170" s="335" t="s">
        <v>449</v>
      </c>
      <c r="L170" s="335" t="s">
        <v>450</v>
      </c>
      <c r="M170" s="335" t="s">
        <v>451</v>
      </c>
      <c r="BF170" s="348"/>
    </row>
    <row r="171" spans="2:58" ht="14">
      <c r="B171" s="366"/>
      <c r="C171" s="405" t="s">
        <v>691</v>
      </c>
      <c r="D171" s="367" t="s">
        <v>685</v>
      </c>
      <c r="E171" s="405" t="s">
        <v>693</v>
      </c>
      <c r="F171" s="367" t="s">
        <v>470</v>
      </c>
      <c r="G171" s="367" t="s">
        <v>684</v>
      </c>
      <c r="H171" s="367" t="s">
        <v>474</v>
      </c>
      <c r="I171" s="367" t="s">
        <v>475</v>
      </c>
      <c r="J171" s="367" t="s">
        <v>475</v>
      </c>
      <c r="K171" s="367" t="s">
        <v>223</v>
      </c>
      <c r="L171" s="367" t="s">
        <v>475</v>
      </c>
      <c r="M171" s="407" t="s">
        <v>475</v>
      </c>
      <c r="BF171" s="348"/>
    </row>
    <row r="172" spans="2:58" ht="14">
      <c r="B172" s="362" t="s">
        <v>537</v>
      </c>
      <c r="C172" s="388" t="s">
        <v>651</v>
      </c>
      <c r="D172" s="407" t="s">
        <v>694</v>
      </c>
      <c r="E172" s="388" t="s">
        <v>695</v>
      </c>
      <c r="F172" s="407" t="s">
        <v>534</v>
      </c>
      <c r="G172" s="407" t="s">
        <v>534</v>
      </c>
      <c r="H172" s="408" t="s">
        <v>696</v>
      </c>
      <c r="I172" s="407" t="s">
        <v>697</v>
      </c>
      <c r="J172" s="407" t="s">
        <v>697</v>
      </c>
      <c r="K172" s="407" t="s">
        <v>698</v>
      </c>
      <c r="L172" s="407" t="s">
        <v>699</v>
      </c>
      <c r="M172" s="407" t="s">
        <v>699</v>
      </c>
      <c r="BF172" s="348"/>
    </row>
    <row r="173" spans="2:58" ht="14">
      <c r="B173" s="362" t="s">
        <v>537</v>
      </c>
      <c r="C173" s="388" t="s">
        <v>700</v>
      </c>
      <c r="D173" s="407" t="s">
        <v>694</v>
      </c>
      <c r="E173" s="388" t="s">
        <v>695</v>
      </c>
      <c r="F173" s="407" t="s">
        <v>534</v>
      </c>
      <c r="G173" s="407" t="s">
        <v>534</v>
      </c>
      <c r="H173" s="408" t="s">
        <v>696</v>
      </c>
      <c r="I173" s="407" t="s">
        <v>697</v>
      </c>
      <c r="J173" s="407" t="s">
        <v>697</v>
      </c>
      <c r="K173" s="407" t="s">
        <v>698</v>
      </c>
      <c r="L173" s="407" t="s">
        <v>699</v>
      </c>
      <c r="M173" s="407" t="s">
        <v>699</v>
      </c>
      <c r="BF173" s="348"/>
    </row>
    <row r="174" spans="2:58" ht="14">
      <c r="B174" s="362" t="s">
        <v>537</v>
      </c>
      <c r="C174" s="388" t="s">
        <v>659</v>
      </c>
      <c r="D174" s="407" t="s">
        <v>694</v>
      </c>
      <c r="E174" s="388" t="s">
        <v>695</v>
      </c>
      <c r="F174" s="407" t="s">
        <v>534</v>
      </c>
      <c r="G174" s="407" t="s">
        <v>534</v>
      </c>
      <c r="H174" s="408" t="s">
        <v>696</v>
      </c>
      <c r="I174" s="407" t="s">
        <v>697</v>
      </c>
      <c r="J174" s="407" t="s">
        <v>697</v>
      </c>
      <c r="K174" s="407" t="s">
        <v>698</v>
      </c>
      <c r="L174" s="407" t="s">
        <v>699</v>
      </c>
      <c r="M174" s="407" t="s">
        <v>699</v>
      </c>
      <c r="BF174" s="348"/>
    </row>
    <row r="175" spans="2:58" ht="14">
      <c r="B175" s="362" t="s">
        <v>537</v>
      </c>
      <c r="C175" s="388" t="s">
        <v>539</v>
      </c>
      <c r="D175" s="407" t="s">
        <v>694</v>
      </c>
      <c r="E175" s="388" t="s">
        <v>695</v>
      </c>
      <c r="F175" s="407" t="s">
        <v>534</v>
      </c>
      <c r="G175" s="407" t="s">
        <v>534</v>
      </c>
      <c r="H175" s="410" t="s">
        <v>696</v>
      </c>
      <c r="I175" s="407" t="s">
        <v>697</v>
      </c>
      <c r="J175" s="407" t="s">
        <v>697</v>
      </c>
      <c r="K175" s="407" t="s">
        <v>698</v>
      </c>
      <c r="L175" s="407" t="s">
        <v>699</v>
      </c>
      <c r="M175" s="407" t="s">
        <v>699</v>
      </c>
      <c r="BF175" s="348"/>
    </row>
    <row r="176" spans="2:58" ht="14">
      <c r="B176" s="362" t="s">
        <v>537</v>
      </c>
      <c r="C176" s="406" t="s">
        <v>650</v>
      </c>
      <c r="D176" s="407" t="s">
        <v>694</v>
      </c>
      <c r="E176" s="388" t="s">
        <v>695</v>
      </c>
      <c r="F176" s="407" t="s">
        <v>534</v>
      </c>
      <c r="G176" s="407" t="s">
        <v>534</v>
      </c>
      <c r="H176" s="410" t="s">
        <v>696</v>
      </c>
      <c r="I176" s="407" t="s">
        <v>697</v>
      </c>
      <c r="J176" s="407" t="s">
        <v>697</v>
      </c>
      <c r="K176" s="407" t="s">
        <v>698</v>
      </c>
      <c r="L176" s="407" t="s">
        <v>699</v>
      </c>
      <c r="M176" s="407" t="s">
        <v>699</v>
      </c>
      <c r="BF176" s="348"/>
    </row>
    <row r="177" spans="2:58">
      <c r="B177" s="366"/>
      <c r="BF177" s="348"/>
    </row>
    <row r="178" spans="2:58" ht="13.5">
      <c r="B178" s="366"/>
      <c r="C178" s="354" t="s">
        <v>153</v>
      </c>
      <c r="BF178" s="348"/>
    </row>
    <row r="179" spans="2:58" ht="13.5">
      <c r="B179" s="366"/>
      <c r="C179" s="354" t="s">
        <v>641</v>
      </c>
      <c r="D179" s="354" t="s">
        <v>642</v>
      </c>
      <c r="E179" s="354" t="s">
        <v>205</v>
      </c>
      <c r="F179" s="354" t="s">
        <v>643</v>
      </c>
      <c r="G179" s="354" t="s">
        <v>644</v>
      </c>
      <c r="BF179" s="348"/>
    </row>
    <row r="180" spans="2:58" ht="13.5">
      <c r="B180" s="366"/>
      <c r="C180" s="354">
        <v>-2</v>
      </c>
      <c r="D180" s="354" t="s">
        <v>156</v>
      </c>
      <c r="E180" s="354" t="s">
        <v>950</v>
      </c>
      <c r="F180" s="354" t="s">
        <v>928</v>
      </c>
      <c r="G180" s="354" t="s">
        <v>677</v>
      </c>
      <c r="BF180" s="348"/>
    </row>
    <row r="181" spans="2:58" ht="13.5" thickBot="1">
      <c r="B181" s="366"/>
      <c r="BF181" s="348"/>
    </row>
    <row r="182" spans="2:58" ht="14" thickBot="1">
      <c r="B182" s="350" t="s">
        <v>710</v>
      </c>
      <c r="C182" s="351" t="s">
        <v>711</v>
      </c>
      <c r="D182" s="351"/>
      <c r="E182" s="351"/>
      <c r="F182" s="351"/>
      <c r="G182" s="351"/>
      <c r="H182" s="351"/>
      <c r="I182" s="351"/>
      <c r="J182" s="351"/>
      <c r="K182" s="351"/>
      <c r="L182" s="351"/>
      <c r="M182" s="351"/>
      <c r="N182" s="351"/>
      <c r="O182" s="351"/>
      <c r="P182" s="351"/>
      <c r="Q182" s="351"/>
      <c r="R182" s="351"/>
      <c r="S182" s="351"/>
      <c r="T182" s="351"/>
      <c r="U182" s="351"/>
      <c r="V182" s="351"/>
      <c r="W182" s="351"/>
      <c r="X182" s="351"/>
      <c r="Y182" s="351"/>
      <c r="Z182" s="351"/>
      <c r="AA182" s="351"/>
      <c r="AB182" s="351"/>
      <c r="AC182" s="351"/>
      <c r="AD182" s="351"/>
      <c r="AE182" s="351"/>
      <c r="AF182" s="351"/>
      <c r="AG182" s="351"/>
      <c r="AH182" s="351"/>
      <c r="AI182" s="351"/>
      <c r="AJ182" s="351"/>
      <c r="AK182" s="351"/>
      <c r="AL182" s="351"/>
      <c r="AM182" s="351"/>
      <c r="AN182" s="351"/>
      <c r="AO182" s="351"/>
      <c r="AP182" s="351"/>
      <c r="AQ182" s="351"/>
      <c r="AR182" s="351"/>
      <c r="AS182" s="351"/>
      <c r="AT182" s="351"/>
      <c r="AU182" s="351"/>
      <c r="AV182" s="351"/>
      <c r="AW182" s="351"/>
      <c r="AX182" s="351"/>
      <c r="AY182" s="351"/>
      <c r="AZ182" s="351"/>
      <c r="BA182" s="351"/>
      <c r="BB182" s="351"/>
      <c r="BC182" s="351"/>
      <c r="BD182" s="351"/>
      <c r="BE182" s="351"/>
      <c r="BF182" s="454"/>
    </row>
    <row r="183" spans="2:58" ht="14" thickBot="1">
      <c r="B183" s="352" t="s">
        <v>986</v>
      </c>
      <c r="C183" s="351" t="s">
        <v>674</v>
      </c>
      <c r="D183" s="351"/>
      <c r="E183" s="351"/>
      <c r="F183" s="351"/>
      <c r="G183" s="351"/>
      <c r="H183" s="351"/>
      <c r="I183" s="351"/>
      <c r="J183" s="351"/>
      <c r="K183" s="351"/>
      <c r="L183" s="351"/>
      <c r="M183" s="351"/>
      <c r="N183" s="351"/>
      <c r="O183" s="351"/>
      <c r="P183" s="351"/>
      <c r="Q183" s="351"/>
      <c r="R183" s="351"/>
      <c r="S183" s="351"/>
      <c r="T183" s="351"/>
      <c r="U183" s="351"/>
      <c r="V183" s="351"/>
      <c r="W183" s="351"/>
      <c r="X183" s="351"/>
      <c r="Y183" s="351"/>
      <c r="Z183" s="351"/>
      <c r="AA183" s="351"/>
      <c r="AB183" s="351"/>
      <c r="AC183" s="351"/>
      <c r="AD183" s="351"/>
      <c r="AE183" s="351"/>
      <c r="AF183" s="351"/>
      <c r="AG183" s="351"/>
      <c r="AH183" s="351"/>
      <c r="AI183" s="351"/>
      <c r="AJ183" s="351"/>
      <c r="AK183" s="351"/>
      <c r="AL183" s="351"/>
      <c r="AM183" s="351"/>
      <c r="AN183" s="351"/>
      <c r="AO183" s="351"/>
      <c r="AP183" s="351"/>
      <c r="AQ183" s="351"/>
      <c r="AR183" s="351"/>
      <c r="AS183" s="351"/>
      <c r="AT183" s="351"/>
      <c r="AU183" s="351"/>
      <c r="AV183" s="351"/>
      <c r="AW183" s="351"/>
      <c r="AX183" s="351"/>
      <c r="AY183" s="351"/>
      <c r="AZ183" s="351"/>
      <c r="BA183" s="351"/>
      <c r="BB183" s="351"/>
      <c r="BC183" s="351"/>
      <c r="BD183" s="351"/>
      <c r="BE183" s="351"/>
      <c r="BF183" s="454"/>
    </row>
    <row r="184" spans="2:58">
      <c r="B184" s="366"/>
      <c r="BF184" s="348"/>
    </row>
    <row r="185" spans="2:58" ht="13.5">
      <c r="B185" s="366"/>
      <c r="C185" s="354" t="s">
        <v>481</v>
      </c>
      <c r="BF185" s="348"/>
    </row>
    <row r="186" spans="2:58" ht="13.5">
      <c r="B186" s="366"/>
      <c r="C186" s="354" t="s">
        <v>722</v>
      </c>
      <c r="BF186" s="348"/>
    </row>
    <row r="187" spans="2:58">
      <c r="B187" s="366"/>
      <c r="BF187" s="348"/>
    </row>
    <row r="188" spans="2:58" ht="15">
      <c r="B188" s="353"/>
      <c r="C188" s="380" t="s">
        <v>452</v>
      </c>
      <c r="D188" s="381"/>
      <c r="E188" s="381"/>
      <c r="F188" s="381"/>
      <c r="G188" s="381"/>
      <c r="H188" s="381"/>
      <c r="I188" s="381"/>
      <c r="J188" s="381"/>
      <c r="K188" s="381"/>
      <c r="L188" s="381"/>
      <c r="M188" s="381"/>
      <c r="N188" s="381"/>
      <c r="O188" s="381"/>
      <c r="P188" s="381"/>
      <c r="Q188" s="381"/>
      <c r="R188" s="381"/>
      <c r="S188" s="381"/>
      <c r="BF188" s="348"/>
    </row>
    <row r="189" spans="2:58" ht="15">
      <c r="B189" s="353"/>
      <c r="D189" s="337"/>
      <c r="E189" s="336" t="s">
        <v>217</v>
      </c>
      <c r="F189" s="337"/>
      <c r="G189" s="337"/>
      <c r="H189" s="337"/>
      <c r="I189" s="338"/>
      <c r="J189" s="338"/>
      <c r="K189" s="338"/>
      <c r="L189" s="338"/>
      <c r="M189" s="338"/>
      <c r="N189" s="338"/>
      <c r="O189" s="338"/>
      <c r="P189" s="338"/>
      <c r="Q189" s="338"/>
      <c r="R189" s="338"/>
      <c r="S189" s="338"/>
      <c r="BF189" s="348"/>
    </row>
    <row r="190" spans="2:58" ht="13.5">
      <c r="B190" s="353"/>
      <c r="C190" s="371" t="s">
        <v>657</v>
      </c>
      <c r="D190" s="335" t="s">
        <v>453</v>
      </c>
      <c r="E190" s="335" t="s">
        <v>454</v>
      </c>
      <c r="F190" s="335" t="s">
        <v>455</v>
      </c>
      <c r="G190" s="335" t="s">
        <v>456</v>
      </c>
      <c r="H190" s="335" t="s">
        <v>457</v>
      </c>
      <c r="I190" s="335" t="s">
        <v>458</v>
      </c>
      <c r="J190" s="339" t="s">
        <v>459</v>
      </c>
      <c r="K190" s="335" t="s">
        <v>460</v>
      </c>
      <c r="L190" s="340" t="s">
        <v>461</v>
      </c>
      <c r="M190" s="341" t="s">
        <v>462</v>
      </c>
      <c r="N190" s="341" t="s">
        <v>463</v>
      </c>
      <c r="O190" s="341" t="s">
        <v>464</v>
      </c>
      <c r="P190" s="341" t="s">
        <v>465</v>
      </c>
      <c r="Q190" s="341" t="s">
        <v>146</v>
      </c>
      <c r="R190" s="341" t="s">
        <v>148</v>
      </c>
      <c r="S190" s="335" t="s">
        <v>466</v>
      </c>
      <c r="BF190" s="348"/>
    </row>
    <row r="191" spans="2:58" ht="13.5">
      <c r="B191" s="353"/>
      <c r="C191" s="335" t="s">
        <v>435</v>
      </c>
      <c r="D191" s="335" t="s">
        <v>436</v>
      </c>
      <c r="E191" s="335" t="s">
        <v>437</v>
      </c>
      <c r="F191" s="335" t="s">
        <v>438</v>
      </c>
      <c r="G191" s="335" t="s">
        <v>439</v>
      </c>
      <c r="H191" s="335" t="s">
        <v>440</v>
      </c>
      <c r="I191" s="335" t="s">
        <v>441</v>
      </c>
      <c r="J191" s="335" t="s">
        <v>442</v>
      </c>
      <c r="K191" s="335" t="s">
        <v>443</v>
      </c>
      <c r="L191" s="335" t="s">
        <v>444</v>
      </c>
      <c r="M191" s="335" t="s">
        <v>445</v>
      </c>
      <c r="N191" s="335" t="s">
        <v>446</v>
      </c>
      <c r="O191" s="335" t="s">
        <v>447</v>
      </c>
      <c r="P191" s="335" t="s">
        <v>448</v>
      </c>
      <c r="Q191" s="335" t="s">
        <v>449</v>
      </c>
      <c r="R191" s="335" t="s">
        <v>450</v>
      </c>
      <c r="S191" s="335" t="s">
        <v>451</v>
      </c>
      <c r="BF191" s="348"/>
    </row>
    <row r="192" spans="2:58" ht="14">
      <c r="B192" s="360"/>
      <c r="C192" s="367" t="s">
        <v>467</v>
      </c>
      <c r="D192" s="368" t="s">
        <v>468</v>
      </c>
      <c r="E192" s="368" t="s">
        <v>468</v>
      </c>
      <c r="F192" s="368" t="s">
        <v>469</v>
      </c>
      <c r="G192" s="368" t="s">
        <v>470</v>
      </c>
      <c r="H192" s="368" t="s">
        <v>468</v>
      </c>
      <c r="I192" s="369" t="s">
        <v>471</v>
      </c>
      <c r="J192" s="368" t="s">
        <v>470</v>
      </c>
      <c r="K192" s="369" t="s">
        <v>470</v>
      </c>
      <c r="L192" s="369" t="s">
        <v>472</v>
      </c>
      <c r="M192" s="370" t="s">
        <v>473</v>
      </c>
      <c r="N192" s="368" t="s">
        <v>474</v>
      </c>
      <c r="O192" s="368" t="s">
        <v>475</v>
      </c>
      <c r="P192" s="369" t="s">
        <v>475</v>
      </c>
      <c r="Q192" s="369" t="s">
        <v>223</v>
      </c>
      <c r="R192" s="370" t="s">
        <v>475</v>
      </c>
      <c r="S192" s="335" t="s">
        <v>475</v>
      </c>
      <c r="BF192" s="348"/>
    </row>
    <row r="193" spans="2:58" ht="14">
      <c r="B193" s="360" t="s">
        <v>532</v>
      </c>
      <c r="C193" s="361" t="s">
        <v>648</v>
      </c>
      <c r="D193" s="361" t="s">
        <v>649</v>
      </c>
      <c r="E193" s="361" t="s">
        <v>650</v>
      </c>
      <c r="F193" s="361" t="s">
        <v>535</v>
      </c>
      <c r="G193" s="361" t="s">
        <v>232</v>
      </c>
      <c r="H193" s="361" t="s">
        <v>651</v>
      </c>
      <c r="I193" s="361" t="s">
        <v>538</v>
      </c>
      <c r="J193" s="361" t="s">
        <v>534</v>
      </c>
      <c r="K193" s="361" t="s">
        <v>534</v>
      </c>
      <c r="L193" s="361" t="s">
        <v>652</v>
      </c>
      <c r="M193" s="361" t="s">
        <v>534</v>
      </c>
      <c r="N193" s="361" t="s">
        <v>653</v>
      </c>
      <c r="O193" s="361" t="s">
        <v>654</v>
      </c>
      <c r="P193" s="361" t="s">
        <v>654</v>
      </c>
      <c r="Q193" s="361" t="s">
        <v>655</v>
      </c>
      <c r="R193" s="361" t="s">
        <v>656</v>
      </c>
      <c r="S193" s="335" t="s">
        <v>656</v>
      </c>
      <c r="BF193" s="348"/>
    </row>
    <row r="194" spans="2:58" ht="14">
      <c r="B194" s="362" t="s">
        <v>537</v>
      </c>
      <c r="C194" s="388" t="s">
        <v>658</v>
      </c>
      <c r="D194" s="361" t="s">
        <v>649</v>
      </c>
      <c r="E194" s="361" t="s">
        <v>659</v>
      </c>
      <c r="F194" s="361" t="s">
        <v>535</v>
      </c>
      <c r="G194" s="361" t="s">
        <v>232</v>
      </c>
      <c r="H194" s="361" t="s">
        <v>651</v>
      </c>
      <c r="I194" s="361" t="s">
        <v>660</v>
      </c>
      <c r="J194" s="361" t="s">
        <v>534</v>
      </c>
      <c r="K194" s="361" t="s">
        <v>534</v>
      </c>
      <c r="L194" s="361" t="s">
        <v>661</v>
      </c>
      <c r="M194" s="361" t="s">
        <v>534</v>
      </c>
      <c r="N194" s="361" t="s">
        <v>653</v>
      </c>
      <c r="O194" s="361" t="s">
        <v>654</v>
      </c>
      <c r="P194" s="361" t="s">
        <v>654</v>
      </c>
      <c r="Q194" s="361" t="s">
        <v>662</v>
      </c>
      <c r="R194" s="361" t="s">
        <v>656</v>
      </c>
      <c r="S194" s="335" t="s">
        <v>656</v>
      </c>
      <c r="BF194" s="348"/>
    </row>
    <row r="195" spans="2:58" ht="14">
      <c r="B195" s="362" t="s">
        <v>537</v>
      </c>
      <c r="C195" s="388" t="s">
        <v>663</v>
      </c>
      <c r="D195" s="361" t="s">
        <v>649</v>
      </c>
      <c r="E195" s="361" t="s">
        <v>650</v>
      </c>
      <c r="F195" s="361" t="s">
        <v>535</v>
      </c>
      <c r="G195" s="361" t="s">
        <v>232</v>
      </c>
      <c r="H195" s="361" t="s">
        <v>651</v>
      </c>
      <c r="I195" s="361" t="s">
        <v>660</v>
      </c>
      <c r="J195" s="361" t="s">
        <v>534</v>
      </c>
      <c r="K195" s="361" t="s">
        <v>534</v>
      </c>
      <c r="L195" s="361" t="s">
        <v>664</v>
      </c>
      <c r="M195" s="361" t="s">
        <v>534</v>
      </c>
      <c r="N195" s="361" t="s">
        <v>665</v>
      </c>
      <c r="O195" s="361" t="s">
        <v>666</v>
      </c>
      <c r="P195" s="361" t="s">
        <v>666</v>
      </c>
      <c r="Q195" s="361" t="s">
        <v>665</v>
      </c>
      <c r="R195" s="361" t="s">
        <v>666</v>
      </c>
      <c r="S195" s="335" t="s">
        <v>666</v>
      </c>
      <c r="BF195" s="348"/>
    </row>
    <row r="196" spans="2:58" ht="14">
      <c r="B196" s="362" t="s">
        <v>537</v>
      </c>
      <c r="C196" s="388" t="s">
        <v>667</v>
      </c>
      <c r="D196" s="361" t="s">
        <v>649</v>
      </c>
      <c r="E196" s="361" t="s">
        <v>650</v>
      </c>
      <c r="F196" s="361" t="s">
        <v>535</v>
      </c>
      <c r="G196" s="361" t="s">
        <v>232</v>
      </c>
      <c r="H196" s="361" t="s">
        <v>651</v>
      </c>
      <c r="I196" s="361" t="s">
        <v>660</v>
      </c>
      <c r="J196" s="361" t="s">
        <v>534</v>
      </c>
      <c r="K196" s="361" t="s">
        <v>534</v>
      </c>
      <c r="L196" s="361" t="s">
        <v>668</v>
      </c>
      <c r="M196" s="361" t="s">
        <v>534</v>
      </c>
      <c r="N196" s="361" t="s">
        <v>653</v>
      </c>
      <c r="O196" s="361" t="s">
        <v>654</v>
      </c>
      <c r="P196" s="361" t="s">
        <v>654</v>
      </c>
      <c r="Q196" s="361" t="s">
        <v>655</v>
      </c>
      <c r="R196" s="361" t="s">
        <v>656</v>
      </c>
      <c r="S196" s="335" t="s">
        <v>656</v>
      </c>
      <c r="BF196" s="348"/>
    </row>
    <row r="197" spans="2:58" ht="14">
      <c r="B197" s="366"/>
      <c r="E197" s="391"/>
      <c r="F197" s="391"/>
      <c r="G197" s="391"/>
      <c r="H197" s="391"/>
      <c r="I197" s="391"/>
      <c r="J197" s="391"/>
      <c r="K197" s="391"/>
      <c r="L197" s="391"/>
      <c r="M197" s="391"/>
      <c r="N197" s="391"/>
      <c r="O197" s="391"/>
      <c r="P197" s="391"/>
      <c r="Q197" s="391"/>
      <c r="R197" s="391"/>
      <c r="S197" s="375"/>
      <c r="BF197" s="348"/>
    </row>
    <row r="198" spans="2:58">
      <c r="B198" s="366"/>
      <c r="C198" s="393" t="s">
        <v>679</v>
      </c>
      <c r="D198" s="394"/>
      <c r="E198" s="394"/>
      <c r="F198" s="394"/>
      <c r="G198" s="394"/>
      <c r="H198" s="394"/>
      <c r="I198" s="394"/>
      <c r="J198" s="394"/>
      <c r="K198" s="394"/>
      <c r="L198" s="394"/>
      <c r="M198" s="394"/>
      <c r="BF198" s="348"/>
    </row>
    <row r="199" spans="2:58" ht="15">
      <c r="B199" s="366"/>
      <c r="C199" s="336"/>
      <c r="D199" s="392"/>
      <c r="E199" s="336"/>
      <c r="F199" s="336" t="s">
        <v>217</v>
      </c>
      <c r="G199" s="392"/>
      <c r="H199" s="392"/>
      <c r="I199" s="392"/>
      <c r="J199" s="392"/>
      <c r="K199" s="392"/>
      <c r="L199" s="392"/>
      <c r="M199" s="392"/>
      <c r="BF199" s="348"/>
    </row>
    <row r="200" spans="2:58">
      <c r="B200" s="366"/>
      <c r="C200" s="371" t="s">
        <v>688</v>
      </c>
      <c r="D200" s="335" t="s">
        <v>682</v>
      </c>
      <c r="E200" s="371" t="s">
        <v>689</v>
      </c>
      <c r="F200" s="335" t="s">
        <v>683</v>
      </c>
      <c r="G200" s="341" t="s">
        <v>462</v>
      </c>
      <c r="H200" s="341" t="s">
        <v>463</v>
      </c>
      <c r="I200" s="341" t="s">
        <v>464</v>
      </c>
      <c r="J200" s="341" t="s">
        <v>465</v>
      </c>
      <c r="K200" s="341" t="s">
        <v>146</v>
      </c>
      <c r="L200" s="341" t="s">
        <v>148</v>
      </c>
      <c r="M200" s="341" t="s">
        <v>466</v>
      </c>
      <c r="BF200" s="348"/>
    </row>
    <row r="201" spans="2:58" ht="14">
      <c r="B201" s="366"/>
      <c r="C201" s="405" t="s">
        <v>690</v>
      </c>
      <c r="D201" s="335" t="s">
        <v>680</v>
      </c>
      <c r="E201" s="405" t="s">
        <v>692</v>
      </c>
      <c r="F201" s="335" t="s">
        <v>681</v>
      </c>
      <c r="G201" s="335" t="s">
        <v>445</v>
      </c>
      <c r="H201" s="335" t="s">
        <v>446</v>
      </c>
      <c r="I201" s="335" t="s">
        <v>447</v>
      </c>
      <c r="J201" s="335" t="s">
        <v>448</v>
      </c>
      <c r="K201" s="335" t="s">
        <v>449</v>
      </c>
      <c r="L201" s="335" t="s">
        <v>450</v>
      </c>
      <c r="M201" s="335" t="s">
        <v>451</v>
      </c>
      <c r="BF201" s="348"/>
    </row>
    <row r="202" spans="2:58" ht="14">
      <c r="B202" s="366"/>
      <c r="C202" s="405" t="s">
        <v>691</v>
      </c>
      <c r="D202" s="367" t="s">
        <v>685</v>
      </c>
      <c r="E202" s="405" t="s">
        <v>693</v>
      </c>
      <c r="F202" s="367" t="s">
        <v>470</v>
      </c>
      <c r="G202" s="367" t="s">
        <v>684</v>
      </c>
      <c r="H202" s="367" t="s">
        <v>474</v>
      </c>
      <c r="I202" s="367" t="s">
        <v>475</v>
      </c>
      <c r="J202" s="367" t="s">
        <v>475</v>
      </c>
      <c r="K202" s="367" t="s">
        <v>223</v>
      </c>
      <c r="L202" s="367" t="s">
        <v>475</v>
      </c>
      <c r="M202" s="367" t="s">
        <v>475</v>
      </c>
      <c r="BF202" s="348"/>
    </row>
    <row r="203" spans="2:58" ht="14">
      <c r="B203" s="362" t="s">
        <v>537</v>
      </c>
      <c r="C203" s="388" t="s">
        <v>651</v>
      </c>
      <c r="D203" s="407" t="s">
        <v>694</v>
      </c>
      <c r="E203" s="388" t="s">
        <v>695</v>
      </c>
      <c r="F203" s="407" t="s">
        <v>534</v>
      </c>
      <c r="G203" s="407" t="s">
        <v>534</v>
      </c>
      <c r="H203" s="408" t="s">
        <v>696</v>
      </c>
      <c r="I203" s="407" t="s">
        <v>697</v>
      </c>
      <c r="J203" s="407" t="s">
        <v>697</v>
      </c>
      <c r="K203" s="407" t="s">
        <v>698</v>
      </c>
      <c r="L203" s="407" t="s">
        <v>699</v>
      </c>
      <c r="M203" s="367" t="s">
        <v>699</v>
      </c>
      <c r="BF203" s="348"/>
    </row>
    <row r="204" spans="2:58" ht="14">
      <c r="B204" s="362" t="s">
        <v>537</v>
      </c>
      <c r="C204" s="388" t="s">
        <v>700</v>
      </c>
      <c r="D204" s="407" t="s">
        <v>694</v>
      </c>
      <c r="E204" s="388" t="s">
        <v>695</v>
      </c>
      <c r="F204" s="407" t="s">
        <v>534</v>
      </c>
      <c r="G204" s="407" t="s">
        <v>534</v>
      </c>
      <c r="H204" s="408" t="s">
        <v>696</v>
      </c>
      <c r="I204" s="407" t="s">
        <v>697</v>
      </c>
      <c r="J204" s="407" t="s">
        <v>697</v>
      </c>
      <c r="K204" s="407" t="s">
        <v>698</v>
      </c>
      <c r="L204" s="407" t="s">
        <v>699</v>
      </c>
      <c r="M204" s="367" t="s">
        <v>699</v>
      </c>
      <c r="BF204" s="348"/>
    </row>
    <row r="205" spans="2:58" ht="14">
      <c r="B205" s="362" t="s">
        <v>537</v>
      </c>
      <c r="C205" s="388" t="s">
        <v>659</v>
      </c>
      <c r="D205" s="407" t="s">
        <v>694</v>
      </c>
      <c r="E205" s="388" t="s">
        <v>695</v>
      </c>
      <c r="F205" s="407" t="s">
        <v>534</v>
      </c>
      <c r="G205" s="407" t="s">
        <v>534</v>
      </c>
      <c r="H205" s="408" t="s">
        <v>696</v>
      </c>
      <c r="I205" s="407" t="s">
        <v>697</v>
      </c>
      <c r="J205" s="407" t="s">
        <v>697</v>
      </c>
      <c r="K205" s="407" t="s">
        <v>698</v>
      </c>
      <c r="L205" s="407" t="s">
        <v>699</v>
      </c>
      <c r="M205" s="367" t="s">
        <v>699</v>
      </c>
      <c r="BF205" s="348"/>
    </row>
    <row r="206" spans="2:58" ht="14">
      <c r="B206" s="362" t="s">
        <v>537</v>
      </c>
      <c r="C206" s="388" t="s">
        <v>539</v>
      </c>
      <c r="D206" s="407" t="s">
        <v>694</v>
      </c>
      <c r="E206" s="388" t="s">
        <v>695</v>
      </c>
      <c r="F206" s="407" t="s">
        <v>534</v>
      </c>
      <c r="G206" s="407" t="s">
        <v>534</v>
      </c>
      <c r="H206" s="410" t="s">
        <v>696</v>
      </c>
      <c r="I206" s="407" t="s">
        <v>697</v>
      </c>
      <c r="J206" s="407" t="s">
        <v>697</v>
      </c>
      <c r="K206" s="407" t="s">
        <v>698</v>
      </c>
      <c r="L206" s="407" t="s">
        <v>699</v>
      </c>
      <c r="M206" s="367" t="s">
        <v>699</v>
      </c>
      <c r="BF206" s="348"/>
    </row>
    <row r="207" spans="2:58" ht="14">
      <c r="B207" s="362" t="s">
        <v>537</v>
      </c>
      <c r="C207" s="406" t="s">
        <v>650</v>
      </c>
      <c r="D207" s="407" t="s">
        <v>694</v>
      </c>
      <c r="E207" s="388" t="s">
        <v>695</v>
      </c>
      <c r="F207" s="407" t="s">
        <v>534</v>
      </c>
      <c r="G207" s="407" t="s">
        <v>534</v>
      </c>
      <c r="H207" s="410" t="s">
        <v>696</v>
      </c>
      <c r="I207" s="407" t="s">
        <v>697</v>
      </c>
      <c r="J207" s="407" t="s">
        <v>697</v>
      </c>
      <c r="K207" s="407" t="s">
        <v>698</v>
      </c>
      <c r="L207" s="407" t="s">
        <v>699</v>
      </c>
      <c r="M207" s="367" t="s">
        <v>699</v>
      </c>
      <c r="BF207" s="348"/>
    </row>
    <row r="208" spans="2:58">
      <c r="B208" s="366"/>
      <c r="BF208" s="348"/>
    </row>
    <row r="209" spans="2:58" ht="13.5">
      <c r="B209" s="366"/>
      <c r="C209" s="354" t="s">
        <v>153</v>
      </c>
      <c r="D209" s="354"/>
      <c r="E209" s="354"/>
      <c r="F209" s="354"/>
      <c r="G209" s="354"/>
      <c r="BF209" s="348"/>
    </row>
    <row r="210" spans="2:58" ht="13.5">
      <c r="B210" s="366"/>
      <c r="C210" s="354" t="s">
        <v>641</v>
      </c>
      <c r="D210" s="354" t="s">
        <v>642</v>
      </c>
      <c r="E210" s="354" t="s">
        <v>205</v>
      </c>
      <c r="F210" s="354" t="s">
        <v>643</v>
      </c>
      <c r="G210" s="354" t="s">
        <v>644</v>
      </c>
      <c r="BF210" s="348"/>
    </row>
    <row r="211" spans="2:58" ht="13.5">
      <c r="B211" s="366"/>
      <c r="C211" s="354">
        <v>-2</v>
      </c>
      <c r="D211" s="354" t="s">
        <v>156</v>
      </c>
      <c r="E211" s="354" t="s">
        <v>950</v>
      </c>
      <c r="F211" s="354" t="s">
        <v>928</v>
      </c>
      <c r="G211" s="354" t="s">
        <v>677</v>
      </c>
      <c r="BF211" s="348"/>
    </row>
    <row r="212" spans="2:58" ht="13.5" thickBot="1">
      <c r="B212" s="366"/>
      <c r="BF212" s="348"/>
    </row>
    <row r="213" spans="2:58" ht="14" thickBot="1">
      <c r="B213" s="350" t="s">
        <v>988</v>
      </c>
      <c r="C213" s="351" t="s">
        <v>989</v>
      </c>
      <c r="D213" s="351"/>
      <c r="E213" s="351"/>
      <c r="F213" s="351"/>
      <c r="G213" s="351"/>
      <c r="H213" s="351"/>
      <c r="I213" s="351"/>
      <c r="J213" s="351"/>
      <c r="K213" s="351"/>
      <c r="L213" s="351"/>
      <c r="M213" s="351"/>
      <c r="N213" s="351"/>
      <c r="O213" s="351"/>
      <c r="P213" s="351"/>
      <c r="Q213" s="351"/>
      <c r="R213" s="351"/>
      <c r="S213" s="351"/>
      <c r="T213" s="351"/>
      <c r="U213" s="351"/>
      <c r="V213" s="351"/>
      <c r="W213" s="351"/>
      <c r="X213" s="351"/>
      <c r="Y213" s="351"/>
      <c r="Z213" s="351"/>
      <c r="AA213" s="351"/>
      <c r="AB213" s="351"/>
      <c r="AC213" s="351"/>
      <c r="AD213" s="351"/>
      <c r="AE213" s="351"/>
      <c r="AF213" s="351"/>
      <c r="AG213" s="351"/>
      <c r="AH213" s="351"/>
      <c r="AI213" s="351"/>
      <c r="AJ213" s="351"/>
      <c r="AK213" s="351"/>
      <c r="AL213" s="351"/>
      <c r="AM213" s="351"/>
      <c r="AN213" s="351"/>
      <c r="AO213" s="351"/>
      <c r="AP213" s="351"/>
      <c r="AQ213" s="351"/>
      <c r="AR213" s="351"/>
      <c r="AS213" s="351"/>
      <c r="AT213" s="351"/>
      <c r="AU213" s="351"/>
      <c r="AV213" s="351"/>
      <c r="AW213" s="351"/>
      <c r="AX213" s="351"/>
      <c r="AY213" s="351"/>
      <c r="AZ213" s="351"/>
      <c r="BA213" s="351"/>
      <c r="BB213" s="351"/>
      <c r="BC213" s="351"/>
      <c r="BD213" s="351"/>
      <c r="BE213" s="351"/>
      <c r="BF213" s="454"/>
    </row>
    <row r="214" spans="2:58" ht="14" thickBot="1">
      <c r="B214" s="352" t="s">
        <v>986</v>
      </c>
      <c r="C214" s="351" t="s">
        <v>674</v>
      </c>
      <c r="D214" s="351"/>
      <c r="E214" s="351"/>
      <c r="F214" s="351"/>
      <c r="G214" s="351"/>
      <c r="H214" s="351"/>
      <c r="I214" s="351"/>
      <c r="J214" s="351"/>
      <c r="K214" s="351"/>
      <c r="L214" s="351"/>
      <c r="M214" s="351"/>
      <c r="N214" s="351"/>
      <c r="O214" s="351"/>
      <c r="P214" s="351"/>
      <c r="Q214" s="351"/>
      <c r="R214" s="351"/>
      <c r="S214" s="351"/>
      <c r="T214" s="351"/>
      <c r="U214" s="351"/>
      <c r="V214" s="351"/>
      <c r="W214" s="351"/>
      <c r="X214" s="351"/>
      <c r="Y214" s="351"/>
      <c r="Z214" s="351"/>
      <c r="AA214" s="351"/>
      <c r="AB214" s="351"/>
      <c r="AC214" s="351"/>
      <c r="AD214" s="351"/>
      <c r="AE214" s="351"/>
      <c r="AF214" s="351"/>
      <c r="AG214" s="351"/>
      <c r="AH214" s="351"/>
      <c r="AI214" s="351"/>
      <c r="AJ214" s="351"/>
      <c r="AK214" s="351"/>
      <c r="AL214" s="351"/>
      <c r="AM214" s="351"/>
      <c r="AN214" s="351"/>
      <c r="AO214" s="351"/>
      <c r="AP214" s="351"/>
      <c r="AQ214" s="351"/>
      <c r="AR214" s="351"/>
      <c r="AS214" s="351"/>
      <c r="AT214" s="351"/>
      <c r="AU214" s="351"/>
      <c r="AV214" s="351"/>
      <c r="AW214" s="351"/>
      <c r="AX214" s="351"/>
      <c r="AY214" s="351"/>
      <c r="AZ214" s="351"/>
      <c r="BA214" s="351"/>
      <c r="BB214" s="351"/>
      <c r="BC214" s="351"/>
      <c r="BD214" s="351"/>
      <c r="BE214" s="351"/>
      <c r="BF214" s="454"/>
    </row>
    <row r="215" spans="2:58">
      <c r="B215" s="366"/>
      <c r="BF215" s="348"/>
    </row>
    <row r="216" spans="2:58" ht="13.5">
      <c r="B216" s="366"/>
      <c r="C216" s="354" t="s">
        <v>481</v>
      </c>
      <c r="BF216" s="348"/>
    </row>
    <row r="217" spans="2:58" ht="13.5">
      <c r="B217" s="366"/>
      <c r="C217" s="354" t="s">
        <v>992</v>
      </c>
      <c r="BF217" s="348"/>
    </row>
    <row r="218" spans="2:58">
      <c r="B218" s="366"/>
      <c r="BF218" s="348"/>
    </row>
    <row r="219" spans="2:58" ht="15">
      <c r="B219" s="366"/>
      <c r="C219" s="355" t="s">
        <v>712</v>
      </c>
      <c r="D219" s="356"/>
      <c r="E219" s="356"/>
      <c r="F219" s="356"/>
      <c r="G219" s="356"/>
      <c r="H219" s="120"/>
      <c r="I219" s="356"/>
      <c r="J219" s="356"/>
      <c r="K219" s="356"/>
      <c r="L219" s="356"/>
      <c r="M219" s="356"/>
      <c r="N219" s="356"/>
      <c r="O219" s="356"/>
      <c r="P219" s="356"/>
      <c r="Q219" s="356"/>
      <c r="R219" s="356"/>
      <c r="S219" s="118"/>
      <c r="T219" s="118"/>
      <c r="U219" s="118"/>
      <c r="V219" s="118"/>
      <c r="W219" s="118"/>
      <c r="X219" s="118"/>
      <c r="Y219" s="119"/>
      <c r="Z219" s="119"/>
      <c r="AA219" s="119"/>
      <c r="AB219" s="119"/>
      <c r="AC219" s="119"/>
      <c r="AD219" s="119"/>
      <c r="AE219" s="119"/>
      <c r="AF219" s="119"/>
      <c r="AG219" s="119"/>
      <c r="AH219" s="119"/>
      <c r="AI219" s="119"/>
      <c r="AJ219" s="119"/>
      <c r="AK219" s="119"/>
      <c r="AL219" s="119"/>
      <c r="AM219" s="119"/>
      <c r="AN219" s="119"/>
      <c r="AO219" s="356"/>
      <c r="AP219" s="120"/>
      <c r="AQ219" s="120"/>
      <c r="AR219" s="120"/>
      <c r="AS219" s="120"/>
      <c r="AT219" s="120"/>
      <c r="AU219" s="120"/>
      <c r="AV219" s="120"/>
      <c r="AW219" s="120"/>
      <c r="AX219" s="120"/>
      <c r="AY219" s="120"/>
      <c r="AZ219" s="120"/>
      <c r="BA219" s="120"/>
      <c r="BB219" s="120"/>
      <c r="BC219" s="120"/>
      <c r="BD219" s="120"/>
      <c r="BE219" s="120"/>
      <c r="BF219" s="456"/>
    </row>
    <row r="220" spans="2:58" ht="15">
      <c r="B220" s="366"/>
      <c r="C220" s="358"/>
      <c r="D220" s="358"/>
      <c r="E220" s="358"/>
      <c r="F220" s="359" t="s">
        <v>217</v>
      </c>
      <c r="G220" s="364"/>
      <c r="H220" s="364"/>
      <c r="I220" s="359"/>
      <c r="J220" s="364"/>
      <c r="K220" s="364"/>
      <c r="L220" s="364"/>
      <c r="M220" s="364"/>
      <c r="N220" s="364"/>
      <c r="O220" s="364"/>
      <c r="P220" s="364"/>
      <c r="Q220" s="364"/>
      <c r="R220" s="364"/>
      <c r="S220" s="364"/>
      <c r="T220" s="364"/>
      <c r="U220" s="364"/>
      <c r="V220" s="364"/>
      <c r="W220" s="364"/>
      <c r="X220" s="364"/>
      <c r="Y220" s="365"/>
      <c r="Z220" s="365"/>
      <c r="AA220" s="365"/>
      <c r="AB220" s="365"/>
      <c r="AC220" s="365"/>
      <c r="AD220" s="365"/>
      <c r="AE220" s="365"/>
      <c r="AF220" s="365"/>
      <c r="AG220" s="365"/>
      <c r="AH220" s="365"/>
      <c r="AI220" s="365"/>
      <c r="AJ220" s="365"/>
      <c r="AK220" s="359"/>
      <c r="AL220" s="365"/>
      <c r="AM220" s="365"/>
      <c r="AN220" s="365"/>
      <c r="AO220" s="359"/>
      <c r="AP220" s="365"/>
      <c r="AQ220" s="365"/>
      <c r="AR220" s="359"/>
      <c r="AS220" s="365"/>
      <c r="AT220" s="365"/>
      <c r="AU220" s="365"/>
      <c r="AV220" s="365"/>
      <c r="AW220" s="365"/>
      <c r="AX220" s="365"/>
      <c r="AY220" s="365"/>
      <c r="AZ220" s="365"/>
      <c r="BA220" s="365"/>
      <c r="BB220" s="365"/>
      <c r="BC220" s="365"/>
      <c r="BD220" s="365"/>
      <c r="BE220" s="365"/>
      <c r="BF220" s="457"/>
    </row>
    <row r="221" spans="2:58" ht="25">
      <c r="B221" s="366"/>
      <c r="C221" s="334" t="s">
        <v>540</v>
      </c>
      <c r="D221" s="334" t="s">
        <v>541</v>
      </c>
      <c r="E221" s="334" t="s">
        <v>542</v>
      </c>
      <c r="F221" s="341" t="s">
        <v>577</v>
      </c>
      <c r="G221" s="341" t="s">
        <v>543</v>
      </c>
      <c r="H221" s="341" t="s">
        <v>484</v>
      </c>
      <c r="I221" s="341" t="s">
        <v>545</v>
      </c>
      <c r="J221" s="341" t="s">
        <v>546</v>
      </c>
      <c r="K221" s="341" t="s">
        <v>547</v>
      </c>
      <c r="L221" s="341" t="s">
        <v>548</v>
      </c>
      <c r="M221" s="341" t="s">
        <v>549</v>
      </c>
      <c r="N221" s="341" t="s">
        <v>550</v>
      </c>
      <c r="O221" s="341" t="s">
        <v>551</v>
      </c>
      <c r="P221" s="341" t="s">
        <v>552</v>
      </c>
      <c r="Q221" s="341" t="s">
        <v>553</v>
      </c>
      <c r="R221" s="341" t="s">
        <v>554</v>
      </c>
      <c r="S221" s="341" t="s">
        <v>555</v>
      </c>
      <c r="T221" s="341" t="s">
        <v>556</v>
      </c>
      <c r="U221" s="341" t="s">
        <v>557</v>
      </c>
      <c r="V221" s="341" t="s">
        <v>558</v>
      </c>
      <c r="W221" s="341" t="s">
        <v>559</v>
      </c>
      <c r="X221" s="341" t="s">
        <v>560</v>
      </c>
      <c r="Y221" s="341" t="s">
        <v>561</v>
      </c>
      <c r="Z221" s="341" t="s">
        <v>562</v>
      </c>
      <c r="AA221" s="341" t="s">
        <v>563</v>
      </c>
      <c r="AB221" s="341" t="s">
        <v>564</v>
      </c>
      <c r="AC221" s="341" t="s">
        <v>565</v>
      </c>
      <c r="AD221" s="341" t="s">
        <v>566</v>
      </c>
      <c r="AE221" s="341" t="s">
        <v>567</v>
      </c>
      <c r="AF221" s="341" t="s">
        <v>568</v>
      </c>
      <c r="AG221" s="341" t="s">
        <v>569</v>
      </c>
      <c r="AH221" s="341" t="s">
        <v>570</v>
      </c>
      <c r="AI221" s="341" t="s">
        <v>571</v>
      </c>
      <c r="AJ221" s="341" t="s">
        <v>572</v>
      </c>
      <c r="AK221" s="341" t="s">
        <v>573</v>
      </c>
      <c r="AL221" s="341" t="s">
        <v>574</v>
      </c>
      <c r="AM221" s="341" t="s">
        <v>575</v>
      </c>
      <c r="AN221" s="341" t="s">
        <v>576</v>
      </c>
      <c r="AO221" s="341" t="s">
        <v>544</v>
      </c>
      <c r="AP221" s="341" t="s">
        <v>578</v>
      </c>
      <c r="AQ221" s="341" t="s">
        <v>579</v>
      </c>
      <c r="AR221" s="341" t="s">
        <v>580</v>
      </c>
      <c r="AS221" s="341" t="s">
        <v>581</v>
      </c>
      <c r="AT221" s="341" t="s">
        <v>582</v>
      </c>
      <c r="AU221" s="341" t="s">
        <v>583</v>
      </c>
      <c r="AV221" s="341" t="s">
        <v>584</v>
      </c>
      <c r="AW221" s="341" t="s">
        <v>585</v>
      </c>
      <c r="AX221" s="341" t="s">
        <v>586</v>
      </c>
      <c r="AY221" s="341" t="s">
        <v>587</v>
      </c>
      <c r="AZ221" s="341" t="s">
        <v>462</v>
      </c>
      <c r="BA221" s="341" t="s">
        <v>463</v>
      </c>
      <c r="BB221" s="341" t="s">
        <v>464</v>
      </c>
      <c r="BC221" s="341" t="s">
        <v>465</v>
      </c>
      <c r="BD221" s="341" t="s">
        <v>146</v>
      </c>
      <c r="BE221" s="341" t="s">
        <v>148</v>
      </c>
      <c r="BF221" s="458" t="s">
        <v>466</v>
      </c>
    </row>
    <row r="222" spans="2:58">
      <c r="B222" s="366"/>
      <c r="C222" s="334" t="s">
        <v>501</v>
      </c>
      <c r="D222" s="334" t="s">
        <v>502</v>
      </c>
      <c r="E222" s="334" t="s">
        <v>503</v>
      </c>
      <c r="F222" s="335" t="s">
        <v>440</v>
      </c>
      <c r="G222" s="335" t="s">
        <v>506</v>
      </c>
      <c r="H222" s="335" t="s">
        <v>505</v>
      </c>
      <c r="I222" s="335" t="s">
        <v>589</v>
      </c>
      <c r="J222" s="335" t="s">
        <v>590</v>
      </c>
      <c r="K222" s="335" t="s">
        <v>591</v>
      </c>
      <c r="L222" s="335" t="s">
        <v>592</v>
      </c>
      <c r="M222" s="335" t="s">
        <v>593</v>
      </c>
      <c r="N222" s="335" t="s">
        <v>594</v>
      </c>
      <c r="O222" s="335" t="s">
        <v>595</v>
      </c>
      <c r="P222" s="335" t="s">
        <v>596</v>
      </c>
      <c r="Q222" s="335" t="s">
        <v>597</v>
      </c>
      <c r="R222" s="335" t="s">
        <v>598</v>
      </c>
      <c r="S222" s="335" t="s">
        <v>599</v>
      </c>
      <c r="T222" s="335" t="s">
        <v>600</v>
      </c>
      <c r="U222" s="335" t="s">
        <v>601</v>
      </c>
      <c r="V222" s="335" t="s">
        <v>602</v>
      </c>
      <c r="W222" s="335" t="s">
        <v>603</v>
      </c>
      <c r="X222" s="335" t="s">
        <v>604</v>
      </c>
      <c r="Y222" s="335" t="s">
        <v>605</v>
      </c>
      <c r="Z222" s="335" t="s">
        <v>606</v>
      </c>
      <c r="AA222" s="335" t="s">
        <v>607</v>
      </c>
      <c r="AB222" s="335" t="s">
        <v>608</v>
      </c>
      <c r="AC222" s="335" t="s">
        <v>609</v>
      </c>
      <c r="AD222" s="335" t="s">
        <v>610</v>
      </c>
      <c r="AE222" s="335" t="s">
        <v>611</v>
      </c>
      <c r="AF222" s="335" t="s">
        <v>612</v>
      </c>
      <c r="AG222" s="335" t="s">
        <v>613</v>
      </c>
      <c r="AH222" s="335" t="s">
        <v>614</v>
      </c>
      <c r="AI222" s="335" t="s">
        <v>615</v>
      </c>
      <c r="AJ222" s="335" t="s">
        <v>616</v>
      </c>
      <c r="AK222" s="335" t="s">
        <v>439</v>
      </c>
      <c r="AL222" s="335" t="s">
        <v>617</v>
      </c>
      <c r="AM222" s="335" t="s">
        <v>618</v>
      </c>
      <c r="AN222" s="335" t="s">
        <v>619</v>
      </c>
      <c r="AO222" s="335" t="s">
        <v>588</v>
      </c>
      <c r="AP222" s="335" t="s">
        <v>620</v>
      </c>
      <c r="AQ222" s="335" t="s">
        <v>621</v>
      </c>
      <c r="AR222" s="335" t="s">
        <v>622</v>
      </c>
      <c r="AS222" s="335" t="s">
        <v>623</v>
      </c>
      <c r="AT222" s="335" t="s">
        <v>624</v>
      </c>
      <c r="AU222" s="335" t="s">
        <v>625</v>
      </c>
      <c r="AV222" s="335" t="s">
        <v>626</v>
      </c>
      <c r="AW222" s="335" t="s">
        <v>627</v>
      </c>
      <c r="AX222" s="335" t="s">
        <v>628</v>
      </c>
      <c r="AY222" s="335" t="s">
        <v>629</v>
      </c>
      <c r="AZ222" s="335" t="s">
        <v>445</v>
      </c>
      <c r="BA222" s="335" t="s">
        <v>446</v>
      </c>
      <c r="BB222" s="335" t="s">
        <v>447</v>
      </c>
      <c r="BC222" s="335" t="s">
        <v>448</v>
      </c>
      <c r="BD222" s="335" t="s">
        <v>449</v>
      </c>
      <c r="BE222" s="335" t="s">
        <v>450</v>
      </c>
      <c r="BF222" s="459" t="s">
        <v>451</v>
      </c>
    </row>
    <row r="223" spans="2:58">
      <c r="B223" s="366"/>
      <c r="C223" s="334" t="s">
        <v>522</v>
      </c>
      <c r="D223" s="334" t="s">
        <v>630</v>
      </c>
      <c r="E223" s="334" t="s">
        <v>467</v>
      </c>
      <c r="F223" s="363" t="s">
        <v>468</v>
      </c>
      <c r="G223" s="363" t="s">
        <v>470</v>
      </c>
      <c r="H223" s="363" t="s">
        <v>470</v>
      </c>
      <c r="I223" s="363" t="s">
        <v>470</v>
      </c>
      <c r="J223" s="363" t="s">
        <v>470</v>
      </c>
      <c r="K223" s="363" t="s">
        <v>631</v>
      </c>
      <c r="L223" s="363" t="s">
        <v>631</v>
      </c>
      <c r="M223" s="363" t="s">
        <v>467</v>
      </c>
      <c r="N223" s="363" t="s">
        <v>632</v>
      </c>
      <c r="O223" s="363" t="s">
        <v>470</v>
      </c>
      <c r="P223" s="363" t="s">
        <v>528</v>
      </c>
      <c r="Q223" s="363" t="s">
        <v>524</v>
      </c>
      <c r="R223" s="363" t="s">
        <v>528</v>
      </c>
      <c r="S223" s="363" t="s">
        <v>524</v>
      </c>
      <c r="T223" s="363" t="s">
        <v>524</v>
      </c>
      <c r="U223" s="363" t="s">
        <v>470</v>
      </c>
      <c r="V223" s="363" t="s">
        <v>633</v>
      </c>
      <c r="W223" s="363" t="s">
        <v>633</v>
      </c>
      <c r="X223" s="363" t="s">
        <v>468</v>
      </c>
      <c r="Y223" s="363" t="s">
        <v>632</v>
      </c>
      <c r="Z223" s="363" t="s">
        <v>632</v>
      </c>
      <c r="AA223" s="363" t="s">
        <v>524</v>
      </c>
      <c r="AB223" s="363" t="s">
        <v>527</v>
      </c>
      <c r="AC223" s="363" t="s">
        <v>528</v>
      </c>
      <c r="AD223" s="363" t="s">
        <v>528</v>
      </c>
      <c r="AE223" s="363" t="s">
        <v>634</v>
      </c>
      <c r="AF223" s="363" t="s">
        <v>634</v>
      </c>
      <c r="AG223" s="363" t="s">
        <v>528</v>
      </c>
      <c r="AH223" s="363" t="s">
        <v>528</v>
      </c>
      <c r="AI223" s="363" t="s">
        <v>634</v>
      </c>
      <c r="AJ223" s="363" t="s">
        <v>634</v>
      </c>
      <c r="AK223" s="363" t="s">
        <v>470</v>
      </c>
      <c r="AL223" s="363" t="s">
        <v>470</v>
      </c>
      <c r="AM223" s="363" t="s">
        <v>470</v>
      </c>
      <c r="AN223" s="363" t="s">
        <v>470</v>
      </c>
      <c r="AO223" s="363" t="s">
        <v>470</v>
      </c>
      <c r="AP223" s="363" t="s">
        <v>467</v>
      </c>
      <c r="AQ223" s="363" t="s">
        <v>470</v>
      </c>
      <c r="AR223" s="363" t="s">
        <v>524</v>
      </c>
      <c r="AS223" s="363" t="s">
        <v>524</v>
      </c>
      <c r="AT223" s="363" t="s">
        <v>470</v>
      </c>
      <c r="AU223" s="363" t="s">
        <v>635</v>
      </c>
      <c r="AV223" s="363" t="s">
        <v>528</v>
      </c>
      <c r="AW223" s="363" t="s">
        <v>468</v>
      </c>
      <c r="AX223" s="363" t="s">
        <v>470</v>
      </c>
      <c r="AY223" s="363" t="s">
        <v>470</v>
      </c>
      <c r="AZ223" s="363" t="s">
        <v>473</v>
      </c>
      <c r="BA223" s="363" t="s">
        <v>474</v>
      </c>
      <c r="BB223" s="363" t="s">
        <v>475</v>
      </c>
      <c r="BC223" s="363" t="s">
        <v>475</v>
      </c>
      <c r="BD223" s="363" t="s">
        <v>474</v>
      </c>
      <c r="BE223" s="363" t="s">
        <v>475</v>
      </c>
      <c r="BF223" s="460" t="s">
        <v>475</v>
      </c>
    </row>
    <row r="224" spans="2:58" ht="14">
      <c r="B224" s="362" t="s">
        <v>537</v>
      </c>
      <c r="C224" s="406" t="s">
        <v>713</v>
      </c>
      <c r="D224" s="388" t="s">
        <v>648</v>
      </c>
      <c r="E224" s="406" t="s">
        <v>648</v>
      </c>
      <c r="F224" s="406">
        <v>1</v>
      </c>
      <c r="G224" s="406" t="s">
        <v>533</v>
      </c>
      <c r="H224" s="406" t="s">
        <v>533</v>
      </c>
      <c r="I224" s="406" t="s">
        <v>534</v>
      </c>
      <c r="J224" s="406" t="s">
        <v>534</v>
      </c>
      <c r="K224" s="406" t="s">
        <v>156</v>
      </c>
      <c r="L224" s="406" t="s">
        <v>156</v>
      </c>
      <c r="M224" s="406" t="s">
        <v>156</v>
      </c>
      <c r="N224" s="406" t="s">
        <v>156</v>
      </c>
      <c r="O224" s="406" t="s">
        <v>637</v>
      </c>
      <c r="P224" s="406" t="s">
        <v>534</v>
      </c>
      <c r="Q224" s="406" t="s">
        <v>714</v>
      </c>
      <c r="R224" s="406" t="s">
        <v>638</v>
      </c>
      <c r="S224" s="406" t="s">
        <v>715</v>
      </c>
      <c r="T224" s="406" t="s">
        <v>716</v>
      </c>
      <c r="U224" s="406" t="s">
        <v>232</v>
      </c>
      <c r="V224" s="406" t="s">
        <v>717</v>
      </c>
      <c r="W224" s="406" t="s">
        <v>717</v>
      </c>
      <c r="X224" s="406"/>
      <c r="Y224" s="406"/>
      <c r="Z224" s="406" t="s">
        <v>156</v>
      </c>
      <c r="AA224" s="406">
        <v>1</v>
      </c>
      <c r="AB224" s="406">
        <v>99999999</v>
      </c>
      <c r="AC224" s="406">
        <v>0</v>
      </c>
      <c r="AD224" s="406">
        <v>0</v>
      </c>
      <c r="AE224" s="406">
        <v>0</v>
      </c>
      <c r="AF224" s="406">
        <v>0</v>
      </c>
      <c r="AG224" s="406">
        <v>0</v>
      </c>
      <c r="AH224" s="406">
        <v>0</v>
      </c>
      <c r="AI224" s="406">
        <v>0</v>
      </c>
      <c r="AJ224" s="406">
        <v>0</v>
      </c>
      <c r="AK224" s="406">
        <v>1</v>
      </c>
      <c r="AL224" s="406">
        <v>1</v>
      </c>
      <c r="AM224" s="406">
        <v>0</v>
      </c>
      <c r="AN224" s="406">
        <v>0</v>
      </c>
      <c r="AO224" s="406" t="s">
        <v>636</v>
      </c>
      <c r="AP224" s="406" t="s">
        <v>156</v>
      </c>
      <c r="AQ224" s="406" t="s">
        <v>639</v>
      </c>
      <c r="AR224" s="406">
        <v>0</v>
      </c>
      <c r="AS224" s="406">
        <v>0</v>
      </c>
      <c r="AT224" s="406">
        <v>1</v>
      </c>
      <c r="AU224" s="406">
        <v>0</v>
      </c>
      <c r="AV224" s="406">
        <v>0</v>
      </c>
      <c r="AW224" s="406">
        <v>0</v>
      </c>
      <c r="AX224" s="406">
        <v>0</v>
      </c>
      <c r="AY224" s="406">
        <v>1</v>
      </c>
      <c r="AZ224" s="406">
        <v>0</v>
      </c>
      <c r="BA224" s="406">
        <v>39864.674351851849</v>
      </c>
      <c r="BB224" s="406">
        <v>440393</v>
      </c>
      <c r="BC224" s="406">
        <v>440393</v>
      </c>
      <c r="BD224" s="406">
        <v>45482.05810185185</v>
      </c>
      <c r="BE224" s="406" t="s">
        <v>640</v>
      </c>
      <c r="BF224" s="459" t="s">
        <v>640</v>
      </c>
    </row>
    <row r="225" spans="2:59" ht="14">
      <c r="B225" s="362" t="s">
        <v>537</v>
      </c>
      <c r="C225" s="406" t="s">
        <v>713</v>
      </c>
      <c r="D225" s="388" t="s">
        <v>648</v>
      </c>
      <c r="E225" s="388" t="s">
        <v>718</v>
      </c>
      <c r="F225" s="406">
        <v>1</v>
      </c>
      <c r="G225" s="406" t="s">
        <v>533</v>
      </c>
      <c r="H225" s="406" t="s">
        <v>533</v>
      </c>
      <c r="I225" s="406" t="s">
        <v>534</v>
      </c>
      <c r="J225" s="406" t="s">
        <v>534</v>
      </c>
      <c r="K225" s="406" t="s">
        <v>156</v>
      </c>
      <c r="L225" s="406" t="s">
        <v>156</v>
      </c>
      <c r="M225" s="406" t="s">
        <v>156</v>
      </c>
      <c r="N225" s="406" t="s">
        <v>156</v>
      </c>
      <c r="O225" s="406" t="s">
        <v>637</v>
      </c>
      <c r="P225" s="406" t="s">
        <v>534</v>
      </c>
      <c r="Q225" s="406" t="s">
        <v>714</v>
      </c>
      <c r="R225" s="406" t="s">
        <v>638</v>
      </c>
      <c r="S225" s="406" t="s">
        <v>715</v>
      </c>
      <c r="T225" s="406" t="s">
        <v>716</v>
      </c>
      <c r="U225" s="406" t="s">
        <v>232</v>
      </c>
      <c r="V225" s="406" t="s">
        <v>717</v>
      </c>
      <c r="W225" s="406" t="s">
        <v>717</v>
      </c>
      <c r="X225" s="406"/>
      <c r="Y225" s="406"/>
      <c r="Z225" s="406" t="s">
        <v>156</v>
      </c>
      <c r="AA225" s="406">
        <v>1</v>
      </c>
      <c r="AB225" s="406">
        <v>99999999</v>
      </c>
      <c r="AC225" s="406">
        <v>0</v>
      </c>
      <c r="AD225" s="406">
        <v>0</v>
      </c>
      <c r="AE225" s="406">
        <v>0</v>
      </c>
      <c r="AF225" s="406">
        <v>0</v>
      </c>
      <c r="AG225" s="406">
        <v>0</v>
      </c>
      <c r="AH225" s="406">
        <v>0</v>
      </c>
      <c r="AI225" s="406">
        <v>0</v>
      </c>
      <c r="AJ225" s="406">
        <v>0</v>
      </c>
      <c r="AK225" s="406">
        <v>1</v>
      </c>
      <c r="AL225" s="406">
        <v>1</v>
      </c>
      <c r="AM225" s="406">
        <v>0</v>
      </c>
      <c r="AN225" s="406">
        <v>0</v>
      </c>
      <c r="AO225" s="406" t="s">
        <v>636</v>
      </c>
      <c r="AP225" s="406" t="s">
        <v>156</v>
      </c>
      <c r="AQ225" s="406" t="s">
        <v>639</v>
      </c>
      <c r="AR225" s="406">
        <v>0</v>
      </c>
      <c r="AS225" s="406">
        <v>0</v>
      </c>
      <c r="AT225" s="406">
        <v>1</v>
      </c>
      <c r="AU225" s="406">
        <v>0</v>
      </c>
      <c r="AV225" s="406">
        <v>0</v>
      </c>
      <c r="AW225" s="406">
        <v>0</v>
      </c>
      <c r="AX225" s="406">
        <v>0</v>
      </c>
      <c r="AY225" s="406">
        <v>1</v>
      </c>
      <c r="AZ225" s="406">
        <v>0</v>
      </c>
      <c r="BA225" s="406">
        <v>39864.674351851849</v>
      </c>
      <c r="BB225" s="406">
        <v>440393</v>
      </c>
      <c r="BC225" s="406">
        <v>440393</v>
      </c>
      <c r="BD225" s="406">
        <v>45482.05810185185</v>
      </c>
      <c r="BE225" s="406" t="s">
        <v>640</v>
      </c>
      <c r="BF225" s="461" t="s">
        <v>640</v>
      </c>
    </row>
    <row r="226" spans="2:59" ht="14">
      <c r="B226" s="362" t="s">
        <v>537</v>
      </c>
      <c r="C226" s="406" t="s">
        <v>713</v>
      </c>
      <c r="D226" s="388" t="s">
        <v>718</v>
      </c>
      <c r="E226" s="387" t="s">
        <v>648</v>
      </c>
      <c r="F226" s="406">
        <v>1</v>
      </c>
      <c r="G226" s="406" t="s">
        <v>533</v>
      </c>
      <c r="H226" s="406" t="s">
        <v>533</v>
      </c>
      <c r="I226" s="406" t="s">
        <v>534</v>
      </c>
      <c r="J226" s="406" t="s">
        <v>534</v>
      </c>
      <c r="K226" s="406" t="s">
        <v>156</v>
      </c>
      <c r="L226" s="406" t="s">
        <v>156</v>
      </c>
      <c r="M226" s="406" t="s">
        <v>156</v>
      </c>
      <c r="N226" s="406" t="s">
        <v>156</v>
      </c>
      <c r="O226" s="406" t="s">
        <v>637</v>
      </c>
      <c r="P226" s="406" t="s">
        <v>534</v>
      </c>
      <c r="Q226" s="406" t="s">
        <v>714</v>
      </c>
      <c r="R226" s="406" t="s">
        <v>638</v>
      </c>
      <c r="S226" s="406" t="s">
        <v>715</v>
      </c>
      <c r="T226" s="406" t="s">
        <v>716</v>
      </c>
      <c r="U226" s="406" t="s">
        <v>232</v>
      </c>
      <c r="V226" s="406" t="s">
        <v>717</v>
      </c>
      <c r="W226" s="406" t="s">
        <v>717</v>
      </c>
      <c r="X226" s="406"/>
      <c r="Y226" s="406"/>
      <c r="Z226" s="406" t="s">
        <v>156</v>
      </c>
      <c r="AA226" s="406">
        <v>1</v>
      </c>
      <c r="AB226" s="406">
        <v>99999999</v>
      </c>
      <c r="AC226" s="406">
        <v>0</v>
      </c>
      <c r="AD226" s="406">
        <v>0</v>
      </c>
      <c r="AE226" s="406">
        <v>0</v>
      </c>
      <c r="AF226" s="406">
        <v>0</v>
      </c>
      <c r="AG226" s="406">
        <v>0</v>
      </c>
      <c r="AH226" s="406">
        <v>0</v>
      </c>
      <c r="AI226" s="406">
        <v>0</v>
      </c>
      <c r="AJ226" s="406">
        <v>0</v>
      </c>
      <c r="AK226" s="406">
        <v>1</v>
      </c>
      <c r="AL226" s="406">
        <v>1</v>
      </c>
      <c r="AM226" s="406">
        <v>0</v>
      </c>
      <c r="AN226" s="406">
        <v>0</v>
      </c>
      <c r="AO226" s="406" t="s">
        <v>636</v>
      </c>
      <c r="AP226" s="406" t="s">
        <v>156</v>
      </c>
      <c r="AQ226" s="406" t="s">
        <v>639</v>
      </c>
      <c r="AR226" s="406">
        <v>0</v>
      </c>
      <c r="AS226" s="406">
        <v>0</v>
      </c>
      <c r="AT226" s="406">
        <v>1</v>
      </c>
      <c r="AU226" s="406">
        <v>0</v>
      </c>
      <c r="AV226" s="406">
        <v>0</v>
      </c>
      <c r="AW226" s="406">
        <v>0</v>
      </c>
      <c r="AX226" s="406">
        <v>0</v>
      </c>
      <c r="AY226" s="406">
        <v>1</v>
      </c>
      <c r="AZ226" s="406">
        <v>0</v>
      </c>
      <c r="BA226" s="406">
        <v>39864.674351851849</v>
      </c>
      <c r="BB226" s="406">
        <v>440393</v>
      </c>
      <c r="BC226" s="406">
        <v>440393</v>
      </c>
      <c r="BD226" s="406">
        <v>45482.05810185185</v>
      </c>
      <c r="BE226" s="406" t="s">
        <v>640</v>
      </c>
      <c r="BF226" s="461" t="s">
        <v>640</v>
      </c>
    </row>
    <row r="227" spans="2:59" ht="14">
      <c r="B227" s="362" t="s">
        <v>537</v>
      </c>
      <c r="C227" s="406" t="s">
        <v>713</v>
      </c>
      <c r="D227" s="388" t="s">
        <v>648</v>
      </c>
      <c r="E227" s="388" t="s">
        <v>719</v>
      </c>
      <c r="F227" s="406">
        <v>1</v>
      </c>
      <c r="G227" s="406" t="s">
        <v>533</v>
      </c>
      <c r="H227" s="406" t="s">
        <v>533</v>
      </c>
      <c r="I227" s="406" t="s">
        <v>534</v>
      </c>
      <c r="J227" s="406" t="s">
        <v>534</v>
      </c>
      <c r="K227" s="406" t="s">
        <v>156</v>
      </c>
      <c r="L227" s="406" t="s">
        <v>156</v>
      </c>
      <c r="M227" s="406" t="s">
        <v>156</v>
      </c>
      <c r="N227" s="406" t="s">
        <v>156</v>
      </c>
      <c r="O227" s="406" t="s">
        <v>637</v>
      </c>
      <c r="P227" s="406" t="s">
        <v>534</v>
      </c>
      <c r="Q227" s="406" t="s">
        <v>714</v>
      </c>
      <c r="R227" s="406" t="s">
        <v>638</v>
      </c>
      <c r="S227" s="406" t="s">
        <v>715</v>
      </c>
      <c r="T227" s="406" t="s">
        <v>716</v>
      </c>
      <c r="U227" s="406" t="s">
        <v>232</v>
      </c>
      <c r="V227" s="406" t="s">
        <v>717</v>
      </c>
      <c r="W227" s="406" t="s">
        <v>717</v>
      </c>
      <c r="X227" s="406"/>
      <c r="Y227" s="406"/>
      <c r="Z227" s="406" t="s">
        <v>156</v>
      </c>
      <c r="AA227" s="406">
        <v>1</v>
      </c>
      <c r="AB227" s="406">
        <v>99999999</v>
      </c>
      <c r="AC227" s="406">
        <v>0</v>
      </c>
      <c r="AD227" s="406">
        <v>0</v>
      </c>
      <c r="AE227" s="406">
        <v>0</v>
      </c>
      <c r="AF227" s="406">
        <v>0</v>
      </c>
      <c r="AG227" s="406">
        <v>0</v>
      </c>
      <c r="AH227" s="406">
        <v>0</v>
      </c>
      <c r="AI227" s="406">
        <v>0</v>
      </c>
      <c r="AJ227" s="406">
        <v>0</v>
      </c>
      <c r="AK227" s="406">
        <v>1</v>
      </c>
      <c r="AL227" s="406">
        <v>1</v>
      </c>
      <c r="AM227" s="406">
        <v>0</v>
      </c>
      <c r="AN227" s="406">
        <v>0</v>
      </c>
      <c r="AO227" s="406" t="s">
        <v>636</v>
      </c>
      <c r="AP227" s="406" t="s">
        <v>156</v>
      </c>
      <c r="AQ227" s="406" t="s">
        <v>639</v>
      </c>
      <c r="AR227" s="406">
        <v>0</v>
      </c>
      <c r="AS227" s="406">
        <v>0</v>
      </c>
      <c r="AT227" s="406">
        <v>1</v>
      </c>
      <c r="AU227" s="406">
        <v>0</v>
      </c>
      <c r="AV227" s="406">
        <v>0</v>
      </c>
      <c r="AW227" s="406">
        <v>0</v>
      </c>
      <c r="AX227" s="406">
        <v>0</v>
      </c>
      <c r="AY227" s="406">
        <v>1</v>
      </c>
      <c r="AZ227" s="406">
        <v>0</v>
      </c>
      <c r="BA227" s="406">
        <v>39864.674351851849</v>
      </c>
      <c r="BB227" s="406">
        <v>440393</v>
      </c>
      <c r="BC227" s="406">
        <v>440393</v>
      </c>
      <c r="BD227" s="406">
        <v>45482.05810185185</v>
      </c>
      <c r="BE227" s="406" t="s">
        <v>640</v>
      </c>
      <c r="BF227" s="461" t="s">
        <v>640</v>
      </c>
    </row>
    <row r="228" spans="2:59">
      <c r="B228" s="366"/>
      <c r="BF228" s="348"/>
    </row>
    <row r="229" spans="2:59" ht="13.5">
      <c r="B229" s="366"/>
      <c r="C229" s="354" t="s">
        <v>153</v>
      </c>
      <c r="BF229" s="348"/>
    </row>
    <row r="230" spans="2:59" ht="13.5">
      <c r="B230" s="366"/>
      <c r="C230" s="354" t="s">
        <v>641</v>
      </c>
      <c r="D230" s="354" t="s">
        <v>642</v>
      </c>
      <c r="E230" s="354" t="s">
        <v>205</v>
      </c>
      <c r="F230" s="354" t="s">
        <v>643</v>
      </c>
      <c r="G230" s="354" t="s">
        <v>644</v>
      </c>
      <c r="BF230" s="348"/>
    </row>
    <row r="231" spans="2:59" ht="13.5">
      <c r="B231" s="366"/>
      <c r="C231" s="354">
        <v>-2</v>
      </c>
      <c r="D231" s="354" t="s">
        <v>645</v>
      </c>
      <c r="E231" s="354" t="s">
        <v>990</v>
      </c>
      <c r="F231" s="354" t="s">
        <v>991</v>
      </c>
      <c r="G231" s="354" t="s">
        <v>113</v>
      </c>
      <c r="BF231" s="348"/>
    </row>
    <row r="232" spans="2:59" ht="13.5" thickBot="1">
      <c r="B232" s="366"/>
      <c r="BF232" s="348"/>
    </row>
    <row r="233" spans="2:59" ht="14" thickBot="1">
      <c r="B233" s="350" t="s">
        <v>753</v>
      </c>
      <c r="C233" s="351" t="s">
        <v>754</v>
      </c>
      <c r="D233" s="351"/>
      <c r="E233" s="351"/>
      <c r="F233" s="351"/>
      <c r="G233" s="351"/>
      <c r="H233" s="351"/>
      <c r="I233" s="351"/>
      <c r="J233" s="351"/>
      <c r="K233" s="351"/>
      <c r="L233" s="351"/>
      <c r="M233" s="351"/>
      <c r="N233" s="351"/>
      <c r="O233" s="351"/>
      <c r="P233" s="351"/>
      <c r="Q233" s="351"/>
      <c r="R233" s="351"/>
      <c r="S233" s="351"/>
      <c r="T233" s="351"/>
      <c r="U233" s="351"/>
      <c r="V233" s="351"/>
      <c r="W233" s="351"/>
      <c r="X233" s="351"/>
      <c r="Y233" s="351"/>
      <c r="Z233" s="351"/>
      <c r="AA233" s="351"/>
      <c r="AB233" s="351"/>
      <c r="AC233" s="351"/>
      <c r="AD233" s="351"/>
      <c r="AE233" s="351"/>
      <c r="AF233" s="351"/>
      <c r="AG233" s="351"/>
      <c r="AH233" s="351"/>
      <c r="AI233" s="351"/>
      <c r="AJ233" s="351"/>
      <c r="AK233" s="351"/>
      <c r="AL233" s="351"/>
      <c r="AM233" s="351"/>
      <c r="AN233" s="351"/>
      <c r="AO233" s="351"/>
      <c r="AP233" s="351"/>
      <c r="AQ233" s="351"/>
      <c r="AR233" s="351"/>
      <c r="AS233" s="351"/>
      <c r="AT233" s="351"/>
      <c r="AU233" s="351"/>
      <c r="AV233" s="351"/>
      <c r="AW233" s="351"/>
      <c r="AX233" s="351"/>
      <c r="AY233" s="351"/>
      <c r="AZ233" s="351"/>
      <c r="BA233" s="351"/>
      <c r="BB233" s="351"/>
      <c r="BC233" s="351"/>
      <c r="BD233" s="351"/>
      <c r="BE233" s="351"/>
      <c r="BF233" s="454"/>
    </row>
    <row r="234" spans="2:59" ht="14" thickBot="1">
      <c r="B234" s="352" t="s">
        <v>986</v>
      </c>
      <c r="C234" s="351" t="s">
        <v>674</v>
      </c>
      <c r="D234" s="351"/>
      <c r="E234" s="351"/>
      <c r="F234" s="351"/>
      <c r="G234" s="351"/>
      <c r="H234" s="351"/>
      <c r="I234" s="351"/>
      <c r="J234" s="351"/>
      <c r="K234" s="351"/>
      <c r="L234" s="351"/>
      <c r="M234" s="351"/>
      <c r="N234" s="351"/>
      <c r="O234" s="351"/>
      <c r="P234" s="351"/>
      <c r="Q234" s="351"/>
      <c r="R234" s="351"/>
      <c r="S234" s="351"/>
      <c r="T234" s="351"/>
      <c r="U234" s="351"/>
      <c r="V234" s="351"/>
      <c r="W234" s="351"/>
      <c r="X234" s="351"/>
      <c r="Y234" s="351"/>
      <c r="Z234" s="351"/>
      <c r="AA234" s="351"/>
      <c r="AB234" s="351"/>
      <c r="AC234" s="351"/>
      <c r="AD234" s="351"/>
      <c r="AE234" s="351"/>
      <c r="AF234" s="351"/>
      <c r="AG234" s="351"/>
      <c r="AH234" s="351"/>
      <c r="AI234" s="351"/>
      <c r="AJ234" s="351"/>
      <c r="AK234" s="351"/>
      <c r="AL234" s="351"/>
      <c r="AM234" s="351"/>
      <c r="AN234" s="351"/>
      <c r="AO234" s="351"/>
      <c r="AP234" s="351"/>
      <c r="AQ234" s="351"/>
      <c r="AR234" s="351"/>
      <c r="AS234" s="351"/>
      <c r="AT234" s="351"/>
      <c r="AU234" s="351"/>
      <c r="AV234" s="351"/>
      <c r="AW234" s="351"/>
      <c r="AX234" s="351"/>
      <c r="AY234" s="351"/>
      <c r="AZ234" s="351"/>
      <c r="BA234" s="351"/>
      <c r="BB234" s="351"/>
      <c r="BC234" s="351"/>
      <c r="BD234" s="351"/>
      <c r="BE234" s="351"/>
      <c r="BF234" s="454"/>
    </row>
    <row r="235" spans="2:59">
      <c r="B235" s="366"/>
      <c r="BF235" s="348"/>
    </row>
    <row r="236" spans="2:59" ht="13.5">
      <c r="B236" s="366"/>
      <c r="C236" s="354" t="s">
        <v>481</v>
      </c>
      <c r="BF236" s="348"/>
    </row>
    <row r="237" spans="2:59" ht="13.5">
      <c r="B237" s="366"/>
      <c r="C237" s="354" t="s">
        <v>994</v>
      </c>
      <c r="BF237" s="348"/>
    </row>
    <row r="238" spans="2:59">
      <c r="B238" s="366"/>
      <c r="BF238" s="348"/>
    </row>
    <row r="239" spans="2:59" s="28" customFormat="1" ht="15">
      <c r="B239" s="444"/>
      <c r="C239" s="393" t="s">
        <v>723</v>
      </c>
      <c r="D239" s="394"/>
      <c r="E239" s="394"/>
      <c r="F239" s="394"/>
      <c r="G239" s="394"/>
      <c r="H239" s="394"/>
      <c r="I239" s="394"/>
      <c r="J239" s="394"/>
      <c r="K239" s="394"/>
      <c r="L239" s="394"/>
      <c r="M239"/>
      <c r="N239"/>
      <c r="O239"/>
      <c r="P239"/>
      <c r="Q239"/>
      <c r="R239"/>
      <c r="S239"/>
      <c r="T239"/>
      <c r="U239"/>
      <c r="V239"/>
      <c r="W239"/>
      <c r="X239"/>
      <c r="Y239"/>
      <c r="Z239"/>
      <c r="AA239"/>
      <c r="AB239"/>
      <c r="AC239"/>
      <c r="AD239"/>
      <c r="AE239"/>
      <c r="AF239"/>
      <c r="AG239"/>
      <c r="AH239"/>
      <c r="AI239"/>
      <c r="AJ239"/>
      <c r="AK239"/>
      <c r="AL239"/>
      <c r="AM239"/>
      <c r="AN239"/>
      <c r="AO239"/>
      <c r="AP239"/>
      <c r="AQ239"/>
      <c r="AR239"/>
      <c r="AS239"/>
      <c r="AT239"/>
      <c r="AU239"/>
      <c r="AV239"/>
      <c r="AW239"/>
      <c r="AX239"/>
      <c r="AY239"/>
      <c r="AZ239"/>
      <c r="BA239"/>
      <c r="BB239"/>
      <c r="BC239"/>
      <c r="BD239"/>
      <c r="BE239"/>
      <c r="BF239" s="348"/>
      <c r="BG239"/>
    </row>
    <row r="240" spans="2:59" s="28" customFormat="1" ht="15">
      <c r="B240" s="444"/>
      <c r="C240" s="336"/>
      <c r="D240" s="336" t="s">
        <v>217</v>
      </c>
      <c r="E240" s="336"/>
      <c r="F240" s="336"/>
      <c r="G240" s="392"/>
      <c r="H240" s="392"/>
      <c r="I240" s="392"/>
      <c r="J240" s="392"/>
      <c r="K240" s="392"/>
      <c r="L240" s="392"/>
      <c r="M240"/>
      <c r="N240"/>
      <c r="O240"/>
      <c r="P240"/>
      <c r="Q240"/>
      <c r="R240"/>
      <c r="S240"/>
      <c r="T240"/>
      <c r="U240"/>
      <c r="V240"/>
      <c r="W240"/>
      <c r="X240"/>
      <c r="Y240"/>
      <c r="Z240"/>
      <c r="AA240"/>
      <c r="AB240"/>
      <c r="AC240"/>
      <c r="AD240"/>
      <c r="AE240"/>
      <c r="AF240"/>
      <c r="AG240"/>
      <c r="AH240"/>
      <c r="AI240"/>
      <c r="AJ240"/>
      <c r="AK240"/>
      <c r="AL240"/>
      <c r="AM240"/>
      <c r="AN240"/>
      <c r="AO240"/>
      <c r="AP240"/>
      <c r="AQ240"/>
      <c r="AR240"/>
      <c r="AS240"/>
      <c r="AT240"/>
      <c r="AU240"/>
      <c r="AV240"/>
      <c r="AW240"/>
      <c r="AX240"/>
      <c r="AY240"/>
      <c r="AZ240"/>
      <c r="BA240"/>
      <c r="BB240"/>
      <c r="BC240"/>
      <c r="BD240"/>
      <c r="BE240"/>
      <c r="BF240" s="348"/>
      <c r="BG240"/>
    </row>
    <row r="241" spans="2:59" s="28" customFormat="1" ht="15">
      <c r="B241" s="444"/>
      <c r="C241" s="371" t="s">
        <v>727</v>
      </c>
      <c r="D241" s="335" t="s">
        <v>86</v>
      </c>
      <c r="E241" s="335" t="s">
        <v>728</v>
      </c>
      <c r="F241" s="341" t="s">
        <v>462</v>
      </c>
      <c r="G241" s="341" t="s">
        <v>463</v>
      </c>
      <c r="H241" s="341" t="s">
        <v>464</v>
      </c>
      <c r="I241" s="341" t="s">
        <v>465</v>
      </c>
      <c r="J241" s="341" t="s">
        <v>146</v>
      </c>
      <c r="K241" s="341" t="s">
        <v>148</v>
      </c>
      <c r="L241" s="341" t="s">
        <v>466</v>
      </c>
      <c r="M241"/>
      <c r="N241"/>
      <c r="O241"/>
      <c r="P241"/>
      <c r="Q241"/>
      <c r="R241"/>
      <c r="S241"/>
      <c r="T241"/>
      <c r="U241"/>
      <c r="V241"/>
      <c r="W241"/>
      <c r="X241"/>
      <c r="Y241"/>
      <c r="Z241"/>
      <c r="AA241"/>
      <c r="AB241"/>
      <c r="AC241"/>
      <c r="AD241"/>
      <c r="AE241"/>
      <c r="AF241"/>
      <c r="AG241"/>
      <c r="AH241"/>
      <c r="AI241"/>
      <c r="AJ241"/>
      <c r="AK241"/>
      <c r="AL241"/>
      <c r="AM241"/>
      <c r="AN241"/>
      <c r="AO241"/>
      <c r="AP241"/>
      <c r="AQ241"/>
      <c r="AR241"/>
      <c r="AS241"/>
      <c r="AT241"/>
      <c r="AU241"/>
      <c r="AV241"/>
      <c r="AW241"/>
      <c r="AX241"/>
      <c r="AY241"/>
      <c r="AZ241"/>
      <c r="BA241"/>
      <c r="BB241"/>
      <c r="BC241"/>
      <c r="BD241"/>
      <c r="BE241"/>
      <c r="BF241" s="348"/>
      <c r="BG241"/>
    </row>
    <row r="242" spans="2:59" s="28" customFormat="1" ht="15">
      <c r="B242" s="444"/>
      <c r="C242" s="405" t="s">
        <v>724</v>
      </c>
      <c r="D242" s="335" t="s">
        <v>725</v>
      </c>
      <c r="E242" s="335" t="s">
        <v>726</v>
      </c>
      <c r="F242" s="335" t="s">
        <v>445</v>
      </c>
      <c r="G242" s="335" t="s">
        <v>446</v>
      </c>
      <c r="H242" s="335" t="s">
        <v>447</v>
      </c>
      <c r="I242" s="335" t="s">
        <v>448</v>
      </c>
      <c r="J242" s="335" t="s">
        <v>449</v>
      </c>
      <c r="K242" s="335" t="s">
        <v>450</v>
      </c>
      <c r="L242" s="335" t="s">
        <v>451</v>
      </c>
      <c r="M242"/>
      <c r="N242"/>
      <c r="O242"/>
      <c r="P242"/>
      <c r="Q242"/>
      <c r="R242"/>
      <c r="S242"/>
      <c r="T242"/>
      <c r="U242"/>
      <c r="V242"/>
      <c r="W242"/>
      <c r="X242"/>
      <c r="Y242"/>
      <c r="Z242"/>
      <c r="AA242"/>
      <c r="AB242"/>
      <c r="AC242"/>
      <c r="AD242"/>
      <c r="AE242"/>
      <c r="AF242"/>
      <c r="AG242"/>
      <c r="AH242"/>
      <c r="AI242"/>
      <c r="AJ242"/>
      <c r="AK242"/>
      <c r="AL242"/>
      <c r="AM242"/>
      <c r="AN242"/>
      <c r="AO242"/>
      <c r="AP242"/>
      <c r="AQ242"/>
      <c r="AR242"/>
      <c r="AS242"/>
      <c r="AT242"/>
      <c r="AU242"/>
      <c r="AV242"/>
      <c r="AW242"/>
      <c r="AX242"/>
      <c r="AY242"/>
      <c r="AZ242"/>
      <c r="BA242"/>
      <c r="BB242"/>
      <c r="BC242"/>
      <c r="BD242"/>
      <c r="BE242"/>
      <c r="BF242" s="348"/>
      <c r="BG242"/>
    </row>
    <row r="243" spans="2:59" s="28" customFormat="1" ht="15">
      <c r="B243" s="444"/>
      <c r="C243" s="405" t="s">
        <v>472</v>
      </c>
      <c r="D243" s="367" t="s">
        <v>527</v>
      </c>
      <c r="E243" s="335" t="s">
        <v>474</v>
      </c>
      <c r="F243" s="367" t="s">
        <v>684</v>
      </c>
      <c r="G243" s="367" t="s">
        <v>474</v>
      </c>
      <c r="H243" s="367" t="s">
        <v>475</v>
      </c>
      <c r="I243" s="367" t="s">
        <v>475</v>
      </c>
      <c r="J243" s="367" t="s">
        <v>223</v>
      </c>
      <c r="K243" s="335" t="s">
        <v>475</v>
      </c>
      <c r="L243" s="335" t="s">
        <v>475</v>
      </c>
      <c r="M243"/>
      <c r="N243"/>
      <c r="O243"/>
      <c r="P243"/>
      <c r="Q243"/>
      <c r="R243"/>
      <c r="S243"/>
      <c r="T243"/>
      <c r="U243"/>
      <c r="V243"/>
      <c r="W243"/>
      <c r="X243"/>
      <c r="Y243"/>
      <c r="Z243"/>
      <c r="AA243"/>
      <c r="AB243"/>
      <c r="AC243"/>
      <c r="AD243"/>
      <c r="AE243"/>
      <c r="AF243"/>
      <c r="AG243"/>
      <c r="AH243"/>
      <c r="AI243"/>
      <c r="AJ243"/>
      <c r="AK243"/>
      <c r="AL243"/>
      <c r="AM243"/>
      <c r="AN243"/>
      <c r="AO243"/>
      <c r="AP243"/>
      <c r="AQ243"/>
      <c r="AR243"/>
      <c r="AS243"/>
      <c r="AT243"/>
      <c r="AU243"/>
      <c r="AV243"/>
      <c r="AW243"/>
      <c r="AX243"/>
      <c r="AY243"/>
      <c r="AZ243"/>
      <c r="BA243"/>
      <c r="BB243"/>
      <c r="BC243"/>
      <c r="BD243"/>
      <c r="BE243"/>
      <c r="BF243" s="348"/>
      <c r="BG243"/>
    </row>
    <row r="244" spans="2:59" s="28" customFormat="1" ht="15">
      <c r="B244" s="362" t="s">
        <v>537</v>
      </c>
      <c r="C244" s="388" t="s">
        <v>931</v>
      </c>
      <c r="D244" s="407" t="s">
        <v>735</v>
      </c>
      <c r="E244" s="407" t="s">
        <v>736</v>
      </c>
      <c r="F244" s="407" t="s">
        <v>737</v>
      </c>
      <c r="G244" s="407" t="s">
        <v>738</v>
      </c>
      <c r="H244" s="407" t="s">
        <v>739</v>
      </c>
      <c r="I244" s="407" t="s">
        <v>740</v>
      </c>
      <c r="J244" s="407" t="s">
        <v>741</v>
      </c>
      <c r="K244" s="407" t="s">
        <v>742</v>
      </c>
      <c r="L244" s="335" t="s">
        <v>742</v>
      </c>
      <c r="M244"/>
      <c r="N244"/>
      <c r="O244"/>
      <c r="P244"/>
      <c r="Q244"/>
      <c r="R244"/>
      <c r="S244"/>
      <c r="T244"/>
      <c r="U244"/>
      <c r="V244"/>
      <c r="W244"/>
      <c r="X244"/>
      <c r="Y244"/>
      <c r="Z244"/>
      <c r="AA244"/>
      <c r="AB244"/>
      <c r="AC244"/>
      <c r="AD244"/>
      <c r="AE244"/>
      <c r="AF244"/>
      <c r="AG244"/>
      <c r="AH244"/>
      <c r="AI244"/>
      <c r="AJ244"/>
      <c r="AK244"/>
      <c r="AL244"/>
      <c r="AM244"/>
      <c r="AN244"/>
      <c r="AO244"/>
      <c r="AP244"/>
      <c r="AQ244"/>
      <c r="AR244"/>
      <c r="AS244"/>
      <c r="AT244"/>
      <c r="AU244"/>
      <c r="AV244"/>
      <c r="AW244"/>
      <c r="AX244"/>
      <c r="AY244"/>
      <c r="AZ244"/>
      <c r="BA244"/>
      <c r="BB244"/>
      <c r="BC244"/>
      <c r="BD244"/>
      <c r="BE244"/>
      <c r="BF244" s="348"/>
      <c r="BG244"/>
    </row>
    <row r="245" spans="2:59" s="28" customFormat="1" ht="15">
      <c r="B245" s="362" t="s">
        <v>537</v>
      </c>
      <c r="C245" s="388" t="s">
        <v>932</v>
      </c>
      <c r="D245" s="407" t="s">
        <v>930</v>
      </c>
      <c r="E245" s="407" t="s">
        <v>731</v>
      </c>
      <c r="F245" s="407" t="s">
        <v>534</v>
      </c>
      <c r="G245" s="407" t="s">
        <v>731</v>
      </c>
      <c r="H245" s="407" t="s">
        <v>732</v>
      </c>
      <c r="I245" s="407" t="s">
        <v>733</v>
      </c>
      <c r="J245" s="407" t="s">
        <v>731</v>
      </c>
      <c r="K245" s="407" t="s">
        <v>732</v>
      </c>
      <c r="L245" s="335" t="s">
        <v>733</v>
      </c>
      <c r="M245"/>
      <c r="N245"/>
      <c r="O245"/>
      <c r="P245"/>
      <c r="Q245"/>
      <c r="R245"/>
      <c r="S245"/>
      <c r="T245"/>
      <c r="U245"/>
      <c r="V245"/>
      <c r="W245"/>
      <c r="X245"/>
      <c r="Y245"/>
      <c r="Z245"/>
      <c r="AA245"/>
      <c r="AB245"/>
      <c r="AC245"/>
      <c r="AD245"/>
      <c r="AE245"/>
      <c r="AF245"/>
      <c r="AG245"/>
      <c r="AH245"/>
      <c r="AI245"/>
      <c r="AJ245"/>
      <c r="AK245"/>
      <c r="AL245"/>
      <c r="AM245"/>
      <c r="AN245"/>
      <c r="AO245"/>
      <c r="AP245"/>
      <c r="AQ245"/>
      <c r="AR245"/>
      <c r="AS245"/>
      <c r="AT245"/>
      <c r="AU245"/>
      <c r="AV245"/>
      <c r="AW245"/>
      <c r="AX245"/>
      <c r="AY245"/>
      <c r="AZ245"/>
      <c r="BA245"/>
      <c r="BB245"/>
      <c r="BC245"/>
      <c r="BD245"/>
      <c r="BE245"/>
      <c r="BF245" s="348"/>
      <c r="BG245"/>
    </row>
    <row r="246" spans="2:59" s="28" customFormat="1" ht="15">
      <c r="B246" s="362" t="s">
        <v>537</v>
      </c>
      <c r="C246" s="388" t="s">
        <v>743</v>
      </c>
      <c r="D246" s="407" t="s">
        <v>744</v>
      </c>
      <c r="E246" s="407" t="s">
        <v>745</v>
      </c>
      <c r="F246" s="407" t="s">
        <v>536</v>
      </c>
      <c r="G246" s="407" t="s">
        <v>745</v>
      </c>
      <c r="H246" s="407" t="s">
        <v>746</v>
      </c>
      <c r="I246" s="407" t="s">
        <v>747</v>
      </c>
      <c r="J246" s="407" t="s">
        <v>745</v>
      </c>
      <c r="K246" s="407" t="s">
        <v>748</v>
      </c>
      <c r="L246" s="335" t="s">
        <v>750</v>
      </c>
      <c r="M246"/>
      <c r="N246"/>
      <c r="O246"/>
      <c r="P246"/>
      <c r="Q246"/>
      <c r="R246"/>
      <c r="S246"/>
      <c r="T246"/>
      <c r="U246"/>
      <c r="V246"/>
      <c r="W246"/>
      <c r="X246"/>
      <c r="Y246"/>
      <c r="Z246"/>
      <c r="AA246"/>
      <c r="AB246"/>
      <c r="AC246"/>
      <c r="AD246"/>
      <c r="AE246"/>
      <c r="AF246"/>
      <c r="AG246"/>
      <c r="AH246"/>
      <c r="AI246"/>
      <c r="AJ246"/>
      <c r="AK246"/>
      <c r="AL246"/>
      <c r="AM246"/>
      <c r="AN246"/>
      <c r="AO246"/>
      <c r="AP246"/>
      <c r="AQ246"/>
      <c r="AR246"/>
      <c r="AS246"/>
      <c r="AT246"/>
      <c r="AU246"/>
      <c r="AV246"/>
      <c r="AW246"/>
      <c r="AX246"/>
      <c r="AY246"/>
      <c r="AZ246"/>
      <c r="BA246"/>
      <c r="BB246"/>
      <c r="BC246"/>
      <c r="BD246"/>
      <c r="BE246"/>
      <c r="BF246" s="348"/>
      <c r="BG246"/>
    </row>
    <row r="247" spans="2:59" s="28" customFormat="1" ht="15">
      <c r="B247" s="362" t="s">
        <v>537</v>
      </c>
      <c r="C247" s="388" t="s">
        <v>749</v>
      </c>
      <c r="D247" s="407" t="s">
        <v>744</v>
      </c>
      <c r="E247" s="407" t="s">
        <v>745</v>
      </c>
      <c r="F247" s="407" t="s">
        <v>536</v>
      </c>
      <c r="G247" s="407" t="s">
        <v>745</v>
      </c>
      <c r="H247" s="407" t="s">
        <v>746</v>
      </c>
      <c r="I247" s="407" t="s">
        <v>747</v>
      </c>
      <c r="J247" s="407" t="s">
        <v>745</v>
      </c>
      <c r="K247" s="407" t="s">
        <v>748</v>
      </c>
      <c r="L247" s="335" t="s">
        <v>750</v>
      </c>
      <c r="M247"/>
      <c r="N247"/>
      <c r="O247"/>
      <c r="P247"/>
      <c r="Q247"/>
      <c r="R247"/>
      <c r="S247"/>
      <c r="T247"/>
      <c r="U247"/>
      <c r="V247"/>
      <c r="W247"/>
      <c r="X247"/>
      <c r="Y247"/>
      <c r="Z247"/>
      <c r="AA247"/>
      <c r="AB247"/>
      <c r="AC247"/>
      <c r="AD247"/>
      <c r="AE247"/>
      <c r="AF247"/>
      <c r="AG247"/>
      <c r="AH247"/>
      <c r="AI247"/>
      <c r="AJ247"/>
      <c r="AK247"/>
      <c r="AL247"/>
      <c r="AM247"/>
      <c r="AN247"/>
      <c r="AO247"/>
      <c r="AP247"/>
      <c r="AQ247"/>
      <c r="AR247"/>
      <c r="AS247"/>
      <c r="AT247"/>
      <c r="AU247"/>
      <c r="AV247"/>
      <c r="AW247"/>
      <c r="AX247"/>
      <c r="AY247"/>
      <c r="AZ247"/>
      <c r="BA247"/>
      <c r="BB247"/>
      <c r="BC247"/>
      <c r="BD247"/>
      <c r="BE247"/>
      <c r="BF247" s="348"/>
      <c r="BG247"/>
    </row>
    <row r="248" spans="2:59" ht="14">
      <c r="B248" s="366"/>
      <c r="E248" s="391"/>
      <c r="F248" s="391"/>
      <c r="G248" s="391"/>
      <c r="I248" s="391"/>
      <c r="J248" s="391"/>
      <c r="K248" s="391"/>
      <c r="L248" s="391"/>
      <c r="BF248" s="348"/>
    </row>
    <row r="249" spans="2:59" ht="13.5">
      <c r="B249" s="366"/>
      <c r="C249" s="354" t="s">
        <v>153</v>
      </c>
      <c r="D249" s="354"/>
      <c r="E249" s="354"/>
      <c r="F249" s="354"/>
      <c r="G249" s="354"/>
      <c r="BF249" s="348"/>
    </row>
    <row r="250" spans="2:59" ht="13.5">
      <c r="B250" s="366"/>
      <c r="C250" s="354" t="s">
        <v>641</v>
      </c>
      <c r="D250" s="354" t="s">
        <v>642</v>
      </c>
      <c r="E250" s="354" t="s">
        <v>205</v>
      </c>
      <c r="F250" s="354" t="s">
        <v>643</v>
      </c>
      <c r="G250" s="354" t="s">
        <v>644</v>
      </c>
      <c r="BF250" s="348"/>
    </row>
    <row r="251" spans="2:59" ht="13.5">
      <c r="B251" s="366"/>
      <c r="C251" s="354">
        <v>-2</v>
      </c>
      <c r="D251" s="354" t="s">
        <v>156</v>
      </c>
      <c r="E251" s="354" t="s">
        <v>952</v>
      </c>
      <c r="F251" s="354" t="s">
        <v>933</v>
      </c>
      <c r="G251" s="354" t="s">
        <v>677</v>
      </c>
      <c r="BF251" s="348"/>
    </row>
    <row r="252" spans="2:59" ht="13.5" thickBot="1">
      <c r="B252" s="366"/>
      <c r="BF252" s="348"/>
    </row>
    <row r="253" spans="2:59" ht="14" thickBot="1">
      <c r="B253" s="350" t="s">
        <v>792</v>
      </c>
      <c r="C253" s="351" t="s">
        <v>793</v>
      </c>
      <c r="D253" s="351"/>
      <c r="E253" s="351"/>
      <c r="F253" s="351"/>
      <c r="G253" s="351"/>
      <c r="H253" s="351"/>
      <c r="I253" s="351"/>
      <c r="J253" s="351"/>
      <c r="K253" s="351"/>
      <c r="L253" s="351"/>
      <c r="M253" s="351"/>
      <c r="N253" s="351"/>
      <c r="O253" s="351"/>
      <c r="P253" s="351"/>
      <c r="Q253" s="351"/>
      <c r="R253" s="351"/>
      <c r="S253" s="351"/>
      <c r="T253" s="351"/>
      <c r="U253" s="351"/>
      <c r="V253" s="351"/>
      <c r="W253" s="351"/>
      <c r="X253" s="351"/>
      <c r="Y253" s="351"/>
      <c r="Z253" s="351"/>
      <c r="AA253" s="351"/>
      <c r="AB253" s="351"/>
      <c r="AC253" s="351"/>
      <c r="AD253" s="351"/>
      <c r="AE253" s="351"/>
      <c r="AF253" s="351"/>
      <c r="AG253" s="351"/>
      <c r="AH253" s="351"/>
      <c r="AI253" s="351"/>
      <c r="AJ253" s="351"/>
      <c r="AK253" s="351"/>
      <c r="AL253" s="351"/>
      <c r="AM253" s="351"/>
      <c r="AN253" s="351"/>
      <c r="AO253" s="351"/>
      <c r="AP253" s="351"/>
      <c r="AQ253" s="351"/>
      <c r="AR253" s="351"/>
      <c r="AS253" s="351"/>
      <c r="AT253" s="351"/>
      <c r="AU253" s="351"/>
      <c r="AV253" s="351"/>
      <c r="AW253" s="351"/>
      <c r="AX253" s="351"/>
      <c r="AY253" s="351"/>
      <c r="AZ253" s="351"/>
      <c r="BA253" s="351"/>
      <c r="BB253" s="351"/>
      <c r="BC253" s="351"/>
      <c r="BD253" s="351"/>
      <c r="BE253" s="351"/>
      <c r="BF253" s="454"/>
    </row>
    <row r="254" spans="2:59" ht="14" thickBot="1">
      <c r="B254" s="352" t="s">
        <v>986</v>
      </c>
      <c r="C254" s="351" t="s">
        <v>674</v>
      </c>
      <c r="D254" s="351"/>
      <c r="E254" s="351"/>
      <c r="F254" s="351"/>
      <c r="G254" s="351"/>
      <c r="H254" s="351"/>
      <c r="I254" s="351"/>
      <c r="J254" s="351"/>
      <c r="K254" s="351"/>
      <c r="L254" s="351"/>
      <c r="M254" s="351"/>
      <c r="N254" s="351"/>
      <c r="O254" s="351"/>
      <c r="P254" s="351"/>
      <c r="Q254" s="351"/>
      <c r="R254" s="351"/>
      <c r="S254" s="351"/>
      <c r="T254" s="351"/>
      <c r="U254" s="351"/>
      <c r="V254" s="351"/>
      <c r="W254" s="351"/>
      <c r="X254" s="351"/>
      <c r="Y254" s="351"/>
      <c r="Z254" s="351"/>
      <c r="AA254" s="351"/>
      <c r="AB254" s="351"/>
      <c r="AC254" s="351"/>
      <c r="AD254" s="351"/>
      <c r="AE254" s="351"/>
      <c r="AF254" s="351"/>
      <c r="AG254" s="351"/>
      <c r="AH254" s="351"/>
      <c r="AI254" s="351"/>
      <c r="AJ254" s="351"/>
      <c r="AK254" s="351"/>
      <c r="AL254" s="351"/>
      <c r="AM254" s="351"/>
      <c r="AN254" s="351"/>
      <c r="AO254" s="351"/>
      <c r="AP254" s="351"/>
      <c r="AQ254" s="351"/>
      <c r="AR254" s="351"/>
      <c r="AS254" s="351"/>
      <c r="AT254" s="351"/>
      <c r="AU254" s="351"/>
      <c r="AV254" s="351"/>
      <c r="AW254" s="351"/>
      <c r="AX254" s="351"/>
      <c r="AY254" s="351"/>
      <c r="AZ254" s="351"/>
      <c r="BA254" s="351"/>
      <c r="BB254" s="351"/>
      <c r="BC254" s="351"/>
      <c r="BD254" s="351"/>
      <c r="BE254" s="351"/>
      <c r="BF254" s="454"/>
    </row>
    <row r="255" spans="2:59">
      <c r="B255" s="366"/>
      <c r="BF255" s="348"/>
    </row>
    <row r="256" spans="2:59" ht="13.5">
      <c r="B256" s="366"/>
      <c r="C256" s="354" t="s">
        <v>481</v>
      </c>
      <c r="BF256" s="348"/>
    </row>
    <row r="257" spans="2:59" ht="13.5">
      <c r="B257" s="366"/>
      <c r="C257" s="354" t="s">
        <v>647</v>
      </c>
      <c r="BF257" s="348"/>
    </row>
    <row r="258" spans="2:59">
      <c r="B258" s="366"/>
      <c r="BF258" s="348"/>
    </row>
    <row r="259" spans="2:59" s="28" customFormat="1" ht="15">
      <c r="B259" s="129"/>
      <c r="C259" s="393" t="s">
        <v>755</v>
      </c>
      <c r="D259" s="394"/>
      <c r="E259" s="394"/>
      <c r="F259" s="394"/>
      <c r="G259" s="394"/>
      <c r="H259" s="394"/>
      <c r="I259" s="394"/>
      <c r="J259" s="394"/>
      <c r="K259" s="394"/>
      <c r="L259" s="394"/>
      <c r="M259" s="394"/>
      <c r="N259" s="394"/>
      <c r="O259" s="394"/>
      <c r="P259" s="394"/>
      <c r="Q259" s="394"/>
      <c r="R259"/>
      <c r="S259"/>
      <c r="T259"/>
      <c r="U259"/>
      <c r="V259"/>
      <c r="W259"/>
      <c r="X259"/>
      <c r="Y259"/>
      <c r="Z259"/>
      <c r="AA259"/>
      <c r="AB259"/>
      <c r="AC259"/>
      <c r="AD259"/>
      <c r="AE259"/>
      <c r="AF259"/>
      <c r="AG259"/>
      <c r="AH259"/>
      <c r="AI259"/>
      <c r="AJ259"/>
      <c r="AK259"/>
      <c r="AL259"/>
      <c r="AM259"/>
      <c r="AN259"/>
      <c r="AO259"/>
      <c r="AP259"/>
      <c r="AQ259"/>
      <c r="AR259"/>
      <c r="AS259"/>
      <c r="AT259"/>
      <c r="AU259"/>
      <c r="AV259"/>
      <c r="AW259"/>
      <c r="AX259"/>
      <c r="AY259"/>
      <c r="AZ259"/>
      <c r="BA259"/>
      <c r="BB259"/>
      <c r="BC259"/>
      <c r="BD259"/>
      <c r="BE259"/>
      <c r="BF259" s="348"/>
      <c r="BG259"/>
    </row>
    <row r="260" spans="2:59" s="28" customFormat="1" ht="15">
      <c r="B260" s="129"/>
      <c r="C260" s="336"/>
      <c r="D260" s="392"/>
      <c r="E260" s="336" t="s">
        <v>217</v>
      </c>
      <c r="F260" s="336"/>
      <c r="G260" s="392"/>
      <c r="H260" s="392"/>
      <c r="I260" s="392"/>
      <c r="J260" s="392"/>
      <c r="K260" s="392"/>
      <c r="L260" s="392"/>
      <c r="M260" s="392"/>
      <c r="N260" s="392"/>
      <c r="O260" s="392"/>
      <c r="P260" s="392"/>
      <c r="Q260" s="392"/>
      <c r="R260"/>
      <c r="S260"/>
      <c r="T260"/>
      <c r="U260"/>
      <c r="V260"/>
      <c r="W260"/>
      <c r="X260"/>
      <c r="Y260"/>
      <c r="Z260"/>
      <c r="AA260"/>
      <c r="AB260"/>
      <c r="AC260"/>
      <c r="AD260"/>
      <c r="AE260"/>
      <c r="AF260"/>
      <c r="AG260"/>
      <c r="AH260"/>
      <c r="AI260"/>
      <c r="AJ260"/>
      <c r="AK260"/>
      <c r="AL260"/>
      <c r="AM260"/>
      <c r="AN260"/>
      <c r="AO260"/>
      <c r="AP260"/>
      <c r="AQ260"/>
      <c r="AR260"/>
      <c r="AS260"/>
      <c r="AT260"/>
      <c r="AU260"/>
      <c r="AV260"/>
      <c r="AW260"/>
      <c r="AX260"/>
      <c r="AY260"/>
      <c r="AZ260"/>
      <c r="BA260"/>
      <c r="BB260"/>
      <c r="BC260"/>
      <c r="BD260"/>
      <c r="BE260"/>
      <c r="BF260" s="348"/>
      <c r="BG260"/>
    </row>
    <row r="261" spans="2:59" s="28" customFormat="1" ht="15">
      <c r="B261" s="129"/>
      <c r="C261" s="371" t="s">
        <v>756</v>
      </c>
      <c r="D261" s="371" t="s">
        <v>757</v>
      </c>
      <c r="E261" s="415" t="s">
        <v>758</v>
      </c>
      <c r="F261" s="335" t="s">
        <v>759</v>
      </c>
      <c r="G261" s="371" t="s">
        <v>760</v>
      </c>
      <c r="H261" s="341" t="s">
        <v>761</v>
      </c>
      <c r="I261" s="341" t="s">
        <v>762</v>
      </c>
      <c r="J261" s="341" t="s">
        <v>763</v>
      </c>
      <c r="K261" s="341" t="s">
        <v>462</v>
      </c>
      <c r="L261" s="341" t="s">
        <v>463</v>
      </c>
      <c r="M261" s="341" t="s">
        <v>464</v>
      </c>
      <c r="N261" s="341" t="s">
        <v>465</v>
      </c>
      <c r="O261" s="341" t="s">
        <v>146</v>
      </c>
      <c r="P261" s="341" t="s">
        <v>148</v>
      </c>
      <c r="Q261" s="341" t="s">
        <v>466</v>
      </c>
      <c r="R261"/>
      <c r="S261"/>
      <c r="T261"/>
      <c r="U261"/>
      <c r="V261"/>
      <c r="W261"/>
      <c r="X261"/>
      <c r="Y261"/>
      <c r="Z261"/>
      <c r="AA261"/>
      <c r="AB261"/>
      <c r="AC261"/>
      <c r="AD261"/>
      <c r="AE261"/>
      <c r="AF261"/>
      <c r="AG261"/>
      <c r="AH261"/>
      <c r="AI261"/>
      <c r="AJ261"/>
      <c r="AK261"/>
      <c r="AL261"/>
      <c r="AM261"/>
      <c r="AN261"/>
      <c r="AO261"/>
      <c r="AP261"/>
      <c r="AQ261"/>
      <c r="AR261"/>
      <c r="AS261"/>
      <c r="AT261"/>
      <c r="AU261"/>
      <c r="AV261"/>
      <c r="AW261"/>
      <c r="AX261"/>
      <c r="AY261"/>
      <c r="AZ261"/>
      <c r="BA261"/>
      <c r="BB261"/>
      <c r="BC261"/>
      <c r="BD261"/>
      <c r="BE261"/>
      <c r="BF261" s="348"/>
      <c r="BG261"/>
    </row>
    <row r="262" spans="2:59" s="28" customFormat="1" ht="15">
      <c r="B262" s="129"/>
      <c r="C262" s="405" t="s">
        <v>764</v>
      </c>
      <c r="D262" s="405" t="s">
        <v>765</v>
      </c>
      <c r="E262" s="416" t="s">
        <v>766</v>
      </c>
      <c r="F262" s="335" t="s">
        <v>767</v>
      </c>
      <c r="G262" s="405" t="s">
        <v>768</v>
      </c>
      <c r="H262" s="335" t="s">
        <v>769</v>
      </c>
      <c r="I262" s="335" t="s">
        <v>770</v>
      </c>
      <c r="J262" s="335" t="s">
        <v>771</v>
      </c>
      <c r="K262" s="335" t="s">
        <v>445</v>
      </c>
      <c r="L262" s="335" t="s">
        <v>446</v>
      </c>
      <c r="M262" s="335" t="s">
        <v>447</v>
      </c>
      <c r="N262" s="335" t="s">
        <v>448</v>
      </c>
      <c r="O262" s="335" t="s">
        <v>449</v>
      </c>
      <c r="P262" s="335" t="s">
        <v>450</v>
      </c>
      <c r="Q262" s="335" t="s">
        <v>451</v>
      </c>
      <c r="R262"/>
      <c r="S262"/>
      <c r="T262"/>
      <c r="U262"/>
      <c r="V262"/>
      <c r="W262"/>
      <c r="X262"/>
      <c r="Y262"/>
      <c r="Z262"/>
      <c r="AA262"/>
      <c r="AB262"/>
      <c r="AC262"/>
      <c r="AD262"/>
      <c r="AE262"/>
      <c r="AF262"/>
      <c r="AG262"/>
      <c r="AH262"/>
      <c r="AI262"/>
      <c r="AJ262"/>
      <c r="AK262"/>
      <c r="AL262"/>
      <c r="AM262"/>
      <c r="AN262"/>
      <c r="AO262"/>
      <c r="AP262"/>
      <c r="AQ262"/>
      <c r="AR262"/>
      <c r="AS262"/>
      <c r="AT262"/>
      <c r="AU262"/>
      <c r="AV262"/>
      <c r="AW262"/>
      <c r="AX262"/>
      <c r="AY262"/>
      <c r="AZ262"/>
      <c r="BA262"/>
      <c r="BB262"/>
      <c r="BC262"/>
      <c r="BD262"/>
      <c r="BE262"/>
      <c r="BF262" s="348"/>
      <c r="BG262"/>
    </row>
    <row r="263" spans="2:59" s="28" customFormat="1" ht="15">
      <c r="B263" s="129"/>
      <c r="C263" s="405" t="s">
        <v>691</v>
      </c>
      <c r="D263" s="405" t="s">
        <v>527</v>
      </c>
      <c r="E263" s="416" t="s">
        <v>772</v>
      </c>
      <c r="F263" s="367" t="s">
        <v>773</v>
      </c>
      <c r="G263" s="405" t="s">
        <v>774</v>
      </c>
      <c r="H263" s="367" t="s">
        <v>775</v>
      </c>
      <c r="I263" s="367" t="s">
        <v>775</v>
      </c>
      <c r="J263" s="367" t="s">
        <v>775</v>
      </c>
      <c r="K263" s="367" t="s">
        <v>684</v>
      </c>
      <c r="L263" s="367" t="s">
        <v>474</v>
      </c>
      <c r="M263" s="367" t="s">
        <v>475</v>
      </c>
      <c r="N263" s="367" t="s">
        <v>475</v>
      </c>
      <c r="O263" s="367" t="s">
        <v>223</v>
      </c>
      <c r="P263" s="367" t="s">
        <v>475</v>
      </c>
      <c r="Q263" s="367" t="s">
        <v>475</v>
      </c>
      <c r="R263"/>
      <c r="S263"/>
      <c r="T263"/>
      <c r="U263"/>
      <c r="V263"/>
      <c r="W263"/>
      <c r="X263"/>
      <c r="Y263"/>
      <c r="Z263"/>
      <c r="AA263"/>
      <c r="AB263"/>
      <c r="AC263"/>
      <c r="AD263"/>
      <c r="AE263"/>
      <c r="AF263"/>
      <c r="AG263"/>
      <c r="AH263"/>
      <c r="AI263"/>
      <c r="AJ263"/>
      <c r="AK263"/>
      <c r="AL263"/>
      <c r="AM263"/>
      <c r="AN263"/>
      <c r="AO263"/>
      <c r="AP263"/>
      <c r="AQ263"/>
      <c r="AR263"/>
      <c r="AS263"/>
      <c r="AT263"/>
      <c r="AU263"/>
      <c r="AV263"/>
      <c r="AW263"/>
      <c r="AX263"/>
      <c r="AY263"/>
      <c r="AZ263"/>
      <c r="BA263"/>
      <c r="BB263"/>
      <c r="BC263"/>
      <c r="BD263"/>
      <c r="BE263"/>
      <c r="BF263" s="348"/>
      <c r="BG263"/>
    </row>
    <row r="264" spans="2:59" s="28" customFormat="1" ht="15">
      <c r="B264" s="362" t="s">
        <v>537</v>
      </c>
      <c r="C264" s="406" t="s">
        <v>786</v>
      </c>
      <c r="D264" s="388" t="s">
        <v>790</v>
      </c>
      <c r="E264" s="407" t="s">
        <v>778</v>
      </c>
      <c r="F264" s="407" t="s">
        <v>778</v>
      </c>
      <c r="G264" s="407" t="s">
        <v>779</v>
      </c>
      <c r="H264" s="410" t="s">
        <v>232</v>
      </c>
      <c r="I264" s="407" t="s">
        <v>533</v>
      </c>
      <c r="J264" s="407" t="s">
        <v>636</v>
      </c>
      <c r="K264" s="407" t="s">
        <v>534</v>
      </c>
      <c r="L264" s="406"/>
      <c r="M264" s="406"/>
      <c r="N264" s="406"/>
      <c r="O264" s="406"/>
      <c r="P264" s="406"/>
      <c r="Q264" s="406"/>
      <c r="R264"/>
      <c r="S264"/>
      <c r="T264"/>
      <c r="U264"/>
      <c r="V264"/>
      <c r="W264"/>
      <c r="X264"/>
      <c r="Y264"/>
      <c r="Z264"/>
      <c r="AA264"/>
      <c r="AB264"/>
      <c r="AC264"/>
      <c r="AD264"/>
      <c r="AE264"/>
      <c r="AF264"/>
      <c r="AG264"/>
      <c r="AH264"/>
      <c r="AI264"/>
      <c r="AJ264"/>
      <c r="AK264"/>
      <c r="AL264"/>
      <c r="AM264"/>
      <c r="AN264"/>
      <c r="AO264"/>
      <c r="AP264"/>
      <c r="AQ264"/>
      <c r="AR264"/>
      <c r="AS264"/>
      <c r="AT264"/>
      <c r="AU264"/>
      <c r="AV264"/>
      <c r="AW264"/>
      <c r="AX264"/>
      <c r="AY264"/>
      <c r="AZ264"/>
      <c r="BA264"/>
      <c r="BB264"/>
      <c r="BC264"/>
      <c r="BD264"/>
      <c r="BE264"/>
      <c r="BF264" s="348"/>
      <c r="BG264"/>
    </row>
    <row r="265" spans="2:59" s="28" customFormat="1" ht="15">
      <c r="B265" s="362" t="s">
        <v>537</v>
      </c>
      <c r="C265" s="411" t="s">
        <v>786</v>
      </c>
      <c r="D265" s="388" t="s">
        <v>791</v>
      </c>
      <c r="E265" s="407" t="s">
        <v>778</v>
      </c>
      <c r="F265" s="407" t="s">
        <v>778</v>
      </c>
      <c r="G265" s="407" t="s">
        <v>779</v>
      </c>
      <c r="H265" s="410" t="s">
        <v>232</v>
      </c>
      <c r="I265" s="407" t="s">
        <v>533</v>
      </c>
      <c r="J265" s="407" t="s">
        <v>636</v>
      </c>
      <c r="K265" s="407" t="s">
        <v>534</v>
      </c>
      <c r="L265" s="406"/>
      <c r="M265" s="406"/>
      <c r="N265" s="406"/>
      <c r="O265" s="406"/>
      <c r="P265" s="406"/>
      <c r="Q265" s="406"/>
      <c r="R265"/>
      <c r="S265"/>
      <c r="T265"/>
      <c r="U265"/>
      <c r="V265"/>
      <c r="W265"/>
      <c r="X265"/>
      <c r="Y265"/>
      <c r="Z265"/>
      <c r="AA265"/>
      <c r="AB265"/>
      <c r="AC265"/>
      <c r="AD265"/>
      <c r="AE265"/>
      <c r="AF265"/>
      <c r="AG265"/>
      <c r="AH265"/>
      <c r="AI265"/>
      <c r="AJ265"/>
      <c r="AK265"/>
      <c r="AL265"/>
      <c r="AM265"/>
      <c r="AN265"/>
      <c r="AO265"/>
      <c r="AP265"/>
      <c r="AQ265"/>
      <c r="AR265"/>
      <c r="AS265"/>
      <c r="AT265"/>
      <c r="AU265"/>
      <c r="AV265"/>
      <c r="AW265"/>
      <c r="AX265"/>
      <c r="AY265"/>
      <c r="AZ265"/>
      <c r="BA265"/>
      <c r="BB265"/>
      <c r="BC265"/>
      <c r="BD265"/>
      <c r="BE265"/>
      <c r="BF265" s="348"/>
      <c r="BG265"/>
    </row>
    <row r="266" spans="2:59" s="28" customFormat="1" ht="15">
      <c r="B266" s="362" t="s">
        <v>537</v>
      </c>
      <c r="C266" s="388" t="s">
        <v>776</v>
      </c>
      <c r="D266" s="388" t="s">
        <v>777</v>
      </c>
      <c r="E266" s="406" t="s">
        <v>778</v>
      </c>
      <c r="F266" s="406" t="s">
        <v>778</v>
      </c>
      <c r="G266" s="406" t="s">
        <v>779</v>
      </c>
      <c r="H266" s="406" t="s">
        <v>232</v>
      </c>
      <c r="I266" s="406" t="s">
        <v>533</v>
      </c>
      <c r="J266" s="406" t="s">
        <v>636</v>
      </c>
      <c r="K266" s="406" t="s">
        <v>534</v>
      </c>
      <c r="L266" s="406"/>
      <c r="M266" s="406"/>
      <c r="N266" s="406"/>
      <c r="O266" s="406"/>
      <c r="P266" s="406"/>
      <c r="Q266" s="406"/>
      <c r="R266"/>
      <c r="S266"/>
      <c r="T266"/>
      <c r="U266"/>
      <c r="V266"/>
      <c r="W266"/>
      <c r="X266"/>
      <c r="Y266"/>
      <c r="Z266"/>
      <c r="AA266"/>
      <c r="AB266"/>
      <c r="AC266"/>
      <c r="AD266"/>
      <c r="AE266"/>
      <c r="AF266"/>
      <c r="AG266"/>
      <c r="AH266"/>
      <c r="AI266"/>
      <c r="AJ266"/>
      <c r="AK266"/>
      <c r="AL266"/>
      <c r="AM266"/>
      <c r="AN266"/>
      <c r="AO266"/>
      <c r="AP266"/>
      <c r="AQ266"/>
      <c r="AR266"/>
      <c r="AS266"/>
      <c r="AT266"/>
      <c r="AU266"/>
      <c r="AV266"/>
      <c r="AW266"/>
      <c r="AX266"/>
      <c r="AY266"/>
      <c r="AZ266"/>
      <c r="BA266"/>
      <c r="BB266"/>
      <c r="BC266"/>
      <c r="BD266"/>
      <c r="BE266"/>
      <c r="BF266" s="348"/>
      <c r="BG266"/>
    </row>
    <row r="267" spans="2:59" s="28" customFormat="1" ht="15">
      <c r="B267" s="362" t="s">
        <v>537</v>
      </c>
      <c r="C267" s="388" t="s">
        <v>780</v>
      </c>
      <c r="D267" s="388" t="s">
        <v>781</v>
      </c>
      <c r="E267" s="406" t="s">
        <v>533</v>
      </c>
      <c r="F267" s="406" t="s">
        <v>156</v>
      </c>
      <c r="G267" s="388" t="s">
        <v>782</v>
      </c>
      <c r="H267" s="406" t="s">
        <v>156</v>
      </c>
      <c r="I267" s="406" t="s">
        <v>156</v>
      </c>
      <c r="J267" s="406" t="s">
        <v>156</v>
      </c>
      <c r="K267" s="406" t="s">
        <v>534</v>
      </c>
      <c r="L267" s="406" t="s">
        <v>783</v>
      </c>
      <c r="M267" s="406" t="s">
        <v>784</v>
      </c>
      <c r="N267" s="406" t="s">
        <v>785</v>
      </c>
      <c r="O267" s="406" t="s">
        <v>783</v>
      </c>
      <c r="P267" s="406" t="s">
        <v>784</v>
      </c>
      <c r="Q267" s="406" t="s">
        <v>785</v>
      </c>
      <c r="R267"/>
      <c r="S267"/>
      <c r="T267"/>
      <c r="U267"/>
      <c r="V267"/>
      <c r="W267"/>
      <c r="X267"/>
      <c r="Y267"/>
      <c r="Z267"/>
      <c r="AA267"/>
      <c r="AB267"/>
      <c r="AC267"/>
      <c r="AD267"/>
      <c r="AE267"/>
      <c r="AF267"/>
      <c r="AG267"/>
      <c r="AH267"/>
      <c r="AI267"/>
      <c r="AJ267"/>
      <c r="AK267"/>
      <c r="AL267"/>
      <c r="AM267"/>
      <c r="AN267"/>
      <c r="AO267"/>
      <c r="AP267"/>
      <c r="AQ267"/>
      <c r="AR267"/>
      <c r="AS267"/>
      <c r="AT267"/>
      <c r="AU267"/>
      <c r="AV267"/>
      <c r="AW267"/>
      <c r="AX267"/>
      <c r="AY267"/>
      <c r="AZ267"/>
      <c r="BA267"/>
      <c r="BB267"/>
      <c r="BC267"/>
      <c r="BD267"/>
      <c r="BE267"/>
      <c r="BF267" s="348"/>
      <c r="BG267"/>
    </row>
    <row r="268" spans="2:59" ht="14">
      <c r="B268" s="362" t="s">
        <v>537</v>
      </c>
      <c r="C268" s="388" t="s">
        <v>780</v>
      </c>
      <c r="D268" s="388" t="s">
        <v>781</v>
      </c>
      <c r="E268" s="406" t="s">
        <v>636</v>
      </c>
      <c r="F268" s="406" t="s">
        <v>156</v>
      </c>
      <c r="G268" s="406" t="s">
        <v>779</v>
      </c>
      <c r="H268" s="406" t="s">
        <v>156</v>
      </c>
      <c r="I268" s="406" t="s">
        <v>156</v>
      </c>
      <c r="J268" s="406" t="s">
        <v>156</v>
      </c>
      <c r="K268" s="406" t="s">
        <v>534</v>
      </c>
      <c r="L268" s="406" t="s">
        <v>783</v>
      </c>
      <c r="M268" s="406" t="s">
        <v>784</v>
      </c>
      <c r="N268" s="406" t="s">
        <v>785</v>
      </c>
      <c r="O268" s="406" t="s">
        <v>783</v>
      </c>
      <c r="P268" s="406" t="s">
        <v>784</v>
      </c>
      <c r="Q268" s="406" t="s">
        <v>785</v>
      </c>
      <c r="BF268" s="348"/>
    </row>
    <row r="269" spans="2:59">
      <c r="B269" s="366"/>
      <c r="BF269" s="348"/>
    </row>
    <row r="270" spans="2:59" ht="13.5">
      <c r="B270" s="366"/>
      <c r="C270" s="354" t="s">
        <v>153</v>
      </c>
      <c r="BF270" s="348"/>
    </row>
    <row r="271" spans="2:59" ht="13.5">
      <c r="B271" s="366"/>
      <c r="C271" s="354" t="s">
        <v>641</v>
      </c>
      <c r="D271" s="354" t="s">
        <v>642</v>
      </c>
      <c r="E271" s="354" t="s">
        <v>205</v>
      </c>
      <c r="F271" s="354" t="s">
        <v>643</v>
      </c>
      <c r="G271" s="354" t="s">
        <v>644</v>
      </c>
      <c r="BF271" s="348"/>
    </row>
    <row r="272" spans="2:59" ht="13.5">
      <c r="B272" s="366"/>
      <c r="C272" s="354">
        <v>-2</v>
      </c>
      <c r="D272" s="354" t="s">
        <v>156</v>
      </c>
      <c r="E272" s="354" t="s">
        <v>954</v>
      </c>
      <c r="F272" s="354" t="s">
        <v>925</v>
      </c>
      <c r="G272" s="354" t="s">
        <v>677</v>
      </c>
      <c r="BF272" s="348"/>
    </row>
    <row r="273" spans="2:59" ht="13.5" thickBot="1">
      <c r="B273" s="366"/>
      <c r="BF273" s="348"/>
    </row>
    <row r="274" spans="2:59" ht="14" thickBot="1">
      <c r="B274" s="350" t="s">
        <v>910</v>
      </c>
      <c r="C274" s="351" t="s">
        <v>909</v>
      </c>
      <c r="D274" s="351"/>
      <c r="E274" s="351"/>
      <c r="F274" s="351"/>
      <c r="G274" s="351"/>
      <c r="H274" s="351"/>
      <c r="I274" s="351"/>
      <c r="J274" s="351"/>
      <c r="K274" s="351"/>
      <c r="L274" s="351"/>
      <c r="M274" s="351"/>
      <c r="N274" s="351"/>
      <c r="O274" s="351"/>
      <c r="P274" s="351"/>
      <c r="Q274" s="351"/>
      <c r="R274" s="351"/>
      <c r="S274" s="351"/>
      <c r="T274" s="351"/>
      <c r="U274" s="351"/>
      <c r="V274" s="351"/>
      <c r="W274" s="351"/>
      <c r="X274" s="351"/>
      <c r="Y274" s="351"/>
      <c r="Z274" s="351"/>
      <c r="AA274" s="351"/>
      <c r="AB274" s="351"/>
      <c r="AC274" s="351"/>
      <c r="AD274" s="351"/>
      <c r="AE274" s="351"/>
      <c r="AF274" s="351"/>
      <c r="AG274" s="351"/>
      <c r="AH274" s="351"/>
      <c r="AI274" s="351"/>
      <c r="AJ274" s="351"/>
      <c r="AK274" s="351"/>
      <c r="AL274" s="351"/>
      <c r="AM274" s="351"/>
      <c r="AN274" s="351"/>
      <c r="AO274" s="351"/>
      <c r="AP274" s="351"/>
      <c r="AQ274" s="351"/>
      <c r="AR274" s="351"/>
      <c r="AS274" s="351"/>
      <c r="AT274" s="351"/>
      <c r="AU274" s="351"/>
      <c r="AV274" s="351"/>
      <c r="AW274" s="351"/>
      <c r="AX274" s="351"/>
      <c r="AY274" s="351"/>
      <c r="AZ274" s="351"/>
      <c r="BA274" s="351"/>
      <c r="BB274" s="351"/>
      <c r="BC274" s="351"/>
      <c r="BD274" s="351"/>
      <c r="BE274" s="351"/>
      <c r="BF274" s="454"/>
    </row>
    <row r="275" spans="2:59" ht="14" thickBot="1">
      <c r="B275" s="352" t="s">
        <v>986</v>
      </c>
      <c r="C275" s="351" t="s">
        <v>674</v>
      </c>
      <c r="D275" s="351"/>
      <c r="E275" s="351"/>
      <c r="F275" s="351"/>
      <c r="G275" s="351"/>
      <c r="H275" s="351"/>
      <c r="I275" s="351"/>
      <c r="J275" s="351"/>
      <c r="K275" s="351"/>
      <c r="L275" s="351"/>
      <c r="M275" s="351"/>
      <c r="N275" s="351"/>
      <c r="O275" s="351"/>
      <c r="P275" s="351"/>
      <c r="Q275" s="351"/>
      <c r="R275" s="351"/>
      <c r="S275" s="351"/>
      <c r="T275" s="351"/>
      <c r="U275" s="351"/>
      <c r="V275" s="351"/>
      <c r="W275" s="351"/>
      <c r="X275" s="351"/>
      <c r="Y275" s="351"/>
      <c r="Z275" s="351"/>
      <c r="AA275" s="351"/>
      <c r="AB275" s="351"/>
      <c r="AC275" s="351"/>
      <c r="AD275" s="351"/>
      <c r="AE275" s="351"/>
      <c r="AF275" s="351"/>
      <c r="AG275" s="351"/>
      <c r="AH275" s="351"/>
      <c r="AI275" s="351"/>
      <c r="AJ275" s="351"/>
      <c r="AK275" s="351"/>
      <c r="AL275" s="351"/>
      <c r="AM275" s="351"/>
      <c r="AN275" s="351"/>
      <c r="AO275" s="351"/>
      <c r="AP275" s="351"/>
      <c r="AQ275" s="351"/>
      <c r="AR275" s="351"/>
      <c r="AS275" s="351"/>
      <c r="AT275" s="351"/>
      <c r="AU275" s="351"/>
      <c r="AV275" s="351"/>
      <c r="AW275" s="351"/>
      <c r="AX275" s="351"/>
      <c r="AY275" s="351"/>
      <c r="AZ275" s="351"/>
      <c r="BA275" s="351"/>
      <c r="BB275" s="351"/>
      <c r="BC275" s="351"/>
      <c r="BD275" s="351"/>
      <c r="BE275" s="351"/>
      <c r="BF275" s="454"/>
    </row>
    <row r="276" spans="2:59">
      <c r="B276" s="366"/>
      <c r="BF276" s="348"/>
    </row>
    <row r="277" spans="2:59" ht="13.5">
      <c r="B277" s="366"/>
      <c r="C277" s="354" t="s">
        <v>481</v>
      </c>
      <c r="BF277" s="348"/>
    </row>
    <row r="278" spans="2:59" ht="13.5">
      <c r="B278" s="366"/>
      <c r="C278" s="354" t="s">
        <v>799</v>
      </c>
      <c r="BF278" s="348"/>
    </row>
    <row r="279" spans="2:59">
      <c r="B279" s="366"/>
      <c r="BF279" s="348"/>
    </row>
    <row r="280" spans="2:59" s="28" customFormat="1" ht="15">
      <c r="B280" s="129"/>
      <c r="C280" s="505" t="s">
        <v>482</v>
      </c>
      <c r="D280" s="506"/>
      <c r="E280" s="506"/>
      <c r="F280" s="507"/>
      <c r="G280" s="507"/>
      <c r="H280" s="507"/>
      <c r="I280" s="507"/>
      <c r="J280" s="507"/>
      <c r="K280" s="507"/>
      <c r="L280" s="507"/>
      <c r="M280" s="507"/>
      <c r="N280" s="507"/>
      <c r="O280" s="507"/>
      <c r="P280" s="507"/>
      <c r="Q280" s="507"/>
      <c r="R280" s="507"/>
      <c r="S280" s="507"/>
      <c r="T280" s="507"/>
      <c r="U280" s="507"/>
      <c r="V280" s="507"/>
      <c r="W280" s="507"/>
      <c r="X280" s="508"/>
      <c r="Y280" s="93"/>
      <c r="Z280" s="93"/>
      <c r="AA280" s="93"/>
      <c r="AB280" s="93"/>
      <c r="AC280" s="93"/>
      <c r="AD280" s="357"/>
      <c r="BF280" s="149"/>
      <c r="BG280"/>
    </row>
    <row r="281" spans="2:59" s="28" customFormat="1" ht="15">
      <c r="B281" s="129"/>
      <c r="C281" s="358"/>
      <c r="D281" s="358"/>
      <c r="E281" s="358"/>
      <c r="F281" s="359" t="s">
        <v>217</v>
      </c>
      <c r="G281" s="359"/>
      <c r="H281" s="359"/>
      <c r="I281" s="359"/>
      <c r="J281" s="359"/>
      <c r="K281" s="359"/>
      <c r="L281" s="359"/>
      <c r="M281" s="359"/>
      <c r="N281" s="359"/>
      <c r="O281" s="359"/>
      <c r="P281" s="359"/>
      <c r="Q281" s="359"/>
      <c r="R281" s="359"/>
      <c r="S281" s="359"/>
      <c r="T281" s="359"/>
      <c r="U281" s="359"/>
      <c r="V281" s="359"/>
      <c r="W281" s="359"/>
      <c r="X281" s="359"/>
      <c r="Y281" s="359"/>
      <c r="Z281" s="359"/>
      <c r="AA281" s="359"/>
      <c r="AB281" s="359"/>
      <c r="AC281" s="359"/>
      <c r="AD281" s="359"/>
      <c r="BF281" s="149"/>
      <c r="BG281"/>
    </row>
    <row r="282" spans="2:59" s="28" customFormat="1" ht="15">
      <c r="B282" s="129"/>
      <c r="C282" s="334" t="s">
        <v>220</v>
      </c>
      <c r="D282" s="334" t="s">
        <v>221</v>
      </c>
      <c r="E282" s="334" t="s">
        <v>222</v>
      </c>
      <c r="F282" s="341" t="s">
        <v>483</v>
      </c>
      <c r="G282" s="341" t="s">
        <v>484</v>
      </c>
      <c r="H282" s="341" t="s">
        <v>485</v>
      </c>
      <c r="I282" s="341" t="s">
        <v>486</v>
      </c>
      <c r="J282" s="341" t="s">
        <v>487</v>
      </c>
      <c r="K282" s="341" t="s">
        <v>488</v>
      </c>
      <c r="L282" s="341" t="s">
        <v>489</v>
      </c>
      <c r="M282" s="341" t="s">
        <v>490</v>
      </c>
      <c r="N282" s="341" t="s">
        <v>491</v>
      </c>
      <c r="O282" s="341" t="s">
        <v>492</v>
      </c>
      <c r="P282" s="341" t="s">
        <v>493</v>
      </c>
      <c r="Q282" s="341" t="s">
        <v>494</v>
      </c>
      <c r="R282" s="341" t="s">
        <v>495</v>
      </c>
      <c r="S282" s="341" t="s">
        <v>496</v>
      </c>
      <c r="T282" s="341" t="s">
        <v>497</v>
      </c>
      <c r="U282" s="341" t="s">
        <v>498</v>
      </c>
      <c r="V282" s="341" t="s">
        <v>499</v>
      </c>
      <c r="W282" s="341" t="s">
        <v>500</v>
      </c>
      <c r="X282" s="341" t="s">
        <v>462</v>
      </c>
      <c r="Y282" s="341" t="s">
        <v>463</v>
      </c>
      <c r="Z282" s="341" t="s">
        <v>464</v>
      </c>
      <c r="AA282" s="341" t="s">
        <v>465</v>
      </c>
      <c r="AB282" s="341" t="s">
        <v>146</v>
      </c>
      <c r="AC282" s="341" t="s">
        <v>148</v>
      </c>
      <c r="AD282" s="341" t="s">
        <v>466</v>
      </c>
      <c r="BF282" s="149"/>
      <c r="BG282"/>
    </row>
    <row r="283" spans="2:59" s="28" customFormat="1" ht="15">
      <c r="B283" s="129"/>
      <c r="C283" s="334" t="s">
        <v>501</v>
      </c>
      <c r="D283" s="334" t="s">
        <v>502</v>
      </c>
      <c r="E283" s="334" t="s">
        <v>503</v>
      </c>
      <c r="F283" s="335" t="s">
        <v>504</v>
      </c>
      <c r="G283" s="335" t="s">
        <v>505</v>
      </c>
      <c r="H283" s="335" t="s">
        <v>506</v>
      </c>
      <c r="I283" s="335" t="s">
        <v>507</v>
      </c>
      <c r="J283" s="335" t="s">
        <v>508</v>
      </c>
      <c r="K283" s="335" t="s">
        <v>509</v>
      </c>
      <c r="L283" s="335" t="s">
        <v>510</v>
      </c>
      <c r="M283" s="335" t="s">
        <v>511</v>
      </c>
      <c r="N283" s="335" t="s">
        <v>512</v>
      </c>
      <c r="O283" s="335" t="s">
        <v>513</v>
      </c>
      <c r="P283" s="335" t="s">
        <v>514</v>
      </c>
      <c r="Q283" s="335" t="s">
        <v>515</v>
      </c>
      <c r="R283" s="335" t="s">
        <v>516</v>
      </c>
      <c r="S283" s="335" t="s">
        <v>517</v>
      </c>
      <c r="T283" s="335" t="s">
        <v>518</v>
      </c>
      <c r="U283" s="335" t="s">
        <v>519</v>
      </c>
      <c r="V283" s="335" t="s">
        <v>520</v>
      </c>
      <c r="W283" s="335" t="s">
        <v>521</v>
      </c>
      <c r="X283" s="335" t="s">
        <v>445</v>
      </c>
      <c r="Y283" s="335" t="s">
        <v>446</v>
      </c>
      <c r="Z283" s="335" t="s">
        <v>447</v>
      </c>
      <c r="AA283" s="335" t="s">
        <v>448</v>
      </c>
      <c r="AB283" s="335" t="s">
        <v>449</v>
      </c>
      <c r="AC283" s="335" t="s">
        <v>450</v>
      </c>
      <c r="AD283" s="335" t="s">
        <v>451</v>
      </c>
      <c r="BF283" s="149"/>
      <c r="BG283"/>
    </row>
    <row r="284" spans="2:59" s="28" customFormat="1" ht="15">
      <c r="B284" s="129"/>
      <c r="C284" s="334" t="s">
        <v>522</v>
      </c>
      <c r="D284" s="334" t="s">
        <v>467</v>
      </c>
      <c r="E284" s="334" t="s">
        <v>467</v>
      </c>
      <c r="F284" s="341" t="s">
        <v>470</v>
      </c>
      <c r="G284" s="341" t="s">
        <v>470</v>
      </c>
      <c r="H284" s="341" t="s">
        <v>470</v>
      </c>
      <c r="I284" s="341" t="s">
        <v>523</v>
      </c>
      <c r="J284" s="341" t="s">
        <v>524</v>
      </c>
      <c r="K284" s="341" t="s">
        <v>525</v>
      </c>
      <c r="L284" s="335" t="s">
        <v>468</v>
      </c>
      <c r="M284" s="341" t="s">
        <v>468</v>
      </c>
      <c r="N284" s="341" t="s">
        <v>526</v>
      </c>
      <c r="O284" s="341" t="s">
        <v>470</v>
      </c>
      <c r="P284" s="341" t="s">
        <v>527</v>
      </c>
      <c r="Q284" s="341" t="s">
        <v>528</v>
      </c>
      <c r="R284" s="341" t="s">
        <v>527</v>
      </c>
      <c r="S284" s="341" t="s">
        <v>472</v>
      </c>
      <c r="T284" s="335" t="s">
        <v>529</v>
      </c>
      <c r="U284" s="341" t="s">
        <v>529</v>
      </c>
      <c r="V284" s="341" t="s">
        <v>530</v>
      </c>
      <c r="W284" s="341" t="s">
        <v>470</v>
      </c>
      <c r="X284" s="341" t="s">
        <v>473</v>
      </c>
      <c r="Y284" s="341" t="s">
        <v>531</v>
      </c>
      <c r="Z284" s="341" t="s">
        <v>475</v>
      </c>
      <c r="AA284" s="341" t="s">
        <v>475</v>
      </c>
      <c r="AB284" s="335" t="s">
        <v>474</v>
      </c>
      <c r="AC284" s="341" t="s">
        <v>475</v>
      </c>
      <c r="AD284" s="341" t="s">
        <v>475</v>
      </c>
      <c r="BF284" s="149"/>
      <c r="BG284"/>
    </row>
    <row r="285" spans="2:59" s="28" customFormat="1" ht="15">
      <c r="B285" s="362" t="s">
        <v>537</v>
      </c>
      <c r="C285" s="406" t="s">
        <v>713</v>
      </c>
      <c r="D285" s="406" t="s">
        <v>648</v>
      </c>
      <c r="E285" s="388" t="s">
        <v>648</v>
      </c>
      <c r="F285" s="406" t="s">
        <v>232</v>
      </c>
      <c r="G285" s="406" t="s">
        <v>533</v>
      </c>
      <c r="H285" s="406" t="s">
        <v>533</v>
      </c>
      <c r="I285" s="406" t="s">
        <v>233</v>
      </c>
      <c r="J285" s="406" t="s">
        <v>714</v>
      </c>
      <c r="K285" s="406" t="s">
        <v>714</v>
      </c>
      <c r="L285" s="406" t="s">
        <v>156</v>
      </c>
      <c r="M285" s="406" t="s">
        <v>535</v>
      </c>
      <c r="N285" s="406"/>
      <c r="O285" s="406" t="s">
        <v>533</v>
      </c>
      <c r="P285" s="406" t="s">
        <v>156</v>
      </c>
      <c r="Q285" s="406" t="s">
        <v>235</v>
      </c>
      <c r="R285" s="406" t="s">
        <v>794</v>
      </c>
      <c r="S285" s="406"/>
      <c r="T285" s="406" t="s">
        <v>795</v>
      </c>
      <c r="U285" s="406" t="s">
        <v>796</v>
      </c>
      <c r="V285" s="406" t="s">
        <v>156</v>
      </c>
      <c r="W285" s="406"/>
      <c r="X285" s="406" t="s">
        <v>534</v>
      </c>
      <c r="Y285" s="406">
        <v>39864.674351851849</v>
      </c>
      <c r="Z285" s="406">
        <v>440393</v>
      </c>
      <c r="AA285" s="406">
        <v>440393</v>
      </c>
      <c r="AB285" s="406">
        <v>40134.391365740739</v>
      </c>
      <c r="AC285" s="406">
        <v>330622</v>
      </c>
      <c r="AD285" s="406">
        <v>330622</v>
      </c>
      <c r="BF285" s="149"/>
      <c r="BG285"/>
    </row>
    <row r="286" spans="2:59" s="28" customFormat="1" ht="15">
      <c r="B286" s="362" t="s">
        <v>537</v>
      </c>
      <c r="C286" s="406" t="s">
        <v>713</v>
      </c>
      <c r="D286" s="406" t="s">
        <v>648</v>
      </c>
      <c r="E286" s="388" t="s">
        <v>718</v>
      </c>
      <c r="F286" s="406" t="s">
        <v>232</v>
      </c>
      <c r="G286" s="406" t="s">
        <v>533</v>
      </c>
      <c r="H286" s="406" t="s">
        <v>533</v>
      </c>
      <c r="I286" s="406" t="s">
        <v>233</v>
      </c>
      <c r="J286" s="406" t="s">
        <v>714</v>
      </c>
      <c r="K286" s="406" t="s">
        <v>714</v>
      </c>
      <c r="L286" s="406" t="s">
        <v>156</v>
      </c>
      <c r="M286" s="406" t="s">
        <v>535</v>
      </c>
      <c r="N286" s="406"/>
      <c r="O286" s="406" t="s">
        <v>533</v>
      </c>
      <c r="P286" s="406" t="s">
        <v>156</v>
      </c>
      <c r="Q286" s="406" t="s">
        <v>235</v>
      </c>
      <c r="R286" s="406" t="s">
        <v>794</v>
      </c>
      <c r="S286" s="406"/>
      <c r="T286" s="406" t="s">
        <v>795</v>
      </c>
      <c r="U286" s="406" t="s">
        <v>796</v>
      </c>
      <c r="V286" s="406" t="s">
        <v>156</v>
      </c>
      <c r="W286" s="406"/>
      <c r="X286" s="406" t="s">
        <v>534</v>
      </c>
      <c r="Y286" s="406">
        <v>39864.674351851849</v>
      </c>
      <c r="Z286" s="406">
        <v>440393</v>
      </c>
      <c r="AA286" s="406">
        <v>440393</v>
      </c>
      <c r="AB286" s="406">
        <v>40134.391365740739</v>
      </c>
      <c r="AC286" s="406">
        <v>330622</v>
      </c>
      <c r="AD286" s="406">
        <v>330622</v>
      </c>
      <c r="BF286" s="149"/>
      <c r="BG286"/>
    </row>
    <row r="287" spans="2:59" s="28" customFormat="1" ht="15">
      <c r="B287" s="362" t="s">
        <v>537</v>
      </c>
      <c r="C287" s="406" t="s">
        <v>713</v>
      </c>
      <c r="D287" s="388" t="s">
        <v>718</v>
      </c>
      <c r="E287" s="388" t="s">
        <v>648</v>
      </c>
      <c r="F287" s="406" t="s">
        <v>232</v>
      </c>
      <c r="G287" s="406" t="s">
        <v>533</v>
      </c>
      <c r="H287" s="406" t="s">
        <v>533</v>
      </c>
      <c r="I287" s="406" t="s">
        <v>233</v>
      </c>
      <c r="J287" s="406" t="s">
        <v>714</v>
      </c>
      <c r="K287" s="406" t="s">
        <v>714</v>
      </c>
      <c r="L287" s="406" t="s">
        <v>156</v>
      </c>
      <c r="M287" s="406" t="s">
        <v>535</v>
      </c>
      <c r="N287" s="406"/>
      <c r="O287" s="406" t="s">
        <v>533</v>
      </c>
      <c r="P287" s="406" t="s">
        <v>156</v>
      </c>
      <c r="Q287" s="406" t="s">
        <v>235</v>
      </c>
      <c r="R287" s="406" t="s">
        <v>794</v>
      </c>
      <c r="S287" s="406"/>
      <c r="T287" s="406" t="s">
        <v>795</v>
      </c>
      <c r="U287" s="406" t="s">
        <v>796</v>
      </c>
      <c r="V287" s="406" t="s">
        <v>156</v>
      </c>
      <c r="W287" s="406"/>
      <c r="X287" s="406" t="s">
        <v>534</v>
      </c>
      <c r="Y287" s="406">
        <v>39864.674351851849</v>
      </c>
      <c r="Z287" s="406">
        <v>440393</v>
      </c>
      <c r="AA287" s="406">
        <v>440393</v>
      </c>
      <c r="AB287" s="406">
        <v>40134.391365740739</v>
      </c>
      <c r="AC287" s="406">
        <v>330622</v>
      </c>
      <c r="AD287" s="406">
        <v>330622</v>
      </c>
      <c r="BF287" s="149"/>
      <c r="BG287"/>
    </row>
    <row r="288" spans="2:59" s="28" customFormat="1" ht="15">
      <c r="B288" s="362" t="s">
        <v>537</v>
      </c>
      <c r="C288" s="406" t="s">
        <v>713</v>
      </c>
      <c r="D288" s="406">
        <v>6206</v>
      </c>
      <c r="E288" s="388" t="s">
        <v>719</v>
      </c>
      <c r="F288" s="406" t="s">
        <v>232</v>
      </c>
      <c r="G288" s="406" t="s">
        <v>533</v>
      </c>
      <c r="H288" s="406" t="s">
        <v>533</v>
      </c>
      <c r="I288" s="406" t="s">
        <v>233</v>
      </c>
      <c r="J288" s="406" t="s">
        <v>714</v>
      </c>
      <c r="K288" s="406" t="s">
        <v>714</v>
      </c>
      <c r="L288" s="406" t="s">
        <v>156</v>
      </c>
      <c r="M288" s="406" t="s">
        <v>535</v>
      </c>
      <c r="N288" s="406"/>
      <c r="O288" s="406" t="s">
        <v>533</v>
      </c>
      <c r="P288" s="406" t="s">
        <v>156</v>
      </c>
      <c r="Q288" s="406" t="s">
        <v>235</v>
      </c>
      <c r="R288" s="406" t="s">
        <v>794</v>
      </c>
      <c r="S288" s="406"/>
      <c r="T288" s="406" t="s">
        <v>795</v>
      </c>
      <c r="U288" s="406" t="s">
        <v>796</v>
      </c>
      <c r="V288" s="406" t="s">
        <v>156</v>
      </c>
      <c r="W288" s="406"/>
      <c r="X288" s="406" t="s">
        <v>534</v>
      </c>
      <c r="Y288" s="406">
        <v>39864.674351851849</v>
      </c>
      <c r="Z288" s="406">
        <v>440393</v>
      </c>
      <c r="AA288" s="406">
        <v>440393</v>
      </c>
      <c r="AB288" s="406">
        <v>40134.391365740739</v>
      </c>
      <c r="AC288" s="406">
        <v>330622</v>
      </c>
      <c r="AD288" s="406">
        <v>330622</v>
      </c>
      <c r="BF288" s="149"/>
      <c r="BG288"/>
    </row>
    <row r="289" spans="2:58">
      <c r="B289" s="366"/>
      <c r="BF289" s="348"/>
    </row>
    <row r="290" spans="2:58" ht="13.5">
      <c r="B290" s="366"/>
      <c r="C290" s="354" t="s">
        <v>153</v>
      </c>
      <c r="BF290" s="348"/>
    </row>
    <row r="291" spans="2:58" ht="13.5">
      <c r="B291" s="366"/>
      <c r="C291" s="354" t="s">
        <v>641</v>
      </c>
      <c r="D291" s="354" t="s">
        <v>642</v>
      </c>
      <c r="E291" s="354" t="s">
        <v>205</v>
      </c>
      <c r="F291" s="354" t="s">
        <v>643</v>
      </c>
      <c r="G291" s="354" t="s">
        <v>644</v>
      </c>
      <c r="BF291" s="348"/>
    </row>
    <row r="292" spans="2:58" ht="13.5">
      <c r="B292" s="366"/>
      <c r="C292" s="354">
        <v>-2</v>
      </c>
      <c r="D292" s="354" t="s">
        <v>156</v>
      </c>
      <c r="E292" s="354" t="s">
        <v>956</v>
      </c>
      <c r="F292" s="354" t="s">
        <v>934</v>
      </c>
      <c r="G292" s="354" t="s">
        <v>677</v>
      </c>
      <c r="BF292" s="348"/>
    </row>
    <row r="293" spans="2:58" ht="13.5" thickBot="1">
      <c r="B293" s="366"/>
      <c r="BF293" s="348"/>
    </row>
    <row r="294" spans="2:58" ht="14" thickBot="1">
      <c r="B294" s="350" t="s">
        <v>802</v>
      </c>
      <c r="C294" s="351" t="s">
        <v>803</v>
      </c>
      <c r="D294" s="351"/>
      <c r="E294" s="351"/>
      <c r="F294" s="351"/>
      <c r="G294" s="351"/>
      <c r="H294" s="351"/>
      <c r="I294" s="351"/>
      <c r="J294" s="351"/>
      <c r="K294" s="351"/>
      <c r="L294" s="351"/>
      <c r="M294" s="351"/>
      <c r="N294" s="351"/>
      <c r="O294" s="351"/>
      <c r="P294" s="351"/>
      <c r="Q294" s="351"/>
      <c r="R294" s="351"/>
      <c r="S294" s="351"/>
      <c r="T294" s="351"/>
      <c r="U294" s="351"/>
      <c r="V294" s="351"/>
      <c r="W294" s="351"/>
      <c r="X294" s="351"/>
      <c r="Y294" s="351"/>
      <c r="Z294" s="351"/>
      <c r="AA294" s="351"/>
      <c r="AB294" s="351"/>
      <c r="AC294" s="351"/>
      <c r="AD294" s="351"/>
      <c r="AE294" s="351"/>
      <c r="AF294" s="351"/>
      <c r="AG294" s="351"/>
      <c r="AH294" s="351"/>
      <c r="AI294" s="351"/>
      <c r="AJ294" s="351"/>
      <c r="AK294" s="351"/>
      <c r="AL294" s="351"/>
      <c r="AM294" s="351"/>
      <c r="AN294" s="351"/>
      <c r="AO294" s="351"/>
      <c r="AP294" s="351"/>
      <c r="AQ294" s="351"/>
      <c r="AR294" s="351"/>
      <c r="AS294" s="351"/>
      <c r="AT294" s="351"/>
      <c r="AU294" s="351"/>
      <c r="AV294" s="351"/>
      <c r="AW294" s="351"/>
      <c r="AX294" s="351"/>
      <c r="AY294" s="351"/>
      <c r="AZ294" s="351"/>
      <c r="BA294" s="351"/>
      <c r="BB294" s="351"/>
      <c r="BC294" s="351"/>
      <c r="BD294" s="351"/>
      <c r="BE294" s="351"/>
      <c r="BF294" s="454"/>
    </row>
    <row r="295" spans="2:58" ht="14" thickBot="1">
      <c r="B295" s="352" t="s">
        <v>986</v>
      </c>
      <c r="C295" s="351" t="s">
        <v>674</v>
      </c>
      <c r="D295" s="351"/>
      <c r="E295" s="351"/>
      <c r="F295" s="351"/>
      <c r="G295" s="351"/>
      <c r="H295" s="351"/>
      <c r="I295" s="351"/>
      <c r="J295" s="351"/>
      <c r="K295" s="351"/>
      <c r="L295" s="351"/>
      <c r="M295" s="351"/>
      <c r="N295" s="351"/>
      <c r="O295" s="351"/>
      <c r="P295" s="351"/>
      <c r="Q295" s="351"/>
      <c r="R295" s="351"/>
      <c r="S295" s="351"/>
      <c r="T295" s="351"/>
      <c r="U295" s="351"/>
      <c r="V295" s="351"/>
      <c r="W295" s="351"/>
      <c r="X295" s="351"/>
      <c r="Y295" s="351"/>
      <c r="Z295" s="351"/>
      <c r="AA295" s="351"/>
      <c r="AB295" s="351"/>
      <c r="AC295" s="351"/>
      <c r="AD295" s="351"/>
      <c r="AE295" s="351"/>
      <c r="AF295" s="351"/>
      <c r="AG295" s="351"/>
      <c r="AH295" s="351"/>
      <c r="AI295" s="351"/>
      <c r="AJ295" s="351"/>
      <c r="AK295" s="351"/>
      <c r="AL295" s="351"/>
      <c r="AM295" s="351"/>
      <c r="AN295" s="351"/>
      <c r="AO295" s="351"/>
      <c r="AP295" s="351"/>
      <c r="AQ295" s="351"/>
      <c r="AR295" s="351"/>
      <c r="AS295" s="351"/>
      <c r="AT295" s="351"/>
      <c r="AU295" s="351"/>
      <c r="AV295" s="351"/>
      <c r="AW295" s="351"/>
      <c r="AX295" s="351"/>
      <c r="AY295" s="351"/>
      <c r="AZ295" s="351"/>
      <c r="BA295" s="351"/>
      <c r="BB295" s="351"/>
      <c r="BC295" s="351"/>
      <c r="BD295" s="351"/>
      <c r="BE295" s="351"/>
      <c r="BF295" s="454"/>
    </row>
    <row r="296" spans="2:58">
      <c r="B296" s="366"/>
      <c r="BF296" s="348"/>
    </row>
    <row r="297" spans="2:58" ht="13.5">
      <c r="B297" s="366"/>
      <c r="C297" s="354" t="s">
        <v>481</v>
      </c>
      <c r="BF297" s="348"/>
    </row>
    <row r="298" spans="2:58" ht="13.5">
      <c r="B298" s="366"/>
      <c r="C298" s="354" t="s">
        <v>804</v>
      </c>
      <c r="BF298" s="348"/>
    </row>
    <row r="299" spans="2:58">
      <c r="B299" s="366"/>
      <c r="BF299" s="348"/>
    </row>
    <row r="300" spans="2:58" ht="15">
      <c r="B300" s="353"/>
      <c r="C300" s="380" t="s">
        <v>452</v>
      </c>
      <c r="D300" s="381"/>
      <c r="E300" s="381"/>
      <c r="F300" s="381"/>
      <c r="G300" s="381"/>
      <c r="H300" s="381"/>
      <c r="I300" s="381"/>
      <c r="J300" s="381"/>
      <c r="K300" s="381"/>
      <c r="L300" s="381"/>
      <c r="M300" s="381"/>
      <c r="N300" s="381"/>
      <c r="O300" s="381"/>
      <c r="P300" s="381"/>
      <c r="Q300" s="381"/>
      <c r="R300" s="381"/>
      <c r="S300" s="381"/>
      <c r="BF300" s="348"/>
    </row>
    <row r="301" spans="2:58" ht="15">
      <c r="B301" s="353"/>
      <c r="D301" s="337"/>
      <c r="E301" s="336" t="s">
        <v>217</v>
      </c>
      <c r="F301" s="337"/>
      <c r="G301" s="337"/>
      <c r="H301" s="337"/>
      <c r="I301" s="338"/>
      <c r="J301" s="338"/>
      <c r="K301" s="338"/>
      <c r="L301" s="338"/>
      <c r="M301" s="338"/>
      <c r="N301" s="338"/>
      <c r="O301" s="338"/>
      <c r="P301" s="338"/>
      <c r="Q301" s="338"/>
      <c r="R301" s="338"/>
      <c r="S301" s="338"/>
      <c r="BF301" s="348"/>
    </row>
    <row r="302" spans="2:58" ht="13.5">
      <c r="B302" s="353"/>
      <c r="C302" s="371" t="s">
        <v>657</v>
      </c>
      <c r="D302" s="335" t="s">
        <v>453</v>
      </c>
      <c r="E302" s="335" t="s">
        <v>454</v>
      </c>
      <c r="F302" s="335" t="s">
        <v>455</v>
      </c>
      <c r="G302" s="335" t="s">
        <v>456</v>
      </c>
      <c r="H302" s="335" t="s">
        <v>457</v>
      </c>
      <c r="I302" s="335" t="s">
        <v>458</v>
      </c>
      <c r="J302" s="339" t="s">
        <v>459</v>
      </c>
      <c r="K302" s="335" t="s">
        <v>460</v>
      </c>
      <c r="L302" s="340" t="s">
        <v>461</v>
      </c>
      <c r="M302" s="341" t="s">
        <v>462</v>
      </c>
      <c r="N302" s="341" t="s">
        <v>463</v>
      </c>
      <c r="O302" s="341" t="s">
        <v>464</v>
      </c>
      <c r="P302" s="341" t="s">
        <v>465</v>
      </c>
      <c r="Q302" s="341" t="s">
        <v>146</v>
      </c>
      <c r="R302" s="341" t="s">
        <v>148</v>
      </c>
      <c r="S302" s="335" t="s">
        <v>466</v>
      </c>
      <c r="BF302" s="348"/>
    </row>
    <row r="303" spans="2:58" ht="13.5">
      <c r="B303" s="353"/>
      <c r="C303" s="335" t="s">
        <v>435</v>
      </c>
      <c r="D303" s="335" t="s">
        <v>436</v>
      </c>
      <c r="E303" s="335" t="s">
        <v>437</v>
      </c>
      <c r="F303" s="335" t="s">
        <v>438</v>
      </c>
      <c r="G303" s="335" t="s">
        <v>439</v>
      </c>
      <c r="H303" s="335" t="s">
        <v>440</v>
      </c>
      <c r="I303" s="335" t="s">
        <v>441</v>
      </c>
      <c r="J303" s="335" t="s">
        <v>442</v>
      </c>
      <c r="K303" s="335" t="s">
        <v>443</v>
      </c>
      <c r="L303" s="335" t="s">
        <v>444</v>
      </c>
      <c r="M303" s="335" t="s">
        <v>445</v>
      </c>
      <c r="N303" s="335" t="s">
        <v>446</v>
      </c>
      <c r="O303" s="335" t="s">
        <v>447</v>
      </c>
      <c r="P303" s="335" t="s">
        <v>448</v>
      </c>
      <c r="Q303" s="335" t="s">
        <v>449</v>
      </c>
      <c r="R303" s="335" t="s">
        <v>450</v>
      </c>
      <c r="S303" s="335" t="s">
        <v>451</v>
      </c>
      <c r="BF303" s="348"/>
    </row>
    <row r="304" spans="2:58" ht="14">
      <c r="B304" s="360"/>
      <c r="C304" s="367" t="s">
        <v>467</v>
      </c>
      <c r="D304" s="368" t="s">
        <v>468</v>
      </c>
      <c r="E304" s="368" t="s">
        <v>468</v>
      </c>
      <c r="F304" s="368" t="s">
        <v>469</v>
      </c>
      <c r="G304" s="368" t="s">
        <v>470</v>
      </c>
      <c r="H304" s="368" t="s">
        <v>468</v>
      </c>
      <c r="I304" s="369" t="s">
        <v>471</v>
      </c>
      <c r="J304" s="368" t="s">
        <v>470</v>
      </c>
      <c r="K304" s="369" t="s">
        <v>470</v>
      </c>
      <c r="L304" s="369" t="s">
        <v>472</v>
      </c>
      <c r="M304" s="370" t="s">
        <v>473</v>
      </c>
      <c r="N304" s="368" t="s">
        <v>474</v>
      </c>
      <c r="O304" s="368" t="s">
        <v>475</v>
      </c>
      <c r="P304" s="369" t="s">
        <v>475</v>
      </c>
      <c r="Q304" s="369" t="s">
        <v>223</v>
      </c>
      <c r="R304" s="370" t="s">
        <v>475</v>
      </c>
      <c r="S304" s="335" t="s">
        <v>475</v>
      </c>
      <c r="BF304" s="348"/>
    </row>
    <row r="305" spans="2:58" ht="14">
      <c r="B305" s="360" t="s">
        <v>532</v>
      </c>
      <c r="C305" s="361" t="s">
        <v>648</v>
      </c>
      <c r="D305" s="361" t="s">
        <v>649</v>
      </c>
      <c r="E305" s="361" t="s">
        <v>650</v>
      </c>
      <c r="F305" s="361" t="s">
        <v>535</v>
      </c>
      <c r="G305" s="361" t="s">
        <v>232</v>
      </c>
      <c r="H305" s="361" t="s">
        <v>651</v>
      </c>
      <c r="I305" s="361" t="s">
        <v>538</v>
      </c>
      <c r="J305" s="361" t="s">
        <v>534</v>
      </c>
      <c r="K305" s="361" t="s">
        <v>534</v>
      </c>
      <c r="L305" s="361" t="s">
        <v>652</v>
      </c>
      <c r="M305" s="361" t="s">
        <v>534</v>
      </c>
      <c r="N305" s="361" t="s">
        <v>653</v>
      </c>
      <c r="O305" s="361" t="s">
        <v>654</v>
      </c>
      <c r="P305" s="361" t="s">
        <v>654</v>
      </c>
      <c r="Q305" s="361" t="s">
        <v>655</v>
      </c>
      <c r="R305" s="361" t="s">
        <v>656</v>
      </c>
      <c r="S305" s="335" t="s">
        <v>656</v>
      </c>
      <c r="BF305" s="348"/>
    </row>
    <row r="306" spans="2:58" ht="14">
      <c r="B306" s="362" t="s">
        <v>537</v>
      </c>
      <c r="C306" s="388" t="s">
        <v>658</v>
      </c>
      <c r="D306" s="361" t="s">
        <v>649</v>
      </c>
      <c r="E306" s="361" t="s">
        <v>659</v>
      </c>
      <c r="F306" s="361" t="s">
        <v>535</v>
      </c>
      <c r="G306" s="361" t="s">
        <v>232</v>
      </c>
      <c r="H306" s="361" t="s">
        <v>651</v>
      </c>
      <c r="I306" s="361" t="s">
        <v>660</v>
      </c>
      <c r="J306" s="361" t="s">
        <v>534</v>
      </c>
      <c r="K306" s="361" t="s">
        <v>534</v>
      </c>
      <c r="L306" s="361" t="s">
        <v>661</v>
      </c>
      <c r="M306" s="361" t="s">
        <v>534</v>
      </c>
      <c r="N306" s="361" t="s">
        <v>653</v>
      </c>
      <c r="O306" s="361" t="s">
        <v>654</v>
      </c>
      <c r="P306" s="361" t="s">
        <v>654</v>
      </c>
      <c r="Q306" s="361" t="s">
        <v>662</v>
      </c>
      <c r="R306" s="361" t="s">
        <v>656</v>
      </c>
      <c r="S306" s="335" t="s">
        <v>656</v>
      </c>
      <c r="BF306" s="348"/>
    </row>
    <row r="307" spans="2:58" ht="14">
      <c r="B307" s="362" t="s">
        <v>537</v>
      </c>
      <c r="C307" s="388" t="s">
        <v>663</v>
      </c>
      <c r="D307" s="361" t="s">
        <v>649</v>
      </c>
      <c r="E307" s="361" t="s">
        <v>650</v>
      </c>
      <c r="F307" s="361" t="s">
        <v>535</v>
      </c>
      <c r="G307" s="361" t="s">
        <v>232</v>
      </c>
      <c r="H307" s="361" t="s">
        <v>651</v>
      </c>
      <c r="I307" s="361" t="s">
        <v>660</v>
      </c>
      <c r="J307" s="361" t="s">
        <v>534</v>
      </c>
      <c r="K307" s="361" t="s">
        <v>534</v>
      </c>
      <c r="L307" s="361" t="s">
        <v>664</v>
      </c>
      <c r="M307" s="361" t="s">
        <v>534</v>
      </c>
      <c r="N307" s="361" t="s">
        <v>665</v>
      </c>
      <c r="O307" s="361" t="s">
        <v>666</v>
      </c>
      <c r="P307" s="361" t="s">
        <v>666</v>
      </c>
      <c r="Q307" s="361" t="s">
        <v>665</v>
      </c>
      <c r="R307" s="361" t="s">
        <v>666</v>
      </c>
      <c r="S307" s="335" t="s">
        <v>666</v>
      </c>
      <c r="BF307" s="348"/>
    </row>
    <row r="308" spans="2:58" ht="14">
      <c r="B308" s="362" t="s">
        <v>537</v>
      </c>
      <c r="C308" s="388" t="s">
        <v>667</v>
      </c>
      <c r="D308" s="361" t="s">
        <v>649</v>
      </c>
      <c r="E308" s="361" t="s">
        <v>650</v>
      </c>
      <c r="F308" s="361" t="s">
        <v>535</v>
      </c>
      <c r="G308" s="361" t="s">
        <v>232</v>
      </c>
      <c r="H308" s="361" t="s">
        <v>651</v>
      </c>
      <c r="I308" s="361" t="s">
        <v>660</v>
      </c>
      <c r="J308" s="361" t="s">
        <v>534</v>
      </c>
      <c r="K308" s="361" t="s">
        <v>534</v>
      </c>
      <c r="L308" s="361" t="s">
        <v>668</v>
      </c>
      <c r="M308" s="361" t="s">
        <v>534</v>
      </c>
      <c r="N308" s="361" t="s">
        <v>653</v>
      </c>
      <c r="O308" s="361" t="s">
        <v>654</v>
      </c>
      <c r="P308" s="361" t="s">
        <v>654</v>
      </c>
      <c r="Q308" s="361" t="s">
        <v>655</v>
      </c>
      <c r="R308" s="361" t="s">
        <v>656</v>
      </c>
      <c r="S308" s="335" t="s">
        <v>656</v>
      </c>
      <c r="BF308" s="348"/>
    </row>
    <row r="309" spans="2:58" ht="14">
      <c r="B309" s="366"/>
      <c r="E309" s="391"/>
      <c r="F309" s="391"/>
      <c r="G309" s="391"/>
      <c r="H309" s="391"/>
      <c r="I309" s="391"/>
      <c r="J309" s="391"/>
      <c r="K309" s="391"/>
      <c r="L309" s="391"/>
      <c r="M309" s="391"/>
      <c r="N309" s="391"/>
      <c r="O309" s="391"/>
      <c r="P309" s="391"/>
      <c r="Q309" s="391"/>
      <c r="BF309" s="348"/>
    </row>
    <row r="310" spans="2:58">
      <c r="B310" s="366"/>
      <c r="C310" s="393" t="s">
        <v>679</v>
      </c>
      <c r="D310" s="394"/>
      <c r="E310" s="394"/>
      <c r="F310" s="394"/>
      <c r="G310" s="394"/>
      <c r="H310" s="394"/>
      <c r="I310" s="394"/>
      <c r="J310" s="394"/>
      <c r="K310" s="394"/>
      <c r="L310" s="394"/>
      <c r="M310" s="394"/>
      <c r="BF310" s="348"/>
    </row>
    <row r="311" spans="2:58" ht="15">
      <c r="B311" s="366"/>
      <c r="C311" s="336"/>
      <c r="D311" s="392"/>
      <c r="E311" s="336"/>
      <c r="F311" s="336" t="s">
        <v>217</v>
      </c>
      <c r="G311" s="392"/>
      <c r="H311" s="392"/>
      <c r="I311" s="392"/>
      <c r="J311" s="392"/>
      <c r="K311" s="392"/>
      <c r="L311" s="392"/>
      <c r="M311" s="392"/>
      <c r="BF311" s="348"/>
    </row>
    <row r="312" spans="2:58">
      <c r="B312" s="366"/>
      <c r="C312" s="371" t="s">
        <v>688</v>
      </c>
      <c r="D312" s="335" t="s">
        <v>682</v>
      </c>
      <c r="E312" s="371" t="s">
        <v>689</v>
      </c>
      <c r="F312" s="335" t="s">
        <v>683</v>
      </c>
      <c r="G312" s="341" t="s">
        <v>462</v>
      </c>
      <c r="H312" s="341" t="s">
        <v>463</v>
      </c>
      <c r="I312" s="341" t="s">
        <v>464</v>
      </c>
      <c r="J312" s="341" t="s">
        <v>465</v>
      </c>
      <c r="K312" s="341" t="s">
        <v>146</v>
      </c>
      <c r="L312" s="341" t="s">
        <v>148</v>
      </c>
      <c r="M312" s="341" t="s">
        <v>466</v>
      </c>
      <c r="BF312" s="348"/>
    </row>
    <row r="313" spans="2:58" ht="14">
      <c r="B313" s="366"/>
      <c r="C313" s="405" t="s">
        <v>690</v>
      </c>
      <c r="D313" s="335" t="s">
        <v>680</v>
      </c>
      <c r="E313" s="405" t="s">
        <v>692</v>
      </c>
      <c r="F313" s="335" t="s">
        <v>681</v>
      </c>
      <c r="G313" s="335" t="s">
        <v>445</v>
      </c>
      <c r="H313" s="335" t="s">
        <v>446</v>
      </c>
      <c r="I313" s="335" t="s">
        <v>447</v>
      </c>
      <c r="J313" s="335" t="s">
        <v>448</v>
      </c>
      <c r="K313" s="335" t="s">
        <v>449</v>
      </c>
      <c r="L313" s="335" t="s">
        <v>450</v>
      </c>
      <c r="M313" s="335" t="s">
        <v>451</v>
      </c>
      <c r="BF313" s="348"/>
    </row>
    <row r="314" spans="2:58" ht="14">
      <c r="B314" s="366"/>
      <c r="C314" s="405" t="s">
        <v>691</v>
      </c>
      <c r="D314" s="367" t="s">
        <v>685</v>
      </c>
      <c r="E314" s="405" t="s">
        <v>693</v>
      </c>
      <c r="F314" s="367" t="s">
        <v>470</v>
      </c>
      <c r="G314" s="367" t="s">
        <v>684</v>
      </c>
      <c r="H314" s="367" t="s">
        <v>474</v>
      </c>
      <c r="I314" s="367" t="s">
        <v>475</v>
      </c>
      <c r="J314" s="367" t="s">
        <v>475</v>
      </c>
      <c r="K314" s="367" t="s">
        <v>223</v>
      </c>
      <c r="L314" s="367" t="s">
        <v>475</v>
      </c>
      <c r="M314" s="367" t="s">
        <v>475</v>
      </c>
      <c r="BF314" s="348"/>
    </row>
    <row r="315" spans="2:58" ht="14">
      <c r="B315" s="362" t="s">
        <v>537</v>
      </c>
      <c r="C315" s="388" t="s">
        <v>700</v>
      </c>
      <c r="D315" s="407" t="s">
        <v>694</v>
      </c>
      <c r="E315" s="407" t="s">
        <v>805</v>
      </c>
      <c r="F315" s="407" t="s">
        <v>232</v>
      </c>
      <c r="G315" s="407" t="s">
        <v>534</v>
      </c>
      <c r="H315" s="410" t="s">
        <v>696</v>
      </c>
      <c r="I315" s="407" t="s">
        <v>697</v>
      </c>
      <c r="J315" s="407" t="s">
        <v>697</v>
      </c>
      <c r="K315" s="407" t="s">
        <v>698</v>
      </c>
      <c r="L315" s="407" t="s">
        <v>699</v>
      </c>
      <c r="M315" s="409" t="s">
        <v>699</v>
      </c>
      <c r="BF315" s="348"/>
    </row>
    <row r="316" spans="2:58" ht="14">
      <c r="B316" s="362" t="s">
        <v>537</v>
      </c>
      <c r="C316" s="388" t="s">
        <v>659</v>
      </c>
      <c r="D316" s="407" t="s">
        <v>694</v>
      </c>
      <c r="E316" s="407" t="s">
        <v>805</v>
      </c>
      <c r="F316" s="407" t="s">
        <v>232</v>
      </c>
      <c r="G316" s="407" t="s">
        <v>534</v>
      </c>
      <c r="H316" s="408" t="s">
        <v>696</v>
      </c>
      <c r="I316" s="407" t="s">
        <v>697</v>
      </c>
      <c r="J316" s="407" t="s">
        <v>697</v>
      </c>
      <c r="K316" s="407" t="s">
        <v>698</v>
      </c>
      <c r="L316" s="407" t="s">
        <v>699</v>
      </c>
      <c r="M316" s="409" t="s">
        <v>699</v>
      </c>
      <c r="BF316" s="348"/>
    </row>
    <row r="317" spans="2:58" ht="14">
      <c r="B317" s="362" t="s">
        <v>537</v>
      </c>
      <c r="C317" s="388" t="s">
        <v>539</v>
      </c>
      <c r="D317" s="407" t="s">
        <v>694</v>
      </c>
      <c r="E317" s="407" t="s">
        <v>805</v>
      </c>
      <c r="F317" s="407" t="s">
        <v>232</v>
      </c>
      <c r="G317" s="407" t="s">
        <v>534</v>
      </c>
      <c r="H317" s="410" t="s">
        <v>696</v>
      </c>
      <c r="I317" s="407" t="s">
        <v>697</v>
      </c>
      <c r="J317" s="407" t="s">
        <v>697</v>
      </c>
      <c r="K317" s="407" t="s">
        <v>698</v>
      </c>
      <c r="L317" s="407" t="s">
        <v>699</v>
      </c>
      <c r="M317" s="409" t="s">
        <v>699</v>
      </c>
      <c r="BF317" s="348"/>
    </row>
    <row r="318" spans="2:58" ht="14">
      <c r="B318" s="360" t="s">
        <v>532</v>
      </c>
      <c r="C318" s="406" t="s">
        <v>650</v>
      </c>
      <c r="D318" s="406" t="s">
        <v>694</v>
      </c>
      <c r="E318" s="406" t="s">
        <v>805</v>
      </c>
      <c r="F318" s="469" t="s">
        <v>232</v>
      </c>
      <c r="G318" s="406" t="s">
        <v>534</v>
      </c>
      <c r="H318" s="406" t="s">
        <v>696</v>
      </c>
      <c r="I318" s="406" t="s">
        <v>697</v>
      </c>
      <c r="J318" s="406" t="s">
        <v>697</v>
      </c>
      <c r="K318" s="406" t="s">
        <v>698</v>
      </c>
      <c r="L318" s="406" t="s">
        <v>699</v>
      </c>
      <c r="M318" s="406" t="s">
        <v>699</v>
      </c>
      <c r="BF318" s="348"/>
    </row>
    <row r="319" spans="2:58">
      <c r="B319" s="366"/>
      <c r="BF319" s="348"/>
    </row>
    <row r="320" spans="2:58" ht="13.5">
      <c r="B320" s="366"/>
      <c r="C320" s="354" t="s">
        <v>153</v>
      </c>
      <c r="D320" s="354"/>
      <c r="E320" s="354"/>
      <c r="F320" s="354"/>
      <c r="G320" s="354"/>
      <c r="BF320" s="348"/>
    </row>
    <row r="321" spans="2:58" ht="13.5">
      <c r="B321" s="366"/>
      <c r="C321" s="354" t="s">
        <v>641</v>
      </c>
      <c r="D321" s="354" t="s">
        <v>642</v>
      </c>
      <c r="E321" s="354" t="s">
        <v>205</v>
      </c>
      <c r="F321" s="354" t="s">
        <v>643</v>
      </c>
      <c r="G321" s="354" t="s">
        <v>644</v>
      </c>
      <c r="BF321" s="348"/>
    </row>
    <row r="322" spans="2:58" ht="13.5">
      <c r="B322" s="366"/>
      <c r="C322" s="354">
        <v>-2</v>
      </c>
      <c r="D322" s="354" t="s">
        <v>156</v>
      </c>
      <c r="E322" s="354" t="s">
        <v>958</v>
      </c>
      <c r="F322" s="354" t="s">
        <v>935</v>
      </c>
      <c r="G322" s="354" t="s">
        <v>677</v>
      </c>
      <c r="BF322" s="348"/>
    </row>
    <row r="323" spans="2:58" ht="13.5" thickBot="1">
      <c r="B323" s="366"/>
      <c r="BF323" s="348"/>
    </row>
    <row r="324" spans="2:58" ht="14" thickBot="1">
      <c r="B324" s="350" t="s">
        <v>807</v>
      </c>
      <c r="C324" s="351" t="s">
        <v>808</v>
      </c>
      <c r="D324" s="351"/>
      <c r="E324" s="351"/>
      <c r="F324" s="351"/>
      <c r="G324" s="351"/>
      <c r="H324" s="351"/>
      <c r="I324" s="351"/>
      <c r="J324" s="351"/>
      <c r="K324" s="351"/>
      <c r="L324" s="351"/>
      <c r="M324" s="351"/>
      <c r="N324" s="351"/>
      <c r="O324" s="351"/>
      <c r="P324" s="351"/>
      <c r="Q324" s="351"/>
      <c r="R324" s="351"/>
      <c r="S324" s="351"/>
      <c r="T324" s="351"/>
      <c r="U324" s="351"/>
      <c r="V324" s="351"/>
      <c r="W324" s="351"/>
      <c r="X324" s="351"/>
      <c r="Y324" s="351"/>
      <c r="Z324" s="351"/>
      <c r="AA324" s="351"/>
      <c r="AB324" s="351"/>
      <c r="AC324" s="351"/>
      <c r="AD324" s="351"/>
      <c r="AE324" s="351"/>
      <c r="AF324" s="351"/>
      <c r="AG324" s="351"/>
      <c r="AH324" s="351"/>
      <c r="AI324" s="351"/>
      <c r="AJ324" s="351"/>
      <c r="AK324" s="351"/>
      <c r="AL324" s="351"/>
      <c r="AM324" s="351"/>
      <c r="AN324" s="351"/>
      <c r="AO324" s="351"/>
      <c r="AP324" s="351"/>
      <c r="AQ324" s="351"/>
      <c r="AR324" s="351"/>
      <c r="AS324" s="351"/>
      <c r="AT324" s="351"/>
      <c r="AU324" s="351"/>
      <c r="AV324" s="351"/>
      <c r="AW324" s="351"/>
      <c r="AX324" s="351"/>
      <c r="AY324" s="351"/>
      <c r="AZ324" s="351"/>
      <c r="BA324" s="351"/>
      <c r="BB324" s="351"/>
      <c r="BC324" s="351"/>
      <c r="BD324" s="351"/>
      <c r="BE324" s="351"/>
      <c r="BF324" s="454"/>
    </row>
    <row r="325" spans="2:58" ht="14" thickBot="1">
      <c r="B325" s="352" t="s">
        <v>986</v>
      </c>
      <c r="C325" s="351" t="s">
        <v>674</v>
      </c>
      <c r="D325" s="351"/>
      <c r="E325" s="351"/>
      <c r="F325" s="351"/>
      <c r="G325" s="351"/>
      <c r="H325" s="351"/>
      <c r="I325" s="351"/>
      <c r="J325" s="351"/>
      <c r="K325" s="351"/>
      <c r="L325" s="351"/>
      <c r="M325" s="351"/>
      <c r="N325" s="351"/>
      <c r="O325" s="351"/>
      <c r="P325" s="351"/>
      <c r="Q325" s="351"/>
      <c r="R325" s="351"/>
      <c r="S325" s="351"/>
      <c r="T325" s="351"/>
      <c r="U325" s="351"/>
      <c r="V325" s="351"/>
      <c r="W325" s="351"/>
      <c r="X325" s="351"/>
      <c r="Y325" s="351"/>
      <c r="Z325" s="351"/>
      <c r="AA325" s="351"/>
      <c r="AB325" s="351"/>
      <c r="AC325" s="351"/>
      <c r="AD325" s="351"/>
      <c r="AE325" s="351"/>
      <c r="AF325" s="351"/>
      <c r="AG325" s="351"/>
      <c r="AH325" s="351"/>
      <c r="AI325" s="351"/>
      <c r="AJ325" s="351"/>
      <c r="AK325" s="351"/>
      <c r="AL325" s="351"/>
      <c r="AM325" s="351"/>
      <c r="AN325" s="351"/>
      <c r="AO325" s="351"/>
      <c r="AP325" s="351"/>
      <c r="AQ325" s="351"/>
      <c r="AR325" s="351"/>
      <c r="AS325" s="351"/>
      <c r="AT325" s="351"/>
      <c r="AU325" s="351"/>
      <c r="AV325" s="351"/>
      <c r="AW325" s="351"/>
      <c r="AX325" s="351"/>
      <c r="AY325" s="351"/>
      <c r="AZ325" s="351"/>
      <c r="BA325" s="351"/>
      <c r="BB325" s="351"/>
      <c r="BC325" s="351"/>
      <c r="BD325" s="351"/>
      <c r="BE325" s="351"/>
      <c r="BF325" s="454"/>
    </row>
    <row r="326" spans="2:58">
      <c r="B326" s="366"/>
      <c r="BF326" s="348"/>
    </row>
    <row r="327" spans="2:58" ht="13.5">
      <c r="B327" s="366"/>
      <c r="C327" s="354" t="s">
        <v>481</v>
      </c>
      <c r="BF327" s="348"/>
    </row>
    <row r="328" spans="2:58" ht="13.5">
      <c r="B328" s="366"/>
      <c r="C328" s="354" t="s">
        <v>818</v>
      </c>
      <c r="BF328" s="348"/>
    </row>
    <row r="329" spans="2:58">
      <c r="B329" s="366"/>
      <c r="BF329" s="348"/>
    </row>
    <row r="330" spans="2:58" ht="15">
      <c r="B330" s="353"/>
      <c r="C330" s="380" t="s">
        <v>452</v>
      </c>
      <c r="D330" s="381"/>
      <c r="E330" s="381"/>
      <c r="F330" s="381"/>
      <c r="G330" s="381"/>
      <c r="H330" s="381"/>
      <c r="I330" s="381"/>
      <c r="J330" s="381"/>
      <c r="K330" s="381"/>
      <c r="L330" s="381"/>
      <c r="M330" s="381"/>
      <c r="N330" s="381"/>
      <c r="O330" s="381"/>
      <c r="P330" s="381"/>
      <c r="Q330" s="381"/>
      <c r="R330" s="381"/>
      <c r="S330" s="381"/>
      <c r="BF330" s="348"/>
    </row>
    <row r="331" spans="2:58" ht="15">
      <c r="B331" s="353"/>
      <c r="D331" s="337"/>
      <c r="E331" s="336" t="s">
        <v>217</v>
      </c>
      <c r="F331" s="337"/>
      <c r="G331" s="337"/>
      <c r="H331" s="337"/>
      <c r="I331" s="338"/>
      <c r="J331" s="338"/>
      <c r="K331" s="338"/>
      <c r="L331" s="338"/>
      <c r="M331" s="338"/>
      <c r="N331" s="338"/>
      <c r="O331" s="338"/>
      <c r="P331" s="338"/>
      <c r="Q331" s="338"/>
      <c r="R331" s="338"/>
      <c r="S331" s="338"/>
      <c r="BF331" s="348"/>
    </row>
    <row r="332" spans="2:58" ht="13.5">
      <c r="B332" s="353"/>
      <c r="C332" s="371" t="s">
        <v>657</v>
      </c>
      <c r="D332" s="335" t="s">
        <v>453</v>
      </c>
      <c r="E332" s="335" t="s">
        <v>454</v>
      </c>
      <c r="F332" s="335" t="s">
        <v>455</v>
      </c>
      <c r="G332" s="335" t="s">
        <v>456</v>
      </c>
      <c r="H332" s="335" t="s">
        <v>457</v>
      </c>
      <c r="I332" s="335" t="s">
        <v>458</v>
      </c>
      <c r="J332" s="339" t="s">
        <v>459</v>
      </c>
      <c r="K332" s="335" t="s">
        <v>460</v>
      </c>
      <c r="L332" s="340" t="s">
        <v>461</v>
      </c>
      <c r="M332" s="341" t="s">
        <v>462</v>
      </c>
      <c r="N332" s="341" t="s">
        <v>463</v>
      </c>
      <c r="O332" s="341" t="s">
        <v>464</v>
      </c>
      <c r="P332" s="341" t="s">
        <v>465</v>
      </c>
      <c r="Q332" s="341" t="s">
        <v>146</v>
      </c>
      <c r="R332" s="341" t="s">
        <v>148</v>
      </c>
      <c r="S332" s="335" t="s">
        <v>466</v>
      </c>
      <c r="BF332" s="348"/>
    </row>
    <row r="333" spans="2:58" ht="13.5">
      <c r="B333" s="353"/>
      <c r="C333" s="335" t="s">
        <v>435</v>
      </c>
      <c r="D333" s="335" t="s">
        <v>436</v>
      </c>
      <c r="E333" s="335" t="s">
        <v>437</v>
      </c>
      <c r="F333" s="335" t="s">
        <v>438</v>
      </c>
      <c r="G333" s="335" t="s">
        <v>439</v>
      </c>
      <c r="H333" s="335" t="s">
        <v>440</v>
      </c>
      <c r="I333" s="335" t="s">
        <v>441</v>
      </c>
      <c r="J333" s="335" t="s">
        <v>442</v>
      </c>
      <c r="K333" s="335" t="s">
        <v>443</v>
      </c>
      <c r="L333" s="335" t="s">
        <v>444</v>
      </c>
      <c r="M333" s="335" t="s">
        <v>445</v>
      </c>
      <c r="N333" s="335" t="s">
        <v>446</v>
      </c>
      <c r="O333" s="335" t="s">
        <v>447</v>
      </c>
      <c r="P333" s="335" t="s">
        <v>448</v>
      </c>
      <c r="Q333" s="335" t="s">
        <v>449</v>
      </c>
      <c r="R333" s="335" t="s">
        <v>450</v>
      </c>
      <c r="S333" s="335" t="s">
        <v>451</v>
      </c>
      <c r="BF333" s="348"/>
    </row>
    <row r="334" spans="2:58" ht="14">
      <c r="B334" s="360"/>
      <c r="C334" s="367" t="s">
        <v>467</v>
      </c>
      <c r="D334" s="368" t="s">
        <v>468</v>
      </c>
      <c r="E334" s="368" t="s">
        <v>468</v>
      </c>
      <c r="F334" s="368" t="s">
        <v>469</v>
      </c>
      <c r="G334" s="368" t="s">
        <v>470</v>
      </c>
      <c r="H334" s="368" t="s">
        <v>468</v>
      </c>
      <c r="I334" s="369" t="s">
        <v>471</v>
      </c>
      <c r="J334" s="368" t="s">
        <v>470</v>
      </c>
      <c r="K334" s="369" t="s">
        <v>470</v>
      </c>
      <c r="L334" s="369" t="s">
        <v>472</v>
      </c>
      <c r="M334" s="370" t="s">
        <v>473</v>
      </c>
      <c r="N334" s="368" t="s">
        <v>474</v>
      </c>
      <c r="O334" s="368" t="s">
        <v>475</v>
      </c>
      <c r="P334" s="369" t="s">
        <v>475</v>
      </c>
      <c r="Q334" s="369" t="s">
        <v>223</v>
      </c>
      <c r="R334" s="370" t="s">
        <v>475</v>
      </c>
      <c r="S334" s="335" t="s">
        <v>475</v>
      </c>
      <c r="BF334" s="348"/>
    </row>
    <row r="335" spans="2:58" ht="14">
      <c r="B335" s="360" t="s">
        <v>532</v>
      </c>
      <c r="C335" s="361" t="s">
        <v>648</v>
      </c>
      <c r="D335" s="361" t="s">
        <v>649</v>
      </c>
      <c r="E335" s="361" t="s">
        <v>650</v>
      </c>
      <c r="F335" s="361" t="s">
        <v>535</v>
      </c>
      <c r="G335" s="361" t="s">
        <v>232</v>
      </c>
      <c r="H335" s="361" t="s">
        <v>651</v>
      </c>
      <c r="I335" s="361" t="s">
        <v>538</v>
      </c>
      <c r="J335" s="361" t="s">
        <v>534</v>
      </c>
      <c r="K335" s="361" t="s">
        <v>534</v>
      </c>
      <c r="L335" s="361" t="s">
        <v>652</v>
      </c>
      <c r="M335" s="361" t="s">
        <v>534</v>
      </c>
      <c r="N335" s="361" t="s">
        <v>653</v>
      </c>
      <c r="O335" s="361" t="s">
        <v>654</v>
      </c>
      <c r="P335" s="361" t="s">
        <v>654</v>
      </c>
      <c r="Q335" s="361" t="s">
        <v>655</v>
      </c>
      <c r="R335" s="361" t="s">
        <v>656</v>
      </c>
      <c r="S335" s="335" t="s">
        <v>656</v>
      </c>
      <c r="BF335" s="348"/>
    </row>
    <row r="336" spans="2:58" ht="14">
      <c r="B336" s="362" t="s">
        <v>537</v>
      </c>
      <c r="C336" s="388" t="s">
        <v>658</v>
      </c>
      <c r="D336" s="361" t="s">
        <v>649</v>
      </c>
      <c r="E336" s="361" t="s">
        <v>659</v>
      </c>
      <c r="F336" s="361" t="s">
        <v>535</v>
      </c>
      <c r="G336" s="361" t="s">
        <v>232</v>
      </c>
      <c r="H336" s="361" t="s">
        <v>651</v>
      </c>
      <c r="I336" s="361" t="s">
        <v>660</v>
      </c>
      <c r="J336" s="361" t="s">
        <v>534</v>
      </c>
      <c r="K336" s="361" t="s">
        <v>534</v>
      </c>
      <c r="L336" s="361" t="s">
        <v>661</v>
      </c>
      <c r="M336" s="361" t="s">
        <v>534</v>
      </c>
      <c r="N336" s="361" t="s">
        <v>653</v>
      </c>
      <c r="O336" s="361" t="s">
        <v>654</v>
      </c>
      <c r="P336" s="361" t="s">
        <v>654</v>
      </c>
      <c r="Q336" s="361" t="s">
        <v>662</v>
      </c>
      <c r="R336" s="361" t="s">
        <v>656</v>
      </c>
      <c r="S336" s="335" t="s">
        <v>656</v>
      </c>
      <c r="BF336" s="348"/>
    </row>
    <row r="337" spans="2:58" ht="14">
      <c r="B337" s="362" t="s">
        <v>537</v>
      </c>
      <c r="C337" s="388" t="s">
        <v>663</v>
      </c>
      <c r="D337" s="361" t="s">
        <v>649</v>
      </c>
      <c r="E337" s="361" t="s">
        <v>650</v>
      </c>
      <c r="F337" s="361" t="s">
        <v>535</v>
      </c>
      <c r="G337" s="361" t="s">
        <v>232</v>
      </c>
      <c r="H337" s="361" t="s">
        <v>651</v>
      </c>
      <c r="I337" s="361" t="s">
        <v>660</v>
      </c>
      <c r="J337" s="361" t="s">
        <v>534</v>
      </c>
      <c r="K337" s="361" t="s">
        <v>534</v>
      </c>
      <c r="L337" s="361" t="s">
        <v>664</v>
      </c>
      <c r="M337" s="361" t="s">
        <v>534</v>
      </c>
      <c r="N337" s="361" t="s">
        <v>665</v>
      </c>
      <c r="O337" s="361" t="s">
        <v>666</v>
      </c>
      <c r="P337" s="361" t="s">
        <v>666</v>
      </c>
      <c r="Q337" s="361" t="s">
        <v>665</v>
      </c>
      <c r="R337" s="361" t="s">
        <v>666</v>
      </c>
      <c r="S337" s="335" t="s">
        <v>666</v>
      </c>
      <c r="BF337" s="348"/>
    </row>
    <row r="338" spans="2:58" ht="14">
      <c r="B338" s="362" t="s">
        <v>537</v>
      </c>
      <c r="C338" s="388" t="s">
        <v>667</v>
      </c>
      <c r="D338" s="361" t="s">
        <v>649</v>
      </c>
      <c r="E338" s="361" t="s">
        <v>650</v>
      </c>
      <c r="F338" s="361" t="s">
        <v>535</v>
      </c>
      <c r="G338" s="361" t="s">
        <v>232</v>
      </c>
      <c r="H338" s="361" t="s">
        <v>651</v>
      </c>
      <c r="I338" s="361" t="s">
        <v>660</v>
      </c>
      <c r="J338" s="361" t="s">
        <v>534</v>
      </c>
      <c r="K338" s="361" t="s">
        <v>534</v>
      </c>
      <c r="L338" s="361" t="s">
        <v>668</v>
      </c>
      <c r="M338" s="361" t="s">
        <v>534</v>
      </c>
      <c r="N338" s="361" t="s">
        <v>653</v>
      </c>
      <c r="O338" s="361" t="s">
        <v>654</v>
      </c>
      <c r="P338" s="361" t="s">
        <v>654</v>
      </c>
      <c r="Q338" s="361" t="s">
        <v>655</v>
      </c>
      <c r="R338" s="361" t="s">
        <v>656</v>
      </c>
      <c r="S338" s="335" t="s">
        <v>656</v>
      </c>
      <c r="BF338" s="348"/>
    </row>
    <row r="339" spans="2:58" ht="14">
      <c r="B339" s="366"/>
      <c r="E339" s="391"/>
      <c r="F339" s="391"/>
      <c r="G339" s="391"/>
      <c r="H339" s="391"/>
      <c r="I339" s="391"/>
      <c r="J339" s="391"/>
      <c r="K339" s="391"/>
      <c r="L339" s="391"/>
      <c r="M339" s="391"/>
      <c r="N339" s="391"/>
      <c r="O339" s="391"/>
      <c r="P339" s="391"/>
      <c r="Q339" s="391"/>
      <c r="R339" s="391"/>
      <c r="S339" s="375"/>
      <c r="BF339" s="348"/>
    </row>
    <row r="340" spans="2:58">
      <c r="B340" s="366"/>
      <c r="C340" s="393" t="s">
        <v>679</v>
      </c>
      <c r="D340" s="394"/>
      <c r="E340" s="394"/>
      <c r="F340" s="394"/>
      <c r="G340" s="394"/>
      <c r="H340" s="394"/>
      <c r="I340" s="394"/>
      <c r="J340" s="394"/>
      <c r="K340" s="394"/>
      <c r="L340" s="394"/>
      <c r="M340" s="394"/>
      <c r="BF340" s="348"/>
    </row>
    <row r="341" spans="2:58" ht="15">
      <c r="B341" s="366"/>
      <c r="C341" s="336"/>
      <c r="D341" s="392"/>
      <c r="E341" s="336"/>
      <c r="F341" s="336" t="s">
        <v>217</v>
      </c>
      <c r="G341" s="392"/>
      <c r="H341" s="392"/>
      <c r="I341" s="392"/>
      <c r="J341" s="392"/>
      <c r="K341" s="392"/>
      <c r="L341" s="392"/>
      <c r="M341" s="392"/>
      <c r="BF341" s="348"/>
    </row>
    <row r="342" spans="2:58">
      <c r="B342" s="366"/>
      <c r="C342" s="371" t="s">
        <v>688</v>
      </c>
      <c r="D342" s="335" t="s">
        <v>682</v>
      </c>
      <c r="E342" s="371" t="s">
        <v>689</v>
      </c>
      <c r="F342" s="335" t="s">
        <v>683</v>
      </c>
      <c r="G342" s="341" t="s">
        <v>462</v>
      </c>
      <c r="H342" s="341" t="s">
        <v>463</v>
      </c>
      <c r="I342" s="341" t="s">
        <v>464</v>
      </c>
      <c r="J342" s="341" t="s">
        <v>465</v>
      </c>
      <c r="K342" s="341" t="s">
        <v>146</v>
      </c>
      <c r="L342" s="341" t="s">
        <v>148</v>
      </c>
      <c r="M342" s="341" t="s">
        <v>466</v>
      </c>
      <c r="BF342" s="348"/>
    </row>
    <row r="343" spans="2:58" ht="14">
      <c r="B343" s="366"/>
      <c r="C343" s="405" t="s">
        <v>690</v>
      </c>
      <c r="D343" s="335" t="s">
        <v>680</v>
      </c>
      <c r="E343" s="405" t="s">
        <v>692</v>
      </c>
      <c r="F343" s="335" t="s">
        <v>681</v>
      </c>
      <c r="G343" s="335" t="s">
        <v>445</v>
      </c>
      <c r="H343" s="335" t="s">
        <v>446</v>
      </c>
      <c r="I343" s="335" t="s">
        <v>447</v>
      </c>
      <c r="J343" s="335" t="s">
        <v>448</v>
      </c>
      <c r="K343" s="335" t="s">
        <v>449</v>
      </c>
      <c r="L343" s="335" t="s">
        <v>450</v>
      </c>
      <c r="M343" s="335" t="s">
        <v>451</v>
      </c>
      <c r="BF343" s="348"/>
    </row>
    <row r="344" spans="2:58" ht="14">
      <c r="B344" s="366"/>
      <c r="C344" s="405" t="s">
        <v>691</v>
      </c>
      <c r="D344" s="367" t="s">
        <v>685</v>
      </c>
      <c r="E344" s="405" t="s">
        <v>693</v>
      </c>
      <c r="F344" s="367" t="s">
        <v>470</v>
      </c>
      <c r="G344" s="367" t="s">
        <v>684</v>
      </c>
      <c r="H344" s="367" t="s">
        <v>474</v>
      </c>
      <c r="I344" s="367" t="s">
        <v>475</v>
      </c>
      <c r="J344" s="367" t="s">
        <v>475</v>
      </c>
      <c r="K344" s="367" t="s">
        <v>223</v>
      </c>
      <c r="L344" s="367" t="s">
        <v>475</v>
      </c>
      <c r="M344" s="367" t="s">
        <v>475</v>
      </c>
      <c r="BF344" s="348"/>
    </row>
    <row r="345" spans="2:58" ht="14">
      <c r="B345" s="362" t="s">
        <v>537</v>
      </c>
      <c r="C345" s="406" t="s">
        <v>650</v>
      </c>
      <c r="D345" s="406" t="s">
        <v>694</v>
      </c>
      <c r="E345" s="388" t="s">
        <v>805</v>
      </c>
      <c r="F345" s="406" t="s">
        <v>232</v>
      </c>
      <c r="G345" s="406" t="s">
        <v>534</v>
      </c>
      <c r="H345" s="406" t="s">
        <v>696</v>
      </c>
      <c r="I345" s="406" t="s">
        <v>697</v>
      </c>
      <c r="J345" s="406" t="s">
        <v>697</v>
      </c>
      <c r="K345" s="406" t="s">
        <v>698</v>
      </c>
      <c r="L345" s="406" t="s">
        <v>699</v>
      </c>
      <c r="M345" s="406" t="s">
        <v>699</v>
      </c>
      <c r="BF345" s="348"/>
    </row>
    <row r="346" spans="2:58" ht="14">
      <c r="B346" s="360" t="s">
        <v>532</v>
      </c>
      <c r="C346" s="411" t="s">
        <v>650</v>
      </c>
      <c r="D346" s="411" t="s">
        <v>809</v>
      </c>
      <c r="E346" s="411" t="s">
        <v>810</v>
      </c>
      <c r="F346" s="470" t="s">
        <v>232</v>
      </c>
      <c r="G346" s="411" t="s">
        <v>534</v>
      </c>
      <c r="H346" s="411" t="s">
        <v>696</v>
      </c>
      <c r="I346" s="411" t="s">
        <v>697</v>
      </c>
      <c r="J346" s="411" t="s">
        <v>697</v>
      </c>
      <c r="K346" s="411" t="s">
        <v>698</v>
      </c>
      <c r="L346" s="411" t="s">
        <v>699</v>
      </c>
      <c r="M346" s="411" t="s">
        <v>699</v>
      </c>
      <c r="BF346" s="348"/>
    </row>
    <row r="347" spans="2:58" ht="14">
      <c r="B347" s="362" t="s">
        <v>537</v>
      </c>
      <c r="C347" s="411" t="s">
        <v>650</v>
      </c>
      <c r="D347" s="411" t="s">
        <v>809</v>
      </c>
      <c r="E347" s="388" t="s">
        <v>811</v>
      </c>
      <c r="F347" s="411" t="s">
        <v>232</v>
      </c>
      <c r="G347" s="411" t="s">
        <v>534</v>
      </c>
      <c r="H347" s="411" t="s">
        <v>696</v>
      </c>
      <c r="I347" s="411" t="s">
        <v>697</v>
      </c>
      <c r="J347" s="411" t="s">
        <v>697</v>
      </c>
      <c r="K347" s="411" t="s">
        <v>698</v>
      </c>
      <c r="L347" s="411" t="s">
        <v>699</v>
      </c>
      <c r="M347" s="411" t="s">
        <v>699</v>
      </c>
      <c r="BF347" s="348"/>
    </row>
    <row r="348" spans="2:58" ht="14">
      <c r="B348" s="362" t="s">
        <v>537</v>
      </c>
      <c r="C348" s="411" t="s">
        <v>650</v>
      </c>
      <c r="D348" s="411" t="s">
        <v>809</v>
      </c>
      <c r="E348" s="388" t="s">
        <v>812</v>
      </c>
      <c r="F348" s="411" t="s">
        <v>534</v>
      </c>
      <c r="G348" s="411" t="s">
        <v>534</v>
      </c>
      <c r="H348" s="411" t="s">
        <v>696</v>
      </c>
      <c r="I348" s="411" t="s">
        <v>697</v>
      </c>
      <c r="J348" s="411" t="s">
        <v>697</v>
      </c>
      <c r="K348" s="411" t="s">
        <v>698</v>
      </c>
      <c r="L348" s="411" t="s">
        <v>699</v>
      </c>
      <c r="M348" s="411" t="s">
        <v>699</v>
      </c>
      <c r="BF348" s="348"/>
    </row>
    <row r="349" spans="2:58" ht="14">
      <c r="B349" s="362" t="s">
        <v>537</v>
      </c>
      <c r="C349" s="411" t="s">
        <v>650</v>
      </c>
      <c r="D349" s="411" t="s">
        <v>809</v>
      </c>
      <c r="E349" s="388" t="s">
        <v>813</v>
      </c>
      <c r="F349" s="411" t="s">
        <v>534</v>
      </c>
      <c r="G349" s="411" t="s">
        <v>534</v>
      </c>
      <c r="H349" s="411" t="s">
        <v>696</v>
      </c>
      <c r="I349" s="411" t="s">
        <v>697</v>
      </c>
      <c r="J349" s="411" t="s">
        <v>697</v>
      </c>
      <c r="K349" s="411" t="s">
        <v>698</v>
      </c>
      <c r="L349" s="411" t="s">
        <v>699</v>
      </c>
      <c r="M349" s="411" t="s">
        <v>699</v>
      </c>
      <c r="BF349" s="348"/>
    </row>
    <row r="350" spans="2:58">
      <c r="B350" s="366"/>
      <c r="BF350" s="348"/>
    </row>
    <row r="351" spans="2:58" ht="13.5">
      <c r="B351" s="366"/>
      <c r="C351" s="354" t="s">
        <v>153</v>
      </c>
      <c r="BF351" s="348"/>
    </row>
    <row r="352" spans="2:58" ht="13.5">
      <c r="B352" s="366"/>
      <c r="C352" s="354" t="s">
        <v>641</v>
      </c>
      <c r="D352" s="354" t="s">
        <v>642</v>
      </c>
      <c r="E352" s="354" t="s">
        <v>205</v>
      </c>
      <c r="F352" s="354" t="s">
        <v>643</v>
      </c>
      <c r="G352" s="354" t="s">
        <v>644</v>
      </c>
      <c r="BF352" s="348"/>
    </row>
    <row r="353" spans="1:59" ht="13.5">
      <c r="B353" s="366"/>
      <c r="C353" s="354">
        <v>-2</v>
      </c>
      <c r="D353" s="354" t="s">
        <v>156</v>
      </c>
      <c r="E353" s="354" t="s">
        <v>960</v>
      </c>
      <c r="F353" s="354" t="s">
        <v>936</v>
      </c>
      <c r="G353" s="354" t="s">
        <v>677</v>
      </c>
      <c r="BF353" s="348"/>
    </row>
    <row r="354" spans="1:59" ht="13.5" thickBot="1">
      <c r="B354" s="366"/>
      <c r="BF354" s="348"/>
    </row>
    <row r="355" spans="1:59" ht="14" thickBot="1">
      <c r="B355" s="350" t="s">
        <v>820</v>
      </c>
      <c r="C355" s="351" t="s">
        <v>821</v>
      </c>
      <c r="D355" s="351"/>
      <c r="E355" s="351"/>
      <c r="F355" s="351"/>
      <c r="G355" s="351"/>
      <c r="H355" s="351"/>
      <c r="I355" s="351"/>
      <c r="J355" s="351"/>
      <c r="K355" s="351"/>
      <c r="L355" s="351"/>
      <c r="M355" s="351"/>
      <c r="N355" s="351"/>
      <c r="O355" s="351"/>
      <c r="P355" s="351"/>
      <c r="Q355" s="351"/>
      <c r="R355" s="351"/>
      <c r="S355" s="351"/>
      <c r="T355" s="351"/>
      <c r="U355" s="351"/>
      <c r="V355" s="351"/>
      <c r="W355" s="351"/>
      <c r="X355" s="351"/>
      <c r="Y355" s="351"/>
      <c r="Z355" s="351"/>
      <c r="AA355" s="351"/>
      <c r="AB355" s="351"/>
      <c r="AC355" s="351"/>
      <c r="AD355" s="351"/>
      <c r="AE355" s="351"/>
      <c r="AF355" s="351"/>
      <c r="AG355" s="351"/>
      <c r="AH355" s="351"/>
      <c r="AI355" s="351"/>
      <c r="AJ355" s="351"/>
      <c r="AK355" s="351"/>
      <c r="AL355" s="351"/>
      <c r="AM355" s="351"/>
      <c r="AN355" s="351"/>
      <c r="AO355" s="351"/>
      <c r="AP355" s="351"/>
      <c r="AQ355" s="351"/>
      <c r="AR355" s="351"/>
      <c r="AS355" s="351"/>
      <c r="AT355" s="351"/>
      <c r="AU355" s="351"/>
      <c r="AV355" s="351"/>
      <c r="AW355" s="351"/>
      <c r="AX355" s="351"/>
      <c r="AY355" s="351"/>
      <c r="AZ355" s="351"/>
      <c r="BA355" s="351"/>
      <c r="BB355" s="351"/>
      <c r="BC355" s="351"/>
      <c r="BD355" s="351"/>
      <c r="BE355" s="351"/>
      <c r="BF355" s="454"/>
    </row>
    <row r="356" spans="1:59" ht="14" thickBot="1">
      <c r="B356" s="352" t="s">
        <v>986</v>
      </c>
      <c r="C356" s="351" t="s">
        <v>674</v>
      </c>
      <c r="D356" s="351"/>
      <c r="E356" s="351"/>
      <c r="F356" s="351"/>
      <c r="G356" s="351"/>
      <c r="H356" s="351"/>
      <c r="I356" s="351"/>
      <c r="J356" s="351"/>
      <c r="K356" s="351"/>
      <c r="L356" s="351"/>
      <c r="M356" s="351"/>
      <c r="N356" s="351"/>
      <c r="O356" s="351"/>
      <c r="P356" s="351"/>
      <c r="Q356" s="351"/>
      <c r="R356" s="351"/>
      <c r="S356" s="351"/>
      <c r="T356" s="351"/>
      <c r="U356" s="351"/>
      <c r="V356" s="351"/>
      <c r="W356" s="351"/>
      <c r="X356" s="351"/>
      <c r="Y356" s="351"/>
      <c r="Z356" s="351"/>
      <c r="AA356" s="351"/>
      <c r="AB356" s="351"/>
      <c r="AC356" s="351"/>
      <c r="AD356" s="351"/>
      <c r="AE356" s="351"/>
      <c r="AF356" s="351"/>
      <c r="AG356" s="351"/>
      <c r="AH356" s="351"/>
      <c r="AI356" s="351"/>
      <c r="AJ356" s="351"/>
      <c r="AK356" s="351"/>
      <c r="AL356" s="351"/>
      <c r="AM356" s="351"/>
      <c r="AN356" s="351"/>
      <c r="AO356" s="351"/>
      <c r="AP356" s="351"/>
      <c r="AQ356" s="351"/>
      <c r="AR356" s="351"/>
      <c r="AS356" s="351"/>
      <c r="AT356" s="351"/>
      <c r="AU356" s="351"/>
      <c r="AV356" s="351"/>
      <c r="AW356" s="351"/>
      <c r="AX356" s="351"/>
      <c r="AY356" s="351"/>
      <c r="AZ356" s="351"/>
      <c r="BA356" s="351"/>
      <c r="BB356" s="351"/>
      <c r="BC356" s="351"/>
      <c r="BD356" s="351"/>
      <c r="BE356" s="351"/>
      <c r="BF356" s="454"/>
    </row>
    <row r="357" spans="1:59">
      <c r="B357" s="366"/>
      <c r="BF357" s="348"/>
    </row>
    <row r="358" spans="1:59" ht="13.5">
      <c r="B358" s="366"/>
      <c r="C358" s="354" t="s">
        <v>481</v>
      </c>
      <c r="BF358" s="348"/>
    </row>
    <row r="359" spans="1:59" ht="13.5">
      <c r="B359" s="366"/>
      <c r="C359" s="354" t="s">
        <v>822</v>
      </c>
      <c r="BF359" s="348"/>
    </row>
    <row r="360" spans="1:59">
      <c r="B360" s="366"/>
      <c r="BF360" s="348"/>
    </row>
    <row r="361" spans="1:59" s="28" customFormat="1" ht="19.5" customHeight="1">
      <c r="B361" s="441"/>
      <c r="C361" s="355" t="s">
        <v>712</v>
      </c>
      <c r="D361" s="356"/>
      <c r="E361" s="356"/>
      <c r="F361" s="356"/>
      <c r="G361" s="356"/>
      <c r="H361" s="120"/>
      <c r="I361" s="356"/>
      <c r="J361" s="356"/>
      <c r="K361" s="356"/>
      <c r="L361" s="356"/>
      <c r="M361" s="356"/>
      <c r="N361" s="356"/>
      <c r="O361" s="356"/>
      <c r="P361" s="356"/>
      <c r="Q361" s="356"/>
      <c r="R361" s="356"/>
      <c r="S361" s="118"/>
      <c r="T361" s="118"/>
      <c r="U361" s="118"/>
      <c r="V361" s="118"/>
      <c r="W361" s="118"/>
      <c r="X361" s="118"/>
      <c r="Y361" s="119"/>
      <c r="Z361" s="119"/>
      <c r="AA361" s="119"/>
      <c r="AB361" s="119"/>
      <c r="AC361" s="119"/>
      <c r="AD361" s="119"/>
      <c r="AE361" s="119"/>
      <c r="AF361" s="119"/>
      <c r="AG361" s="119"/>
      <c r="AH361" s="119"/>
      <c r="AI361" s="119"/>
      <c r="AJ361" s="119"/>
      <c r="AK361" s="119"/>
      <c r="AL361" s="119"/>
      <c r="AM361" s="119"/>
      <c r="AN361" s="119"/>
      <c r="AO361" s="356"/>
      <c r="AP361" s="120"/>
      <c r="AQ361" s="120"/>
      <c r="AR361" s="120"/>
      <c r="AS361" s="120"/>
      <c r="AT361" s="120"/>
      <c r="AU361" s="120"/>
      <c r="AV361" s="120"/>
      <c r="AW361" s="120"/>
      <c r="AX361" s="120"/>
      <c r="AY361" s="120"/>
      <c r="AZ361" s="120"/>
      <c r="BA361" s="120"/>
      <c r="BB361" s="120"/>
      <c r="BC361" s="120"/>
      <c r="BD361" s="120"/>
      <c r="BE361" s="120"/>
      <c r="BF361" s="456"/>
      <c r="BG361"/>
    </row>
    <row r="362" spans="1:59" s="98" customFormat="1" ht="16.5" customHeight="1">
      <c r="A362" s="96"/>
      <c r="B362" s="442"/>
      <c r="C362" s="358"/>
      <c r="D362" s="358"/>
      <c r="E362" s="358"/>
      <c r="F362" s="359" t="s">
        <v>217</v>
      </c>
      <c r="G362" s="364"/>
      <c r="H362" s="364"/>
      <c r="I362" s="359"/>
      <c r="J362" s="364"/>
      <c r="K362" s="364"/>
      <c r="L362" s="364"/>
      <c r="M362" s="364"/>
      <c r="N362" s="364"/>
      <c r="O362" s="364"/>
      <c r="P362" s="364"/>
      <c r="Q362" s="364"/>
      <c r="R362" s="364"/>
      <c r="S362" s="364"/>
      <c r="T362" s="364"/>
      <c r="U362" s="364"/>
      <c r="V362" s="364"/>
      <c r="W362" s="364"/>
      <c r="X362" s="364"/>
      <c r="Y362" s="365"/>
      <c r="Z362" s="365"/>
      <c r="AA362" s="365"/>
      <c r="AB362" s="365"/>
      <c r="AC362" s="365"/>
      <c r="AD362" s="365"/>
      <c r="AE362" s="365"/>
      <c r="AF362" s="365"/>
      <c r="AG362" s="365"/>
      <c r="AH362" s="365"/>
      <c r="AI362" s="365"/>
      <c r="AJ362" s="365"/>
      <c r="AK362" s="359"/>
      <c r="AL362" s="365"/>
      <c r="AM362" s="365"/>
      <c r="AN362" s="365"/>
      <c r="AO362" s="359"/>
      <c r="AP362" s="365"/>
      <c r="AQ362" s="365"/>
      <c r="AR362" s="359"/>
      <c r="AS362" s="365"/>
      <c r="AT362" s="365"/>
      <c r="AU362" s="365"/>
      <c r="AV362" s="365"/>
      <c r="AW362" s="365"/>
      <c r="AX362" s="365"/>
      <c r="AY362" s="365"/>
      <c r="AZ362" s="365"/>
      <c r="BA362" s="365"/>
      <c r="BB362" s="365"/>
      <c r="BC362" s="365"/>
      <c r="BD362" s="365"/>
      <c r="BE362" s="365"/>
      <c r="BF362" s="457"/>
      <c r="BG362"/>
    </row>
    <row r="363" spans="1:59" s="105" customFormat="1" ht="86" customHeight="1">
      <c r="B363" s="443"/>
      <c r="C363" s="334" t="s">
        <v>540</v>
      </c>
      <c r="D363" s="334" t="s">
        <v>541</v>
      </c>
      <c r="E363" s="334" t="s">
        <v>542</v>
      </c>
      <c r="F363" s="341" t="s">
        <v>577</v>
      </c>
      <c r="G363" s="341" t="s">
        <v>543</v>
      </c>
      <c r="H363" s="341" t="s">
        <v>484</v>
      </c>
      <c r="I363" s="341" t="s">
        <v>545</v>
      </c>
      <c r="J363" s="341" t="s">
        <v>546</v>
      </c>
      <c r="K363" s="341" t="s">
        <v>547</v>
      </c>
      <c r="L363" s="341" t="s">
        <v>548</v>
      </c>
      <c r="M363" s="341" t="s">
        <v>549</v>
      </c>
      <c r="N363" s="341" t="s">
        <v>550</v>
      </c>
      <c r="O363" s="341" t="s">
        <v>551</v>
      </c>
      <c r="P363" s="341" t="s">
        <v>552</v>
      </c>
      <c r="Q363" s="341" t="s">
        <v>553</v>
      </c>
      <c r="R363" s="341" t="s">
        <v>554</v>
      </c>
      <c r="S363" s="341" t="s">
        <v>555</v>
      </c>
      <c r="T363" s="341" t="s">
        <v>556</v>
      </c>
      <c r="U363" s="341" t="s">
        <v>557</v>
      </c>
      <c r="V363" s="341" t="s">
        <v>558</v>
      </c>
      <c r="W363" s="341" t="s">
        <v>559</v>
      </c>
      <c r="X363" s="341" t="s">
        <v>560</v>
      </c>
      <c r="Y363" s="341" t="s">
        <v>561</v>
      </c>
      <c r="Z363" s="341" t="s">
        <v>562</v>
      </c>
      <c r="AA363" s="341" t="s">
        <v>563</v>
      </c>
      <c r="AB363" s="341" t="s">
        <v>564</v>
      </c>
      <c r="AC363" s="341" t="s">
        <v>565</v>
      </c>
      <c r="AD363" s="341" t="s">
        <v>566</v>
      </c>
      <c r="AE363" s="341" t="s">
        <v>567</v>
      </c>
      <c r="AF363" s="341" t="s">
        <v>568</v>
      </c>
      <c r="AG363" s="341" t="s">
        <v>569</v>
      </c>
      <c r="AH363" s="341" t="s">
        <v>570</v>
      </c>
      <c r="AI363" s="341" t="s">
        <v>571</v>
      </c>
      <c r="AJ363" s="341" t="s">
        <v>572</v>
      </c>
      <c r="AK363" s="341" t="s">
        <v>573</v>
      </c>
      <c r="AL363" s="341" t="s">
        <v>574</v>
      </c>
      <c r="AM363" s="341" t="s">
        <v>575</v>
      </c>
      <c r="AN363" s="341" t="s">
        <v>576</v>
      </c>
      <c r="AO363" s="341" t="s">
        <v>544</v>
      </c>
      <c r="AP363" s="341" t="s">
        <v>578</v>
      </c>
      <c r="AQ363" s="341" t="s">
        <v>579</v>
      </c>
      <c r="AR363" s="341" t="s">
        <v>580</v>
      </c>
      <c r="AS363" s="341" t="s">
        <v>581</v>
      </c>
      <c r="AT363" s="341" t="s">
        <v>582</v>
      </c>
      <c r="AU363" s="341" t="s">
        <v>583</v>
      </c>
      <c r="AV363" s="341" t="s">
        <v>584</v>
      </c>
      <c r="AW363" s="341" t="s">
        <v>585</v>
      </c>
      <c r="AX363" s="341" t="s">
        <v>586</v>
      </c>
      <c r="AY363" s="341" t="s">
        <v>587</v>
      </c>
      <c r="AZ363" s="341" t="s">
        <v>462</v>
      </c>
      <c r="BA363" s="341" t="s">
        <v>463</v>
      </c>
      <c r="BB363" s="341" t="s">
        <v>464</v>
      </c>
      <c r="BC363" s="341" t="s">
        <v>465</v>
      </c>
      <c r="BD363" s="341" t="s">
        <v>146</v>
      </c>
      <c r="BE363" s="341" t="s">
        <v>148</v>
      </c>
      <c r="BF363" s="458" t="s">
        <v>466</v>
      </c>
      <c r="BG363"/>
    </row>
    <row r="364" spans="1:59" s="105" customFormat="1">
      <c r="B364" s="443"/>
      <c r="C364" s="334" t="s">
        <v>501</v>
      </c>
      <c r="D364" s="334" t="s">
        <v>502</v>
      </c>
      <c r="E364" s="334" t="s">
        <v>503</v>
      </c>
      <c r="F364" s="335" t="s">
        <v>440</v>
      </c>
      <c r="G364" s="335" t="s">
        <v>506</v>
      </c>
      <c r="H364" s="335" t="s">
        <v>505</v>
      </c>
      <c r="I364" s="335" t="s">
        <v>589</v>
      </c>
      <c r="J364" s="335" t="s">
        <v>590</v>
      </c>
      <c r="K364" s="335" t="s">
        <v>591</v>
      </c>
      <c r="L364" s="335" t="s">
        <v>592</v>
      </c>
      <c r="M364" s="335" t="s">
        <v>593</v>
      </c>
      <c r="N364" s="335" t="s">
        <v>594</v>
      </c>
      <c r="O364" s="335" t="s">
        <v>595</v>
      </c>
      <c r="P364" s="335" t="s">
        <v>596</v>
      </c>
      <c r="Q364" s="335" t="s">
        <v>597</v>
      </c>
      <c r="R364" s="335" t="s">
        <v>598</v>
      </c>
      <c r="S364" s="335" t="s">
        <v>599</v>
      </c>
      <c r="T364" s="335" t="s">
        <v>600</v>
      </c>
      <c r="U364" s="335" t="s">
        <v>601</v>
      </c>
      <c r="V364" s="335" t="s">
        <v>602</v>
      </c>
      <c r="W364" s="335" t="s">
        <v>603</v>
      </c>
      <c r="X364" s="335" t="s">
        <v>604</v>
      </c>
      <c r="Y364" s="335" t="s">
        <v>605</v>
      </c>
      <c r="Z364" s="335" t="s">
        <v>606</v>
      </c>
      <c r="AA364" s="335" t="s">
        <v>607</v>
      </c>
      <c r="AB364" s="335" t="s">
        <v>608</v>
      </c>
      <c r="AC364" s="335" t="s">
        <v>609</v>
      </c>
      <c r="AD364" s="335" t="s">
        <v>610</v>
      </c>
      <c r="AE364" s="335" t="s">
        <v>611</v>
      </c>
      <c r="AF364" s="335" t="s">
        <v>612</v>
      </c>
      <c r="AG364" s="335" t="s">
        <v>613</v>
      </c>
      <c r="AH364" s="335" t="s">
        <v>614</v>
      </c>
      <c r="AI364" s="335" t="s">
        <v>615</v>
      </c>
      <c r="AJ364" s="335" t="s">
        <v>616</v>
      </c>
      <c r="AK364" s="335" t="s">
        <v>439</v>
      </c>
      <c r="AL364" s="335" t="s">
        <v>617</v>
      </c>
      <c r="AM364" s="335" t="s">
        <v>618</v>
      </c>
      <c r="AN364" s="335" t="s">
        <v>619</v>
      </c>
      <c r="AO364" s="335" t="s">
        <v>588</v>
      </c>
      <c r="AP364" s="335" t="s">
        <v>620</v>
      </c>
      <c r="AQ364" s="335" t="s">
        <v>621</v>
      </c>
      <c r="AR364" s="335" t="s">
        <v>622</v>
      </c>
      <c r="AS364" s="335" t="s">
        <v>623</v>
      </c>
      <c r="AT364" s="335" t="s">
        <v>624</v>
      </c>
      <c r="AU364" s="335" t="s">
        <v>625</v>
      </c>
      <c r="AV364" s="335" t="s">
        <v>626</v>
      </c>
      <c r="AW364" s="335" t="s">
        <v>627</v>
      </c>
      <c r="AX364" s="335" t="s">
        <v>628</v>
      </c>
      <c r="AY364" s="335" t="s">
        <v>629</v>
      </c>
      <c r="AZ364" s="335" t="s">
        <v>445</v>
      </c>
      <c r="BA364" s="335" t="s">
        <v>446</v>
      </c>
      <c r="BB364" s="335" t="s">
        <v>447</v>
      </c>
      <c r="BC364" s="335" t="s">
        <v>448</v>
      </c>
      <c r="BD364" s="335" t="s">
        <v>449</v>
      </c>
      <c r="BE364" s="335" t="s">
        <v>450</v>
      </c>
      <c r="BF364" s="459" t="s">
        <v>451</v>
      </c>
      <c r="BG364"/>
    </row>
    <row r="365" spans="1:59" s="95" customFormat="1" ht="13.5" customHeight="1">
      <c r="B365" s="444"/>
      <c r="C365" s="334" t="s">
        <v>522</v>
      </c>
      <c r="D365" s="334" t="s">
        <v>630</v>
      </c>
      <c r="E365" s="334" t="s">
        <v>467</v>
      </c>
      <c r="F365" s="363" t="s">
        <v>468</v>
      </c>
      <c r="G365" s="363" t="s">
        <v>470</v>
      </c>
      <c r="H365" s="363" t="s">
        <v>470</v>
      </c>
      <c r="I365" s="363" t="s">
        <v>470</v>
      </c>
      <c r="J365" s="363" t="s">
        <v>470</v>
      </c>
      <c r="K365" s="363" t="s">
        <v>631</v>
      </c>
      <c r="L365" s="363" t="s">
        <v>631</v>
      </c>
      <c r="M365" s="363" t="s">
        <v>467</v>
      </c>
      <c r="N365" s="363" t="s">
        <v>632</v>
      </c>
      <c r="O365" s="363" t="s">
        <v>470</v>
      </c>
      <c r="P365" s="363" t="s">
        <v>528</v>
      </c>
      <c r="Q365" s="363" t="s">
        <v>524</v>
      </c>
      <c r="R365" s="363" t="s">
        <v>528</v>
      </c>
      <c r="S365" s="363" t="s">
        <v>524</v>
      </c>
      <c r="T365" s="363" t="s">
        <v>524</v>
      </c>
      <c r="U365" s="363" t="s">
        <v>470</v>
      </c>
      <c r="V365" s="363" t="s">
        <v>633</v>
      </c>
      <c r="W365" s="363" t="s">
        <v>633</v>
      </c>
      <c r="X365" s="363" t="s">
        <v>468</v>
      </c>
      <c r="Y365" s="363" t="s">
        <v>632</v>
      </c>
      <c r="Z365" s="363" t="s">
        <v>632</v>
      </c>
      <c r="AA365" s="363" t="s">
        <v>524</v>
      </c>
      <c r="AB365" s="363" t="s">
        <v>527</v>
      </c>
      <c r="AC365" s="363" t="s">
        <v>528</v>
      </c>
      <c r="AD365" s="363" t="s">
        <v>528</v>
      </c>
      <c r="AE365" s="363" t="s">
        <v>634</v>
      </c>
      <c r="AF365" s="363" t="s">
        <v>634</v>
      </c>
      <c r="AG365" s="363" t="s">
        <v>528</v>
      </c>
      <c r="AH365" s="363" t="s">
        <v>528</v>
      </c>
      <c r="AI365" s="363" t="s">
        <v>634</v>
      </c>
      <c r="AJ365" s="363" t="s">
        <v>634</v>
      </c>
      <c r="AK365" s="363" t="s">
        <v>470</v>
      </c>
      <c r="AL365" s="363" t="s">
        <v>470</v>
      </c>
      <c r="AM365" s="363" t="s">
        <v>470</v>
      </c>
      <c r="AN365" s="363" t="s">
        <v>470</v>
      </c>
      <c r="AO365" s="363" t="s">
        <v>470</v>
      </c>
      <c r="AP365" s="363" t="s">
        <v>467</v>
      </c>
      <c r="AQ365" s="363" t="s">
        <v>470</v>
      </c>
      <c r="AR365" s="363" t="s">
        <v>524</v>
      </c>
      <c r="AS365" s="363" t="s">
        <v>524</v>
      </c>
      <c r="AT365" s="363" t="s">
        <v>470</v>
      </c>
      <c r="AU365" s="363" t="s">
        <v>635</v>
      </c>
      <c r="AV365" s="363" t="s">
        <v>528</v>
      </c>
      <c r="AW365" s="363" t="s">
        <v>468</v>
      </c>
      <c r="AX365" s="363" t="s">
        <v>470</v>
      </c>
      <c r="AY365" s="363" t="s">
        <v>470</v>
      </c>
      <c r="AZ365" s="363" t="s">
        <v>473</v>
      </c>
      <c r="BA365" s="363" t="s">
        <v>474</v>
      </c>
      <c r="BB365" s="363" t="s">
        <v>475</v>
      </c>
      <c r="BC365" s="363" t="s">
        <v>475</v>
      </c>
      <c r="BD365" s="363" t="s">
        <v>474</v>
      </c>
      <c r="BE365" s="363" t="s">
        <v>475</v>
      </c>
      <c r="BF365" s="460" t="s">
        <v>475</v>
      </c>
      <c r="BG365"/>
    </row>
    <row r="366" spans="1:59" s="28" customFormat="1" ht="15">
      <c r="B366" s="360" t="s">
        <v>532</v>
      </c>
      <c r="C366" s="406" t="s">
        <v>713</v>
      </c>
      <c r="D366" s="406" t="s">
        <v>648</v>
      </c>
      <c r="E366" s="406" t="s">
        <v>648</v>
      </c>
      <c r="F366" s="406">
        <v>1</v>
      </c>
      <c r="G366" s="469" t="s">
        <v>533</v>
      </c>
      <c r="H366" s="406" t="s">
        <v>533</v>
      </c>
      <c r="I366" s="406" t="s">
        <v>534</v>
      </c>
      <c r="J366" s="406" t="s">
        <v>534</v>
      </c>
      <c r="K366" s="406" t="s">
        <v>156</v>
      </c>
      <c r="L366" s="406" t="s">
        <v>156</v>
      </c>
      <c r="M366" s="406" t="s">
        <v>156</v>
      </c>
      <c r="N366" s="406" t="s">
        <v>156</v>
      </c>
      <c r="O366" s="406" t="s">
        <v>637</v>
      </c>
      <c r="P366" s="406" t="s">
        <v>534</v>
      </c>
      <c r="Q366" s="406" t="s">
        <v>714</v>
      </c>
      <c r="R366" s="406" t="s">
        <v>638</v>
      </c>
      <c r="S366" s="406" t="s">
        <v>715</v>
      </c>
      <c r="T366" s="406" t="s">
        <v>716</v>
      </c>
      <c r="U366" s="406" t="s">
        <v>232</v>
      </c>
      <c r="V366" s="406" t="s">
        <v>717</v>
      </c>
      <c r="W366" s="406" t="s">
        <v>717</v>
      </c>
      <c r="X366" s="406"/>
      <c r="Y366" s="406"/>
      <c r="Z366" s="406" t="s">
        <v>156</v>
      </c>
      <c r="AA366" s="406">
        <v>1</v>
      </c>
      <c r="AB366" s="406">
        <v>99999999</v>
      </c>
      <c r="AC366" s="406">
        <v>0</v>
      </c>
      <c r="AD366" s="406">
        <v>0</v>
      </c>
      <c r="AE366" s="406">
        <v>0</v>
      </c>
      <c r="AF366" s="406">
        <v>0</v>
      </c>
      <c r="AG366" s="406">
        <v>0</v>
      </c>
      <c r="AH366" s="406">
        <v>0</v>
      </c>
      <c r="AI366" s="406">
        <v>0</v>
      </c>
      <c r="AJ366" s="406">
        <v>0</v>
      </c>
      <c r="AK366" s="406">
        <v>1</v>
      </c>
      <c r="AL366" s="406">
        <v>1</v>
      </c>
      <c r="AM366" s="406">
        <v>0</v>
      </c>
      <c r="AN366" s="406">
        <v>0</v>
      </c>
      <c r="AO366" s="406" t="s">
        <v>636</v>
      </c>
      <c r="AP366" s="406" t="s">
        <v>156</v>
      </c>
      <c r="AQ366" s="406" t="s">
        <v>639</v>
      </c>
      <c r="AR366" s="406">
        <v>0</v>
      </c>
      <c r="AS366" s="406">
        <v>0</v>
      </c>
      <c r="AT366" s="406">
        <v>1</v>
      </c>
      <c r="AU366" s="406">
        <v>0</v>
      </c>
      <c r="AV366" s="406">
        <v>0</v>
      </c>
      <c r="AW366" s="406">
        <v>0</v>
      </c>
      <c r="AX366" s="406">
        <v>0</v>
      </c>
      <c r="AY366" s="406">
        <v>1</v>
      </c>
      <c r="AZ366" s="406">
        <v>0</v>
      </c>
      <c r="BA366" s="406">
        <v>39864.674351851849</v>
      </c>
      <c r="BB366" s="406">
        <v>440393</v>
      </c>
      <c r="BC366" s="406">
        <v>440393</v>
      </c>
      <c r="BD366" s="406">
        <v>45482.05810185185</v>
      </c>
      <c r="BE366" s="406" t="s">
        <v>640</v>
      </c>
      <c r="BF366" s="461" t="s">
        <v>640</v>
      </c>
      <c r="BG366"/>
    </row>
    <row r="367" spans="1:59" s="28" customFormat="1" ht="15">
      <c r="B367" s="362" t="s">
        <v>537</v>
      </c>
      <c r="C367" s="406" t="s">
        <v>713</v>
      </c>
      <c r="D367" s="406" t="s">
        <v>648</v>
      </c>
      <c r="E367" s="388" t="s">
        <v>718</v>
      </c>
      <c r="F367" s="406">
        <v>1</v>
      </c>
      <c r="G367" s="406" t="s">
        <v>533</v>
      </c>
      <c r="H367" s="406" t="s">
        <v>533</v>
      </c>
      <c r="I367" s="406" t="s">
        <v>534</v>
      </c>
      <c r="J367" s="406" t="s">
        <v>534</v>
      </c>
      <c r="K367" s="406" t="s">
        <v>156</v>
      </c>
      <c r="L367" s="406" t="s">
        <v>156</v>
      </c>
      <c r="M367" s="406" t="s">
        <v>156</v>
      </c>
      <c r="N367" s="406" t="s">
        <v>156</v>
      </c>
      <c r="O367" s="406" t="s">
        <v>637</v>
      </c>
      <c r="P367" s="406" t="s">
        <v>534</v>
      </c>
      <c r="Q367" s="406" t="s">
        <v>714</v>
      </c>
      <c r="R367" s="406" t="s">
        <v>638</v>
      </c>
      <c r="S367" s="406" t="s">
        <v>715</v>
      </c>
      <c r="T367" s="406" t="s">
        <v>716</v>
      </c>
      <c r="U367" s="406" t="s">
        <v>232</v>
      </c>
      <c r="V367" s="406" t="s">
        <v>717</v>
      </c>
      <c r="W367" s="406" t="s">
        <v>717</v>
      </c>
      <c r="X367" s="406"/>
      <c r="Y367" s="406"/>
      <c r="Z367" s="406" t="s">
        <v>156</v>
      </c>
      <c r="AA367" s="406">
        <v>1</v>
      </c>
      <c r="AB367" s="406">
        <v>99999999</v>
      </c>
      <c r="AC367" s="406">
        <v>0</v>
      </c>
      <c r="AD367" s="406">
        <v>0</v>
      </c>
      <c r="AE367" s="406">
        <v>0</v>
      </c>
      <c r="AF367" s="406">
        <v>0</v>
      </c>
      <c r="AG367" s="406">
        <v>0</v>
      </c>
      <c r="AH367" s="406">
        <v>0</v>
      </c>
      <c r="AI367" s="406">
        <v>0</v>
      </c>
      <c r="AJ367" s="406">
        <v>0</v>
      </c>
      <c r="AK367" s="406">
        <v>1</v>
      </c>
      <c r="AL367" s="406">
        <v>1</v>
      </c>
      <c r="AM367" s="406">
        <v>0</v>
      </c>
      <c r="AN367" s="406">
        <v>0</v>
      </c>
      <c r="AO367" s="406" t="s">
        <v>636</v>
      </c>
      <c r="AP367" s="406" t="s">
        <v>156</v>
      </c>
      <c r="AQ367" s="406" t="s">
        <v>639</v>
      </c>
      <c r="AR367" s="406">
        <v>0</v>
      </c>
      <c r="AS367" s="406">
        <v>0</v>
      </c>
      <c r="AT367" s="406">
        <v>1</v>
      </c>
      <c r="AU367" s="406">
        <v>0</v>
      </c>
      <c r="AV367" s="406">
        <v>0</v>
      </c>
      <c r="AW367" s="406">
        <v>0</v>
      </c>
      <c r="AX367" s="406">
        <v>0</v>
      </c>
      <c r="AY367" s="406">
        <v>1</v>
      </c>
      <c r="AZ367" s="406">
        <v>0</v>
      </c>
      <c r="BA367" s="406">
        <v>39864.674351851849</v>
      </c>
      <c r="BB367" s="406">
        <v>440393</v>
      </c>
      <c r="BC367" s="406">
        <v>440393</v>
      </c>
      <c r="BD367" s="406">
        <v>45482.05810185185</v>
      </c>
      <c r="BE367" s="406" t="s">
        <v>640</v>
      </c>
      <c r="BF367" s="461" t="s">
        <v>640</v>
      </c>
      <c r="BG367"/>
    </row>
    <row r="368" spans="1:59" s="28" customFormat="1" ht="15">
      <c r="B368" s="362" t="s">
        <v>537</v>
      </c>
      <c r="C368" s="406" t="s">
        <v>713</v>
      </c>
      <c r="D368" s="388" t="s">
        <v>718</v>
      </c>
      <c r="E368" s="387" t="s">
        <v>648</v>
      </c>
      <c r="F368" s="406">
        <v>1</v>
      </c>
      <c r="G368" s="406" t="s">
        <v>533</v>
      </c>
      <c r="H368" s="406" t="s">
        <v>533</v>
      </c>
      <c r="I368" s="406" t="s">
        <v>534</v>
      </c>
      <c r="J368" s="406" t="s">
        <v>534</v>
      </c>
      <c r="K368" s="406" t="s">
        <v>156</v>
      </c>
      <c r="L368" s="406" t="s">
        <v>156</v>
      </c>
      <c r="M368" s="406" t="s">
        <v>156</v>
      </c>
      <c r="N368" s="406" t="s">
        <v>156</v>
      </c>
      <c r="O368" s="406" t="s">
        <v>637</v>
      </c>
      <c r="P368" s="406" t="s">
        <v>534</v>
      </c>
      <c r="Q368" s="406" t="s">
        <v>714</v>
      </c>
      <c r="R368" s="406" t="s">
        <v>638</v>
      </c>
      <c r="S368" s="406" t="s">
        <v>715</v>
      </c>
      <c r="T368" s="406" t="s">
        <v>716</v>
      </c>
      <c r="U368" s="406" t="s">
        <v>232</v>
      </c>
      <c r="V368" s="406" t="s">
        <v>717</v>
      </c>
      <c r="W368" s="406" t="s">
        <v>717</v>
      </c>
      <c r="X368" s="406"/>
      <c r="Y368" s="406"/>
      <c r="Z368" s="406" t="s">
        <v>156</v>
      </c>
      <c r="AA368" s="406">
        <v>1</v>
      </c>
      <c r="AB368" s="406">
        <v>99999999</v>
      </c>
      <c r="AC368" s="406">
        <v>0</v>
      </c>
      <c r="AD368" s="406">
        <v>0</v>
      </c>
      <c r="AE368" s="406">
        <v>0</v>
      </c>
      <c r="AF368" s="406">
        <v>0</v>
      </c>
      <c r="AG368" s="406">
        <v>0</v>
      </c>
      <c r="AH368" s="406">
        <v>0</v>
      </c>
      <c r="AI368" s="406">
        <v>0</v>
      </c>
      <c r="AJ368" s="406">
        <v>0</v>
      </c>
      <c r="AK368" s="406">
        <v>1</v>
      </c>
      <c r="AL368" s="406">
        <v>1</v>
      </c>
      <c r="AM368" s="406">
        <v>0</v>
      </c>
      <c r="AN368" s="406">
        <v>0</v>
      </c>
      <c r="AO368" s="406" t="s">
        <v>636</v>
      </c>
      <c r="AP368" s="406" t="s">
        <v>156</v>
      </c>
      <c r="AQ368" s="406" t="s">
        <v>639</v>
      </c>
      <c r="AR368" s="406">
        <v>0</v>
      </c>
      <c r="AS368" s="406">
        <v>0</v>
      </c>
      <c r="AT368" s="406">
        <v>1</v>
      </c>
      <c r="AU368" s="406">
        <v>0</v>
      </c>
      <c r="AV368" s="406">
        <v>0</v>
      </c>
      <c r="AW368" s="406">
        <v>0</v>
      </c>
      <c r="AX368" s="406">
        <v>0</v>
      </c>
      <c r="AY368" s="406">
        <v>1</v>
      </c>
      <c r="AZ368" s="406">
        <v>0</v>
      </c>
      <c r="BA368" s="406">
        <v>39864.674351851849</v>
      </c>
      <c r="BB368" s="406">
        <v>440393</v>
      </c>
      <c r="BC368" s="406">
        <v>440393</v>
      </c>
      <c r="BD368" s="406">
        <v>45482.05810185185</v>
      </c>
      <c r="BE368" s="406" t="s">
        <v>640</v>
      </c>
      <c r="BF368" s="461" t="s">
        <v>640</v>
      </c>
      <c r="BG368"/>
    </row>
    <row r="369" spans="2:59" s="28" customFormat="1" ht="15">
      <c r="B369" s="362" t="s">
        <v>537</v>
      </c>
      <c r="C369" s="406" t="s">
        <v>713</v>
      </c>
      <c r="D369" s="387" t="s">
        <v>648</v>
      </c>
      <c r="E369" s="388" t="s">
        <v>719</v>
      </c>
      <c r="F369" s="406">
        <v>1</v>
      </c>
      <c r="G369" s="406" t="s">
        <v>533</v>
      </c>
      <c r="H369" s="406" t="s">
        <v>533</v>
      </c>
      <c r="I369" s="406" t="s">
        <v>534</v>
      </c>
      <c r="J369" s="406" t="s">
        <v>534</v>
      </c>
      <c r="K369" s="406" t="s">
        <v>156</v>
      </c>
      <c r="L369" s="406" t="s">
        <v>156</v>
      </c>
      <c r="M369" s="406" t="s">
        <v>156</v>
      </c>
      <c r="N369" s="406" t="s">
        <v>156</v>
      </c>
      <c r="O369" s="406" t="s">
        <v>637</v>
      </c>
      <c r="P369" s="406" t="s">
        <v>534</v>
      </c>
      <c r="Q369" s="406" t="s">
        <v>714</v>
      </c>
      <c r="R369" s="406" t="s">
        <v>638</v>
      </c>
      <c r="S369" s="406" t="s">
        <v>715</v>
      </c>
      <c r="T369" s="406" t="s">
        <v>716</v>
      </c>
      <c r="U369" s="406" t="s">
        <v>232</v>
      </c>
      <c r="V369" s="406" t="s">
        <v>717</v>
      </c>
      <c r="W369" s="406" t="s">
        <v>717</v>
      </c>
      <c r="X369" s="406"/>
      <c r="Y369" s="406"/>
      <c r="Z369" s="406" t="s">
        <v>156</v>
      </c>
      <c r="AA369" s="406">
        <v>1</v>
      </c>
      <c r="AB369" s="406">
        <v>99999999</v>
      </c>
      <c r="AC369" s="406">
        <v>0</v>
      </c>
      <c r="AD369" s="406">
        <v>0</v>
      </c>
      <c r="AE369" s="406">
        <v>0</v>
      </c>
      <c r="AF369" s="406">
        <v>0</v>
      </c>
      <c r="AG369" s="406">
        <v>0</v>
      </c>
      <c r="AH369" s="406">
        <v>0</v>
      </c>
      <c r="AI369" s="406">
        <v>0</v>
      </c>
      <c r="AJ369" s="406">
        <v>0</v>
      </c>
      <c r="AK369" s="406">
        <v>1</v>
      </c>
      <c r="AL369" s="406">
        <v>1</v>
      </c>
      <c r="AM369" s="406">
        <v>0</v>
      </c>
      <c r="AN369" s="406">
        <v>0</v>
      </c>
      <c r="AO369" s="406" t="s">
        <v>636</v>
      </c>
      <c r="AP369" s="406" t="s">
        <v>156</v>
      </c>
      <c r="AQ369" s="406" t="s">
        <v>639</v>
      </c>
      <c r="AR369" s="406">
        <v>0</v>
      </c>
      <c r="AS369" s="406">
        <v>0</v>
      </c>
      <c r="AT369" s="406">
        <v>1</v>
      </c>
      <c r="AU369" s="406">
        <v>0</v>
      </c>
      <c r="AV369" s="406">
        <v>0</v>
      </c>
      <c r="AW369" s="406">
        <v>0</v>
      </c>
      <c r="AX369" s="406">
        <v>0</v>
      </c>
      <c r="AY369" s="406">
        <v>1</v>
      </c>
      <c r="AZ369" s="406">
        <v>0</v>
      </c>
      <c r="BA369" s="406">
        <v>39864.674351851849</v>
      </c>
      <c r="BB369" s="406">
        <v>440393</v>
      </c>
      <c r="BC369" s="406">
        <v>440393</v>
      </c>
      <c r="BD369" s="406">
        <v>45482.05810185185</v>
      </c>
      <c r="BE369" s="406" t="s">
        <v>640</v>
      </c>
      <c r="BF369" s="461" t="s">
        <v>640</v>
      </c>
      <c r="BG369"/>
    </row>
    <row r="370" spans="2:59">
      <c r="B370" s="366"/>
      <c r="BF370" s="348"/>
    </row>
    <row r="371" spans="2:59">
      <c r="B371" s="366"/>
      <c r="C371" s="393" t="s">
        <v>679</v>
      </c>
      <c r="D371" s="394"/>
      <c r="E371" s="394"/>
      <c r="F371" s="394"/>
      <c r="G371" s="394"/>
      <c r="H371" s="394"/>
      <c r="I371" s="394"/>
      <c r="J371" s="394"/>
      <c r="K371" s="394"/>
      <c r="L371" s="394"/>
      <c r="M371" s="394"/>
      <c r="BF371" s="348"/>
    </row>
    <row r="372" spans="2:59" ht="15">
      <c r="B372" s="366"/>
      <c r="C372" s="336"/>
      <c r="D372" s="392"/>
      <c r="E372" s="336"/>
      <c r="F372" s="336" t="s">
        <v>217</v>
      </c>
      <c r="G372" s="392"/>
      <c r="H372" s="392"/>
      <c r="I372" s="392"/>
      <c r="J372" s="392"/>
      <c r="K372" s="392"/>
      <c r="L372" s="392"/>
      <c r="M372" s="392"/>
      <c r="BF372" s="348"/>
    </row>
    <row r="373" spans="2:59">
      <c r="B373" s="366"/>
      <c r="C373" s="371" t="s">
        <v>688</v>
      </c>
      <c r="D373" s="335" t="s">
        <v>682</v>
      </c>
      <c r="E373" s="371" t="s">
        <v>689</v>
      </c>
      <c r="F373" s="335" t="s">
        <v>683</v>
      </c>
      <c r="G373" s="341" t="s">
        <v>462</v>
      </c>
      <c r="H373" s="341" t="s">
        <v>463</v>
      </c>
      <c r="I373" s="341" t="s">
        <v>464</v>
      </c>
      <c r="J373" s="341" t="s">
        <v>465</v>
      </c>
      <c r="K373" s="341" t="s">
        <v>146</v>
      </c>
      <c r="L373" s="341" t="s">
        <v>148</v>
      </c>
      <c r="M373" s="341" t="s">
        <v>466</v>
      </c>
      <c r="BF373" s="348"/>
    </row>
    <row r="374" spans="2:59" ht="14">
      <c r="B374" s="366"/>
      <c r="C374" s="405" t="s">
        <v>690</v>
      </c>
      <c r="D374" s="335" t="s">
        <v>680</v>
      </c>
      <c r="E374" s="405" t="s">
        <v>692</v>
      </c>
      <c r="F374" s="335" t="s">
        <v>681</v>
      </c>
      <c r="G374" s="335" t="s">
        <v>445</v>
      </c>
      <c r="H374" s="335" t="s">
        <v>446</v>
      </c>
      <c r="I374" s="335" t="s">
        <v>447</v>
      </c>
      <c r="J374" s="335" t="s">
        <v>448</v>
      </c>
      <c r="K374" s="335" t="s">
        <v>449</v>
      </c>
      <c r="L374" s="335" t="s">
        <v>450</v>
      </c>
      <c r="M374" s="335" t="s">
        <v>451</v>
      </c>
      <c r="BF374" s="348"/>
    </row>
    <row r="375" spans="2:59" ht="14">
      <c r="B375" s="366"/>
      <c r="C375" s="405" t="s">
        <v>691</v>
      </c>
      <c r="D375" s="367" t="s">
        <v>685</v>
      </c>
      <c r="E375" s="405" t="s">
        <v>693</v>
      </c>
      <c r="F375" s="367" t="s">
        <v>470</v>
      </c>
      <c r="G375" s="367" t="s">
        <v>684</v>
      </c>
      <c r="H375" s="367" t="s">
        <v>474</v>
      </c>
      <c r="I375" s="367" t="s">
        <v>475</v>
      </c>
      <c r="J375" s="367" t="s">
        <v>475</v>
      </c>
      <c r="K375" s="367" t="s">
        <v>223</v>
      </c>
      <c r="L375" s="367" t="s">
        <v>475</v>
      </c>
      <c r="M375" s="367" t="s">
        <v>475</v>
      </c>
      <c r="BF375" s="348"/>
    </row>
    <row r="376" spans="2:59" ht="14">
      <c r="B376" s="362" t="s">
        <v>537</v>
      </c>
      <c r="C376" s="406" t="s">
        <v>650</v>
      </c>
      <c r="D376" s="406" t="s">
        <v>694</v>
      </c>
      <c r="E376" s="388" t="s">
        <v>805</v>
      </c>
      <c r="F376" s="406" t="s">
        <v>232</v>
      </c>
      <c r="G376" s="406" t="s">
        <v>534</v>
      </c>
      <c r="H376" s="406" t="s">
        <v>696</v>
      </c>
      <c r="I376" s="406" t="s">
        <v>697</v>
      </c>
      <c r="J376" s="406" t="s">
        <v>697</v>
      </c>
      <c r="K376" s="406" t="s">
        <v>698</v>
      </c>
      <c r="L376" s="406" t="s">
        <v>699</v>
      </c>
      <c r="M376" s="406" t="s">
        <v>699</v>
      </c>
      <c r="BF376" s="348"/>
    </row>
    <row r="377" spans="2:59" ht="14">
      <c r="B377" s="360" t="s">
        <v>532</v>
      </c>
      <c r="C377" s="411" t="s">
        <v>650</v>
      </c>
      <c r="D377" s="411" t="s">
        <v>809</v>
      </c>
      <c r="E377" s="411" t="s">
        <v>810</v>
      </c>
      <c r="F377" s="470" t="s">
        <v>232</v>
      </c>
      <c r="G377" s="411" t="s">
        <v>534</v>
      </c>
      <c r="H377" s="411" t="s">
        <v>696</v>
      </c>
      <c r="I377" s="411" t="s">
        <v>697</v>
      </c>
      <c r="J377" s="411" t="s">
        <v>697</v>
      </c>
      <c r="K377" s="411" t="s">
        <v>698</v>
      </c>
      <c r="L377" s="411" t="s">
        <v>699</v>
      </c>
      <c r="M377" s="411" t="s">
        <v>699</v>
      </c>
      <c r="BF377" s="348"/>
    </row>
    <row r="378" spans="2:59" ht="14">
      <c r="B378" s="362" t="s">
        <v>537</v>
      </c>
      <c r="C378" s="411" t="s">
        <v>650</v>
      </c>
      <c r="D378" s="411" t="s">
        <v>809</v>
      </c>
      <c r="E378" s="388" t="s">
        <v>811</v>
      </c>
      <c r="F378" s="411" t="s">
        <v>232</v>
      </c>
      <c r="G378" s="411" t="s">
        <v>534</v>
      </c>
      <c r="H378" s="411" t="s">
        <v>696</v>
      </c>
      <c r="I378" s="411" t="s">
        <v>697</v>
      </c>
      <c r="J378" s="411" t="s">
        <v>697</v>
      </c>
      <c r="K378" s="411" t="s">
        <v>698</v>
      </c>
      <c r="L378" s="411" t="s">
        <v>699</v>
      </c>
      <c r="M378" s="411" t="s">
        <v>699</v>
      </c>
      <c r="BF378" s="348"/>
    </row>
    <row r="379" spans="2:59" ht="14">
      <c r="B379" s="362" t="s">
        <v>537</v>
      </c>
      <c r="C379" s="411" t="s">
        <v>650</v>
      </c>
      <c r="D379" s="411" t="s">
        <v>809</v>
      </c>
      <c r="E379" s="388" t="s">
        <v>812</v>
      </c>
      <c r="F379" s="411" t="s">
        <v>534</v>
      </c>
      <c r="G379" s="411" t="s">
        <v>534</v>
      </c>
      <c r="H379" s="411" t="s">
        <v>696</v>
      </c>
      <c r="I379" s="411" t="s">
        <v>697</v>
      </c>
      <c r="J379" s="411" t="s">
        <v>697</v>
      </c>
      <c r="K379" s="411" t="s">
        <v>698</v>
      </c>
      <c r="L379" s="411" t="s">
        <v>699</v>
      </c>
      <c r="M379" s="411" t="s">
        <v>699</v>
      </c>
      <c r="BF379" s="348"/>
    </row>
    <row r="380" spans="2:59" ht="14">
      <c r="B380" s="362" t="s">
        <v>537</v>
      </c>
      <c r="C380" s="411" t="s">
        <v>650</v>
      </c>
      <c r="D380" s="411" t="s">
        <v>809</v>
      </c>
      <c r="E380" s="388" t="s">
        <v>813</v>
      </c>
      <c r="F380" s="411" t="s">
        <v>534</v>
      </c>
      <c r="G380" s="411" t="s">
        <v>534</v>
      </c>
      <c r="H380" s="411" t="s">
        <v>696</v>
      </c>
      <c r="I380" s="411" t="s">
        <v>697</v>
      </c>
      <c r="J380" s="411" t="s">
        <v>697</v>
      </c>
      <c r="K380" s="411" t="s">
        <v>698</v>
      </c>
      <c r="L380" s="411" t="s">
        <v>699</v>
      </c>
      <c r="M380" s="411" t="s">
        <v>699</v>
      </c>
      <c r="BF380" s="348"/>
    </row>
    <row r="381" spans="2:59">
      <c r="B381" s="366"/>
      <c r="BF381" s="348"/>
    </row>
    <row r="382" spans="2:59" ht="13.5">
      <c r="B382" s="366"/>
      <c r="C382" s="354" t="s">
        <v>153</v>
      </c>
      <c r="BF382" s="348"/>
    </row>
    <row r="383" spans="2:59" ht="13.5">
      <c r="B383" s="366"/>
      <c r="C383" s="354" t="s">
        <v>641</v>
      </c>
      <c r="D383" s="354" t="s">
        <v>642</v>
      </c>
      <c r="E383" s="354" t="s">
        <v>205</v>
      </c>
      <c r="F383" s="354" t="s">
        <v>643</v>
      </c>
      <c r="G383" s="354" t="s">
        <v>644</v>
      </c>
      <c r="BF383" s="348"/>
    </row>
    <row r="384" spans="2:59" ht="13.5">
      <c r="B384" s="366"/>
      <c r="C384" s="354">
        <v>-2</v>
      </c>
      <c r="D384" s="354" t="s">
        <v>156</v>
      </c>
      <c r="E384" s="354" t="s">
        <v>962</v>
      </c>
      <c r="F384" s="354" t="s">
        <v>937</v>
      </c>
      <c r="G384" s="354" t="s">
        <v>677</v>
      </c>
      <c r="BF384" s="348"/>
    </row>
    <row r="385" spans="1:59" ht="13.5" thickBot="1">
      <c r="B385" s="366"/>
      <c r="BF385" s="348"/>
    </row>
    <row r="386" spans="1:59" ht="14" thickBot="1">
      <c r="B386" s="350" t="s">
        <v>824</v>
      </c>
      <c r="C386" s="351" t="s">
        <v>825</v>
      </c>
      <c r="D386" s="351"/>
      <c r="E386" s="351"/>
      <c r="F386" s="351"/>
      <c r="G386" s="351"/>
      <c r="H386" s="351"/>
      <c r="I386" s="351"/>
      <c r="J386" s="351"/>
      <c r="K386" s="351"/>
      <c r="L386" s="351"/>
      <c r="M386" s="351"/>
      <c r="N386" s="351"/>
      <c r="O386" s="351"/>
      <c r="P386" s="351"/>
      <c r="Q386" s="351"/>
      <c r="R386" s="351"/>
      <c r="S386" s="351"/>
      <c r="T386" s="351"/>
      <c r="U386" s="351"/>
      <c r="V386" s="351"/>
      <c r="W386" s="351"/>
      <c r="X386" s="351"/>
      <c r="Y386" s="351"/>
      <c r="Z386" s="351"/>
      <c r="AA386" s="351"/>
      <c r="AB386" s="351"/>
      <c r="AC386" s="351"/>
      <c r="AD386" s="351"/>
      <c r="AE386" s="351"/>
      <c r="AF386" s="351"/>
      <c r="AG386" s="351"/>
      <c r="AH386" s="351"/>
      <c r="AI386" s="351"/>
      <c r="AJ386" s="351"/>
      <c r="AK386" s="351"/>
      <c r="AL386" s="351"/>
      <c r="AM386" s="351"/>
      <c r="AN386" s="351"/>
      <c r="AO386" s="351"/>
      <c r="AP386" s="351"/>
      <c r="AQ386" s="351"/>
      <c r="AR386" s="351"/>
      <c r="AS386" s="351"/>
      <c r="AT386" s="351"/>
      <c r="AU386" s="351"/>
      <c r="AV386" s="351"/>
      <c r="AW386" s="351"/>
      <c r="AX386" s="351"/>
      <c r="AY386" s="351"/>
      <c r="AZ386" s="351"/>
      <c r="BA386" s="351"/>
      <c r="BB386" s="351"/>
      <c r="BC386" s="351"/>
      <c r="BD386" s="351"/>
      <c r="BE386" s="351"/>
      <c r="BF386" s="454"/>
    </row>
    <row r="387" spans="1:59" ht="14" thickBot="1">
      <c r="B387" s="352" t="s">
        <v>986</v>
      </c>
      <c r="C387" s="351" t="s">
        <v>674</v>
      </c>
      <c r="D387" s="351"/>
      <c r="E387" s="351"/>
      <c r="F387" s="351"/>
      <c r="G387" s="351"/>
      <c r="H387" s="351"/>
      <c r="I387" s="351"/>
      <c r="J387" s="351"/>
      <c r="K387" s="351"/>
      <c r="L387" s="351"/>
      <c r="M387" s="351"/>
      <c r="N387" s="351"/>
      <c r="O387" s="351"/>
      <c r="P387" s="351"/>
      <c r="Q387" s="351"/>
      <c r="R387" s="351"/>
      <c r="S387" s="351"/>
      <c r="T387" s="351"/>
      <c r="U387" s="351"/>
      <c r="V387" s="351"/>
      <c r="W387" s="351"/>
      <c r="X387" s="351"/>
      <c r="Y387" s="351"/>
      <c r="Z387" s="351"/>
      <c r="AA387" s="351"/>
      <c r="AB387" s="351"/>
      <c r="AC387" s="351"/>
      <c r="AD387" s="351"/>
      <c r="AE387" s="351"/>
      <c r="AF387" s="351"/>
      <c r="AG387" s="351"/>
      <c r="AH387" s="351"/>
      <c r="AI387" s="351"/>
      <c r="AJ387" s="351"/>
      <c r="AK387" s="351"/>
      <c r="AL387" s="351"/>
      <c r="AM387" s="351"/>
      <c r="AN387" s="351"/>
      <c r="AO387" s="351"/>
      <c r="AP387" s="351"/>
      <c r="AQ387" s="351"/>
      <c r="AR387" s="351"/>
      <c r="AS387" s="351"/>
      <c r="AT387" s="351"/>
      <c r="AU387" s="351"/>
      <c r="AV387" s="351"/>
      <c r="AW387" s="351"/>
      <c r="AX387" s="351"/>
      <c r="AY387" s="351"/>
      <c r="AZ387" s="351"/>
      <c r="BA387" s="351"/>
      <c r="BB387" s="351"/>
      <c r="BC387" s="351"/>
      <c r="BD387" s="351"/>
      <c r="BE387" s="351"/>
      <c r="BF387" s="454"/>
    </row>
    <row r="388" spans="1:59">
      <c r="B388" s="366"/>
      <c r="BF388" s="348"/>
    </row>
    <row r="389" spans="1:59" ht="13.5">
      <c r="B389" s="366"/>
      <c r="C389" s="354" t="s">
        <v>481</v>
      </c>
      <c r="BF389" s="348"/>
    </row>
    <row r="390" spans="1:59" ht="13.5">
      <c r="B390" s="366"/>
      <c r="C390" s="354" t="s">
        <v>826</v>
      </c>
      <c r="BF390" s="348"/>
    </row>
    <row r="391" spans="1:59">
      <c r="B391" s="366"/>
      <c r="BF391" s="348"/>
    </row>
    <row r="392" spans="1:59" s="28" customFormat="1" ht="19.5" customHeight="1">
      <c r="B392" s="441"/>
      <c r="C392" s="355" t="s">
        <v>712</v>
      </c>
      <c r="D392" s="356"/>
      <c r="E392" s="356"/>
      <c r="F392" s="356"/>
      <c r="G392" s="356"/>
      <c r="H392" s="120"/>
      <c r="I392" s="356"/>
      <c r="J392" s="356"/>
      <c r="K392" s="356"/>
      <c r="L392" s="356"/>
      <c r="M392" s="356"/>
      <c r="N392" s="356"/>
      <c r="O392" s="356"/>
      <c r="P392" s="356"/>
      <c r="Q392" s="356"/>
      <c r="R392" s="356"/>
      <c r="S392" s="118"/>
      <c r="T392" s="118"/>
      <c r="U392" s="118"/>
      <c r="V392" s="118"/>
      <c r="W392" s="118"/>
      <c r="X392" s="118"/>
      <c r="Y392" s="119"/>
      <c r="Z392" s="119"/>
      <c r="AA392" s="119"/>
      <c r="AB392" s="119"/>
      <c r="AC392" s="119"/>
      <c r="AD392" s="119"/>
      <c r="AE392" s="119"/>
      <c r="AF392" s="119"/>
      <c r="AG392" s="119"/>
      <c r="AH392" s="119"/>
      <c r="AI392" s="119"/>
      <c r="AJ392" s="119"/>
      <c r="AK392" s="119"/>
      <c r="AL392" s="119"/>
      <c r="AM392" s="119"/>
      <c r="AN392" s="119"/>
      <c r="AO392" s="356"/>
      <c r="AP392" s="120"/>
      <c r="AQ392" s="120"/>
      <c r="AR392" s="120"/>
      <c r="AS392" s="120"/>
      <c r="AT392" s="120"/>
      <c r="AU392" s="120"/>
      <c r="AV392" s="120"/>
      <c r="AW392" s="120"/>
      <c r="AX392" s="120"/>
      <c r="AY392" s="120"/>
      <c r="AZ392" s="120"/>
      <c r="BA392" s="120"/>
      <c r="BB392" s="120"/>
      <c r="BC392" s="120"/>
      <c r="BD392" s="120"/>
      <c r="BE392" s="120"/>
      <c r="BF392" s="456"/>
      <c r="BG392"/>
    </row>
    <row r="393" spans="1:59" s="98" customFormat="1" ht="16.5" customHeight="1">
      <c r="A393" s="96"/>
      <c r="B393" s="442"/>
      <c r="C393" s="358"/>
      <c r="D393" s="358"/>
      <c r="E393" s="358"/>
      <c r="F393" s="359" t="s">
        <v>217</v>
      </c>
      <c r="G393" s="364"/>
      <c r="H393" s="364"/>
      <c r="I393" s="359"/>
      <c r="J393" s="364"/>
      <c r="K393" s="364"/>
      <c r="L393" s="364"/>
      <c r="M393" s="364"/>
      <c r="N393" s="364"/>
      <c r="O393" s="364"/>
      <c r="P393" s="364"/>
      <c r="Q393" s="364"/>
      <c r="R393" s="364"/>
      <c r="S393" s="364"/>
      <c r="T393" s="364"/>
      <c r="U393" s="364"/>
      <c r="V393" s="364"/>
      <c r="W393" s="364"/>
      <c r="X393" s="364"/>
      <c r="Y393" s="365"/>
      <c r="Z393" s="365"/>
      <c r="AA393" s="365"/>
      <c r="AB393" s="365"/>
      <c r="AC393" s="365"/>
      <c r="AD393" s="365"/>
      <c r="AE393" s="365"/>
      <c r="AF393" s="365"/>
      <c r="AG393" s="365"/>
      <c r="AH393" s="365"/>
      <c r="AI393" s="365"/>
      <c r="AJ393" s="365"/>
      <c r="AK393" s="359"/>
      <c r="AL393" s="365"/>
      <c r="AM393" s="365"/>
      <c r="AN393" s="365"/>
      <c r="AO393" s="359"/>
      <c r="AP393" s="365"/>
      <c r="AQ393" s="365"/>
      <c r="AR393" s="359"/>
      <c r="AS393" s="365"/>
      <c r="AT393" s="365"/>
      <c r="AU393" s="365"/>
      <c r="AV393" s="365"/>
      <c r="AW393" s="365"/>
      <c r="AX393" s="365"/>
      <c r="AY393" s="365"/>
      <c r="AZ393" s="365"/>
      <c r="BA393" s="365"/>
      <c r="BB393" s="365"/>
      <c r="BC393" s="365"/>
      <c r="BD393" s="365"/>
      <c r="BE393" s="365"/>
      <c r="BF393" s="457"/>
      <c r="BG393"/>
    </row>
    <row r="394" spans="1:59" s="105" customFormat="1" ht="86" customHeight="1">
      <c r="B394" s="443"/>
      <c r="C394" s="334" t="s">
        <v>540</v>
      </c>
      <c r="D394" s="334" t="s">
        <v>541</v>
      </c>
      <c r="E394" s="334" t="s">
        <v>542</v>
      </c>
      <c r="F394" s="341" t="s">
        <v>577</v>
      </c>
      <c r="G394" s="341" t="s">
        <v>543</v>
      </c>
      <c r="H394" s="341" t="s">
        <v>484</v>
      </c>
      <c r="I394" s="341" t="s">
        <v>545</v>
      </c>
      <c r="J394" s="341" t="s">
        <v>546</v>
      </c>
      <c r="K394" s="341" t="s">
        <v>547</v>
      </c>
      <c r="L394" s="341" t="s">
        <v>548</v>
      </c>
      <c r="M394" s="341" t="s">
        <v>549</v>
      </c>
      <c r="N394" s="341" t="s">
        <v>550</v>
      </c>
      <c r="O394" s="341" t="s">
        <v>551</v>
      </c>
      <c r="P394" s="341" t="s">
        <v>552</v>
      </c>
      <c r="Q394" s="341" t="s">
        <v>553</v>
      </c>
      <c r="R394" s="341" t="s">
        <v>554</v>
      </c>
      <c r="S394" s="341" t="s">
        <v>555</v>
      </c>
      <c r="T394" s="341" t="s">
        <v>556</v>
      </c>
      <c r="U394" s="341" t="s">
        <v>557</v>
      </c>
      <c r="V394" s="341" t="s">
        <v>558</v>
      </c>
      <c r="W394" s="341" t="s">
        <v>559</v>
      </c>
      <c r="X394" s="341" t="s">
        <v>560</v>
      </c>
      <c r="Y394" s="341" t="s">
        <v>561</v>
      </c>
      <c r="Z394" s="341" t="s">
        <v>562</v>
      </c>
      <c r="AA394" s="341" t="s">
        <v>563</v>
      </c>
      <c r="AB394" s="341" t="s">
        <v>564</v>
      </c>
      <c r="AC394" s="341" t="s">
        <v>565</v>
      </c>
      <c r="AD394" s="341" t="s">
        <v>566</v>
      </c>
      <c r="AE394" s="341" t="s">
        <v>567</v>
      </c>
      <c r="AF394" s="341" t="s">
        <v>568</v>
      </c>
      <c r="AG394" s="341" t="s">
        <v>569</v>
      </c>
      <c r="AH394" s="341" t="s">
        <v>570</v>
      </c>
      <c r="AI394" s="341" t="s">
        <v>571</v>
      </c>
      <c r="AJ394" s="341" t="s">
        <v>572</v>
      </c>
      <c r="AK394" s="341" t="s">
        <v>573</v>
      </c>
      <c r="AL394" s="341" t="s">
        <v>574</v>
      </c>
      <c r="AM394" s="341" t="s">
        <v>575</v>
      </c>
      <c r="AN394" s="341" t="s">
        <v>576</v>
      </c>
      <c r="AO394" s="341" t="s">
        <v>544</v>
      </c>
      <c r="AP394" s="341" t="s">
        <v>578</v>
      </c>
      <c r="AQ394" s="341" t="s">
        <v>579</v>
      </c>
      <c r="AR394" s="341" t="s">
        <v>580</v>
      </c>
      <c r="AS394" s="341" t="s">
        <v>581</v>
      </c>
      <c r="AT394" s="341" t="s">
        <v>582</v>
      </c>
      <c r="AU394" s="341" t="s">
        <v>583</v>
      </c>
      <c r="AV394" s="341" t="s">
        <v>584</v>
      </c>
      <c r="AW394" s="341" t="s">
        <v>585</v>
      </c>
      <c r="AX394" s="341" t="s">
        <v>586</v>
      </c>
      <c r="AY394" s="341" t="s">
        <v>587</v>
      </c>
      <c r="AZ394" s="341" t="s">
        <v>462</v>
      </c>
      <c r="BA394" s="341" t="s">
        <v>463</v>
      </c>
      <c r="BB394" s="341" t="s">
        <v>464</v>
      </c>
      <c r="BC394" s="341" t="s">
        <v>465</v>
      </c>
      <c r="BD394" s="341" t="s">
        <v>146</v>
      </c>
      <c r="BE394" s="341" t="s">
        <v>148</v>
      </c>
      <c r="BF394" s="458" t="s">
        <v>466</v>
      </c>
      <c r="BG394"/>
    </row>
    <row r="395" spans="1:59" s="105" customFormat="1">
      <c r="B395" s="443"/>
      <c r="C395" s="334" t="s">
        <v>501</v>
      </c>
      <c r="D395" s="334" t="s">
        <v>502</v>
      </c>
      <c r="E395" s="334" t="s">
        <v>503</v>
      </c>
      <c r="F395" s="335" t="s">
        <v>440</v>
      </c>
      <c r="G395" s="335" t="s">
        <v>506</v>
      </c>
      <c r="H395" s="335" t="s">
        <v>505</v>
      </c>
      <c r="I395" s="335" t="s">
        <v>589</v>
      </c>
      <c r="J395" s="335" t="s">
        <v>590</v>
      </c>
      <c r="K395" s="335" t="s">
        <v>591</v>
      </c>
      <c r="L395" s="335" t="s">
        <v>592</v>
      </c>
      <c r="M395" s="335" t="s">
        <v>593</v>
      </c>
      <c r="N395" s="335" t="s">
        <v>594</v>
      </c>
      <c r="O395" s="335" t="s">
        <v>595</v>
      </c>
      <c r="P395" s="335" t="s">
        <v>596</v>
      </c>
      <c r="Q395" s="335" t="s">
        <v>597</v>
      </c>
      <c r="R395" s="335" t="s">
        <v>598</v>
      </c>
      <c r="S395" s="335" t="s">
        <v>599</v>
      </c>
      <c r="T395" s="335" t="s">
        <v>600</v>
      </c>
      <c r="U395" s="335" t="s">
        <v>601</v>
      </c>
      <c r="V395" s="335" t="s">
        <v>602</v>
      </c>
      <c r="W395" s="335" t="s">
        <v>603</v>
      </c>
      <c r="X395" s="335" t="s">
        <v>604</v>
      </c>
      <c r="Y395" s="335" t="s">
        <v>605</v>
      </c>
      <c r="Z395" s="335" t="s">
        <v>606</v>
      </c>
      <c r="AA395" s="335" t="s">
        <v>607</v>
      </c>
      <c r="AB395" s="335" t="s">
        <v>608</v>
      </c>
      <c r="AC395" s="335" t="s">
        <v>609</v>
      </c>
      <c r="AD395" s="335" t="s">
        <v>610</v>
      </c>
      <c r="AE395" s="335" t="s">
        <v>611</v>
      </c>
      <c r="AF395" s="335" t="s">
        <v>612</v>
      </c>
      <c r="AG395" s="335" t="s">
        <v>613</v>
      </c>
      <c r="AH395" s="335" t="s">
        <v>614</v>
      </c>
      <c r="AI395" s="335" t="s">
        <v>615</v>
      </c>
      <c r="AJ395" s="335" t="s">
        <v>616</v>
      </c>
      <c r="AK395" s="335" t="s">
        <v>439</v>
      </c>
      <c r="AL395" s="335" t="s">
        <v>617</v>
      </c>
      <c r="AM395" s="335" t="s">
        <v>618</v>
      </c>
      <c r="AN395" s="335" t="s">
        <v>619</v>
      </c>
      <c r="AO395" s="335" t="s">
        <v>588</v>
      </c>
      <c r="AP395" s="335" t="s">
        <v>620</v>
      </c>
      <c r="AQ395" s="335" t="s">
        <v>621</v>
      </c>
      <c r="AR395" s="335" t="s">
        <v>622</v>
      </c>
      <c r="AS395" s="335" t="s">
        <v>623</v>
      </c>
      <c r="AT395" s="335" t="s">
        <v>624</v>
      </c>
      <c r="AU395" s="335" t="s">
        <v>625</v>
      </c>
      <c r="AV395" s="335" t="s">
        <v>626</v>
      </c>
      <c r="AW395" s="335" t="s">
        <v>627</v>
      </c>
      <c r="AX395" s="335" t="s">
        <v>628</v>
      </c>
      <c r="AY395" s="335" t="s">
        <v>629</v>
      </c>
      <c r="AZ395" s="335" t="s">
        <v>445</v>
      </c>
      <c r="BA395" s="335" t="s">
        <v>446</v>
      </c>
      <c r="BB395" s="335" t="s">
        <v>447</v>
      </c>
      <c r="BC395" s="335" t="s">
        <v>448</v>
      </c>
      <c r="BD395" s="335" t="s">
        <v>449</v>
      </c>
      <c r="BE395" s="335" t="s">
        <v>450</v>
      </c>
      <c r="BF395" s="459" t="s">
        <v>451</v>
      </c>
      <c r="BG395"/>
    </row>
    <row r="396" spans="1:59" s="95" customFormat="1" ht="13.5" customHeight="1">
      <c r="B396" s="444"/>
      <c r="C396" s="334" t="s">
        <v>522</v>
      </c>
      <c r="D396" s="334" t="s">
        <v>630</v>
      </c>
      <c r="E396" s="334" t="s">
        <v>467</v>
      </c>
      <c r="F396" s="363" t="s">
        <v>468</v>
      </c>
      <c r="G396" s="363" t="s">
        <v>470</v>
      </c>
      <c r="H396" s="363" t="s">
        <v>470</v>
      </c>
      <c r="I396" s="363" t="s">
        <v>470</v>
      </c>
      <c r="J396" s="363" t="s">
        <v>470</v>
      </c>
      <c r="K396" s="363" t="s">
        <v>631</v>
      </c>
      <c r="L396" s="363" t="s">
        <v>631</v>
      </c>
      <c r="M396" s="363" t="s">
        <v>467</v>
      </c>
      <c r="N396" s="363" t="s">
        <v>632</v>
      </c>
      <c r="O396" s="363" t="s">
        <v>470</v>
      </c>
      <c r="P396" s="363" t="s">
        <v>528</v>
      </c>
      <c r="Q396" s="363" t="s">
        <v>524</v>
      </c>
      <c r="R396" s="363" t="s">
        <v>528</v>
      </c>
      <c r="S396" s="363" t="s">
        <v>524</v>
      </c>
      <c r="T396" s="363" t="s">
        <v>524</v>
      </c>
      <c r="U396" s="363" t="s">
        <v>470</v>
      </c>
      <c r="V396" s="363" t="s">
        <v>633</v>
      </c>
      <c r="W396" s="363" t="s">
        <v>633</v>
      </c>
      <c r="X396" s="363" t="s">
        <v>468</v>
      </c>
      <c r="Y396" s="363" t="s">
        <v>632</v>
      </c>
      <c r="Z396" s="363" t="s">
        <v>632</v>
      </c>
      <c r="AA396" s="363" t="s">
        <v>524</v>
      </c>
      <c r="AB396" s="363" t="s">
        <v>527</v>
      </c>
      <c r="AC396" s="363" t="s">
        <v>528</v>
      </c>
      <c r="AD396" s="363" t="s">
        <v>528</v>
      </c>
      <c r="AE396" s="363" t="s">
        <v>634</v>
      </c>
      <c r="AF396" s="363" t="s">
        <v>634</v>
      </c>
      <c r="AG396" s="363" t="s">
        <v>528</v>
      </c>
      <c r="AH396" s="363" t="s">
        <v>528</v>
      </c>
      <c r="AI396" s="363" t="s">
        <v>634</v>
      </c>
      <c r="AJ396" s="363" t="s">
        <v>634</v>
      </c>
      <c r="AK396" s="363" t="s">
        <v>470</v>
      </c>
      <c r="AL396" s="363" t="s">
        <v>470</v>
      </c>
      <c r="AM396" s="363" t="s">
        <v>470</v>
      </c>
      <c r="AN396" s="363" t="s">
        <v>470</v>
      </c>
      <c r="AO396" s="363" t="s">
        <v>470</v>
      </c>
      <c r="AP396" s="363" t="s">
        <v>467</v>
      </c>
      <c r="AQ396" s="363" t="s">
        <v>470</v>
      </c>
      <c r="AR396" s="363" t="s">
        <v>524</v>
      </c>
      <c r="AS396" s="363" t="s">
        <v>524</v>
      </c>
      <c r="AT396" s="363" t="s">
        <v>470</v>
      </c>
      <c r="AU396" s="363" t="s">
        <v>635</v>
      </c>
      <c r="AV396" s="363" t="s">
        <v>528</v>
      </c>
      <c r="AW396" s="363" t="s">
        <v>468</v>
      </c>
      <c r="AX396" s="363" t="s">
        <v>470</v>
      </c>
      <c r="AY396" s="363" t="s">
        <v>470</v>
      </c>
      <c r="AZ396" s="363" t="s">
        <v>473</v>
      </c>
      <c r="BA396" s="363" t="s">
        <v>474</v>
      </c>
      <c r="BB396" s="363" t="s">
        <v>475</v>
      </c>
      <c r="BC396" s="363" t="s">
        <v>475</v>
      </c>
      <c r="BD396" s="363" t="s">
        <v>474</v>
      </c>
      <c r="BE396" s="363" t="s">
        <v>475</v>
      </c>
      <c r="BF396" s="460" t="s">
        <v>475</v>
      </c>
      <c r="BG396"/>
    </row>
    <row r="397" spans="1:59" s="28" customFormat="1" ht="15">
      <c r="B397" s="360" t="s">
        <v>532</v>
      </c>
      <c r="C397" s="406" t="s">
        <v>713</v>
      </c>
      <c r="D397" s="406" t="s">
        <v>648</v>
      </c>
      <c r="E397" s="406" t="s">
        <v>648</v>
      </c>
      <c r="F397" s="406">
        <v>1</v>
      </c>
      <c r="G397" s="406" t="s">
        <v>533</v>
      </c>
      <c r="H397" s="406" t="s">
        <v>533</v>
      </c>
      <c r="I397" s="406" t="s">
        <v>534</v>
      </c>
      <c r="J397" s="406" t="s">
        <v>534</v>
      </c>
      <c r="K397" s="406" t="s">
        <v>156</v>
      </c>
      <c r="L397" s="406" t="s">
        <v>156</v>
      </c>
      <c r="M397" s="406" t="s">
        <v>156</v>
      </c>
      <c r="N397" s="406" t="s">
        <v>156</v>
      </c>
      <c r="O397" s="406" t="s">
        <v>637</v>
      </c>
      <c r="P397" s="406" t="s">
        <v>534</v>
      </c>
      <c r="Q397" s="406" t="s">
        <v>714</v>
      </c>
      <c r="R397" s="406" t="s">
        <v>638</v>
      </c>
      <c r="S397" s="406" t="s">
        <v>715</v>
      </c>
      <c r="T397" s="406" t="s">
        <v>716</v>
      </c>
      <c r="U397" s="406" t="s">
        <v>232</v>
      </c>
      <c r="V397" s="406" t="s">
        <v>717</v>
      </c>
      <c r="W397" s="406" t="s">
        <v>717</v>
      </c>
      <c r="X397" s="406"/>
      <c r="Y397" s="406"/>
      <c r="Z397" s="406" t="s">
        <v>156</v>
      </c>
      <c r="AA397" s="406">
        <v>1</v>
      </c>
      <c r="AB397" s="406">
        <v>99999999</v>
      </c>
      <c r="AC397" s="406">
        <v>0</v>
      </c>
      <c r="AD397" s="406">
        <v>0</v>
      </c>
      <c r="AE397" s="406">
        <v>0</v>
      </c>
      <c r="AF397" s="406">
        <v>0</v>
      </c>
      <c r="AG397" s="406">
        <v>0</v>
      </c>
      <c r="AH397" s="406">
        <v>0</v>
      </c>
      <c r="AI397" s="406">
        <v>0</v>
      </c>
      <c r="AJ397" s="406">
        <v>0</v>
      </c>
      <c r="AK397" s="406">
        <v>1</v>
      </c>
      <c r="AL397" s="406">
        <v>1</v>
      </c>
      <c r="AM397" s="406">
        <v>0</v>
      </c>
      <c r="AN397" s="406">
        <v>0</v>
      </c>
      <c r="AO397" s="469" t="s">
        <v>636</v>
      </c>
      <c r="AP397" s="406" t="s">
        <v>156</v>
      </c>
      <c r="AQ397" s="406" t="s">
        <v>639</v>
      </c>
      <c r="AR397" s="406">
        <v>0</v>
      </c>
      <c r="AS397" s="406">
        <v>0</v>
      </c>
      <c r="AT397" s="406">
        <v>1</v>
      </c>
      <c r="AU397" s="406">
        <v>0</v>
      </c>
      <c r="AV397" s="406">
        <v>0</v>
      </c>
      <c r="AW397" s="406">
        <v>0</v>
      </c>
      <c r="AX397" s="406">
        <v>0</v>
      </c>
      <c r="AY397" s="406">
        <v>1</v>
      </c>
      <c r="AZ397" s="406">
        <v>0</v>
      </c>
      <c r="BA397" s="406">
        <v>39864.674351851849</v>
      </c>
      <c r="BB397" s="406">
        <v>440393</v>
      </c>
      <c r="BC397" s="406">
        <v>440393</v>
      </c>
      <c r="BD397" s="406">
        <v>45482.05810185185</v>
      </c>
      <c r="BE397" s="406" t="s">
        <v>640</v>
      </c>
      <c r="BF397" s="461" t="s">
        <v>640</v>
      </c>
      <c r="BG397"/>
    </row>
    <row r="398" spans="1:59" s="28" customFormat="1" ht="15">
      <c r="B398" s="362" t="s">
        <v>537</v>
      </c>
      <c r="C398" s="406" t="s">
        <v>713</v>
      </c>
      <c r="D398" s="406" t="s">
        <v>648</v>
      </c>
      <c r="E398" s="388" t="s">
        <v>718</v>
      </c>
      <c r="F398" s="406">
        <v>1</v>
      </c>
      <c r="G398" s="406" t="s">
        <v>533</v>
      </c>
      <c r="H398" s="406" t="s">
        <v>533</v>
      </c>
      <c r="I398" s="406" t="s">
        <v>534</v>
      </c>
      <c r="J398" s="406" t="s">
        <v>534</v>
      </c>
      <c r="K398" s="406" t="s">
        <v>156</v>
      </c>
      <c r="L398" s="406" t="s">
        <v>156</v>
      </c>
      <c r="M398" s="406" t="s">
        <v>156</v>
      </c>
      <c r="N398" s="406" t="s">
        <v>156</v>
      </c>
      <c r="O398" s="406" t="s">
        <v>637</v>
      </c>
      <c r="P398" s="406" t="s">
        <v>534</v>
      </c>
      <c r="Q398" s="406" t="s">
        <v>714</v>
      </c>
      <c r="R398" s="406" t="s">
        <v>638</v>
      </c>
      <c r="S398" s="406" t="s">
        <v>715</v>
      </c>
      <c r="T398" s="406" t="s">
        <v>716</v>
      </c>
      <c r="U398" s="406" t="s">
        <v>232</v>
      </c>
      <c r="V398" s="406" t="s">
        <v>717</v>
      </c>
      <c r="W398" s="406" t="s">
        <v>717</v>
      </c>
      <c r="X398" s="406"/>
      <c r="Y398" s="406"/>
      <c r="Z398" s="406" t="s">
        <v>156</v>
      </c>
      <c r="AA398" s="406">
        <v>1</v>
      </c>
      <c r="AB398" s="406">
        <v>99999999</v>
      </c>
      <c r="AC398" s="406">
        <v>0</v>
      </c>
      <c r="AD398" s="406">
        <v>0</v>
      </c>
      <c r="AE398" s="406">
        <v>0</v>
      </c>
      <c r="AF398" s="406">
        <v>0</v>
      </c>
      <c r="AG398" s="406">
        <v>0</v>
      </c>
      <c r="AH398" s="406">
        <v>0</v>
      </c>
      <c r="AI398" s="406">
        <v>0</v>
      </c>
      <c r="AJ398" s="406">
        <v>0</v>
      </c>
      <c r="AK398" s="406">
        <v>1</v>
      </c>
      <c r="AL398" s="406">
        <v>1</v>
      </c>
      <c r="AM398" s="406">
        <v>0</v>
      </c>
      <c r="AN398" s="406">
        <v>0</v>
      </c>
      <c r="AO398" s="406" t="s">
        <v>636</v>
      </c>
      <c r="AP398" s="406" t="s">
        <v>156</v>
      </c>
      <c r="AQ398" s="406" t="s">
        <v>639</v>
      </c>
      <c r="AR398" s="406">
        <v>0</v>
      </c>
      <c r="AS398" s="406">
        <v>0</v>
      </c>
      <c r="AT398" s="406">
        <v>1</v>
      </c>
      <c r="AU398" s="406">
        <v>0</v>
      </c>
      <c r="AV398" s="406">
        <v>0</v>
      </c>
      <c r="AW398" s="406">
        <v>0</v>
      </c>
      <c r="AX398" s="406">
        <v>0</v>
      </c>
      <c r="AY398" s="406">
        <v>1</v>
      </c>
      <c r="AZ398" s="406">
        <v>0</v>
      </c>
      <c r="BA398" s="406">
        <v>39864.674351851849</v>
      </c>
      <c r="BB398" s="406">
        <v>440393</v>
      </c>
      <c r="BC398" s="406">
        <v>440393</v>
      </c>
      <c r="BD398" s="406">
        <v>45482.05810185185</v>
      </c>
      <c r="BE398" s="406" t="s">
        <v>640</v>
      </c>
      <c r="BF398" s="461" t="s">
        <v>640</v>
      </c>
      <c r="BG398"/>
    </row>
    <row r="399" spans="1:59" s="28" customFormat="1" ht="15">
      <c r="B399" s="362" t="s">
        <v>537</v>
      </c>
      <c r="C399" s="406" t="s">
        <v>713</v>
      </c>
      <c r="D399" s="388" t="s">
        <v>718</v>
      </c>
      <c r="E399" s="387" t="s">
        <v>648</v>
      </c>
      <c r="F399" s="406">
        <v>1</v>
      </c>
      <c r="G399" s="406" t="s">
        <v>533</v>
      </c>
      <c r="H399" s="406" t="s">
        <v>533</v>
      </c>
      <c r="I399" s="406" t="s">
        <v>534</v>
      </c>
      <c r="J399" s="406" t="s">
        <v>534</v>
      </c>
      <c r="K399" s="406" t="s">
        <v>156</v>
      </c>
      <c r="L399" s="406" t="s">
        <v>156</v>
      </c>
      <c r="M399" s="406" t="s">
        <v>156</v>
      </c>
      <c r="N399" s="406" t="s">
        <v>156</v>
      </c>
      <c r="O399" s="406" t="s">
        <v>637</v>
      </c>
      <c r="P399" s="406" t="s">
        <v>534</v>
      </c>
      <c r="Q399" s="406" t="s">
        <v>714</v>
      </c>
      <c r="R399" s="406" t="s">
        <v>638</v>
      </c>
      <c r="S399" s="406" t="s">
        <v>715</v>
      </c>
      <c r="T399" s="406" t="s">
        <v>716</v>
      </c>
      <c r="U399" s="406" t="s">
        <v>232</v>
      </c>
      <c r="V399" s="406" t="s">
        <v>717</v>
      </c>
      <c r="W399" s="406" t="s">
        <v>717</v>
      </c>
      <c r="X399" s="406"/>
      <c r="Y399" s="406"/>
      <c r="Z399" s="406" t="s">
        <v>156</v>
      </c>
      <c r="AA399" s="406">
        <v>1</v>
      </c>
      <c r="AB399" s="406">
        <v>99999999</v>
      </c>
      <c r="AC399" s="406">
        <v>0</v>
      </c>
      <c r="AD399" s="406">
        <v>0</v>
      </c>
      <c r="AE399" s="406">
        <v>0</v>
      </c>
      <c r="AF399" s="406">
        <v>0</v>
      </c>
      <c r="AG399" s="406">
        <v>0</v>
      </c>
      <c r="AH399" s="406">
        <v>0</v>
      </c>
      <c r="AI399" s="406">
        <v>0</v>
      </c>
      <c r="AJ399" s="406">
        <v>0</v>
      </c>
      <c r="AK399" s="406">
        <v>1</v>
      </c>
      <c r="AL399" s="406">
        <v>1</v>
      </c>
      <c r="AM399" s="406">
        <v>0</v>
      </c>
      <c r="AN399" s="406">
        <v>0</v>
      </c>
      <c r="AO399" s="406" t="s">
        <v>636</v>
      </c>
      <c r="AP399" s="406" t="s">
        <v>156</v>
      </c>
      <c r="AQ399" s="406" t="s">
        <v>639</v>
      </c>
      <c r="AR399" s="406">
        <v>0</v>
      </c>
      <c r="AS399" s="406">
        <v>0</v>
      </c>
      <c r="AT399" s="406">
        <v>1</v>
      </c>
      <c r="AU399" s="406">
        <v>0</v>
      </c>
      <c r="AV399" s="406">
        <v>0</v>
      </c>
      <c r="AW399" s="406">
        <v>0</v>
      </c>
      <c r="AX399" s="406">
        <v>0</v>
      </c>
      <c r="AY399" s="406">
        <v>1</v>
      </c>
      <c r="AZ399" s="406">
        <v>0</v>
      </c>
      <c r="BA399" s="406">
        <v>39864.674351851849</v>
      </c>
      <c r="BB399" s="406">
        <v>440393</v>
      </c>
      <c r="BC399" s="406">
        <v>440393</v>
      </c>
      <c r="BD399" s="406">
        <v>45482.05810185185</v>
      </c>
      <c r="BE399" s="406" t="s">
        <v>640</v>
      </c>
      <c r="BF399" s="461" t="s">
        <v>640</v>
      </c>
      <c r="BG399"/>
    </row>
    <row r="400" spans="1:59" s="28" customFormat="1" ht="15">
      <c r="B400" s="362" t="s">
        <v>537</v>
      </c>
      <c r="C400" s="406" t="s">
        <v>713</v>
      </c>
      <c r="D400" s="387" t="s">
        <v>648</v>
      </c>
      <c r="E400" s="388" t="s">
        <v>719</v>
      </c>
      <c r="F400" s="406">
        <v>1</v>
      </c>
      <c r="G400" s="406" t="s">
        <v>533</v>
      </c>
      <c r="H400" s="406" t="s">
        <v>533</v>
      </c>
      <c r="I400" s="406" t="s">
        <v>534</v>
      </c>
      <c r="J400" s="406" t="s">
        <v>534</v>
      </c>
      <c r="K400" s="406" t="s">
        <v>156</v>
      </c>
      <c r="L400" s="406" t="s">
        <v>156</v>
      </c>
      <c r="M400" s="406" t="s">
        <v>156</v>
      </c>
      <c r="N400" s="406" t="s">
        <v>156</v>
      </c>
      <c r="O400" s="406" t="s">
        <v>637</v>
      </c>
      <c r="P400" s="406" t="s">
        <v>534</v>
      </c>
      <c r="Q400" s="406" t="s">
        <v>714</v>
      </c>
      <c r="R400" s="406" t="s">
        <v>638</v>
      </c>
      <c r="S400" s="406" t="s">
        <v>715</v>
      </c>
      <c r="T400" s="406" t="s">
        <v>716</v>
      </c>
      <c r="U400" s="406" t="s">
        <v>232</v>
      </c>
      <c r="V400" s="406" t="s">
        <v>717</v>
      </c>
      <c r="W400" s="406" t="s">
        <v>717</v>
      </c>
      <c r="X400" s="406"/>
      <c r="Y400" s="406"/>
      <c r="Z400" s="406" t="s">
        <v>156</v>
      </c>
      <c r="AA400" s="406">
        <v>1</v>
      </c>
      <c r="AB400" s="406">
        <v>99999999</v>
      </c>
      <c r="AC400" s="406">
        <v>0</v>
      </c>
      <c r="AD400" s="406">
        <v>0</v>
      </c>
      <c r="AE400" s="406">
        <v>0</v>
      </c>
      <c r="AF400" s="406">
        <v>0</v>
      </c>
      <c r="AG400" s="406">
        <v>0</v>
      </c>
      <c r="AH400" s="406">
        <v>0</v>
      </c>
      <c r="AI400" s="406">
        <v>0</v>
      </c>
      <c r="AJ400" s="406">
        <v>0</v>
      </c>
      <c r="AK400" s="406">
        <v>1</v>
      </c>
      <c r="AL400" s="406">
        <v>1</v>
      </c>
      <c r="AM400" s="406">
        <v>0</v>
      </c>
      <c r="AN400" s="406">
        <v>0</v>
      </c>
      <c r="AO400" s="406" t="s">
        <v>636</v>
      </c>
      <c r="AP400" s="406" t="s">
        <v>156</v>
      </c>
      <c r="AQ400" s="406" t="s">
        <v>639</v>
      </c>
      <c r="AR400" s="406">
        <v>0</v>
      </c>
      <c r="AS400" s="406">
        <v>0</v>
      </c>
      <c r="AT400" s="406">
        <v>1</v>
      </c>
      <c r="AU400" s="406">
        <v>0</v>
      </c>
      <c r="AV400" s="406">
        <v>0</v>
      </c>
      <c r="AW400" s="406">
        <v>0</v>
      </c>
      <c r="AX400" s="406">
        <v>0</v>
      </c>
      <c r="AY400" s="406">
        <v>1</v>
      </c>
      <c r="AZ400" s="406">
        <v>0</v>
      </c>
      <c r="BA400" s="406">
        <v>39864.674351851849</v>
      </c>
      <c r="BB400" s="406">
        <v>440393</v>
      </c>
      <c r="BC400" s="406">
        <v>440393</v>
      </c>
      <c r="BD400" s="406">
        <v>45482.05810185185</v>
      </c>
      <c r="BE400" s="406" t="s">
        <v>640</v>
      </c>
      <c r="BF400" s="461" t="s">
        <v>640</v>
      </c>
      <c r="BG400"/>
    </row>
    <row r="401" spans="2:58">
      <c r="B401" s="366"/>
      <c r="BF401" s="348"/>
    </row>
    <row r="402" spans="2:58">
      <c r="B402" s="366"/>
      <c r="C402" s="393" t="s">
        <v>679</v>
      </c>
      <c r="D402" s="394"/>
      <c r="E402" s="394"/>
      <c r="F402" s="394"/>
      <c r="G402" s="394"/>
      <c r="H402" s="394"/>
      <c r="I402" s="394"/>
      <c r="J402" s="394"/>
      <c r="K402" s="394"/>
      <c r="L402" s="394"/>
      <c r="M402" s="394"/>
      <c r="BF402" s="348"/>
    </row>
    <row r="403" spans="2:58" ht="15">
      <c r="B403" s="366"/>
      <c r="C403" s="336"/>
      <c r="D403" s="392"/>
      <c r="E403" s="336"/>
      <c r="F403" s="336" t="s">
        <v>217</v>
      </c>
      <c r="G403" s="392"/>
      <c r="H403" s="392"/>
      <c r="I403" s="392"/>
      <c r="J403" s="392"/>
      <c r="K403" s="392"/>
      <c r="L403" s="392"/>
      <c r="M403" s="392"/>
      <c r="BF403" s="348"/>
    </row>
    <row r="404" spans="2:58">
      <c r="B404" s="366"/>
      <c r="C404" s="371" t="s">
        <v>688</v>
      </c>
      <c r="D404" s="335" t="s">
        <v>682</v>
      </c>
      <c r="E404" s="371" t="s">
        <v>689</v>
      </c>
      <c r="F404" s="335" t="s">
        <v>683</v>
      </c>
      <c r="G404" s="341" t="s">
        <v>462</v>
      </c>
      <c r="H404" s="341" t="s">
        <v>463</v>
      </c>
      <c r="I404" s="341" t="s">
        <v>464</v>
      </c>
      <c r="J404" s="341" t="s">
        <v>465</v>
      </c>
      <c r="K404" s="341" t="s">
        <v>146</v>
      </c>
      <c r="L404" s="341" t="s">
        <v>148</v>
      </c>
      <c r="M404" s="341" t="s">
        <v>466</v>
      </c>
      <c r="BF404" s="348"/>
    </row>
    <row r="405" spans="2:58" ht="14">
      <c r="B405" s="366"/>
      <c r="C405" s="405" t="s">
        <v>690</v>
      </c>
      <c r="D405" s="335" t="s">
        <v>680</v>
      </c>
      <c r="E405" s="405" t="s">
        <v>692</v>
      </c>
      <c r="F405" s="335" t="s">
        <v>681</v>
      </c>
      <c r="G405" s="335" t="s">
        <v>445</v>
      </c>
      <c r="H405" s="335" t="s">
        <v>446</v>
      </c>
      <c r="I405" s="335" t="s">
        <v>447</v>
      </c>
      <c r="J405" s="335" t="s">
        <v>448</v>
      </c>
      <c r="K405" s="335" t="s">
        <v>449</v>
      </c>
      <c r="L405" s="335" t="s">
        <v>450</v>
      </c>
      <c r="M405" s="335" t="s">
        <v>451</v>
      </c>
      <c r="BF405" s="348"/>
    </row>
    <row r="406" spans="2:58" ht="14">
      <c r="B406" s="366"/>
      <c r="C406" s="405" t="s">
        <v>691</v>
      </c>
      <c r="D406" s="367" t="s">
        <v>685</v>
      </c>
      <c r="E406" s="405" t="s">
        <v>693</v>
      </c>
      <c r="F406" s="367" t="s">
        <v>470</v>
      </c>
      <c r="G406" s="367" t="s">
        <v>684</v>
      </c>
      <c r="H406" s="367" t="s">
        <v>474</v>
      </c>
      <c r="I406" s="367" t="s">
        <v>475</v>
      </c>
      <c r="J406" s="367" t="s">
        <v>475</v>
      </c>
      <c r="K406" s="367" t="s">
        <v>223</v>
      </c>
      <c r="L406" s="367" t="s">
        <v>475</v>
      </c>
      <c r="M406" s="367" t="s">
        <v>475</v>
      </c>
      <c r="BF406" s="348"/>
    </row>
    <row r="407" spans="2:58" ht="14">
      <c r="B407" s="362" t="s">
        <v>537</v>
      </c>
      <c r="C407" s="406" t="s">
        <v>650</v>
      </c>
      <c r="D407" s="406" t="s">
        <v>694</v>
      </c>
      <c r="E407" s="388" t="s">
        <v>805</v>
      </c>
      <c r="F407" s="406" t="s">
        <v>232</v>
      </c>
      <c r="G407" s="406" t="s">
        <v>534</v>
      </c>
      <c r="H407" s="406" t="s">
        <v>696</v>
      </c>
      <c r="I407" s="406" t="s">
        <v>697</v>
      </c>
      <c r="J407" s="406" t="s">
        <v>697</v>
      </c>
      <c r="K407" s="406" t="s">
        <v>698</v>
      </c>
      <c r="L407" s="406" t="s">
        <v>699</v>
      </c>
      <c r="M407" s="406" t="s">
        <v>699</v>
      </c>
      <c r="BF407" s="348"/>
    </row>
    <row r="408" spans="2:58" ht="14">
      <c r="B408" s="362" t="s">
        <v>537</v>
      </c>
      <c r="C408" s="411" t="s">
        <v>650</v>
      </c>
      <c r="D408" s="411" t="s">
        <v>809</v>
      </c>
      <c r="E408" s="388" t="s">
        <v>810</v>
      </c>
      <c r="F408" s="411" t="s">
        <v>232</v>
      </c>
      <c r="G408" s="411" t="s">
        <v>534</v>
      </c>
      <c r="H408" s="411" t="s">
        <v>696</v>
      </c>
      <c r="I408" s="411" t="s">
        <v>697</v>
      </c>
      <c r="J408" s="411" t="s">
        <v>697</v>
      </c>
      <c r="K408" s="411" t="s">
        <v>698</v>
      </c>
      <c r="L408" s="411" t="s">
        <v>699</v>
      </c>
      <c r="M408" s="411" t="s">
        <v>699</v>
      </c>
      <c r="BF408" s="348"/>
    </row>
    <row r="409" spans="2:58" ht="14">
      <c r="B409" s="362" t="s">
        <v>537</v>
      </c>
      <c r="C409" s="411" t="s">
        <v>650</v>
      </c>
      <c r="D409" s="411" t="s">
        <v>809</v>
      </c>
      <c r="E409" s="388" t="s">
        <v>811</v>
      </c>
      <c r="F409" s="411" t="s">
        <v>232</v>
      </c>
      <c r="G409" s="411" t="s">
        <v>534</v>
      </c>
      <c r="H409" s="411" t="s">
        <v>696</v>
      </c>
      <c r="I409" s="411" t="s">
        <v>697</v>
      </c>
      <c r="J409" s="411" t="s">
        <v>697</v>
      </c>
      <c r="K409" s="411" t="s">
        <v>698</v>
      </c>
      <c r="L409" s="411" t="s">
        <v>699</v>
      </c>
      <c r="M409" s="411" t="s">
        <v>699</v>
      </c>
      <c r="BF409" s="348"/>
    </row>
    <row r="410" spans="2:58" ht="14">
      <c r="B410" s="360" t="s">
        <v>532</v>
      </c>
      <c r="C410" s="411" t="s">
        <v>650</v>
      </c>
      <c r="D410" s="411" t="s">
        <v>809</v>
      </c>
      <c r="E410" s="471" t="s">
        <v>812</v>
      </c>
      <c r="F410" s="411" t="s">
        <v>534</v>
      </c>
      <c r="G410" s="411" t="s">
        <v>534</v>
      </c>
      <c r="H410" s="411" t="s">
        <v>696</v>
      </c>
      <c r="I410" s="411" t="s">
        <v>697</v>
      </c>
      <c r="J410" s="411" t="s">
        <v>697</v>
      </c>
      <c r="K410" s="411" t="s">
        <v>698</v>
      </c>
      <c r="L410" s="411" t="s">
        <v>699</v>
      </c>
      <c r="M410" s="411" t="s">
        <v>699</v>
      </c>
      <c r="BF410" s="348"/>
    </row>
    <row r="411" spans="2:58" ht="14">
      <c r="B411" s="362" t="s">
        <v>537</v>
      </c>
      <c r="C411" s="411" t="s">
        <v>650</v>
      </c>
      <c r="D411" s="411" t="s">
        <v>809</v>
      </c>
      <c r="E411" s="388" t="s">
        <v>813</v>
      </c>
      <c r="F411" s="411" t="s">
        <v>534</v>
      </c>
      <c r="G411" s="411" t="s">
        <v>534</v>
      </c>
      <c r="H411" s="411" t="s">
        <v>696</v>
      </c>
      <c r="I411" s="411" t="s">
        <v>697</v>
      </c>
      <c r="J411" s="411" t="s">
        <v>697</v>
      </c>
      <c r="K411" s="411" t="s">
        <v>698</v>
      </c>
      <c r="L411" s="411" t="s">
        <v>699</v>
      </c>
      <c r="M411" s="411" t="s">
        <v>699</v>
      </c>
      <c r="BF411" s="348"/>
    </row>
    <row r="412" spans="2:58">
      <c r="B412" s="366"/>
      <c r="BF412" s="348"/>
    </row>
    <row r="413" spans="2:58" ht="13.5">
      <c r="B413" s="366"/>
      <c r="C413" s="354" t="s">
        <v>153</v>
      </c>
      <c r="D413" s="354"/>
      <c r="E413" s="354"/>
      <c r="F413" s="354"/>
      <c r="G413" s="354"/>
      <c r="BF413" s="348"/>
    </row>
    <row r="414" spans="2:58" ht="13.5">
      <c r="B414" s="366"/>
      <c r="C414" s="354" t="s">
        <v>641</v>
      </c>
      <c r="D414" s="354" t="s">
        <v>642</v>
      </c>
      <c r="E414" s="354" t="s">
        <v>205</v>
      </c>
      <c r="F414" s="354" t="s">
        <v>643</v>
      </c>
      <c r="G414" s="354" t="s">
        <v>644</v>
      </c>
      <c r="BF414" s="348"/>
    </row>
    <row r="415" spans="2:58" ht="13.5">
      <c r="B415" s="366"/>
      <c r="C415" s="354">
        <v>-2</v>
      </c>
      <c r="D415" s="354" t="s">
        <v>156</v>
      </c>
      <c r="E415" s="354" t="s">
        <v>964</v>
      </c>
      <c r="F415" s="354" t="s">
        <v>827</v>
      </c>
      <c r="G415" s="354" t="s">
        <v>677</v>
      </c>
      <c r="BF415" s="348"/>
    </row>
    <row r="416" spans="2:58" ht="13.5" thickBot="1">
      <c r="B416" s="366"/>
      <c r="BF416" s="348"/>
    </row>
    <row r="417" spans="1:59" ht="14" thickBot="1">
      <c r="B417" s="350" t="s">
        <v>828</v>
      </c>
      <c r="C417" s="351" t="s">
        <v>1009</v>
      </c>
      <c r="D417" s="351"/>
      <c r="E417" s="351"/>
      <c r="F417" s="351"/>
      <c r="G417" s="351"/>
      <c r="H417" s="351"/>
      <c r="I417" s="351"/>
      <c r="J417" s="351"/>
      <c r="K417" s="351"/>
      <c r="L417" s="351"/>
      <c r="M417" s="351"/>
      <c r="N417" s="351"/>
      <c r="O417" s="351"/>
      <c r="P417" s="351"/>
      <c r="Q417" s="351"/>
      <c r="R417" s="351"/>
      <c r="S417" s="351"/>
      <c r="T417" s="351"/>
      <c r="U417" s="351"/>
      <c r="V417" s="351"/>
      <c r="W417" s="351"/>
      <c r="X417" s="351"/>
      <c r="Y417" s="351"/>
      <c r="Z417" s="351"/>
      <c r="AA417" s="351"/>
      <c r="AB417" s="351"/>
      <c r="AC417" s="351"/>
      <c r="AD417" s="351"/>
      <c r="AE417" s="351"/>
      <c r="AF417" s="351"/>
      <c r="AG417" s="351"/>
      <c r="AH417" s="351"/>
      <c r="AI417" s="351"/>
      <c r="AJ417" s="351"/>
      <c r="AK417" s="351"/>
      <c r="AL417" s="351"/>
      <c r="AM417" s="351"/>
      <c r="AN417" s="351"/>
      <c r="AO417" s="351"/>
      <c r="AP417" s="351"/>
      <c r="AQ417" s="351"/>
      <c r="AR417" s="351"/>
      <c r="AS417" s="351"/>
      <c r="AT417" s="351"/>
      <c r="AU417" s="351"/>
      <c r="AV417" s="351"/>
      <c r="AW417" s="351"/>
      <c r="AX417" s="351"/>
      <c r="AY417" s="351"/>
      <c r="AZ417" s="351"/>
      <c r="BA417" s="351"/>
      <c r="BB417" s="351"/>
      <c r="BC417" s="351"/>
      <c r="BD417" s="351"/>
      <c r="BE417" s="351"/>
      <c r="BF417" s="454"/>
    </row>
    <row r="418" spans="1:59" ht="14" thickBot="1">
      <c r="B418" s="352" t="s">
        <v>675</v>
      </c>
      <c r="C418" s="351" t="s">
        <v>480</v>
      </c>
      <c r="D418" s="351"/>
      <c r="E418" s="351"/>
      <c r="F418" s="351"/>
      <c r="G418" s="351"/>
      <c r="H418" s="351"/>
      <c r="I418" s="351"/>
      <c r="J418" s="351"/>
      <c r="K418" s="351"/>
      <c r="L418" s="351"/>
      <c r="M418" s="351"/>
      <c r="N418" s="351"/>
      <c r="O418" s="351"/>
      <c r="P418" s="351"/>
      <c r="Q418" s="351"/>
      <c r="R418" s="351"/>
      <c r="S418" s="351"/>
      <c r="T418" s="351"/>
      <c r="U418" s="351"/>
      <c r="V418" s="351"/>
      <c r="W418" s="351"/>
      <c r="X418" s="351"/>
      <c r="Y418" s="351"/>
      <c r="Z418" s="351"/>
      <c r="AA418" s="351"/>
      <c r="AB418" s="351"/>
      <c r="AC418" s="351"/>
      <c r="AD418" s="351"/>
      <c r="AE418" s="351"/>
      <c r="AF418" s="351"/>
      <c r="AG418" s="351"/>
      <c r="AH418" s="351"/>
      <c r="AI418" s="351"/>
      <c r="AJ418" s="351"/>
      <c r="AK418" s="351"/>
      <c r="AL418" s="351"/>
      <c r="AM418" s="351"/>
      <c r="AN418" s="351"/>
      <c r="AO418" s="351"/>
      <c r="AP418" s="351"/>
      <c r="AQ418" s="351"/>
      <c r="AR418" s="351"/>
      <c r="AS418" s="351"/>
      <c r="AT418" s="351"/>
      <c r="AU418" s="351"/>
      <c r="AV418" s="351"/>
      <c r="AW418" s="351"/>
      <c r="AX418" s="351"/>
      <c r="AY418" s="351"/>
      <c r="AZ418" s="351"/>
      <c r="BA418" s="351"/>
      <c r="BB418" s="351"/>
      <c r="BC418" s="351"/>
      <c r="BD418" s="351"/>
      <c r="BE418" s="351"/>
      <c r="BF418" s="454"/>
    </row>
    <row r="419" spans="1:59">
      <c r="B419" s="366"/>
      <c r="BF419" s="348"/>
    </row>
    <row r="420" spans="1:59" ht="13.5">
      <c r="B420" s="366"/>
      <c r="C420" s="354" t="s">
        <v>481</v>
      </c>
      <c r="BF420" s="348"/>
    </row>
    <row r="421" spans="1:59" ht="13.5">
      <c r="B421" s="366"/>
      <c r="C421" s="354" t="s">
        <v>829</v>
      </c>
      <c r="BF421" s="348"/>
    </row>
    <row r="422" spans="1:59">
      <c r="B422" s="366"/>
      <c r="BF422" s="348"/>
    </row>
    <row r="423" spans="1:59" s="28" customFormat="1" ht="19.5" customHeight="1">
      <c r="B423" s="441"/>
      <c r="C423" s="355" t="s">
        <v>712</v>
      </c>
      <c r="D423" s="356"/>
      <c r="E423" s="356"/>
      <c r="F423" s="356"/>
      <c r="G423" s="356"/>
      <c r="H423" s="120"/>
      <c r="I423" s="356"/>
      <c r="J423" s="356"/>
      <c r="K423" s="356"/>
      <c r="L423" s="356"/>
      <c r="M423" s="356"/>
      <c r="N423" s="356"/>
      <c r="O423" s="356"/>
      <c r="P423" s="356"/>
      <c r="Q423" s="356"/>
      <c r="R423" s="356"/>
      <c r="S423" s="118"/>
      <c r="T423" s="118"/>
      <c r="U423" s="118"/>
      <c r="V423" s="118"/>
      <c r="W423" s="118"/>
      <c r="X423" s="118"/>
      <c r="Y423" s="119"/>
      <c r="Z423" s="119"/>
      <c r="AA423" s="119"/>
      <c r="AB423" s="119"/>
      <c r="AC423" s="119"/>
      <c r="AD423" s="119"/>
      <c r="AE423" s="119"/>
      <c r="AF423" s="119"/>
      <c r="AG423" s="119"/>
      <c r="AH423" s="119"/>
      <c r="AI423" s="119"/>
      <c r="AJ423" s="119"/>
      <c r="AK423" s="119"/>
      <c r="AL423" s="119"/>
      <c r="AM423" s="119"/>
      <c r="AN423" s="119"/>
      <c r="AO423" s="356"/>
      <c r="AP423" s="120"/>
      <c r="AQ423" s="120"/>
      <c r="AR423" s="120"/>
      <c r="AS423" s="120"/>
      <c r="AT423" s="120"/>
      <c r="AU423" s="120"/>
      <c r="AV423" s="120"/>
      <c r="AW423" s="120"/>
      <c r="AX423" s="120"/>
      <c r="AY423" s="120"/>
      <c r="AZ423" s="120"/>
      <c r="BA423" s="120"/>
      <c r="BB423" s="120"/>
      <c r="BC423" s="120"/>
      <c r="BD423" s="120"/>
      <c r="BE423" s="120"/>
      <c r="BF423" s="456"/>
      <c r="BG423"/>
    </row>
    <row r="424" spans="1:59" s="98" customFormat="1" ht="16.5" customHeight="1">
      <c r="A424" s="96"/>
      <c r="B424" s="442"/>
      <c r="C424" s="358"/>
      <c r="D424" s="358"/>
      <c r="E424" s="358"/>
      <c r="F424" s="359" t="s">
        <v>217</v>
      </c>
      <c r="G424" s="364"/>
      <c r="H424" s="364"/>
      <c r="I424" s="359"/>
      <c r="J424" s="364"/>
      <c r="K424" s="364"/>
      <c r="L424" s="364"/>
      <c r="M424" s="364"/>
      <c r="N424" s="364"/>
      <c r="O424" s="364"/>
      <c r="P424" s="364"/>
      <c r="Q424" s="364"/>
      <c r="R424" s="364"/>
      <c r="S424" s="364"/>
      <c r="T424" s="364"/>
      <c r="U424" s="364"/>
      <c r="V424" s="364"/>
      <c r="W424" s="364"/>
      <c r="X424" s="364"/>
      <c r="Y424" s="365"/>
      <c r="Z424" s="365"/>
      <c r="AA424" s="365"/>
      <c r="AB424" s="365"/>
      <c r="AC424" s="365"/>
      <c r="AD424" s="365"/>
      <c r="AE424" s="365"/>
      <c r="AF424" s="365"/>
      <c r="AG424" s="365"/>
      <c r="AH424" s="365"/>
      <c r="AI424" s="365"/>
      <c r="AJ424" s="365"/>
      <c r="AK424" s="359"/>
      <c r="AL424" s="365"/>
      <c r="AM424" s="365"/>
      <c r="AN424" s="365"/>
      <c r="AO424" s="359"/>
      <c r="AP424" s="365"/>
      <c r="AQ424" s="365"/>
      <c r="AR424" s="359"/>
      <c r="AS424" s="365"/>
      <c r="AT424" s="365"/>
      <c r="AU424" s="365"/>
      <c r="AV424" s="365"/>
      <c r="AW424" s="365"/>
      <c r="AX424" s="365"/>
      <c r="AY424" s="365"/>
      <c r="AZ424" s="365"/>
      <c r="BA424" s="365"/>
      <c r="BB424" s="365"/>
      <c r="BC424" s="365"/>
      <c r="BD424" s="365"/>
      <c r="BE424" s="365"/>
      <c r="BF424" s="457"/>
      <c r="BG424"/>
    </row>
    <row r="425" spans="1:59" s="105" customFormat="1" ht="86" customHeight="1">
      <c r="B425" s="443"/>
      <c r="C425" s="334" t="s">
        <v>540</v>
      </c>
      <c r="D425" s="334" t="s">
        <v>541</v>
      </c>
      <c r="E425" s="334" t="s">
        <v>542</v>
      </c>
      <c r="F425" s="341" t="s">
        <v>577</v>
      </c>
      <c r="G425" s="341" t="s">
        <v>543</v>
      </c>
      <c r="H425" s="341" t="s">
        <v>484</v>
      </c>
      <c r="I425" s="341" t="s">
        <v>545</v>
      </c>
      <c r="J425" s="341" t="s">
        <v>546</v>
      </c>
      <c r="K425" s="341" t="s">
        <v>547</v>
      </c>
      <c r="L425" s="341" t="s">
        <v>548</v>
      </c>
      <c r="M425" s="341" t="s">
        <v>549</v>
      </c>
      <c r="N425" s="341" t="s">
        <v>550</v>
      </c>
      <c r="O425" s="341" t="s">
        <v>551</v>
      </c>
      <c r="P425" s="341" t="s">
        <v>552</v>
      </c>
      <c r="Q425" s="341" t="s">
        <v>553</v>
      </c>
      <c r="R425" s="341" t="s">
        <v>554</v>
      </c>
      <c r="S425" s="341" t="s">
        <v>555</v>
      </c>
      <c r="T425" s="341" t="s">
        <v>556</v>
      </c>
      <c r="U425" s="341" t="s">
        <v>557</v>
      </c>
      <c r="V425" s="341" t="s">
        <v>558</v>
      </c>
      <c r="W425" s="341" t="s">
        <v>559</v>
      </c>
      <c r="X425" s="341" t="s">
        <v>560</v>
      </c>
      <c r="Y425" s="341" t="s">
        <v>561</v>
      </c>
      <c r="Z425" s="341" t="s">
        <v>562</v>
      </c>
      <c r="AA425" s="341" t="s">
        <v>563</v>
      </c>
      <c r="AB425" s="341" t="s">
        <v>564</v>
      </c>
      <c r="AC425" s="341" t="s">
        <v>565</v>
      </c>
      <c r="AD425" s="341" t="s">
        <v>566</v>
      </c>
      <c r="AE425" s="341" t="s">
        <v>567</v>
      </c>
      <c r="AF425" s="341" t="s">
        <v>568</v>
      </c>
      <c r="AG425" s="341" t="s">
        <v>569</v>
      </c>
      <c r="AH425" s="341" t="s">
        <v>570</v>
      </c>
      <c r="AI425" s="341" t="s">
        <v>571</v>
      </c>
      <c r="AJ425" s="341" t="s">
        <v>572</v>
      </c>
      <c r="AK425" s="341" t="s">
        <v>573</v>
      </c>
      <c r="AL425" s="341" t="s">
        <v>574</v>
      </c>
      <c r="AM425" s="341" t="s">
        <v>575</v>
      </c>
      <c r="AN425" s="341" t="s">
        <v>576</v>
      </c>
      <c r="AO425" s="341" t="s">
        <v>544</v>
      </c>
      <c r="AP425" s="341" t="s">
        <v>578</v>
      </c>
      <c r="AQ425" s="341" t="s">
        <v>579</v>
      </c>
      <c r="AR425" s="341" t="s">
        <v>580</v>
      </c>
      <c r="AS425" s="341" t="s">
        <v>581</v>
      </c>
      <c r="AT425" s="341" t="s">
        <v>582</v>
      </c>
      <c r="AU425" s="341" t="s">
        <v>583</v>
      </c>
      <c r="AV425" s="341" t="s">
        <v>584</v>
      </c>
      <c r="AW425" s="341" t="s">
        <v>585</v>
      </c>
      <c r="AX425" s="341" t="s">
        <v>586</v>
      </c>
      <c r="AY425" s="341" t="s">
        <v>587</v>
      </c>
      <c r="AZ425" s="341" t="s">
        <v>462</v>
      </c>
      <c r="BA425" s="341" t="s">
        <v>463</v>
      </c>
      <c r="BB425" s="341" t="s">
        <v>464</v>
      </c>
      <c r="BC425" s="341" t="s">
        <v>465</v>
      </c>
      <c r="BD425" s="341" t="s">
        <v>146</v>
      </c>
      <c r="BE425" s="341" t="s">
        <v>148</v>
      </c>
      <c r="BF425" s="458" t="s">
        <v>466</v>
      </c>
      <c r="BG425"/>
    </row>
    <row r="426" spans="1:59" s="105" customFormat="1">
      <c r="B426" s="443"/>
      <c r="C426" s="334" t="s">
        <v>501</v>
      </c>
      <c r="D426" s="334" t="s">
        <v>502</v>
      </c>
      <c r="E426" s="334" t="s">
        <v>503</v>
      </c>
      <c r="F426" s="335" t="s">
        <v>440</v>
      </c>
      <c r="G426" s="335" t="s">
        <v>506</v>
      </c>
      <c r="H426" s="335" t="s">
        <v>505</v>
      </c>
      <c r="I426" s="335" t="s">
        <v>589</v>
      </c>
      <c r="J426" s="335" t="s">
        <v>590</v>
      </c>
      <c r="K426" s="335" t="s">
        <v>591</v>
      </c>
      <c r="L426" s="335" t="s">
        <v>592</v>
      </c>
      <c r="M426" s="335" t="s">
        <v>593</v>
      </c>
      <c r="N426" s="335" t="s">
        <v>594</v>
      </c>
      <c r="O426" s="335" t="s">
        <v>595</v>
      </c>
      <c r="P426" s="335" t="s">
        <v>596</v>
      </c>
      <c r="Q426" s="335" t="s">
        <v>597</v>
      </c>
      <c r="R426" s="335" t="s">
        <v>598</v>
      </c>
      <c r="S426" s="335" t="s">
        <v>599</v>
      </c>
      <c r="T426" s="335" t="s">
        <v>600</v>
      </c>
      <c r="U426" s="335" t="s">
        <v>601</v>
      </c>
      <c r="V426" s="335" t="s">
        <v>602</v>
      </c>
      <c r="W426" s="335" t="s">
        <v>603</v>
      </c>
      <c r="X426" s="335" t="s">
        <v>604</v>
      </c>
      <c r="Y426" s="335" t="s">
        <v>605</v>
      </c>
      <c r="Z426" s="335" t="s">
        <v>606</v>
      </c>
      <c r="AA426" s="335" t="s">
        <v>607</v>
      </c>
      <c r="AB426" s="335" t="s">
        <v>608</v>
      </c>
      <c r="AC426" s="335" t="s">
        <v>609</v>
      </c>
      <c r="AD426" s="335" t="s">
        <v>610</v>
      </c>
      <c r="AE426" s="335" t="s">
        <v>611</v>
      </c>
      <c r="AF426" s="335" t="s">
        <v>612</v>
      </c>
      <c r="AG426" s="335" t="s">
        <v>613</v>
      </c>
      <c r="AH426" s="335" t="s">
        <v>614</v>
      </c>
      <c r="AI426" s="335" t="s">
        <v>615</v>
      </c>
      <c r="AJ426" s="335" t="s">
        <v>616</v>
      </c>
      <c r="AK426" s="335" t="s">
        <v>439</v>
      </c>
      <c r="AL426" s="335" t="s">
        <v>617</v>
      </c>
      <c r="AM426" s="335" t="s">
        <v>618</v>
      </c>
      <c r="AN426" s="335" t="s">
        <v>619</v>
      </c>
      <c r="AO426" s="335" t="s">
        <v>588</v>
      </c>
      <c r="AP426" s="335" t="s">
        <v>620</v>
      </c>
      <c r="AQ426" s="335" t="s">
        <v>621</v>
      </c>
      <c r="AR426" s="335" t="s">
        <v>622</v>
      </c>
      <c r="AS426" s="335" t="s">
        <v>623</v>
      </c>
      <c r="AT426" s="335" t="s">
        <v>624</v>
      </c>
      <c r="AU426" s="335" t="s">
        <v>625</v>
      </c>
      <c r="AV426" s="335" t="s">
        <v>626</v>
      </c>
      <c r="AW426" s="335" t="s">
        <v>627</v>
      </c>
      <c r="AX426" s="335" t="s">
        <v>628</v>
      </c>
      <c r="AY426" s="335" t="s">
        <v>629</v>
      </c>
      <c r="AZ426" s="335" t="s">
        <v>445</v>
      </c>
      <c r="BA426" s="335" t="s">
        <v>446</v>
      </c>
      <c r="BB426" s="335" t="s">
        <v>447</v>
      </c>
      <c r="BC426" s="335" t="s">
        <v>448</v>
      </c>
      <c r="BD426" s="335" t="s">
        <v>449</v>
      </c>
      <c r="BE426" s="335" t="s">
        <v>450</v>
      </c>
      <c r="BF426" s="459" t="s">
        <v>451</v>
      </c>
      <c r="BG426"/>
    </row>
    <row r="427" spans="1:59" s="95" customFormat="1" ht="13.5" customHeight="1">
      <c r="B427" s="444"/>
      <c r="C427" s="334" t="s">
        <v>522</v>
      </c>
      <c r="D427" s="334" t="s">
        <v>630</v>
      </c>
      <c r="E427" s="334" t="s">
        <v>467</v>
      </c>
      <c r="F427" s="363" t="s">
        <v>468</v>
      </c>
      <c r="G427" s="363" t="s">
        <v>470</v>
      </c>
      <c r="H427" s="363" t="s">
        <v>470</v>
      </c>
      <c r="I427" s="363" t="s">
        <v>470</v>
      </c>
      <c r="J427" s="363" t="s">
        <v>470</v>
      </c>
      <c r="K427" s="363" t="s">
        <v>631</v>
      </c>
      <c r="L427" s="363" t="s">
        <v>631</v>
      </c>
      <c r="M427" s="363" t="s">
        <v>467</v>
      </c>
      <c r="N427" s="363" t="s">
        <v>632</v>
      </c>
      <c r="O427" s="363" t="s">
        <v>470</v>
      </c>
      <c r="P427" s="363" t="s">
        <v>528</v>
      </c>
      <c r="Q427" s="363" t="s">
        <v>524</v>
      </c>
      <c r="R427" s="363" t="s">
        <v>528</v>
      </c>
      <c r="S427" s="363" t="s">
        <v>524</v>
      </c>
      <c r="T427" s="363" t="s">
        <v>524</v>
      </c>
      <c r="U427" s="363" t="s">
        <v>470</v>
      </c>
      <c r="V427" s="363" t="s">
        <v>633</v>
      </c>
      <c r="W427" s="363" t="s">
        <v>633</v>
      </c>
      <c r="X427" s="363" t="s">
        <v>468</v>
      </c>
      <c r="Y427" s="363" t="s">
        <v>632</v>
      </c>
      <c r="Z427" s="363" t="s">
        <v>632</v>
      </c>
      <c r="AA427" s="363" t="s">
        <v>524</v>
      </c>
      <c r="AB427" s="363" t="s">
        <v>527</v>
      </c>
      <c r="AC427" s="363" t="s">
        <v>528</v>
      </c>
      <c r="AD427" s="363" t="s">
        <v>528</v>
      </c>
      <c r="AE427" s="363" t="s">
        <v>634</v>
      </c>
      <c r="AF427" s="363" t="s">
        <v>634</v>
      </c>
      <c r="AG427" s="363" t="s">
        <v>528</v>
      </c>
      <c r="AH427" s="363" t="s">
        <v>528</v>
      </c>
      <c r="AI427" s="363" t="s">
        <v>634</v>
      </c>
      <c r="AJ427" s="363" t="s">
        <v>634</v>
      </c>
      <c r="AK427" s="363" t="s">
        <v>470</v>
      </c>
      <c r="AL427" s="363" t="s">
        <v>470</v>
      </c>
      <c r="AM427" s="363" t="s">
        <v>470</v>
      </c>
      <c r="AN427" s="363" t="s">
        <v>470</v>
      </c>
      <c r="AO427" s="363" t="s">
        <v>470</v>
      </c>
      <c r="AP427" s="363" t="s">
        <v>467</v>
      </c>
      <c r="AQ427" s="363" t="s">
        <v>470</v>
      </c>
      <c r="AR427" s="363" t="s">
        <v>524</v>
      </c>
      <c r="AS427" s="363" t="s">
        <v>524</v>
      </c>
      <c r="AT427" s="363" t="s">
        <v>470</v>
      </c>
      <c r="AU427" s="363" t="s">
        <v>635</v>
      </c>
      <c r="AV427" s="363" t="s">
        <v>528</v>
      </c>
      <c r="AW427" s="363" t="s">
        <v>468</v>
      </c>
      <c r="AX427" s="363" t="s">
        <v>470</v>
      </c>
      <c r="AY427" s="363" t="s">
        <v>470</v>
      </c>
      <c r="AZ427" s="363" t="s">
        <v>473</v>
      </c>
      <c r="BA427" s="363" t="s">
        <v>474</v>
      </c>
      <c r="BB427" s="363" t="s">
        <v>475</v>
      </c>
      <c r="BC427" s="363" t="s">
        <v>475</v>
      </c>
      <c r="BD427" s="363" t="s">
        <v>474</v>
      </c>
      <c r="BE427" s="363" t="s">
        <v>475</v>
      </c>
      <c r="BF427" s="460" t="s">
        <v>475</v>
      </c>
      <c r="BG427"/>
    </row>
    <row r="428" spans="1:59" s="28" customFormat="1" ht="15">
      <c r="B428" s="360" t="s">
        <v>532</v>
      </c>
      <c r="C428" s="406" t="s">
        <v>713</v>
      </c>
      <c r="D428" s="406" t="s">
        <v>648</v>
      </c>
      <c r="E428" s="406" t="s">
        <v>648</v>
      </c>
      <c r="F428" s="406">
        <v>1</v>
      </c>
      <c r="G428" s="406" t="s">
        <v>533</v>
      </c>
      <c r="H428" s="406" t="s">
        <v>533</v>
      </c>
      <c r="I428" s="406" t="s">
        <v>534</v>
      </c>
      <c r="J428" s="406" t="s">
        <v>534</v>
      </c>
      <c r="K428" s="406" t="s">
        <v>156</v>
      </c>
      <c r="L428" s="406" t="s">
        <v>156</v>
      </c>
      <c r="M428" s="406" t="s">
        <v>156</v>
      </c>
      <c r="N428" s="406" t="s">
        <v>156</v>
      </c>
      <c r="O428" s="406" t="s">
        <v>637</v>
      </c>
      <c r="P428" s="406" t="s">
        <v>534</v>
      </c>
      <c r="Q428" s="406" t="s">
        <v>714</v>
      </c>
      <c r="R428" s="406" t="s">
        <v>638</v>
      </c>
      <c r="S428" s="406" t="s">
        <v>715</v>
      </c>
      <c r="T428" s="406" t="s">
        <v>716</v>
      </c>
      <c r="U428" s="406" t="s">
        <v>232</v>
      </c>
      <c r="V428" s="406" t="s">
        <v>717</v>
      </c>
      <c r="W428" s="406" t="s">
        <v>717</v>
      </c>
      <c r="X428" s="406"/>
      <c r="Y428" s="406"/>
      <c r="Z428" s="406" t="s">
        <v>156</v>
      </c>
      <c r="AA428" s="406">
        <v>1</v>
      </c>
      <c r="AB428" s="406">
        <v>99999999</v>
      </c>
      <c r="AC428" s="406">
        <v>0</v>
      </c>
      <c r="AD428" s="406">
        <v>0</v>
      </c>
      <c r="AE428" s="406">
        <v>0</v>
      </c>
      <c r="AF428" s="406">
        <v>0</v>
      </c>
      <c r="AG428" s="406">
        <v>0</v>
      </c>
      <c r="AH428" s="406">
        <v>0</v>
      </c>
      <c r="AI428" s="406">
        <v>0</v>
      </c>
      <c r="AJ428" s="406">
        <v>0</v>
      </c>
      <c r="AK428" s="406">
        <v>1</v>
      </c>
      <c r="AL428" s="406">
        <v>1</v>
      </c>
      <c r="AM428" s="406">
        <v>0</v>
      </c>
      <c r="AN428" s="406">
        <v>0</v>
      </c>
      <c r="AO428" s="469" t="s">
        <v>636</v>
      </c>
      <c r="AP428" s="406" t="s">
        <v>156</v>
      </c>
      <c r="AQ428" s="406" t="s">
        <v>639</v>
      </c>
      <c r="AR428" s="406">
        <v>0</v>
      </c>
      <c r="AS428" s="406">
        <v>0</v>
      </c>
      <c r="AT428" s="406">
        <v>1</v>
      </c>
      <c r="AU428" s="406">
        <v>0</v>
      </c>
      <c r="AV428" s="406">
        <v>0</v>
      </c>
      <c r="AW428" s="406">
        <v>0</v>
      </c>
      <c r="AX428" s="406">
        <v>0</v>
      </c>
      <c r="AY428" s="406">
        <v>1</v>
      </c>
      <c r="AZ428" s="406">
        <v>0</v>
      </c>
      <c r="BA428" s="406">
        <v>39864.674351851849</v>
      </c>
      <c r="BB428" s="406">
        <v>440393</v>
      </c>
      <c r="BC428" s="406">
        <v>440393</v>
      </c>
      <c r="BD428" s="406">
        <v>45482.05810185185</v>
      </c>
      <c r="BE428" s="406" t="s">
        <v>640</v>
      </c>
      <c r="BF428" s="461" t="s">
        <v>640</v>
      </c>
      <c r="BG428"/>
    </row>
    <row r="429" spans="1:59" s="28" customFormat="1" ht="15">
      <c r="B429" s="362" t="s">
        <v>537</v>
      </c>
      <c r="C429" s="406" t="s">
        <v>713</v>
      </c>
      <c r="D429" s="406" t="s">
        <v>648</v>
      </c>
      <c r="E429" s="388" t="s">
        <v>718</v>
      </c>
      <c r="F429" s="406">
        <v>1</v>
      </c>
      <c r="G429" s="406" t="s">
        <v>533</v>
      </c>
      <c r="H429" s="406" t="s">
        <v>533</v>
      </c>
      <c r="I429" s="406" t="s">
        <v>534</v>
      </c>
      <c r="J429" s="406" t="s">
        <v>534</v>
      </c>
      <c r="K429" s="406" t="s">
        <v>156</v>
      </c>
      <c r="L429" s="406" t="s">
        <v>156</v>
      </c>
      <c r="M429" s="406" t="s">
        <v>156</v>
      </c>
      <c r="N429" s="406" t="s">
        <v>156</v>
      </c>
      <c r="O429" s="406" t="s">
        <v>637</v>
      </c>
      <c r="P429" s="406" t="s">
        <v>534</v>
      </c>
      <c r="Q429" s="406" t="s">
        <v>714</v>
      </c>
      <c r="R429" s="406" t="s">
        <v>638</v>
      </c>
      <c r="S429" s="406" t="s">
        <v>715</v>
      </c>
      <c r="T429" s="406" t="s">
        <v>716</v>
      </c>
      <c r="U429" s="406" t="s">
        <v>232</v>
      </c>
      <c r="V429" s="406" t="s">
        <v>717</v>
      </c>
      <c r="W429" s="406" t="s">
        <v>717</v>
      </c>
      <c r="X429" s="406"/>
      <c r="Y429" s="406"/>
      <c r="Z429" s="406" t="s">
        <v>156</v>
      </c>
      <c r="AA429" s="406">
        <v>1</v>
      </c>
      <c r="AB429" s="406">
        <v>99999999</v>
      </c>
      <c r="AC429" s="406">
        <v>0</v>
      </c>
      <c r="AD429" s="406">
        <v>0</v>
      </c>
      <c r="AE429" s="406">
        <v>0</v>
      </c>
      <c r="AF429" s="406">
        <v>0</v>
      </c>
      <c r="AG429" s="406">
        <v>0</v>
      </c>
      <c r="AH429" s="406">
        <v>0</v>
      </c>
      <c r="AI429" s="406">
        <v>0</v>
      </c>
      <c r="AJ429" s="406">
        <v>0</v>
      </c>
      <c r="AK429" s="406">
        <v>1</v>
      </c>
      <c r="AL429" s="406">
        <v>1</v>
      </c>
      <c r="AM429" s="406">
        <v>0</v>
      </c>
      <c r="AN429" s="406">
        <v>0</v>
      </c>
      <c r="AO429" s="406" t="s">
        <v>636</v>
      </c>
      <c r="AP429" s="406" t="s">
        <v>156</v>
      </c>
      <c r="AQ429" s="406" t="s">
        <v>639</v>
      </c>
      <c r="AR429" s="406">
        <v>0</v>
      </c>
      <c r="AS429" s="406">
        <v>0</v>
      </c>
      <c r="AT429" s="406">
        <v>1</v>
      </c>
      <c r="AU429" s="406">
        <v>0</v>
      </c>
      <c r="AV429" s="406">
        <v>0</v>
      </c>
      <c r="AW429" s="406">
        <v>0</v>
      </c>
      <c r="AX429" s="406">
        <v>0</v>
      </c>
      <c r="AY429" s="406">
        <v>1</v>
      </c>
      <c r="AZ429" s="406">
        <v>0</v>
      </c>
      <c r="BA429" s="406">
        <v>39864.674351851849</v>
      </c>
      <c r="BB429" s="406">
        <v>440393</v>
      </c>
      <c r="BC429" s="406">
        <v>440393</v>
      </c>
      <c r="BD429" s="406">
        <v>45482.05810185185</v>
      </c>
      <c r="BE429" s="406" t="s">
        <v>640</v>
      </c>
      <c r="BF429" s="461" t="s">
        <v>640</v>
      </c>
      <c r="BG429"/>
    </row>
    <row r="430" spans="1:59" s="28" customFormat="1" ht="15">
      <c r="B430" s="362" t="s">
        <v>537</v>
      </c>
      <c r="C430" s="406" t="s">
        <v>713</v>
      </c>
      <c r="D430" s="388" t="s">
        <v>718</v>
      </c>
      <c r="E430" s="387" t="s">
        <v>648</v>
      </c>
      <c r="F430" s="406">
        <v>1</v>
      </c>
      <c r="G430" s="406" t="s">
        <v>533</v>
      </c>
      <c r="H430" s="406" t="s">
        <v>533</v>
      </c>
      <c r="I430" s="406" t="s">
        <v>534</v>
      </c>
      <c r="J430" s="406" t="s">
        <v>534</v>
      </c>
      <c r="K430" s="406" t="s">
        <v>156</v>
      </c>
      <c r="L430" s="406" t="s">
        <v>156</v>
      </c>
      <c r="M430" s="406" t="s">
        <v>156</v>
      </c>
      <c r="N430" s="406" t="s">
        <v>156</v>
      </c>
      <c r="O430" s="406" t="s">
        <v>637</v>
      </c>
      <c r="P430" s="406" t="s">
        <v>534</v>
      </c>
      <c r="Q430" s="406" t="s">
        <v>714</v>
      </c>
      <c r="R430" s="406" t="s">
        <v>638</v>
      </c>
      <c r="S430" s="406" t="s">
        <v>715</v>
      </c>
      <c r="T430" s="406" t="s">
        <v>716</v>
      </c>
      <c r="U430" s="406" t="s">
        <v>232</v>
      </c>
      <c r="V430" s="406" t="s">
        <v>717</v>
      </c>
      <c r="W430" s="406" t="s">
        <v>717</v>
      </c>
      <c r="X430" s="406"/>
      <c r="Y430" s="406"/>
      <c r="Z430" s="406" t="s">
        <v>156</v>
      </c>
      <c r="AA430" s="406">
        <v>1</v>
      </c>
      <c r="AB430" s="406">
        <v>99999999</v>
      </c>
      <c r="AC430" s="406">
        <v>0</v>
      </c>
      <c r="AD430" s="406">
        <v>0</v>
      </c>
      <c r="AE430" s="406">
        <v>0</v>
      </c>
      <c r="AF430" s="406">
        <v>0</v>
      </c>
      <c r="AG430" s="406">
        <v>0</v>
      </c>
      <c r="AH430" s="406">
        <v>0</v>
      </c>
      <c r="AI430" s="406">
        <v>0</v>
      </c>
      <c r="AJ430" s="406">
        <v>0</v>
      </c>
      <c r="AK430" s="406">
        <v>1</v>
      </c>
      <c r="AL430" s="406">
        <v>1</v>
      </c>
      <c r="AM430" s="406">
        <v>0</v>
      </c>
      <c r="AN430" s="406">
        <v>0</v>
      </c>
      <c r="AO430" s="406" t="s">
        <v>636</v>
      </c>
      <c r="AP430" s="406" t="s">
        <v>156</v>
      </c>
      <c r="AQ430" s="406" t="s">
        <v>639</v>
      </c>
      <c r="AR430" s="406">
        <v>0</v>
      </c>
      <c r="AS430" s="406">
        <v>0</v>
      </c>
      <c r="AT430" s="406">
        <v>1</v>
      </c>
      <c r="AU430" s="406">
        <v>0</v>
      </c>
      <c r="AV430" s="406">
        <v>0</v>
      </c>
      <c r="AW430" s="406">
        <v>0</v>
      </c>
      <c r="AX430" s="406">
        <v>0</v>
      </c>
      <c r="AY430" s="406">
        <v>1</v>
      </c>
      <c r="AZ430" s="406">
        <v>0</v>
      </c>
      <c r="BA430" s="406">
        <v>39864.674351851849</v>
      </c>
      <c r="BB430" s="406">
        <v>440393</v>
      </c>
      <c r="BC430" s="406">
        <v>440393</v>
      </c>
      <c r="BD430" s="406">
        <v>45482.05810185185</v>
      </c>
      <c r="BE430" s="406" t="s">
        <v>640</v>
      </c>
      <c r="BF430" s="461" t="s">
        <v>640</v>
      </c>
      <c r="BG430"/>
    </row>
    <row r="431" spans="1:59" s="28" customFormat="1" ht="15">
      <c r="B431" s="362" t="s">
        <v>537</v>
      </c>
      <c r="C431" s="406" t="s">
        <v>713</v>
      </c>
      <c r="D431" s="387" t="s">
        <v>648</v>
      </c>
      <c r="E431" s="388" t="s">
        <v>719</v>
      </c>
      <c r="F431" s="406">
        <v>1</v>
      </c>
      <c r="G431" s="406" t="s">
        <v>533</v>
      </c>
      <c r="H431" s="406" t="s">
        <v>533</v>
      </c>
      <c r="I431" s="406" t="s">
        <v>534</v>
      </c>
      <c r="J431" s="406" t="s">
        <v>534</v>
      </c>
      <c r="K431" s="406" t="s">
        <v>156</v>
      </c>
      <c r="L431" s="406" t="s">
        <v>156</v>
      </c>
      <c r="M431" s="406" t="s">
        <v>156</v>
      </c>
      <c r="N431" s="406" t="s">
        <v>156</v>
      </c>
      <c r="O431" s="406" t="s">
        <v>637</v>
      </c>
      <c r="P431" s="406" t="s">
        <v>534</v>
      </c>
      <c r="Q431" s="406" t="s">
        <v>714</v>
      </c>
      <c r="R431" s="406" t="s">
        <v>638</v>
      </c>
      <c r="S431" s="406" t="s">
        <v>715</v>
      </c>
      <c r="T431" s="406" t="s">
        <v>716</v>
      </c>
      <c r="U431" s="406" t="s">
        <v>232</v>
      </c>
      <c r="V431" s="406" t="s">
        <v>717</v>
      </c>
      <c r="W431" s="406" t="s">
        <v>717</v>
      </c>
      <c r="X431" s="406"/>
      <c r="Y431" s="406"/>
      <c r="Z431" s="406" t="s">
        <v>156</v>
      </c>
      <c r="AA431" s="406">
        <v>1</v>
      </c>
      <c r="AB431" s="406">
        <v>99999999</v>
      </c>
      <c r="AC431" s="406">
        <v>0</v>
      </c>
      <c r="AD431" s="406">
        <v>0</v>
      </c>
      <c r="AE431" s="406">
        <v>0</v>
      </c>
      <c r="AF431" s="406">
        <v>0</v>
      </c>
      <c r="AG431" s="406">
        <v>0</v>
      </c>
      <c r="AH431" s="406">
        <v>0</v>
      </c>
      <c r="AI431" s="406">
        <v>0</v>
      </c>
      <c r="AJ431" s="406">
        <v>0</v>
      </c>
      <c r="AK431" s="406">
        <v>1</v>
      </c>
      <c r="AL431" s="406">
        <v>1</v>
      </c>
      <c r="AM431" s="406">
        <v>0</v>
      </c>
      <c r="AN431" s="406">
        <v>0</v>
      </c>
      <c r="AO431" s="406" t="s">
        <v>636</v>
      </c>
      <c r="AP431" s="406" t="s">
        <v>156</v>
      </c>
      <c r="AQ431" s="406" t="s">
        <v>639</v>
      </c>
      <c r="AR431" s="406">
        <v>0</v>
      </c>
      <c r="AS431" s="406">
        <v>0</v>
      </c>
      <c r="AT431" s="406">
        <v>1</v>
      </c>
      <c r="AU431" s="406">
        <v>0</v>
      </c>
      <c r="AV431" s="406">
        <v>0</v>
      </c>
      <c r="AW431" s="406">
        <v>0</v>
      </c>
      <c r="AX431" s="406">
        <v>0</v>
      </c>
      <c r="AY431" s="406">
        <v>1</v>
      </c>
      <c r="AZ431" s="406">
        <v>0</v>
      </c>
      <c r="BA431" s="406">
        <v>39864.674351851849</v>
      </c>
      <c r="BB431" s="406">
        <v>440393</v>
      </c>
      <c r="BC431" s="406">
        <v>440393</v>
      </c>
      <c r="BD431" s="406">
        <v>45482.05810185185</v>
      </c>
      <c r="BE431" s="406" t="s">
        <v>640</v>
      </c>
      <c r="BF431" s="461" t="s">
        <v>640</v>
      </c>
      <c r="BG431"/>
    </row>
    <row r="432" spans="1:59">
      <c r="B432" s="366"/>
      <c r="BF432" s="348"/>
    </row>
    <row r="433" spans="2:58">
      <c r="B433" s="366"/>
      <c r="C433" s="393" t="s">
        <v>679</v>
      </c>
      <c r="D433" s="394"/>
      <c r="E433" s="394"/>
      <c r="F433" s="394"/>
      <c r="G433" s="394"/>
      <c r="H433" s="394"/>
      <c r="I433" s="394"/>
      <c r="J433" s="394"/>
      <c r="K433" s="394"/>
      <c r="L433" s="394"/>
      <c r="M433" s="394"/>
      <c r="BF433" s="348"/>
    </row>
    <row r="434" spans="2:58" ht="15">
      <c r="B434" s="366"/>
      <c r="C434" s="336"/>
      <c r="D434" s="392"/>
      <c r="E434" s="336"/>
      <c r="F434" s="336" t="s">
        <v>217</v>
      </c>
      <c r="G434" s="392"/>
      <c r="H434" s="392"/>
      <c r="I434" s="392"/>
      <c r="J434" s="392"/>
      <c r="K434" s="392"/>
      <c r="L434" s="392"/>
      <c r="M434" s="392"/>
      <c r="BF434" s="348"/>
    </row>
    <row r="435" spans="2:58">
      <c r="B435" s="366"/>
      <c r="C435" s="371" t="s">
        <v>688</v>
      </c>
      <c r="D435" s="335" t="s">
        <v>682</v>
      </c>
      <c r="E435" s="371" t="s">
        <v>689</v>
      </c>
      <c r="F435" s="335" t="s">
        <v>683</v>
      </c>
      <c r="G435" s="341" t="s">
        <v>462</v>
      </c>
      <c r="H435" s="341" t="s">
        <v>463</v>
      </c>
      <c r="I435" s="341" t="s">
        <v>464</v>
      </c>
      <c r="J435" s="341" t="s">
        <v>465</v>
      </c>
      <c r="K435" s="341" t="s">
        <v>146</v>
      </c>
      <c r="L435" s="341" t="s">
        <v>148</v>
      </c>
      <c r="M435" s="341" t="s">
        <v>466</v>
      </c>
      <c r="BF435" s="348"/>
    </row>
    <row r="436" spans="2:58" ht="14">
      <c r="B436" s="366"/>
      <c r="C436" s="405" t="s">
        <v>690</v>
      </c>
      <c r="D436" s="335" t="s">
        <v>680</v>
      </c>
      <c r="E436" s="405" t="s">
        <v>692</v>
      </c>
      <c r="F436" s="335" t="s">
        <v>681</v>
      </c>
      <c r="G436" s="335" t="s">
        <v>445</v>
      </c>
      <c r="H436" s="335" t="s">
        <v>446</v>
      </c>
      <c r="I436" s="335" t="s">
        <v>447</v>
      </c>
      <c r="J436" s="335" t="s">
        <v>448</v>
      </c>
      <c r="K436" s="335" t="s">
        <v>449</v>
      </c>
      <c r="L436" s="335" t="s">
        <v>450</v>
      </c>
      <c r="M436" s="335" t="s">
        <v>451</v>
      </c>
      <c r="BF436" s="348"/>
    </row>
    <row r="437" spans="2:58" ht="14">
      <c r="B437" s="366"/>
      <c r="C437" s="405" t="s">
        <v>691</v>
      </c>
      <c r="D437" s="367" t="s">
        <v>685</v>
      </c>
      <c r="E437" s="405" t="s">
        <v>693</v>
      </c>
      <c r="F437" s="367" t="s">
        <v>470</v>
      </c>
      <c r="G437" s="367" t="s">
        <v>684</v>
      </c>
      <c r="H437" s="367" t="s">
        <v>474</v>
      </c>
      <c r="I437" s="367" t="s">
        <v>475</v>
      </c>
      <c r="J437" s="367" t="s">
        <v>475</v>
      </c>
      <c r="K437" s="367" t="s">
        <v>223</v>
      </c>
      <c r="L437" s="367" t="s">
        <v>475</v>
      </c>
      <c r="M437" s="367" t="s">
        <v>475</v>
      </c>
      <c r="BF437" s="348"/>
    </row>
    <row r="438" spans="2:58" ht="14">
      <c r="B438" s="362" t="s">
        <v>537</v>
      </c>
      <c r="C438" s="406" t="s">
        <v>650</v>
      </c>
      <c r="D438" s="406" t="s">
        <v>694</v>
      </c>
      <c r="E438" s="388" t="s">
        <v>805</v>
      </c>
      <c r="F438" s="406" t="s">
        <v>232</v>
      </c>
      <c r="G438" s="406" t="s">
        <v>534</v>
      </c>
      <c r="H438" s="406" t="s">
        <v>696</v>
      </c>
      <c r="I438" s="406" t="s">
        <v>697</v>
      </c>
      <c r="J438" s="406" t="s">
        <v>697</v>
      </c>
      <c r="K438" s="406" t="s">
        <v>698</v>
      </c>
      <c r="L438" s="406" t="s">
        <v>699</v>
      </c>
      <c r="M438" s="406" t="s">
        <v>699</v>
      </c>
      <c r="BF438" s="348"/>
    </row>
    <row r="439" spans="2:58" ht="14">
      <c r="B439" s="362" t="s">
        <v>537</v>
      </c>
      <c r="C439" s="411" t="s">
        <v>650</v>
      </c>
      <c r="D439" s="411" t="s">
        <v>809</v>
      </c>
      <c r="E439" s="388" t="s">
        <v>810</v>
      </c>
      <c r="F439" s="411" t="s">
        <v>232</v>
      </c>
      <c r="G439" s="411" t="s">
        <v>534</v>
      </c>
      <c r="H439" s="411" t="s">
        <v>696</v>
      </c>
      <c r="I439" s="411" t="s">
        <v>697</v>
      </c>
      <c r="J439" s="411" t="s">
        <v>697</v>
      </c>
      <c r="K439" s="411" t="s">
        <v>698</v>
      </c>
      <c r="L439" s="411" t="s">
        <v>699</v>
      </c>
      <c r="M439" s="411" t="s">
        <v>699</v>
      </c>
      <c r="BF439" s="348"/>
    </row>
    <row r="440" spans="2:58" ht="14">
      <c r="B440" s="362" t="s">
        <v>537</v>
      </c>
      <c r="C440" s="411" t="s">
        <v>650</v>
      </c>
      <c r="D440" s="411" t="s">
        <v>809</v>
      </c>
      <c r="E440" s="388" t="s">
        <v>811</v>
      </c>
      <c r="F440" s="411" t="s">
        <v>232</v>
      </c>
      <c r="G440" s="411" t="s">
        <v>534</v>
      </c>
      <c r="H440" s="411" t="s">
        <v>696</v>
      </c>
      <c r="I440" s="411" t="s">
        <v>697</v>
      </c>
      <c r="J440" s="411" t="s">
        <v>697</v>
      </c>
      <c r="K440" s="411" t="s">
        <v>698</v>
      </c>
      <c r="L440" s="411" t="s">
        <v>699</v>
      </c>
      <c r="M440" s="411" t="s">
        <v>699</v>
      </c>
      <c r="BF440" s="348"/>
    </row>
    <row r="441" spans="2:58" ht="14">
      <c r="B441" s="360" t="s">
        <v>532</v>
      </c>
      <c r="C441" s="406" t="s">
        <v>650</v>
      </c>
      <c r="D441" s="407" t="s">
        <v>694</v>
      </c>
      <c r="E441" s="407" t="s">
        <v>695</v>
      </c>
      <c r="F441" s="407" t="s">
        <v>534</v>
      </c>
      <c r="G441" s="407" t="s">
        <v>534</v>
      </c>
      <c r="H441" s="410" t="s">
        <v>696</v>
      </c>
      <c r="I441" s="407" t="s">
        <v>697</v>
      </c>
      <c r="J441" s="407" t="s">
        <v>697</v>
      </c>
      <c r="K441" s="407" t="s">
        <v>698</v>
      </c>
      <c r="L441" s="407" t="s">
        <v>699</v>
      </c>
      <c r="M441" s="411" t="s">
        <v>699</v>
      </c>
      <c r="BF441" s="348"/>
    </row>
    <row r="442" spans="2:58" ht="14">
      <c r="B442" s="362" t="s">
        <v>537</v>
      </c>
      <c r="C442" s="411" t="s">
        <v>650</v>
      </c>
      <c r="D442" s="411" t="s">
        <v>809</v>
      </c>
      <c r="E442" s="388" t="s">
        <v>813</v>
      </c>
      <c r="F442" s="411" t="s">
        <v>534</v>
      </c>
      <c r="G442" s="411" t="s">
        <v>534</v>
      </c>
      <c r="H442" s="411" t="s">
        <v>696</v>
      </c>
      <c r="I442" s="411" t="s">
        <v>697</v>
      </c>
      <c r="J442" s="411" t="s">
        <v>697</v>
      </c>
      <c r="K442" s="411" t="s">
        <v>698</v>
      </c>
      <c r="L442" s="411" t="s">
        <v>699</v>
      </c>
      <c r="M442" s="411" t="s">
        <v>699</v>
      </c>
      <c r="BF442" s="348"/>
    </row>
    <row r="443" spans="2:58">
      <c r="B443" s="366"/>
      <c r="BF443" s="348"/>
    </row>
    <row r="444" spans="2:58" ht="13.5">
      <c r="B444" s="366"/>
      <c r="C444" s="354" t="s">
        <v>153</v>
      </c>
      <c r="BF444" s="348"/>
    </row>
    <row r="445" spans="2:58" ht="13.5">
      <c r="B445" s="366"/>
      <c r="C445" s="354" t="s">
        <v>641</v>
      </c>
      <c r="D445" s="354" t="s">
        <v>642</v>
      </c>
      <c r="E445" s="354" t="s">
        <v>205</v>
      </c>
      <c r="F445" s="354" t="s">
        <v>643</v>
      </c>
      <c r="G445" s="354" t="s">
        <v>644</v>
      </c>
      <c r="BF445" s="348"/>
    </row>
    <row r="446" spans="2:58" ht="13.5">
      <c r="B446" s="366"/>
      <c r="C446" s="354">
        <v>0</v>
      </c>
      <c r="D446" s="354"/>
      <c r="E446" s="354"/>
      <c r="F446" s="354"/>
      <c r="G446" s="354"/>
      <c r="BF446" s="348"/>
    </row>
    <row r="447" spans="2:58" ht="13.5" thickBot="1">
      <c r="B447" s="366"/>
      <c r="BF447" s="348"/>
    </row>
    <row r="448" spans="2:58" ht="14" thickBot="1">
      <c r="B448" s="350" t="s">
        <v>831</v>
      </c>
      <c r="C448" s="351" t="s">
        <v>830</v>
      </c>
      <c r="D448" s="351"/>
      <c r="E448" s="351"/>
      <c r="F448" s="351"/>
      <c r="G448" s="351"/>
      <c r="H448" s="351"/>
      <c r="I448" s="351"/>
      <c r="J448" s="351"/>
      <c r="K448" s="351"/>
      <c r="L448" s="351"/>
      <c r="M448" s="351"/>
      <c r="N448" s="351"/>
      <c r="O448" s="351"/>
      <c r="P448" s="351"/>
      <c r="Q448" s="351"/>
      <c r="R448" s="351"/>
      <c r="S448" s="351"/>
      <c r="T448" s="351"/>
      <c r="U448" s="351"/>
      <c r="V448" s="351"/>
      <c r="W448" s="351"/>
      <c r="X448" s="351"/>
      <c r="Y448" s="351"/>
      <c r="Z448" s="351"/>
      <c r="AA448" s="351"/>
      <c r="AB448" s="351"/>
      <c r="AC448" s="351"/>
      <c r="AD448" s="351"/>
      <c r="AE448" s="351"/>
      <c r="AF448" s="351"/>
      <c r="AG448" s="351"/>
      <c r="AH448" s="351"/>
      <c r="AI448" s="351"/>
      <c r="AJ448" s="351"/>
      <c r="AK448" s="351"/>
      <c r="AL448" s="351"/>
      <c r="AM448" s="351"/>
      <c r="AN448" s="351"/>
      <c r="AO448" s="351"/>
      <c r="AP448" s="351"/>
      <c r="AQ448" s="351"/>
      <c r="AR448" s="351"/>
      <c r="AS448" s="351"/>
      <c r="AT448" s="351"/>
      <c r="AU448" s="351"/>
      <c r="AV448" s="351"/>
      <c r="AW448" s="351"/>
      <c r="AX448" s="351"/>
      <c r="AY448" s="351"/>
      <c r="AZ448" s="351"/>
      <c r="BA448" s="351"/>
      <c r="BB448" s="351"/>
      <c r="BC448" s="351"/>
      <c r="BD448" s="351"/>
      <c r="BE448" s="351"/>
      <c r="BF448" s="454"/>
    </row>
    <row r="449" spans="1:59" ht="14" thickBot="1">
      <c r="B449" s="352" t="s">
        <v>986</v>
      </c>
      <c r="C449" s="351" t="s">
        <v>674</v>
      </c>
      <c r="D449" s="351"/>
      <c r="E449" s="351"/>
      <c r="F449" s="351"/>
      <c r="G449" s="351"/>
      <c r="H449" s="351"/>
      <c r="I449" s="351"/>
      <c r="J449" s="351"/>
      <c r="K449" s="351"/>
      <c r="L449" s="351"/>
      <c r="M449" s="351"/>
      <c r="N449" s="351"/>
      <c r="O449" s="351"/>
      <c r="P449" s="351"/>
      <c r="Q449" s="351"/>
      <c r="R449" s="351"/>
      <c r="S449" s="351"/>
      <c r="T449" s="351"/>
      <c r="U449" s="351"/>
      <c r="V449" s="351"/>
      <c r="W449" s="351"/>
      <c r="X449" s="351"/>
      <c r="Y449" s="351"/>
      <c r="Z449" s="351"/>
      <c r="AA449" s="351"/>
      <c r="AB449" s="351"/>
      <c r="AC449" s="351"/>
      <c r="AD449" s="351"/>
      <c r="AE449" s="351"/>
      <c r="AF449" s="351"/>
      <c r="AG449" s="351"/>
      <c r="AH449" s="351"/>
      <c r="AI449" s="351"/>
      <c r="AJ449" s="351"/>
      <c r="AK449" s="351"/>
      <c r="AL449" s="351"/>
      <c r="AM449" s="351"/>
      <c r="AN449" s="351"/>
      <c r="AO449" s="351"/>
      <c r="AP449" s="351"/>
      <c r="AQ449" s="351"/>
      <c r="AR449" s="351"/>
      <c r="AS449" s="351"/>
      <c r="AT449" s="351"/>
      <c r="AU449" s="351"/>
      <c r="AV449" s="351"/>
      <c r="AW449" s="351"/>
      <c r="AX449" s="351"/>
      <c r="AY449" s="351"/>
      <c r="AZ449" s="351"/>
      <c r="BA449" s="351"/>
      <c r="BB449" s="351"/>
      <c r="BC449" s="351"/>
      <c r="BD449" s="351"/>
      <c r="BE449" s="351"/>
      <c r="BF449" s="454"/>
    </row>
    <row r="450" spans="1:59">
      <c r="B450" s="366"/>
      <c r="BF450" s="348"/>
    </row>
    <row r="451" spans="1:59" ht="13.5">
      <c r="B451" s="366"/>
      <c r="C451" s="354" t="s">
        <v>481</v>
      </c>
      <c r="BF451" s="348"/>
    </row>
    <row r="452" spans="1:59" ht="13.5">
      <c r="B452" s="366"/>
      <c r="C452" s="354" t="s">
        <v>832</v>
      </c>
      <c r="BF452" s="348"/>
    </row>
    <row r="453" spans="1:59">
      <c r="B453" s="366"/>
      <c r="BF453" s="348"/>
    </row>
    <row r="454" spans="1:59" s="28" customFormat="1" ht="19.5" customHeight="1">
      <c r="B454" s="441"/>
      <c r="C454" s="355" t="s">
        <v>712</v>
      </c>
      <c r="D454" s="356"/>
      <c r="E454" s="356"/>
      <c r="F454" s="356"/>
      <c r="G454" s="356"/>
      <c r="H454" s="120"/>
      <c r="I454" s="356"/>
      <c r="J454" s="356"/>
      <c r="K454" s="356"/>
      <c r="L454" s="356"/>
      <c r="M454" s="356"/>
      <c r="N454" s="356"/>
      <c r="O454" s="356"/>
      <c r="P454" s="356"/>
      <c r="Q454" s="356"/>
      <c r="R454" s="356"/>
      <c r="S454" s="118"/>
      <c r="T454" s="118"/>
      <c r="U454" s="118"/>
      <c r="V454" s="118"/>
      <c r="W454" s="118"/>
      <c r="X454" s="118"/>
      <c r="Y454" s="119"/>
      <c r="Z454" s="119"/>
      <c r="AA454" s="119"/>
      <c r="AB454" s="119"/>
      <c r="AC454" s="119"/>
      <c r="AD454" s="119"/>
      <c r="AE454" s="119"/>
      <c r="AF454" s="119"/>
      <c r="AG454" s="119"/>
      <c r="AH454" s="119"/>
      <c r="AI454" s="119"/>
      <c r="AJ454" s="119"/>
      <c r="AK454" s="119"/>
      <c r="AL454" s="119"/>
      <c r="AM454" s="119"/>
      <c r="AN454" s="119"/>
      <c r="AO454" s="356"/>
      <c r="AP454" s="120"/>
      <c r="AQ454" s="120"/>
      <c r="AR454" s="120"/>
      <c r="AS454" s="120"/>
      <c r="AT454" s="120"/>
      <c r="AU454" s="120"/>
      <c r="AV454" s="120"/>
      <c r="AW454" s="120"/>
      <c r="AX454" s="120"/>
      <c r="AY454" s="120"/>
      <c r="AZ454" s="120"/>
      <c r="BA454" s="120"/>
      <c r="BB454" s="120"/>
      <c r="BC454" s="120"/>
      <c r="BD454" s="120"/>
      <c r="BE454" s="120"/>
      <c r="BF454" s="456"/>
      <c r="BG454"/>
    </row>
    <row r="455" spans="1:59" s="98" customFormat="1" ht="16.5" customHeight="1">
      <c r="A455" s="96"/>
      <c r="B455" s="442"/>
      <c r="C455" s="358"/>
      <c r="D455" s="358"/>
      <c r="E455" s="358"/>
      <c r="F455" s="359" t="s">
        <v>217</v>
      </c>
      <c r="G455" s="364"/>
      <c r="H455" s="364"/>
      <c r="I455" s="359"/>
      <c r="J455" s="364"/>
      <c r="K455" s="364"/>
      <c r="L455" s="364"/>
      <c r="M455" s="364"/>
      <c r="N455" s="364"/>
      <c r="O455" s="364"/>
      <c r="P455" s="364"/>
      <c r="Q455" s="364"/>
      <c r="R455" s="364"/>
      <c r="S455" s="364"/>
      <c r="T455" s="364"/>
      <c r="U455" s="364"/>
      <c r="V455" s="364"/>
      <c r="W455" s="364"/>
      <c r="X455" s="364"/>
      <c r="Y455" s="365"/>
      <c r="Z455" s="365"/>
      <c r="AA455" s="365"/>
      <c r="AB455" s="365"/>
      <c r="AC455" s="365"/>
      <c r="AD455" s="365"/>
      <c r="AE455" s="365"/>
      <c r="AF455" s="365"/>
      <c r="AG455" s="365"/>
      <c r="AH455" s="365"/>
      <c r="AI455" s="365"/>
      <c r="AJ455" s="365"/>
      <c r="AK455" s="359"/>
      <c r="AL455" s="365"/>
      <c r="AM455" s="365"/>
      <c r="AN455" s="365"/>
      <c r="AO455" s="359"/>
      <c r="AP455" s="365"/>
      <c r="AQ455" s="365"/>
      <c r="AR455" s="359"/>
      <c r="AS455" s="365"/>
      <c r="AT455" s="365"/>
      <c r="AU455" s="365"/>
      <c r="AV455" s="365"/>
      <c r="AW455" s="365"/>
      <c r="AX455" s="365"/>
      <c r="AY455" s="365"/>
      <c r="AZ455" s="365"/>
      <c r="BA455" s="365"/>
      <c r="BB455" s="365"/>
      <c r="BC455" s="365"/>
      <c r="BD455" s="365"/>
      <c r="BE455" s="365"/>
      <c r="BF455" s="457"/>
      <c r="BG455"/>
    </row>
    <row r="456" spans="1:59" s="105" customFormat="1" ht="86" customHeight="1">
      <c r="B456" s="443"/>
      <c r="C456" s="334" t="s">
        <v>540</v>
      </c>
      <c r="D456" s="334" t="s">
        <v>541</v>
      </c>
      <c r="E456" s="334" t="s">
        <v>542</v>
      </c>
      <c r="F456" s="341" t="s">
        <v>577</v>
      </c>
      <c r="G456" s="341" t="s">
        <v>543</v>
      </c>
      <c r="H456" s="341" t="s">
        <v>484</v>
      </c>
      <c r="I456" s="341" t="s">
        <v>545</v>
      </c>
      <c r="J456" s="341" t="s">
        <v>546</v>
      </c>
      <c r="K456" s="341" t="s">
        <v>547</v>
      </c>
      <c r="L456" s="341" t="s">
        <v>548</v>
      </c>
      <c r="M456" s="341" t="s">
        <v>549</v>
      </c>
      <c r="N456" s="341" t="s">
        <v>550</v>
      </c>
      <c r="O456" s="341" t="s">
        <v>551</v>
      </c>
      <c r="P456" s="341" t="s">
        <v>552</v>
      </c>
      <c r="Q456" s="341" t="s">
        <v>553</v>
      </c>
      <c r="R456" s="341" t="s">
        <v>554</v>
      </c>
      <c r="S456" s="341" t="s">
        <v>555</v>
      </c>
      <c r="T456" s="341" t="s">
        <v>556</v>
      </c>
      <c r="U456" s="341" t="s">
        <v>557</v>
      </c>
      <c r="V456" s="341" t="s">
        <v>558</v>
      </c>
      <c r="W456" s="341" t="s">
        <v>559</v>
      </c>
      <c r="X456" s="341" t="s">
        <v>560</v>
      </c>
      <c r="Y456" s="341" t="s">
        <v>561</v>
      </c>
      <c r="Z456" s="341" t="s">
        <v>562</v>
      </c>
      <c r="AA456" s="341" t="s">
        <v>563</v>
      </c>
      <c r="AB456" s="341" t="s">
        <v>564</v>
      </c>
      <c r="AC456" s="341" t="s">
        <v>565</v>
      </c>
      <c r="AD456" s="341" t="s">
        <v>566</v>
      </c>
      <c r="AE456" s="341" t="s">
        <v>567</v>
      </c>
      <c r="AF456" s="341" t="s">
        <v>568</v>
      </c>
      <c r="AG456" s="341" t="s">
        <v>569</v>
      </c>
      <c r="AH456" s="341" t="s">
        <v>570</v>
      </c>
      <c r="AI456" s="341" t="s">
        <v>571</v>
      </c>
      <c r="AJ456" s="341" t="s">
        <v>572</v>
      </c>
      <c r="AK456" s="341" t="s">
        <v>573</v>
      </c>
      <c r="AL456" s="341" t="s">
        <v>574</v>
      </c>
      <c r="AM456" s="341" t="s">
        <v>575</v>
      </c>
      <c r="AN456" s="341" t="s">
        <v>576</v>
      </c>
      <c r="AO456" s="341" t="s">
        <v>544</v>
      </c>
      <c r="AP456" s="341" t="s">
        <v>578</v>
      </c>
      <c r="AQ456" s="341" t="s">
        <v>579</v>
      </c>
      <c r="AR456" s="341" t="s">
        <v>580</v>
      </c>
      <c r="AS456" s="341" t="s">
        <v>581</v>
      </c>
      <c r="AT456" s="341" t="s">
        <v>582</v>
      </c>
      <c r="AU456" s="341" t="s">
        <v>583</v>
      </c>
      <c r="AV456" s="341" t="s">
        <v>584</v>
      </c>
      <c r="AW456" s="341" t="s">
        <v>585</v>
      </c>
      <c r="AX456" s="341" t="s">
        <v>586</v>
      </c>
      <c r="AY456" s="341" t="s">
        <v>587</v>
      </c>
      <c r="AZ456" s="341" t="s">
        <v>462</v>
      </c>
      <c r="BA456" s="341" t="s">
        <v>463</v>
      </c>
      <c r="BB456" s="341" t="s">
        <v>464</v>
      </c>
      <c r="BC456" s="341" t="s">
        <v>465</v>
      </c>
      <c r="BD456" s="341" t="s">
        <v>146</v>
      </c>
      <c r="BE456" s="341" t="s">
        <v>148</v>
      </c>
      <c r="BF456" s="458" t="s">
        <v>466</v>
      </c>
      <c r="BG456"/>
    </row>
    <row r="457" spans="1:59" s="105" customFormat="1">
      <c r="B457" s="443"/>
      <c r="C457" s="334" t="s">
        <v>501</v>
      </c>
      <c r="D457" s="334" t="s">
        <v>502</v>
      </c>
      <c r="E457" s="334" t="s">
        <v>503</v>
      </c>
      <c r="F457" s="335" t="s">
        <v>440</v>
      </c>
      <c r="G457" s="335" t="s">
        <v>506</v>
      </c>
      <c r="H457" s="335" t="s">
        <v>505</v>
      </c>
      <c r="I457" s="335" t="s">
        <v>589</v>
      </c>
      <c r="J457" s="335" t="s">
        <v>590</v>
      </c>
      <c r="K457" s="335" t="s">
        <v>591</v>
      </c>
      <c r="L457" s="335" t="s">
        <v>592</v>
      </c>
      <c r="M457" s="335" t="s">
        <v>593</v>
      </c>
      <c r="N457" s="335" t="s">
        <v>594</v>
      </c>
      <c r="O457" s="335" t="s">
        <v>595</v>
      </c>
      <c r="P457" s="335" t="s">
        <v>596</v>
      </c>
      <c r="Q457" s="335" t="s">
        <v>597</v>
      </c>
      <c r="R457" s="335" t="s">
        <v>598</v>
      </c>
      <c r="S457" s="335" t="s">
        <v>599</v>
      </c>
      <c r="T457" s="335" t="s">
        <v>600</v>
      </c>
      <c r="U457" s="335" t="s">
        <v>601</v>
      </c>
      <c r="V457" s="335" t="s">
        <v>602</v>
      </c>
      <c r="W457" s="335" t="s">
        <v>603</v>
      </c>
      <c r="X457" s="335" t="s">
        <v>604</v>
      </c>
      <c r="Y457" s="335" t="s">
        <v>605</v>
      </c>
      <c r="Z457" s="335" t="s">
        <v>606</v>
      </c>
      <c r="AA457" s="335" t="s">
        <v>607</v>
      </c>
      <c r="AB457" s="335" t="s">
        <v>608</v>
      </c>
      <c r="AC457" s="335" t="s">
        <v>609</v>
      </c>
      <c r="AD457" s="335" t="s">
        <v>610</v>
      </c>
      <c r="AE457" s="335" t="s">
        <v>611</v>
      </c>
      <c r="AF457" s="335" t="s">
        <v>612</v>
      </c>
      <c r="AG457" s="335" t="s">
        <v>613</v>
      </c>
      <c r="AH457" s="335" t="s">
        <v>614</v>
      </c>
      <c r="AI457" s="335" t="s">
        <v>615</v>
      </c>
      <c r="AJ457" s="335" t="s">
        <v>616</v>
      </c>
      <c r="AK457" s="335" t="s">
        <v>439</v>
      </c>
      <c r="AL457" s="335" t="s">
        <v>617</v>
      </c>
      <c r="AM457" s="335" t="s">
        <v>618</v>
      </c>
      <c r="AN457" s="335" t="s">
        <v>619</v>
      </c>
      <c r="AO457" s="335" t="s">
        <v>588</v>
      </c>
      <c r="AP457" s="335" t="s">
        <v>620</v>
      </c>
      <c r="AQ457" s="335" t="s">
        <v>621</v>
      </c>
      <c r="AR457" s="335" t="s">
        <v>622</v>
      </c>
      <c r="AS457" s="335" t="s">
        <v>623</v>
      </c>
      <c r="AT457" s="335" t="s">
        <v>624</v>
      </c>
      <c r="AU457" s="335" t="s">
        <v>625</v>
      </c>
      <c r="AV457" s="335" t="s">
        <v>626</v>
      </c>
      <c r="AW457" s="335" t="s">
        <v>627</v>
      </c>
      <c r="AX457" s="335" t="s">
        <v>628</v>
      </c>
      <c r="AY457" s="335" t="s">
        <v>629</v>
      </c>
      <c r="AZ457" s="335" t="s">
        <v>445</v>
      </c>
      <c r="BA457" s="335" t="s">
        <v>446</v>
      </c>
      <c r="BB457" s="335" t="s">
        <v>447</v>
      </c>
      <c r="BC457" s="335" t="s">
        <v>448</v>
      </c>
      <c r="BD457" s="335" t="s">
        <v>449</v>
      </c>
      <c r="BE457" s="335" t="s">
        <v>450</v>
      </c>
      <c r="BF457" s="459" t="s">
        <v>451</v>
      </c>
      <c r="BG457"/>
    </row>
    <row r="458" spans="1:59" s="95" customFormat="1" ht="13.5" customHeight="1">
      <c r="B458" s="444"/>
      <c r="C458" s="334" t="s">
        <v>522</v>
      </c>
      <c r="D458" s="334" t="s">
        <v>630</v>
      </c>
      <c r="E458" s="334" t="s">
        <v>467</v>
      </c>
      <c r="F458" s="363" t="s">
        <v>468</v>
      </c>
      <c r="G458" s="363" t="s">
        <v>470</v>
      </c>
      <c r="H458" s="363" t="s">
        <v>470</v>
      </c>
      <c r="I458" s="363" t="s">
        <v>470</v>
      </c>
      <c r="J458" s="363" t="s">
        <v>470</v>
      </c>
      <c r="K458" s="363" t="s">
        <v>631</v>
      </c>
      <c r="L458" s="363" t="s">
        <v>631</v>
      </c>
      <c r="M458" s="363" t="s">
        <v>467</v>
      </c>
      <c r="N458" s="363" t="s">
        <v>632</v>
      </c>
      <c r="O458" s="363" t="s">
        <v>470</v>
      </c>
      <c r="P458" s="363" t="s">
        <v>528</v>
      </c>
      <c r="Q458" s="363" t="s">
        <v>524</v>
      </c>
      <c r="R458" s="363" t="s">
        <v>528</v>
      </c>
      <c r="S458" s="363" t="s">
        <v>524</v>
      </c>
      <c r="T458" s="363" t="s">
        <v>524</v>
      </c>
      <c r="U458" s="363" t="s">
        <v>470</v>
      </c>
      <c r="V458" s="363" t="s">
        <v>633</v>
      </c>
      <c r="W458" s="363" t="s">
        <v>633</v>
      </c>
      <c r="X458" s="363" t="s">
        <v>468</v>
      </c>
      <c r="Y458" s="363" t="s">
        <v>632</v>
      </c>
      <c r="Z458" s="363" t="s">
        <v>632</v>
      </c>
      <c r="AA458" s="363" t="s">
        <v>524</v>
      </c>
      <c r="AB458" s="363" t="s">
        <v>527</v>
      </c>
      <c r="AC458" s="363" t="s">
        <v>528</v>
      </c>
      <c r="AD458" s="363" t="s">
        <v>528</v>
      </c>
      <c r="AE458" s="363" t="s">
        <v>634</v>
      </c>
      <c r="AF458" s="363" t="s">
        <v>634</v>
      </c>
      <c r="AG458" s="363" t="s">
        <v>528</v>
      </c>
      <c r="AH458" s="363" t="s">
        <v>528</v>
      </c>
      <c r="AI458" s="363" t="s">
        <v>634</v>
      </c>
      <c r="AJ458" s="363" t="s">
        <v>634</v>
      </c>
      <c r="AK458" s="363" t="s">
        <v>470</v>
      </c>
      <c r="AL458" s="363" t="s">
        <v>470</v>
      </c>
      <c r="AM458" s="363" t="s">
        <v>470</v>
      </c>
      <c r="AN458" s="363" t="s">
        <v>470</v>
      </c>
      <c r="AO458" s="363" t="s">
        <v>470</v>
      </c>
      <c r="AP458" s="363" t="s">
        <v>467</v>
      </c>
      <c r="AQ458" s="363" t="s">
        <v>470</v>
      </c>
      <c r="AR458" s="363" t="s">
        <v>524</v>
      </c>
      <c r="AS458" s="363" t="s">
        <v>524</v>
      </c>
      <c r="AT458" s="363" t="s">
        <v>470</v>
      </c>
      <c r="AU458" s="363" t="s">
        <v>635</v>
      </c>
      <c r="AV458" s="363" t="s">
        <v>528</v>
      </c>
      <c r="AW458" s="363" t="s">
        <v>468</v>
      </c>
      <c r="AX458" s="363" t="s">
        <v>470</v>
      </c>
      <c r="AY458" s="363" t="s">
        <v>470</v>
      </c>
      <c r="AZ458" s="363" t="s">
        <v>473</v>
      </c>
      <c r="BA458" s="363" t="s">
        <v>474</v>
      </c>
      <c r="BB458" s="363" t="s">
        <v>475</v>
      </c>
      <c r="BC458" s="363" t="s">
        <v>475</v>
      </c>
      <c r="BD458" s="363" t="s">
        <v>474</v>
      </c>
      <c r="BE458" s="363" t="s">
        <v>475</v>
      </c>
      <c r="BF458" s="460" t="s">
        <v>475</v>
      </c>
      <c r="BG458"/>
    </row>
    <row r="459" spans="1:59" s="28" customFormat="1" ht="15">
      <c r="B459" s="360" t="s">
        <v>532</v>
      </c>
      <c r="C459" s="406" t="s">
        <v>713</v>
      </c>
      <c r="D459" s="406" t="s">
        <v>648</v>
      </c>
      <c r="E459" s="406" t="s">
        <v>648</v>
      </c>
      <c r="F459" s="406">
        <v>1</v>
      </c>
      <c r="G459" s="406" t="s">
        <v>533</v>
      </c>
      <c r="H459" s="406" t="s">
        <v>533</v>
      </c>
      <c r="I459" s="406" t="s">
        <v>534</v>
      </c>
      <c r="J459" s="406" t="s">
        <v>534</v>
      </c>
      <c r="K459" s="406" t="s">
        <v>156</v>
      </c>
      <c r="L459" s="406" t="s">
        <v>156</v>
      </c>
      <c r="M459" s="406" t="s">
        <v>156</v>
      </c>
      <c r="N459" s="406" t="s">
        <v>156</v>
      </c>
      <c r="O459" s="406" t="s">
        <v>637</v>
      </c>
      <c r="P459" s="406" t="s">
        <v>534</v>
      </c>
      <c r="Q459" s="406" t="s">
        <v>714</v>
      </c>
      <c r="R459" s="406" t="s">
        <v>638</v>
      </c>
      <c r="S459" s="406" t="s">
        <v>715</v>
      </c>
      <c r="T459" s="406" t="s">
        <v>716</v>
      </c>
      <c r="U459" s="406" t="s">
        <v>232</v>
      </c>
      <c r="V459" s="406" t="s">
        <v>717</v>
      </c>
      <c r="W459" s="406" t="s">
        <v>717</v>
      </c>
      <c r="X459" s="406"/>
      <c r="Y459" s="406"/>
      <c r="Z459" s="406" t="s">
        <v>156</v>
      </c>
      <c r="AA459" s="406">
        <v>1</v>
      </c>
      <c r="AB459" s="406">
        <v>99999999</v>
      </c>
      <c r="AC459" s="406">
        <v>0</v>
      </c>
      <c r="AD459" s="406">
        <v>0</v>
      </c>
      <c r="AE459" s="406">
        <v>0</v>
      </c>
      <c r="AF459" s="406">
        <v>0</v>
      </c>
      <c r="AG459" s="406">
        <v>0</v>
      </c>
      <c r="AH459" s="406">
        <v>0</v>
      </c>
      <c r="AI459" s="406">
        <v>0</v>
      </c>
      <c r="AJ459" s="406">
        <v>0</v>
      </c>
      <c r="AK459" s="406">
        <v>1</v>
      </c>
      <c r="AL459" s="406">
        <v>1</v>
      </c>
      <c r="AM459" s="406">
        <v>0</v>
      </c>
      <c r="AN459" s="406">
        <v>0</v>
      </c>
      <c r="AO459" s="469" t="s">
        <v>636</v>
      </c>
      <c r="AP459" s="406" t="s">
        <v>156</v>
      </c>
      <c r="AQ459" s="406" t="s">
        <v>639</v>
      </c>
      <c r="AR459" s="406">
        <v>0</v>
      </c>
      <c r="AS459" s="406">
        <v>0</v>
      </c>
      <c r="AT459" s="406">
        <v>1</v>
      </c>
      <c r="AU459" s="406">
        <v>0</v>
      </c>
      <c r="AV459" s="406">
        <v>0</v>
      </c>
      <c r="AW459" s="406">
        <v>0</v>
      </c>
      <c r="AX459" s="406">
        <v>0</v>
      </c>
      <c r="AY459" s="406">
        <v>1</v>
      </c>
      <c r="AZ459" s="406">
        <v>0</v>
      </c>
      <c r="BA459" s="406">
        <v>39864.674351851849</v>
      </c>
      <c r="BB459" s="406">
        <v>440393</v>
      </c>
      <c r="BC459" s="406">
        <v>440393</v>
      </c>
      <c r="BD459" s="406">
        <v>45482.05810185185</v>
      </c>
      <c r="BE459" s="406" t="s">
        <v>640</v>
      </c>
      <c r="BF459" s="461" t="s">
        <v>640</v>
      </c>
      <c r="BG459"/>
    </row>
    <row r="460" spans="1:59" s="28" customFormat="1" ht="15">
      <c r="B460" s="362" t="s">
        <v>537</v>
      </c>
      <c r="C460" s="406" t="s">
        <v>713</v>
      </c>
      <c r="D460" s="406" t="s">
        <v>648</v>
      </c>
      <c r="E460" s="388" t="s">
        <v>718</v>
      </c>
      <c r="F460" s="406">
        <v>1</v>
      </c>
      <c r="G460" s="406" t="s">
        <v>533</v>
      </c>
      <c r="H460" s="406" t="s">
        <v>533</v>
      </c>
      <c r="I460" s="406" t="s">
        <v>534</v>
      </c>
      <c r="J460" s="406" t="s">
        <v>534</v>
      </c>
      <c r="K460" s="406" t="s">
        <v>156</v>
      </c>
      <c r="L460" s="406" t="s">
        <v>156</v>
      </c>
      <c r="M460" s="406" t="s">
        <v>156</v>
      </c>
      <c r="N460" s="406" t="s">
        <v>156</v>
      </c>
      <c r="O460" s="406" t="s">
        <v>637</v>
      </c>
      <c r="P460" s="406" t="s">
        <v>534</v>
      </c>
      <c r="Q460" s="406" t="s">
        <v>714</v>
      </c>
      <c r="R460" s="406" t="s">
        <v>638</v>
      </c>
      <c r="S460" s="406" t="s">
        <v>715</v>
      </c>
      <c r="T460" s="406" t="s">
        <v>716</v>
      </c>
      <c r="U460" s="406" t="s">
        <v>232</v>
      </c>
      <c r="V460" s="406" t="s">
        <v>717</v>
      </c>
      <c r="W460" s="406" t="s">
        <v>717</v>
      </c>
      <c r="X460" s="406"/>
      <c r="Y460" s="406"/>
      <c r="Z460" s="406" t="s">
        <v>156</v>
      </c>
      <c r="AA460" s="406">
        <v>1</v>
      </c>
      <c r="AB460" s="406">
        <v>99999999</v>
      </c>
      <c r="AC460" s="406">
        <v>0</v>
      </c>
      <c r="AD460" s="406">
        <v>0</v>
      </c>
      <c r="AE460" s="406">
        <v>0</v>
      </c>
      <c r="AF460" s="406">
        <v>0</v>
      </c>
      <c r="AG460" s="406">
        <v>0</v>
      </c>
      <c r="AH460" s="406">
        <v>0</v>
      </c>
      <c r="AI460" s="406">
        <v>0</v>
      </c>
      <c r="AJ460" s="406">
        <v>0</v>
      </c>
      <c r="AK460" s="406">
        <v>1</v>
      </c>
      <c r="AL460" s="406">
        <v>1</v>
      </c>
      <c r="AM460" s="406">
        <v>0</v>
      </c>
      <c r="AN460" s="406">
        <v>0</v>
      </c>
      <c r="AO460" s="406" t="s">
        <v>636</v>
      </c>
      <c r="AP460" s="406" t="s">
        <v>156</v>
      </c>
      <c r="AQ460" s="406" t="s">
        <v>639</v>
      </c>
      <c r="AR460" s="406">
        <v>0</v>
      </c>
      <c r="AS460" s="406">
        <v>0</v>
      </c>
      <c r="AT460" s="406">
        <v>1</v>
      </c>
      <c r="AU460" s="406">
        <v>0</v>
      </c>
      <c r="AV460" s="406">
        <v>0</v>
      </c>
      <c r="AW460" s="406">
        <v>0</v>
      </c>
      <c r="AX460" s="406">
        <v>0</v>
      </c>
      <c r="AY460" s="406">
        <v>1</v>
      </c>
      <c r="AZ460" s="406">
        <v>0</v>
      </c>
      <c r="BA460" s="406">
        <v>39864.674351851849</v>
      </c>
      <c r="BB460" s="406">
        <v>440393</v>
      </c>
      <c r="BC460" s="406">
        <v>440393</v>
      </c>
      <c r="BD460" s="406">
        <v>45482.05810185185</v>
      </c>
      <c r="BE460" s="406" t="s">
        <v>640</v>
      </c>
      <c r="BF460" s="461" t="s">
        <v>640</v>
      </c>
      <c r="BG460"/>
    </row>
    <row r="461" spans="1:59" s="28" customFormat="1" ht="15">
      <c r="B461" s="362" t="s">
        <v>537</v>
      </c>
      <c r="C461" s="406" t="s">
        <v>713</v>
      </c>
      <c r="D461" s="388" t="s">
        <v>718</v>
      </c>
      <c r="E461" s="387" t="s">
        <v>648</v>
      </c>
      <c r="F461" s="406">
        <v>1</v>
      </c>
      <c r="G461" s="406" t="s">
        <v>533</v>
      </c>
      <c r="H461" s="406" t="s">
        <v>533</v>
      </c>
      <c r="I461" s="406" t="s">
        <v>534</v>
      </c>
      <c r="J461" s="406" t="s">
        <v>534</v>
      </c>
      <c r="K461" s="406" t="s">
        <v>156</v>
      </c>
      <c r="L461" s="406" t="s">
        <v>156</v>
      </c>
      <c r="M461" s="406" t="s">
        <v>156</v>
      </c>
      <c r="N461" s="406" t="s">
        <v>156</v>
      </c>
      <c r="O461" s="406" t="s">
        <v>637</v>
      </c>
      <c r="P461" s="406" t="s">
        <v>534</v>
      </c>
      <c r="Q461" s="406" t="s">
        <v>714</v>
      </c>
      <c r="R461" s="406" t="s">
        <v>638</v>
      </c>
      <c r="S461" s="406" t="s">
        <v>715</v>
      </c>
      <c r="T461" s="406" t="s">
        <v>716</v>
      </c>
      <c r="U461" s="406" t="s">
        <v>232</v>
      </c>
      <c r="V461" s="406" t="s">
        <v>717</v>
      </c>
      <c r="W461" s="406" t="s">
        <v>717</v>
      </c>
      <c r="X461" s="406"/>
      <c r="Y461" s="406"/>
      <c r="Z461" s="406" t="s">
        <v>156</v>
      </c>
      <c r="AA461" s="406">
        <v>1</v>
      </c>
      <c r="AB461" s="406">
        <v>99999999</v>
      </c>
      <c r="AC461" s="406">
        <v>0</v>
      </c>
      <c r="AD461" s="406">
        <v>0</v>
      </c>
      <c r="AE461" s="406">
        <v>0</v>
      </c>
      <c r="AF461" s="406">
        <v>0</v>
      </c>
      <c r="AG461" s="406">
        <v>0</v>
      </c>
      <c r="AH461" s="406">
        <v>0</v>
      </c>
      <c r="AI461" s="406">
        <v>0</v>
      </c>
      <c r="AJ461" s="406">
        <v>0</v>
      </c>
      <c r="AK461" s="406">
        <v>1</v>
      </c>
      <c r="AL461" s="406">
        <v>1</v>
      </c>
      <c r="AM461" s="406">
        <v>0</v>
      </c>
      <c r="AN461" s="406">
        <v>0</v>
      </c>
      <c r="AO461" s="406" t="s">
        <v>636</v>
      </c>
      <c r="AP461" s="406" t="s">
        <v>156</v>
      </c>
      <c r="AQ461" s="406" t="s">
        <v>639</v>
      </c>
      <c r="AR461" s="406">
        <v>0</v>
      </c>
      <c r="AS461" s="406">
        <v>0</v>
      </c>
      <c r="AT461" s="406">
        <v>1</v>
      </c>
      <c r="AU461" s="406">
        <v>0</v>
      </c>
      <c r="AV461" s="406">
        <v>0</v>
      </c>
      <c r="AW461" s="406">
        <v>0</v>
      </c>
      <c r="AX461" s="406">
        <v>0</v>
      </c>
      <c r="AY461" s="406">
        <v>1</v>
      </c>
      <c r="AZ461" s="406">
        <v>0</v>
      </c>
      <c r="BA461" s="406">
        <v>39864.674351851849</v>
      </c>
      <c r="BB461" s="406">
        <v>440393</v>
      </c>
      <c r="BC461" s="406">
        <v>440393</v>
      </c>
      <c r="BD461" s="406">
        <v>45482.05810185185</v>
      </c>
      <c r="BE461" s="406" t="s">
        <v>640</v>
      </c>
      <c r="BF461" s="461" t="s">
        <v>640</v>
      </c>
      <c r="BG461"/>
    </row>
    <row r="462" spans="1:59" s="28" customFormat="1" ht="15">
      <c r="B462" s="362" t="s">
        <v>537</v>
      </c>
      <c r="C462" s="406" t="s">
        <v>713</v>
      </c>
      <c r="D462" s="387" t="s">
        <v>648</v>
      </c>
      <c r="E462" s="388" t="s">
        <v>719</v>
      </c>
      <c r="F462" s="406">
        <v>1</v>
      </c>
      <c r="G462" s="406" t="s">
        <v>533</v>
      </c>
      <c r="H462" s="406" t="s">
        <v>533</v>
      </c>
      <c r="I462" s="406" t="s">
        <v>534</v>
      </c>
      <c r="J462" s="406" t="s">
        <v>534</v>
      </c>
      <c r="K462" s="406" t="s">
        <v>156</v>
      </c>
      <c r="L462" s="406" t="s">
        <v>156</v>
      </c>
      <c r="M462" s="406" t="s">
        <v>156</v>
      </c>
      <c r="N462" s="406" t="s">
        <v>156</v>
      </c>
      <c r="O462" s="406" t="s">
        <v>637</v>
      </c>
      <c r="P462" s="406" t="s">
        <v>534</v>
      </c>
      <c r="Q462" s="406" t="s">
        <v>714</v>
      </c>
      <c r="R462" s="406" t="s">
        <v>638</v>
      </c>
      <c r="S462" s="406" t="s">
        <v>715</v>
      </c>
      <c r="T462" s="406" t="s">
        <v>716</v>
      </c>
      <c r="U462" s="406" t="s">
        <v>232</v>
      </c>
      <c r="V462" s="406" t="s">
        <v>717</v>
      </c>
      <c r="W462" s="406" t="s">
        <v>717</v>
      </c>
      <c r="X462" s="406"/>
      <c r="Y462" s="406"/>
      <c r="Z462" s="406" t="s">
        <v>156</v>
      </c>
      <c r="AA462" s="406">
        <v>1</v>
      </c>
      <c r="AB462" s="406">
        <v>99999999</v>
      </c>
      <c r="AC462" s="406">
        <v>0</v>
      </c>
      <c r="AD462" s="406">
        <v>0</v>
      </c>
      <c r="AE462" s="406">
        <v>0</v>
      </c>
      <c r="AF462" s="406">
        <v>0</v>
      </c>
      <c r="AG462" s="406">
        <v>0</v>
      </c>
      <c r="AH462" s="406">
        <v>0</v>
      </c>
      <c r="AI462" s="406">
        <v>0</v>
      </c>
      <c r="AJ462" s="406">
        <v>0</v>
      </c>
      <c r="AK462" s="406">
        <v>1</v>
      </c>
      <c r="AL462" s="406">
        <v>1</v>
      </c>
      <c r="AM462" s="406">
        <v>0</v>
      </c>
      <c r="AN462" s="406">
        <v>0</v>
      </c>
      <c r="AO462" s="406" t="s">
        <v>636</v>
      </c>
      <c r="AP462" s="406" t="s">
        <v>156</v>
      </c>
      <c r="AQ462" s="406" t="s">
        <v>639</v>
      </c>
      <c r="AR462" s="406">
        <v>0</v>
      </c>
      <c r="AS462" s="406">
        <v>0</v>
      </c>
      <c r="AT462" s="406">
        <v>1</v>
      </c>
      <c r="AU462" s="406">
        <v>0</v>
      </c>
      <c r="AV462" s="406">
        <v>0</v>
      </c>
      <c r="AW462" s="406">
        <v>0</v>
      </c>
      <c r="AX462" s="406">
        <v>0</v>
      </c>
      <c r="AY462" s="406">
        <v>1</v>
      </c>
      <c r="AZ462" s="406">
        <v>0</v>
      </c>
      <c r="BA462" s="406">
        <v>39864.674351851849</v>
      </c>
      <c r="BB462" s="406">
        <v>440393</v>
      </c>
      <c r="BC462" s="406">
        <v>440393</v>
      </c>
      <c r="BD462" s="406">
        <v>45482.05810185185</v>
      </c>
      <c r="BE462" s="406" t="s">
        <v>640</v>
      </c>
      <c r="BF462" s="461" t="s">
        <v>640</v>
      </c>
      <c r="BG462"/>
    </row>
    <row r="463" spans="1:59">
      <c r="B463" s="366"/>
      <c r="BF463" s="348"/>
    </row>
    <row r="464" spans="1:59">
      <c r="B464" s="366"/>
      <c r="C464" s="393" t="s">
        <v>679</v>
      </c>
      <c r="D464" s="394"/>
      <c r="E464" s="394"/>
      <c r="F464" s="394"/>
      <c r="G464" s="394"/>
      <c r="H464" s="394"/>
      <c r="I464" s="394"/>
      <c r="J464" s="394"/>
      <c r="K464" s="394"/>
      <c r="L464" s="394"/>
      <c r="M464" s="394"/>
      <c r="BF464" s="348"/>
    </row>
    <row r="465" spans="2:58" ht="15">
      <c r="B465" s="366"/>
      <c r="C465" s="336"/>
      <c r="D465" s="392"/>
      <c r="E465" s="336"/>
      <c r="F465" s="336" t="s">
        <v>217</v>
      </c>
      <c r="G465" s="392"/>
      <c r="H465" s="392"/>
      <c r="I465" s="392"/>
      <c r="J465" s="392"/>
      <c r="K465" s="392"/>
      <c r="L465" s="392"/>
      <c r="M465" s="392"/>
      <c r="BF465" s="348"/>
    </row>
    <row r="466" spans="2:58">
      <c r="B466" s="366"/>
      <c r="C466" s="371" t="s">
        <v>688</v>
      </c>
      <c r="D466" s="335" t="s">
        <v>682</v>
      </c>
      <c r="E466" s="371" t="s">
        <v>689</v>
      </c>
      <c r="F466" s="335" t="s">
        <v>683</v>
      </c>
      <c r="G466" s="341" t="s">
        <v>462</v>
      </c>
      <c r="H466" s="341" t="s">
        <v>463</v>
      </c>
      <c r="I466" s="341" t="s">
        <v>464</v>
      </c>
      <c r="J466" s="341" t="s">
        <v>465</v>
      </c>
      <c r="K466" s="341" t="s">
        <v>146</v>
      </c>
      <c r="L466" s="341" t="s">
        <v>148</v>
      </c>
      <c r="M466" s="341" t="s">
        <v>466</v>
      </c>
      <c r="BF466" s="348"/>
    </row>
    <row r="467" spans="2:58" ht="14">
      <c r="B467" s="366"/>
      <c r="C467" s="405" t="s">
        <v>690</v>
      </c>
      <c r="D467" s="335" t="s">
        <v>680</v>
      </c>
      <c r="E467" s="405" t="s">
        <v>692</v>
      </c>
      <c r="F467" s="335" t="s">
        <v>681</v>
      </c>
      <c r="G467" s="335" t="s">
        <v>445</v>
      </c>
      <c r="H467" s="335" t="s">
        <v>446</v>
      </c>
      <c r="I467" s="335" t="s">
        <v>447</v>
      </c>
      <c r="J467" s="335" t="s">
        <v>448</v>
      </c>
      <c r="K467" s="335" t="s">
        <v>449</v>
      </c>
      <c r="L467" s="335" t="s">
        <v>450</v>
      </c>
      <c r="M467" s="335" t="s">
        <v>451</v>
      </c>
      <c r="BF467" s="348"/>
    </row>
    <row r="468" spans="2:58" ht="14">
      <c r="B468" s="366"/>
      <c r="C468" s="405" t="s">
        <v>691</v>
      </c>
      <c r="D468" s="367" t="s">
        <v>685</v>
      </c>
      <c r="E468" s="405" t="s">
        <v>693</v>
      </c>
      <c r="F468" s="367" t="s">
        <v>470</v>
      </c>
      <c r="G468" s="367" t="s">
        <v>684</v>
      </c>
      <c r="H468" s="367" t="s">
        <v>474</v>
      </c>
      <c r="I468" s="367" t="s">
        <v>475</v>
      </c>
      <c r="J468" s="367" t="s">
        <v>475</v>
      </c>
      <c r="K468" s="367" t="s">
        <v>223</v>
      </c>
      <c r="L468" s="367" t="s">
        <v>475</v>
      </c>
      <c r="M468" s="367" t="s">
        <v>475</v>
      </c>
      <c r="BF468" s="348"/>
    </row>
    <row r="469" spans="2:58" ht="14">
      <c r="B469" s="362" t="s">
        <v>537</v>
      </c>
      <c r="C469" s="406" t="s">
        <v>650</v>
      </c>
      <c r="D469" s="406" t="s">
        <v>694</v>
      </c>
      <c r="E469" s="388" t="s">
        <v>805</v>
      </c>
      <c r="F469" s="406" t="s">
        <v>232</v>
      </c>
      <c r="G469" s="406" t="s">
        <v>534</v>
      </c>
      <c r="H469" s="406" t="s">
        <v>696</v>
      </c>
      <c r="I469" s="406" t="s">
        <v>697</v>
      </c>
      <c r="J469" s="406" t="s">
        <v>697</v>
      </c>
      <c r="K469" s="406" t="s">
        <v>698</v>
      </c>
      <c r="L469" s="406" t="s">
        <v>699</v>
      </c>
      <c r="M469" s="406" t="s">
        <v>699</v>
      </c>
      <c r="BF469" s="348"/>
    </row>
    <row r="470" spans="2:58" ht="14">
      <c r="B470" s="362" t="s">
        <v>537</v>
      </c>
      <c r="C470" s="411" t="s">
        <v>650</v>
      </c>
      <c r="D470" s="411" t="s">
        <v>809</v>
      </c>
      <c r="E470" s="388" t="s">
        <v>810</v>
      </c>
      <c r="F470" s="411" t="s">
        <v>232</v>
      </c>
      <c r="G470" s="411" t="s">
        <v>534</v>
      </c>
      <c r="H470" s="411" t="s">
        <v>696</v>
      </c>
      <c r="I470" s="411" t="s">
        <v>697</v>
      </c>
      <c r="J470" s="411" t="s">
        <v>697</v>
      </c>
      <c r="K470" s="411" t="s">
        <v>698</v>
      </c>
      <c r="L470" s="411" t="s">
        <v>699</v>
      </c>
      <c r="M470" s="411" t="s">
        <v>699</v>
      </c>
      <c r="BF470" s="348"/>
    </row>
    <row r="471" spans="2:58" ht="14">
      <c r="B471" s="362" t="s">
        <v>537</v>
      </c>
      <c r="C471" s="411" t="s">
        <v>650</v>
      </c>
      <c r="D471" s="411" t="s">
        <v>809</v>
      </c>
      <c r="E471" s="388" t="s">
        <v>811</v>
      </c>
      <c r="F471" s="411" t="s">
        <v>232</v>
      </c>
      <c r="G471" s="411" t="s">
        <v>534</v>
      </c>
      <c r="H471" s="411" t="s">
        <v>696</v>
      </c>
      <c r="I471" s="411" t="s">
        <v>697</v>
      </c>
      <c r="J471" s="411" t="s">
        <v>697</v>
      </c>
      <c r="K471" s="411" t="s">
        <v>698</v>
      </c>
      <c r="L471" s="411" t="s">
        <v>699</v>
      </c>
      <c r="M471" s="411" t="s">
        <v>699</v>
      </c>
      <c r="BF471" s="348"/>
    </row>
    <row r="472" spans="2:58" ht="14">
      <c r="B472" s="360" t="s">
        <v>532</v>
      </c>
      <c r="C472" s="411" t="s">
        <v>650</v>
      </c>
      <c r="D472" s="411" t="s">
        <v>809</v>
      </c>
      <c r="E472" s="387" t="s">
        <v>812</v>
      </c>
      <c r="F472" s="411" t="s">
        <v>534</v>
      </c>
      <c r="G472" s="411" t="s">
        <v>534</v>
      </c>
      <c r="H472" s="411" t="s">
        <v>696</v>
      </c>
      <c r="I472" s="411" t="s">
        <v>697</v>
      </c>
      <c r="J472" s="411" t="s">
        <v>697</v>
      </c>
      <c r="K472" s="411" t="s">
        <v>698</v>
      </c>
      <c r="L472" s="411" t="s">
        <v>699</v>
      </c>
      <c r="M472" s="411" t="s">
        <v>699</v>
      </c>
      <c r="BF472" s="348"/>
    </row>
    <row r="473" spans="2:58" ht="14">
      <c r="B473" s="362" t="s">
        <v>537</v>
      </c>
      <c r="C473" s="411" t="s">
        <v>650</v>
      </c>
      <c r="D473" s="411" t="s">
        <v>809</v>
      </c>
      <c r="E473" s="388" t="s">
        <v>813</v>
      </c>
      <c r="F473" s="411" t="s">
        <v>534</v>
      </c>
      <c r="G473" s="411" t="s">
        <v>534</v>
      </c>
      <c r="H473" s="411" t="s">
        <v>696</v>
      </c>
      <c r="I473" s="411" t="s">
        <v>697</v>
      </c>
      <c r="J473" s="411" t="s">
        <v>697</v>
      </c>
      <c r="K473" s="411" t="s">
        <v>698</v>
      </c>
      <c r="L473" s="411" t="s">
        <v>699</v>
      </c>
      <c r="M473" s="411" t="s">
        <v>699</v>
      </c>
      <c r="BF473" s="348"/>
    </row>
    <row r="474" spans="2:58">
      <c r="B474" s="366"/>
      <c r="BF474" s="348"/>
    </row>
    <row r="475" spans="2:58" ht="13.5">
      <c r="B475" s="366"/>
      <c r="C475" s="354" t="s">
        <v>153</v>
      </c>
      <c r="BF475" s="348"/>
    </row>
    <row r="476" spans="2:58" ht="13.5">
      <c r="B476" s="366"/>
      <c r="C476" s="354" t="s">
        <v>641</v>
      </c>
      <c r="D476" s="354" t="s">
        <v>642</v>
      </c>
      <c r="E476" s="354" t="s">
        <v>205</v>
      </c>
      <c r="F476" s="354" t="s">
        <v>643</v>
      </c>
      <c r="G476" s="354" t="s">
        <v>644</v>
      </c>
      <c r="BF476" s="348"/>
    </row>
    <row r="477" spans="2:58" ht="13.5">
      <c r="B477" s="366"/>
      <c r="C477" s="354">
        <v>-2</v>
      </c>
      <c r="D477" s="354" t="s">
        <v>156</v>
      </c>
      <c r="E477" s="354" t="s">
        <v>964</v>
      </c>
      <c r="F477" s="354" t="s">
        <v>827</v>
      </c>
      <c r="G477" s="354" t="s">
        <v>677</v>
      </c>
      <c r="BF477" s="348"/>
    </row>
    <row r="478" spans="2:58" ht="13.5" thickBot="1">
      <c r="B478" s="366"/>
      <c r="BF478" s="348"/>
    </row>
    <row r="479" spans="2:58" ht="14" thickBot="1">
      <c r="B479" s="350" t="s">
        <v>836</v>
      </c>
      <c r="C479" s="351" t="s">
        <v>838</v>
      </c>
      <c r="D479" s="351"/>
      <c r="E479" s="351"/>
      <c r="F479" s="351"/>
      <c r="G479" s="351"/>
      <c r="H479" s="351"/>
      <c r="I479" s="351"/>
      <c r="J479" s="351"/>
      <c r="K479" s="351"/>
      <c r="L479" s="351"/>
      <c r="M479" s="351"/>
      <c r="N479" s="351"/>
      <c r="O479" s="351"/>
      <c r="P479" s="351"/>
      <c r="Q479" s="351"/>
      <c r="R479" s="351"/>
      <c r="S479" s="351"/>
      <c r="T479" s="351"/>
      <c r="U479" s="351"/>
      <c r="V479" s="351"/>
      <c r="W479" s="351"/>
      <c r="X479" s="351"/>
      <c r="Y479" s="351"/>
      <c r="Z479" s="351"/>
      <c r="AA479" s="351"/>
      <c r="AB479" s="351"/>
      <c r="AC479" s="351"/>
      <c r="AD479" s="351"/>
      <c r="AE479" s="351"/>
      <c r="AF479" s="351"/>
      <c r="AG479" s="351"/>
      <c r="AH479" s="351"/>
      <c r="AI479" s="351"/>
      <c r="AJ479" s="351"/>
      <c r="AK479" s="351"/>
      <c r="AL479" s="351"/>
      <c r="AM479" s="351"/>
      <c r="AN479" s="351"/>
      <c r="AO479" s="351"/>
      <c r="AP479" s="351"/>
      <c r="AQ479" s="351"/>
      <c r="AR479" s="351"/>
      <c r="AS479" s="351"/>
      <c r="AT479" s="351"/>
      <c r="AU479" s="351"/>
      <c r="AV479" s="351"/>
      <c r="AW479" s="351"/>
      <c r="AX479" s="351"/>
      <c r="AY479" s="351"/>
      <c r="AZ479" s="351"/>
      <c r="BA479" s="351"/>
      <c r="BB479" s="351"/>
      <c r="BC479" s="351"/>
      <c r="BD479" s="351"/>
      <c r="BE479" s="351"/>
      <c r="BF479" s="454"/>
    </row>
    <row r="480" spans="2:58" ht="14" thickBot="1">
      <c r="B480" s="350" t="s">
        <v>843</v>
      </c>
      <c r="C480" s="351" t="s">
        <v>842</v>
      </c>
      <c r="D480" s="351"/>
      <c r="E480" s="351"/>
      <c r="F480" s="351"/>
      <c r="G480" s="351"/>
      <c r="H480" s="351"/>
      <c r="I480" s="351"/>
      <c r="J480" s="351"/>
      <c r="K480" s="351"/>
      <c r="L480" s="351"/>
      <c r="M480" s="351"/>
      <c r="N480" s="351"/>
      <c r="O480" s="351"/>
      <c r="P480" s="351"/>
      <c r="Q480" s="351"/>
      <c r="R480" s="351"/>
      <c r="S480" s="351"/>
      <c r="T480" s="351"/>
      <c r="U480" s="351"/>
      <c r="V480" s="351"/>
      <c r="W480" s="351"/>
      <c r="X480" s="351"/>
      <c r="Y480" s="351"/>
      <c r="Z480" s="351"/>
      <c r="AA480" s="351"/>
      <c r="AB480" s="351"/>
      <c r="AC480" s="351"/>
      <c r="AD480" s="351"/>
      <c r="AE480" s="351"/>
      <c r="AF480" s="351"/>
      <c r="AG480" s="351"/>
      <c r="AH480" s="351"/>
      <c r="AI480" s="351"/>
      <c r="AJ480" s="351"/>
      <c r="AK480" s="351"/>
      <c r="AL480" s="351"/>
      <c r="AM480" s="351"/>
      <c r="AN480" s="351"/>
      <c r="AO480" s="351"/>
      <c r="AP480" s="351"/>
      <c r="AQ480" s="351"/>
      <c r="AR480" s="351"/>
      <c r="AS480" s="351"/>
      <c r="AT480" s="351"/>
      <c r="AU480" s="351"/>
      <c r="AV480" s="351"/>
      <c r="AW480" s="351"/>
      <c r="AX480" s="351"/>
      <c r="AY480" s="351"/>
      <c r="AZ480" s="351"/>
      <c r="BA480" s="351"/>
      <c r="BB480" s="351"/>
      <c r="BC480" s="351"/>
      <c r="BD480" s="351"/>
      <c r="BE480" s="351"/>
      <c r="BF480" s="454"/>
    </row>
    <row r="481" spans="1:59" ht="14" thickBot="1">
      <c r="B481" s="352" t="s">
        <v>675</v>
      </c>
      <c r="C481" s="351" t="s">
        <v>480</v>
      </c>
      <c r="D481" s="351"/>
      <c r="E481" s="351"/>
      <c r="F481" s="351"/>
      <c r="G481" s="351"/>
      <c r="H481" s="351"/>
      <c r="I481" s="351"/>
      <c r="J481" s="351"/>
      <c r="K481" s="351"/>
      <c r="L481" s="351"/>
      <c r="M481" s="351"/>
      <c r="N481" s="351"/>
      <c r="O481" s="351"/>
      <c r="P481" s="351"/>
      <c r="Q481" s="351"/>
      <c r="R481" s="351"/>
      <c r="S481" s="351"/>
      <c r="T481" s="351"/>
      <c r="U481" s="351"/>
      <c r="V481" s="351"/>
      <c r="W481" s="351"/>
      <c r="X481" s="351"/>
      <c r="Y481" s="351"/>
      <c r="Z481" s="351"/>
      <c r="AA481" s="351"/>
      <c r="AB481" s="351"/>
      <c r="AC481" s="351"/>
      <c r="AD481" s="351"/>
      <c r="AE481" s="351"/>
      <c r="AF481" s="351"/>
      <c r="AG481" s="351"/>
      <c r="AH481" s="351"/>
      <c r="AI481" s="351"/>
      <c r="AJ481" s="351"/>
      <c r="AK481" s="351"/>
      <c r="AL481" s="351"/>
      <c r="AM481" s="351"/>
      <c r="AN481" s="351"/>
      <c r="AO481" s="351"/>
      <c r="AP481" s="351"/>
      <c r="AQ481" s="351"/>
      <c r="AR481" s="351"/>
      <c r="AS481" s="351"/>
      <c r="AT481" s="351"/>
      <c r="AU481" s="351"/>
      <c r="AV481" s="351"/>
      <c r="AW481" s="351"/>
      <c r="AX481" s="351"/>
      <c r="AY481" s="351"/>
      <c r="AZ481" s="351"/>
      <c r="BA481" s="351"/>
      <c r="BB481" s="351"/>
      <c r="BC481" s="351"/>
      <c r="BD481" s="351"/>
      <c r="BE481" s="351"/>
      <c r="BF481" s="454"/>
    </row>
    <row r="482" spans="1:59">
      <c r="B482" s="366"/>
      <c r="BF482" s="348"/>
    </row>
    <row r="483" spans="1:59" ht="13.5">
      <c r="B483" s="366"/>
      <c r="C483" s="354" t="s">
        <v>481</v>
      </c>
      <c r="BF483" s="348"/>
    </row>
    <row r="484" spans="1:59" ht="13.5">
      <c r="B484" s="366"/>
      <c r="C484" s="354" t="s">
        <v>840</v>
      </c>
      <c r="BF484" s="348"/>
    </row>
    <row r="485" spans="1:59">
      <c r="B485" s="366"/>
      <c r="BF485" s="348"/>
    </row>
    <row r="486" spans="1:59" s="28" customFormat="1" ht="19.5" customHeight="1">
      <c r="B486" s="441"/>
      <c r="C486" s="355" t="s">
        <v>712</v>
      </c>
      <c r="D486" s="356"/>
      <c r="E486" s="356"/>
      <c r="F486" s="356"/>
      <c r="G486" s="356"/>
      <c r="H486" s="120"/>
      <c r="I486" s="356"/>
      <c r="J486" s="356"/>
      <c r="K486" s="356"/>
      <c r="L486" s="356"/>
      <c r="M486" s="356"/>
      <c r="N486" s="356"/>
      <c r="O486" s="356"/>
      <c r="P486" s="356"/>
      <c r="Q486" s="356"/>
      <c r="R486" s="356"/>
      <c r="S486" s="118"/>
      <c r="T486" s="118"/>
      <c r="U486" s="118"/>
      <c r="V486" s="118"/>
      <c r="W486" s="118"/>
      <c r="X486" s="118"/>
      <c r="Y486" s="119"/>
      <c r="Z486" s="119"/>
      <c r="AA486" s="119"/>
      <c r="AB486" s="119"/>
      <c r="AC486" s="119"/>
      <c r="AD486" s="119"/>
      <c r="AE486" s="119"/>
      <c r="AF486" s="119"/>
      <c r="AG486" s="119"/>
      <c r="AH486" s="119"/>
      <c r="AI486" s="119"/>
      <c r="AJ486" s="119"/>
      <c r="AK486" s="119"/>
      <c r="AL486" s="119"/>
      <c r="AM486" s="119"/>
      <c r="AN486" s="119"/>
      <c r="AO486" s="356"/>
      <c r="AP486" s="120"/>
      <c r="AQ486" s="120"/>
      <c r="AR486" s="120"/>
      <c r="AS486" s="120"/>
      <c r="AT486" s="120"/>
      <c r="AU486" s="120"/>
      <c r="AV486" s="120"/>
      <c r="AW486" s="120"/>
      <c r="AX486" s="120"/>
      <c r="AY486" s="120"/>
      <c r="AZ486" s="120"/>
      <c r="BA486" s="120"/>
      <c r="BB486" s="120"/>
      <c r="BC486" s="120"/>
      <c r="BD486" s="120"/>
      <c r="BE486" s="120"/>
      <c r="BF486" s="456"/>
      <c r="BG486"/>
    </row>
    <row r="487" spans="1:59" s="98" customFormat="1" ht="16.5" customHeight="1">
      <c r="A487" s="96"/>
      <c r="B487" s="442"/>
      <c r="C487" s="358"/>
      <c r="D487" s="358"/>
      <c r="E487" s="358"/>
      <c r="F487" s="359" t="s">
        <v>217</v>
      </c>
      <c r="G487" s="364"/>
      <c r="H487" s="364"/>
      <c r="I487" s="359"/>
      <c r="J487" s="364"/>
      <c r="K487" s="364"/>
      <c r="L487" s="364"/>
      <c r="M487" s="364"/>
      <c r="N487" s="364"/>
      <c r="O487" s="364"/>
      <c r="P487" s="364"/>
      <c r="Q487" s="364"/>
      <c r="R487" s="364"/>
      <c r="S487" s="364"/>
      <c r="T487" s="364"/>
      <c r="U487" s="364"/>
      <c r="V487" s="364"/>
      <c r="W487" s="364"/>
      <c r="X487" s="364"/>
      <c r="Y487" s="365"/>
      <c r="Z487" s="365"/>
      <c r="AA487" s="365"/>
      <c r="AB487" s="365"/>
      <c r="AC487" s="365"/>
      <c r="AD487" s="365"/>
      <c r="AE487" s="365"/>
      <c r="AF487" s="365"/>
      <c r="AG487" s="365"/>
      <c r="AH487" s="365"/>
      <c r="AI487" s="365"/>
      <c r="AJ487" s="365"/>
      <c r="AK487" s="359"/>
      <c r="AL487" s="365"/>
      <c r="AM487" s="365"/>
      <c r="AN487" s="365"/>
      <c r="AO487" s="359"/>
      <c r="AP487" s="365"/>
      <c r="AQ487" s="365"/>
      <c r="AR487" s="359"/>
      <c r="AS487" s="365"/>
      <c r="AT487" s="365"/>
      <c r="AU487" s="365"/>
      <c r="AV487" s="365"/>
      <c r="AW487" s="365"/>
      <c r="AX487" s="365"/>
      <c r="AY487" s="365"/>
      <c r="AZ487" s="365"/>
      <c r="BA487" s="365"/>
      <c r="BB487" s="365"/>
      <c r="BC487" s="365"/>
      <c r="BD487" s="365"/>
      <c r="BE487" s="365"/>
      <c r="BF487" s="457"/>
      <c r="BG487"/>
    </row>
    <row r="488" spans="1:59" s="105" customFormat="1" ht="86" customHeight="1">
      <c r="B488" s="443"/>
      <c r="C488" s="334" t="s">
        <v>540</v>
      </c>
      <c r="D488" s="334" t="s">
        <v>541</v>
      </c>
      <c r="E488" s="334" t="s">
        <v>542</v>
      </c>
      <c r="F488" s="341" t="s">
        <v>577</v>
      </c>
      <c r="G488" s="341" t="s">
        <v>543</v>
      </c>
      <c r="H488" s="341" t="s">
        <v>484</v>
      </c>
      <c r="I488" s="341" t="s">
        <v>545</v>
      </c>
      <c r="J488" s="341" t="s">
        <v>546</v>
      </c>
      <c r="K488" s="341" t="s">
        <v>547</v>
      </c>
      <c r="L488" s="341" t="s">
        <v>548</v>
      </c>
      <c r="M488" s="341" t="s">
        <v>549</v>
      </c>
      <c r="N488" s="341" t="s">
        <v>550</v>
      </c>
      <c r="O488" s="341" t="s">
        <v>551</v>
      </c>
      <c r="P488" s="341" t="s">
        <v>552</v>
      </c>
      <c r="Q488" s="341" t="s">
        <v>553</v>
      </c>
      <c r="R488" s="341" t="s">
        <v>554</v>
      </c>
      <c r="S488" s="341" t="s">
        <v>555</v>
      </c>
      <c r="T488" s="341" t="s">
        <v>556</v>
      </c>
      <c r="U488" s="341" t="s">
        <v>557</v>
      </c>
      <c r="V488" s="341" t="s">
        <v>558</v>
      </c>
      <c r="W488" s="341" t="s">
        <v>559</v>
      </c>
      <c r="X488" s="341" t="s">
        <v>560</v>
      </c>
      <c r="Y488" s="341" t="s">
        <v>561</v>
      </c>
      <c r="Z488" s="341" t="s">
        <v>562</v>
      </c>
      <c r="AA488" s="341" t="s">
        <v>563</v>
      </c>
      <c r="AB488" s="341" t="s">
        <v>564</v>
      </c>
      <c r="AC488" s="341" t="s">
        <v>565</v>
      </c>
      <c r="AD488" s="341" t="s">
        <v>566</v>
      </c>
      <c r="AE488" s="341" t="s">
        <v>567</v>
      </c>
      <c r="AF488" s="341" t="s">
        <v>568</v>
      </c>
      <c r="AG488" s="341" t="s">
        <v>569</v>
      </c>
      <c r="AH488" s="341" t="s">
        <v>570</v>
      </c>
      <c r="AI488" s="341" t="s">
        <v>571</v>
      </c>
      <c r="AJ488" s="341" t="s">
        <v>572</v>
      </c>
      <c r="AK488" s="341" t="s">
        <v>573</v>
      </c>
      <c r="AL488" s="341" t="s">
        <v>574</v>
      </c>
      <c r="AM488" s="341" t="s">
        <v>575</v>
      </c>
      <c r="AN488" s="341" t="s">
        <v>576</v>
      </c>
      <c r="AO488" s="341" t="s">
        <v>544</v>
      </c>
      <c r="AP488" s="341" t="s">
        <v>578</v>
      </c>
      <c r="AQ488" s="341" t="s">
        <v>579</v>
      </c>
      <c r="AR488" s="341" t="s">
        <v>580</v>
      </c>
      <c r="AS488" s="341" t="s">
        <v>581</v>
      </c>
      <c r="AT488" s="341" t="s">
        <v>582</v>
      </c>
      <c r="AU488" s="341" t="s">
        <v>583</v>
      </c>
      <c r="AV488" s="341" t="s">
        <v>584</v>
      </c>
      <c r="AW488" s="341" t="s">
        <v>585</v>
      </c>
      <c r="AX488" s="341" t="s">
        <v>586</v>
      </c>
      <c r="AY488" s="341" t="s">
        <v>587</v>
      </c>
      <c r="AZ488" s="341" t="s">
        <v>462</v>
      </c>
      <c r="BA488" s="341" t="s">
        <v>463</v>
      </c>
      <c r="BB488" s="341" t="s">
        <v>464</v>
      </c>
      <c r="BC488" s="341" t="s">
        <v>465</v>
      </c>
      <c r="BD488" s="341" t="s">
        <v>146</v>
      </c>
      <c r="BE488" s="341" t="s">
        <v>148</v>
      </c>
      <c r="BF488" s="458" t="s">
        <v>466</v>
      </c>
      <c r="BG488"/>
    </row>
    <row r="489" spans="1:59" s="105" customFormat="1">
      <c r="B489" s="443"/>
      <c r="C489" s="334" t="s">
        <v>501</v>
      </c>
      <c r="D489" s="334" t="s">
        <v>502</v>
      </c>
      <c r="E489" s="334" t="s">
        <v>503</v>
      </c>
      <c r="F489" s="335" t="s">
        <v>440</v>
      </c>
      <c r="G489" s="335" t="s">
        <v>506</v>
      </c>
      <c r="H489" s="335" t="s">
        <v>505</v>
      </c>
      <c r="I489" s="335" t="s">
        <v>589</v>
      </c>
      <c r="J489" s="335" t="s">
        <v>590</v>
      </c>
      <c r="K489" s="335" t="s">
        <v>591</v>
      </c>
      <c r="L489" s="335" t="s">
        <v>592</v>
      </c>
      <c r="M489" s="335" t="s">
        <v>593</v>
      </c>
      <c r="N489" s="335" t="s">
        <v>594</v>
      </c>
      <c r="O489" s="335" t="s">
        <v>595</v>
      </c>
      <c r="P489" s="335" t="s">
        <v>596</v>
      </c>
      <c r="Q489" s="335" t="s">
        <v>597</v>
      </c>
      <c r="R489" s="335" t="s">
        <v>598</v>
      </c>
      <c r="S489" s="335" t="s">
        <v>599</v>
      </c>
      <c r="T489" s="335" t="s">
        <v>600</v>
      </c>
      <c r="U489" s="335" t="s">
        <v>601</v>
      </c>
      <c r="V489" s="335" t="s">
        <v>602</v>
      </c>
      <c r="W489" s="335" t="s">
        <v>603</v>
      </c>
      <c r="X489" s="335" t="s">
        <v>604</v>
      </c>
      <c r="Y489" s="335" t="s">
        <v>605</v>
      </c>
      <c r="Z489" s="335" t="s">
        <v>606</v>
      </c>
      <c r="AA489" s="335" t="s">
        <v>607</v>
      </c>
      <c r="AB489" s="335" t="s">
        <v>608</v>
      </c>
      <c r="AC489" s="335" t="s">
        <v>609</v>
      </c>
      <c r="AD489" s="335" t="s">
        <v>610</v>
      </c>
      <c r="AE489" s="335" t="s">
        <v>611</v>
      </c>
      <c r="AF489" s="335" t="s">
        <v>612</v>
      </c>
      <c r="AG489" s="335" t="s">
        <v>613</v>
      </c>
      <c r="AH489" s="335" t="s">
        <v>614</v>
      </c>
      <c r="AI489" s="335" t="s">
        <v>615</v>
      </c>
      <c r="AJ489" s="335" t="s">
        <v>616</v>
      </c>
      <c r="AK489" s="335" t="s">
        <v>439</v>
      </c>
      <c r="AL489" s="335" t="s">
        <v>617</v>
      </c>
      <c r="AM489" s="335" t="s">
        <v>618</v>
      </c>
      <c r="AN489" s="335" t="s">
        <v>619</v>
      </c>
      <c r="AO489" s="335" t="s">
        <v>588</v>
      </c>
      <c r="AP489" s="335" t="s">
        <v>620</v>
      </c>
      <c r="AQ489" s="335" t="s">
        <v>621</v>
      </c>
      <c r="AR489" s="335" t="s">
        <v>622</v>
      </c>
      <c r="AS489" s="335" t="s">
        <v>623</v>
      </c>
      <c r="AT489" s="335" t="s">
        <v>624</v>
      </c>
      <c r="AU489" s="335" t="s">
        <v>625</v>
      </c>
      <c r="AV489" s="335" t="s">
        <v>626</v>
      </c>
      <c r="AW489" s="335" t="s">
        <v>627</v>
      </c>
      <c r="AX489" s="335" t="s">
        <v>628</v>
      </c>
      <c r="AY489" s="335" t="s">
        <v>629</v>
      </c>
      <c r="AZ489" s="335" t="s">
        <v>445</v>
      </c>
      <c r="BA489" s="335" t="s">
        <v>446</v>
      </c>
      <c r="BB489" s="335" t="s">
        <v>447</v>
      </c>
      <c r="BC489" s="335" t="s">
        <v>448</v>
      </c>
      <c r="BD489" s="335" t="s">
        <v>449</v>
      </c>
      <c r="BE489" s="335" t="s">
        <v>450</v>
      </c>
      <c r="BF489" s="459" t="s">
        <v>451</v>
      </c>
      <c r="BG489"/>
    </row>
    <row r="490" spans="1:59" s="95" customFormat="1" ht="13.5" customHeight="1">
      <c r="B490" s="444"/>
      <c r="C490" s="334" t="s">
        <v>522</v>
      </c>
      <c r="D490" s="334" t="s">
        <v>630</v>
      </c>
      <c r="E490" s="334" t="s">
        <v>467</v>
      </c>
      <c r="F490" s="363" t="s">
        <v>468</v>
      </c>
      <c r="G490" s="363" t="s">
        <v>470</v>
      </c>
      <c r="H490" s="363" t="s">
        <v>470</v>
      </c>
      <c r="I490" s="363" t="s">
        <v>470</v>
      </c>
      <c r="J490" s="363" t="s">
        <v>470</v>
      </c>
      <c r="K490" s="363" t="s">
        <v>631</v>
      </c>
      <c r="L490" s="363" t="s">
        <v>631</v>
      </c>
      <c r="M490" s="363" t="s">
        <v>467</v>
      </c>
      <c r="N490" s="363" t="s">
        <v>632</v>
      </c>
      <c r="O490" s="363" t="s">
        <v>470</v>
      </c>
      <c r="P490" s="363" t="s">
        <v>528</v>
      </c>
      <c r="Q490" s="363" t="s">
        <v>524</v>
      </c>
      <c r="R490" s="363" t="s">
        <v>528</v>
      </c>
      <c r="S490" s="363" t="s">
        <v>524</v>
      </c>
      <c r="T490" s="363" t="s">
        <v>524</v>
      </c>
      <c r="U490" s="363" t="s">
        <v>470</v>
      </c>
      <c r="V490" s="363" t="s">
        <v>633</v>
      </c>
      <c r="W490" s="363" t="s">
        <v>633</v>
      </c>
      <c r="X490" s="363" t="s">
        <v>468</v>
      </c>
      <c r="Y490" s="363" t="s">
        <v>632</v>
      </c>
      <c r="Z490" s="363" t="s">
        <v>632</v>
      </c>
      <c r="AA490" s="363" t="s">
        <v>524</v>
      </c>
      <c r="AB490" s="363" t="s">
        <v>527</v>
      </c>
      <c r="AC490" s="363" t="s">
        <v>528</v>
      </c>
      <c r="AD490" s="363" t="s">
        <v>528</v>
      </c>
      <c r="AE490" s="363" t="s">
        <v>634</v>
      </c>
      <c r="AF490" s="363" t="s">
        <v>634</v>
      </c>
      <c r="AG490" s="363" t="s">
        <v>528</v>
      </c>
      <c r="AH490" s="363" t="s">
        <v>528</v>
      </c>
      <c r="AI490" s="363" t="s">
        <v>634</v>
      </c>
      <c r="AJ490" s="363" t="s">
        <v>634</v>
      </c>
      <c r="AK490" s="363" t="s">
        <v>470</v>
      </c>
      <c r="AL490" s="363" t="s">
        <v>470</v>
      </c>
      <c r="AM490" s="363" t="s">
        <v>470</v>
      </c>
      <c r="AN490" s="363" t="s">
        <v>470</v>
      </c>
      <c r="AO490" s="363" t="s">
        <v>470</v>
      </c>
      <c r="AP490" s="363" t="s">
        <v>467</v>
      </c>
      <c r="AQ490" s="363" t="s">
        <v>470</v>
      </c>
      <c r="AR490" s="363" t="s">
        <v>524</v>
      </c>
      <c r="AS490" s="363" t="s">
        <v>524</v>
      </c>
      <c r="AT490" s="363" t="s">
        <v>470</v>
      </c>
      <c r="AU490" s="363" t="s">
        <v>635</v>
      </c>
      <c r="AV490" s="363" t="s">
        <v>528</v>
      </c>
      <c r="AW490" s="363" t="s">
        <v>468</v>
      </c>
      <c r="AX490" s="363" t="s">
        <v>470</v>
      </c>
      <c r="AY490" s="363" t="s">
        <v>470</v>
      </c>
      <c r="AZ490" s="363" t="s">
        <v>473</v>
      </c>
      <c r="BA490" s="363" t="s">
        <v>474</v>
      </c>
      <c r="BB490" s="363" t="s">
        <v>475</v>
      </c>
      <c r="BC490" s="363" t="s">
        <v>475</v>
      </c>
      <c r="BD490" s="363" t="s">
        <v>474</v>
      </c>
      <c r="BE490" s="363" t="s">
        <v>475</v>
      </c>
      <c r="BF490" s="460" t="s">
        <v>475</v>
      </c>
      <c r="BG490"/>
    </row>
    <row r="491" spans="1:59" s="28" customFormat="1" ht="15">
      <c r="B491" s="360" t="s">
        <v>532</v>
      </c>
      <c r="C491" s="406" t="s">
        <v>713</v>
      </c>
      <c r="D491" s="406" t="s">
        <v>648</v>
      </c>
      <c r="E491" s="406" t="s">
        <v>648</v>
      </c>
      <c r="F491" s="406">
        <v>1</v>
      </c>
      <c r="G491" s="406" t="s">
        <v>533</v>
      </c>
      <c r="H491" s="406" t="s">
        <v>533</v>
      </c>
      <c r="I491" s="406" t="s">
        <v>534</v>
      </c>
      <c r="J491" s="406" t="s">
        <v>534</v>
      </c>
      <c r="K491" s="406" t="s">
        <v>156</v>
      </c>
      <c r="L491" s="406" t="s">
        <v>156</v>
      </c>
      <c r="M491" s="406" t="s">
        <v>156</v>
      </c>
      <c r="N491" s="406" t="s">
        <v>156</v>
      </c>
      <c r="O491" s="406" t="s">
        <v>637</v>
      </c>
      <c r="P491" s="406" t="s">
        <v>534</v>
      </c>
      <c r="Q491" s="406" t="s">
        <v>714</v>
      </c>
      <c r="R491" s="406" t="s">
        <v>638</v>
      </c>
      <c r="S491" s="406" t="s">
        <v>715</v>
      </c>
      <c r="T491" s="406" t="s">
        <v>716</v>
      </c>
      <c r="U491" s="406" t="s">
        <v>232</v>
      </c>
      <c r="V491" s="406" t="s">
        <v>717</v>
      </c>
      <c r="W491" s="406" t="s">
        <v>717</v>
      </c>
      <c r="X491" s="406"/>
      <c r="Y491" s="406"/>
      <c r="Z491" s="406" t="s">
        <v>156</v>
      </c>
      <c r="AA491" s="406">
        <v>1</v>
      </c>
      <c r="AB491" s="406">
        <v>99999999</v>
      </c>
      <c r="AC491" s="406">
        <v>0</v>
      </c>
      <c r="AD491" s="406">
        <v>0</v>
      </c>
      <c r="AE491" s="406">
        <v>0</v>
      </c>
      <c r="AF491" s="406">
        <v>0</v>
      </c>
      <c r="AG491" s="406">
        <v>0</v>
      </c>
      <c r="AH491" s="406">
        <v>0</v>
      </c>
      <c r="AI491" s="406">
        <v>0</v>
      </c>
      <c r="AJ491" s="406">
        <v>0</v>
      </c>
      <c r="AK491" s="406">
        <v>1</v>
      </c>
      <c r="AL491" s="406">
        <v>1</v>
      </c>
      <c r="AM491" s="406">
        <v>0</v>
      </c>
      <c r="AN491" s="406">
        <v>0</v>
      </c>
      <c r="AO491" s="406" t="s">
        <v>636</v>
      </c>
      <c r="AP491" s="406" t="s">
        <v>156</v>
      </c>
      <c r="AQ491" s="406" t="s">
        <v>639</v>
      </c>
      <c r="AR491" s="406">
        <v>0</v>
      </c>
      <c r="AS491" s="406">
        <v>0</v>
      </c>
      <c r="AT491" s="406">
        <v>1</v>
      </c>
      <c r="AU491" s="406">
        <v>0</v>
      </c>
      <c r="AV491" s="406">
        <v>0</v>
      </c>
      <c r="AW491" s="406">
        <v>0</v>
      </c>
      <c r="AX491" s="406">
        <v>0</v>
      </c>
      <c r="AY491" s="406">
        <v>1</v>
      </c>
      <c r="AZ491" s="406">
        <v>0</v>
      </c>
      <c r="BA491" s="406">
        <v>39864.674351851849</v>
      </c>
      <c r="BB491" s="406">
        <v>440393</v>
      </c>
      <c r="BC491" s="406">
        <v>440393</v>
      </c>
      <c r="BD491" s="406">
        <v>45482.05810185185</v>
      </c>
      <c r="BE491" s="406" t="s">
        <v>640</v>
      </c>
      <c r="BF491" s="461" t="s">
        <v>640</v>
      </c>
      <c r="BG491"/>
    </row>
    <row r="492" spans="1:59" s="28" customFormat="1" ht="15">
      <c r="B492" s="362" t="s">
        <v>537</v>
      </c>
      <c r="C492" s="406" t="s">
        <v>713</v>
      </c>
      <c r="D492" s="406" t="s">
        <v>648</v>
      </c>
      <c r="E492" s="388" t="s">
        <v>718</v>
      </c>
      <c r="F492" s="406">
        <v>1</v>
      </c>
      <c r="G492" s="406" t="s">
        <v>533</v>
      </c>
      <c r="H492" s="406" t="s">
        <v>533</v>
      </c>
      <c r="I492" s="406" t="s">
        <v>534</v>
      </c>
      <c r="J492" s="406" t="s">
        <v>534</v>
      </c>
      <c r="K492" s="406" t="s">
        <v>156</v>
      </c>
      <c r="L492" s="406" t="s">
        <v>156</v>
      </c>
      <c r="M492" s="406" t="s">
        <v>156</v>
      </c>
      <c r="N492" s="406" t="s">
        <v>156</v>
      </c>
      <c r="O492" s="406" t="s">
        <v>637</v>
      </c>
      <c r="P492" s="406" t="s">
        <v>534</v>
      </c>
      <c r="Q492" s="406" t="s">
        <v>714</v>
      </c>
      <c r="R492" s="406" t="s">
        <v>638</v>
      </c>
      <c r="S492" s="406" t="s">
        <v>715</v>
      </c>
      <c r="T492" s="406" t="s">
        <v>716</v>
      </c>
      <c r="U492" s="406" t="s">
        <v>232</v>
      </c>
      <c r="V492" s="406" t="s">
        <v>717</v>
      </c>
      <c r="W492" s="406" t="s">
        <v>717</v>
      </c>
      <c r="X492" s="406"/>
      <c r="Y492" s="406"/>
      <c r="Z492" s="406" t="s">
        <v>156</v>
      </c>
      <c r="AA492" s="406">
        <v>1</v>
      </c>
      <c r="AB492" s="406">
        <v>99999999</v>
      </c>
      <c r="AC492" s="406">
        <v>0</v>
      </c>
      <c r="AD492" s="406">
        <v>0</v>
      </c>
      <c r="AE492" s="406">
        <v>0</v>
      </c>
      <c r="AF492" s="406">
        <v>0</v>
      </c>
      <c r="AG492" s="406">
        <v>0</v>
      </c>
      <c r="AH492" s="406">
        <v>0</v>
      </c>
      <c r="AI492" s="406">
        <v>0</v>
      </c>
      <c r="AJ492" s="406">
        <v>0</v>
      </c>
      <c r="AK492" s="406">
        <v>1</v>
      </c>
      <c r="AL492" s="406">
        <v>1</v>
      </c>
      <c r="AM492" s="406">
        <v>0</v>
      </c>
      <c r="AN492" s="406">
        <v>0</v>
      </c>
      <c r="AO492" s="406" t="s">
        <v>636</v>
      </c>
      <c r="AP492" s="406" t="s">
        <v>156</v>
      </c>
      <c r="AQ492" s="406" t="s">
        <v>639</v>
      </c>
      <c r="AR492" s="406">
        <v>0</v>
      </c>
      <c r="AS492" s="406">
        <v>0</v>
      </c>
      <c r="AT492" s="406">
        <v>1</v>
      </c>
      <c r="AU492" s="406">
        <v>0</v>
      </c>
      <c r="AV492" s="406">
        <v>0</v>
      </c>
      <c r="AW492" s="406">
        <v>0</v>
      </c>
      <c r="AX492" s="406">
        <v>0</v>
      </c>
      <c r="AY492" s="406">
        <v>1</v>
      </c>
      <c r="AZ492" s="406">
        <v>0</v>
      </c>
      <c r="BA492" s="406">
        <v>39864.674351851849</v>
      </c>
      <c r="BB492" s="406">
        <v>440393</v>
      </c>
      <c r="BC492" s="406">
        <v>440393</v>
      </c>
      <c r="BD492" s="406">
        <v>45482.05810185185</v>
      </c>
      <c r="BE492" s="406" t="s">
        <v>640</v>
      </c>
      <c r="BF492" s="461" t="s">
        <v>640</v>
      </c>
      <c r="BG492"/>
    </row>
    <row r="493" spans="1:59" s="28" customFormat="1" ht="15">
      <c r="B493" s="362" t="s">
        <v>537</v>
      </c>
      <c r="C493" s="406" t="s">
        <v>713</v>
      </c>
      <c r="D493" s="388" t="s">
        <v>718</v>
      </c>
      <c r="E493" s="387" t="s">
        <v>648</v>
      </c>
      <c r="F493" s="406">
        <v>1</v>
      </c>
      <c r="G493" s="406" t="s">
        <v>533</v>
      </c>
      <c r="H493" s="406" t="s">
        <v>533</v>
      </c>
      <c r="I493" s="406" t="s">
        <v>534</v>
      </c>
      <c r="J493" s="406" t="s">
        <v>534</v>
      </c>
      <c r="K493" s="406" t="s">
        <v>156</v>
      </c>
      <c r="L493" s="406" t="s">
        <v>156</v>
      </c>
      <c r="M493" s="406" t="s">
        <v>156</v>
      </c>
      <c r="N493" s="406" t="s">
        <v>156</v>
      </c>
      <c r="O493" s="406" t="s">
        <v>637</v>
      </c>
      <c r="P493" s="406" t="s">
        <v>534</v>
      </c>
      <c r="Q493" s="406" t="s">
        <v>714</v>
      </c>
      <c r="R493" s="406" t="s">
        <v>638</v>
      </c>
      <c r="S493" s="406" t="s">
        <v>715</v>
      </c>
      <c r="T493" s="406" t="s">
        <v>716</v>
      </c>
      <c r="U493" s="406" t="s">
        <v>232</v>
      </c>
      <c r="V493" s="406" t="s">
        <v>717</v>
      </c>
      <c r="W493" s="406" t="s">
        <v>717</v>
      </c>
      <c r="X493" s="406"/>
      <c r="Y493" s="406"/>
      <c r="Z493" s="406" t="s">
        <v>156</v>
      </c>
      <c r="AA493" s="406">
        <v>1</v>
      </c>
      <c r="AB493" s="406">
        <v>99999999</v>
      </c>
      <c r="AC493" s="406">
        <v>0</v>
      </c>
      <c r="AD493" s="406">
        <v>0</v>
      </c>
      <c r="AE493" s="406">
        <v>0</v>
      </c>
      <c r="AF493" s="406">
        <v>0</v>
      </c>
      <c r="AG493" s="406">
        <v>0</v>
      </c>
      <c r="AH493" s="406">
        <v>0</v>
      </c>
      <c r="AI493" s="406">
        <v>0</v>
      </c>
      <c r="AJ493" s="406">
        <v>0</v>
      </c>
      <c r="AK493" s="406">
        <v>1</v>
      </c>
      <c r="AL493" s="406">
        <v>1</v>
      </c>
      <c r="AM493" s="406">
        <v>0</v>
      </c>
      <c r="AN493" s="406">
        <v>0</v>
      </c>
      <c r="AO493" s="406" t="s">
        <v>636</v>
      </c>
      <c r="AP493" s="406" t="s">
        <v>156</v>
      </c>
      <c r="AQ493" s="406" t="s">
        <v>639</v>
      </c>
      <c r="AR493" s="406">
        <v>0</v>
      </c>
      <c r="AS493" s="406">
        <v>0</v>
      </c>
      <c r="AT493" s="406">
        <v>1</v>
      </c>
      <c r="AU493" s="406">
        <v>0</v>
      </c>
      <c r="AV493" s="406">
        <v>0</v>
      </c>
      <c r="AW493" s="406">
        <v>0</v>
      </c>
      <c r="AX493" s="406">
        <v>0</v>
      </c>
      <c r="AY493" s="406">
        <v>1</v>
      </c>
      <c r="AZ493" s="406">
        <v>0</v>
      </c>
      <c r="BA493" s="406">
        <v>39864.674351851849</v>
      </c>
      <c r="BB493" s="406">
        <v>440393</v>
      </c>
      <c r="BC493" s="406">
        <v>440393</v>
      </c>
      <c r="BD493" s="406">
        <v>45482.05810185185</v>
      </c>
      <c r="BE493" s="406" t="s">
        <v>640</v>
      </c>
      <c r="BF493" s="461" t="s">
        <v>640</v>
      </c>
      <c r="BG493"/>
    </row>
    <row r="494" spans="1:59" s="28" customFormat="1" ht="15">
      <c r="B494" s="362" t="s">
        <v>537</v>
      </c>
      <c r="C494" s="406" t="s">
        <v>713</v>
      </c>
      <c r="D494" s="387" t="s">
        <v>648</v>
      </c>
      <c r="E494" s="388" t="s">
        <v>719</v>
      </c>
      <c r="F494" s="406">
        <v>1</v>
      </c>
      <c r="G494" s="406" t="s">
        <v>533</v>
      </c>
      <c r="H494" s="406" t="s">
        <v>533</v>
      </c>
      <c r="I494" s="406" t="s">
        <v>534</v>
      </c>
      <c r="J494" s="406" t="s">
        <v>534</v>
      </c>
      <c r="K494" s="406" t="s">
        <v>156</v>
      </c>
      <c r="L494" s="406" t="s">
        <v>156</v>
      </c>
      <c r="M494" s="406" t="s">
        <v>156</v>
      </c>
      <c r="N494" s="406" t="s">
        <v>156</v>
      </c>
      <c r="O494" s="406" t="s">
        <v>637</v>
      </c>
      <c r="P494" s="406" t="s">
        <v>534</v>
      </c>
      <c r="Q494" s="406" t="s">
        <v>714</v>
      </c>
      <c r="R494" s="406" t="s">
        <v>638</v>
      </c>
      <c r="S494" s="406" t="s">
        <v>715</v>
      </c>
      <c r="T494" s="406" t="s">
        <v>716</v>
      </c>
      <c r="U494" s="406" t="s">
        <v>232</v>
      </c>
      <c r="V494" s="406" t="s">
        <v>717</v>
      </c>
      <c r="W494" s="406" t="s">
        <v>717</v>
      </c>
      <c r="X494" s="406"/>
      <c r="Y494" s="406"/>
      <c r="Z494" s="406" t="s">
        <v>156</v>
      </c>
      <c r="AA494" s="406">
        <v>1</v>
      </c>
      <c r="AB494" s="406">
        <v>99999999</v>
      </c>
      <c r="AC494" s="406">
        <v>0</v>
      </c>
      <c r="AD494" s="406">
        <v>0</v>
      </c>
      <c r="AE494" s="406">
        <v>0</v>
      </c>
      <c r="AF494" s="406">
        <v>0</v>
      </c>
      <c r="AG494" s="406">
        <v>0</v>
      </c>
      <c r="AH494" s="406">
        <v>0</v>
      </c>
      <c r="AI494" s="406">
        <v>0</v>
      </c>
      <c r="AJ494" s="406">
        <v>0</v>
      </c>
      <c r="AK494" s="406">
        <v>1</v>
      </c>
      <c r="AL494" s="406">
        <v>1</v>
      </c>
      <c r="AM494" s="406">
        <v>0</v>
      </c>
      <c r="AN494" s="406">
        <v>0</v>
      </c>
      <c r="AO494" s="406" t="s">
        <v>636</v>
      </c>
      <c r="AP494" s="406" t="s">
        <v>156</v>
      </c>
      <c r="AQ494" s="406" t="s">
        <v>639</v>
      </c>
      <c r="AR494" s="406">
        <v>0</v>
      </c>
      <c r="AS494" s="406">
        <v>0</v>
      </c>
      <c r="AT494" s="406">
        <v>1</v>
      </c>
      <c r="AU494" s="406">
        <v>0</v>
      </c>
      <c r="AV494" s="406">
        <v>0</v>
      </c>
      <c r="AW494" s="406">
        <v>0</v>
      </c>
      <c r="AX494" s="406">
        <v>0</v>
      </c>
      <c r="AY494" s="406">
        <v>1</v>
      </c>
      <c r="AZ494" s="406">
        <v>0</v>
      </c>
      <c r="BA494" s="406">
        <v>39864.674351851849</v>
      </c>
      <c r="BB494" s="406">
        <v>440393</v>
      </c>
      <c r="BC494" s="406">
        <v>440393</v>
      </c>
      <c r="BD494" s="406">
        <v>45482.05810185185</v>
      </c>
      <c r="BE494" s="406" t="s">
        <v>640</v>
      </c>
      <c r="BF494" s="461" t="s">
        <v>640</v>
      </c>
      <c r="BG494"/>
    </row>
    <row r="495" spans="1:59">
      <c r="B495" s="366"/>
      <c r="BF495" s="348"/>
    </row>
    <row r="496" spans="1:59">
      <c r="B496" s="366"/>
      <c r="C496" s="393" t="s">
        <v>679</v>
      </c>
      <c r="D496" s="394"/>
      <c r="E496" s="394"/>
      <c r="F496" s="394"/>
      <c r="G496" s="394"/>
      <c r="H496" s="394"/>
      <c r="I496" s="394"/>
      <c r="J496" s="394"/>
      <c r="K496" s="394"/>
      <c r="L496" s="394"/>
      <c r="M496" s="394"/>
      <c r="BF496" s="348"/>
    </row>
    <row r="497" spans="2:62" ht="15">
      <c r="B497" s="366"/>
      <c r="C497" s="336"/>
      <c r="D497" s="392"/>
      <c r="E497" s="336"/>
      <c r="F497" s="336" t="s">
        <v>217</v>
      </c>
      <c r="G497" s="392"/>
      <c r="H497" s="392"/>
      <c r="I497" s="392"/>
      <c r="J497" s="392"/>
      <c r="K497" s="392"/>
      <c r="L497" s="392"/>
      <c r="M497" s="392"/>
      <c r="BF497" s="348"/>
    </row>
    <row r="498" spans="2:62">
      <c r="B498" s="366"/>
      <c r="C498" s="371" t="s">
        <v>688</v>
      </c>
      <c r="D498" s="335" t="s">
        <v>682</v>
      </c>
      <c r="E498" s="371" t="s">
        <v>689</v>
      </c>
      <c r="F498" s="335" t="s">
        <v>683</v>
      </c>
      <c r="G498" s="341" t="s">
        <v>462</v>
      </c>
      <c r="H498" s="341" t="s">
        <v>463</v>
      </c>
      <c r="I498" s="341" t="s">
        <v>464</v>
      </c>
      <c r="J498" s="341" t="s">
        <v>465</v>
      </c>
      <c r="K498" s="341" t="s">
        <v>146</v>
      </c>
      <c r="L498" s="341" t="s">
        <v>148</v>
      </c>
      <c r="M498" s="341" t="s">
        <v>466</v>
      </c>
      <c r="BF498" s="348"/>
    </row>
    <row r="499" spans="2:62" ht="14">
      <c r="B499" s="366"/>
      <c r="C499" s="405" t="s">
        <v>690</v>
      </c>
      <c r="D499" s="335" t="s">
        <v>680</v>
      </c>
      <c r="E499" s="405" t="s">
        <v>692</v>
      </c>
      <c r="F499" s="335" t="s">
        <v>681</v>
      </c>
      <c r="G499" s="335" t="s">
        <v>445</v>
      </c>
      <c r="H499" s="335" t="s">
        <v>446</v>
      </c>
      <c r="I499" s="335" t="s">
        <v>447</v>
      </c>
      <c r="J499" s="335" t="s">
        <v>448</v>
      </c>
      <c r="K499" s="335" t="s">
        <v>449</v>
      </c>
      <c r="L499" s="335" t="s">
        <v>450</v>
      </c>
      <c r="M499" s="335" t="s">
        <v>451</v>
      </c>
      <c r="BF499" s="348"/>
    </row>
    <row r="500" spans="2:62" ht="14">
      <c r="B500" s="366"/>
      <c r="C500" s="405" t="s">
        <v>691</v>
      </c>
      <c r="D500" s="367" t="s">
        <v>685</v>
      </c>
      <c r="E500" s="405" t="s">
        <v>693</v>
      </c>
      <c r="F500" s="367" t="s">
        <v>470</v>
      </c>
      <c r="G500" s="367" t="s">
        <v>684</v>
      </c>
      <c r="H500" s="367" t="s">
        <v>474</v>
      </c>
      <c r="I500" s="367" t="s">
        <v>475</v>
      </c>
      <c r="J500" s="367" t="s">
        <v>475</v>
      </c>
      <c r="K500" s="367" t="s">
        <v>223</v>
      </c>
      <c r="L500" s="367" t="s">
        <v>475</v>
      </c>
      <c r="M500" s="367" t="s">
        <v>475</v>
      </c>
      <c r="BF500" s="348"/>
    </row>
    <row r="501" spans="2:62" ht="14">
      <c r="B501" s="362" t="s">
        <v>537</v>
      </c>
      <c r="C501" s="406" t="s">
        <v>650</v>
      </c>
      <c r="D501" s="406" t="s">
        <v>694</v>
      </c>
      <c r="E501" s="388" t="s">
        <v>805</v>
      </c>
      <c r="F501" s="406" t="s">
        <v>232</v>
      </c>
      <c r="G501" s="406" t="s">
        <v>534</v>
      </c>
      <c r="H501" s="406" t="s">
        <v>696</v>
      </c>
      <c r="I501" s="406" t="s">
        <v>697</v>
      </c>
      <c r="J501" s="406" t="s">
        <v>697</v>
      </c>
      <c r="K501" s="406" t="s">
        <v>698</v>
      </c>
      <c r="L501" s="406" t="s">
        <v>699</v>
      </c>
      <c r="M501" s="406" t="s">
        <v>699</v>
      </c>
      <c r="BF501" s="348"/>
    </row>
    <row r="502" spans="2:62" ht="14">
      <c r="B502" s="362" t="s">
        <v>537</v>
      </c>
      <c r="C502" s="411" t="s">
        <v>650</v>
      </c>
      <c r="D502" s="411" t="s">
        <v>809</v>
      </c>
      <c r="E502" s="388" t="s">
        <v>810</v>
      </c>
      <c r="F502" s="411" t="s">
        <v>232</v>
      </c>
      <c r="G502" s="411" t="s">
        <v>534</v>
      </c>
      <c r="H502" s="411" t="s">
        <v>696</v>
      </c>
      <c r="I502" s="411" t="s">
        <v>697</v>
      </c>
      <c r="J502" s="411" t="s">
        <v>697</v>
      </c>
      <c r="K502" s="411" t="s">
        <v>698</v>
      </c>
      <c r="L502" s="411" t="s">
        <v>699</v>
      </c>
      <c r="M502" s="411" t="s">
        <v>699</v>
      </c>
      <c r="BF502" s="348"/>
    </row>
    <row r="503" spans="2:62" ht="14">
      <c r="B503" s="362" t="s">
        <v>537</v>
      </c>
      <c r="C503" s="411" t="s">
        <v>650</v>
      </c>
      <c r="D503" s="411" t="s">
        <v>809</v>
      </c>
      <c r="E503" s="388" t="s">
        <v>811</v>
      </c>
      <c r="F503" s="411" t="s">
        <v>232</v>
      </c>
      <c r="G503" s="411" t="s">
        <v>534</v>
      </c>
      <c r="H503" s="411" t="s">
        <v>696</v>
      </c>
      <c r="I503" s="411" t="s">
        <v>697</v>
      </c>
      <c r="J503" s="411" t="s">
        <v>697</v>
      </c>
      <c r="K503" s="411" t="s">
        <v>698</v>
      </c>
      <c r="L503" s="411" t="s">
        <v>699</v>
      </c>
      <c r="M503" s="411" t="s">
        <v>699</v>
      </c>
      <c r="BF503" s="348"/>
    </row>
    <row r="504" spans="2:62" ht="14">
      <c r="B504" s="360" t="s">
        <v>532</v>
      </c>
      <c r="C504" s="406" t="s">
        <v>650</v>
      </c>
      <c r="D504" s="407" t="s">
        <v>694</v>
      </c>
      <c r="E504" s="472" t="s">
        <v>695</v>
      </c>
      <c r="F504" s="407" t="s">
        <v>534</v>
      </c>
      <c r="G504" s="407" t="s">
        <v>534</v>
      </c>
      <c r="H504" s="410" t="s">
        <v>696</v>
      </c>
      <c r="I504" s="407" t="s">
        <v>697</v>
      </c>
      <c r="J504" s="407" t="s">
        <v>697</v>
      </c>
      <c r="K504" s="407" t="s">
        <v>698</v>
      </c>
      <c r="L504" s="407" t="s">
        <v>699</v>
      </c>
      <c r="M504" s="411" t="s">
        <v>699</v>
      </c>
      <c r="BF504" s="348"/>
    </row>
    <row r="505" spans="2:62" ht="14">
      <c r="B505" s="362" t="s">
        <v>537</v>
      </c>
      <c r="C505" s="411" t="s">
        <v>650</v>
      </c>
      <c r="D505" s="411" t="s">
        <v>809</v>
      </c>
      <c r="E505" s="388" t="s">
        <v>813</v>
      </c>
      <c r="F505" s="411" t="s">
        <v>534</v>
      </c>
      <c r="G505" s="411" t="s">
        <v>534</v>
      </c>
      <c r="H505" s="411" t="s">
        <v>696</v>
      </c>
      <c r="I505" s="411" t="s">
        <v>697</v>
      </c>
      <c r="J505" s="411" t="s">
        <v>697</v>
      </c>
      <c r="K505" s="411" t="s">
        <v>698</v>
      </c>
      <c r="L505" s="411" t="s">
        <v>699</v>
      </c>
      <c r="M505" s="411" t="s">
        <v>699</v>
      </c>
      <c r="BF505" s="348"/>
    </row>
    <row r="506" spans="2:62" s="28" customFormat="1" ht="15">
      <c r="B506" s="129"/>
      <c r="M506"/>
      <c r="N506"/>
      <c r="O506"/>
      <c r="P506"/>
      <c r="Q506"/>
      <c r="R506"/>
      <c r="S506"/>
      <c r="T506"/>
      <c r="U506"/>
      <c r="V506"/>
      <c r="W506"/>
      <c r="X506"/>
      <c r="Y506"/>
      <c r="Z506"/>
      <c r="AA506"/>
      <c r="AB506"/>
      <c r="AC506"/>
      <c r="AD506"/>
      <c r="AE506"/>
      <c r="AF506"/>
      <c r="AG506"/>
      <c r="AH506"/>
      <c r="AI506"/>
      <c r="AJ506"/>
      <c r="AK506"/>
      <c r="AL506"/>
      <c r="AM506"/>
      <c r="AN506"/>
      <c r="AP506"/>
      <c r="AQ506"/>
      <c r="AR506"/>
      <c r="AS506"/>
      <c r="AT506"/>
      <c r="AU506"/>
      <c r="AV506"/>
      <c r="AW506"/>
      <c r="AX506"/>
      <c r="AY506"/>
      <c r="AZ506"/>
      <c r="BA506"/>
      <c r="BB506"/>
      <c r="BC506"/>
      <c r="BD506"/>
      <c r="BE506"/>
      <c r="BF506" s="348"/>
      <c r="BG506"/>
      <c r="BH506"/>
      <c r="BI506"/>
      <c r="BJ506"/>
    </row>
    <row r="507" spans="2:62" s="28" customFormat="1" ht="15">
      <c r="B507" s="444"/>
      <c r="C507" s="393" t="s">
        <v>723</v>
      </c>
      <c r="D507" s="394"/>
      <c r="E507" s="394"/>
      <c r="F507" s="394"/>
      <c r="G507" s="394"/>
      <c r="H507" s="394"/>
      <c r="I507" s="394"/>
      <c r="J507" s="394"/>
      <c r="K507" s="394"/>
      <c r="L507" s="394"/>
      <c r="M507"/>
      <c r="N507"/>
      <c r="O507"/>
      <c r="P507"/>
      <c r="Q507"/>
      <c r="R507"/>
      <c r="S507"/>
      <c r="T507"/>
      <c r="U507"/>
      <c r="V507"/>
      <c r="W507"/>
      <c r="X507"/>
      <c r="Y507"/>
      <c r="Z507"/>
      <c r="AA507"/>
      <c r="AB507"/>
      <c r="AC507"/>
      <c r="AD507"/>
      <c r="AE507"/>
      <c r="AF507"/>
      <c r="AG507"/>
      <c r="AH507"/>
      <c r="AI507"/>
      <c r="AJ507"/>
      <c r="AK507"/>
      <c r="AL507"/>
      <c r="AM507"/>
      <c r="AN507"/>
      <c r="AP507"/>
      <c r="AQ507"/>
      <c r="AR507"/>
      <c r="AS507"/>
      <c r="AT507"/>
      <c r="AU507"/>
      <c r="AV507"/>
      <c r="AW507"/>
      <c r="AX507"/>
      <c r="AY507"/>
      <c r="AZ507"/>
      <c r="BA507"/>
      <c r="BB507"/>
      <c r="BC507"/>
      <c r="BD507"/>
      <c r="BE507"/>
      <c r="BF507" s="348"/>
      <c r="BG507"/>
      <c r="BH507"/>
      <c r="BI507"/>
      <c r="BJ507"/>
    </row>
    <row r="508" spans="2:62" s="28" customFormat="1" ht="15">
      <c r="B508" s="444"/>
      <c r="C508" s="336"/>
      <c r="D508" s="336" t="s">
        <v>217</v>
      </c>
      <c r="E508" s="336"/>
      <c r="F508" s="336"/>
      <c r="G508" s="392"/>
      <c r="H508" s="392"/>
      <c r="I508" s="392"/>
      <c r="J508" s="392"/>
      <c r="K508" s="392"/>
      <c r="L508" s="392"/>
      <c r="M508"/>
      <c r="N508"/>
      <c r="O508"/>
      <c r="P508"/>
      <c r="Q508"/>
      <c r="R508"/>
      <c r="S508"/>
      <c r="T508"/>
      <c r="U508"/>
      <c r="V508"/>
      <c r="W508"/>
      <c r="X508"/>
      <c r="Y508"/>
      <c r="Z508"/>
      <c r="AA508"/>
      <c r="AB508"/>
      <c r="AC508"/>
      <c r="AD508"/>
      <c r="AE508"/>
      <c r="AF508"/>
      <c r="AG508"/>
      <c r="AH508"/>
      <c r="AI508"/>
      <c r="AJ508"/>
      <c r="AK508"/>
      <c r="AL508"/>
      <c r="AM508"/>
      <c r="AN508"/>
      <c r="AP508"/>
      <c r="AQ508"/>
      <c r="AR508"/>
      <c r="AS508"/>
      <c r="AT508"/>
      <c r="AU508"/>
      <c r="AV508"/>
      <c r="AW508"/>
      <c r="AX508"/>
      <c r="AY508"/>
      <c r="AZ508"/>
      <c r="BA508"/>
      <c r="BB508"/>
      <c r="BC508"/>
      <c r="BD508"/>
      <c r="BE508"/>
      <c r="BF508" s="348"/>
      <c r="BG508"/>
      <c r="BH508"/>
      <c r="BI508"/>
      <c r="BJ508"/>
    </row>
    <row r="509" spans="2:62" s="28" customFormat="1" ht="15">
      <c r="B509" s="444"/>
      <c r="C509" s="371" t="s">
        <v>727</v>
      </c>
      <c r="D509" s="335" t="s">
        <v>86</v>
      </c>
      <c r="E509" s="335" t="s">
        <v>728</v>
      </c>
      <c r="F509" s="341" t="s">
        <v>462</v>
      </c>
      <c r="G509" s="341" t="s">
        <v>463</v>
      </c>
      <c r="H509" s="341" t="s">
        <v>464</v>
      </c>
      <c r="I509" s="341" t="s">
        <v>465</v>
      </c>
      <c r="J509" s="341" t="s">
        <v>146</v>
      </c>
      <c r="K509" s="341" t="s">
        <v>148</v>
      </c>
      <c r="L509" s="341" t="s">
        <v>466</v>
      </c>
      <c r="M509"/>
      <c r="N509"/>
      <c r="O509"/>
      <c r="P509"/>
      <c r="Q509"/>
      <c r="R509"/>
      <c r="S509"/>
      <c r="T509"/>
      <c r="U509"/>
      <c r="V509"/>
      <c r="W509"/>
      <c r="X509"/>
      <c r="Y509"/>
      <c r="Z509"/>
      <c r="AA509"/>
      <c r="AB509"/>
      <c r="AC509"/>
      <c r="AD509"/>
      <c r="AE509"/>
      <c r="AF509"/>
      <c r="AG509"/>
      <c r="AH509"/>
      <c r="AI509"/>
      <c r="AJ509"/>
      <c r="AK509"/>
      <c r="AL509"/>
      <c r="AM509"/>
      <c r="AN509"/>
      <c r="AP509"/>
      <c r="AQ509"/>
      <c r="AR509"/>
      <c r="AS509"/>
      <c r="AT509"/>
      <c r="AU509"/>
      <c r="AV509"/>
      <c r="AW509"/>
      <c r="AX509"/>
      <c r="AY509"/>
      <c r="AZ509"/>
      <c r="BA509"/>
      <c r="BB509"/>
      <c r="BC509"/>
      <c r="BD509"/>
      <c r="BE509"/>
      <c r="BF509" s="348"/>
      <c r="BG509"/>
      <c r="BH509"/>
      <c r="BI509"/>
      <c r="BJ509"/>
    </row>
    <row r="510" spans="2:62" s="28" customFormat="1" ht="15">
      <c r="B510" s="444"/>
      <c r="C510" s="405" t="s">
        <v>724</v>
      </c>
      <c r="D510" s="335" t="s">
        <v>725</v>
      </c>
      <c r="E510" s="335" t="s">
        <v>726</v>
      </c>
      <c r="F510" s="335" t="s">
        <v>445</v>
      </c>
      <c r="G510" s="335" t="s">
        <v>446</v>
      </c>
      <c r="H510" s="335" t="s">
        <v>447</v>
      </c>
      <c r="I510" s="335" t="s">
        <v>448</v>
      </c>
      <c r="J510" s="335" t="s">
        <v>449</v>
      </c>
      <c r="K510" s="335" t="s">
        <v>450</v>
      </c>
      <c r="L510" s="335" t="s">
        <v>451</v>
      </c>
      <c r="M510"/>
      <c r="N510"/>
      <c r="O510"/>
      <c r="P510"/>
      <c r="Q510"/>
      <c r="R510"/>
      <c r="S510"/>
      <c r="T510"/>
      <c r="U510"/>
      <c r="V510"/>
      <c r="W510"/>
      <c r="X510"/>
      <c r="Y510"/>
      <c r="Z510"/>
      <c r="AA510"/>
      <c r="AB510"/>
      <c r="AC510"/>
      <c r="AD510"/>
      <c r="AE510"/>
      <c r="AF510"/>
      <c r="AG510"/>
      <c r="AH510"/>
      <c r="AI510"/>
      <c r="AJ510"/>
      <c r="AK510"/>
      <c r="AL510"/>
      <c r="AM510"/>
      <c r="AN510"/>
      <c r="AP510"/>
      <c r="AQ510"/>
      <c r="AR510"/>
      <c r="AS510"/>
      <c r="AT510"/>
      <c r="AU510"/>
      <c r="AV510"/>
      <c r="AW510"/>
      <c r="AX510"/>
      <c r="AY510"/>
      <c r="AZ510"/>
      <c r="BA510"/>
      <c r="BB510"/>
      <c r="BC510"/>
      <c r="BD510"/>
      <c r="BE510"/>
      <c r="BF510" s="348"/>
      <c r="BG510"/>
      <c r="BH510"/>
      <c r="BI510"/>
      <c r="BJ510"/>
    </row>
    <row r="511" spans="2:62" s="28" customFormat="1" ht="15">
      <c r="B511" s="444"/>
      <c r="C511" s="405" t="s">
        <v>472</v>
      </c>
      <c r="D511" s="367" t="s">
        <v>527</v>
      </c>
      <c r="E511" s="335" t="s">
        <v>474</v>
      </c>
      <c r="F511" s="367" t="s">
        <v>684</v>
      </c>
      <c r="G511" s="367" t="s">
        <v>474</v>
      </c>
      <c r="H511" s="367" t="s">
        <v>475</v>
      </c>
      <c r="I511" s="367" t="s">
        <v>475</v>
      </c>
      <c r="J511" s="367" t="s">
        <v>223</v>
      </c>
      <c r="K511" s="335" t="s">
        <v>475</v>
      </c>
      <c r="L511" s="335" t="s">
        <v>475</v>
      </c>
      <c r="M511"/>
      <c r="N511"/>
      <c r="O511"/>
      <c r="P511"/>
      <c r="Q511"/>
      <c r="R511"/>
      <c r="S511"/>
      <c r="T511"/>
      <c r="U511"/>
      <c r="V511"/>
      <c r="W511"/>
      <c r="X511"/>
      <c r="Y511"/>
      <c r="Z511"/>
      <c r="AA511"/>
      <c r="AB511"/>
      <c r="AC511"/>
      <c r="AD511"/>
      <c r="AE511"/>
      <c r="AF511"/>
      <c r="AG511"/>
      <c r="AH511"/>
      <c r="AI511"/>
      <c r="AJ511"/>
      <c r="AK511"/>
      <c r="AL511"/>
      <c r="AM511"/>
      <c r="AN511"/>
      <c r="AP511"/>
      <c r="AQ511"/>
      <c r="AR511"/>
      <c r="AS511"/>
      <c r="AT511"/>
      <c r="AU511"/>
      <c r="AV511"/>
      <c r="AW511"/>
      <c r="AX511"/>
      <c r="AY511"/>
      <c r="AZ511"/>
      <c r="BA511"/>
      <c r="BB511"/>
      <c r="BC511"/>
      <c r="BD511"/>
      <c r="BE511"/>
      <c r="BF511" s="348"/>
      <c r="BG511"/>
      <c r="BH511"/>
      <c r="BI511"/>
      <c r="BJ511"/>
    </row>
    <row r="512" spans="2:62" s="28" customFormat="1" ht="15">
      <c r="B512" s="362" t="s">
        <v>537</v>
      </c>
      <c r="C512" s="388" t="s">
        <v>734</v>
      </c>
      <c r="D512" s="407" t="s">
        <v>735</v>
      </c>
      <c r="E512" s="407" t="s">
        <v>736</v>
      </c>
      <c r="F512" s="407" t="s">
        <v>737</v>
      </c>
      <c r="G512" s="407" t="s">
        <v>738</v>
      </c>
      <c r="H512" s="408" t="s">
        <v>739</v>
      </c>
      <c r="I512" s="407" t="s">
        <v>740</v>
      </c>
      <c r="J512" s="407" t="s">
        <v>741</v>
      </c>
      <c r="K512" s="407" t="s">
        <v>742</v>
      </c>
      <c r="L512" s="335" t="s">
        <v>742</v>
      </c>
      <c r="M512"/>
      <c r="N512"/>
      <c r="O512"/>
      <c r="P512"/>
      <c r="Q512"/>
      <c r="R512"/>
      <c r="S512"/>
      <c r="T512"/>
      <c r="U512"/>
      <c r="V512"/>
      <c r="W512"/>
      <c r="X512"/>
      <c r="Y512"/>
      <c r="Z512"/>
      <c r="AA512"/>
      <c r="AB512"/>
      <c r="AC512"/>
      <c r="AD512"/>
      <c r="AE512"/>
      <c r="AF512"/>
      <c r="AG512"/>
      <c r="AH512"/>
      <c r="AI512"/>
      <c r="AJ512"/>
      <c r="AK512"/>
      <c r="AL512"/>
      <c r="AM512"/>
      <c r="AN512"/>
      <c r="AP512"/>
      <c r="AQ512"/>
      <c r="AR512"/>
      <c r="AS512"/>
      <c r="AT512"/>
      <c r="AU512"/>
      <c r="AV512"/>
      <c r="AW512"/>
      <c r="AX512"/>
      <c r="AY512"/>
      <c r="AZ512"/>
      <c r="BA512"/>
      <c r="BB512"/>
      <c r="BC512"/>
      <c r="BD512"/>
      <c r="BE512"/>
      <c r="BF512" s="348"/>
      <c r="BG512"/>
      <c r="BH512"/>
      <c r="BI512"/>
      <c r="BJ512"/>
    </row>
    <row r="513" spans="2:63" s="28" customFormat="1" ht="15">
      <c r="B513" s="360" t="s">
        <v>532</v>
      </c>
      <c r="C513" s="387" t="s">
        <v>729</v>
      </c>
      <c r="D513" s="472" t="s">
        <v>846</v>
      </c>
      <c r="E513" s="407" t="s">
        <v>731</v>
      </c>
      <c r="F513" s="407" t="s">
        <v>534</v>
      </c>
      <c r="G513" s="407" t="s">
        <v>731</v>
      </c>
      <c r="H513" s="408" t="s">
        <v>732</v>
      </c>
      <c r="I513" s="407" t="s">
        <v>733</v>
      </c>
      <c r="J513" s="407" t="s">
        <v>731</v>
      </c>
      <c r="K513" s="407" t="s">
        <v>732</v>
      </c>
      <c r="L513" s="335" t="s">
        <v>733</v>
      </c>
      <c r="M513"/>
      <c r="N513"/>
      <c r="O513"/>
      <c r="P513"/>
      <c r="Q513"/>
      <c r="R513"/>
      <c r="S513"/>
      <c r="T513"/>
      <c r="U513"/>
      <c r="V513"/>
      <c r="W513"/>
      <c r="X513"/>
      <c r="Y513"/>
      <c r="Z513"/>
      <c r="AA513"/>
      <c r="AB513"/>
      <c r="AC513"/>
      <c r="AD513"/>
      <c r="AE513"/>
      <c r="AF513"/>
      <c r="AG513"/>
      <c r="AH513"/>
      <c r="AI513"/>
      <c r="AJ513"/>
      <c r="AK513"/>
      <c r="AL513"/>
      <c r="AM513"/>
      <c r="AN513"/>
      <c r="AP513"/>
      <c r="AQ513"/>
      <c r="AR513"/>
      <c r="AS513"/>
      <c r="AT513"/>
      <c r="AU513"/>
      <c r="AV513"/>
      <c r="AW513"/>
      <c r="AX513"/>
      <c r="AY513"/>
      <c r="AZ513"/>
      <c r="BA513"/>
      <c r="BB513"/>
      <c r="BC513"/>
      <c r="BD513"/>
      <c r="BE513"/>
      <c r="BF513" s="348"/>
      <c r="BG513"/>
      <c r="BH513"/>
      <c r="BI513"/>
      <c r="BJ513"/>
    </row>
    <row r="514" spans="2:63" s="28" customFormat="1" ht="15">
      <c r="B514" s="362" t="s">
        <v>537</v>
      </c>
      <c r="C514" s="388" t="s">
        <v>743</v>
      </c>
      <c r="D514" s="407" t="s">
        <v>744</v>
      </c>
      <c r="E514" s="407" t="s">
        <v>745</v>
      </c>
      <c r="F514" s="407" t="s">
        <v>536</v>
      </c>
      <c r="G514" s="407" t="s">
        <v>745</v>
      </c>
      <c r="H514" s="408" t="s">
        <v>746</v>
      </c>
      <c r="I514" s="407" t="s">
        <v>747</v>
      </c>
      <c r="J514" s="407" t="s">
        <v>745</v>
      </c>
      <c r="K514" s="407" t="s">
        <v>748</v>
      </c>
      <c r="L514" s="335" t="s">
        <v>750</v>
      </c>
      <c r="M514"/>
      <c r="N514"/>
      <c r="O514"/>
      <c r="P514"/>
      <c r="Q514"/>
      <c r="R514"/>
      <c r="S514"/>
      <c r="T514"/>
      <c r="U514"/>
      <c r="V514"/>
      <c r="W514"/>
      <c r="X514"/>
      <c r="Y514"/>
      <c r="Z514"/>
      <c r="AA514"/>
      <c r="AB514"/>
      <c r="AC514"/>
      <c r="AD514"/>
      <c r="AE514"/>
      <c r="AF514"/>
      <c r="AG514"/>
      <c r="AH514"/>
      <c r="AI514"/>
      <c r="AJ514"/>
      <c r="AK514"/>
      <c r="AL514"/>
      <c r="AM514"/>
      <c r="AN514"/>
      <c r="AP514"/>
      <c r="AQ514"/>
      <c r="AR514"/>
      <c r="AS514"/>
      <c r="AT514"/>
      <c r="AU514"/>
      <c r="AV514"/>
      <c r="AW514"/>
      <c r="AX514"/>
      <c r="AY514"/>
      <c r="AZ514"/>
      <c r="BA514"/>
      <c r="BB514"/>
      <c r="BC514"/>
      <c r="BD514"/>
      <c r="BE514"/>
      <c r="BF514" s="348"/>
      <c r="BG514"/>
      <c r="BH514"/>
      <c r="BI514"/>
      <c r="BJ514"/>
      <c r="BK514"/>
    </row>
    <row r="515" spans="2:63" s="28" customFormat="1" ht="15">
      <c r="B515" s="362" t="s">
        <v>537</v>
      </c>
      <c r="C515" s="388" t="s">
        <v>749</v>
      </c>
      <c r="D515" s="407" t="s">
        <v>744</v>
      </c>
      <c r="E515" s="407" t="s">
        <v>745</v>
      </c>
      <c r="F515" s="407" t="s">
        <v>536</v>
      </c>
      <c r="G515" s="407" t="s">
        <v>745</v>
      </c>
      <c r="H515" s="410" t="s">
        <v>746</v>
      </c>
      <c r="I515" s="407" t="s">
        <v>747</v>
      </c>
      <c r="J515" s="407" t="s">
        <v>745</v>
      </c>
      <c r="K515" s="407" t="s">
        <v>748</v>
      </c>
      <c r="L515" s="335" t="s">
        <v>750</v>
      </c>
      <c r="M515"/>
      <c r="N515"/>
      <c r="O515"/>
      <c r="P515"/>
      <c r="Q515"/>
      <c r="R515"/>
      <c r="S515"/>
      <c r="T515"/>
      <c r="U515"/>
      <c r="V515"/>
      <c r="W515"/>
      <c r="X515"/>
      <c r="Y515"/>
      <c r="Z515"/>
      <c r="AA515"/>
      <c r="AB515"/>
      <c r="AC515"/>
      <c r="AD515"/>
      <c r="AE515"/>
      <c r="AF515"/>
      <c r="AG515"/>
      <c r="AH515"/>
      <c r="AI515"/>
      <c r="AJ515"/>
      <c r="AK515"/>
      <c r="AL515"/>
      <c r="AM515"/>
      <c r="AN515"/>
      <c r="AP515"/>
      <c r="AQ515"/>
      <c r="AR515"/>
      <c r="AS515"/>
      <c r="AT515"/>
      <c r="AU515"/>
      <c r="AV515"/>
      <c r="AW515"/>
      <c r="AX515"/>
      <c r="AY515"/>
      <c r="AZ515"/>
      <c r="BA515"/>
      <c r="BB515"/>
      <c r="BC515"/>
      <c r="BD515"/>
      <c r="BE515"/>
      <c r="BF515" s="348"/>
      <c r="BG515"/>
      <c r="BH515"/>
      <c r="BI515"/>
      <c r="BJ515"/>
      <c r="BK515"/>
    </row>
    <row r="516" spans="2:63">
      <c r="B516" s="366"/>
      <c r="BF516" s="348"/>
    </row>
    <row r="517" spans="2:63">
      <c r="B517" s="366"/>
      <c r="C517" t="s">
        <v>1018</v>
      </c>
      <c r="BF517" s="348"/>
    </row>
    <row r="518" spans="2:63" s="354" customFormat="1" ht="13.5">
      <c r="B518" s="353"/>
      <c r="C518" s="354" t="s">
        <v>641</v>
      </c>
      <c r="D518" s="354" t="s">
        <v>642</v>
      </c>
      <c r="E518" s="354" t="s">
        <v>205</v>
      </c>
      <c r="F518" s="354" t="s">
        <v>643</v>
      </c>
      <c r="G518" s="354" t="s">
        <v>847</v>
      </c>
      <c r="H518" s="354" t="s">
        <v>848</v>
      </c>
      <c r="I518" s="354" t="s">
        <v>849</v>
      </c>
      <c r="J518" s="354" t="s">
        <v>850</v>
      </c>
      <c r="K518" s="354" t="s">
        <v>851</v>
      </c>
      <c r="L518" s="354" t="s">
        <v>852</v>
      </c>
      <c r="M518" s="354" t="s">
        <v>853</v>
      </c>
      <c r="N518" s="354" t="s">
        <v>854</v>
      </c>
      <c r="O518" s="354" t="s">
        <v>855</v>
      </c>
      <c r="P518" s="354" t="s">
        <v>856</v>
      </c>
      <c r="Q518" s="354" t="s">
        <v>857</v>
      </c>
      <c r="R518" s="354" t="s">
        <v>858</v>
      </c>
      <c r="S518" s="354" t="s">
        <v>859</v>
      </c>
      <c r="T518" s="354" t="s">
        <v>860</v>
      </c>
      <c r="U518" s="354" t="s">
        <v>861</v>
      </c>
      <c r="BF518" s="446"/>
      <c r="BG518"/>
    </row>
    <row r="519" spans="2:63" s="354" customFormat="1" ht="13.5">
      <c r="B519" s="353"/>
      <c r="C519" s="354">
        <v>0</v>
      </c>
      <c r="D519" s="354" t="s">
        <v>645</v>
      </c>
      <c r="E519" s="354" t="s">
        <v>645</v>
      </c>
      <c r="F519" s="354" t="s">
        <v>645</v>
      </c>
      <c r="G519" s="354" t="s">
        <v>645</v>
      </c>
      <c r="I519" s="354" t="s">
        <v>645</v>
      </c>
      <c r="J519" s="354" t="s">
        <v>645</v>
      </c>
      <c r="K519" s="354" t="s">
        <v>645</v>
      </c>
      <c r="L519" s="354">
        <v>2025010</v>
      </c>
      <c r="M519" s="354">
        <v>20250518</v>
      </c>
      <c r="N519" s="473">
        <v>20250531</v>
      </c>
      <c r="O519" s="354">
        <v>20250508</v>
      </c>
      <c r="P519" s="354">
        <v>20250508</v>
      </c>
      <c r="Q519" s="354" t="s">
        <v>645</v>
      </c>
      <c r="R519" s="354" t="s">
        <v>645</v>
      </c>
      <c r="S519" s="354" t="s">
        <v>645</v>
      </c>
      <c r="T519" s="354" t="s">
        <v>645</v>
      </c>
      <c r="U519" s="354" t="s">
        <v>645</v>
      </c>
      <c r="AO519" s="354" t="s">
        <v>645</v>
      </c>
      <c r="BF519" s="446"/>
      <c r="BG519"/>
    </row>
    <row r="520" spans="2:63" s="354" customFormat="1" ht="13.5">
      <c r="B520" s="353"/>
      <c r="BF520" s="446"/>
      <c r="BG520"/>
    </row>
    <row r="521" spans="2:63" ht="13.5">
      <c r="B521" s="366"/>
      <c r="C521" s="354" t="s">
        <v>153</v>
      </c>
      <c r="BF521" s="348"/>
    </row>
    <row r="522" spans="2:63" ht="13.5">
      <c r="B522" s="366"/>
      <c r="C522" s="354" t="s">
        <v>641</v>
      </c>
      <c r="D522" s="354" t="s">
        <v>642</v>
      </c>
      <c r="E522" s="354" t="s">
        <v>205</v>
      </c>
      <c r="F522" s="354" t="s">
        <v>643</v>
      </c>
      <c r="G522" s="354" t="s">
        <v>644</v>
      </c>
      <c r="BF522" s="348"/>
    </row>
    <row r="523" spans="2:63" ht="13.5">
      <c r="B523" s="366"/>
      <c r="C523" s="354">
        <v>0</v>
      </c>
      <c r="D523" s="354"/>
      <c r="E523" s="354"/>
      <c r="F523" s="354"/>
      <c r="G523" s="354"/>
      <c r="BF523" s="348"/>
    </row>
    <row r="524" spans="2:63" ht="13.5" thickBot="1">
      <c r="B524" s="366"/>
      <c r="BF524" s="348"/>
    </row>
    <row r="525" spans="2:63" ht="14" thickBot="1">
      <c r="B525" s="350" t="s">
        <v>833</v>
      </c>
      <c r="C525" s="351" t="s">
        <v>95</v>
      </c>
      <c r="D525" s="351"/>
      <c r="E525" s="351"/>
      <c r="F525" s="351"/>
      <c r="G525" s="351"/>
      <c r="H525" s="351"/>
      <c r="I525" s="351"/>
      <c r="J525" s="351"/>
      <c r="K525" s="351"/>
      <c r="L525" s="351"/>
      <c r="M525" s="351"/>
      <c r="N525" s="351"/>
      <c r="O525" s="351"/>
      <c r="P525" s="351"/>
      <c r="Q525" s="351"/>
      <c r="R525" s="351"/>
      <c r="S525" s="351"/>
      <c r="T525" s="351"/>
      <c r="U525" s="351"/>
      <c r="V525" s="351"/>
      <c r="W525" s="351"/>
      <c r="X525" s="351"/>
      <c r="Y525" s="351"/>
      <c r="Z525" s="351"/>
      <c r="AA525" s="351"/>
      <c r="AB525" s="351"/>
      <c r="AC525" s="351"/>
      <c r="AD525" s="351"/>
      <c r="AE525" s="351"/>
      <c r="AF525" s="351"/>
      <c r="AG525" s="351"/>
      <c r="AH525" s="351"/>
      <c r="AI525" s="351"/>
      <c r="AJ525" s="351"/>
      <c r="AK525" s="351"/>
      <c r="AL525" s="351"/>
      <c r="AM525" s="351"/>
      <c r="AN525" s="351"/>
      <c r="AO525" s="351"/>
      <c r="AP525" s="351"/>
      <c r="AQ525" s="351"/>
      <c r="AR525" s="351"/>
      <c r="AS525" s="351"/>
      <c r="AT525" s="351"/>
      <c r="AU525" s="351"/>
      <c r="AV525" s="351"/>
      <c r="AW525" s="351"/>
      <c r="AX525" s="351"/>
      <c r="AY525" s="351"/>
      <c r="AZ525" s="351"/>
      <c r="BA525" s="351"/>
      <c r="BB525" s="351"/>
      <c r="BC525" s="351"/>
      <c r="BD525" s="351"/>
      <c r="BE525" s="351"/>
      <c r="BF525" s="454"/>
    </row>
    <row r="526" spans="2:63" ht="14" thickBot="1">
      <c r="B526" s="352" t="s">
        <v>986</v>
      </c>
      <c r="C526" s="351" t="s">
        <v>674</v>
      </c>
      <c r="D526" s="351"/>
      <c r="E526" s="351"/>
      <c r="F526" s="351"/>
      <c r="G526" s="351"/>
      <c r="H526" s="351"/>
      <c r="I526" s="351"/>
      <c r="J526" s="351"/>
      <c r="K526" s="351"/>
      <c r="L526" s="351"/>
      <c r="M526" s="351"/>
      <c r="N526" s="351"/>
      <c r="O526" s="351"/>
      <c r="P526" s="351"/>
      <c r="Q526" s="351"/>
      <c r="R526" s="351"/>
      <c r="S526" s="351"/>
      <c r="T526" s="351"/>
      <c r="U526" s="351"/>
      <c r="V526" s="351"/>
      <c r="W526" s="351"/>
      <c r="X526" s="351"/>
      <c r="Y526" s="351"/>
      <c r="Z526" s="351"/>
      <c r="AA526" s="351"/>
      <c r="AB526" s="351"/>
      <c r="AC526" s="351"/>
      <c r="AD526" s="351"/>
      <c r="AE526" s="351"/>
      <c r="AF526" s="351"/>
      <c r="AG526" s="351"/>
      <c r="AH526" s="351"/>
      <c r="AI526" s="351"/>
      <c r="AJ526" s="351"/>
      <c r="AK526" s="351"/>
      <c r="AL526" s="351"/>
      <c r="AM526" s="351"/>
      <c r="AN526" s="351"/>
      <c r="AO526" s="351"/>
      <c r="AP526" s="351"/>
      <c r="AQ526" s="351"/>
      <c r="AR526" s="351"/>
      <c r="AS526" s="351"/>
      <c r="AT526" s="351"/>
      <c r="AU526" s="351"/>
      <c r="AV526" s="351"/>
      <c r="AW526" s="351"/>
      <c r="AX526" s="351"/>
      <c r="AY526" s="351"/>
      <c r="AZ526" s="351"/>
      <c r="BA526" s="351"/>
      <c r="BB526" s="351"/>
      <c r="BC526" s="351"/>
      <c r="BD526" s="351"/>
      <c r="BE526" s="351"/>
      <c r="BF526" s="454"/>
    </row>
    <row r="527" spans="2:63">
      <c r="B527" s="366"/>
      <c r="BF527" s="348"/>
    </row>
    <row r="528" spans="2:63" ht="13.5">
      <c r="B528" s="366"/>
      <c r="C528" s="354" t="s">
        <v>481</v>
      </c>
      <c r="BF528" s="348"/>
    </row>
    <row r="529" spans="1:59" ht="13.5">
      <c r="B529" s="366"/>
      <c r="C529" s="354" t="s">
        <v>839</v>
      </c>
      <c r="BF529" s="348"/>
    </row>
    <row r="530" spans="1:59">
      <c r="B530" s="366"/>
      <c r="BF530" s="348"/>
    </row>
    <row r="531" spans="1:59" s="28" customFormat="1" ht="19.5" customHeight="1">
      <c r="B531" s="441"/>
      <c r="C531" s="355" t="s">
        <v>712</v>
      </c>
      <c r="D531" s="356"/>
      <c r="E531" s="356"/>
      <c r="F531" s="356"/>
      <c r="G531" s="356"/>
      <c r="H531" s="120"/>
      <c r="I531" s="356"/>
      <c r="J531" s="356"/>
      <c r="K531" s="356"/>
      <c r="L531" s="356"/>
      <c r="M531" s="356"/>
      <c r="N531" s="356"/>
      <c r="O531" s="356"/>
      <c r="P531" s="356"/>
      <c r="Q531" s="356"/>
      <c r="R531" s="356"/>
      <c r="S531" s="118"/>
      <c r="T531" s="118"/>
      <c r="U531" s="118"/>
      <c r="V531" s="118"/>
      <c r="W531" s="118"/>
      <c r="X531" s="118"/>
      <c r="Y531" s="119"/>
      <c r="Z531" s="119"/>
      <c r="AA531" s="119"/>
      <c r="AB531" s="119"/>
      <c r="AC531" s="119"/>
      <c r="AD531" s="119"/>
      <c r="AE531" s="119"/>
      <c r="AF531" s="119"/>
      <c r="AG531" s="119"/>
      <c r="AH531" s="119"/>
      <c r="AI531" s="119"/>
      <c r="AJ531" s="119"/>
      <c r="AK531" s="119"/>
      <c r="AL531" s="119"/>
      <c r="AM531" s="119"/>
      <c r="AN531" s="119"/>
      <c r="AO531" s="356"/>
      <c r="AP531" s="120"/>
      <c r="AQ531" s="120"/>
      <c r="AR531" s="120"/>
      <c r="AS531" s="120"/>
      <c r="AT531" s="120"/>
      <c r="AU531" s="120"/>
      <c r="AV531" s="120"/>
      <c r="AW531" s="120"/>
      <c r="AX531" s="120"/>
      <c r="AY531" s="120"/>
      <c r="AZ531" s="120"/>
      <c r="BA531" s="120"/>
      <c r="BB531" s="120"/>
      <c r="BC531" s="120"/>
      <c r="BD531" s="120"/>
      <c r="BE531" s="120"/>
      <c r="BF531" s="456"/>
      <c r="BG531"/>
    </row>
    <row r="532" spans="1:59" s="98" customFormat="1" ht="16.5" customHeight="1">
      <c r="A532" s="96"/>
      <c r="B532" s="442"/>
      <c r="C532" s="358"/>
      <c r="D532" s="358"/>
      <c r="E532" s="358"/>
      <c r="F532" s="359" t="s">
        <v>217</v>
      </c>
      <c r="G532" s="364"/>
      <c r="H532" s="364"/>
      <c r="I532" s="359"/>
      <c r="J532" s="364"/>
      <c r="K532" s="364"/>
      <c r="L532" s="364"/>
      <c r="M532" s="364"/>
      <c r="N532" s="364"/>
      <c r="O532" s="364"/>
      <c r="P532" s="364"/>
      <c r="Q532" s="364"/>
      <c r="R532" s="364"/>
      <c r="S532" s="364"/>
      <c r="T532" s="364"/>
      <c r="U532" s="364"/>
      <c r="V532" s="364"/>
      <c r="W532" s="364"/>
      <c r="X532" s="364"/>
      <c r="Y532" s="365"/>
      <c r="Z532" s="365"/>
      <c r="AA532" s="365"/>
      <c r="AB532" s="365"/>
      <c r="AC532" s="365"/>
      <c r="AD532" s="365"/>
      <c r="AE532" s="365"/>
      <c r="AF532" s="365"/>
      <c r="AG532" s="365"/>
      <c r="AH532" s="365"/>
      <c r="AI532" s="365"/>
      <c r="AJ532" s="365"/>
      <c r="AK532" s="359"/>
      <c r="AL532" s="365"/>
      <c r="AM532" s="365"/>
      <c r="AN532" s="365"/>
      <c r="AO532" s="359"/>
      <c r="AP532" s="365"/>
      <c r="AQ532" s="365"/>
      <c r="AR532" s="359"/>
      <c r="AS532" s="365"/>
      <c r="AT532" s="365"/>
      <c r="AU532" s="365"/>
      <c r="AV532" s="365"/>
      <c r="AW532" s="365"/>
      <c r="AX532" s="365"/>
      <c r="AY532" s="365"/>
      <c r="AZ532" s="365"/>
      <c r="BA532" s="365"/>
      <c r="BB532" s="365"/>
      <c r="BC532" s="365"/>
      <c r="BD532" s="365"/>
      <c r="BE532" s="365"/>
      <c r="BF532" s="457"/>
      <c r="BG532"/>
    </row>
    <row r="533" spans="1:59" s="105" customFormat="1" ht="86" customHeight="1">
      <c r="B533" s="443"/>
      <c r="C533" s="334" t="s">
        <v>540</v>
      </c>
      <c r="D533" s="334" t="s">
        <v>541</v>
      </c>
      <c r="E533" s="334" t="s">
        <v>542</v>
      </c>
      <c r="F533" s="341" t="s">
        <v>577</v>
      </c>
      <c r="G533" s="341" t="s">
        <v>543</v>
      </c>
      <c r="H533" s="341" t="s">
        <v>484</v>
      </c>
      <c r="I533" s="341" t="s">
        <v>545</v>
      </c>
      <c r="J533" s="341" t="s">
        <v>546</v>
      </c>
      <c r="K533" s="341" t="s">
        <v>547</v>
      </c>
      <c r="L533" s="341" t="s">
        <v>548</v>
      </c>
      <c r="M533" s="341" t="s">
        <v>549</v>
      </c>
      <c r="N533" s="341" t="s">
        <v>550</v>
      </c>
      <c r="O533" s="341" t="s">
        <v>551</v>
      </c>
      <c r="P533" s="341" t="s">
        <v>552</v>
      </c>
      <c r="Q533" s="341" t="s">
        <v>553</v>
      </c>
      <c r="R533" s="341" t="s">
        <v>554</v>
      </c>
      <c r="S533" s="341" t="s">
        <v>555</v>
      </c>
      <c r="T533" s="341" t="s">
        <v>556</v>
      </c>
      <c r="U533" s="341" t="s">
        <v>557</v>
      </c>
      <c r="V533" s="341" t="s">
        <v>558</v>
      </c>
      <c r="W533" s="341" t="s">
        <v>559</v>
      </c>
      <c r="X533" s="341" t="s">
        <v>560</v>
      </c>
      <c r="Y533" s="341" t="s">
        <v>561</v>
      </c>
      <c r="Z533" s="341" t="s">
        <v>562</v>
      </c>
      <c r="AA533" s="341" t="s">
        <v>563</v>
      </c>
      <c r="AB533" s="341" t="s">
        <v>564</v>
      </c>
      <c r="AC533" s="341" t="s">
        <v>565</v>
      </c>
      <c r="AD533" s="341" t="s">
        <v>566</v>
      </c>
      <c r="AE533" s="341" t="s">
        <v>567</v>
      </c>
      <c r="AF533" s="341" t="s">
        <v>568</v>
      </c>
      <c r="AG533" s="341" t="s">
        <v>569</v>
      </c>
      <c r="AH533" s="341" t="s">
        <v>570</v>
      </c>
      <c r="AI533" s="341" t="s">
        <v>571</v>
      </c>
      <c r="AJ533" s="341" t="s">
        <v>572</v>
      </c>
      <c r="AK533" s="341" t="s">
        <v>573</v>
      </c>
      <c r="AL533" s="341" t="s">
        <v>574</v>
      </c>
      <c r="AM533" s="341" t="s">
        <v>575</v>
      </c>
      <c r="AN533" s="341" t="s">
        <v>576</v>
      </c>
      <c r="AO533" s="341" t="s">
        <v>544</v>
      </c>
      <c r="AP533" s="341" t="s">
        <v>578</v>
      </c>
      <c r="AQ533" s="341" t="s">
        <v>579</v>
      </c>
      <c r="AR533" s="341" t="s">
        <v>580</v>
      </c>
      <c r="AS533" s="341" t="s">
        <v>581</v>
      </c>
      <c r="AT533" s="341" t="s">
        <v>582</v>
      </c>
      <c r="AU533" s="341" t="s">
        <v>583</v>
      </c>
      <c r="AV533" s="341" t="s">
        <v>584</v>
      </c>
      <c r="AW533" s="341" t="s">
        <v>585</v>
      </c>
      <c r="AX533" s="341" t="s">
        <v>586</v>
      </c>
      <c r="AY533" s="341" t="s">
        <v>587</v>
      </c>
      <c r="AZ533" s="341" t="s">
        <v>462</v>
      </c>
      <c r="BA533" s="341" t="s">
        <v>463</v>
      </c>
      <c r="BB533" s="341" t="s">
        <v>464</v>
      </c>
      <c r="BC533" s="341" t="s">
        <v>465</v>
      </c>
      <c r="BD533" s="341" t="s">
        <v>146</v>
      </c>
      <c r="BE533" s="341" t="s">
        <v>148</v>
      </c>
      <c r="BF533" s="458" t="s">
        <v>466</v>
      </c>
      <c r="BG533"/>
    </row>
    <row r="534" spans="1:59" s="105" customFormat="1">
      <c r="B534" s="443"/>
      <c r="C534" s="334" t="s">
        <v>501</v>
      </c>
      <c r="D534" s="334" t="s">
        <v>502</v>
      </c>
      <c r="E534" s="334" t="s">
        <v>503</v>
      </c>
      <c r="F534" s="335" t="s">
        <v>440</v>
      </c>
      <c r="G534" s="335" t="s">
        <v>506</v>
      </c>
      <c r="H534" s="335" t="s">
        <v>505</v>
      </c>
      <c r="I534" s="335" t="s">
        <v>589</v>
      </c>
      <c r="J534" s="335" t="s">
        <v>590</v>
      </c>
      <c r="K534" s="335" t="s">
        <v>591</v>
      </c>
      <c r="L534" s="335" t="s">
        <v>592</v>
      </c>
      <c r="M534" s="335" t="s">
        <v>593</v>
      </c>
      <c r="N534" s="335" t="s">
        <v>594</v>
      </c>
      <c r="O534" s="335" t="s">
        <v>595</v>
      </c>
      <c r="P534" s="335" t="s">
        <v>596</v>
      </c>
      <c r="Q534" s="335" t="s">
        <v>597</v>
      </c>
      <c r="R534" s="335" t="s">
        <v>598</v>
      </c>
      <c r="S534" s="335" t="s">
        <v>599</v>
      </c>
      <c r="T534" s="335" t="s">
        <v>600</v>
      </c>
      <c r="U534" s="335" t="s">
        <v>601</v>
      </c>
      <c r="V534" s="335" t="s">
        <v>602</v>
      </c>
      <c r="W534" s="335" t="s">
        <v>603</v>
      </c>
      <c r="X534" s="335" t="s">
        <v>604</v>
      </c>
      <c r="Y534" s="335" t="s">
        <v>605</v>
      </c>
      <c r="Z534" s="335" t="s">
        <v>606</v>
      </c>
      <c r="AA534" s="335" t="s">
        <v>607</v>
      </c>
      <c r="AB534" s="335" t="s">
        <v>608</v>
      </c>
      <c r="AC534" s="335" t="s">
        <v>609</v>
      </c>
      <c r="AD534" s="335" t="s">
        <v>610</v>
      </c>
      <c r="AE534" s="335" t="s">
        <v>611</v>
      </c>
      <c r="AF534" s="335" t="s">
        <v>612</v>
      </c>
      <c r="AG534" s="335" t="s">
        <v>613</v>
      </c>
      <c r="AH534" s="335" t="s">
        <v>614</v>
      </c>
      <c r="AI534" s="335" t="s">
        <v>615</v>
      </c>
      <c r="AJ534" s="335" t="s">
        <v>616</v>
      </c>
      <c r="AK534" s="335" t="s">
        <v>439</v>
      </c>
      <c r="AL534" s="335" t="s">
        <v>617</v>
      </c>
      <c r="AM534" s="335" t="s">
        <v>618</v>
      </c>
      <c r="AN534" s="335" t="s">
        <v>619</v>
      </c>
      <c r="AO534" s="335" t="s">
        <v>588</v>
      </c>
      <c r="AP534" s="335" t="s">
        <v>620</v>
      </c>
      <c r="AQ534" s="335" t="s">
        <v>621</v>
      </c>
      <c r="AR534" s="335" t="s">
        <v>622</v>
      </c>
      <c r="AS534" s="335" t="s">
        <v>623</v>
      </c>
      <c r="AT534" s="335" t="s">
        <v>624</v>
      </c>
      <c r="AU534" s="335" t="s">
        <v>625</v>
      </c>
      <c r="AV534" s="335" t="s">
        <v>626</v>
      </c>
      <c r="AW534" s="335" t="s">
        <v>627</v>
      </c>
      <c r="AX534" s="335" t="s">
        <v>628</v>
      </c>
      <c r="AY534" s="335" t="s">
        <v>629</v>
      </c>
      <c r="AZ534" s="335" t="s">
        <v>445</v>
      </c>
      <c r="BA534" s="335" t="s">
        <v>446</v>
      </c>
      <c r="BB534" s="335" t="s">
        <v>447</v>
      </c>
      <c r="BC534" s="335" t="s">
        <v>448</v>
      </c>
      <c r="BD534" s="335" t="s">
        <v>449</v>
      </c>
      <c r="BE534" s="335" t="s">
        <v>450</v>
      </c>
      <c r="BF534" s="459" t="s">
        <v>451</v>
      </c>
      <c r="BG534"/>
    </row>
    <row r="535" spans="1:59" s="95" customFormat="1" ht="13.5" customHeight="1">
      <c r="B535" s="444"/>
      <c r="C535" s="334" t="s">
        <v>522</v>
      </c>
      <c r="D535" s="334" t="s">
        <v>630</v>
      </c>
      <c r="E535" s="334" t="s">
        <v>467</v>
      </c>
      <c r="F535" s="459" t="s">
        <v>468</v>
      </c>
      <c r="G535" s="459" t="s">
        <v>470</v>
      </c>
      <c r="H535" s="459" t="s">
        <v>470</v>
      </c>
      <c r="I535" s="459" t="s">
        <v>470</v>
      </c>
      <c r="J535" s="459" t="s">
        <v>470</v>
      </c>
      <c r="K535" s="459" t="s">
        <v>631</v>
      </c>
      <c r="L535" s="459" t="s">
        <v>631</v>
      </c>
      <c r="M535" s="459" t="s">
        <v>467</v>
      </c>
      <c r="N535" s="459" t="s">
        <v>632</v>
      </c>
      <c r="O535" s="459" t="s">
        <v>470</v>
      </c>
      <c r="P535" s="459" t="s">
        <v>528</v>
      </c>
      <c r="Q535" s="459" t="s">
        <v>524</v>
      </c>
      <c r="R535" s="459" t="s">
        <v>528</v>
      </c>
      <c r="S535" s="459" t="s">
        <v>524</v>
      </c>
      <c r="T535" s="459" t="s">
        <v>524</v>
      </c>
      <c r="U535" s="459" t="s">
        <v>470</v>
      </c>
      <c r="V535" s="459" t="s">
        <v>633</v>
      </c>
      <c r="W535" s="459" t="s">
        <v>633</v>
      </c>
      <c r="X535" s="459" t="s">
        <v>468</v>
      </c>
      <c r="Y535" s="459" t="s">
        <v>632</v>
      </c>
      <c r="Z535" s="459" t="s">
        <v>632</v>
      </c>
      <c r="AA535" s="459" t="s">
        <v>524</v>
      </c>
      <c r="AB535" s="459" t="s">
        <v>527</v>
      </c>
      <c r="AC535" s="459" t="s">
        <v>528</v>
      </c>
      <c r="AD535" s="459" t="s">
        <v>528</v>
      </c>
      <c r="AE535" s="459" t="s">
        <v>634</v>
      </c>
      <c r="AF535" s="459" t="s">
        <v>634</v>
      </c>
      <c r="AG535" s="459" t="s">
        <v>528</v>
      </c>
      <c r="AH535" s="459" t="s">
        <v>528</v>
      </c>
      <c r="AI535" s="459" t="s">
        <v>634</v>
      </c>
      <c r="AJ535" s="459" t="s">
        <v>634</v>
      </c>
      <c r="AK535" s="459" t="s">
        <v>470</v>
      </c>
      <c r="AL535" s="459" t="s">
        <v>470</v>
      </c>
      <c r="AM535" s="459" t="s">
        <v>470</v>
      </c>
      <c r="AN535" s="459" t="s">
        <v>470</v>
      </c>
      <c r="AO535" s="459" t="s">
        <v>470</v>
      </c>
      <c r="AP535" s="459" t="s">
        <v>467</v>
      </c>
      <c r="AQ535" s="459" t="s">
        <v>470</v>
      </c>
      <c r="AR535" s="459" t="s">
        <v>524</v>
      </c>
      <c r="AS535" s="459" t="s">
        <v>524</v>
      </c>
      <c r="AT535" s="459" t="s">
        <v>470</v>
      </c>
      <c r="AU535" s="459" t="s">
        <v>635</v>
      </c>
      <c r="AV535" s="459" t="s">
        <v>528</v>
      </c>
      <c r="AW535" s="459" t="s">
        <v>468</v>
      </c>
      <c r="AX535" s="459" t="s">
        <v>470</v>
      </c>
      <c r="AY535" s="459" t="s">
        <v>470</v>
      </c>
      <c r="AZ535" s="459" t="s">
        <v>473</v>
      </c>
      <c r="BA535" s="459" t="s">
        <v>474</v>
      </c>
      <c r="BB535" s="459" t="s">
        <v>475</v>
      </c>
      <c r="BC535" s="459" t="s">
        <v>475</v>
      </c>
      <c r="BD535" s="459" t="s">
        <v>474</v>
      </c>
      <c r="BE535" s="459" t="s">
        <v>475</v>
      </c>
      <c r="BF535" s="459" t="s">
        <v>475</v>
      </c>
      <c r="BG535"/>
    </row>
    <row r="536" spans="1:59" s="28" customFormat="1" ht="15">
      <c r="B536" s="360" t="s">
        <v>532</v>
      </c>
      <c r="C536" s="406" t="s">
        <v>713</v>
      </c>
      <c r="D536" s="406" t="s">
        <v>648</v>
      </c>
      <c r="E536" s="406" t="s">
        <v>648</v>
      </c>
      <c r="F536" s="411">
        <v>1</v>
      </c>
      <c r="G536" s="411" t="s">
        <v>533</v>
      </c>
      <c r="H536" s="411" t="s">
        <v>533</v>
      </c>
      <c r="I536" s="411" t="s">
        <v>534</v>
      </c>
      <c r="J536" s="411" t="s">
        <v>534</v>
      </c>
      <c r="K536" s="411" t="s">
        <v>156</v>
      </c>
      <c r="L536" s="411" t="s">
        <v>156</v>
      </c>
      <c r="M536" s="411" t="s">
        <v>156</v>
      </c>
      <c r="N536" s="411" t="s">
        <v>156</v>
      </c>
      <c r="O536" s="411" t="s">
        <v>637</v>
      </c>
      <c r="P536" s="411" t="s">
        <v>534</v>
      </c>
      <c r="Q536" s="411" t="s">
        <v>714</v>
      </c>
      <c r="R536" s="411" t="s">
        <v>638</v>
      </c>
      <c r="S536" s="411" t="s">
        <v>715</v>
      </c>
      <c r="T536" s="411" t="s">
        <v>716</v>
      </c>
      <c r="U536" s="411" t="s">
        <v>232</v>
      </c>
      <c r="V536" s="411" t="s">
        <v>717</v>
      </c>
      <c r="W536" s="411" t="s">
        <v>717</v>
      </c>
      <c r="X536" s="411"/>
      <c r="Y536" s="411"/>
      <c r="Z536" s="411" t="s">
        <v>156</v>
      </c>
      <c r="AA536" s="411">
        <v>1</v>
      </c>
      <c r="AB536" s="411">
        <v>99999999</v>
      </c>
      <c r="AC536" s="411">
        <v>0</v>
      </c>
      <c r="AD536" s="411">
        <v>0</v>
      </c>
      <c r="AE536" s="411">
        <v>0</v>
      </c>
      <c r="AF536" s="411">
        <v>0</v>
      </c>
      <c r="AG536" s="411">
        <v>0</v>
      </c>
      <c r="AH536" s="411">
        <v>0</v>
      </c>
      <c r="AI536" s="411">
        <v>0</v>
      </c>
      <c r="AJ536" s="411">
        <v>0</v>
      </c>
      <c r="AK536" s="411">
        <v>1</v>
      </c>
      <c r="AL536" s="411">
        <v>1</v>
      </c>
      <c r="AM536" s="411">
        <v>0</v>
      </c>
      <c r="AN536" s="411">
        <v>0</v>
      </c>
      <c r="AO536" s="411" t="s">
        <v>636</v>
      </c>
      <c r="AP536" s="411" t="s">
        <v>156</v>
      </c>
      <c r="AQ536" s="411" t="s">
        <v>639</v>
      </c>
      <c r="AR536" s="411">
        <v>0</v>
      </c>
      <c r="AS536" s="411">
        <v>0</v>
      </c>
      <c r="AT536" s="411">
        <v>1</v>
      </c>
      <c r="AU536" s="411">
        <v>0</v>
      </c>
      <c r="AV536" s="411">
        <v>0</v>
      </c>
      <c r="AW536" s="411">
        <v>0</v>
      </c>
      <c r="AX536" s="411">
        <v>0</v>
      </c>
      <c r="AY536" s="411">
        <v>1</v>
      </c>
      <c r="AZ536" s="411">
        <v>0</v>
      </c>
      <c r="BA536" s="411">
        <v>39864.674351851849</v>
      </c>
      <c r="BB536" s="411">
        <v>440393</v>
      </c>
      <c r="BC536" s="411">
        <v>440393</v>
      </c>
      <c r="BD536" s="411">
        <v>45482.05810185185</v>
      </c>
      <c r="BE536" s="411" t="s">
        <v>640</v>
      </c>
      <c r="BF536" s="477" t="s">
        <v>640</v>
      </c>
      <c r="BG536"/>
    </row>
    <row r="537" spans="1:59" s="28" customFormat="1" ht="15">
      <c r="B537" s="362" t="s">
        <v>537</v>
      </c>
      <c r="C537" s="406" t="s">
        <v>713</v>
      </c>
      <c r="D537" s="406" t="s">
        <v>648</v>
      </c>
      <c r="E537" s="388" t="s">
        <v>718</v>
      </c>
      <c r="F537" s="411">
        <v>1</v>
      </c>
      <c r="G537" s="411" t="s">
        <v>533</v>
      </c>
      <c r="H537" s="411" t="s">
        <v>533</v>
      </c>
      <c r="I537" s="411" t="s">
        <v>534</v>
      </c>
      <c r="J537" s="411" t="s">
        <v>534</v>
      </c>
      <c r="K537" s="411" t="s">
        <v>156</v>
      </c>
      <c r="L537" s="411" t="s">
        <v>156</v>
      </c>
      <c r="M537" s="411" t="s">
        <v>156</v>
      </c>
      <c r="N537" s="411" t="s">
        <v>156</v>
      </c>
      <c r="O537" s="411" t="s">
        <v>637</v>
      </c>
      <c r="P537" s="411" t="s">
        <v>534</v>
      </c>
      <c r="Q537" s="411" t="s">
        <v>714</v>
      </c>
      <c r="R537" s="411" t="s">
        <v>638</v>
      </c>
      <c r="S537" s="411" t="s">
        <v>715</v>
      </c>
      <c r="T537" s="411" t="s">
        <v>716</v>
      </c>
      <c r="U537" s="411" t="s">
        <v>232</v>
      </c>
      <c r="V537" s="411" t="s">
        <v>717</v>
      </c>
      <c r="W537" s="411" t="s">
        <v>717</v>
      </c>
      <c r="X537" s="411"/>
      <c r="Y537" s="411"/>
      <c r="Z537" s="411" t="s">
        <v>156</v>
      </c>
      <c r="AA537" s="411">
        <v>1</v>
      </c>
      <c r="AB537" s="411">
        <v>99999999</v>
      </c>
      <c r="AC537" s="411">
        <v>0</v>
      </c>
      <c r="AD537" s="411">
        <v>0</v>
      </c>
      <c r="AE537" s="411">
        <v>0</v>
      </c>
      <c r="AF537" s="411">
        <v>0</v>
      </c>
      <c r="AG537" s="411">
        <v>0</v>
      </c>
      <c r="AH537" s="411">
        <v>0</v>
      </c>
      <c r="AI537" s="411">
        <v>0</v>
      </c>
      <c r="AJ537" s="411">
        <v>0</v>
      </c>
      <c r="AK537" s="411">
        <v>1</v>
      </c>
      <c r="AL537" s="411">
        <v>1</v>
      </c>
      <c r="AM537" s="411">
        <v>0</v>
      </c>
      <c r="AN537" s="411">
        <v>0</v>
      </c>
      <c r="AO537" s="411" t="s">
        <v>636</v>
      </c>
      <c r="AP537" s="411" t="s">
        <v>156</v>
      </c>
      <c r="AQ537" s="411" t="s">
        <v>639</v>
      </c>
      <c r="AR537" s="411">
        <v>0</v>
      </c>
      <c r="AS537" s="411">
        <v>0</v>
      </c>
      <c r="AT537" s="411">
        <v>1</v>
      </c>
      <c r="AU537" s="411">
        <v>0</v>
      </c>
      <c r="AV537" s="411">
        <v>0</v>
      </c>
      <c r="AW537" s="411">
        <v>0</v>
      </c>
      <c r="AX537" s="411">
        <v>0</v>
      </c>
      <c r="AY537" s="411">
        <v>1</v>
      </c>
      <c r="AZ537" s="411">
        <v>0</v>
      </c>
      <c r="BA537" s="411">
        <v>39864.674351851849</v>
      </c>
      <c r="BB537" s="411">
        <v>440393</v>
      </c>
      <c r="BC537" s="411">
        <v>440393</v>
      </c>
      <c r="BD537" s="411">
        <v>45482.05810185185</v>
      </c>
      <c r="BE537" s="411" t="s">
        <v>640</v>
      </c>
      <c r="BF537" s="477" t="s">
        <v>640</v>
      </c>
      <c r="BG537"/>
    </row>
    <row r="538" spans="1:59" s="28" customFormat="1" ht="15">
      <c r="B538" s="362" t="s">
        <v>537</v>
      </c>
      <c r="C538" s="406" t="s">
        <v>713</v>
      </c>
      <c r="D538" s="388" t="s">
        <v>718</v>
      </c>
      <c r="E538" s="387" t="s">
        <v>648</v>
      </c>
      <c r="F538" s="411">
        <v>1</v>
      </c>
      <c r="G538" s="411" t="s">
        <v>533</v>
      </c>
      <c r="H538" s="411" t="s">
        <v>533</v>
      </c>
      <c r="I538" s="411" t="s">
        <v>534</v>
      </c>
      <c r="J538" s="411" t="s">
        <v>534</v>
      </c>
      <c r="K538" s="411" t="s">
        <v>156</v>
      </c>
      <c r="L538" s="411" t="s">
        <v>156</v>
      </c>
      <c r="M538" s="411" t="s">
        <v>156</v>
      </c>
      <c r="N538" s="411" t="s">
        <v>156</v>
      </c>
      <c r="O538" s="411" t="s">
        <v>637</v>
      </c>
      <c r="P538" s="411" t="s">
        <v>534</v>
      </c>
      <c r="Q538" s="411" t="s">
        <v>714</v>
      </c>
      <c r="R538" s="411" t="s">
        <v>638</v>
      </c>
      <c r="S538" s="411" t="s">
        <v>715</v>
      </c>
      <c r="T538" s="411" t="s">
        <v>716</v>
      </c>
      <c r="U538" s="411" t="s">
        <v>232</v>
      </c>
      <c r="V538" s="411" t="s">
        <v>717</v>
      </c>
      <c r="W538" s="411" t="s">
        <v>717</v>
      </c>
      <c r="X538" s="411"/>
      <c r="Y538" s="411"/>
      <c r="Z538" s="411" t="s">
        <v>156</v>
      </c>
      <c r="AA538" s="411">
        <v>1</v>
      </c>
      <c r="AB538" s="411">
        <v>99999999</v>
      </c>
      <c r="AC538" s="411">
        <v>0</v>
      </c>
      <c r="AD538" s="411">
        <v>0</v>
      </c>
      <c r="AE538" s="411">
        <v>0</v>
      </c>
      <c r="AF538" s="411">
        <v>0</v>
      </c>
      <c r="AG538" s="411">
        <v>0</v>
      </c>
      <c r="AH538" s="411">
        <v>0</v>
      </c>
      <c r="AI538" s="411">
        <v>0</v>
      </c>
      <c r="AJ538" s="411">
        <v>0</v>
      </c>
      <c r="AK538" s="411">
        <v>1</v>
      </c>
      <c r="AL538" s="411">
        <v>1</v>
      </c>
      <c r="AM538" s="411">
        <v>0</v>
      </c>
      <c r="AN538" s="411">
        <v>0</v>
      </c>
      <c r="AO538" s="411" t="s">
        <v>636</v>
      </c>
      <c r="AP538" s="411" t="s">
        <v>156</v>
      </c>
      <c r="AQ538" s="411" t="s">
        <v>639</v>
      </c>
      <c r="AR538" s="411">
        <v>0</v>
      </c>
      <c r="AS538" s="411">
        <v>0</v>
      </c>
      <c r="AT538" s="411">
        <v>1</v>
      </c>
      <c r="AU538" s="411">
        <v>0</v>
      </c>
      <c r="AV538" s="411">
        <v>0</v>
      </c>
      <c r="AW538" s="411">
        <v>0</v>
      </c>
      <c r="AX538" s="411">
        <v>0</v>
      </c>
      <c r="AY538" s="411">
        <v>1</v>
      </c>
      <c r="AZ538" s="411">
        <v>0</v>
      </c>
      <c r="BA538" s="411">
        <v>39864.674351851849</v>
      </c>
      <c r="BB538" s="411">
        <v>440393</v>
      </c>
      <c r="BC538" s="411">
        <v>440393</v>
      </c>
      <c r="BD538" s="411">
        <v>45482.05810185185</v>
      </c>
      <c r="BE538" s="411" t="s">
        <v>640</v>
      </c>
      <c r="BF538" s="477" t="s">
        <v>640</v>
      </c>
      <c r="BG538"/>
    </row>
    <row r="539" spans="1:59" s="28" customFormat="1" ht="15">
      <c r="B539" s="362" t="s">
        <v>537</v>
      </c>
      <c r="C539" s="406" t="s">
        <v>713</v>
      </c>
      <c r="D539" s="387" t="s">
        <v>648</v>
      </c>
      <c r="E539" s="388" t="s">
        <v>719</v>
      </c>
      <c r="F539" s="411">
        <v>1</v>
      </c>
      <c r="G539" s="411" t="s">
        <v>533</v>
      </c>
      <c r="H539" s="411" t="s">
        <v>533</v>
      </c>
      <c r="I539" s="411" t="s">
        <v>534</v>
      </c>
      <c r="J539" s="411" t="s">
        <v>534</v>
      </c>
      <c r="K539" s="411" t="s">
        <v>156</v>
      </c>
      <c r="L539" s="411" t="s">
        <v>156</v>
      </c>
      <c r="M539" s="411" t="s">
        <v>156</v>
      </c>
      <c r="N539" s="411" t="s">
        <v>156</v>
      </c>
      <c r="O539" s="411" t="s">
        <v>637</v>
      </c>
      <c r="P539" s="411" t="s">
        <v>534</v>
      </c>
      <c r="Q539" s="411" t="s">
        <v>714</v>
      </c>
      <c r="R539" s="411" t="s">
        <v>638</v>
      </c>
      <c r="S539" s="411" t="s">
        <v>715</v>
      </c>
      <c r="T539" s="411" t="s">
        <v>716</v>
      </c>
      <c r="U539" s="411" t="s">
        <v>232</v>
      </c>
      <c r="V539" s="411" t="s">
        <v>717</v>
      </c>
      <c r="W539" s="411" t="s">
        <v>717</v>
      </c>
      <c r="X539" s="411"/>
      <c r="Y539" s="411"/>
      <c r="Z539" s="411" t="s">
        <v>156</v>
      </c>
      <c r="AA539" s="411">
        <v>1</v>
      </c>
      <c r="AB539" s="411">
        <v>99999999</v>
      </c>
      <c r="AC539" s="411">
        <v>0</v>
      </c>
      <c r="AD539" s="411">
        <v>0</v>
      </c>
      <c r="AE539" s="411">
        <v>0</v>
      </c>
      <c r="AF539" s="411">
        <v>0</v>
      </c>
      <c r="AG539" s="411">
        <v>0</v>
      </c>
      <c r="AH539" s="411">
        <v>0</v>
      </c>
      <c r="AI539" s="411">
        <v>0</v>
      </c>
      <c r="AJ539" s="411">
        <v>0</v>
      </c>
      <c r="AK539" s="411">
        <v>1</v>
      </c>
      <c r="AL539" s="411">
        <v>1</v>
      </c>
      <c r="AM539" s="411">
        <v>0</v>
      </c>
      <c r="AN539" s="411">
        <v>0</v>
      </c>
      <c r="AO539" s="411" t="s">
        <v>636</v>
      </c>
      <c r="AP539" s="411" t="s">
        <v>156</v>
      </c>
      <c r="AQ539" s="411" t="s">
        <v>639</v>
      </c>
      <c r="AR539" s="411">
        <v>0</v>
      </c>
      <c r="AS539" s="411">
        <v>0</v>
      </c>
      <c r="AT539" s="411">
        <v>1</v>
      </c>
      <c r="AU539" s="411">
        <v>0</v>
      </c>
      <c r="AV539" s="411">
        <v>0</v>
      </c>
      <c r="AW539" s="411">
        <v>0</v>
      </c>
      <c r="AX539" s="411">
        <v>0</v>
      </c>
      <c r="AY539" s="411">
        <v>1</v>
      </c>
      <c r="AZ539" s="411">
        <v>0</v>
      </c>
      <c r="BA539" s="411">
        <v>39864.674351851849</v>
      </c>
      <c r="BB539" s="411">
        <v>440393</v>
      </c>
      <c r="BC539" s="411">
        <v>440393</v>
      </c>
      <c r="BD539" s="411">
        <v>45482.05810185185</v>
      </c>
      <c r="BE539" s="411" t="s">
        <v>640</v>
      </c>
      <c r="BF539" s="477" t="s">
        <v>640</v>
      </c>
      <c r="BG539"/>
    </row>
    <row r="540" spans="1:59">
      <c r="B540" s="366"/>
      <c r="BF540" s="348"/>
    </row>
    <row r="541" spans="1:59">
      <c r="B541" s="366"/>
      <c r="C541" s="393" t="s">
        <v>679</v>
      </c>
      <c r="D541" s="394"/>
      <c r="E541" s="394"/>
      <c r="F541" s="394"/>
      <c r="G541" s="394"/>
      <c r="H541" s="394"/>
      <c r="I541" s="394"/>
      <c r="J541" s="394"/>
      <c r="K541" s="394"/>
      <c r="L541" s="394"/>
      <c r="M541" s="394"/>
      <c r="BF541" s="348"/>
    </row>
    <row r="542" spans="1:59" ht="15">
      <c r="B542" s="366"/>
      <c r="C542" s="336"/>
      <c r="D542" s="392"/>
      <c r="E542" s="336"/>
      <c r="F542" s="336" t="s">
        <v>217</v>
      </c>
      <c r="G542" s="392"/>
      <c r="H542" s="392"/>
      <c r="I542" s="392"/>
      <c r="J542" s="392"/>
      <c r="K542" s="392"/>
      <c r="L542" s="392"/>
      <c r="M542" s="392"/>
      <c r="BF542" s="348"/>
    </row>
    <row r="543" spans="1:59">
      <c r="B543" s="366"/>
      <c r="C543" s="371" t="s">
        <v>688</v>
      </c>
      <c r="D543" s="335" t="s">
        <v>682</v>
      </c>
      <c r="E543" s="371" t="s">
        <v>689</v>
      </c>
      <c r="F543" s="335" t="s">
        <v>683</v>
      </c>
      <c r="G543" s="341" t="s">
        <v>462</v>
      </c>
      <c r="H543" s="341" t="s">
        <v>463</v>
      </c>
      <c r="I543" s="341" t="s">
        <v>464</v>
      </c>
      <c r="J543" s="341" t="s">
        <v>465</v>
      </c>
      <c r="K543" s="341" t="s">
        <v>146</v>
      </c>
      <c r="L543" s="341" t="s">
        <v>148</v>
      </c>
      <c r="M543" s="341" t="s">
        <v>466</v>
      </c>
      <c r="BF543" s="348"/>
    </row>
    <row r="544" spans="1:59" ht="14">
      <c r="B544" s="366"/>
      <c r="C544" s="405" t="s">
        <v>690</v>
      </c>
      <c r="D544" s="335" t="s">
        <v>680</v>
      </c>
      <c r="E544" s="405" t="s">
        <v>692</v>
      </c>
      <c r="F544" s="335" t="s">
        <v>681</v>
      </c>
      <c r="G544" s="335" t="s">
        <v>445</v>
      </c>
      <c r="H544" s="335" t="s">
        <v>446</v>
      </c>
      <c r="I544" s="335" t="s">
        <v>447</v>
      </c>
      <c r="J544" s="335" t="s">
        <v>448</v>
      </c>
      <c r="K544" s="335" t="s">
        <v>449</v>
      </c>
      <c r="L544" s="335" t="s">
        <v>450</v>
      </c>
      <c r="M544" s="335" t="s">
        <v>451</v>
      </c>
      <c r="BF544" s="348"/>
    </row>
    <row r="545" spans="2:58" ht="14">
      <c r="B545" s="366"/>
      <c r="C545" s="405" t="s">
        <v>691</v>
      </c>
      <c r="D545" s="335" t="s">
        <v>685</v>
      </c>
      <c r="E545" s="405" t="s">
        <v>693</v>
      </c>
      <c r="F545" s="335" t="s">
        <v>470</v>
      </c>
      <c r="G545" s="335" t="s">
        <v>684</v>
      </c>
      <c r="H545" s="335" t="s">
        <v>474</v>
      </c>
      <c r="I545" s="335" t="s">
        <v>475</v>
      </c>
      <c r="J545" s="335" t="s">
        <v>475</v>
      </c>
      <c r="K545" s="335" t="s">
        <v>223</v>
      </c>
      <c r="L545" s="335" t="s">
        <v>475</v>
      </c>
      <c r="M545" s="335" t="s">
        <v>475</v>
      </c>
      <c r="BF545" s="348"/>
    </row>
    <row r="546" spans="2:58" ht="14">
      <c r="B546" s="362" t="s">
        <v>537</v>
      </c>
      <c r="C546" s="406" t="s">
        <v>650</v>
      </c>
      <c r="D546" s="406" t="s">
        <v>694</v>
      </c>
      <c r="E546" s="388" t="s">
        <v>805</v>
      </c>
      <c r="F546" s="406" t="s">
        <v>232</v>
      </c>
      <c r="G546" s="406" t="s">
        <v>534</v>
      </c>
      <c r="H546" s="406" t="s">
        <v>696</v>
      </c>
      <c r="I546" s="406" t="s">
        <v>697</v>
      </c>
      <c r="J546" s="406" t="s">
        <v>697</v>
      </c>
      <c r="K546" s="406" t="s">
        <v>698</v>
      </c>
      <c r="L546" s="406" t="s">
        <v>699</v>
      </c>
      <c r="M546" s="406" t="s">
        <v>699</v>
      </c>
      <c r="BF546" s="348"/>
    </row>
    <row r="547" spans="2:58" ht="14">
      <c r="B547" s="362" t="s">
        <v>537</v>
      </c>
      <c r="C547" s="411" t="s">
        <v>650</v>
      </c>
      <c r="D547" s="411" t="s">
        <v>809</v>
      </c>
      <c r="E547" s="388" t="s">
        <v>810</v>
      </c>
      <c r="F547" s="411" t="s">
        <v>232</v>
      </c>
      <c r="G547" s="411" t="s">
        <v>534</v>
      </c>
      <c r="H547" s="411" t="s">
        <v>696</v>
      </c>
      <c r="I547" s="411" t="s">
        <v>697</v>
      </c>
      <c r="J547" s="411" t="s">
        <v>697</v>
      </c>
      <c r="K547" s="411" t="s">
        <v>698</v>
      </c>
      <c r="L547" s="411" t="s">
        <v>699</v>
      </c>
      <c r="M547" s="411" t="s">
        <v>699</v>
      </c>
      <c r="BF547" s="348"/>
    </row>
    <row r="548" spans="2:58" ht="14">
      <c r="B548" s="362" t="s">
        <v>537</v>
      </c>
      <c r="C548" s="411" t="s">
        <v>650</v>
      </c>
      <c r="D548" s="411" t="s">
        <v>809</v>
      </c>
      <c r="E548" s="388" t="s">
        <v>811</v>
      </c>
      <c r="F548" s="411" t="s">
        <v>232</v>
      </c>
      <c r="G548" s="411" t="s">
        <v>534</v>
      </c>
      <c r="H548" s="411" t="s">
        <v>696</v>
      </c>
      <c r="I548" s="411" t="s">
        <v>697</v>
      </c>
      <c r="J548" s="411" t="s">
        <v>697</v>
      </c>
      <c r="K548" s="411" t="s">
        <v>698</v>
      </c>
      <c r="L548" s="411" t="s">
        <v>699</v>
      </c>
      <c r="M548" s="411" t="s">
        <v>699</v>
      </c>
      <c r="BF548" s="348"/>
    </row>
    <row r="549" spans="2:58" ht="14">
      <c r="B549" s="360" t="s">
        <v>532</v>
      </c>
      <c r="C549" s="411" t="s">
        <v>650</v>
      </c>
      <c r="D549" s="411" t="s">
        <v>809</v>
      </c>
      <c r="E549" s="387" t="s">
        <v>812</v>
      </c>
      <c r="F549" s="411" t="s">
        <v>534</v>
      </c>
      <c r="G549" s="411" t="s">
        <v>534</v>
      </c>
      <c r="H549" s="411" t="s">
        <v>696</v>
      </c>
      <c r="I549" s="411" t="s">
        <v>697</v>
      </c>
      <c r="J549" s="411" t="s">
        <v>697</v>
      </c>
      <c r="K549" s="411" t="s">
        <v>698</v>
      </c>
      <c r="L549" s="411" t="s">
        <v>699</v>
      </c>
      <c r="M549" s="411" t="s">
        <v>699</v>
      </c>
      <c r="BF549" s="348"/>
    </row>
    <row r="550" spans="2:58" ht="14">
      <c r="B550" s="362" t="s">
        <v>537</v>
      </c>
      <c r="C550" s="411" t="s">
        <v>650</v>
      </c>
      <c r="D550" s="411" t="s">
        <v>809</v>
      </c>
      <c r="E550" s="388" t="s">
        <v>813</v>
      </c>
      <c r="F550" s="411" t="s">
        <v>534</v>
      </c>
      <c r="G550" s="411" t="s">
        <v>534</v>
      </c>
      <c r="H550" s="411" t="s">
        <v>696</v>
      </c>
      <c r="I550" s="411" t="s">
        <v>697</v>
      </c>
      <c r="J550" s="411" t="s">
        <v>697</v>
      </c>
      <c r="K550" s="411" t="s">
        <v>698</v>
      </c>
      <c r="L550" s="411" t="s">
        <v>699</v>
      </c>
      <c r="M550" s="411" t="s">
        <v>699</v>
      </c>
      <c r="BF550" s="348"/>
    </row>
    <row r="551" spans="2:58">
      <c r="B551" s="366"/>
      <c r="BF551" s="348"/>
    </row>
    <row r="552" spans="2:58">
      <c r="B552" s="366"/>
      <c r="BF552" s="348"/>
    </row>
    <row r="553" spans="2:58" ht="13.5">
      <c r="B553" s="366"/>
      <c r="C553" s="354" t="s">
        <v>153</v>
      </c>
      <c r="D553" s="354"/>
      <c r="E553" s="354"/>
      <c r="F553" s="354"/>
      <c r="G553" s="354"/>
      <c r="BF553" s="348"/>
    </row>
    <row r="554" spans="2:58" ht="13.5">
      <c r="B554" s="366"/>
      <c r="C554" s="354" t="s">
        <v>154</v>
      </c>
      <c r="D554" s="354" t="s">
        <v>155</v>
      </c>
      <c r="E554" s="354" t="s">
        <v>157</v>
      </c>
      <c r="F554" s="354" t="s">
        <v>159</v>
      </c>
      <c r="G554" s="354" t="s">
        <v>409</v>
      </c>
      <c r="BF554" s="348"/>
    </row>
    <row r="555" spans="2:58" ht="13.5">
      <c r="B555" s="366"/>
      <c r="C555" s="354">
        <v>-2</v>
      </c>
      <c r="D555" s="354" t="s">
        <v>156</v>
      </c>
      <c r="E555" s="354" t="s">
        <v>964</v>
      </c>
      <c r="F555" s="354" t="s">
        <v>827</v>
      </c>
      <c r="G555" s="354" t="s">
        <v>677</v>
      </c>
      <c r="BF555" s="348"/>
    </row>
    <row r="556" spans="2:58" ht="13.5" thickBot="1">
      <c r="B556" s="366"/>
      <c r="BF556" s="348"/>
    </row>
    <row r="557" spans="2:58" ht="14" thickBot="1">
      <c r="B557" s="350" t="s">
        <v>844</v>
      </c>
      <c r="C557" s="351" t="s">
        <v>845</v>
      </c>
      <c r="D557" s="351"/>
      <c r="E557" s="351"/>
      <c r="F557" s="351"/>
      <c r="G557" s="351"/>
      <c r="H557" s="351"/>
      <c r="I557" s="351"/>
      <c r="J557" s="351"/>
      <c r="K557" s="351"/>
      <c r="L557" s="351"/>
      <c r="M557" s="351"/>
      <c r="N557" s="351"/>
      <c r="O557" s="351"/>
      <c r="P557" s="351"/>
      <c r="Q557" s="351"/>
      <c r="R557" s="351"/>
      <c r="S557" s="351"/>
      <c r="T557" s="351"/>
      <c r="U557" s="351"/>
      <c r="V557" s="351"/>
      <c r="W557" s="351"/>
      <c r="X557" s="351"/>
      <c r="Y557" s="351"/>
      <c r="Z557" s="351"/>
      <c r="AA557" s="351"/>
      <c r="AB557" s="351"/>
      <c r="AC557" s="351"/>
      <c r="AD557" s="351"/>
      <c r="AE557" s="351"/>
      <c r="AF557" s="351"/>
      <c r="AG557" s="351"/>
      <c r="AH557" s="351"/>
      <c r="AI557" s="351"/>
      <c r="AJ557" s="351"/>
      <c r="AK557" s="351"/>
      <c r="AL557" s="351"/>
      <c r="AM557" s="351"/>
      <c r="AN557" s="351"/>
      <c r="AO557" s="351"/>
      <c r="AP557" s="351"/>
      <c r="AQ557" s="351"/>
      <c r="AR557" s="351"/>
      <c r="AS557" s="351"/>
      <c r="AT557" s="351"/>
      <c r="AU557" s="351"/>
      <c r="AV557" s="351"/>
      <c r="AW557" s="351"/>
      <c r="AX557" s="351"/>
      <c r="AY557" s="351"/>
      <c r="AZ557" s="351"/>
      <c r="BA557" s="351"/>
      <c r="BB557" s="351"/>
      <c r="BC557" s="351"/>
      <c r="BD557" s="351"/>
      <c r="BE557" s="351"/>
      <c r="BF557" s="454"/>
    </row>
    <row r="558" spans="2:58" ht="14" thickBot="1">
      <c r="B558" s="352" t="s">
        <v>986</v>
      </c>
      <c r="C558" s="351" t="s">
        <v>674</v>
      </c>
      <c r="D558" s="351"/>
      <c r="E558" s="351"/>
      <c r="F558" s="351"/>
      <c r="G558" s="351"/>
      <c r="H558" s="351"/>
      <c r="I558" s="351"/>
      <c r="J558" s="351"/>
      <c r="K558" s="351"/>
      <c r="L558" s="351"/>
      <c r="M558" s="351"/>
      <c r="N558" s="351"/>
      <c r="O558" s="351"/>
      <c r="P558" s="351"/>
      <c r="Q558" s="351"/>
      <c r="R558" s="351"/>
      <c r="S558" s="351"/>
      <c r="T558" s="351"/>
      <c r="U558" s="351"/>
      <c r="V558" s="351"/>
      <c r="W558" s="351"/>
      <c r="X558" s="351"/>
      <c r="Y558" s="351"/>
      <c r="Z558" s="351"/>
      <c r="AA558" s="351"/>
      <c r="AB558" s="351"/>
      <c r="AC558" s="351"/>
      <c r="AD558" s="351"/>
      <c r="AE558" s="351"/>
      <c r="AF558" s="351"/>
      <c r="AG558" s="351"/>
      <c r="AH558" s="351"/>
      <c r="AI558" s="351"/>
      <c r="AJ558" s="351"/>
      <c r="AK558" s="351"/>
      <c r="AL558" s="351"/>
      <c r="AM558" s="351"/>
      <c r="AN558" s="351"/>
      <c r="AO558" s="351"/>
      <c r="AP558" s="351"/>
      <c r="AQ558" s="351"/>
      <c r="AR558" s="351"/>
      <c r="AS558" s="351"/>
      <c r="AT558" s="351"/>
      <c r="AU558" s="351"/>
      <c r="AV558" s="351"/>
      <c r="AW558" s="351"/>
      <c r="AX558" s="351"/>
      <c r="AY558" s="351"/>
      <c r="AZ558" s="351"/>
      <c r="BA558" s="351"/>
      <c r="BB558" s="351"/>
      <c r="BC558" s="351"/>
      <c r="BD558" s="351"/>
      <c r="BE558" s="351"/>
      <c r="BF558" s="454"/>
    </row>
    <row r="559" spans="2:58">
      <c r="B559" s="366"/>
      <c r="BF559" s="348"/>
    </row>
    <row r="560" spans="2:58" ht="13.5">
      <c r="B560" s="366"/>
      <c r="C560" s="354" t="s">
        <v>481</v>
      </c>
      <c r="BF560" s="348"/>
    </row>
    <row r="561" spans="1:59" ht="13.5">
      <c r="B561" s="366"/>
      <c r="C561" s="354" t="s">
        <v>862</v>
      </c>
      <c r="BF561" s="348"/>
    </row>
    <row r="562" spans="1:59">
      <c r="B562" s="366"/>
      <c r="BF562" s="348"/>
    </row>
    <row r="563" spans="1:59" s="28" customFormat="1" ht="19.5" customHeight="1">
      <c r="B563" s="441"/>
      <c r="C563" s="355" t="s">
        <v>712</v>
      </c>
      <c r="D563" s="356"/>
      <c r="E563" s="356"/>
      <c r="F563" s="356"/>
      <c r="G563" s="356"/>
      <c r="H563" s="120"/>
      <c r="I563" s="356"/>
      <c r="J563" s="356"/>
      <c r="K563" s="356"/>
      <c r="L563" s="356"/>
      <c r="M563" s="356"/>
      <c r="N563" s="356"/>
      <c r="O563" s="356"/>
      <c r="P563" s="356"/>
      <c r="Q563" s="356"/>
      <c r="R563" s="356"/>
      <c r="S563" s="118"/>
      <c r="T563" s="118"/>
      <c r="U563" s="118"/>
      <c r="V563" s="118"/>
      <c r="W563" s="118"/>
      <c r="X563" s="118"/>
      <c r="Y563" s="119"/>
      <c r="Z563" s="119"/>
      <c r="AA563" s="119"/>
      <c r="AB563" s="119"/>
      <c r="AC563" s="119"/>
      <c r="AD563" s="119"/>
      <c r="AE563" s="119"/>
      <c r="AF563" s="119"/>
      <c r="AG563" s="119"/>
      <c r="AH563" s="119"/>
      <c r="AI563" s="119"/>
      <c r="AJ563" s="119"/>
      <c r="AK563" s="119"/>
      <c r="AL563" s="119"/>
      <c r="AM563" s="119"/>
      <c r="AN563" s="119"/>
      <c r="AO563" s="356"/>
      <c r="AP563" s="120"/>
      <c r="AQ563" s="120"/>
      <c r="AR563" s="120"/>
      <c r="AS563" s="120"/>
      <c r="AT563" s="120"/>
      <c r="AU563" s="120"/>
      <c r="AV563" s="120"/>
      <c r="AW563" s="120"/>
      <c r="AX563" s="120"/>
      <c r="AY563" s="120"/>
      <c r="AZ563" s="120"/>
      <c r="BA563" s="120"/>
      <c r="BB563" s="120"/>
      <c r="BC563" s="120"/>
      <c r="BD563" s="120"/>
      <c r="BE563" s="120"/>
      <c r="BF563" s="456"/>
      <c r="BG563"/>
    </row>
    <row r="564" spans="1:59" s="98" customFormat="1" ht="16.5" customHeight="1">
      <c r="A564" s="96"/>
      <c r="B564" s="442"/>
      <c r="C564" s="358"/>
      <c r="D564" s="358"/>
      <c r="E564" s="358"/>
      <c r="F564" s="359" t="s">
        <v>217</v>
      </c>
      <c r="G564" s="364"/>
      <c r="H564" s="364"/>
      <c r="I564" s="359"/>
      <c r="J564" s="364"/>
      <c r="K564" s="364"/>
      <c r="L564" s="364"/>
      <c r="M564" s="364"/>
      <c r="N564" s="364"/>
      <c r="O564" s="364"/>
      <c r="P564" s="364"/>
      <c r="Q564" s="364"/>
      <c r="R564" s="364"/>
      <c r="S564" s="364"/>
      <c r="T564" s="364"/>
      <c r="U564" s="364"/>
      <c r="V564" s="364"/>
      <c r="W564" s="364"/>
      <c r="X564" s="364"/>
      <c r="Y564" s="365"/>
      <c r="Z564" s="365"/>
      <c r="AA564" s="365"/>
      <c r="AB564" s="365"/>
      <c r="AC564" s="365"/>
      <c r="AD564" s="365"/>
      <c r="AE564" s="365"/>
      <c r="AF564" s="365"/>
      <c r="AG564" s="365"/>
      <c r="AH564" s="365"/>
      <c r="AI564" s="365"/>
      <c r="AJ564" s="365"/>
      <c r="AK564" s="359"/>
      <c r="AL564" s="365"/>
      <c r="AM564" s="365"/>
      <c r="AN564" s="365"/>
      <c r="AO564" s="359"/>
      <c r="AP564" s="365"/>
      <c r="AQ564" s="365"/>
      <c r="AR564" s="359"/>
      <c r="AS564" s="365"/>
      <c r="AT564" s="365"/>
      <c r="AU564" s="365"/>
      <c r="AV564" s="365"/>
      <c r="AW564" s="365"/>
      <c r="AX564" s="365"/>
      <c r="AY564" s="365"/>
      <c r="AZ564" s="365"/>
      <c r="BA564" s="365"/>
      <c r="BB564" s="365"/>
      <c r="BC564" s="365"/>
      <c r="BD564" s="365"/>
      <c r="BE564" s="365"/>
      <c r="BF564" s="457"/>
      <c r="BG564"/>
    </row>
    <row r="565" spans="1:59" s="105" customFormat="1" ht="86" customHeight="1">
      <c r="B565" s="443"/>
      <c r="C565" s="334" t="s">
        <v>540</v>
      </c>
      <c r="D565" s="334" t="s">
        <v>541</v>
      </c>
      <c r="E565" s="334" t="s">
        <v>542</v>
      </c>
      <c r="F565" s="341" t="s">
        <v>577</v>
      </c>
      <c r="G565" s="341" t="s">
        <v>543</v>
      </c>
      <c r="H565" s="341" t="s">
        <v>484</v>
      </c>
      <c r="I565" s="341" t="s">
        <v>545</v>
      </c>
      <c r="J565" s="341" t="s">
        <v>546</v>
      </c>
      <c r="K565" s="341" t="s">
        <v>547</v>
      </c>
      <c r="L565" s="341" t="s">
        <v>548</v>
      </c>
      <c r="M565" s="341" t="s">
        <v>549</v>
      </c>
      <c r="N565" s="341" t="s">
        <v>550</v>
      </c>
      <c r="O565" s="341" t="s">
        <v>551</v>
      </c>
      <c r="P565" s="341" t="s">
        <v>552</v>
      </c>
      <c r="Q565" s="341" t="s">
        <v>553</v>
      </c>
      <c r="R565" s="341" t="s">
        <v>554</v>
      </c>
      <c r="S565" s="341" t="s">
        <v>555</v>
      </c>
      <c r="T565" s="341" t="s">
        <v>556</v>
      </c>
      <c r="U565" s="341" t="s">
        <v>557</v>
      </c>
      <c r="V565" s="341" t="s">
        <v>558</v>
      </c>
      <c r="W565" s="341" t="s">
        <v>559</v>
      </c>
      <c r="X565" s="341" t="s">
        <v>560</v>
      </c>
      <c r="Y565" s="341" t="s">
        <v>561</v>
      </c>
      <c r="Z565" s="341" t="s">
        <v>562</v>
      </c>
      <c r="AA565" s="341" t="s">
        <v>563</v>
      </c>
      <c r="AB565" s="341" t="s">
        <v>564</v>
      </c>
      <c r="AC565" s="341" t="s">
        <v>565</v>
      </c>
      <c r="AD565" s="341" t="s">
        <v>566</v>
      </c>
      <c r="AE565" s="341" t="s">
        <v>567</v>
      </c>
      <c r="AF565" s="341" t="s">
        <v>568</v>
      </c>
      <c r="AG565" s="341" t="s">
        <v>569</v>
      </c>
      <c r="AH565" s="341" t="s">
        <v>570</v>
      </c>
      <c r="AI565" s="341" t="s">
        <v>571</v>
      </c>
      <c r="AJ565" s="341" t="s">
        <v>572</v>
      </c>
      <c r="AK565" s="341" t="s">
        <v>573</v>
      </c>
      <c r="AL565" s="341" t="s">
        <v>574</v>
      </c>
      <c r="AM565" s="341" t="s">
        <v>575</v>
      </c>
      <c r="AN565" s="341" t="s">
        <v>576</v>
      </c>
      <c r="AO565" s="341" t="s">
        <v>544</v>
      </c>
      <c r="AP565" s="341" t="s">
        <v>578</v>
      </c>
      <c r="AQ565" s="341" t="s">
        <v>579</v>
      </c>
      <c r="AR565" s="341" t="s">
        <v>580</v>
      </c>
      <c r="AS565" s="341" t="s">
        <v>581</v>
      </c>
      <c r="AT565" s="341" t="s">
        <v>582</v>
      </c>
      <c r="AU565" s="341" t="s">
        <v>583</v>
      </c>
      <c r="AV565" s="341" t="s">
        <v>584</v>
      </c>
      <c r="AW565" s="341" t="s">
        <v>585</v>
      </c>
      <c r="AX565" s="341" t="s">
        <v>586</v>
      </c>
      <c r="AY565" s="341" t="s">
        <v>587</v>
      </c>
      <c r="AZ565" s="341" t="s">
        <v>462</v>
      </c>
      <c r="BA565" s="341" t="s">
        <v>463</v>
      </c>
      <c r="BB565" s="341" t="s">
        <v>464</v>
      </c>
      <c r="BC565" s="341" t="s">
        <v>465</v>
      </c>
      <c r="BD565" s="341" t="s">
        <v>146</v>
      </c>
      <c r="BE565" s="341" t="s">
        <v>148</v>
      </c>
      <c r="BF565" s="458" t="s">
        <v>466</v>
      </c>
      <c r="BG565"/>
    </row>
    <row r="566" spans="1:59" s="105" customFormat="1">
      <c r="B566" s="443"/>
      <c r="C566" s="334" t="s">
        <v>501</v>
      </c>
      <c r="D566" s="334" t="s">
        <v>502</v>
      </c>
      <c r="E566" s="334" t="s">
        <v>503</v>
      </c>
      <c r="F566" s="335" t="s">
        <v>440</v>
      </c>
      <c r="G566" s="335" t="s">
        <v>506</v>
      </c>
      <c r="H566" s="335" t="s">
        <v>505</v>
      </c>
      <c r="I566" s="335" t="s">
        <v>589</v>
      </c>
      <c r="J566" s="335" t="s">
        <v>590</v>
      </c>
      <c r="K566" s="335" t="s">
        <v>591</v>
      </c>
      <c r="L566" s="335" t="s">
        <v>592</v>
      </c>
      <c r="M566" s="335" t="s">
        <v>593</v>
      </c>
      <c r="N566" s="335" t="s">
        <v>594</v>
      </c>
      <c r="O566" s="335" t="s">
        <v>595</v>
      </c>
      <c r="P566" s="335" t="s">
        <v>596</v>
      </c>
      <c r="Q566" s="335" t="s">
        <v>597</v>
      </c>
      <c r="R566" s="335" t="s">
        <v>598</v>
      </c>
      <c r="S566" s="335" t="s">
        <v>599</v>
      </c>
      <c r="T566" s="335" t="s">
        <v>600</v>
      </c>
      <c r="U566" s="335" t="s">
        <v>601</v>
      </c>
      <c r="V566" s="335" t="s">
        <v>602</v>
      </c>
      <c r="W566" s="335" t="s">
        <v>603</v>
      </c>
      <c r="X566" s="335" t="s">
        <v>604</v>
      </c>
      <c r="Y566" s="335" t="s">
        <v>605</v>
      </c>
      <c r="Z566" s="335" t="s">
        <v>606</v>
      </c>
      <c r="AA566" s="335" t="s">
        <v>607</v>
      </c>
      <c r="AB566" s="335" t="s">
        <v>608</v>
      </c>
      <c r="AC566" s="335" t="s">
        <v>609</v>
      </c>
      <c r="AD566" s="335" t="s">
        <v>610</v>
      </c>
      <c r="AE566" s="335" t="s">
        <v>611</v>
      </c>
      <c r="AF566" s="335" t="s">
        <v>612</v>
      </c>
      <c r="AG566" s="335" t="s">
        <v>613</v>
      </c>
      <c r="AH566" s="335" t="s">
        <v>614</v>
      </c>
      <c r="AI566" s="335" t="s">
        <v>615</v>
      </c>
      <c r="AJ566" s="335" t="s">
        <v>616</v>
      </c>
      <c r="AK566" s="335" t="s">
        <v>439</v>
      </c>
      <c r="AL566" s="335" t="s">
        <v>617</v>
      </c>
      <c r="AM566" s="335" t="s">
        <v>618</v>
      </c>
      <c r="AN566" s="335" t="s">
        <v>619</v>
      </c>
      <c r="AO566" s="335" t="s">
        <v>588</v>
      </c>
      <c r="AP566" s="335" t="s">
        <v>620</v>
      </c>
      <c r="AQ566" s="335" t="s">
        <v>621</v>
      </c>
      <c r="AR566" s="335" t="s">
        <v>622</v>
      </c>
      <c r="AS566" s="335" t="s">
        <v>623</v>
      </c>
      <c r="AT566" s="335" t="s">
        <v>624</v>
      </c>
      <c r="AU566" s="335" t="s">
        <v>625</v>
      </c>
      <c r="AV566" s="335" t="s">
        <v>626</v>
      </c>
      <c r="AW566" s="335" t="s">
        <v>627</v>
      </c>
      <c r="AX566" s="335" t="s">
        <v>628</v>
      </c>
      <c r="AY566" s="335" t="s">
        <v>629</v>
      </c>
      <c r="AZ566" s="335" t="s">
        <v>445</v>
      </c>
      <c r="BA566" s="335" t="s">
        <v>446</v>
      </c>
      <c r="BB566" s="335" t="s">
        <v>447</v>
      </c>
      <c r="BC566" s="335" t="s">
        <v>448</v>
      </c>
      <c r="BD566" s="335" t="s">
        <v>449</v>
      </c>
      <c r="BE566" s="335" t="s">
        <v>450</v>
      </c>
      <c r="BF566" s="459" t="s">
        <v>451</v>
      </c>
      <c r="BG566"/>
    </row>
    <row r="567" spans="1:59" s="95" customFormat="1" ht="13.5" customHeight="1">
      <c r="B567" s="444"/>
      <c r="C567" s="334" t="s">
        <v>522</v>
      </c>
      <c r="D567" s="334" t="s">
        <v>630</v>
      </c>
      <c r="E567" s="334" t="s">
        <v>467</v>
      </c>
      <c r="F567" s="459" t="s">
        <v>468</v>
      </c>
      <c r="G567" s="459" t="s">
        <v>470</v>
      </c>
      <c r="H567" s="459" t="s">
        <v>470</v>
      </c>
      <c r="I567" s="459" t="s">
        <v>470</v>
      </c>
      <c r="J567" s="459" t="s">
        <v>470</v>
      </c>
      <c r="K567" s="459" t="s">
        <v>631</v>
      </c>
      <c r="L567" s="459" t="s">
        <v>631</v>
      </c>
      <c r="M567" s="459" t="s">
        <v>467</v>
      </c>
      <c r="N567" s="459" t="s">
        <v>632</v>
      </c>
      <c r="O567" s="459" t="s">
        <v>470</v>
      </c>
      <c r="P567" s="459" t="s">
        <v>528</v>
      </c>
      <c r="Q567" s="459" t="s">
        <v>524</v>
      </c>
      <c r="R567" s="459" t="s">
        <v>528</v>
      </c>
      <c r="S567" s="459" t="s">
        <v>524</v>
      </c>
      <c r="T567" s="459" t="s">
        <v>524</v>
      </c>
      <c r="U567" s="459" t="s">
        <v>470</v>
      </c>
      <c r="V567" s="459" t="s">
        <v>633</v>
      </c>
      <c r="W567" s="459" t="s">
        <v>633</v>
      </c>
      <c r="X567" s="459" t="s">
        <v>468</v>
      </c>
      <c r="Y567" s="459" t="s">
        <v>632</v>
      </c>
      <c r="Z567" s="459" t="s">
        <v>632</v>
      </c>
      <c r="AA567" s="459" t="s">
        <v>524</v>
      </c>
      <c r="AB567" s="459" t="s">
        <v>527</v>
      </c>
      <c r="AC567" s="459" t="s">
        <v>528</v>
      </c>
      <c r="AD567" s="459" t="s">
        <v>528</v>
      </c>
      <c r="AE567" s="459" t="s">
        <v>634</v>
      </c>
      <c r="AF567" s="459" t="s">
        <v>634</v>
      </c>
      <c r="AG567" s="459" t="s">
        <v>528</v>
      </c>
      <c r="AH567" s="459" t="s">
        <v>528</v>
      </c>
      <c r="AI567" s="459" t="s">
        <v>634</v>
      </c>
      <c r="AJ567" s="459" t="s">
        <v>634</v>
      </c>
      <c r="AK567" s="459" t="s">
        <v>470</v>
      </c>
      <c r="AL567" s="459" t="s">
        <v>470</v>
      </c>
      <c r="AM567" s="459" t="s">
        <v>470</v>
      </c>
      <c r="AN567" s="459" t="s">
        <v>470</v>
      </c>
      <c r="AO567" s="459" t="s">
        <v>470</v>
      </c>
      <c r="AP567" s="459" t="s">
        <v>467</v>
      </c>
      <c r="AQ567" s="459" t="s">
        <v>470</v>
      </c>
      <c r="AR567" s="459" t="s">
        <v>524</v>
      </c>
      <c r="AS567" s="459" t="s">
        <v>524</v>
      </c>
      <c r="AT567" s="459" t="s">
        <v>470</v>
      </c>
      <c r="AU567" s="459" t="s">
        <v>635</v>
      </c>
      <c r="AV567" s="459" t="s">
        <v>528</v>
      </c>
      <c r="AW567" s="459" t="s">
        <v>468</v>
      </c>
      <c r="AX567" s="459" t="s">
        <v>470</v>
      </c>
      <c r="AY567" s="459" t="s">
        <v>470</v>
      </c>
      <c r="AZ567" s="459" t="s">
        <v>473</v>
      </c>
      <c r="BA567" s="459" t="s">
        <v>474</v>
      </c>
      <c r="BB567" s="459" t="s">
        <v>475</v>
      </c>
      <c r="BC567" s="459" t="s">
        <v>475</v>
      </c>
      <c r="BD567" s="459" t="s">
        <v>474</v>
      </c>
      <c r="BE567" s="459" t="s">
        <v>475</v>
      </c>
      <c r="BF567" s="459" t="s">
        <v>475</v>
      </c>
      <c r="BG567"/>
    </row>
    <row r="568" spans="1:59" s="28" customFormat="1" ht="15">
      <c r="B568" s="360" t="s">
        <v>532</v>
      </c>
      <c r="C568" s="406" t="s">
        <v>713</v>
      </c>
      <c r="D568" s="406" t="s">
        <v>648</v>
      </c>
      <c r="E568" s="406" t="s">
        <v>648</v>
      </c>
      <c r="F568" s="407">
        <v>1</v>
      </c>
      <c r="G568" s="407" t="s">
        <v>533</v>
      </c>
      <c r="H568" s="407" t="s">
        <v>533</v>
      </c>
      <c r="I568" s="407" t="s">
        <v>534</v>
      </c>
      <c r="J568" s="407" t="s">
        <v>534</v>
      </c>
      <c r="K568" s="407" t="s">
        <v>156</v>
      </c>
      <c r="L568" s="407" t="s">
        <v>156</v>
      </c>
      <c r="M568" s="407" t="s">
        <v>156</v>
      </c>
      <c r="N568" s="407" t="s">
        <v>156</v>
      </c>
      <c r="O568" s="407" t="s">
        <v>637</v>
      </c>
      <c r="P568" s="407" t="s">
        <v>534</v>
      </c>
      <c r="Q568" s="407" t="s">
        <v>714</v>
      </c>
      <c r="R568" s="407" t="s">
        <v>638</v>
      </c>
      <c r="S568" s="407" t="s">
        <v>715</v>
      </c>
      <c r="T568" s="407" t="s">
        <v>716</v>
      </c>
      <c r="U568" s="407" t="s">
        <v>232</v>
      </c>
      <c r="V568" s="407" t="s">
        <v>717</v>
      </c>
      <c r="W568" s="407" t="s">
        <v>717</v>
      </c>
      <c r="X568" s="407"/>
      <c r="Y568" s="407"/>
      <c r="Z568" s="407" t="s">
        <v>156</v>
      </c>
      <c r="AA568" s="407">
        <v>1</v>
      </c>
      <c r="AB568" s="407">
        <v>99999999</v>
      </c>
      <c r="AC568" s="407">
        <v>0</v>
      </c>
      <c r="AD568" s="407">
        <v>0</v>
      </c>
      <c r="AE568" s="407">
        <v>0</v>
      </c>
      <c r="AF568" s="407">
        <v>0</v>
      </c>
      <c r="AG568" s="407">
        <v>0</v>
      </c>
      <c r="AH568" s="407">
        <v>0</v>
      </c>
      <c r="AI568" s="407">
        <v>0</v>
      </c>
      <c r="AJ568" s="407">
        <v>0</v>
      </c>
      <c r="AK568" s="407">
        <v>1</v>
      </c>
      <c r="AL568" s="407">
        <v>1</v>
      </c>
      <c r="AM568" s="407">
        <v>0</v>
      </c>
      <c r="AN568" s="407">
        <v>0</v>
      </c>
      <c r="AO568" s="407" t="s">
        <v>636</v>
      </c>
      <c r="AP568" s="407" t="s">
        <v>156</v>
      </c>
      <c r="AQ568" s="407" t="s">
        <v>639</v>
      </c>
      <c r="AR568" s="407">
        <v>0</v>
      </c>
      <c r="AS568" s="407">
        <v>0</v>
      </c>
      <c r="AT568" s="407">
        <v>1</v>
      </c>
      <c r="AU568" s="407">
        <v>0</v>
      </c>
      <c r="AV568" s="407">
        <v>0</v>
      </c>
      <c r="AW568" s="407">
        <v>0</v>
      </c>
      <c r="AX568" s="407">
        <v>0</v>
      </c>
      <c r="AY568" s="407">
        <v>1</v>
      </c>
      <c r="AZ568" s="407">
        <v>0</v>
      </c>
      <c r="BA568" s="407">
        <v>39864.674351851849</v>
      </c>
      <c r="BB568" s="407">
        <v>440393</v>
      </c>
      <c r="BC568" s="407">
        <v>440393</v>
      </c>
      <c r="BD568" s="407">
        <v>45482.05810185185</v>
      </c>
      <c r="BE568" s="407" t="s">
        <v>640</v>
      </c>
      <c r="BF568" s="476" t="s">
        <v>640</v>
      </c>
      <c r="BG568"/>
    </row>
    <row r="569" spans="1:59" s="28" customFormat="1" ht="15">
      <c r="B569" s="362" t="s">
        <v>537</v>
      </c>
      <c r="C569" s="406" t="s">
        <v>713</v>
      </c>
      <c r="D569" s="406" t="s">
        <v>648</v>
      </c>
      <c r="E569" s="388" t="s">
        <v>718</v>
      </c>
      <c r="F569" s="407">
        <v>1</v>
      </c>
      <c r="G569" s="407" t="s">
        <v>533</v>
      </c>
      <c r="H569" s="407" t="s">
        <v>533</v>
      </c>
      <c r="I569" s="407" t="s">
        <v>534</v>
      </c>
      <c r="J569" s="407" t="s">
        <v>534</v>
      </c>
      <c r="K569" s="407" t="s">
        <v>156</v>
      </c>
      <c r="L569" s="407" t="s">
        <v>156</v>
      </c>
      <c r="M569" s="407" t="s">
        <v>156</v>
      </c>
      <c r="N569" s="407" t="s">
        <v>156</v>
      </c>
      <c r="O569" s="407" t="s">
        <v>637</v>
      </c>
      <c r="P569" s="407" t="s">
        <v>534</v>
      </c>
      <c r="Q569" s="407" t="s">
        <v>714</v>
      </c>
      <c r="R569" s="407" t="s">
        <v>638</v>
      </c>
      <c r="S569" s="407" t="s">
        <v>715</v>
      </c>
      <c r="T569" s="407" t="s">
        <v>716</v>
      </c>
      <c r="U569" s="407" t="s">
        <v>232</v>
      </c>
      <c r="V569" s="407" t="s">
        <v>717</v>
      </c>
      <c r="W569" s="407" t="s">
        <v>717</v>
      </c>
      <c r="X569" s="407"/>
      <c r="Y569" s="407"/>
      <c r="Z569" s="407" t="s">
        <v>156</v>
      </c>
      <c r="AA569" s="407">
        <v>1</v>
      </c>
      <c r="AB569" s="407">
        <v>99999999</v>
      </c>
      <c r="AC569" s="407">
        <v>0</v>
      </c>
      <c r="AD569" s="407">
        <v>0</v>
      </c>
      <c r="AE569" s="407">
        <v>0</v>
      </c>
      <c r="AF569" s="407">
        <v>0</v>
      </c>
      <c r="AG569" s="407">
        <v>0</v>
      </c>
      <c r="AH569" s="407">
        <v>0</v>
      </c>
      <c r="AI569" s="407">
        <v>0</v>
      </c>
      <c r="AJ569" s="407">
        <v>0</v>
      </c>
      <c r="AK569" s="407">
        <v>1</v>
      </c>
      <c r="AL569" s="407">
        <v>1</v>
      </c>
      <c r="AM569" s="407">
        <v>0</v>
      </c>
      <c r="AN569" s="407">
        <v>0</v>
      </c>
      <c r="AO569" s="407" t="s">
        <v>636</v>
      </c>
      <c r="AP569" s="407" t="s">
        <v>156</v>
      </c>
      <c r="AQ569" s="407" t="s">
        <v>639</v>
      </c>
      <c r="AR569" s="407">
        <v>0</v>
      </c>
      <c r="AS569" s="407">
        <v>0</v>
      </c>
      <c r="AT569" s="407">
        <v>1</v>
      </c>
      <c r="AU569" s="407">
        <v>0</v>
      </c>
      <c r="AV569" s="407">
        <v>0</v>
      </c>
      <c r="AW569" s="407">
        <v>0</v>
      </c>
      <c r="AX569" s="407">
        <v>0</v>
      </c>
      <c r="AY569" s="407">
        <v>1</v>
      </c>
      <c r="AZ569" s="407">
        <v>0</v>
      </c>
      <c r="BA569" s="407">
        <v>39864.674351851849</v>
      </c>
      <c r="BB569" s="407">
        <v>440393</v>
      </c>
      <c r="BC569" s="407">
        <v>440393</v>
      </c>
      <c r="BD569" s="407">
        <v>45482.05810185185</v>
      </c>
      <c r="BE569" s="407" t="s">
        <v>640</v>
      </c>
      <c r="BF569" s="476" t="s">
        <v>640</v>
      </c>
      <c r="BG569"/>
    </row>
    <row r="570" spans="1:59" s="28" customFormat="1" ht="15">
      <c r="B570" s="362" t="s">
        <v>537</v>
      </c>
      <c r="C570" s="406" t="s">
        <v>713</v>
      </c>
      <c r="D570" s="388" t="s">
        <v>718</v>
      </c>
      <c r="E570" s="387" t="s">
        <v>648</v>
      </c>
      <c r="F570" s="407">
        <v>1</v>
      </c>
      <c r="G570" s="407" t="s">
        <v>533</v>
      </c>
      <c r="H570" s="407" t="s">
        <v>533</v>
      </c>
      <c r="I570" s="407" t="s">
        <v>534</v>
      </c>
      <c r="J570" s="407" t="s">
        <v>534</v>
      </c>
      <c r="K570" s="407" t="s">
        <v>156</v>
      </c>
      <c r="L570" s="407" t="s">
        <v>156</v>
      </c>
      <c r="M570" s="407" t="s">
        <v>156</v>
      </c>
      <c r="N570" s="407" t="s">
        <v>156</v>
      </c>
      <c r="O570" s="407" t="s">
        <v>637</v>
      </c>
      <c r="P570" s="407" t="s">
        <v>534</v>
      </c>
      <c r="Q570" s="407" t="s">
        <v>714</v>
      </c>
      <c r="R570" s="407" t="s">
        <v>638</v>
      </c>
      <c r="S570" s="407" t="s">
        <v>715</v>
      </c>
      <c r="T570" s="407" t="s">
        <v>716</v>
      </c>
      <c r="U570" s="407" t="s">
        <v>232</v>
      </c>
      <c r="V570" s="407" t="s">
        <v>717</v>
      </c>
      <c r="W570" s="407" t="s">
        <v>717</v>
      </c>
      <c r="X570" s="407"/>
      <c r="Y570" s="407"/>
      <c r="Z570" s="407" t="s">
        <v>156</v>
      </c>
      <c r="AA570" s="407">
        <v>1</v>
      </c>
      <c r="AB570" s="407">
        <v>99999999</v>
      </c>
      <c r="AC570" s="407">
        <v>0</v>
      </c>
      <c r="AD570" s="407">
        <v>0</v>
      </c>
      <c r="AE570" s="407">
        <v>0</v>
      </c>
      <c r="AF570" s="407">
        <v>0</v>
      </c>
      <c r="AG570" s="407">
        <v>0</v>
      </c>
      <c r="AH570" s="407">
        <v>0</v>
      </c>
      <c r="AI570" s="407">
        <v>0</v>
      </c>
      <c r="AJ570" s="407">
        <v>0</v>
      </c>
      <c r="AK570" s="407">
        <v>1</v>
      </c>
      <c r="AL570" s="407">
        <v>1</v>
      </c>
      <c r="AM570" s="407">
        <v>0</v>
      </c>
      <c r="AN570" s="407">
        <v>0</v>
      </c>
      <c r="AO570" s="407" t="s">
        <v>636</v>
      </c>
      <c r="AP570" s="407" t="s">
        <v>156</v>
      </c>
      <c r="AQ570" s="407" t="s">
        <v>639</v>
      </c>
      <c r="AR570" s="407">
        <v>0</v>
      </c>
      <c r="AS570" s="407">
        <v>0</v>
      </c>
      <c r="AT570" s="407">
        <v>1</v>
      </c>
      <c r="AU570" s="407">
        <v>0</v>
      </c>
      <c r="AV570" s="407">
        <v>0</v>
      </c>
      <c r="AW570" s="407">
        <v>0</v>
      </c>
      <c r="AX570" s="407">
        <v>0</v>
      </c>
      <c r="AY570" s="407">
        <v>1</v>
      </c>
      <c r="AZ570" s="407">
        <v>0</v>
      </c>
      <c r="BA570" s="407">
        <v>39864.674351851849</v>
      </c>
      <c r="BB570" s="407">
        <v>440393</v>
      </c>
      <c r="BC570" s="407">
        <v>440393</v>
      </c>
      <c r="BD570" s="407">
        <v>45482.05810185185</v>
      </c>
      <c r="BE570" s="407" t="s">
        <v>640</v>
      </c>
      <c r="BF570" s="476" t="s">
        <v>640</v>
      </c>
      <c r="BG570"/>
    </row>
    <row r="571" spans="1:59" s="28" customFormat="1" ht="15">
      <c r="B571" s="362" t="s">
        <v>537</v>
      </c>
      <c r="C571" s="406" t="s">
        <v>713</v>
      </c>
      <c r="D571" s="387" t="s">
        <v>648</v>
      </c>
      <c r="E571" s="388" t="s">
        <v>719</v>
      </c>
      <c r="F571" s="407">
        <v>1</v>
      </c>
      <c r="G571" s="407" t="s">
        <v>533</v>
      </c>
      <c r="H571" s="407" t="s">
        <v>533</v>
      </c>
      <c r="I571" s="407" t="s">
        <v>534</v>
      </c>
      <c r="J571" s="407" t="s">
        <v>534</v>
      </c>
      <c r="K571" s="407" t="s">
        <v>156</v>
      </c>
      <c r="L571" s="407" t="s">
        <v>156</v>
      </c>
      <c r="M571" s="407" t="s">
        <v>156</v>
      </c>
      <c r="N571" s="407" t="s">
        <v>156</v>
      </c>
      <c r="O571" s="407" t="s">
        <v>637</v>
      </c>
      <c r="P571" s="407" t="s">
        <v>534</v>
      </c>
      <c r="Q571" s="407" t="s">
        <v>714</v>
      </c>
      <c r="R571" s="407" t="s">
        <v>638</v>
      </c>
      <c r="S571" s="407" t="s">
        <v>715</v>
      </c>
      <c r="T571" s="407" t="s">
        <v>716</v>
      </c>
      <c r="U571" s="407" t="s">
        <v>232</v>
      </c>
      <c r="V571" s="407" t="s">
        <v>717</v>
      </c>
      <c r="W571" s="407" t="s">
        <v>717</v>
      </c>
      <c r="X571" s="407"/>
      <c r="Y571" s="407"/>
      <c r="Z571" s="407" t="s">
        <v>156</v>
      </c>
      <c r="AA571" s="407">
        <v>1</v>
      </c>
      <c r="AB571" s="407">
        <v>99999999</v>
      </c>
      <c r="AC571" s="407">
        <v>0</v>
      </c>
      <c r="AD571" s="407">
        <v>0</v>
      </c>
      <c r="AE571" s="407">
        <v>0</v>
      </c>
      <c r="AF571" s="407">
        <v>0</v>
      </c>
      <c r="AG571" s="407">
        <v>0</v>
      </c>
      <c r="AH571" s="407">
        <v>0</v>
      </c>
      <c r="AI571" s="407">
        <v>0</v>
      </c>
      <c r="AJ571" s="407">
        <v>0</v>
      </c>
      <c r="AK571" s="407">
        <v>1</v>
      </c>
      <c r="AL571" s="407">
        <v>1</v>
      </c>
      <c r="AM571" s="407">
        <v>0</v>
      </c>
      <c r="AN571" s="407">
        <v>0</v>
      </c>
      <c r="AO571" s="407" t="s">
        <v>636</v>
      </c>
      <c r="AP571" s="407" t="s">
        <v>156</v>
      </c>
      <c r="AQ571" s="407" t="s">
        <v>639</v>
      </c>
      <c r="AR571" s="407">
        <v>0</v>
      </c>
      <c r="AS571" s="407">
        <v>0</v>
      </c>
      <c r="AT571" s="407">
        <v>1</v>
      </c>
      <c r="AU571" s="407">
        <v>0</v>
      </c>
      <c r="AV571" s="407">
        <v>0</v>
      </c>
      <c r="AW571" s="407">
        <v>0</v>
      </c>
      <c r="AX571" s="407">
        <v>0</v>
      </c>
      <c r="AY571" s="407">
        <v>1</v>
      </c>
      <c r="AZ571" s="407">
        <v>0</v>
      </c>
      <c r="BA571" s="407">
        <v>39864.674351851849</v>
      </c>
      <c r="BB571" s="407">
        <v>440393</v>
      </c>
      <c r="BC571" s="407">
        <v>440393</v>
      </c>
      <c r="BD571" s="407">
        <v>45482.05810185185</v>
      </c>
      <c r="BE571" s="407" t="s">
        <v>640</v>
      </c>
      <c r="BF571" s="476" t="s">
        <v>640</v>
      </c>
      <c r="BG571"/>
    </row>
    <row r="572" spans="1:59">
      <c r="B572" s="366"/>
      <c r="BF572" s="348"/>
    </row>
    <row r="573" spans="1:59" ht="14">
      <c r="B573" s="444"/>
      <c r="C573" s="393" t="s">
        <v>723</v>
      </c>
      <c r="D573" s="394"/>
      <c r="E573" s="394"/>
      <c r="F573" s="394"/>
      <c r="G573" s="394"/>
      <c r="H573" s="394"/>
      <c r="I573" s="394"/>
      <c r="J573" s="394"/>
      <c r="K573" s="394"/>
      <c r="L573" s="394"/>
      <c r="BF573" s="348"/>
    </row>
    <row r="574" spans="1:59" ht="15">
      <c r="B574" s="444"/>
      <c r="C574" s="336"/>
      <c r="D574" s="336" t="s">
        <v>217</v>
      </c>
      <c r="E574" s="336"/>
      <c r="F574" s="336"/>
      <c r="G574" s="392"/>
      <c r="H574" s="392"/>
      <c r="I574" s="392"/>
      <c r="J574" s="392"/>
      <c r="K574" s="392"/>
      <c r="L574" s="392"/>
      <c r="BF574" s="348"/>
    </row>
    <row r="575" spans="1:59" ht="14">
      <c r="B575" s="444"/>
      <c r="C575" s="371" t="s">
        <v>727</v>
      </c>
      <c r="D575" s="335" t="s">
        <v>86</v>
      </c>
      <c r="E575" s="335" t="s">
        <v>728</v>
      </c>
      <c r="F575" s="341" t="s">
        <v>462</v>
      </c>
      <c r="G575" s="341" t="s">
        <v>463</v>
      </c>
      <c r="H575" s="341" t="s">
        <v>464</v>
      </c>
      <c r="I575" s="341" t="s">
        <v>465</v>
      </c>
      <c r="J575" s="341" t="s">
        <v>146</v>
      </c>
      <c r="K575" s="341" t="s">
        <v>148</v>
      </c>
      <c r="L575" s="341" t="s">
        <v>466</v>
      </c>
      <c r="BF575" s="348"/>
    </row>
    <row r="576" spans="1:59" ht="14">
      <c r="B576" s="444"/>
      <c r="C576" s="405" t="s">
        <v>724</v>
      </c>
      <c r="D576" s="335" t="s">
        <v>725</v>
      </c>
      <c r="E576" s="335" t="s">
        <v>726</v>
      </c>
      <c r="F576" s="335" t="s">
        <v>445</v>
      </c>
      <c r="G576" s="335" t="s">
        <v>446</v>
      </c>
      <c r="H576" s="335" t="s">
        <v>447</v>
      </c>
      <c r="I576" s="335" t="s">
        <v>448</v>
      </c>
      <c r="J576" s="335" t="s">
        <v>449</v>
      </c>
      <c r="K576" s="335" t="s">
        <v>450</v>
      </c>
      <c r="L576" s="335" t="s">
        <v>451</v>
      </c>
      <c r="BF576" s="348"/>
    </row>
    <row r="577" spans="2:58" ht="14">
      <c r="B577" s="444"/>
      <c r="C577" s="405" t="s">
        <v>472</v>
      </c>
      <c r="D577" s="335" t="s">
        <v>527</v>
      </c>
      <c r="E577" s="335" t="s">
        <v>474</v>
      </c>
      <c r="F577" s="335" t="s">
        <v>684</v>
      </c>
      <c r="G577" s="335" t="s">
        <v>474</v>
      </c>
      <c r="H577" s="335" t="s">
        <v>475</v>
      </c>
      <c r="I577" s="335" t="s">
        <v>475</v>
      </c>
      <c r="J577" s="335" t="s">
        <v>223</v>
      </c>
      <c r="K577" s="335" t="s">
        <v>475</v>
      </c>
      <c r="L577" s="335" t="s">
        <v>475</v>
      </c>
      <c r="BF577" s="348"/>
    </row>
    <row r="578" spans="2:58" ht="14">
      <c r="B578" s="362" t="s">
        <v>537</v>
      </c>
      <c r="C578" s="388" t="s">
        <v>734</v>
      </c>
      <c r="D578" s="407" t="s">
        <v>735</v>
      </c>
      <c r="E578" s="407" t="s">
        <v>736</v>
      </c>
      <c r="F578" s="407" t="s">
        <v>737</v>
      </c>
      <c r="G578" s="407" t="s">
        <v>738</v>
      </c>
      <c r="H578" s="407" t="s">
        <v>739</v>
      </c>
      <c r="I578" s="407" t="s">
        <v>740</v>
      </c>
      <c r="J578" s="407" t="s">
        <v>741</v>
      </c>
      <c r="K578" s="407" t="s">
        <v>742</v>
      </c>
      <c r="L578" s="407" t="s">
        <v>742</v>
      </c>
      <c r="BF578" s="348"/>
    </row>
    <row r="579" spans="2:58" ht="14">
      <c r="B579" s="360" t="s">
        <v>532</v>
      </c>
      <c r="C579" s="387" t="s">
        <v>729</v>
      </c>
      <c r="D579" s="472" t="s">
        <v>846</v>
      </c>
      <c r="E579" s="407" t="s">
        <v>731</v>
      </c>
      <c r="F579" s="407" t="s">
        <v>534</v>
      </c>
      <c r="G579" s="407" t="s">
        <v>731</v>
      </c>
      <c r="H579" s="407" t="s">
        <v>732</v>
      </c>
      <c r="I579" s="407" t="s">
        <v>733</v>
      </c>
      <c r="J579" s="407" t="s">
        <v>731</v>
      </c>
      <c r="K579" s="407" t="s">
        <v>732</v>
      </c>
      <c r="L579" s="407" t="s">
        <v>733</v>
      </c>
      <c r="BF579" s="348"/>
    </row>
    <row r="580" spans="2:58" ht="14">
      <c r="B580" s="362" t="s">
        <v>537</v>
      </c>
      <c r="C580" s="388" t="s">
        <v>743</v>
      </c>
      <c r="D580" s="407" t="s">
        <v>744</v>
      </c>
      <c r="E580" s="407" t="s">
        <v>745</v>
      </c>
      <c r="F580" s="407" t="s">
        <v>536</v>
      </c>
      <c r="G580" s="407" t="s">
        <v>745</v>
      </c>
      <c r="H580" s="407" t="s">
        <v>746</v>
      </c>
      <c r="I580" s="407" t="s">
        <v>747</v>
      </c>
      <c r="J580" s="407" t="s">
        <v>745</v>
      </c>
      <c r="K580" s="407" t="s">
        <v>748</v>
      </c>
      <c r="L580" s="407" t="s">
        <v>750</v>
      </c>
      <c r="BF580" s="348"/>
    </row>
    <row r="581" spans="2:58" ht="14">
      <c r="B581" s="362" t="s">
        <v>537</v>
      </c>
      <c r="C581" s="388" t="s">
        <v>749</v>
      </c>
      <c r="D581" s="407" t="s">
        <v>744</v>
      </c>
      <c r="E581" s="407" t="s">
        <v>745</v>
      </c>
      <c r="F581" s="407" t="s">
        <v>536</v>
      </c>
      <c r="G581" s="407" t="s">
        <v>745</v>
      </c>
      <c r="H581" s="407" t="s">
        <v>746</v>
      </c>
      <c r="I581" s="407" t="s">
        <v>747</v>
      </c>
      <c r="J581" s="407" t="s">
        <v>745</v>
      </c>
      <c r="K581" s="407" t="s">
        <v>748</v>
      </c>
      <c r="L581" s="407" t="s">
        <v>750</v>
      </c>
      <c r="BF581" s="348"/>
    </row>
    <row r="582" spans="2:58">
      <c r="B582" s="366"/>
      <c r="BF582" s="348"/>
    </row>
    <row r="583" spans="2:58" ht="13.5">
      <c r="B583" s="366"/>
      <c r="C583" s="354" t="s">
        <v>153</v>
      </c>
      <c r="BF583" s="348"/>
    </row>
    <row r="584" spans="2:58" ht="13.5">
      <c r="B584" s="366"/>
      <c r="C584" s="354" t="s">
        <v>154</v>
      </c>
      <c r="D584" s="354" t="s">
        <v>155</v>
      </c>
      <c r="E584" s="354" t="s">
        <v>157</v>
      </c>
      <c r="F584" s="354" t="s">
        <v>159</v>
      </c>
      <c r="G584" s="354" t="s">
        <v>409</v>
      </c>
      <c r="BF584" s="348"/>
    </row>
    <row r="585" spans="2:58" ht="13.5">
      <c r="B585" s="366"/>
      <c r="C585" s="354">
        <v>-2</v>
      </c>
      <c r="D585" s="354" t="s">
        <v>156</v>
      </c>
      <c r="E585" s="354" t="s">
        <v>966</v>
      </c>
      <c r="F585" s="354" t="s">
        <v>835</v>
      </c>
      <c r="G585" s="354" t="s">
        <v>677</v>
      </c>
      <c r="BF585" s="348"/>
    </row>
    <row r="586" spans="2:58" ht="13.5" thickBot="1">
      <c r="B586" s="366"/>
      <c r="BF586" s="348"/>
    </row>
    <row r="587" spans="2:58" ht="14" thickBot="1">
      <c r="B587" s="350" t="s">
        <v>872</v>
      </c>
      <c r="C587" s="351" t="s">
        <v>873</v>
      </c>
      <c r="D587" s="351"/>
      <c r="E587" s="351"/>
      <c r="F587" s="351"/>
      <c r="G587" s="351"/>
      <c r="H587" s="351"/>
      <c r="I587" s="351"/>
      <c r="J587" s="351"/>
      <c r="K587" s="351"/>
      <c r="L587" s="351"/>
      <c r="M587" s="351"/>
      <c r="N587" s="351"/>
      <c r="O587" s="351"/>
      <c r="P587" s="351"/>
      <c r="Q587" s="351"/>
      <c r="R587" s="351"/>
      <c r="S587" s="351"/>
      <c r="T587" s="351"/>
      <c r="U587" s="351"/>
      <c r="V587" s="351"/>
      <c r="W587" s="351"/>
      <c r="X587" s="351"/>
      <c r="Y587" s="351"/>
      <c r="Z587" s="351"/>
      <c r="AA587" s="351"/>
      <c r="AB587" s="351"/>
      <c r="AC587" s="351"/>
      <c r="AD587" s="351"/>
      <c r="AE587" s="351"/>
      <c r="AF587" s="351"/>
      <c r="AG587" s="351"/>
      <c r="AH587" s="351"/>
      <c r="AI587" s="351"/>
      <c r="AJ587" s="351"/>
      <c r="AK587" s="351"/>
      <c r="AL587" s="351"/>
      <c r="AM587" s="351"/>
      <c r="AN587" s="351"/>
      <c r="AO587" s="351"/>
      <c r="AP587" s="351"/>
      <c r="AQ587" s="351"/>
      <c r="AR587" s="351"/>
      <c r="AS587" s="351"/>
      <c r="AT587" s="351"/>
      <c r="AU587" s="351"/>
      <c r="AV587" s="351"/>
      <c r="AW587" s="351"/>
      <c r="AX587" s="351"/>
      <c r="AY587" s="351"/>
      <c r="AZ587" s="351"/>
      <c r="BA587" s="351"/>
      <c r="BB587" s="351"/>
      <c r="BC587" s="351"/>
      <c r="BD587" s="351"/>
      <c r="BE587" s="351"/>
      <c r="BF587" s="454"/>
    </row>
    <row r="588" spans="2:58" ht="14" thickBot="1">
      <c r="B588" s="352" t="s">
        <v>986</v>
      </c>
      <c r="C588" s="351" t="s">
        <v>674</v>
      </c>
      <c r="D588" s="351"/>
      <c r="E588" s="351"/>
      <c r="F588" s="351"/>
      <c r="G588" s="351"/>
      <c r="H588" s="351"/>
      <c r="I588" s="351"/>
      <c r="J588" s="351"/>
      <c r="K588" s="351"/>
      <c r="L588" s="351"/>
      <c r="M588" s="351"/>
      <c r="N588" s="351"/>
      <c r="O588" s="351"/>
      <c r="P588" s="351"/>
      <c r="Q588" s="351"/>
      <c r="R588" s="351"/>
      <c r="S588" s="351"/>
      <c r="T588" s="351"/>
      <c r="U588" s="351"/>
      <c r="V588" s="351"/>
      <c r="W588" s="351"/>
      <c r="X588" s="351"/>
      <c r="Y588" s="351"/>
      <c r="Z588" s="351"/>
      <c r="AA588" s="351"/>
      <c r="AB588" s="351"/>
      <c r="AC588" s="351"/>
      <c r="AD588" s="351"/>
      <c r="AE588" s="351"/>
      <c r="AF588" s="351"/>
      <c r="AG588" s="351"/>
      <c r="AH588" s="351"/>
      <c r="AI588" s="351"/>
      <c r="AJ588" s="351"/>
      <c r="AK588" s="351"/>
      <c r="AL588" s="351"/>
      <c r="AM588" s="351"/>
      <c r="AN588" s="351"/>
      <c r="AO588" s="351"/>
      <c r="AP588" s="351"/>
      <c r="AQ588" s="351"/>
      <c r="AR588" s="351"/>
      <c r="AS588" s="351"/>
      <c r="AT588" s="351"/>
      <c r="AU588" s="351"/>
      <c r="AV588" s="351"/>
      <c r="AW588" s="351"/>
      <c r="AX588" s="351"/>
      <c r="AY588" s="351"/>
      <c r="AZ588" s="351"/>
      <c r="BA588" s="351"/>
      <c r="BB588" s="351"/>
      <c r="BC588" s="351"/>
      <c r="BD588" s="351"/>
      <c r="BE588" s="351"/>
      <c r="BF588" s="454"/>
    </row>
    <row r="589" spans="2:58">
      <c r="B589" s="366"/>
      <c r="BF589" s="348"/>
    </row>
    <row r="590" spans="2:58" ht="13.5">
      <c r="B590" s="366"/>
      <c r="C590" s="354" t="s">
        <v>481</v>
      </c>
      <c r="BF590" s="348"/>
    </row>
    <row r="591" spans="2:58" ht="13.5">
      <c r="B591" s="366"/>
      <c r="C591" s="354" t="s">
        <v>874</v>
      </c>
      <c r="BF591" s="348"/>
    </row>
    <row r="592" spans="2:58">
      <c r="B592" s="366"/>
      <c r="BF592" s="348"/>
    </row>
    <row r="593" spans="2:59" s="28" customFormat="1" ht="15">
      <c r="B593" s="129"/>
      <c r="C593" s="393" t="s">
        <v>755</v>
      </c>
      <c r="D593" s="394"/>
      <c r="E593" s="394"/>
      <c r="F593" s="394"/>
      <c r="G593" s="394"/>
      <c r="H593" s="394"/>
      <c r="I593" s="394"/>
      <c r="J593" s="394"/>
      <c r="K593" s="394"/>
      <c r="L593" s="394"/>
      <c r="M593" s="394"/>
      <c r="N593" s="394"/>
      <c r="O593" s="394"/>
      <c r="P593" s="394"/>
      <c r="Q593" s="394"/>
      <c r="R593" s="387"/>
      <c r="S593" s="387"/>
      <c r="T593" s="387"/>
      <c r="U593" s="387"/>
      <c r="V593" s="387"/>
      <c r="W593" s="387"/>
      <c r="X593" s="387"/>
      <c r="Y593" s="387"/>
      <c r="Z593" s="387"/>
      <c r="AA593" s="387"/>
      <c r="AB593" s="387"/>
      <c r="AC593" s="387"/>
      <c r="AD593" s="387"/>
      <c r="AE593" s="387"/>
      <c r="AF593" s="387"/>
      <c r="AG593" s="387"/>
      <c r="AH593" s="387"/>
      <c r="AI593" s="387"/>
      <c r="AJ593" s="387"/>
      <c r="AK593" s="387"/>
      <c r="AL593" s="387"/>
      <c r="AM593" s="387"/>
      <c r="AN593" s="387"/>
      <c r="AP593" s="387"/>
      <c r="AQ593" s="387"/>
      <c r="AR593" s="387"/>
      <c r="AS593" s="387"/>
      <c r="AT593" s="387"/>
      <c r="AU593" s="387"/>
      <c r="AV593" s="387"/>
      <c r="AW593" s="387"/>
      <c r="AX593" s="387"/>
      <c r="AY593" s="387"/>
      <c r="AZ593" s="387"/>
      <c r="BA593" s="387"/>
      <c r="BB593" s="387"/>
      <c r="BC593" s="387"/>
      <c r="BD593" s="387"/>
      <c r="BE593" s="387"/>
      <c r="BF593" s="462"/>
      <c r="BG593"/>
    </row>
    <row r="594" spans="2:59" s="28" customFormat="1" ht="15">
      <c r="B594" s="129"/>
      <c r="C594" s="336"/>
      <c r="D594" s="392"/>
      <c r="E594" s="336" t="s">
        <v>217</v>
      </c>
      <c r="F594" s="336"/>
      <c r="G594" s="392"/>
      <c r="H594" s="392"/>
      <c r="I594" s="392"/>
      <c r="J594" s="392"/>
      <c r="K594" s="392"/>
      <c r="L594" s="392"/>
      <c r="M594" s="392"/>
      <c r="N594" s="392"/>
      <c r="O594" s="392"/>
      <c r="P594" s="392"/>
      <c r="Q594" s="392"/>
      <c r="R594" s="387"/>
      <c r="S594" s="387"/>
      <c r="T594" s="387"/>
      <c r="U594" s="387"/>
      <c r="V594" s="387"/>
      <c r="W594" s="387"/>
      <c r="X594" s="387"/>
      <c r="Y594" s="387"/>
      <c r="Z594" s="387"/>
      <c r="AA594" s="387"/>
      <c r="AB594" s="387"/>
      <c r="AC594" s="387"/>
      <c r="AD594" s="387"/>
      <c r="AE594" s="387"/>
      <c r="AF594" s="387"/>
      <c r="AG594" s="387"/>
      <c r="AH594" s="387"/>
      <c r="AI594" s="387"/>
      <c r="AJ594" s="387"/>
      <c r="AK594" s="387"/>
      <c r="AL594" s="387"/>
      <c r="AM594" s="387"/>
      <c r="AN594" s="387"/>
      <c r="AP594" s="387"/>
      <c r="AQ594" s="387"/>
      <c r="AR594" s="387"/>
      <c r="AS594" s="387"/>
      <c r="AT594" s="387"/>
      <c r="AU594" s="387"/>
      <c r="AV594" s="387"/>
      <c r="AW594" s="387"/>
      <c r="AX594" s="387"/>
      <c r="AY594" s="387"/>
      <c r="AZ594" s="387"/>
      <c r="BA594" s="387"/>
      <c r="BB594" s="387"/>
      <c r="BC594" s="387"/>
      <c r="BD594" s="387"/>
      <c r="BE594" s="387"/>
      <c r="BF594" s="462"/>
      <c r="BG594"/>
    </row>
    <row r="595" spans="2:59" s="28" customFormat="1" ht="15">
      <c r="B595" s="129"/>
      <c r="C595" s="371" t="s">
        <v>756</v>
      </c>
      <c r="D595" s="371" t="s">
        <v>757</v>
      </c>
      <c r="E595" s="415" t="s">
        <v>758</v>
      </c>
      <c r="F595" s="335" t="s">
        <v>759</v>
      </c>
      <c r="G595" s="371" t="s">
        <v>760</v>
      </c>
      <c r="H595" s="341" t="s">
        <v>761</v>
      </c>
      <c r="I595" s="341" t="s">
        <v>762</v>
      </c>
      <c r="J595" s="341" t="s">
        <v>763</v>
      </c>
      <c r="K595" s="341" t="s">
        <v>462</v>
      </c>
      <c r="L595" s="341" t="s">
        <v>463</v>
      </c>
      <c r="M595" s="341" t="s">
        <v>464</v>
      </c>
      <c r="N595" s="341" t="s">
        <v>465</v>
      </c>
      <c r="O595" s="341" t="s">
        <v>146</v>
      </c>
      <c r="P595" s="341" t="s">
        <v>148</v>
      </c>
      <c r="Q595" s="341" t="s">
        <v>466</v>
      </c>
      <c r="R595" s="387"/>
      <c r="S595" s="387"/>
      <c r="T595" s="387"/>
      <c r="U595" s="387"/>
      <c r="V595" s="387"/>
      <c r="W595" s="387"/>
      <c r="X595" s="387"/>
      <c r="Y595" s="387"/>
      <c r="Z595" s="387"/>
      <c r="AA595" s="387"/>
      <c r="AB595" s="387"/>
      <c r="AC595" s="387"/>
      <c r="AD595" s="387"/>
      <c r="AE595" s="387"/>
      <c r="AF595" s="387"/>
      <c r="AG595" s="387"/>
      <c r="AH595" s="387"/>
      <c r="AI595" s="387"/>
      <c r="AJ595" s="387"/>
      <c r="AK595" s="387"/>
      <c r="AL595" s="387"/>
      <c r="AM595" s="387"/>
      <c r="AN595" s="387"/>
      <c r="AP595" s="387"/>
      <c r="AQ595" s="387"/>
      <c r="AR595" s="387"/>
      <c r="AS595" s="387"/>
      <c r="AT595" s="387"/>
      <c r="AU595" s="387"/>
      <c r="AV595" s="387"/>
      <c r="AW595" s="387"/>
      <c r="AX595" s="387"/>
      <c r="AY595" s="387"/>
      <c r="AZ595" s="387"/>
      <c r="BA595" s="387"/>
      <c r="BB595" s="387"/>
      <c r="BC595" s="387"/>
      <c r="BD595" s="387"/>
      <c r="BE595" s="387"/>
      <c r="BF595" s="462"/>
      <c r="BG595"/>
    </row>
    <row r="596" spans="2:59" s="28" customFormat="1" ht="15">
      <c r="B596" s="129"/>
      <c r="C596" s="405" t="s">
        <v>764</v>
      </c>
      <c r="D596" s="405" t="s">
        <v>765</v>
      </c>
      <c r="E596" s="416" t="s">
        <v>766</v>
      </c>
      <c r="F596" s="335" t="s">
        <v>767</v>
      </c>
      <c r="G596" s="405" t="s">
        <v>768</v>
      </c>
      <c r="H596" s="335" t="s">
        <v>769</v>
      </c>
      <c r="I596" s="335" t="s">
        <v>770</v>
      </c>
      <c r="J596" s="335" t="s">
        <v>771</v>
      </c>
      <c r="K596" s="335" t="s">
        <v>445</v>
      </c>
      <c r="L596" s="335" t="s">
        <v>446</v>
      </c>
      <c r="M596" s="335" t="s">
        <v>447</v>
      </c>
      <c r="N596" s="335" t="s">
        <v>448</v>
      </c>
      <c r="O596" s="335" t="s">
        <v>449</v>
      </c>
      <c r="P596" s="335" t="s">
        <v>450</v>
      </c>
      <c r="Q596" s="335" t="s">
        <v>451</v>
      </c>
      <c r="R596" s="387"/>
      <c r="S596" s="387"/>
      <c r="T596" s="387"/>
      <c r="U596" s="387"/>
      <c r="V596" s="387"/>
      <c r="W596" s="387"/>
      <c r="X596" s="387"/>
      <c r="Y596" s="387"/>
      <c r="Z596" s="387"/>
      <c r="AA596" s="387"/>
      <c r="AB596" s="387"/>
      <c r="AC596" s="387"/>
      <c r="AD596" s="387"/>
      <c r="AE596" s="387"/>
      <c r="AF596" s="387"/>
      <c r="AG596" s="387"/>
      <c r="AH596" s="387"/>
      <c r="AI596" s="387"/>
      <c r="AJ596" s="387"/>
      <c r="AK596" s="387"/>
      <c r="AL596" s="387"/>
      <c r="AM596" s="387"/>
      <c r="AN596" s="387"/>
      <c r="AP596" s="387"/>
      <c r="AQ596" s="387"/>
      <c r="AR596" s="387"/>
      <c r="AS596" s="387"/>
      <c r="AT596" s="387"/>
      <c r="AU596" s="387"/>
      <c r="AV596" s="387"/>
      <c r="AW596" s="387"/>
      <c r="AX596" s="387"/>
      <c r="AY596" s="387"/>
      <c r="AZ596" s="387"/>
      <c r="BA596" s="387"/>
      <c r="BB596" s="387"/>
      <c r="BC596" s="387"/>
      <c r="BD596" s="387"/>
      <c r="BE596" s="387"/>
      <c r="BF596" s="462"/>
      <c r="BG596"/>
    </row>
    <row r="597" spans="2:59" s="28" customFormat="1" ht="15">
      <c r="B597" s="129"/>
      <c r="C597" s="405" t="s">
        <v>691</v>
      </c>
      <c r="D597" s="405" t="s">
        <v>527</v>
      </c>
      <c r="E597" s="416" t="s">
        <v>772</v>
      </c>
      <c r="F597" s="335" t="s">
        <v>773</v>
      </c>
      <c r="G597" s="405" t="s">
        <v>774</v>
      </c>
      <c r="H597" s="335" t="s">
        <v>775</v>
      </c>
      <c r="I597" s="335" t="s">
        <v>1016</v>
      </c>
      <c r="J597" s="335" t="s">
        <v>775</v>
      </c>
      <c r="K597" s="335" t="s">
        <v>684</v>
      </c>
      <c r="L597" s="335" t="s">
        <v>474</v>
      </c>
      <c r="M597" s="335" t="s">
        <v>1017</v>
      </c>
      <c r="N597" s="335" t="s">
        <v>475</v>
      </c>
      <c r="O597" s="335" t="s">
        <v>223</v>
      </c>
      <c r="P597" s="335" t="s">
        <v>475</v>
      </c>
      <c r="Q597" s="335" t="s">
        <v>475</v>
      </c>
      <c r="R597" s="387"/>
      <c r="S597" s="387"/>
      <c r="T597" s="387"/>
      <c r="U597" s="387"/>
      <c r="V597" s="387"/>
      <c r="W597" s="387"/>
      <c r="X597" s="387"/>
      <c r="Y597" s="387"/>
      <c r="Z597" s="387"/>
      <c r="AA597" s="387"/>
      <c r="AB597" s="387"/>
      <c r="AC597" s="387"/>
      <c r="AD597" s="387"/>
      <c r="AE597" s="387"/>
      <c r="AF597" s="387"/>
      <c r="AG597" s="387"/>
      <c r="AH597" s="387"/>
      <c r="AI597" s="387"/>
      <c r="AJ597" s="387"/>
      <c r="AK597" s="387"/>
      <c r="AL597" s="387"/>
      <c r="AM597" s="387"/>
      <c r="AN597" s="387"/>
      <c r="AP597" s="387"/>
      <c r="AQ597" s="387"/>
      <c r="AR597" s="387"/>
      <c r="AS597" s="387"/>
      <c r="AT597" s="387"/>
      <c r="AU597" s="387"/>
      <c r="AV597" s="387"/>
      <c r="AW597" s="387"/>
      <c r="AX597" s="387"/>
      <c r="AY597" s="387"/>
      <c r="AZ597" s="387"/>
      <c r="BA597" s="387"/>
      <c r="BB597" s="387"/>
      <c r="BC597" s="387"/>
      <c r="BD597" s="387"/>
      <c r="BE597" s="387"/>
      <c r="BF597" s="462"/>
      <c r="BG597"/>
    </row>
    <row r="598" spans="2:59" s="28" customFormat="1" ht="15">
      <c r="B598" s="362" t="s">
        <v>537</v>
      </c>
      <c r="C598" s="406" t="s">
        <v>786</v>
      </c>
      <c r="D598" s="388" t="s">
        <v>790</v>
      </c>
      <c r="E598" s="407" t="s">
        <v>778</v>
      </c>
      <c r="F598" s="407" t="s">
        <v>778</v>
      </c>
      <c r="G598" s="407" t="s">
        <v>779</v>
      </c>
      <c r="H598" s="407" t="s">
        <v>232</v>
      </c>
      <c r="I598" s="407" t="s">
        <v>533</v>
      </c>
      <c r="J598" s="407" t="s">
        <v>636</v>
      </c>
      <c r="K598" s="407" t="s">
        <v>534</v>
      </c>
      <c r="L598" s="407"/>
      <c r="M598" s="407"/>
      <c r="N598" s="407"/>
      <c r="O598" s="407"/>
      <c r="P598" s="407"/>
      <c r="Q598" s="407"/>
      <c r="R598" s="387"/>
      <c r="S598" s="387"/>
      <c r="T598" s="387"/>
      <c r="U598" s="387"/>
      <c r="V598" s="387"/>
      <c r="W598" s="387"/>
      <c r="X598" s="387"/>
      <c r="Y598" s="387"/>
      <c r="Z598" s="387"/>
      <c r="AA598" s="387"/>
      <c r="AB598" s="387"/>
      <c r="AC598" s="387"/>
      <c r="AD598" s="387"/>
      <c r="AE598" s="387"/>
      <c r="AF598" s="387"/>
      <c r="AG598" s="387"/>
      <c r="AH598" s="387"/>
      <c r="AI598" s="387"/>
      <c r="AJ598" s="387"/>
      <c r="AK598" s="387"/>
      <c r="AL598" s="387"/>
      <c r="AM598" s="387"/>
      <c r="AN598" s="387"/>
      <c r="AP598" s="387"/>
      <c r="AQ598" s="387"/>
      <c r="AR598" s="387"/>
      <c r="AS598" s="387"/>
      <c r="AT598" s="387"/>
      <c r="AU598" s="387"/>
      <c r="AV598" s="387"/>
      <c r="AW598" s="387"/>
      <c r="AX598" s="387"/>
      <c r="AY598" s="387"/>
      <c r="AZ598" s="387"/>
      <c r="BA598" s="387"/>
      <c r="BB598" s="387"/>
      <c r="BC598" s="387"/>
      <c r="BD598" s="387"/>
      <c r="BE598" s="387"/>
      <c r="BF598" s="462"/>
      <c r="BG598"/>
    </row>
    <row r="599" spans="2:59" s="28" customFormat="1" ht="15">
      <c r="B599" s="362" t="s">
        <v>537</v>
      </c>
      <c r="C599" s="411" t="s">
        <v>786</v>
      </c>
      <c r="D599" s="388" t="s">
        <v>791</v>
      </c>
      <c r="E599" s="407" t="s">
        <v>778</v>
      </c>
      <c r="F599" s="407" t="s">
        <v>778</v>
      </c>
      <c r="G599" s="407" t="s">
        <v>779</v>
      </c>
      <c r="H599" s="407" t="s">
        <v>232</v>
      </c>
      <c r="I599" s="407" t="s">
        <v>533</v>
      </c>
      <c r="J599" s="407" t="s">
        <v>636</v>
      </c>
      <c r="K599" s="407" t="s">
        <v>534</v>
      </c>
      <c r="L599" s="407"/>
      <c r="M599" s="407"/>
      <c r="N599" s="407"/>
      <c r="O599" s="407"/>
      <c r="P599" s="407"/>
      <c r="Q599" s="407"/>
      <c r="R599" s="387"/>
      <c r="S599" s="387"/>
      <c r="T599" s="387"/>
      <c r="U599" s="387"/>
      <c r="V599" s="387"/>
      <c r="W599" s="387"/>
      <c r="X599" s="387"/>
      <c r="Y599" s="387"/>
      <c r="Z599" s="387"/>
      <c r="AA599" s="387"/>
      <c r="AB599" s="387"/>
      <c r="AC599" s="387"/>
      <c r="AD599" s="387"/>
      <c r="AE599" s="387"/>
      <c r="AF599" s="387"/>
      <c r="AG599" s="387"/>
      <c r="AH599" s="387"/>
      <c r="AI599" s="387"/>
      <c r="AJ599" s="387"/>
      <c r="AK599" s="387"/>
      <c r="AL599" s="387"/>
      <c r="AM599" s="387"/>
      <c r="AN599" s="387"/>
      <c r="AP599" s="387"/>
      <c r="AQ599" s="387"/>
      <c r="AR599" s="387"/>
      <c r="AS599" s="387"/>
      <c r="AT599" s="387"/>
      <c r="AU599" s="387"/>
      <c r="AV599" s="387"/>
      <c r="AW599" s="387"/>
      <c r="AX599" s="387"/>
      <c r="AY599" s="387"/>
      <c r="AZ599" s="387"/>
      <c r="BA599" s="387"/>
      <c r="BB599" s="387"/>
      <c r="BC599" s="387"/>
      <c r="BD599" s="387"/>
      <c r="BE599" s="387"/>
      <c r="BF599" s="462"/>
      <c r="BG599"/>
    </row>
    <row r="600" spans="2:59" s="28" customFormat="1" ht="15">
      <c r="B600" s="362" t="s">
        <v>537</v>
      </c>
      <c r="C600" s="411" t="s">
        <v>786</v>
      </c>
      <c r="D600" s="388" t="s">
        <v>787</v>
      </c>
      <c r="E600" s="407" t="s">
        <v>778</v>
      </c>
      <c r="F600" s="407" t="s">
        <v>778</v>
      </c>
      <c r="G600" s="388" t="s">
        <v>782</v>
      </c>
      <c r="H600" s="407" t="s">
        <v>232</v>
      </c>
      <c r="I600" s="407" t="s">
        <v>533</v>
      </c>
      <c r="J600" s="407" t="s">
        <v>636</v>
      </c>
      <c r="K600" s="407" t="s">
        <v>534</v>
      </c>
      <c r="L600" s="407"/>
      <c r="M600" s="407"/>
      <c r="N600" s="407"/>
      <c r="O600" s="407"/>
      <c r="P600" s="407"/>
      <c r="Q600" s="407"/>
      <c r="R600" s="387"/>
      <c r="S600" s="387"/>
      <c r="T600" s="387"/>
      <c r="U600" s="387"/>
      <c r="V600" s="387"/>
      <c r="W600" s="387"/>
      <c r="X600" s="387"/>
      <c r="Y600" s="387"/>
      <c r="Z600" s="387"/>
      <c r="AA600" s="387"/>
      <c r="AB600" s="387"/>
      <c r="AC600" s="387"/>
      <c r="AD600" s="387"/>
      <c r="AE600" s="387"/>
      <c r="AF600" s="387"/>
      <c r="AG600" s="387"/>
      <c r="AH600" s="387"/>
      <c r="AI600" s="387"/>
      <c r="AJ600" s="387"/>
      <c r="AK600" s="387"/>
      <c r="AL600" s="387"/>
      <c r="AM600" s="387"/>
      <c r="AN600" s="387"/>
      <c r="AP600" s="387"/>
      <c r="AQ600" s="387"/>
      <c r="AR600" s="387"/>
      <c r="AS600" s="387"/>
      <c r="AT600" s="387"/>
      <c r="AU600" s="387"/>
      <c r="AV600" s="387"/>
      <c r="AW600" s="387"/>
      <c r="AX600" s="387"/>
      <c r="AY600" s="387"/>
      <c r="AZ600" s="387"/>
      <c r="BA600" s="387"/>
      <c r="BB600" s="387"/>
      <c r="BC600" s="387"/>
      <c r="BD600" s="387"/>
      <c r="BE600" s="387"/>
      <c r="BF600" s="462"/>
      <c r="BG600"/>
    </row>
    <row r="601" spans="2:59" s="28" customFormat="1" ht="15">
      <c r="B601" s="360" t="s">
        <v>532</v>
      </c>
      <c r="C601" s="411" t="s">
        <v>926</v>
      </c>
      <c r="D601" s="407" t="s">
        <v>927</v>
      </c>
      <c r="E601" s="407" t="s">
        <v>1019</v>
      </c>
      <c r="F601" s="407" t="s">
        <v>778</v>
      </c>
      <c r="G601" s="411" t="s">
        <v>779</v>
      </c>
      <c r="H601" s="407" t="s">
        <v>232</v>
      </c>
      <c r="I601" s="407" t="s">
        <v>533</v>
      </c>
      <c r="J601" s="407" t="s">
        <v>636</v>
      </c>
      <c r="K601" s="407" t="s">
        <v>534</v>
      </c>
      <c r="L601" s="407"/>
      <c r="M601" s="407"/>
      <c r="N601" s="407"/>
      <c r="O601" s="407"/>
      <c r="P601" s="407"/>
      <c r="Q601" s="407"/>
      <c r="R601" s="387"/>
      <c r="S601" s="387"/>
      <c r="T601" s="387"/>
      <c r="U601" s="387"/>
      <c r="V601" s="387"/>
      <c r="W601" s="387"/>
      <c r="X601" s="387"/>
      <c r="Y601" s="387"/>
      <c r="Z601" s="387"/>
      <c r="AA601" s="387"/>
      <c r="AB601" s="387"/>
      <c r="AC601" s="387"/>
      <c r="AD601" s="387"/>
      <c r="AE601" s="387"/>
      <c r="AF601" s="387"/>
      <c r="AG601" s="387"/>
      <c r="AH601" s="387"/>
      <c r="AI601" s="387"/>
      <c r="AJ601" s="387"/>
      <c r="AK601" s="387"/>
      <c r="AL601" s="387"/>
      <c r="AM601" s="387"/>
      <c r="AN601" s="387"/>
      <c r="AP601" s="387"/>
      <c r="AQ601" s="387"/>
      <c r="AR601" s="387"/>
      <c r="AS601" s="387"/>
      <c r="AT601" s="387"/>
      <c r="AU601" s="387"/>
      <c r="AV601" s="387"/>
      <c r="AW601" s="387"/>
      <c r="AX601" s="387"/>
      <c r="AY601" s="387"/>
      <c r="AZ601" s="387"/>
      <c r="BA601" s="387"/>
      <c r="BB601" s="387"/>
      <c r="BC601" s="387"/>
      <c r="BD601" s="387"/>
      <c r="BE601" s="387"/>
      <c r="BF601" s="462"/>
      <c r="BG601"/>
    </row>
    <row r="602" spans="2:59">
      <c r="B602" s="366"/>
      <c r="BF602" s="348"/>
    </row>
    <row r="603" spans="2:59" ht="15">
      <c r="B603" s="366"/>
      <c r="C603" s="355" t="s">
        <v>482</v>
      </c>
      <c r="D603" s="356"/>
      <c r="E603" s="356"/>
      <c r="F603" s="474"/>
      <c r="G603" s="474"/>
      <c r="H603" s="474"/>
      <c r="I603" s="474"/>
      <c r="J603" s="474"/>
      <c r="K603" s="474"/>
      <c r="L603" s="474"/>
      <c r="M603" s="474"/>
      <c r="N603" s="474"/>
      <c r="O603" s="474"/>
      <c r="P603" s="474"/>
      <c r="Q603" s="474"/>
      <c r="R603" s="474"/>
      <c r="S603" s="474"/>
      <c r="T603" s="474"/>
      <c r="U603" s="474"/>
      <c r="V603" s="474"/>
      <c r="W603" s="474"/>
      <c r="X603" s="475"/>
      <c r="BF603" s="348"/>
    </row>
    <row r="604" spans="2:59" ht="15">
      <c r="B604" s="366"/>
      <c r="C604" s="358"/>
      <c r="D604" s="358"/>
      <c r="E604" s="358"/>
      <c r="F604" s="359" t="s">
        <v>217</v>
      </c>
      <c r="G604" s="359"/>
      <c r="H604" s="359"/>
      <c r="I604" s="359"/>
      <c r="J604" s="359"/>
      <c r="K604" s="359"/>
      <c r="L604" s="359"/>
      <c r="M604" s="359"/>
      <c r="N604" s="359"/>
      <c r="O604" s="359"/>
      <c r="P604" s="359"/>
      <c r="Q604" s="359"/>
      <c r="R604" s="359"/>
      <c r="S604" s="359"/>
      <c r="T604" s="359"/>
      <c r="U604" s="359"/>
      <c r="V604" s="359"/>
      <c r="W604" s="359"/>
      <c r="X604" s="359"/>
      <c r="BF604" s="348"/>
    </row>
    <row r="605" spans="2:59">
      <c r="B605" s="366"/>
      <c r="C605" s="334" t="s">
        <v>220</v>
      </c>
      <c r="D605" s="334" t="s">
        <v>221</v>
      </c>
      <c r="E605" s="334" t="s">
        <v>222</v>
      </c>
      <c r="F605" s="341" t="s">
        <v>483</v>
      </c>
      <c r="G605" s="341" t="s">
        <v>484</v>
      </c>
      <c r="H605" s="341" t="s">
        <v>485</v>
      </c>
      <c r="I605" s="341" t="s">
        <v>486</v>
      </c>
      <c r="J605" s="341" t="s">
        <v>487</v>
      </c>
      <c r="K605" s="341" t="s">
        <v>488</v>
      </c>
      <c r="L605" s="341" t="s">
        <v>489</v>
      </c>
      <c r="M605" s="341" t="s">
        <v>490</v>
      </c>
      <c r="N605" s="341" t="s">
        <v>491</v>
      </c>
      <c r="O605" s="341" t="s">
        <v>492</v>
      </c>
      <c r="P605" s="341" t="s">
        <v>493</v>
      </c>
      <c r="Q605" s="341" t="s">
        <v>494</v>
      </c>
      <c r="R605" s="341" t="s">
        <v>495</v>
      </c>
      <c r="S605" s="341" t="s">
        <v>496</v>
      </c>
      <c r="T605" s="341" t="s">
        <v>497</v>
      </c>
      <c r="U605" s="341" t="s">
        <v>498</v>
      </c>
      <c r="V605" s="341" t="s">
        <v>499</v>
      </c>
      <c r="W605" s="341" t="s">
        <v>500</v>
      </c>
      <c r="X605" s="341" t="s">
        <v>462</v>
      </c>
      <c r="BF605" s="348"/>
    </row>
    <row r="606" spans="2:59">
      <c r="B606" s="366"/>
      <c r="C606" s="334" t="s">
        <v>501</v>
      </c>
      <c r="D606" s="334" t="s">
        <v>502</v>
      </c>
      <c r="E606" s="334" t="s">
        <v>503</v>
      </c>
      <c r="F606" s="335" t="s">
        <v>504</v>
      </c>
      <c r="G606" s="335" t="s">
        <v>505</v>
      </c>
      <c r="H606" s="335" t="s">
        <v>506</v>
      </c>
      <c r="I606" s="335" t="s">
        <v>507</v>
      </c>
      <c r="J606" s="335" t="s">
        <v>508</v>
      </c>
      <c r="K606" s="335" t="s">
        <v>509</v>
      </c>
      <c r="L606" s="335" t="s">
        <v>510</v>
      </c>
      <c r="M606" s="335" t="s">
        <v>511</v>
      </c>
      <c r="N606" s="335" t="s">
        <v>512</v>
      </c>
      <c r="O606" s="335" t="s">
        <v>513</v>
      </c>
      <c r="P606" s="335" t="s">
        <v>514</v>
      </c>
      <c r="Q606" s="335" t="s">
        <v>515</v>
      </c>
      <c r="R606" s="335" t="s">
        <v>516</v>
      </c>
      <c r="S606" s="335" t="s">
        <v>517</v>
      </c>
      <c r="T606" s="335" t="s">
        <v>518</v>
      </c>
      <c r="U606" s="335" t="s">
        <v>519</v>
      </c>
      <c r="V606" s="335" t="s">
        <v>520</v>
      </c>
      <c r="W606" s="335" t="s">
        <v>521</v>
      </c>
      <c r="X606" s="335" t="s">
        <v>445</v>
      </c>
      <c r="BF606" s="348"/>
    </row>
    <row r="607" spans="2:59">
      <c r="B607" s="366"/>
      <c r="C607" s="334" t="s">
        <v>522</v>
      </c>
      <c r="D607" s="334" t="s">
        <v>467</v>
      </c>
      <c r="E607" s="334" t="s">
        <v>467</v>
      </c>
      <c r="F607" s="341" t="s">
        <v>470</v>
      </c>
      <c r="G607" s="341" t="s">
        <v>470</v>
      </c>
      <c r="H607" s="341" t="s">
        <v>470</v>
      </c>
      <c r="I607" s="341" t="s">
        <v>523</v>
      </c>
      <c r="J607" s="341" t="s">
        <v>524</v>
      </c>
      <c r="K607" s="341" t="s">
        <v>525</v>
      </c>
      <c r="L607" s="335" t="s">
        <v>468</v>
      </c>
      <c r="M607" s="341" t="s">
        <v>468</v>
      </c>
      <c r="N607" s="341" t="s">
        <v>526</v>
      </c>
      <c r="O607" s="341" t="s">
        <v>470</v>
      </c>
      <c r="P607" s="341" t="s">
        <v>527</v>
      </c>
      <c r="Q607" s="341" t="s">
        <v>528</v>
      </c>
      <c r="R607" s="341" t="s">
        <v>527</v>
      </c>
      <c r="S607" s="341" t="s">
        <v>472</v>
      </c>
      <c r="T607" s="335" t="s">
        <v>529</v>
      </c>
      <c r="U607" s="341" t="s">
        <v>529</v>
      </c>
      <c r="V607" s="341" t="s">
        <v>530</v>
      </c>
      <c r="W607" s="341" t="s">
        <v>470</v>
      </c>
      <c r="X607" s="341" t="s">
        <v>473</v>
      </c>
      <c r="BF607" s="348"/>
    </row>
    <row r="608" spans="2:59" ht="14">
      <c r="B608" s="360" t="s">
        <v>532</v>
      </c>
      <c r="C608" s="407" t="s">
        <v>713</v>
      </c>
      <c r="D608" s="407" t="s">
        <v>648</v>
      </c>
      <c r="E608" s="407" t="s">
        <v>648</v>
      </c>
      <c r="F608" s="469" t="s">
        <v>232</v>
      </c>
      <c r="G608" s="407" t="s">
        <v>533</v>
      </c>
      <c r="H608" s="407" t="s">
        <v>533</v>
      </c>
      <c r="I608" s="407" t="s">
        <v>233</v>
      </c>
      <c r="J608" s="407" t="s">
        <v>714</v>
      </c>
      <c r="K608" s="407" t="s">
        <v>714</v>
      </c>
      <c r="L608" s="407" t="s">
        <v>156</v>
      </c>
      <c r="M608" s="407" t="s">
        <v>535</v>
      </c>
      <c r="N608" s="407"/>
      <c r="O608" s="407" t="s">
        <v>533</v>
      </c>
      <c r="P608" s="407" t="s">
        <v>156</v>
      </c>
      <c r="Q608" s="407" t="s">
        <v>235</v>
      </c>
      <c r="R608" s="407" t="s">
        <v>794</v>
      </c>
      <c r="S608" s="407"/>
      <c r="T608" s="407" t="s">
        <v>795</v>
      </c>
      <c r="U608" s="407" t="s">
        <v>796</v>
      </c>
      <c r="V608" s="407" t="s">
        <v>156</v>
      </c>
      <c r="W608" s="407"/>
      <c r="X608" s="407" t="s">
        <v>534</v>
      </c>
      <c r="BF608" s="348"/>
    </row>
    <row r="609" spans="2:63" ht="14">
      <c r="B609" s="362" t="s">
        <v>537</v>
      </c>
      <c r="C609" s="407" t="s">
        <v>713</v>
      </c>
      <c r="D609" s="407" t="s">
        <v>648</v>
      </c>
      <c r="E609" s="407" t="s">
        <v>718</v>
      </c>
      <c r="F609" s="406" t="s">
        <v>232</v>
      </c>
      <c r="G609" s="407" t="s">
        <v>533</v>
      </c>
      <c r="H609" s="407" t="s">
        <v>533</v>
      </c>
      <c r="I609" s="407" t="s">
        <v>233</v>
      </c>
      <c r="J609" s="407" t="s">
        <v>714</v>
      </c>
      <c r="K609" s="407" t="s">
        <v>714</v>
      </c>
      <c r="L609" s="407" t="s">
        <v>156</v>
      </c>
      <c r="M609" s="407" t="s">
        <v>535</v>
      </c>
      <c r="N609" s="407"/>
      <c r="O609" s="407" t="s">
        <v>533</v>
      </c>
      <c r="P609" s="407" t="s">
        <v>156</v>
      </c>
      <c r="Q609" s="407" t="s">
        <v>235</v>
      </c>
      <c r="R609" s="407" t="s">
        <v>794</v>
      </c>
      <c r="S609" s="407"/>
      <c r="T609" s="407" t="s">
        <v>795</v>
      </c>
      <c r="U609" s="407" t="s">
        <v>796</v>
      </c>
      <c r="V609" s="407" t="s">
        <v>156</v>
      </c>
      <c r="W609" s="407"/>
      <c r="X609" s="407" t="s">
        <v>534</v>
      </c>
      <c r="BF609" s="348"/>
    </row>
    <row r="610" spans="2:63" ht="14">
      <c r="B610" s="362" t="s">
        <v>537</v>
      </c>
      <c r="C610" s="407" t="s">
        <v>713</v>
      </c>
      <c r="D610" s="407" t="s">
        <v>718</v>
      </c>
      <c r="E610" s="407" t="s">
        <v>648</v>
      </c>
      <c r="F610" s="406" t="s">
        <v>232</v>
      </c>
      <c r="G610" s="407" t="s">
        <v>533</v>
      </c>
      <c r="H610" s="407" t="s">
        <v>533</v>
      </c>
      <c r="I610" s="407" t="s">
        <v>233</v>
      </c>
      <c r="J610" s="407" t="s">
        <v>714</v>
      </c>
      <c r="K610" s="407" t="s">
        <v>714</v>
      </c>
      <c r="L610" s="407" t="s">
        <v>156</v>
      </c>
      <c r="M610" s="407" t="s">
        <v>535</v>
      </c>
      <c r="N610" s="407"/>
      <c r="O610" s="407" t="s">
        <v>533</v>
      </c>
      <c r="P610" s="407" t="s">
        <v>156</v>
      </c>
      <c r="Q610" s="407" t="s">
        <v>235</v>
      </c>
      <c r="R610" s="407" t="s">
        <v>794</v>
      </c>
      <c r="S610" s="407"/>
      <c r="T610" s="407" t="s">
        <v>795</v>
      </c>
      <c r="U610" s="407" t="s">
        <v>796</v>
      </c>
      <c r="V610" s="407" t="s">
        <v>156</v>
      </c>
      <c r="W610" s="407"/>
      <c r="X610" s="407" t="s">
        <v>534</v>
      </c>
      <c r="BF610" s="348"/>
    </row>
    <row r="611" spans="2:63" ht="14">
      <c r="B611" s="362" t="s">
        <v>537</v>
      </c>
      <c r="C611" s="407" t="s">
        <v>713</v>
      </c>
      <c r="D611" s="407">
        <v>6206</v>
      </c>
      <c r="E611" s="407" t="s">
        <v>719</v>
      </c>
      <c r="F611" s="406" t="s">
        <v>232</v>
      </c>
      <c r="G611" s="407" t="s">
        <v>533</v>
      </c>
      <c r="H611" s="407" t="s">
        <v>533</v>
      </c>
      <c r="I611" s="407" t="s">
        <v>233</v>
      </c>
      <c r="J611" s="407" t="s">
        <v>714</v>
      </c>
      <c r="K611" s="407" t="s">
        <v>714</v>
      </c>
      <c r="L611" s="407" t="s">
        <v>156</v>
      </c>
      <c r="M611" s="407" t="s">
        <v>535</v>
      </c>
      <c r="N611" s="407"/>
      <c r="O611" s="407" t="s">
        <v>533</v>
      </c>
      <c r="P611" s="407" t="s">
        <v>156</v>
      </c>
      <c r="Q611" s="407" t="s">
        <v>235</v>
      </c>
      <c r="R611" s="407" t="s">
        <v>794</v>
      </c>
      <c r="S611" s="407"/>
      <c r="T611" s="407" t="s">
        <v>795</v>
      </c>
      <c r="U611" s="407" t="s">
        <v>796</v>
      </c>
      <c r="V611" s="407" t="s">
        <v>156</v>
      </c>
      <c r="W611" s="407"/>
      <c r="X611" s="407" t="s">
        <v>534</v>
      </c>
      <c r="BF611" s="348"/>
    </row>
    <row r="612" spans="2:63">
      <c r="B612" s="366"/>
      <c r="BF612" s="348"/>
    </row>
    <row r="613" spans="2:63" s="28" customFormat="1" ht="15">
      <c r="B613" s="444"/>
      <c r="C613" s="393" t="s">
        <v>723</v>
      </c>
      <c r="D613" s="394"/>
      <c r="E613" s="394"/>
      <c r="F613" s="394"/>
      <c r="G613" s="394"/>
      <c r="H613" s="394"/>
      <c r="I613" s="394"/>
      <c r="J613" s="394"/>
      <c r="K613" s="394"/>
      <c r="L613" s="394"/>
      <c r="M613"/>
      <c r="N613"/>
      <c r="O613"/>
      <c r="P613"/>
      <c r="Q613"/>
      <c r="R613"/>
      <c r="S613"/>
      <c r="T613"/>
      <c r="U613"/>
      <c r="V613"/>
      <c r="W613"/>
      <c r="X613"/>
      <c r="Y613"/>
      <c r="Z613"/>
      <c r="AA613"/>
      <c r="AB613"/>
      <c r="AC613"/>
      <c r="AD613"/>
      <c r="AE613"/>
      <c r="AF613"/>
      <c r="AG613"/>
      <c r="AH613"/>
      <c r="AI613"/>
      <c r="AJ613"/>
      <c r="AK613"/>
      <c r="AL613"/>
      <c r="AM613"/>
      <c r="AN613"/>
      <c r="AP613"/>
      <c r="AQ613"/>
      <c r="AR613"/>
      <c r="AS613"/>
      <c r="AT613"/>
      <c r="AU613"/>
      <c r="AV613"/>
      <c r="AW613"/>
      <c r="AX613"/>
      <c r="AY613"/>
      <c r="AZ613"/>
      <c r="BA613"/>
      <c r="BB613"/>
      <c r="BC613"/>
      <c r="BD613"/>
      <c r="BE613"/>
      <c r="BF613" s="348"/>
      <c r="BG613"/>
      <c r="BH613"/>
      <c r="BI613"/>
      <c r="BJ613"/>
    </row>
    <row r="614" spans="2:63" s="28" customFormat="1" ht="15">
      <c r="B614" s="444"/>
      <c r="C614" s="336"/>
      <c r="D614" s="336" t="s">
        <v>217</v>
      </c>
      <c r="E614" s="336"/>
      <c r="F614" s="336"/>
      <c r="G614" s="392"/>
      <c r="H614" s="392"/>
      <c r="I614" s="392"/>
      <c r="J614" s="392"/>
      <c r="K614" s="392"/>
      <c r="L614" s="392"/>
      <c r="M614"/>
      <c r="N614"/>
      <c r="O614"/>
      <c r="P614"/>
      <c r="Q614"/>
      <c r="R614"/>
      <c r="S614"/>
      <c r="T614"/>
      <c r="U614"/>
      <c r="V614"/>
      <c r="W614"/>
      <c r="X614"/>
      <c r="Y614"/>
      <c r="Z614"/>
      <c r="AA614"/>
      <c r="AB614"/>
      <c r="AC614"/>
      <c r="AD614"/>
      <c r="AE614"/>
      <c r="AF614"/>
      <c r="AG614"/>
      <c r="AH614"/>
      <c r="AI614"/>
      <c r="AJ614"/>
      <c r="AK614"/>
      <c r="AL614"/>
      <c r="AM614"/>
      <c r="AN614"/>
      <c r="AP614"/>
      <c r="AQ614"/>
      <c r="AR614"/>
      <c r="AS614"/>
      <c r="AT614"/>
      <c r="AU614"/>
      <c r="AV614"/>
      <c r="AW614"/>
      <c r="AX614"/>
      <c r="AY614"/>
      <c r="AZ614"/>
      <c r="BA614"/>
      <c r="BB614"/>
      <c r="BC614"/>
      <c r="BD614"/>
      <c r="BE614"/>
      <c r="BF614" s="348"/>
      <c r="BG614"/>
      <c r="BH614"/>
      <c r="BI614"/>
      <c r="BJ614"/>
    </row>
    <row r="615" spans="2:63" s="28" customFormat="1" ht="15">
      <c r="B615" s="444"/>
      <c r="C615" s="371" t="s">
        <v>727</v>
      </c>
      <c r="D615" s="335" t="s">
        <v>86</v>
      </c>
      <c r="E615" s="335" t="s">
        <v>728</v>
      </c>
      <c r="F615" s="341" t="s">
        <v>462</v>
      </c>
      <c r="G615" s="341" t="s">
        <v>463</v>
      </c>
      <c r="H615" s="341" t="s">
        <v>464</v>
      </c>
      <c r="I615" s="341" t="s">
        <v>465</v>
      </c>
      <c r="J615" s="341" t="s">
        <v>146</v>
      </c>
      <c r="K615" s="341" t="s">
        <v>148</v>
      </c>
      <c r="L615" s="341" t="s">
        <v>466</v>
      </c>
      <c r="M615"/>
      <c r="N615"/>
      <c r="O615"/>
      <c r="P615"/>
      <c r="Q615"/>
      <c r="R615"/>
      <c r="S615"/>
      <c r="T615"/>
      <c r="U615"/>
      <c r="V615"/>
      <c r="W615"/>
      <c r="X615"/>
      <c r="Y615"/>
      <c r="Z615"/>
      <c r="AA615"/>
      <c r="AB615"/>
      <c r="AC615"/>
      <c r="AD615"/>
      <c r="AE615"/>
      <c r="AF615"/>
      <c r="AG615"/>
      <c r="AH615"/>
      <c r="AI615"/>
      <c r="AJ615"/>
      <c r="AK615"/>
      <c r="AL615"/>
      <c r="AM615"/>
      <c r="AN615"/>
      <c r="AP615"/>
      <c r="AQ615"/>
      <c r="AR615"/>
      <c r="AS615"/>
      <c r="AT615"/>
      <c r="AU615"/>
      <c r="AV615"/>
      <c r="AW615"/>
      <c r="AX615"/>
      <c r="AY615"/>
      <c r="AZ615"/>
      <c r="BA615"/>
      <c r="BB615"/>
      <c r="BC615"/>
      <c r="BD615"/>
      <c r="BE615"/>
      <c r="BF615" s="348"/>
      <c r="BG615"/>
      <c r="BH615"/>
      <c r="BI615"/>
      <c r="BJ615"/>
    </row>
    <row r="616" spans="2:63" s="28" customFormat="1" ht="15">
      <c r="B616" s="444"/>
      <c r="C616" s="405" t="s">
        <v>724</v>
      </c>
      <c r="D616" s="335" t="s">
        <v>725</v>
      </c>
      <c r="E616" s="335" t="s">
        <v>726</v>
      </c>
      <c r="F616" s="335" t="s">
        <v>445</v>
      </c>
      <c r="G616" s="335" t="s">
        <v>446</v>
      </c>
      <c r="H616" s="335" t="s">
        <v>447</v>
      </c>
      <c r="I616" s="335" t="s">
        <v>448</v>
      </c>
      <c r="J616" s="335" t="s">
        <v>449</v>
      </c>
      <c r="K616" s="335" t="s">
        <v>450</v>
      </c>
      <c r="L616" s="335" t="s">
        <v>451</v>
      </c>
      <c r="M616"/>
      <c r="N616"/>
      <c r="O616"/>
      <c r="P616"/>
      <c r="Q616"/>
      <c r="R616"/>
      <c r="S616"/>
      <c r="T616"/>
      <c r="U616"/>
      <c r="V616"/>
      <c r="W616"/>
      <c r="X616"/>
      <c r="Y616"/>
      <c r="Z616"/>
      <c r="AA616"/>
      <c r="AB616"/>
      <c r="AC616"/>
      <c r="AD616"/>
      <c r="AE616"/>
      <c r="AF616"/>
      <c r="AG616"/>
      <c r="AH616"/>
      <c r="AI616"/>
      <c r="AJ616"/>
      <c r="AK616"/>
      <c r="AL616"/>
      <c r="AM616"/>
      <c r="AN616"/>
      <c r="AP616"/>
      <c r="AQ616"/>
      <c r="AR616"/>
      <c r="AS616"/>
      <c r="AT616"/>
      <c r="AU616"/>
      <c r="AV616"/>
      <c r="AW616"/>
      <c r="AX616"/>
      <c r="AY616"/>
      <c r="AZ616"/>
      <c r="BA616"/>
      <c r="BB616"/>
      <c r="BC616"/>
      <c r="BD616"/>
      <c r="BE616"/>
      <c r="BF616" s="348"/>
      <c r="BG616"/>
      <c r="BH616"/>
      <c r="BI616"/>
      <c r="BJ616"/>
    </row>
    <row r="617" spans="2:63" s="28" customFormat="1" ht="15">
      <c r="B617" s="444"/>
      <c r="C617" s="405" t="s">
        <v>472</v>
      </c>
      <c r="D617" s="335" t="s">
        <v>527</v>
      </c>
      <c r="E617" s="335" t="s">
        <v>474</v>
      </c>
      <c r="F617" s="335" t="s">
        <v>684</v>
      </c>
      <c r="G617" s="335" t="s">
        <v>474</v>
      </c>
      <c r="H617" s="335" t="s">
        <v>475</v>
      </c>
      <c r="I617" s="335" t="s">
        <v>475</v>
      </c>
      <c r="J617" s="335" t="s">
        <v>223</v>
      </c>
      <c r="K617" s="335" t="s">
        <v>475</v>
      </c>
      <c r="L617" s="335" t="s">
        <v>475</v>
      </c>
      <c r="M617"/>
      <c r="N617"/>
      <c r="O617"/>
      <c r="P617"/>
      <c r="Q617"/>
      <c r="R617"/>
      <c r="S617"/>
      <c r="T617"/>
      <c r="U617"/>
      <c r="V617"/>
      <c r="W617"/>
      <c r="X617"/>
      <c r="Y617"/>
      <c r="Z617"/>
      <c r="AA617"/>
      <c r="AB617"/>
      <c r="AC617"/>
      <c r="AD617"/>
      <c r="AE617"/>
      <c r="AF617"/>
      <c r="AG617"/>
      <c r="AH617"/>
      <c r="AI617"/>
      <c r="AJ617"/>
      <c r="AK617"/>
      <c r="AL617"/>
      <c r="AM617"/>
      <c r="AN617"/>
      <c r="AP617"/>
      <c r="AQ617"/>
      <c r="AR617"/>
      <c r="AS617"/>
      <c r="AT617"/>
      <c r="AU617"/>
      <c r="AV617"/>
      <c r="AW617"/>
      <c r="AX617"/>
      <c r="AY617"/>
      <c r="AZ617"/>
      <c r="BA617"/>
      <c r="BB617"/>
      <c r="BC617"/>
      <c r="BD617"/>
      <c r="BE617"/>
      <c r="BF617" s="348"/>
      <c r="BG617"/>
      <c r="BH617"/>
      <c r="BI617"/>
      <c r="BJ617"/>
    </row>
    <row r="618" spans="2:63" s="28" customFormat="1" ht="15">
      <c r="B618" s="362" t="s">
        <v>537</v>
      </c>
      <c r="C618" s="388" t="s">
        <v>734</v>
      </c>
      <c r="D618" s="407" t="s">
        <v>735</v>
      </c>
      <c r="E618" s="407" t="s">
        <v>736</v>
      </c>
      <c r="F618" s="407" t="s">
        <v>737</v>
      </c>
      <c r="G618" s="407" t="s">
        <v>738</v>
      </c>
      <c r="H618" s="407" t="s">
        <v>739</v>
      </c>
      <c r="I618" s="407" t="s">
        <v>740</v>
      </c>
      <c r="J618" s="407" t="s">
        <v>741</v>
      </c>
      <c r="K618" s="407" t="s">
        <v>742</v>
      </c>
      <c r="L618" s="407" t="s">
        <v>742</v>
      </c>
      <c r="M618"/>
      <c r="N618"/>
      <c r="O618"/>
      <c r="P618"/>
      <c r="Q618"/>
      <c r="R618"/>
      <c r="S618"/>
      <c r="T618"/>
      <c r="U618"/>
      <c r="V618"/>
      <c r="W618"/>
      <c r="X618"/>
      <c r="Y618"/>
      <c r="Z618"/>
      <c r="AA618"/>
      <c r="AB618"/>
      <c r="AC618"/>
      <c r="AD618"/>
      <c r="AE618"/>
      <c r="AF618"/>
      <c r="AG618"/>
      <c r="AH618"/>
      <c r="AI618"/>
      <c r="AJ618"/>
      <c r="AK618"/>
      <c r="AL618"/>
      <c r="AM618"/>
      <c r="AN618"/>
      <c r="AP618"/>
      <c r="AQ618"/>
      <c r="AR618"/>
      <c r="AS618"/>
      <c r="AT618"/>
      <c r="AU618"/>
      <c r="AV618"/>
      <c r="AW618"/>
      <c r="AX618"/>
      <c r="AY618"/>
      <c r="AZ618"/>
      <c r="BA618"/>
      <c r="BB618"/>
      <c r="BC618"/>
      <c r="BD618"/>
      <c r="BE618"/>
      <c r="BF618" s="348"/>
      <c r="BG618"/>
      <c r="BH618"/>
      <c r="BI618"/>
      <c r="BJ618"/>
    </row>
    <row r="619" spans="2:63" s="28" customFormat="1" ht="15">
      <c r="B619" s="360" t="s">
        <v>532</v>
      </c>
      <c r="C619" s="387" t="s">
        <v>868</v>
      </c>
      <c r="D619" s="407" t="s">
        <v>869</v>
      </c>
      <c r="E619" s="407" t="s">
        <v>731</v>
      </c>
      <c r="F619" s="407" t="s">
        <v>534</v>
      </c>
      <c r="G619" s="407" t="s">
        <v>731</v>
      </c>
      <c r="H619" s="407" t="s">
        <v>732</v>
      </c>
      <c r="I619" s="407" t="s">
        <v>733</v>
      </c>
      <c r="J619" s="407" t="s">
        <v>731</v>
      </c>
      <c r="K619" s="407" t="s">
        <v>732</v>
      </c>
      <c r="L619" s="407" t="s">
        <v>733</v>
      </c>
      <c r="M619"/>
      <c r="N619"/>
      <c r="O619"/>
      <c r="P619"/>
      <c r="Q619"/>
      <c r="R619"/>
      <c r="S619"/>
      <c r="T619"/>
      <c r="U619"/>
      <c r="V619"/>
      <c r="W619"/>
      <c r="X619"/>
      <c r="Y619"/>
      <c r="Z619"/>
      <c r="AA619"/>
      <c r="AB619"/>
      <c r="AC619"/>
      <c r="AD619"/>
      <c r="AE619"/>
      <c r="AF619"/>
      <c r="AG619"/>
      <c r="AH619"/>
      <c r="AI619"/>
      <c r="AJ619"/>
      <c r="AK619"/>
      <c r="AL619"/>
      <c r="AM619"/>
      <c r="AN619"/>
      <c r="AP619"/>
      <c r="AQ619"/>
      <c r="AR619"/>
      <c r="AS619"/>
      <c r="AT619"/>
      <c r="AU619"/>
      <c r="AV619"/>
      <c r="AW619"/>
      <c r="AX619"/>
      <c r="AY619"/>
      <c r="AZ619"/>
      <c r="BA619"/>
      <c r="BB619"/>
      <c r="BC619"/>
      <c r="BD619"/>
      <c r="BE619"/>
      <c r="BF619" s="348"/>
      <c r="BG619"/>
      <c r="BH619"/>
      <c r="BI619"/>
      <c r="BJ619"/>
    </row>
    <row r="620" spans="2:63" s="28" customFormat="1" ht="15">
      <c r="B620" s="362" t="s">
        <v>537</v>
      </c>
      <c r="C620" s="388" t="s">
        <v>743</v>
      </c>
      <c r="D620" s="407" t="s">
        <v>744</v>
      </c>
      <c r="E620" s="407" t="s">
        <v>745</v>
      </c>
      <c r="F620" s="407" t="s">
        <v>536</v>
      </c>
      <c r="G620" s="407" t="s">
        <v>745</v>
      </c>
      <c r="H620" s="407" t="s">
        <v>746</v>
      </c>
      <c r="I620" s="407" t="s">
        <v>747</v>
      </c>
      <c r="J620" s="407" t="s">
        <v>745</v>
      </c>
      <c r="K620" s="407" t="s">
        <v>748</v>
      </c>
      <c r="L620" s="407" t="s">
        <v>750</v>
      </c>
      <c r="M620"/>
      <c r="N620"/>
      <c r="O620"/>
      <c r="P620"/>
      <c r="Q620"/>
      <c r="R620"/>
      <c r="S620"/>
      <c r="T620"/>
      <c r="U620"/>
      <c r="V620"/>
      <c r="W620"/>
      <c r="X620"/>
      <c r="Y620"/>
      <c r="Z620"/>
      <c r="AA620"/>
      <c r="AB620"/>
      <c r="AC620"/>
      <c r="AD620"/>
      <c r="AE620"/>
      <c r="AF620"/>
      <c r="AG620"/>
      <c r="AH620"/>
      <c r="AI620"/>
      <c r="AJ620"/>
      <c r="AK620"/>
      <c r="AL620"/>
      <c r="AM620"/>
      <c r="AN620"/>
      <c r="AP620"/>
      <c r="AQ620"/>
      <c r="AR620"/>
      <c r="AS620"/>
      <c r="AT620"/>
      <c r="AU620"/>
      <c r="AV620"/>
      <c r="AW620"/>
      <c r="AX620"/>
      <c r="AY620"/>
      <c r="AZ620"/>
      <c r="BA620"/>
      <c r="BB620"/>
      <c r="BC620"/>
      <c r="BD620"/>
      <c r="BE620"/>
      <c r="BF620" s="348"/>
      <c r="BG620"/>
      <c r="BH620"/>
      <c r="BI620"/>
      <c r="BJ620"/>
      <c r="BK620"/>
    </row>
    <row r="621" spans="2:63" s="28" customFormat="1" ht="15">
      <c r="B621" s="362" t="s">
        <v>537</v>
      </c>
      <c r="C621" s="388" t="s">
        <v>749</v>
      </c>
      <c r="D621" s="407" t="s">
        <v>744</v>
      </c>
      <c r="E621" s="407" t="s">
        <v>745</v>
      </c>
      <c r="F621" s="407" t="s">
        <v>536</v>
      </c>
      <c r="G621" s="407" t="s">
        <v>745</v>
      </c>
      <c r="H621" s="407" t="s">
        <v>746</v>
      </c>
      <c r="I621" s="407" t="s">
        <v>747</v>
      </c>
      <c r="J621" s="407" t="s">
        <v>745</v>
      </c>
      <c r="K621" s="407" t="s">
        <v>748</v>
      </c>
      <c r="L621" s="407" t="s">
        <v>750</v>
      </c>
      <c r="M621"/>
      <c r="N621"/>
      <c r="O621"/>
      <c r="P621"/>
      <c r="Q621"/>
      <c r="R621"/>
      <c r="S621"/>
      <c r="T621"/>
      <c r="U621"/>
      <c r="V621"/>
      <c r="W621"/>
      <c r="X621"/>
      <c r="Y621"/>
      <c r="Z621"/>
      <c r="AA621"/>
      <c r="AB621"/>
      <c r="AC621"/>
      <c r="AD621"/>
      <c r="AE621"/>
      <c r="AF621"/>
      <c r="AG621"/>
      <c r="AH621"/>
      <c r="AI621"/>
      <c r="AJ621"/>
      <c r="AK621"/>
      <c r="AL621"/>
      <c r="AM621"/>
      <c r="AN621"/>
      <c r="AP621"/>
      <c r="AQ621"/>
      <c r="AR621"/>
      <c r="AS621"/>
      <c r="AT621"/>
      <c r="AU621"/>
      <c r="AV621"/>
      <c r="AW621"/>
      <c r="AX621"/>
      <c r="AY621"/>
      <c r="AZ621"/>
      <c r="BA621"/>
      <c r="BB621"/>
      <c r="BC621"/>
      <c r="BD621"/>
      <c r="BE621"/>
      <c r="BF621" s="348"/>
      <c r="BG621"/>
      <c r="BH621"/>
      <c r="BI621"/>
      <c r="BJ621"/>
      <c r="BK621"/>
    </row>
    <row r="622" spans="2:63">
      <c r="B622" s="366"/>
      <c r="BF622" s="348"/>
    </row>
    <row r="623" spans="2:63" ht="13.5">
      <c r="B623" s="366"/>
      <c r="C623" s="354" t="s">
        <v>153</v>
      </c>
      <c r="D623" s="354"/>
      <c r="E623" s="354"/>
      <c r="F623" s="354"/>
      <c r="G623" s="354"/>
      <c r="BF623" s="348"/>
    </row>
    <row r="624" spans="2:63" ht="13.5">
      <c r="B624" s="366"/>
      <c r="C624" s="354" t="s">
        <v>641</v>
      </c>
      <c r="D624" s="354" t="s">
        <v>642</v>
      </c>
      <c r="E624" s="354" t="s">
        <v>205</v>
      </c>
      <c r="F624" s="354" t="s">
        <v>643</v>
      </c>
      <c r="G624" s="354" t="s">
        <v>644</v>
      </c>
      <c r="BF624" s="348"/>
    </row>
    <row r="625" spans="2:59" ht="13.5">
      <c r="B625" s="366"/>
      <c r="C625" s="354">
        <v>-2</v>
      </c>
      <c r="D625" s="354" t="s">
        <v>156</v>
      </c>
      <c r="E625" s="354" t="s">
        <v>968</v>
      </c>
      <c r="F625" s="354" t="s">
        <v>938</v>
      </c>
      <c r="G625" s="354" t="s">
        <v>677</v>
      </c>
      <c r="BF625" s="348"/>
    </row>
    <row r="626" spans="2:59" ht="13.5" thickBot="1">
      <c r="B626" s="366"/>
      <c r="BF626" s="348"/>
    </row>
    <row r="627" spans="2:59" ht="14" thickBot="1">
      <c r="B627" s="350" t="s">
        <v>875</v>
      </c>
      <c r="C627" s="351" t="s">
        <v>877</v>
      </c>
      <c r="D627" s="351"/>
      <c r="E627" s="351"/>
      <c r="F627" s="351"/>
      <c r="G627" s="351"/>
      <c r="H627" s="351"/>
      <c r="I627" s="351"/>
      <c r="J627" s="351"/>
      <c r="K627" s="351"/>
      <c r="L627" s="351"/>
      <c r="M627" s="351"/>
      <c r="N627" s="351"/>
      <c r="O627" s="351"/>
      <c r="P627" s="351"/>
      <c r="Q627" s="351"/>
      <c r="R627" s="351"/>
      <c r="S627" s="351"/>
      <c r="T627" s="351"/>
      <c r="U627" s="351"/>
      <c r="V627" s="351"/>
      <c r="W627" s="351"/>
      <c r="X627" s="351"/>
      <c r="Y627" s="351"/>
      <c r="Z627" s="351"/>
      <c r="AA627" s="351"/>
      <c r="AB627" s="351"/>
      <c r="AC627" s="351"/>
      <c r="AD627" s="351"/>
      <c r="AE627" s="351"/>
      <c r="AF627" s="351"/>
      <c r="AG627" s="351"/>
      <c r="AH627" s="351"/>
      <c r="AI627" s="351"/>
      <c r="AJ627" s="351"/>
      <c r="AK627" s="351"/>
      <c r="AL627" s="351"/>
      <c r="AM627" s="351"/>
      <c r="AN627" s="351"/>
      <c r="AO627" s="351"/>
      <c r="AP627" s="351"/>
      <c r="AQ627" s="351"/>
      <c r="AR627" s="351"/>
      <c r="AS627" s="351"/>
      <c r="AT627" s="351"/>
      <c r="AU627" s="351"/>
      <c r="AV627" s="351"/>
      <c r="AW627" s="351"/>
      <c r="AX627" s="351"/>
      <c r="AY627" s="351"/>
      <c r="AZ627" s="351"/>
      <c r="BA627" s="351"/>
      <c r="BB627" s="351"/>
      <c r="BC627" s="351"/>
      <c r="BD627" s="351"/>
      <c r="BE627" s="351"/>
      <c r="BF627" s="454"/>
    </row>
    <row r="628" spans="2:59" ht="14" thickBot="1">
      <c r="B628" s="352" t="s">
        <v>675</v>
      </c>
      <c r="C628" s="351" t="s">
        <v>480</v>
      </c>
      <c r="D628" s="351"/>
      <c r="E628" s="351"/>
      <c r="F628" s="351"/>
      <c r="G628" s="351"/>
      <c r="H628" s="351"/>
      <c r="I628" s="351"/>
      <c r="J628" s="351"/>
      <c r="K628" s="351"/>
      <c r="L628" s="351"/>
      <c r="M628" s="351"/>
      <c r="N628" s="351"/>
      <c r="O628" s="351"/>
      <c r="P628" s="351"/>
      <c r="Q628" s="351"/>
      <c r="R628" s="351"/>
      <c r="S628" s="351"/>
      <c r="T628" s="351"/>
      <c r="U628" s="351"/>
      <c r="V628" s="351"/>
      <c r="W628" s="351"/>
      <c r="X628" s="351"/>
      <c r="Y628" s="351"/>
      <c r="Z628" s="351"/>
      <c r="AA628" s="351"/>
      <c r="AB628" s="351"/>
      <c r="AC628" s="351"/>
      <c r="AD628" s="351"/>
      <c r="AE628" s="351"/>
      <c r="AF628" s="351"/>
      <c r="AG628" s="351"/>
      <c r="AH628" s="351"/>
      <c r="AI628" s="351"/>
      <c r="AJ628" s="351"/>
      <c r="AK628" s="351"/>
      <c r="AL628" s="351"/>
      <c r="AM628" s="351"/>
      <c r="AN628" s="351"/>
      <c r="AO628" s="351"/>
      <c r="AP628" s="351"/>
      <c r="AQ628" s="351"/>
      <c r="AR628" s="351"/>
      <c r="AS628" s="351"/>
      <c r="AT628" s="351"/>
      <c r="AU628" s="351"/>
      <c r="AV628" s="351"/>
      <c r="AW628" s="351"/>
      <c r="AX628" s="351"/>
      <c r="AY628" s="351"/>
      <c r="AZ628" s="351"/>
      <c r="BA628" s="351"/>
      <c r="BB628" s="351"/>
      <c r="BC628" s="351"/>
      <c r="BD628" s="351"/>
      <c r="BE628" s="351"/>
      <c r="BF628" s="454"/>
    </row>
    <row r="629" spans="2:59">
      <c r="B629" s="366"/>
      <c r="BF629" s="348"/>
    </row>
    <row r="630" spans="2:59" ht="13.5">
      <c r="B630" s="366"/>
      <c r="C630" s="354" t="s">
        <v>481</v>
      </c>
      <c r="BF630" s="348"/>
    </row>
    <row r="631" spans="2:59" ht="13.5">
      <c r="B631" s="366"/>
      <c r="C631" s="354" t="s">
        <v>867</v>
      </c>
      <c r="BF631" s="348"/>
    </row>
    <row r="632" spans="2:59">
      <c r="B632" s="366"/>
      <c r="BF632" s="348"/>
    </row>
    <row r="633" spans="2:59" s="28" customFormat="1" ht="15">
      <c r="B633" s="129"/>
      <c r="C633" s="393" t="s">
        <v>755</v>
      </c>
      <c r="D633" s="394"/>
      <c r="E633" s="394"/>
      <c r="F633" s="394"/>
      <c r="G633" s="394"/>
      <c r="H633" s="394"/>
      <c r="I633" s="394"/>
      <c r="J633" s="394"/>
      <c r="K633" s="394"/>
      <c r="L633" s="394"/>
      <c r="M633" s="394"/>
      <c r="N633" s="394"/>
      <c r="O633" s="394"/>
      <c r="P633" s="394"/>
      <c r="Q633" s="394"/>
      <c r="R633" s="387"/>
      <c r="S633" s="387"/>
      <c r="T633" s="387"/>
      <c r="U633" s="387"/>
      <c r="V633" s="387"/>
      <c r="W633" s="387"/>
      <c r="X633" s="387"/>
      <c r="Y633" s="387"/>
      <c r="Z633" s="387"/>
      <c r="AA633" s="387"/>
      <c r="AB633" s="387"/>
      <c r="AC633" s="387"/>
      <c r="AD633" s="387"/>
      <c r="AE633" s="387"/>
      <c r="AF633" s="387"/>
      <c r="AG633" s="387"/>
      <c r="AH633" s="387"/>
      <c r="AI633" s="387"/>
      <c r="AJ633" s="387"/>
      <c r="AK633" s="387"/>
      <c r="AL633" s="387"/>
      <c r="AM633" s="387"/>
      <c r="AN633" s="387"/>
      <c r="AP633" s="387"/>
      <c r="AQ633" s="387"/>
      <c r="AR633" s="387"/>
      <c r="AS633" s="387"/>
      <c r="AT633" s="387"/>
      <c r="AU633" s="387"/>
      <c r="AV633" s="387"/>
      <c r="AW633" s="387"/>
      <c r="AX633" s="387"/>
      <c r="AY633" s="387"/>
      <c r="AZ633" s="387"/>
      <c r="BA633" s="387"/>
      <c r="BB633" s="387"/>
      <c r="BC633" s="387"/>
      <c r="BD633" s="387"/>
      <c r="BE633" s="387"/>
      <c r="BF633" s="462"/>
      <c r="BG633"/>
    </row>
    <row r="634" spans="2:59" s="28" customFormat="1" ht="15">
      <c r="B634" s="129"/>
      <c r="C634" s="336"/>
      <c r="D634" s="392"/>
      <c r="E634" s="336" t="s">
        <v>217</v>
      </c>
      <c r="F634" s="336"/>
      <c r="G634" s="392"/>
      <c r="H634" s="392"/>
      <c r="I634" s="392"/>
      <c r="J634" s="392"/>
      <c r="K634" s="392"/>
      <c r="L634" s="392"/>
      <c r="M634" s="392"/>
      <c r="N634" s="392"/>
      <c r="O634" s="392"/>
      <c r="P634" s="392"/>
      <c r="Q634" s="392"/>
      <c r="R634" s="387"/>
      <c r="S634" s="387"/>
      <c r="T634" s="387"/>
      <c r="U634" s="387"/>
      <c r="V634" s="387"/>
      <c r="W634" s="387"/>
      <c r="X634" s="387"/>
      <c r="Y634" s="387"/>
      <c r="Z634" s="387"/>
      <c r="AA634" s="387"/>
      <c r="AB634" s="387"/>
      <c r="AC634" s="387"/>
      <c r="AD634" s="387"/>
      <c r="AE634" s="387"/>
      <c r="AF634" s="387"/>
      <c r="AG634" s="387"/>
      <c r="AH634" s="387"/>
      <c r="AI634" s="387"/>
      <c r="AJ634" s="387"/>
      <c r="AK634" s="387"/>
      <c r="AL634" s="387"/>
      <c r="AM634" s="387"/>
      <c r="AN634" s="387"/>
      <c r="AP634" s="387"/>
      <c r="AQ634" s="387"/>
      <c r="AR634" s="387"/>
      <c r="AS634" s="387"/>
      <c r="AT634" s="387"/>
      <c r="AU634" s="387"/>
      <c r="AV634" s="387"/>
      <c r="AW634" s="387"/>
      <c r="AX634" s="387"/>
      <c r="AY634" s="387"/>
      <c r="AZ634" s="387"/>
      <c r="BA634" s="387"/>
      <c r="BB634" s="387"/>
      <c r="BC634" s="387"/>
      <c r="BD634" s="387"/>
      <c r="BE634" s="387"/>
      <c r="BF634" s="462"/>
      <c r="BG634"/>
    </row>
    <row r="635" spans="2:59" s="28" customFormat="1" ht="15">
      <c r="B635" s="129"/>
      <c r="C635" s="371" t="s">
        <v>756</v>
      </c>
      <c r="D635" s="371" t="s">
        <v>757</v>
      </c>
      <c r="E635" s="415" t="s">
        <v>758</v>
      </c>
      <c r="F635" s="335" t="s">
        <v>759</v>
      </c>
      <c r="G635" s="371" t="s">
        <v>760</v>
      </c>
      <c r="H635" s="341" t="s">
        <v>761</v>
      </c>
      <c r="I635" s="341" t="s">
        <v>762</v>
      </c>
      <c r="J635" s="341" t="s">
        <v>763</v>
      </c>
      <c r="K635" s="341" t="s">
        <v>462</v>
      </c>
      <c r="L635" s="341" t="s">
        <v>463</v>
      </c>
      <c r="M635" s="341" t="s">
        <v>464</v>
      </c>
      <c r="N635" s="341" t="s">
        <v>465</v>
      </c>
      <c r="O635" s="341" t="s">
        <v>146</v>
      </c>
      <c r="P635" s="341" t="s">
        <v>148</v>
      </c>
      <c r="Q635" s="341" t="s">
        <v>466</v>
      </c>
      <c r="R635" s="387"/>
      <c r="S635" s="387"/>
      <c r="T635" s="387"/>
      <c r="U635" s="387"/>
      <c r="V635" s="387"/>
      <c r="W635" s="387"/>
      <c r="X635" s="387"/>
      <c r="Y635" s="387"/>
      <c r="Z635" s="387"/>
      <c r="AA635" s="387"/>
      <c r="AB635" s="387"/>
      <c r="AC635" s="387"/>
      <c r="AD635" s="387"/>
      <c r="AE635" s="387"/>
      <c r="AF635" s="387"/>
      <c r="AG635" s="387"/>
      <c r="AH635" s="387"/>
      <c r="AI635" s="387"/>
      <c r="AJ635" s="387"/>
      <c r="AK635" s="387"/>
      <c r="AL635" s="387"/>
      <c r="AM635" s="387"/>
      <c r="AN635" s="387"/>
      <c r="AP635" s="387"/>
      <c r="AQ635" s="387"/>
      <c r="AR635" s="387"/>
      <c r="AS635" s="387"/>
      <c r="AT635" s="387"/>
      <c r="AU635" s="387"/>
      <c r="AV635" s="387"/>
      <c r="AW635" s="387"/>
      <c r="AX635" s="387"/>
      <c r="AY635" s="387"/>
      <c r="AZ635" s="387"/>
      <c r="BA635" s="387"/>
      <c r="BB635" s="387"/>
      <c r="BC635" s="387"/>
      <c r="BD635" s="387"/>
      <c r="BE635" s="387"/>
      <c r="BF635" s="462"/>
      <c r="BG635"/>
    </row>
    <row r="636" spans="2:59" s="28" customFormat="1" ht="15">
      <c r="B636" s="129"/>
      <c r="C636" s="405" t="s">
        <v>764</v>
      </c>
      <c r="D636" s="405" t="s">
        <v>765</v>
      </c>
      <c r="E636" s="416" t="s">
        <v>766</v>
      </c>
      <c r="F636" s="335" t="s">
        <v>767</v>
      </c>
      <c r="G636" s="405" t="s">
        <v>768</v>
      </c>
      <c r="H636" s="335" t="s">
        <v>769</v>
      </c>
      <c r="I636" s="335" t="s">
        <v>770</v>
      </c>
      <c r="J636" s="335" t="s">
        <v>771</v>
      </c>
      <c r="K636" s="335" t="s">
        <v>445</v>
      </c>
      <c r="L636" s="335" t="s">
        <v>446</v>
      </c>
      <c r="M636" s="335" t="s">
        <v>447</v>
      </c>
      <c r="N636" s="335" t="s">
        <v>448</v>
      </c>
      <c r="O636" s="335" t="s">
        <v>449</v>
      </c>
      <c r="P636" s="335" t="s">
        <v>450</v>
      </c>
      <c r="Q636" s="335" t="s">
        <v>451</v>
      </c>
      <c r="R636" s="387"/>
      <c r="S636" s="387"/>
      <c r="T636" s="387"/>
      <c r="U636" s="387"/>
      <c r="V636" s="387"/>
      <c r="W636" s="387"/>
      <c r="X636" s="387"/>
      <c r="Y636" s="387"/>
      <c r="Z636" s="387"/>
      <c r="AA636" s="387"/>
      <c r="AB636" s="387"/>
      <c r="AC636" s="387"/>
      <c r="AD636" s="387"/>
      <c r="AE636" s="387"/>
      <c r="AF636" s="387"/>
      <c r="AG636" s="387"/>
      <c r="AH636" s="387"/>
      <c r="AI636" s="387"/>
      <c r="AJ636" s="387"/>
      <c r="AK636" s="387"/>
      <c r="AL636" s="387"/>
      <c r="AM636" s="387"/>
      <c r="AN636" s="387"/>
      <c r="AP636" s="387"/>
      <c r="AQ636" s="387"/>
      <c r="AR636" s="387"/>
      <c r="AS636" s="387"/>
      <c r="AT636" s="387"/>
      <c r="AU636" s="387"/>
      <c r="AV636" s="387"/>
      <c r="AW636" s="387"/>
      <c r="AX636" s="387"/>
      <c r="AY636" s="387"/>
      <c r="AZ636" s="387"/>
      <c r="BA636" s="387"/>
      <c r="BB636" s="387"/>
      <c r="BC636" s="387"/>
      <c r="BD636" s="387"/>
      <c r="BE636" s="387"/>
      <c r="BF636" s="462"/>
      <c r="BG636"/>
    </row>
    <row r="637" spans="2:59" s="28" customFormat="1" ht="15">
      <c r="B637" s="129"/>
      <c r="C637" s="405" t="s">
        <v>691</v>
      </c>
      <c r="D637" s="405" t="s">
        <v>527</v>
      </c>
      <c r="E637" s="416" t="s">
        <v>772</v>
      </c>
      <c r="F637" s="367" t="s">
        <v>773</v>
      </c>
      <c r="G637" s="405" t="s">
        <v>774</v>
      </c>
      <c r="H637" s="367" t="s">
        <v>775</v>
      </c>
      <c r="I637" s="367" t="s">
        <v>775</v>
      </c>
      <c r="J637" s="367" t="s">
        <v>775</v>
      </c>
      <c r="K637" s="367" t="s">
        <v>684</v>
      </c>
      <c r="L637" s="367" t="s">
        <v>474</v>
      </c>
      <c r="M637" s="367" t="s">
        <v>475</v>
      </c>
      <c r="N637" s="367" t="s">
        <v>475</v>
      </c>
      <c r="O637" s="367" t="s">
        <v>223</v>
      </c>
      <c r="P637" s="367" t="s">
        <v>475</v>
      </c>
      <c r="Q637" s="367" t="s">
        <v>475</v>
      </c>
      <c r="R637" s="387"/>
      <c r="S637" s="387"/>
      <c r="T637" s="387"/>
      <c r="U637" s="387"/>
      <c r="V637" s="387"/>
      <c r="W637" s="387"/>
      <c r="X637" s="387"/>
      <c r="Y637" s="387"/>
      <c r="Z637" s="387"/>
      <c r="AA637" s="387"/>
      <c r="AB637" s="387"/>
      <c r="AC637" s="387"/>
      <c r="AD637" s="387"/>
      <c r="AE637" s="387"/>
      <c r="AF637" s="387"/>
      <c r="AG637" s="387"/>
      <c r="AH637" s="387"/>
      <c r="AI637" s="387"/>
      <c r="AJ637" s="387"/>
      <c r="AK637" s="387"/>
      <c r="AL637" s="387"/>
      <c r="AM637" s="387"/>
      <c r="AN637" s="387"/>
      <c r="AP637" s="387"/>
      <c r="AQ637" s="387"/>
      <c r="AR637" s="387"/>
      <c r="AS637" s="387"/>
      <c r="AT637" s="387"/>
      <c r="AU637" s="387"/>
      <c r="AV637" s="387"/>
      <c r="AW637" s="387"/>
      <c r="AX637" s="387"/>
      <c r="AY637" s="387"/>
      <c r="AZ637" s="387"/>
      <c r="BA637" s="387"/>
      <c r="BB637" s="387"/>
      <c r="BC637" s="387"/>
      <c r="BD637" s="387"/>
      <c r="BE637" s="387"/>
      <c r="BF637" s="462"/>
      <c r="BG637"/>
    </row>
    <row r="638" spans="2:59" s="28" customFormat="1" ht="15">
      <c r="B638" s="362" t="s">
        <v>537</v>
      </c>
      <c r="C638" s="407" t="s">
        <v>786</v>
      </c>
      <c r="D638" s="388" t="s">
        <v>790</v>
      </c>
      <c r="E638" s="407" t="s">
        <v>778</v>
      </c>
      <c r="F638" s="407" t="s">
        <v>778</v>
      </c>
      <c r="G638" s="407" t="s">
        <v>779</v>
      </c>
      <c r="H638" s="407" t="s">
        <v>232</v>
      </c>
      <c r="I638" s="407" t="s">
        <v>533</v>
      </c>
      <c r="J638" s="407" t="s">
        <v>636</v>
      </c>
      <c r="K638" s="407" t="s">
        <v>534</v>
      </c>
      <c r="L638" s="407"/>
      <c r="M638" s="407"/>
      <c r="N638" s="407"/>
      <c r="O638" s="407"/>
      <c r="P638" s="407"/>
      <c r="Q638" s="407"/>
      <c r="R638" s="387"/>
      <c r="S638" s="387"/>
      <c r="T638" s="387"/>
      <c r="U638" s="387"/>
      <c r="V638" s="387"/>
      <c r="W638" s="387"/>
      <c r="X638" s="387"/>
      <c r="Y638" s="387"/>
      <c r="Z638" s="387"/>
      <c r="AA638" s="387"/>
      <c r="AB638" s="387"/>
      <c r="AC638" s="387"/>
      <c r="AD638" s="387"/>
      <c r="AE638" s="387"/>
      <c r="AF638" s="387"/>
      <c r="AG638" s="387"/>
      <c r="AH638" s="387"/>
      <c r="AI638" s="387"/>
      <c r="AJ638" s="387"/>
      <c r="AK638" s="387"/>
      <c r="AL638" s="387"/>
      <c r="AM638" s="387"/>
      <c r="AN638" s="387"/>
      <c r="AP638" s="387"/>
      <c r="AQ638" s="387"/>
      <c r="AR638" s="387"/>
      <c r="AS638" s="387"/>
      <c r="AT638" s="387"/>
      <c r="AU638" s="387"/>
      <c r="AV638" s="387"/>
      <c r="AW638" s="387"/>
      <c r="AX638" s="387"/>
      <c r="AY638" s="387"/>
      <c r="AZ638" s="387"/>
      <c r="BA638" s="387"/>
      <c r="BB638" s="387"/>
      <c r="BC638" s="387"/>
      <c r="BD638" s="387"/>
      <c r="BE638" s="387"/>
      <c r="BF638" s="462"/>
      <c r="BG638"/>
    </row>
    <row r="639" spans="2:59" s="28" customFormat="1" ht="15">
      <c r="B639" s="362" t="s">
        <v>537</v>
      </c>
      <c r="C639" s="407" t="s">
        <v>786</v>
      </c>
      <c r="D639" s="388" t="s">
        <v>791</v>
      </c>
      <c r="E639" s="407" t="s">
        <v>778</v>
      </c>
      <c r="F639" s="407" t="s">
        <v>778</v>
      </c>
      <c r="G639" s="407" t="s">
        <v>779</v>
      </c>
      <c r="H639" s="407" t="s">
        <v>232</v>
      </c>
      <c r="I639" s="407" t="s">
        <v>533</v>
      </c>
      <c r="J639" s="407" t="s">
        <v>636</v>
      </c>
      <c r="K639" s="407" t="s">
        <v>534</v>
      </c>
      <c r="L639" s="407"/>
      <c r="M639" s="407"/>
      <c r="N639" s="407"/>
      <c r="O639" s="407"/>
      <c r="P639" s="407"/>
      <c r="Q639" s="407"/>
      <c r="R639" s="387"/>
      <c r="S639" s="387"/>
      <c r="T639" s="387"/>
      <c r="U639" s="387"/>
      <c r="V639" s="387"/>
      <c r="W639" s="387"/>
      <c r="X639" s="387"/>
      <c r="Y639" s="387"/>
      <c r="Z639" s="387"/>
      <c r="AA639" s="387"/>
      <c r="AB639" s="387"/>
      <c r="AC639" s="387"/>
      <c r="AD639" s="387"/>
      <c r="AE639" s="387"/>
      <c r="AF639" s="387"/>
      <c r="AG639" s="387"/>
      <c r="AH639" s="387"/>
      <c r="AI639" s="387"/>
      <c r="AJ639" s="387"/>
      <c r="AK639" s="387"/>
      <c r="AL639" s="387"/>
      <c r="AM639" s="387"/>
      <c r="AN639" s="387"/>
      <c r="AP639" s="387"/>
      <c r="AQ639" s="387"/>
      <c r="AR639" s="387"/>
      <c r="AS639" s="387"/>
      <c r="AT639" s="387"/>
      <c r="AU639" s="387"/>
      <c r="AV639" s="387"/>
      <c r="AW639" s="387"/>
      <c r="AX639" s="387"/>
      <c r="AY639" s="387"/>
      <c r="AZ639" s="387"/>
      <c r="BA639" s="387"/>
      <c r="BB639" s="387"/>
      <c r="BC639" s="387"/>
      <c r="BD639" s="387"/>
      <c r="BE639" s="387"/>
      <c r="BF639" s="462"/>
      <c r="BG639"/>
    </row>
    <row r="640" spans="2:59" s="28" customFormat="1" ht="15">
      <c r="B640" s="362" t="s">
        <v>537</v>
      </c>
      <c r="C640" s="407" t="s">
        <v>786</v>
      </c>
      <c r="D640" s="388" t="s">
        <v>787</v>
      </c>
      <c r="E640" s="407" t="s">
        <v>778</v>
      </c>
      <c r="F640" s="407" t="s">
        <v>778</v>
      </c>
      <c r="G640" s="388" t="s">
        <v>782</v>
      </c>
      <c r="H640" s="407" t="s">
        <v>232</v>
      </c>
      <c r="I640" s="407" t="s">
        <v>533</v>
      </c>
      <c r="J640" s="407" t="s">
        <v>636</v>
      </c>
      <c r="K640" s="407" t="s">
        <v>534</v>
      </c>
      <c r="L640" s="407"/>
      <c r="M640" s="407"/>
      <c r="N640" s="407"/>
      <c r="O640" s="407"/>
      <c r="P640" s="407"/>
      <c r="Q640" s="407"/>
      <c r="R640" s="387"/>
      <c r="S640" s="387"/>
      <c r="T640" s="387"/>
      <c r="U640" s="387"/>
      <c r="V640" s="387"/>
      <c r="W640" s="387"/>
      <c r="X640" s="387"/>
      <c r="Y640" s="387"/>
      <c r="Z640" s="387"/>
      <c r="AA640" s="387"/>
      <c r="AB640" s="387"/>
      <c r="AC640" s="387"/>
      <c r="AD640" s="387"/>
      <c r="AE640" s="387"/>
      <c r="AF640" s="387"/>
      <c r="AG640" s="387"/>
      <c r="AH640" s="387"/>
      <c r="AI640" s="387"/>
      <c r="AJ640" s="387"/>
      <c r="AK640" s="387"/>
      <c r="AL640" s="387"/>
      <c r="AM640" s="387"/>
      <c r="AN640" s="387"/>
      <c r="AP640" s="387"/>
      <c r="AQ640" s="387"/>
      <c r="AR640" s="387"/>
      <c r="AS640" s="387"/>
      <c r="AT640" s="387"/>
      <c r="AU640" s="387"/>
      <c r="AV640" s="387"/>
      <c r="AW640" s="387"/>
      <c r="AX640" s="387"/>
      <c r="AY640" s="387"/>
      <c r="AZ640" s="387"/>
      <c r="BA640" s="387"/>
      <c r="BB640" s="387"/>
      <c r="BC640" s="387"/>
      <c r="BD640" s="387"/>
      <c r="BE640" s="387"/>
      <c r="BF640" s="462"/>
      <c r="BG640"/>
    </row>
    <row r="641" spans="2:63" s="28" customFormat="1" ht="15">
      <c r="B641" s="360" t="s">
        <v>532</v>
      </c>
      <c r="C641" s="407" t="s">
        <v>926</v>
      </c>
      <c r="D641" s="407" t="s">
        <v>927</v>
      </c>
      <c r="E641" s="407" t="s">
        <v>778</v>
      </c>
      <c r="F641" s="407" t="s">
        <v>778</v>
      </c>
      <c r="G641" s="411" t="s">
        <v>779</v>
      </c>
      <c r="H641" s="407" t="s">
        <v>232</v>
      </c>
      <c r="I641" s="407" t="s">
        <v>533</v>
      </c>
      <c r="J641" s="407" t="s">
        <v>636</v>
      </c>
      <c r="K641" s="407" t="s">
        <v>534</v>
      </c>
      <c r="L641" s="407"/>
      <c r="M641" s="407"/>
      <c r="N641" s="407"/>
      <c r="O641" s="407"/>
      <c r="P641" s="407"/>
      <c r="Q641" s="407"/>
      <c r="R641" s="387"/>
      <c r="S641" s="387"/>
      <c r="T641" s="387"/>
      <c r="U641" s="387"/>
      <c r="V641" s="387"/>
      <c r="W641" s="387"/>
      <c r="X641" s="387"/>
      <c r="Y641" s="387"/>
      <c r="Z641" s="387"/>
      <c r="AA641" s="387"/>
      <c r="AB641" s="387"/>
      <c r="AC641" s="387"/>
      <c r="AD641" s="387"/>
      <c r="AE641" s="387"/>
      <c r="AF641" s="387"/>
      <c r="AG641" s="387"/>
      <c r="AH641" s="387"/>
      <c r="AI641" s="387"/>
      <c r="AJ641" s="387"/>
      <c r="AK641" s="387"/>
      <c r="AL641" s="387"/>
      <c r="AM641" s="387"/>
      <c r="AN641" s="387"/>
      <c r="AP641" s="387"/>
      <c r="AQ641" s="387"/>
      <c r="AR641" s="387"/>
      <c r="AS641" s="387"/>
      <c r="AT641" s="387"/>
      <c r="AU641" s="387"/>
      <c r="AV641" s="387"/>
      <c r="AW641" s="387"/>
      <c r="AX641" s="387"/>
      <c r="AY641" s="387"/>
      <c r="AZ641" s="387"/>
      <c r="BA641" s="387"/>
      <c r="BB641" s="387"/>
      <c r="BC641" s="387"/>
      <c r="BD641" s="387"/>
      <c r="BE641" s="387"/>
      <c r="BF641" s="462"/>
      <c r="BG641"/>
    </row>
    <row r="642" spans="2:63" ht="14">
      <c r="B642" s="366"/>
      <c r="D642" s="407"/>
      <c r="E642" s="407"/>
      <c r="F642" s="407"/>
      <c r="BF642" s="348"/>
    </row>
    <row r="643" spans="2:63" s="28" customFormat="1" ht="15">
      <c r="B643" s="444"/>
      <c r="C643" s="393" t="s">
        <v>723</v>
      </c>
      <c r="D643" s="394"/>
      <c r="E643" s="394"/>
      <c r="F643" s="394"/>
      <c r="G643" s="394"/>
      <c r="H643" s="394"/>
      <c r="I643" s="394"/>
      <c r="J643" s="394"/>
      <c r="K643" s="394"/>
      <c r="L643" s="394"/>
      <c r="M643"/>
      <c r="N643"/>
      <c r="O643"/>
      <c r="P643"/>
      <c r="Q643"/>
      <c r="R643"/>
      <c r="S643"/>
      <c r="T643"/>
      <c r="U643"/>
      <c r="V643"/>
      <c r="W643"/>
      <c r="X643"/>
      <c r="Y643"/>
      <c r="Z643"/>
      <c r="AA643"/>
      <c r="AB643"/>
      <c r="AC643"/>
      <c r="AD643"/>
      <c r="AE643"/>
      <c r="AF643"/>
      <c r="AG643"/>
      <c r="AH643"/>
      <c r="AI643"/>
      <c r="AJ643"/>
      <c r="AK643"/>
      <c r="AL643"/>
      <c r="AM643"/>
      <c r="AN643"/>
      <c r="AP643"/>
      <c r="AQ643"/>
      <c r="AR643"/>
      <c r="AS643"/>
      <c r="AT643"/>
      <c r="AU643"/>
      <c r="AV643"/>
      <c r="AW643"/>
      <c r="AX643"/>
      <c r="AY643"/>
      <c r="AZ643"/>
      <c r="BA643"/>
      <c r="BB643"/>
      <c r="BC643"/>
      <c r="BD643"/>
      <c r="BE643"/>
      <c r="BF643" s="348"/>
      <c r="BG643"/>
      <c r="BH643"/>
      <c r="BI643"/>
      <c r="BJ643"/>
    </row>
    <row r="644" spans="2:63" s="28" customFormat="1" ht="15">
      <c r="B644" s="444"/>
      <c r="C644" s="336"/>
      <c r="D644" s="336" t="s">
        <v>217</v>
      </c>
      <c r="E644" s="336"/>
      <c r="F644" s="336"/>
      <c r="G644" s="392"/>
      <c r="H644" s="392"/>
      <c r="I644" s="392"/>
      <c r="J644" s="392"/>
      <c r="K644" s="392"/>
      <c r="L644" s="392"/>
      <c r="M644"/>
      <c r="N644"/>
      <c r="O644"/>
      <c r="P644"/>
      <c r="Q644"/>
      <c r="R644"/>
      <c r="S644"/>
      <c r="T644"/>
      <c r="U644"/>
      <c r="V644"/>
      <c r="W644"/>
      <c r="X644"/>
      <c r="Y644"/>
      <c r="Z644"/>
      <c r="AA644"/>
      <c r="AB644"/>
      <c r="AC644"/>
      <c r="AD644"/>
      <c r="AE644"/>
      <c r="AF644"/>
      <c r="AG644"/>
      <c r="AH644"/>
      <c r="AI644"/>
      <c r="AJ644"/>
      <c r="AK644"/>
      <c r="AL644"/>
      <c r="AM644"/>
      <c r="AN644"/>
      <c r="AP644"/>
      <c r="AQ644"/>
      <c r="AR644"/>
      <c r="AS644"/>
      <c r="AT644"/>
      <c r="AU644"/>
      <c r="AV644"/>
      <c r="AW644"/>
      <c r="AX644"/>
      <c r="AY644"/>
      <c r="AZ644"/>
      <c r="BA644"/>
      <c r="BB644"/>
      <c r="BC644"/>
      <c r="BD644"/>
      <c r="BE644"/>
      <c r="BF644" s="348"/>
      <c r="BG644"/>
      <c r="BH644"/>
      <c r="BI644"/>
      <c r="BJ644"/>
    </row>
    <row r="645" spans="2:63" s="28" customFormat="1" ht="15">
      <c r="B645" s="444"/>
      <c r="C645" s="371" t="s">
        <v>727</v>
      </c>
      <c r="D645" s="335" t="s">
        <v>86</v>
      </c>
      <c r="E645" s="335" t="s">
        <v>728</v>
      </c>
      <c r="F645" s="341" t="s">
        <v>462</v>
      </c>
      <c r="G645" s="341" t="s">
        <v>463</v>
      </c>
      <c r="H645" s="341" t="s">
        <v>464</v>
      </c>
      <c r="I645" s="341" t="s">
        <v>465</v>
      </c>
      <c r="J645" s="341" t="s">
        <v>146</v>
      </c>
      <c r="K645" s="341" t="s">
        <v>148</v>
      </c>
      <c r="L645" s="341" t="s">
        <v>466</v>
      </c>
      <c r="M645"/>
      <c r="N645"/>
      <c r="O645"/>
      <c r="P645"/>
      <c r="Q645"/>
      <c r="R645"/>
      <c r="S645"/>
      <c r="T645"/>
      <c r="U645"/>
      <c r="V645"/>
      <c r="W645"/>
      <c r="X645"/>
      <c r="Y645"/>
      <c r="Z645"/>
      <c r="AA645"/>
      <c r="AB645"/>
      <c r="AC645"/>
      <c r="AD645"/>
      <c r="AE645"/>
      <c r="AF645"/>
      <c r="AG645"/>
      <c r="AH645"/>
      <c r="AI645"/>
      <c r="AJ645"/>
      <c r="AK645"/>
      <c r="AL645"/>
      <c r="AM645"/>
      <c r="AN645"/>
      <c r="AP645"/>
      <c r="AQ645"/>
      <c r="AR645"/>
      <c r="AS645"/>
      <c r="AT645"/>
      <c r="AU645"/>
      <c r="AV645"/>
      <c r="AW645"/>
      <c r="AX645"/>
      <c r="AY645"/>
      <c r="AZ645"/>
      <c r="BA645"/>
      <c r="BB645"/>
      <c r="BC645"/>
      <c r="BD645"/>
      <c r="BE645"/>
      <c r="BF645" s="348"/>
      <c r="BG645"/>
      <c r="BH645"/>
      <c r="BI645"/>
      <c r="BJ645"/>
    </row>
    <row r="646" spans="2:63" s="28" customFormat="1" ht="15">
      <c r="B646" s="444"/>
      <c r="C646" s="405" t="s">
        <v>724</v>
      </c>
      <c r="D646" s="335" t="s">
        <v>725</v>
      </c>
      <c r="E646" s="335" t="s">
        <v>726</v>
      </c>
      <c r="F646" s="335" t="s">
        <v>445</v>
      </c>
      <c r="G646" s="335" t="s">
        <v>446</v>
      </c>
      <c r="H646" s="335" t="s">
        <v>447</v>
      </c>
      <c r="I646" s="335" t="s">
        <v>448</v>
      </c>
      <c r="J646" s="335" t="s">
        <v>449</v>
      </c>
      <c r="K646" s="335" t="s">
        <v>450</v>
      </c>
      <c r="L646" s="335" t="s">
        <v>451</v>
      </c>
      <c r="M646"/>
      <c r="N646"/>
      <c r="O646"/>
      <c r="P646"/>
      <c r="Q646"/>
      <c r="R646"/>
      <c r="S646"/>
      <c r="T646"/>
      <c r="U646"/>
      <c r="V646"/>
      <c r="W646"/>
      <c r="X646"/>
      <c r="Y646"/>
      <c r="Z646"/>
      <c r="AA646"/>
      <c r="AB646"/>
      <c r="AC646"/>
      <c r="AD646"/>
      <c r="AE646"/>
      <c r="AF646"/>
      <c r="AG646"/>
      <c r="AH646"/>
      <c r="AI646"/>
      <c r="AJ646"/>
      <c r="AK646"/>
      <c r="AL646"/>
      <c r="AM646"/>
      <c r="AN646"/>
      <c r="AP646"/>
      <c r="AQ646"/>
      <c r="AR646"/>
      <c r="AS646"/>
      <c r="AT646"/>
      <c r="AU646"/>
      <c r="AV646"/>
      <c r="AW646"/>
      <c r="AX646"/>
      <c r="AY646"/>
      <c r="AZ646"/>
      <c r="BA646"/>
      <c r="BB646"/>
      <c r="BC646"/>
      <c r="BD646"/>
      <c r="BE646"/>
      <c r="BF646" s="348"/>
      <c r="BG646"/>
      <c r="BH646"/>
      <c r="BI646"/>
      <c r="BJ646"/>
    </row>
    <row r="647" spans="2:63" s="28" customFormat="1" ht="15">
      <c r="B647" s="444"/>
      <c r="C647" s="405" t="s">
        <v>472</v>
      </c>
      <c r="D647" s="335" t="s">
        <v>527</v>
      </c>
      <c r="E647" s="335" t="s">
        <v>474</v>
      </c>
      <c r="F647" s="335" t="s">
        <v>684</v>
      </c>
      <c r="G647" s="335" t="s">
        <v>474</v>
      </c>
      <c r="H647" s="335" t="s">
        <v>475</v>
      </c>
      <c r="I647" s="335" t="s">
        <v>475</v>
      </c>
      <c r="J647" s="335" t="s">
        <v>223</v>
      </c>
      <c r="K647" s="335" t="s">
        <v>475</v>
      </c>
      <c r="L647" s="335" t="s">
        <v>475</v>
      </c>
      <c r="M647"/>
      <c r="N647"/>
      <c r="O647"/>
      <c r="P647"/>
      <c r="Q647"/>
      <c r="R647"/>
      <c r="S647"/>
      <c r="T647"/>
      <c r="U647"/>
      <c r="V647"/>
      <c r="W647"/>
      <c r="X647"/>
      <c r="Y647"/>
      <c r="Z647"/>
      <c r="AA647"/>
      <c r="AB647"/>
      <c r="AC647"/>
      <c r="AD647"/>
      <c r="AE647"/>
      <c r="AF647"/>
      <c r="AG647"/>
      <c r="AH647"/>
      <c r="AI647"/>
      <c r="AJ647"/>
      <c r="AK647"/>
      <c r="AL647"/>
      <c r="AM647"/>
      <c r="AN647"/>
      <c r="AP647"/>
      <c r="AQ647"/>
      <c r="AR647"/>
      <c r="AS647"/>
      <c r="AT647"/>
      <c r="AU647"/>
      <c r="AV647"/>
      <c r="AW647"/>
      <c r="AX647"/>
      <c r="AY647"/>
      <c r="AZ647"/>
      <c r="BA647"/>
      <c r="BB647"/>
      <c r="BC647"/>
      <c r="BD647"/>
      <c r="BE647"/>
      <c r="BF647" s="348"/>
      <c r="BG647"/>
      <c r="BH647"/>
      <c r="BI647"/>
      <c r="BJ647"/>
    </row>
    <row r="648" spans="2:63" s="28" customFormat="1" ht="15">
      <c r="B648" s="362" t="s">
        <v>537</v>
      </c>
      <c r="C648" s="388" t="s">
        <v>734</v>
      </c>
      <c r="D648" s="407" t="s">
        <v>735</v>
      </c>
      <c r="E648" s="407" t="s">
        <v>736</v>
      </c>
      <c r="F648" s="407" t="s">
        <v>737</v>
      </c>
      <c r="G648" s="407" t="s">
        <v>738</v>
      </c>
      <c r="H648" s="408" t="s">
        <v>739</v>
      </c>
      <c r="I648" s="407" t="s">
        <v>740</v>
      </c>
      <c r="J648" s="407" t="s">
        <v>741</v>
      </c>
      <c r="K648" s="407" t="s">
        <v>742</v>
      </c>
      <c r="L648" s="407" t="s">
        <v>742</v>
      </c>
      <c r="M648"/>
      <c r="N648"/>
      <c r="O648"/>
      <c r="P648"/>
      <c r="Q648"/>
      <c r="R648"/>
      <c r="S648"/>
      <c r="T648"/>
      <c r="U648"/>
      <c r="V648"/>
      <c r="W648"/>
      <c r="X648"/>
      <c r="Y648"/>
      <c r="Z648"/>
      <c r="AA648"/>
      <c r="AB648"/>
      <c r="AC648"/>
      <c r="AD648"/>
      <c r="AE648"/>
      <c r="AF648"/>
      <c r="AG648"/>
      <c r="AH648"/>
      <c r="AI648"/>
      <c r="AJ648"/>
      <c r="AK648"/>
      <c r="AL648"/>
      <c r="AM648"/>
      <c r="AN648"/>
      <c r="AP648"/>
      <c r="AQ648"/>
      <c r="AR648"/>
      <c r="AS648"/>
      <c r="AT648"/>
      <c r="AU648"/>
      <c r="AV648"/>
      <c r="AW648"/>
      <c r="AX648"/>
      <c r="AY648"/>
      <c r="AZ648"/>
      <c r="BA648"/>
      <c r="BB648"/>
      <c r="BC648"/>
      <c r="BD648"/>
      <c r="BE648"/>
      <c r="BF648" s="348"/>
      <c r="BG648"/>
      <c r="BH648"/>
      <c r="BI648"/>
      <c r="BJ648"/>
    </row>
    <row r="649" spans="2:63" s="28" customFormat="1" ht="15">
      <c r="B649" s="360" t="s">
        <v>532</v>
      </c>
      <c r="C649" s="387" t="s">
        <v>868</v>
      </c>
      <c r="D649" s="407" t="s">
        <v>869</v>
      </c>
      <c r="E649" s="407" t="s">
        <v>731</v>
      </c>
      <c r="F649" s="407" t="s">
        <v>534</v>
      </c>
      <c r="G649" s="407" t="s">
        <v>731</v>
      </c>
      <c r="H649" s="407" t="s">
        <v>732</v>
      </c>
      <c r="I649" s="407" t="s">
        <v>733</v>
      </c>
      <c r="J649" s="407" t="s">
        <v>731</v>
      </c>
      <c r="K649" s="407" t="s">
        <v>732</v>
      </c>
      <c r="L649" s="407" t="s">
        <v>733</v>
      </c>
      <c r="M649"/>
      <c r="N649"/>
      <c r="O649"/>
      <c r="P649"/>
      <c r="Q649"/>
      <c r="R649"/>
      <c r="S649"/>
      <c r="T649"/>
      <c r="U649"/>
      <c r="V649"/>
      <c r="W649"/>
      <c r="X649"/>
      <c r="Y649"/>
      <c r="Z649"/>
      <c r="AA649"/>
      <c r="AB649"/>
      <c r="AC649"/>
      <c r="AD649"/>
      <c r="AE649"/>
      <c r="AF649"/>
      <c r="AG649"/>
      <c r="AH649"/>
      <c r="AI649"/>
      <c r="AJ649"/>
      <c r="AK649"/>
      <c r="AL649"/>
      <c r="AM649"/>
      <c r="AN649"/>
      <c r="AP649"/>
      <c r="AQ649"/>
      <c r="AR649"/>
      <c r="AS649"/>
      <c r="AT649"/>
      <c r="AU649"/>
      <c r="AV649"/>
      <c r="AW649"/>
      <c r="AX649"/>
      <c r="AY649"/>
      <c r="AZ649"/>
      <c r="BA649"/>
      <c r="BB649"/>
      <c r="BC649"/>
      <c r="BD649"/>
      <c r="BE649"/>
      <c r="BF649" s="348"/>
      <c r="BG649"/>
      <c r="BH649"/>
      <c r="BI649"/>
      <c r="BJ649"/>
    </row>
    <row r="650" spans="2:63" s="28" customFormat="1" ht="15">
      <c r="B650" s="362" t="s">
        <v>537</v>
      </c>
      <c r="C650" s="388" t="s">
        <v>743</v>
      </c>
      <c r="D650" s="407" t="s">
        <v>744</v>
      </c>
      <c r="E650" s="407" t="s">
        <v>745</v>
      </c>
      <c r="F650" s="407" t="s">
        <v>536</v>
      </c>
      <c r="G650" s="407" t="s">
        <v>745</v>
      </c>
      <c r="H650" s="407" t="s">
        <v>746</v>
      </c>
      <c r="I650" s="407" t="s">
        <v>747</v>
      </c>
      <c r="J650" s="407" t="s">
        <v>745</v>
      </c>
      <c r="K650" s="407" t="s">
        <v>748</v>
      </c>
      <c r="L650" s="407" t="s">
        <v>750</v>
      </c>
      <c r="M650"/>
      <c r="N650"/>
      <c r="O650"/>
      <c r="P650"/>
      <c r="Q650"/>
      <c r="R650"/>
      <c r="S650"/>
      <c r="T650"/>
      <c r="U650"/>
      <c r="V650"/>
      <c r="W650"/>
      <c r="X650"/>
      <c r="Y650"/>
      <c r="Z650"/>
      <c r="AA650"/>
      <c r="AB650"/>
      <c r="AC650"/>
      <c r="AD650"/>
      <c r="AE650"/>
      <c r="AF650"/>
      <c r="AG650"/>
      <c r="AH650"/>
      <c r="AI650"/>
      <c r="AJ650"/>
      <c r="AK650"/>
      <c r="AL650"/>
      <c r="AM650"/>
      <c r="AN650"/>
      <c r="AP650"/>
      <c r="AQ650"/>
      <c r="AR650"/>
      <c r="AS650"/>
      <c r="AT650"/>
      <c r="AU650"/>
      <c r="AV650"/>
      <c r="AW650"/>
      <c r="AX650"/>
      <c r="AY650"/>
      <c r="AZ650"/>
      <c r="BA650"/>
      <c r="BB650"/>
      <c r="BC650"/>
      <c r="BD650"/>
      <c r="BE650"/>
      <c r="BF650" s="348"/>
      <c r="BG650"/>
      <c r="BH650"/>
      <c r="BI650"/>
      <c r="BJ650"/>
      <c r="BK650"/>
    </row>
    <row r="651" spans="2:63" s="28" customFormat="1" ht="15">
      <c r="B651" s="362" t="s">
        <v>537</v>
      </c>
      <c r="C651" s="388" t="s">
        <v>749</v>
      </c>
      <c r="D651" s="407" t="s">
        <v>744</v>
      </c>
      <c r="E651" s="407" t="s">
        <v>745</v>
      </c>
      <c r="F651" s="407" t="s">
        <v>536</v>
      </c>
      <c r="G651" s="407" t="s">
        <v>745</v>
      </c>
      <c r="H651" s="407" t="s">
        <v>746</v>
      </c>
      <c r="I651" s="407" t="s">
        <v>747</v>
      </c>
      <c r="J651" s="407" t="s">
        <v>745</v>
      </c>
      <c r="K651" s="407" t="s">
        <v>748</v>
      </c>
      <c r="L651" s="407" t="s">
        <v>750</v>
      </c>
      <c r="M651"/>
      <c r="N651"/>
      <c r="O651"/>
      <c r="P651"/>
      <c r="Q651"/>
      <c r="R651"/>
      <c r="S651"/>
      <c r="T651"/>
      <c r="U651"/>
      <c r="V651"/>
      <c r="W651"/>
      <c r="X651"/>
      <c r="Y651"/>
      <c r="Z651"/>
      <c r="AA651"/>
      <c r="AB651"/>
      <c r="AC651"/>
      <c r="AD651"/>
      <c r="AE651"/>
      <c r="AF651"/>
      <c r="AG651"/>
      <c r="AH651"/>
      <c r="AI651"/>
      <c r="AJ651"/>
      <c r="AK651"/>
      <c r="AL651"/>
      <c r="AM651"/>
      <c r="AN651"/>
      <c r="AP651"/>
      <c r="AQ651"/>
      <c r="AR651"/>
      <c r="AS651"/>
      <c r="AT651"/>
      <c r="AU651"/>
      <c r="AV651"/>
      <c r="AW651"/>
      <c r="AX651"/>
      <c r="AY651"/>
      <c r="AZ651"/>
      <c r="BA651"/>
      <c r="BB651"/>
      <c r="BC651"/>
      <c r="BD651"/>
      <c r="BE651"/>
      <c r="BF651" s="348"/>
      <c r="BG651"/>
      <c r="BH651"/>
      <c r="BI651"/>
      <c r="BJ651"/>
      <c r="BK651"/>
    </row>
    <row r="652" spans="2:63">
      <c r="B652" s="366"/>
      <c r="BF652" s="348"/>
    </row>
    <row r="653" spans="2:63" ht="13.5">
      <c r="B653" s="366"/>
      <c r="C653" s="354" t="s">
        <v>153</v>
      </c>
      <c r="BF653" s="348"/>
    </row>
    <row r="654" spans="2:63" ht="13.5">
      <c r="B654" s="366"/>
      <c r="C654" s="354" t="s">
        <v>641</v>
      </c>
      <c r="D654" s="354" t="s">
        <v>155</v>
      </c>
      <c r="E654" s="354" t="s">
        <v>157</v>
      </c>
      <c r="F654" s="354" t="s">
        <v>159</v>
      </c>
      <c r="G654" s="354" t="s">
        <v>409</v>
      </c>
      <c r="BF654" s="348"/>
    </row>
    <row r="655" spans="2:63" ht="13.5">
      <c r="B655" s="366"/>
      <c r="C655" s="354">
        <v>0</v>
      </c>
      <c r="D655" s="354"/>
      <c r="E655" s="354"/>
      <c r="F655" s="354"/>
      <c r="G655" s="354"/>
      <c r="BF655" s="348"/>
    </row>
    <row r="656" spans="2:63" ht="13.5" thickBot="1">
      <c r="B656" s="366"/>
      <c r="BF656" s="348"/>
    </row>
    <row r="657" spans="2:59" ht="14" thickBot="1">
      <c r="B657" s="350" t="s">
        <v>879</v>
      </c>
      <c r="C657" s="351" t="s">
        <v>878</v>
      </c>
      <c r="D657" s="351"/>
      <c r="E657" s="351"/>
      <c r="F657" s="351"/>
      <c r="G657" s="351"/>
      <c r="H657" s="351"/>
      <c r="I657" s="351"/>
      <c r="J657" s="351"/>
      <c r="K657" s="351"/>
      <c r="L657" s="351"/>
      <c r="M657" s="351"/>
      <c r="N657" s="351"/>
      <c r="O657" s="351"/>
      <c r="P657" s="351"/>
      <c r="Q657" s="351"/>
      <c r="R657" s="351"/>
      <c r="S657" s="351"/>
      <c r="T657" s="351"/>
      <c r="U657" s="351"/>
      <c r="V657" s="351"/>
      <c r="W657" s="351"/>
      <c r="X657" s="351"/>
      <c r="Y657" s="351"/>
      <c r="Z657" s="351"/>
      <c r="AA657" s="351"/>
      <c r="AB657" s="351"/>
      <c r="AC657" s="351"/>
      <c r="AD657" s="351"/>
      <c r="AE657" s="351"/>
      <c r="AF657" s="351"/>
      <c r="AG657" s="351"/>
      <c r="AH657" s="351"/>
      <c r="AI657" s="351"/>
      <c r="AJ657" s="351"/>
      <c r="AK657" s="351"/>
      <c r="AL657" s="351"/>
      <c r="AM657" s="351"/>
      <c r="AN657" s="351"/>
      <c r="AO657" s="351"/>
      <c r="AP657" s="351"/>
      <c r="AQ657" s="351"/>
      <c r="AR657" s="351"/>
      <c r="AS657" s="351"/>
      <c r="AT657" s="351"/>
      <c r="AU657" s="351"/>
      <c r="AV657" s="351"/>
      <c r="AW657" s="351"/>
      <c r="AX657" s="351"/>
      <c r="AY657" s="351"/>
      <c r="AZ657" s="351"/>
      <c r="BA657" s="351"/>
      <c r="BB657" s="351"/>
      <c r="BC657" s="351"/>
      <c r="BD657" s="351"/>
      <c r="BE657" s="351"/>
      <c r="BF657" s="454"/>
    </row>
    <row r="658" spans="2:59" ht="14" thickBot="1">
      <c r="B658" s="352" t="s">
        <v>986</v>
      </c>
      <c r="C658" s="351" t="s">
        <v>674</v>
      </c>
      <c r="D658" s="351"/>
      <c r="E658" s="351"/>
      <c r="F658" s="351"/>
      <c r="G658" s="351"/>
      <c r="H658" s="351"/>
      <c r="I658" s="351"/>
      <c r="J658" s="351"/>
      <c r="K658" s="351"/>
      <c r="L658" s="351"/>
      <c r="M658" s="351"/>
      <c r="N658" s="351"/>
      <c r="O658" s="351"/>
      <c r="P658" s="351"/>
      <c r="Q658" s="351"/>
      <c r="R658" s="351"/>
      <c r="S658" s="351"/>
      <c r="T658" s="351"/>
      <c r="U658" s="351"/>
      <c r="V658" s="351"/>
      <c r="W658" s="351"/>
      <c r="X658" s="351"/>
      <c r="Y658" s="351"/>
      <c r="Z658" s="351"/>
      <c r="AA658" s="351"/>
      <c r="AB658" s="351"/>
      <c r="AC658" s="351"/>
      <c r="AD658" s="351"/>
      <c r="AE658" s="351"/>
      <c r="AF658" s="351"/>
      <c r="AG658" s="351"/>
      <c r="AH658" s="351"/>
      <c r="AI658" s="351"/>
      <c r="AJ658" s="351"/>
      <c r="AK658" s="351"/>
      <c r="AL658" s="351"/>
      <c r="AM658" s="351"/>
      <c r="AN658" s="351"/>
      <c r="AO658" s="351"/>
      <c r="AP658" s="351"/>
      <c r="AQ658" s="351"/>
      <c r="AR658" s="351"/>
      <c r="AS658" s="351"/>
      <c r="AT658" s="351"/>
      <c r="AU658" s="351"/>
      <c r="AV658" s="351"/>
      <c r="AW658" s="351"/>
      <c r="AX658" s="351"/>
      <c r="AY658" s="351"/>
      <c r="AZ658" s="351"/>
      <c r="BA658" s="351"/>
      <c r="BB658" s="351"/>
      <c r="BC658" s="351"/>
      <c r="BD658" s="351"/>
      <c r="BE658" s="351"/>
      <c r="BF658" s="454"/>
    </row>
    <row r="659" spans="2:59">
      <c r="B659" s="366"/>
      <c r="BF659" s="348"/>
    </row>
    <row r="660" spans="2:59" ht="13.5">
      <c r="B660" s="366"/>
      <c r="C660" s="354" t="s">
        <v>481</v>
      </c>
      <c r="BF660" s="348"/>
    </row>
    <row r="661" spans="2:59" ht="13.5">
      <c r="B661" s="366"/>
      <c r="C661" s="354" t="s">
        <v>874</v>
      </c>
      <c r="BF661" s="348"/>
    </row>
    <row r="662" spans="2:59">
      <c r="B662" s="366"/>
      <c r="BF662" s="348"/>
    </row>
    <row r="663" spans="2:59" s="28" customFormat="1" ht="15">
      <c r="B663" s="129"/>
      <c r="C663" s="393" t="s">
        <v>755</v>
      </c>
      <c r="D663" s="394"/>
      <c r="E663" s="394"/>
      <c r="F663" s="394"/>
      <c r="G663" s="394"/>
      <c r="H663" s="394"/>
      <c r="I663" s="394"/>
      <c r="J663" s="394"/>
      <c r="K663" s="394"/>
      <c r="L663" s="394"/>
      <c r="M663" s="394"/>
      <c r="N663" s="394"/>
      <c r="O663" s="394"/>
      <c r="P663" s="394"/>
      <c r="Q663" s="394"/>
      <c r="R663" s="387"/>
      <c r="S663" s="387"/>
      <c r="T663" s="387"/>
      <c r="U663" s="387"/>
      <c r="V663" s="387"/>
      <c r="W663" s="387"/>
      <c r="X663" s="387"/>
      <c r="Y663" s="387"/>
      <c r="Z663" s="387"/>
      <c r="AA663" s="387"/>
      <c r="AB663" s="387"/>
      <c r="AC663" s="387"/>
      <c r="AD663" s="387"/>
      <c r="AE663" s="387"/>
      <c r="AF663" s="387"/>
      <c r="AG663" s="387"/>
      <c r="AH663" s="387"/>
      <c r="AI663" s="387"/>
      <c r="AJ663" s="387"/>
      <c r="AK663" s="387"/>
      <c r="AL663" s="387"/>
      <c r="AM663" s="387"/>
      <c r="AN663" s="387"/>
      <c r="AP663" s="387"/>
      <c r="AQ663" s="387"/>
      <c r="AR663" s="387"/>
      <c r="AS663" s="387"/>
      <c r="AT663" s="387"/>
      <c r="AU663" s="387"/>
      <c r="AV663" s="387"/>
      <c r="AW663" s="387"/>
      <c r="AX663" s="387"/>
      <c r="AY663" s="387"/>
      <c r="AZ663" s="387"/>
      <c r="BA663" s="387"/>
      <c r="BB663" s="387"/>
      <c r="BC663" s="387"/>
      <c r="BD663" s="387"/>
      <c r="BE663" s="387"/>
      <c r="BF663" s="462"/>
      <c r="BG663"/>
    </row>
    <row r="664" spans="2:59" s="28" customFormat="1" ht="15">
      <c r="B664" s="129"/>
      <c r="C664" s="336"/>
      <c r="D664" s="392"/>
      <c r="E664" s="336" t="s">
        <v>217</v>
      </c>
      <c r="F664" s="336"/>
      <c r="G664" s="392"/>
      <c r="H664" s="392"/>
      <c r="I664" s="392"/>
      <c r="J664" s="392"/>
      <c r="K664" s="392"/>
      <c r="L664" s="392"/>
      <c r="M664" s="392"/>
      <c r="N664" s="392"/>
      <c r="O664" s="392"/>
      <c r="P664" s="392"/>
      <c r="Q664" s="392"/>
      <c r="R664" s="387"/>
      <c r="S664" s="387"/>
      <c r="T664" s="387"/>
      <c r="U664" s="387"/>
      <c r="V664" s="387"/>
      <c r="W664" s="387"/>
      <c r="X664" s="387"/>
      <c r="Y664" s="387"/>
      <c r="Z664" s="387"/>
      <c r="AA664" s="387"/>
      <c r="AB664" s="387"/>
      <c r="AC664" s="387"/>
      <c r="AD664" s="387"/>
      <c r="AE664" s="387"/>
      <c r="AF664" s="387"/>
      <c r="AG664" s="387"/>
      <c r="AH664" s="387"/>
      <c r="AI664" s="387"/>
      <c r="AJ664" s="387"/>
      <c r="AK664" s="387"/>
      <c r="AL664" s="387"/>
      <c r="AM664" s="387"/>
      <c r="AN664" s="387"/>
      <c r="AP664" s="387"/>
      <c r="AQ664" s="387"/>
      <c r="AR664" s="387"/>
      <c r="AS664" s="387"/>
      <c r="AT664" s="387"/>
      <c r="AU664" s="387"/>
      <c r="AV664" s="387"/>
      <c r="AW664" s="387"/>
      <c r="AX664" s="387"/>
      <c r="AY664" s="387"/>
      <c r="AZ664" s="387"/>
      <c r="BA664" s="387"/>
      <c r="BB664" s="387"/>
      <c r="BC664" s="387"/>
      <c r="BD664" s="387"/>
      <c r="BE664" s="387"/>
      <c r="BF664" s="462"/>
      <c r="BG664"/>
    </row>
    <row r="665" spans="2:59" s="28" customFormat="1" ht="15">
      <c r="B665" s="129"/>
      <c r="C665" s="371" t="s">
        <v>756</v>
      </c>
      <c r="D665" s="371" t="s">
        <v>757</v>
      </c>
      <c r="E665" s="415" t="s">
        <v>758</v>
      </c>
      <c r="F665" s="335" t="s">
        <v>759</v>
      </c>
      <c r="G665" s="371" t="s">
        <v>760</v>
      </c>
      <c r="H665" s="341" t="s">
        <v>761</v>
      </c>
      <c r="I665" s="341" t="s">
        <v>762</v>
      </c>
      <c r="J665" s="341" t="s">
        <v>763</v>
      </c>
      <c r="K665" s="341" t="s">
        <v>462</v>
      </c>
      <c r="L665" s="341" t="s">
        <v>463</v>
      </c>
      <c r="M665" s="341" t="s">
        <v>464</v>
      </c>
      <c r="N665" s="341" t="s">
        <v>465</v>
      </c>
      <c r="O665" s="341" t="s">
        <v>146</v>
      </c>
      <c r="P665" s="341" t="s">
        <v>148</v>
      </c>
      <c r="Q665" s="341" t="s">
        <v>466</v>
      </c>
      <c r="R665" s="387"/>
      <c r="S665" s="387"/>
      <c r="T665" s="387"/>
      <c r="U665" s="387"/>
      <c r="V665" s="387"/>
      <c r="W665" s="387"/>
      <c r="X665" s="387"/>
      <c r="Y665" s="387"/>
      <c r="Z665" s="387"/>
      <c r="AA665" s="387"/>
      <c r="AB665" s="387"/>
      <c r="AC665" s="387"/>
      <c r="AD665" s="387"/>
      <c r="AE665" s="387"/>
      <c r="AF665" s="387"/>
      <c r="AG665" s="387"/>
      <c r="AH665" s="387"/>
      <c r="AI665" s="387"/>
      <c r="AJ665" s="387"/>
      <c r="AK665" s="387"/>
      <c r="AL665" s="387"/>
      <c r="AM665" s="387"/>
      <c r="AN665" s="387"/>
      <c r="AP665" s="387"/>
      <c r="AQ665" s="387"/>
      <c r="AR665" s="387"/>
      <c r="AS665" s="387"/>
      <c r="AT665" s="387"/>
      <c r="AU665" s="387"/>
      <c r="AV665" s="387"/>
      <c r="AW665" s="387"/>
      <c r="AX665" s="387"/>
      <c r="AY665" s="387"/>
      <c r="AZ665" s="387"/>
      <c r="BA665" s="387"/>
      <c r="BB665" s="387"/>
      <c r="BC665" s="387"/>
      <c r="BD665" s="387"/>
      <c r="BE665" s="387"/>
      <c r="BF665" s="462"/>
      <c r="BG665"/>
    </row>
    <row r="666" spans="2:59" s="28" customFormat="1" ht="15">
      <c r="B666" s="129"/>
      <c r="C666" s="405" t="s">
        <v>764</v>
      </c>
      <c r="D666" s="405" t="s">
        <v>765</v>
      </c>
      <c r="E666" s="416" t="s">
        <v>766</v>
      </c>
      <c r="F666" s="335" t="s">
        <v>767</v>
      </c>
      <c r="G666" s="405" t="s">
        <v>768</v>
      </c>
      <c r="H666" s="335" t="s">
        <v>769</v>
      </c>
      <c r="I666" s="335" t="s">
        <v>770</v>
      </c>
      <c r="J666" s="335" t="s">
        <v>771</v>
      </c>
      <c r="K666" s="335" t="s">
        <v>445</v>
      </c>
      <c r="L666" s="335" t="s">
        <v>446</v>
      </c>
      <c r="M666" s="335" t="s">
        <v>447</v>
      </c>
      <c r="N666" s="335" t="s">
        <v>448</v>
      </c>
      <c r="O666" s="335" t="s">
        <v>449</v>
      </c>
      <c r="P666" s="335" t="s">
        <v>450</v>
      </c>
      <c r="Q666" s="335" t="s">
        <v>451</v>
      </c>
      <c r="R666" s="387"/>
      <c r="S666" s="387"/>
      <c r="T666" s="387"/>
      <c r="U666" s="387"/>
      <c r="V666" s="387"/>
      <c r="W666" s="387"/>
      <c r="X666" s="387"/>
      <c r="Y666" s="387"/>
      <c r="Z666" s="387"/>
      <c r="AA666" s="387"/>
      <c r="AB666" s="387"/>
      <c r="AC666" s="387"/>
      <c r="AD666" s="387"/>
      <c r="AE666" s="387"/>
      <c r="AF666" s="387"/>
      <c r="AG666" s="387"/>
      <c r="AH666" s="387"/>
      <c r="AI666" s="387"/>
      <c r="AJ666" s="387"/>
      <c r="AK666" s="387"/>
      <c r="AL666" s="387"/>
      <c r="AM666" s="387"/>
      <c r="AN666" s="387"/>
      <c r="AP666" s="387"/>
      <c r="AQ666" s="387"/>
      <c r="AR666" s="387"/>
      <c r="AS666" s="387"/>
      <c r="AT666" s="387"/>
      <c r="AU666" s="387"/>
      <c r="AV666" s="387"/>
      <c r="AW666" s="387"/>
      <c r="AX666" s="387"/>
      <c r="AY666" s="387"/>
      <c r="AZ666" s="387"/>
      <c r="BA666" s="387"/>
      <c r="BB666" s="387"/>
      <c r="BC666" s="387"/>
      <c r="BD666" s="387"/>
      <c r="BE666" s="387"/>
      <c r="BF666" s="462"/>
      <c r="BG666"/>
    </row>
    <row r="667" spans="2:59" s="28" customFormat="1" ht="15">
      <c r="B667" s="129"/>
      <c r="C667" s="405" t="s">
        <v>691</v>
      </c>
      <c r="D667" s="405" t="s">
        <v>527</v>
      </c>
      <c r="E667" s="335" t="s">
        <v>772</v>
      </c>
      <c r="F667" s="335" t="s">
        <v>773</v>
      </c>
      <c r="G667" s="405" t="s">
        <v>774</v>
      </c>
      <c r="H667" s="335" t="s">
        <v>775</v>
      </c>
      <c r="I667" s="335" t="s">
        <v>775</v>
      </c>
      <c r="J667" s="335" t="s">
        <v>775</v>
      </c>
      <c r="K667" s="335" t="s">
        <v>684</v>
      </c>
      <c r="L667" s="335" t="s">
        <v>474</v>
      </c>
      <c r="M667" s="335" t="s">
        <v>475</v>
      </c>
      <c r="N667" s="335" t="s">
        <v>475</v>
      </c>
      <c r="O667" s="335" t="s">
        <v>223</v>
      </c>
      <c r="P667" s="335" t="s">
        <v>475</v>
      </c>
      <c r="Q667" s="335" t="s">
        <v>475</v>
      </c>
      <c r="R667" s="387"/>
      <c r="S667" s="387"/>
      <c r="T667" s="387"/>
      <c r="U667" s="387"/>
      <c r="V667" s="387"/>
      <c r="W667" s="387"/>
      <c r="X667" s="387"/>
      <c r="Y667" s="387"/>
      <c r="Z667" s="387"/>
      <c r="AA667" s="387"/>
      <c r="AB667" s="387"/>
      <c r="AC667" s="387"/>
      <c r="AD667" s="387"/>
      <c r="AE667" s="387"/>
      <c r="AF667" s="387"/>
      <c r="AG667" s="387"/>
      <c r="AH667" s="387"/>
      <c r="AI667" s="387"/>
      <c r="AJ667" s="387"/>
      <c r="AK667" s="387"/>
      <c r="AL667" s="387"/>
      <c r="AM667" s="387"/>
      <c r="AN667" s="387"/>
      <c r="AP667" s="387"/>
      <c r="AQ667" s="387"/>
      <c r="AR667" s="387"/>
      <c r="AS667" s="387"/>
      <c r="AT667" s="387"/>
      <c r="AU667" s="387"/>
      <c r="AV667" s="387"/>
      <c r="AW667" s="387"/>
      <c r="AX667" s="387"/>
      <c r="AY667" s="387"/>
      <c r="AZ667" s="387"/>
      <c r="BA667" s="387"/>
      <c r="BB667" s="387"/>
      <c r="BC667" s="387"/>
      <c r="BD667" s="387"/>
      <c r="BE667" s="387"/>
      <c r="BF667" s="462"/>
      <c r="BG667"/>
    </row>
    <row r="668" spans="2:59" s="28" customFormat="1" ht="15">
      <c r="B668" s="362" t="s">
        <v>537</v>
      </c>
      <c r="C668" s="407" t="s">
        <v>786</v>
      </c>
      <c r="D668" s="388" t="s">
        <v>790</v>
      </c>
      <c r="E668" s="407" t="s">
        <v>778</v>
      </c>
      <c r="F668" s="407" t="s">
        <v>778</v>
      </c>
      <c r="G668" s="407" t="s">
        <v>779</v>
      </c>
      <c r="H668" s="407" t="s">
        <v>232</v>
      </c>
      <c r="I668" s="407" t="s">
        <v>533</v>
      </c>
      <c r="J668" s="407" t="s">
        <v>636</v>
      </c>
      <c r="K668" s="407" t="s">
        <v>534</v>
      </c>
      <c r="L668" s="407"/>
      <c r="M668" s="407"/>
      <c r="N668" s="407"/>
      <c r="O668" s="407"/>
      <c r="P668" s="407"/>
      <c r="Q668" s="407"/>
      <c r="R668" s="387"/>
      <c r="S668" s="387"/>
      <c r="T668" s="387"/>
      <c r="U668" s="387"/>
      <c r="V668" s="387"/>
      <c r="W668" s="387"/>
      <c r="X668" s="387"/>
      <c r="Y668" s="387"/>
      <c r="Z668" s="387"/>
      <c r="AA668" s="387"/>
      <c r="AB668" s="387"/>
      <c r="AC668" s="387"/>
      <c r="AD668" s="387"/>
      <c r="AE668" s="387"/>
      <c r="AF668" s="387"/>
      <c r="AG668" s="387"/>
      <c r="AH668" s="387"/>
      <c r="AI668" s="387"/>
      <c r="AJ668" s="387"/>
      <c r="AK668" s="387"/>
      <c r="AL668" s="387"/>
      <c r="AM668" s="387"/>
      <c r="AN668" s="387"/>
      <c r="AP668" s="387"/>
      <c r="AQ668" s="387"/>
      <c r="AR668" s="387"/>
      <c r="AS668" s="387"/>
      <c r="AT668" s="387"/>
      <c r="AU668" s="387"/>
      <c r="AV668" s="387"/>
      <c r="AW668" s="387"/>
      <c r="AX668" s="387"/>
      <c r="AY668" s="387"/>
      <c r="AZ668" s="387"/>
      <c r="BA668" s="387"/>
      <c r="BB668" s="387"/>
      <c r="BC668" s="387"/>
      <c r="BD668" s="387"/>
      <c r="BE668" s="387"/>
      <c r="BF668" s="462"/>
      <c r="BG668"/>
    </row>
    <row r="669" spans="2:59" s="28" customFormat="1" ht="15">
      <c r="B669" s="362" t="s">
        <v>537</v>
      </c>
      <c r="C669" s="407" t="s">
        <v>786</v>
      </c>
      <c r="D669" s="388" t="s">
        <v>791</v>
      </c>
      <c r="E669" s="407" t="s">
        <v>778</v>
      </c>
      <c r="F669" s="407" t="s">
        <v>778</v>
      </c>
      <c r="G669" s="407" t="s">
        <v>779</v>
      </c>
      <c r="H669" s="407" t="s">
        <v>232</v>
      </c>
      <c r="I669" s="407" t="s">
        <v>533</v>
      </c>
      <c r="J669" s="407" t="s">
        <v>636</v>
      </c>
      <c r="K669" s="407" t="s">
        <v>534</v>
      </c>
      <c r="L669" s="407"/>
      <c r="M669" s="407"/>
      <c r="N669" s="407"/>
      <c r="O669" s="407"/>
      <c r="P669" s="407"/>
      <c r="Q669" s="407"/>
      <c r="R669" s="387"/>
      <c r="S669" s="387"/>
      <c r="T669" s="387"/>
      <c r="U669" s="387"/>
      <c r="V669" s="387"/>
      <c r="W669" s="387"/>
      <c r="X669" s="387"/>
      <c r="Y669" s="387"/>
      <c r="Z669" s="387"/>
      <c r="AA669" s="387"/>
      <c r="AB669" s="387"/>
      <c r="AC669" s="387"/>
      <c r="AD669" s="387"/>
      <c r="AE669" s="387"/>
      <c r="AF669" s="387"/>
      <c r="AG669" s="387"/>
      <c r="AH669" s="387"/>
      <c r="AI669" s="387"/>
      <c r="AJ669" s="387"/>
      <c r="AK669" s="387"/>
      <c r="AL669" s="387"/>
      <c r="AM669" s="387"/>
      <c r="AN669" s="387"/>
      <c r="AP669" s="387"/>
      <c r="AQ669" s="387"/>
      <c r="AR669" s="387"/>
      <c r="AS669" s="387"/>
      <c r="AT669" s="387"/>
      <c r="AU669" s="387"/>
      <c r="AV669" s="387"/>
      <c r="AW669" s="387"/>
      <c r="AX669" s="387"/>
      <c r="AY669" s="387"/>
      <c r="AZ669" s="387"/>
      <c r="BA669" s="387"/>
      <c r="BB669" s="387"/>
      <c r="BC669" s="387"/>
      <c r="BD669" s="387"/>
      <c r="BE669" s="387"/>
      <c r="BF669" s="462"/>
      <c r="BG669"/>
    </row>
    <row r="670" spans="2:59" s="28" customFormat="1" ht="15">
      <c r="B670" s="362" t="s">
        <v>537</v>
      </c>
      <c r="C670" s="407" t="s">
        <v>786</v>
      </c>
      <c r="D670" s="388" t="s">
        <v>787</v>
      </c>
      <c r="E670" s="407" t="s">
        <v>778</v>
      </c>
      <c r="F670" s="407" t="s">
        <v>778</v>
      </c>
      <c r="G670" s="388" t="s">
        <v>782</v>
      </c>
      <c r="H670" s="407" t="s">
        <v>232</v>
      </c>
      <c r="I670" s="407" t="s">
        <v>533</v>
      </c>
      <c r="J670" s="407" t="s">
        <v>636</v>
      </c>
      <c r="K670" s="407" t="s">
        <v>534</v>
      </c>
      <c r="L670" s="407"/>
      <c r="M670" s="407"/>
      <c r="N670" s="407"/>
      <c r="O670" s="407"/>
      <c r="P670" s="407"/>
      <c r="Q670" s="407"/>
      <c r="R670" s="387"/>
      <c r="S670" s="387"/>
      <c r="T670" s="387"/>
      <c r="U670" s="387"/>
      <c r="V670" s="387"/>
      <c r="W670" s="387"/>
      <c r="X670" s="387"/>
      <c r="Y670" s="387"/>
      <c r="Z670" s="387"/>
      <c r="AA670" s="387"/>
      <c r="AB670" s="387"/>
      <c r="AC670" s="387"/>
      <c r="AD670" s="387"/>
      <c r="AE670" s="387"/>
      <c r="AF670" s="387"/>
      <c r="AG670" s="387"/>
      <c r="AH670" s="387"/>
      <c r="AI670" s="387"/>
      <c r="AJ670" s="387"/>
      <c r="AK670" s="387"/>
      <c r="AL670" s="387"/>
      <c r="AM670" s="387"/>
      <c r="AN670" s="387"/>
      <c r="AP670" s="387"/>
      <c r="AQ670" s="387"/>
      <c r="AR670" s="387"/>
      <c r="AS670" s="387"/>
      <c r="AT670" s="387"/>
      <c r="AU670" s="387"/>
      <c r="AV670" s="387"/>
      <c r="AW670" s="387"/>
      <c r="AX670" s="387"/>
      <c r="AY670" s="387"/>
      <c r="AZ670" s="387"/>
      <c r="BA670" s="387"/>
      <c r="BB670" s="387"/>
      <c r="BC670" s="387"/>
      <c r="BD670" s="387"/>
      <c r="BE670" s="387"/>
      <c r="BF670" s="462"/>
      <c r="BG670"/>
    </row>
    <row r="671" spans="2:59" s="28" customFormat="1" ht="15">
      <c r="B671" s="360" t="s">
        <v>532</v>
      </c>
      <c r="C671" s="407" t="s">
        <v>926</v>
      </c>
      <c r="D671" s="411" t="s">
        <v>927</v>
      </c>
      <c r="E671" s="407" t="s">
        <v>778</v>
      </c>
      <c r="F671" s="407" t="s">
        <v>778</v>
      </c>
      <c r="G671" s="411" t="s">
        <v>779</v>
      </c>
      <c r="H671" s="407" t="s">
        <v>232</v>
      </c>
      <c r="I671" s="407" t="s">
        <v>533</v>
      </c>
      <c r="J671" s="407" t="s">
        <v>636</v>
      </c>
      <c r="K671" s="407" t="s">
        <v>534</v>
      </c>
      <c r="L671" s="407"/>
      <c r="M671" s="407"/>
      <c r="N671" s="407"/>
      <c r="O671" s="407"/>
      <c r="P671" s="407"/>
      <c r="Q671" s="407"/>
      <c r="R671" s="387"/>
      <c r="S671" s="387"/>
      <c r="T671" s="387"/>
      <c r="U671" s="387"/>
      <c r="V671" s="387"/>
      <c r="W671" s="387"/>
      <c r="X671" s="387"/>
      <c r="Y671" s="387"/>
      <c r="Z671" s="387"/>
      <c r="AA671" s="387"/>
      <c r="AB671" s="387"/>
      <c r="AC671" s="387"/>
      <c r="AD671" s="387"/>
      <c r="AE671" s="387"/>
      <c r="AF671" s="387"/>
      <c r="AG671" s="387"/>
      <c r="AH671" s="387"/>
      <c r="AI671" s="387"/>
      <c r="AJ671" s="387"/>
      <c r="AK671" s="387"/>
      <c r="AL671" s="387"/>
      <c r="AM671" s="387"/>
      <c r="AN671" s="387"/>
      <c r="AP671" s="387"/>
      <c r="AQ671" s="387"/>
      <c r="AR671" s="387"/>
      <c r="AS671" s="387"/>
      <c r="AT671" s="387"/>
      <c r="AU671" s="387"/>
      <c r="AV671" s="387"/>
      <c r="AW671" s="387"/>
      <c r="AX671" s="387"/>
      <c r="AY671" s="387"/>
      <c r="AZ671" s="387"/>
      <c r="BA671" s="387"/>
      <c r="BB671" s="387"/>
      <c r="BC671" s="387"/>
      <c r="BD671" s="387"/>
      <c r="BE671" s="387"/>
      <c r="BF671" s="462"/>
      <c r="BG671"/>
    </row>
    <row r="672" spans="2:59">
      <c r="B672" s="366"/>
      <c r="BF672" s="348"/>
    </row>
    <row r="673" spans="2:63" s="28" customFormat="1" ht="15">
      <c r="B673" s="444"/>
      <c r="C673" s="393" t="s">
        <v>723</v>
      </c>
      <c r="D673" s="394"/>
      <c r="E673" s="394"/>
      <c r="F673" s="394"/>
      <c r="G673" s="394"/>
      <c r="H673" s="394"/>
      <c r="I673" s="394"/>
      <c r="J673" s="394"/>
      <c r="K673" s="394"/>
      <c r="L673" s="394"/>
      <c r="M673"/>
      <c r="N673"/>
      <c r="O673"/>
      <c r="P673"/>
      <c r="Q673"/>
      <c r="R673"/>
      <c r="S673"/>
      <c r="T673"/>
      <c r="U673"/>
      <c r="V673"/>
      <c r="W673"/>
      <c r="X673"/>
      <c r="Y673"/>
      <c r="Z673"/>
      <c r="AA673"/>
      <c r="AB673"/>
      <c r="AC673"/>
      <c r="AD673"/>
      <c r="AE673"/>
      <c r="AF673"/>
      <c r="AG673"/>
      <c r="AH673"/>
      <c r="AI673"/>
      <c r="AJ673"/>
      <c r="AK673"/>
      <c r="AL673"/>
      <c r="AM673"/>
      <c r="AN673"/>
      <c r="AP673"/>
      <c r="AQ673"/>
      <c r="AR673"/>
      <c r="AS673"/>
      <c r="AT673"/>
      <c r="AU673"/>
      <c r="AV673"/>
      <c r="AW673"/>
      <c r="AX673"/>
      <c r="AY673"/>
      <c r="AZ673"/>
      <c r="BA673"/>
      <c r="BB673"/>
      <c r="BC673"/>
      <c r="BD673"/>
      <c r="BE673"/>
      <c r="BF673" s="348"/>
      <c r="BG673"/>
      <c r="BH673"/>
      <c r="BI673"/>
      <c r="BJ673"/>
    </row>
    <row r="674" spans="2:63" s="28" customFormat="1" ht="15">
      <c r="B674" s="444"/>
      <c r="C674" s="336"/>
      <c r="D674" s="336" t="s">
        <v>217</v>
      </c>
      <c r="E674" s="336"/>
      <c r="F674" s="336"/>
      <c r="G674" s="392"/>
      <c r="H674" s="392"/>
      <c r="I674" s="392"/>
      <c r="J674" s="392"/>
      <c r="K674" s="392"/>
      <c r="L674" s="392"/>
      <c r="M674"/>
      <c r="N674"/>
      <c r="O674"/>
      <c r="P674"/>
      <c r="Q674"/>
      <c r="R674"/>
      <c r="S674"/>
      <c r="T674"/>
      <c r="U674"/>
      <c r="V674"/>
      <c r="W674"/>
      <c r="X674"/>
      <c r="Y674"/>
      <c r="Z674"/>
      <c r="AA674"/>
      <c r="AB674"/>
      <c r="AC674"/>
      <c r="AD674"/>
      <c r="AE674"/>
      <c r="AF674"/>
      <c r="AG674"/>
      <c r="AH674"/>
      <c r="AI674"/>
      <c r="AJ674"/>
      <c r="AK674"/>
      <c r="AL674"/>
      <c r="AM674"/>
      <c r="AN674"/>
      <c r="AP674"/>
      <c r="AQ674"/>
      <c r="AR674"/>
      <c r="AS674"/>
      <c r="AT674"/>
      <c r="AU674"/>
      <c r="AV674"/>
      <c r="AW674"/>
      <c r="AX674"/>
      <c r="AY674"/>
      <c r="AZ674"/>
      <c r="BA674"/>
      <c r="BB674"/>
      <c r="BC674"/>
      <c r="BD674"/>
      <c r="BE674"/>
      <c r="BF674" s="348"/>
      <c r="BG674"/>
      <c r="BH674"/>
      <c r="BI674"/>
      <c r="BJ674"/>
    </row>
    <row r="675" spans="2:63" s="28" customFormat="1" ht="15">
      <c r="B675" s="444"/>
      <c r="C675" s="371" t="s">
        <v>727</v>
      </c>
      <c r="D675" s="335" t="s">
        <v>86</v>
      </c>
      <c r="E675" s="335" t="s">
        <v>728</v>
      </c>
      <c r="F675" s="341" t="s">
        <v>462</v>
      </c>
      <c r="G675" s="341" t="s">
        <v>463</v>
      </c>
      <c r="H675" s="341" t="s">
        <v>464</v>
      </c>
      <c r="I675" s="341" t="s">
        <v>465</v>
      </c>
      <c r="J675" s="341" t="s">
        <v>146</v>
      </c>
      <c r="K675" s="341" t="s">
        <v>148</v>
      </c>
      <c r="L675" s="341" t="s">
        <v>466</v>
      </c>
      <c r="M675"/>
      <c r="N675"/>
      <c r="O675"/>
      <c r="P675"/>
      <c r="Q675"/>
      <c r="R675"/>
      <c r="S675"/>
      <c r="T675"/>
      <c r="U675"/>
      <c r="V675"/>
      <c r="W675"/>
      <c r="X675"/>
      <c r="Y675"/>
      <c r="Z675"/>
      <c r="AA675"/>
      <c r="AB675"/>
      <c r="AC675"/>
      <c r="AD675"/>
      <c r="AE675"/>
      <c r="AF675"/>
      <c r="AG675"/>
      <c r="AH675"/>
      <c r="AI675"/>
      <c r="AJ675"/>
      <c r="AK675"/>
      <c r="AL675"/>
      <c r="AM675"/>
      <c r="AN675"/>
      <c r="AP675"/>
      <c r="AQ675"/>
      <c r="AR675"/>
      <c r="AS675"/>
      <c r="AT675"/>
      <c r="AU675"/>
      <c r="AV675"/>
      <c r="AW675"/>
      <c r="AX675"/>
      <c r="AY675"/>
      <c r="AZ675"/>
      <c r="BA675"/>
      <c r="BB675"/>
      <c r="BC675"/>
      <c r="BD675"/>
      <c r="BE675"/>
      <c r="BF675" s="348"/>
      <c r="BG675"/>
      <c r="BH675"/>
      <c r="BI675"/>
      <c r="BJ675"/>
    </row>
    <row r="676" spans="2:63" s="28" customFormat="1" ht="15">
      <c r="B676" s="444"/>
      <c r="C676" s="405" t="s">
        <v>724</v>
      </c>
      <c r="D676" s="335" t="s">
        <v>725</v>
      </c>
      <c r="E676" s="335" t="s">
        <v>726</v>
      </c>
      <c r="F676" s="335" t="s">
        <v>445</v>
      </c>
      <c r="G676" s="335" t="s">
        <v>446</v>
      </c>
      <c r="H676" s="335" t="s">
        <v>447</v>
      </c>
      <c r="I676" s="335" t="s">
        <v>448</v>
      </c>
      <c r="J676" s="335" t="s">
        <v>449</v>
      </c>
      <c r="K676" s="335" t="s">
        <v>450</v>
      </c>
      <c r="L676" s="335" t="s">
        <v>451</v>
      </c>
      <c r="M676"/>
      <c r="N676"/>
      <c r="O676"/>
      <c r="P676"/>
      <c r="Q676"/>
      <c r="R676"/>
      <c r="S676"/>
      <c r="T676"/>
      <c r="U676"/>
      <c r="V676"/>
      <c r="W676"/>
      <c r="X676"/>
      <c r="Y676"/>
      <c r="Z676"/>
      <c r="AA676"/>
      <c r="AB676"/>
      <c r="AC676"/>
      <c r="AD676"/>
      <c r="AE676"/>
      <c r="AF676"/>
      <c r="AG676"/>
      <c r="AH676"/>
      <c r="AI676"/>
      <c r="AJ676"/>
      <c r="AK676"/>
      <c r="AL676"/>
      <c r="AM676"/>
      <c r="AN676"/>
      <c r="AP676"/>
      <c r="AQ676"/>
      <c r="AR676"/>
      <c r="AS676"/>
      <c r="AT676"/>
      <c r="AU676"/>
      <c r="AV676"/>
      <c r="AW676"/>
      <c r="AX676"/>
      <c r="AY676"/>
      <c r="AZ676"/>
      <c r="BA676"/>
      <c r="BB676"/>
      <c r="BC676"/>
      <c r="BD676"/>
      <c r="BE676"/>
      <c r="BF676" s="348"/>
      <c r="BG676"/>
      <c r="BH676"/>
      <c r="BI676"/>
      <c r="BJ676"/>
    </row>
    <row r="677" spans="2:63" s="28" customFormat="1" ht="15">
      <c r="B677" s="444"/>
      <c r="C677" s="405" t="s">
        <v>472</v>
      </c>
      <c r="D677" s="335" t="s">
        <v>527</v>
      </c>
      <c r="E677" s="335" t="s">
        <v>474</v>
      </c>
      <c r="F677" s="335" t="s">
        <v>684</v>
      </c>
      <c r="G677" s="335" t="s">
        <v>474</v>
      </c>
      <c r="H677" s="335" t="s">
        <v>475</v>
      </c>
      <c r="I677" s="335" t="s">
        <v>475</v>
      </c>
      <c r="J677" s="335" t="s">
        <v>223</v>
      </c>
      <c r="K677" s="335" t="s">
        <v>475</v>
      </c>
      <c r="L677" s="335" t="s">
        <v>475</v>
      </c>
      <c r="M677"/>
      <c r="N677"/>
      <c r="O677"/>
      <c r="P677"/>
      <c r="Q677"/>
      <c r="R677"/>
      <c r="S677"/>
      <c r="T677"/>
      <c r="U677"/>
      <c r="V677"/>
      <c r="W677"/>
      <c r="X677"/>
      <c r="Y677"/>
      <c r="Z677"/>
      <c r="AA677"/>
      <c r="AB677"/>
      <c r="AC677"/>
      <c r="AD677"/>
      <c r="AE677"/>
      <c r="AF677"/>
      <c r="AG677"/>
      <c r="AH677"/>
      <c r="AI677"/>
      <c r="AJ677"/>
      <c r="AK677"/>
      <c r="AL677"/>
      <c r="AM677"/>
      <c r="AN677"/>
      <c r="AP677"/>
      <c r="AQ677"/>
      <c r="AR677"/>
      <c r="AS677"/>
      <c r="AT677"/>
      <c r="AU677"/>
      <c r="AV677"/>
      <c r="AW677"/>
      <c r="AX677"/>
      <c r="AY677"/>
      <c r="AZ677"/>
      <c r="BA677"/>
      <c r="BB677"/>
      <c r="BC677"/>
      <c r="BD677"/>
      <c r="BE677"/>
      <c r="BF677" s="348"/>
      <c r="BG677"/>
      <c r="BH677"/>
      <c r="BI677"/>
      <c r="BJ677"/>
    </row>
    <row r="678" spans="2:63" s="28" customFormat="1" ht="15">
      <c r="B678" s="362" t="s">
        <v>537</v>
      </c>
      <c r="C678" s="388" t="s">
        <v>734</v>
      </c>
      <c r="D678" s="407" t="s">
        <v>735</v>
      </c>
      <c r="E678" s="407" t="s">
        <v>736</v>
      </c>
      <c r="F678" s="407" t="s">
        <v>737</v>
      </c>
      <c r="G678" s="407" t="s">
        <v>738</v>
      </c>
      <c r="H678" s="407" t="s">
        <v>739</v>
      </c>
      <c r="I678" s="407" t="s">
        <v>740</v>
      </c>
      <c r="J678" s="407" t="s">
        <v>741</v>
      </c>
      <c r="K678" s="407" t="s">
        <v>742</v>
      </c>
      <c r="L678" s="407" t="s">
        <v>742</v>
      </c>
      <c r="M678"/>
      <c r="N678"/>
      <c r="O678"/>
      <c r="P678"/>
      <c r="Q678"/>
      <c r="R678"/>
      <c r="S678"/>
      <c r="T678"/>
      <c r="U678"/>
      <c r="V678"/>
      <c r="W678"/>
      <c r="X678"/>
      <c r="Y678"/>
      <c r="Z678"/>
      <c r="AA678"/>
      <c r="AB678"/>
      <c r="AC678"/>
      <c r="AD678"/>
      <c r="AE678"/>
      <c r="AF678"/>
      <c r="AG678"/>
      <c r="AH678"/>
      <c r="AI678"/>
      <c r="AJ678"/>
      <c r="AK678"/>
      <c r="AL678"/>
      <c r="AM678"/>
      <c r="AN678"/>
      <c r="AP678"/>
      <c r="AQ678"/>
      <c r="AR678"/>
      <c r="AS678"/>
      <c r="AT678"/>
      <c r="AU678"/>
      <c r="AV678"/>
      <c r="AW678"/>
      <c r="AX678"/>
      <c r="AY678"/>
      <c r="AZ678"/>
      <c r="BA678"/>
      <c r="BB678"/>
      <c r="BC678"/>
      <c r="BD678"/>
      <c r="BE678"/>
      <c r="BF678" s="348"/>
      <c r="BG678"/>
      <c r="BH678"/>
      <c r="BI678"/>
      <c r="BJ678"/>
    </row>
    <row r="679" spans="2:63" s="28" customFormat="1" ht="15">
      <c r="B679" s="360" t="s">
        <v>532</v>
      </c>
      <c r="C679" s="387" t="s">
        <v>868</v>
      </c>
      <c r="D679" s="407" t="s">
        <v>869</v>
      </c>
      <c r="E679" s="407" t="s">
        <v>731</v>
      </c>
      <c r="F679" s="407" t="s">
        <v>534</v>
      </c>
      <c r="G679" s="407" t="s">
        <v>731</v>
      </c>
      <c r="H679" s="407" t="s">
        <v>732</v>
      </c>
      <c r="I679" s="407" t="s">
        <v>733</v>
      </c>
      <c r="J679" s="407" t="s">
        <v>731</v>
      </c>
      <c r="K679" s="407" t="s">
        <v>732</v>
      </c>
      <c r="L679" s="407" t="s">
        <v>733</v>
      </c>
      <c r="M679"/>
      <c r="N679"/>
      <c r="O679"/>
      <c r="P679"/>
      <c r="Q679"/>
      <c r="R679"/>
      <c r="S679"/>
      <c r="T679"/>
      <c r="U679"/>
      <c r="V679"/>
      <c r="W679"/>
      <c r="X679"/>
      <c r="Y679"/>
      <c r="Z679"/>
      <c r="AA679"/>
      <c r="AB679"/>
      <c r="AC679"/>
      <c r="AD679"/>
      <c r="AE679"/>
      <c r="AF679"/>
      <c r="AG679"/>
      <c r="AH679"/>
      <c r="AI679"/>
      <c r="AJ679"/>
      <c r="AK679"/>
      <c r="AL679"/>
      <c r="AM679"/>
      <c r="AN679"/>
      <c r="AP679"/>
      <c r="AQ679"/>
      <c r="AR679"/>
      <c r="AS679"/>
      <c r="AT679"/>
      <c r="AU679"/>
      <c r="AV679"/>
      <c r="AW679"/>
      <c r="AX679"/>
      <c r="AY679"/>
      <c r="AZ679"/>
      <c r="BA679"/>
      <c r="BB679"/>
      <c r="BC679"/>
      <c r="BD679"/>
      <c r="BE679"/>
      <c r="BF679" s="348"/>
      <c r="BG679"/>
      <c r="BH679"/>
      <c r="BI679"/>
      <c r="BJ679"/>
    </row>
    <row r="680" spans="2:63" s="28" customFormat="1" ht="15">
      <c r="B680" s="362" t="s">
        <v>537</v>
      </c>
      <c r="C680" s="388" t="s">
        <v>743</v>
      </c>
      <c r="D680" s="407" t="s">
        <v>744</v>
      </c>
      <c r="E680" s="407" t="s">
        <v>745</v>
      </c>
      <c r="F680" s="407" t="s">
        <v>536</v>
      </c>
      <c r="G680" s="407" t="s">
        <v>745</v>
      </c>
      <c r="H680" s="407" t="s">
        <v>746</v>
      </c>
      <c r="I680" s="407" t="s">
        <v>747</v>
      </c>
      <c r="J680" s="407" t="s">
        <v>745</v>
      </c>
      <c r="K680" s="407" t="s">
        <v>748</v>
      </c>
      <c r="L680" s="407" t="s">
        <v>750</v>
      </c>
      <c r="M680"/>
      <c r="N680"/>
      <c r="O680"/>
      <c r="P680"/>
      <c r="Q680"/>
      <c r="R680"/>
      <c r="S680"/>
      <c r="T680"/>
      <c r="U680"/>
      <c r="V680"/>
      <c r="W680"/>
      <c r="X680"/>
      <c r="Y680"/>
      <c r="Z680"/>
      <c r="AA680"/>
      <c r="AB680"/>
      <c r="AC680"/>
      <c r="AD680"/>
      <c r="AE680"/>
      <c r="AF680"/>
      <c r="AG680"/>
      <c r="AH680"/>
      <c r="AI680"/>
      <c r="AJ680"/>
      <c r="AK680"/>
      <c r="AL680"/>
      <c r="AM680"/>
      <c r="AN680"/>
      <c r="AP680"/>
      <c r="AQ680"/>
      <c r="AR680"/>
      <c r="AS680"/>
      <c r="AT680"/>
      <c r="AU680"/>
      <c r="AV680"/>
      <c r="AW680"/>
      <c r="AX680"/>
      <c r="AY680"/>
      <c r="AZ680"/>
      <c r="BA680"/>
      <c r="BB680"/>
      <c r="BC680"/>
      <c r="BD680"/>
      <c r="BE680"/>
      <c r="BF680" s="348"/>
      <c r="BG680"/>
      <c r="BH680"/>
      <c r="BI680"/>
      <c r="BJ680"/>
      <c r="BK680"/>
    </row>
    <row r="681" spans="2:63" s="28" customFormat="1" ht="15">
      <c r="B681" s="362" t="s">
        <v>537</v>
      </c>
      <c r="C681" s="388" t="s">
        <v>749</v>
      </c>
      <c r="D681" s="407" t="s">
        <v>744</v>
      </c>
      <c r="E681" s="407" t="s">
        <v>745</v>
      </c>
      <c r="F681" s="407" t="s">
        <v>536</v>
      </c>
      <c r="G681" s="407" t="s">
        <v>745</v>
      </c>
      <c r="H681" s="407" t="s">
        <v>746</v>
      </c>
      <c r="I681" s="407" t="s">
        <v>747</v>
      </c>
      <c r="J681" s="407" t="s">
        <v>745</v>
      </c>
      <c r="K681" s="407" t="s">
        <v>748</v>
      </c>
      <c r="L681" s="407" t="s">
        <v>750</v>
      </c>
      <c r="M681"/>
      <c r="N681"/>
      <c r="O681"/>
      <c r="P681"/>
      <c r="Q681"/>
      <c r="R681"/>
      <c r="S681"/>
      <c r="T681"/>
      <c r="U681"/>
      <c r="V681"/>
      <c r="W681"/>
      <c r="X681"/>
      <c r="Y681"/>
      <c r="Z681"/>
      <c r="AA681"/>
      <c r="AB681"/>
      <c r="AC681"/>
      <c r="AD681"/>
      <c r="AE681"/>
      <c r="AF681"/>
      <c r="AG681"/>
      <c r="AH681"/>
      <c r="AI681"/>
      <c r="AJ681"/>
      <c r="AK681"/>
      <c r="AL681"/>
      <c r="AM681"/>
      <c r="AN681"/>
      <c r="AP681"/>
      <c r="AQ681"/>
      <c r="AR681"/>
      <c r="AS681"/>
      <c r="AT681"/>
      <c r="AU681"/>
      <c r="AV681"/>
      <c r="AW681"/>
      <c r="AX681"/>
      <c r="AY681"/>
      <c r="AZ681"/>
      <c r="BA681"/>
      <c r="BB681"/>
      <c r="BC681"/>
      <c r="BD681"/>
      <c r="BE681"/>
      <c r="BF681" s="348"/>
      <c r="BG681"/>
      <c r="BH681"/>
      <c r="BI681"/>
      <c r="BJ681"/>
      <c r="BK681"/>
    </row>
    <row r="682" spans="2:63">
      <c r="B682" s="366"/>
      <c r="BF682" s="348"/>
    </row>
    <row r="683" spans="2:63" ht="13.5">
      <c r="B683" s="366"/>
      <c r="C683" s="354" t="s">
        <v>153</v>
      </c>
      <c r="D683" s="354"/>
      <c r="E683" s="354"/>
      <c r="F683" s="354"/>
      <c r="G683" s="354"/>
      <c r="BF683" s="348"/>
    </row>
    <row r="684" spans="2:63" ht="13.5">
      <c r="B684" s="366"/>
      <c r="C684" s="354" t="s">
        <v>641</v>
      </c>
      <c r="D684" s="354" t="s">
        <v>642</v>
      </c>
      <c r="E684" s="354" t="s">
        <v>205</v>
      </c>
      <c r="F684" s="354" t="s">
        <v>643</v>
      </c>
      <c r="G684" s="354" t="s">
        <v>644</v>
      </c>
      <c r="BF684" s="348"/>
    </row>
    <row r="685" spans="2:63" ht="13.5">
      <c r="B685" s="366"/>
      <c r="C685" s="354">
        <v>-2</v>
      </c>
      <c r="D685" s="354" t="s">
        <v>156</v>
      </c>
      <c r="E685" s="354" t="s">
        <v>968</v>
      </c>
      <c r="F685" s="354" t="s">
        <v>938</v>
      </c>
      <c r="G685" s="354" t="s">
        <v>677</v>
      </c>
      <c r="BF685" s="348"/>
    </row>
    <row r="686" spans="2:63" ht="13.5" thickBot="1">
      <c r="B686" s="366"/>
      <c r="BF686" s="348"/>
    </row>
    <row r="687" spans="2:63" ht="14" thickBot="1">
      <c r="B687" s="350" t="s">
        <v>889</v>
      </c>
      <c r="C687" s="351" t="s">
        <v>890</v>
      </c>
      <c r="D687" s="351"/>
      <c r="E687" s="351"/>
      <c r="F687" s="351"/>
      <c r="G687" s="351"/>
      <c r="H687" s="351"/>
      <c r="I687" s="351"/>
      <c r="J687" s="351"/>
      <c r="K687" s="351"/>
      <c r="L687" s="351"/>
      <c r="M687" s="351"/>
      <c r="N687" s="351"/>
      <c r="O687" s="351"/>
      <c r="P687" s="351"/>
      <c r="Q687" s="351"/>
      <c r="R687" s="351"/>
      <c r="S687" s="351"/>
      <c r="T687" s="351"/>
      <c r="U687" s="351"/>
      <c r="V687" s="351"/>
      <c r="W687" s="351"/>
      <c r="X687" s="351"/>
      <c r="Y687" s="351"/>
      <c r="Z687" s="351"/>
      <c r="AA687" s="351"/>
      <c r="AB687" s="351"/>
      <c r="AC687" s="351"/>
      <c r="AD687" s="351"/>
      <c r="AE687" s="351"/>
      <c r="AF687" s="351"/>
      <c r="AG687" s="351"/>
      <c r="AH687" s="351"/>
      <c r="AI687" s="351"/>
      <c r="AJ687" s="351"/>
      <c r="AK687" s="351"/>
      <c r="AL687" s="351"/>
      <c r="AM687" s="351"/>
      <c r="AN687" s="351"/>
      <c r="AO687" s="351"/>
      <c r="AP687" s="351"/>
      <c r="AQ687" s="351"/>
      <c r="AR687" s="351"/>
      <c r="AS687" s="351"/>
      <c r="AT687" s="351"/>
      <c r="AU687" s="351"/>
      <c r="AV687" s="351"/>
      <c r="AW687" s="351"/>
      <c r="AX687" s="351"/>
      <c r="AY687" s="351"/>
      <c r="AZ687" s="351"/>
      <c r="BA687" s="351"/>
      <c r="BB687" s="351"/>
      <c r="BC687" s="351"/>
      <c r="BD687" s="351"/>
      <c r="BE687" s="351"/>
      <c r="BF687" s="454"/>
    </row>
    <row r="688" spans="2:63" ht="14" thickBot="1">
      <c r="B688" s="352" t="s">
        <v>986</v>
      </c>
      <c r="C688" s="351" t="s">
        <v>674</v>
      </c>
      <c r="D688" s="351"/>
      <c r="E688" s="351"/>
      <c r="F688" s="351"/>
      <c r="G688" s="351"/>
      <c r="H688" s="351"/>
      <c r="I688" s="351"/>
      <c r="J688" s="351"/>
      <c r="K688" s="351"/>
      <c r="L688" s="351"/>
      <c r="M688" s="351"/>
      <c r="N688" s="351"/>
      <c r="O688" s="351"/>
      <c r="P688" s="351"/>
      <c r="Q688" s="351"/>
      <c r="R688" s="351"/>
      <c r="S688" s="351"/>
      <c r="T688" s="351"/>
      <c r="U688" s="351"/>
      <c r="V688" s="351"/>
      <c r="W688" s="351"/>
      <c r="X688" s="351"/>
      <c r="Y688" s="351"/>
      <c r="Z688" s="351"/>
      <c r="AA688" s="351"/>
      <c r="AB688" s="351"/>
      <c r="AC688" s="351"/>
      <c r="AD688" s="351"/>
      <c r="AE688" s="351"/>
      <c r="AF688" s="351"/>
      <c r="AG688" s="351"/>
      <c r="AH688" s="351"/>
      <c r="AI688" s="351"/>
      <c r="AJ688" s="351"/>
      <c r="AK688" s="351"/>
      <c r="AL688" s="351"/>
      <c r="AM688" s="351"/>
      <c r="AN688" s="351"/>
      <c r="AO688" s="351"/>
      <c r="AP688" s="351"/>
      <c r="AQ688" s="351"/>
      <c r="AR688" s="351"/>
      <c r="AS688" s="351"/>
      <c r="AT688" s="351"/>
      <c r="AU688" s="351"/>
      <c r="AV688" s="351"/>
      <c r="AW688" s="351"/>
      <c r="AX688" s="351"/>
      <c r="AY688" s="351"/>
      <c r="AZ688" s="351"/>
      <c r="BA688" s="351"/>
      <c r="BB688" s="351"/>
      <c r="BC688" s="351"/>
      <c r="BD688" s="351"/>
      <c r="BE688" s="351"/>
      <c r="BF688" s="454"/>
    </row>
    <row r="689" spans="2:58">
      <c r="B689" s="366"/>
      <c r="BF689" s="348"/>
    </row>
    <row r="690" spans="2:58" ht="13.5">
      <c r="B690" s="366"/>
      <c r="C690" s="354" t="s">
        <v>481</v>
      </c>
      <c r="BF690" s="348"/>
    </row>
    <row r="691" spans="2:58" ht="13.5">
      <c r="B691" s="366"/>
      <c r="C691" s="354" t="s">
        <v>891</v>
      </c>
      <c r="BF691" s="348"/>
    </row>
    <row r="692" spans="2:58">
      <c r="B692" s="366"/>
      <c r="BF692" s="348"/>
    </row>
    <row r="693" spans="2:58">
      <c r="B693" s="366"/>
      <c r="BF693" s="348"/>
    </row>
    <row r="694" spans="2:58" ht="13.5">
      <c r="B694" s="366"/>
      <c r="C694" s="354" t="s">
        <v>153</v>
      </c>
      <c r="BF694" s="348"/>
    </row>
    <row r="695" spans="2:58" ht="13.5">
      <c r="B695" s="366"/>
      <c r="C695" s="354" t="s">
        <v>641</v>
      </c>
      <c r="D695" s="354" t="s">
        <v>642</v>
      </c>
      <c r="E695" s="354" t="s">
        <v>205</v>
      </c>
      <c r="F695" s="354" t="s">
        <v>643</v>
      </c>
      <c r="G695" s="354" t="s">
        <v>644</v>
      </c>
      <c r="BF695" s="348"/>
    </row>
    <row r="696" spans="2:58" ht="13.5">
      <c r="B696" s="366"/>
      <c r="C696" s="354">
        <v>-2</v>
      </c>
      <c r="D696" s="354" t="s">
        <v>156</v>
      </c>
      <c r="E696" s="354" t="s">
        <v>971</v>
      </c>
      <c r="F696" s="354" t="s">
        <v>939</v>
      </c>
      <c r="G696" s="354" t="s">
        <v>677</v>
      </c>
      <c r="BF696" s="348"/>
    </row>
    <row r="697" spans="2:58" ht="14" thickBot="1">
      <c r="B697" s="366"/>
      <c r="C697" s="354"/>
      <c r="D697" s="354"/>
      <c r="E697" s="354"/>
      <c r="F697" s="354"/>
      <c r="G697" s="354"/>
      <c r="BF697" s="348"/>
    </row>
    <row r="698" spans="2:58" ht="14" thickBot="1">
      <c r="B698" s="350" t="s">
        <v>882</v>
      </c>
      <c r="C698" s="351" t="s">
        <v>892</v>
      </c>
      <c r="D698" s="351"/>
      <c r="E698" s="351"/>
      <c r="F698" s="351"/>
      <c r="G698" s="351"/>
      <c r="H698" s="351"/>
      <c r="I698" s="351"/>
      <c r="J698" s="351"/>
      <c r="K698" s="351"/>
      <c r="L698" s="351"/>
      <c r="M698" s="351"/>
      <c r="N698" s="351"/>
      <c r="O698" s="351"/>
      <c r="P698" s="351"/>
      <c r="Q698" s="351"/>
      <c r="R698" s="351"/>
      <c r="S698" s="351"/>
      <c r="T698" s="351"/>
      <c r="U698" s="351"/>
      <c r="V698" s="351"/>
      <c r="W698" s="351"/>
      <c r="X698" s="351"/>
      <c r="Y698" s="351"/>
      <c r="Z698" s="351"/>
      <c r="AA698" s="351"/>
      <c r="AB698" s="351"/>
      <c r="AC698" s="351"/>
      <c r="AD698" s="351"/>
      <c r="AE698" s="351"/>
      <c r="AF698" s="351"/>
      <c r="AG698" s="351"/>
      <c r="AH698" s="351"/>
      <c r="AI698" s="351"/>
      <c r="AJ698" s="351"/>
      <c r="AK698" s="351"/>
      <c r="AL698" s="351"/>
      <c r="AM698" s="351"/>
      <c r="AN698" s="351"/>
      <c r="AO698" s="351"/>
      <c r="AP698" s="351"/>
      <c r="AQ698" s="351"/>
      <c r="AR698" s="351"/>
      <c r="AS698" s="351"/>
      <c r="AT698" s="351"/>
      <c r="AU698" s="351"/>
      <c r="AV698" s="351"/>
      <c r="AW698" s="351"/>
      <c r="AX698" s="351"/>
      <c r="AY698" s="351"/>
      <c r="AZ698" s="351"/>
      <c r="BA698" s="351"/>
      <c r="BB698" s="351"/>
      <c r="BC698" s="351"/>
      <c r="BD698" s="351"/>
      <c r="BE698" s="351"/>
      <c r="BF698" s="454"/>
    </row>
    <row r="699" spans="2:58" ht="14" thickBot="1">
      <c r="B699" s="352" t="s">
        <v>986</v>
      </c>
      <c r="C699" s="351" t="s">
        <v>674</v>
      </c>
      <c r="D699" s="351"/>
      <c r="E699" s="351"/>
      <c r="F699" s="351"/>
      <c r="G699" s="351"/>
      <c r="H699" s="351"/>
      <c r="I699" s="351"/>
      <c r="J699" s="351"/>
      <c r="K699" s="351"/>
      <c r="L699" s="351"/>
      <c r="M699" s="351"/>
      <c r="N699" s="351"/>
      <c r="O699" s="351"/>
      <c r="P699" s="351"/>
      <c r="Q699" s="351"/>
      <c r="R699" s="351"/>
      <c r="S699" s="351"/>
      <c r="T699" s="351"/>
      <c r="U699" s="351"/>
      <c r="V699" s="351"/>
      <c r="W699" s="351"/>
      <c r="X699" s="351"/>
      <c r="Y699" s="351"/>
      <c r="Z699" s="351"/>
      <c r="AA699" s="351"/>
      <c r="AB699" s="351"/>
      <c r="AC699" s="351"/>
      <c r="AD699" s="351"/>
      <c r="AE699" s="351"/>
      <c r="AF699" s="351"/>
      <c r="AG699" s="351"/>
      <c r="AH699" s="351"/>
      <c r="AI699" s="351"/>
      <c r="AJ699" s="351"/>
      <c r="AK699" s="351"/>
      <c r="AL699" s="351"/>
      <c r="AM699" s="351"/>
      <c r="AN699" s="351"/>
      <c r="AO699" s="351"/>
      <c r="AP699" s="351"/>
      <c r="AQ699" s="351"/>
      <c r="AR699" s="351"/>
      <c r="AS699" s="351"/>
      <c r="AT699" s="351"/>
      <c r="AU699" s="351"/>
      <c r="AV699" s="351"/>
      <c r="AW699" s="351"/>
      <c r="AX699" s="351"/>
      <c r="AY699" s="351"/>
      <c r="AZ699" s="351"/>
      <c r="BA699" s="351"/>
      <c r="BB699" s="351"/>
      <c r="BC699" s="351"/>
      <c r="BD699" s="351"/>
      <c r="BE699" s="351"/>
      <c r="BF699" s="454"/>
    </row>
    <row r="700" spans="2:58">
      <c r="B700" s="366"/>
      <c r="BF700" s="348"/>
    </row>
    <row r="701" spans="2:58" ht="15" customHeight="1">
      <c r="B701" s="366"/>
      <c r="C701" s="354" t="s">
        <v>481</v>
      </c>
      <c r="BF701" s="348"/>
    </row>
    <row r="702" spans="2:58" ht="13.5">
      <c r="B702" s="366"/>
      <c r="C702" s="354" t="s">
        <v>894</v>
      </c>
      <c r="BF702" s="348"/>
    </row>
    <row r="703" spans="2:58">
      <c r="B703" s="366"/>
      <c r="BF703" s="348"/>
    </row>
    <row r="704" spans="2:58">
      <c r="B704" s="366"/>
      <c r="BF704" s="348"/>
    </row>
    <row r="705" spans="2:58" ht="13.5">
      <c r="B705" s="366"/>
      <c r="C705" s="354" t="s">
        <v>153</v>
      </c>
      <c r="BF705" s="348"/>
    </row>
    <row r="706" spans="2:58" ht="13.5">
      <c r="B706" s="366"/>
      <c r="C706" s="354" t="s">
        <v>641</v>
      </c>
      <c r="D706" s="354" t="s">
        <v>642</v>
      </c>
      <c r="E706" s="354" t="s">
        <v>205</v>
      </c>
      <c r="F706" s="354" t="s">
        <v>643</v>
      </c>
      <c r="G706" s="354" t="s">
        <v>644</v>
      </c>
      <c r="BF706" s="348"/>
    </row>
    <row r="707" spans="2:58" ht="13.5">
      <c r="B707" s="366"/>
      <c r="C707" s="354">
        <v>-2</v>
      </c>
      <c r="D707" s="354" t="s">
        <v>156</v>
      </c>
      <c r="E707" s="354" t="s">
        <v>971</v>
      </c>
      <c r="F707" s="354" t="s">
        <v>939</v>
      </c>
      <c r="G707" s="354" t="s">
        <v>677</v>
      </c>
      <c r="BF707" s="348"/>
    </row>
    <row r="708" spans="2:58" ht="13.5" thickBot="1">
      <c r="B708" s="366"/>
      <c r="BF708" s="348"/>
    </row>
    <row r="709" spans="2:58" ht="14" thickBot="1">
      <c r="B709" s="350" t="s">
        <v>893</v>
      </c>
      <c r="C709" s="351" t="s">
        <v>896</v>
      </c>
      <c r="D709" s="351"/>
      <c r="E709" s="351"/>
      <c r="F709" s="351"/>
      <c r="G709" s="351"/>
      <c r="H709" s="351"/>
      <c r="I709" s="351"/>
      <c r="J709" s="351"/>
      <c r="K709" s="351"/>
      <c r="L709" s="351"/>
      <c r="M709" s="351"/>
      <c r="N709" s="351"/>
      <c r="O709" s="351"/>
      <c r="P709" s="351"/>
      <c r="Q709" s="351"/>
      <c r="R709" s="351"/>
      <c r="S709" s="351"/>
      <c r="T709" s="351"/>
      <c r="U709" s="351"/>
      <c r="V709" s="351"/>
      <c r="W709" s="351"/>
      <c r="X709" s="351"/>
      <c r="Y709" s="351"/>
      <c r="Z709" s="351"/>
      <c r="AA709" s="351"/>
      <c r="AB709" s="351"/>
      <c r="AC709" s="351"/>
      <c r="AD709" s="351"/>
      <c r="AE709" s="351"/>
      <c r="AF709" s="351"/>
      <c r="AG709" s="351"/>
      <c r="AH709" s="351"/>
      <c r="AI709" s="351"/>
      <c r="AJ709" s="351"/>
      <c r="AK709" s="351"/>
      <c r="AL709" s="351"/>
      <c r="AM709" s="351"/>
      <c r="AN709" s="351"/>
      <c r="AO709" s="351"/>
      <c r="AP709" s="351"/>
      <c r="AQ709" s="351"/>
      <c r="AR709" s="351"/>
      <c r="AS709" s="351"/>
      <c r="AT709" s="351"/>
      <c r="AU709" s="351"/>
      <c r="AV709" s="351"/>
      <c r="AW709" s="351"/>
      <c r="AX709" s="351"/>
      <c r="AY709" s="351"/>
      <c r="AZ709" s="351"/>
      <c r="BA709" s="351"/>
      <c r="BB709" s="351"/>
      <c r="BC709" s="351"/>
      <c r="BD709" s="351"/>
      <c r="BE709" s="351"/>
      <c r="BF709" s="454"/>
    </row>
    <row r="710" spans="2:58" ht="14" thickBot="1">
      <c r="B710" s="352" t="s">
        <v>986</v>
      </c>
      <c r="C710" s="351" t="s">
        <v>674</v>
      </c>
      <c r="D710" s="351"/>
      <c r="E710" s="351"/>
      <c r="F710" s="351"/>
      <c r="G710" s="351"/>
      <c r="H710" s="351"/>
      <c r="I710" s="351"/>
      <c r="J710" s="351"/>
      <c r="K710" s="351"/>
      <c r="L710" s="351"/>
      <c r="M710" s="351"/>
      <c r="N710" s="351"/>
      <c r="O710" s="351"/>
      <c r="P710" s="351"/>
      <c r="Q710" s="351"/>
      <c r="R710" s="351"/>
      <c r="S710" s="351"/>
      <c r="T710" s="351"/>
      <c r="U710" s="351"/>
      <c r="V710" s="351"/>
      <c r="W710" s="351"/>
      <c r="X710" s="351"/>
      <c r="Y710" s="351"/>
      <c r="Z710" s="351"/>
      <c r="AA710" s="351"/>
      <c r="AB710" s="351"/>
      <c r="AC710" s="351"/>
      <c r="AD710" s="351"/>
      <c r="AE710" s="351"/>
      <c r="AF710" s="351"/>
      <c r="AG710" s="351"/>
      <c r="AH710" s="351"/>
      <c r="AI710" s="351"/>
      <c r="AJ710" s="351"/>
      <c r="AK710" s="351"/>
      <c r="AL710" s="351"/>
      <c r="AM710" s="351"/>
      <c r="AN710" s="351"/>
      <c r="AO710" s="351"/>
      <c r="AP710" s="351"/>
      <c r="AQ710" s="351"/>
      <c r="AR710" s="351"/>
      <c r="AS710" s="351"/>
      <c r="AT710" s="351"/>
      <c r="AU710" s="351"/>
      <c r="AV710" s="351"/>
      <c r="AW710" s="351"/>
      <c r="AX710" s="351"/>
      <c r="AY710" s="351"/>
      <c r="AZ710" s="351"/>
      <c r="BA710" s="351"/>
      <c r="BB710" s="351"/>
      <c r="BC710" s="351"/>
      <c r="BD710" s="351"/>
      <c r="BE710" s="351"/>
      <c r="BF710" s="454"/>
    </row>
    <row r="711" spans="2:58">
      <c r="B711" s="366"/>
      <c r="BF711" s="348"/>
    </row>
    <row r="712" spans="2:58" ht="15" customHeight="1">
      <c r="B712" s="366"/>
      <c r="C712" s="354" t="s">
        <v>481</v>
      </c>
      <c r="BF712" s="348"/>
    </row>
    <row r="713" spans="2:58" ht="13.5">
      <c r="B713" s="366"/>
      <c r="C713" s="354" t="s">
        <v>940</v>
      </c>
      <c r="BF713" s="348"/>
    </row>
    <row r="714" spans="2:58">
      <c r="B714" s="366"/>
      <c r="BF714" s="348"/>
    </row>
    <row r="715" spans="2:58">
      <c r="B715" s="366"/>
      <c r="BF715" s="348"/>
    </row>
    <row r="716" spans="2:58" ht="13.5">
      <c r="B716" s="366"/>
      <c r="C716" s="354" t="s">
        <v>153</v>
      </c>
      <c r="BF716" s="348"/>
    </row>
    <row r="717" spans="2:58" ht="13.5">
      <c r="B717" s="366"/>
      <c r="C717" s="354" t="s">
        <v>154</v>
      </c>
      <c r="D717" s="354" t="s">
        <v>155</v>
      </c>
      <c r="E717" s="354" t="s">
        <v>157</v>
      </c>
      <c r="F717" s="354" t="s">
        <v>159</v>
      </c>
      <c r="G717" s="354" t="s">
        <v>409</v>
      </c>
      <c r="BF717" s="348"/>
    </row>
    <row r="718" spans="2:58" ht="14" thickBot="1">
      <c r="B718" s="366"/>
      <c r="C718" s="354">
        <v>-2</v>
      </c>
      <c r="D718" s="354" t="s">
        <v>156</v>
      </c>
      <c r="E718" s="354" t="s">
        <v>973</v>
      </c>
      <c r="F718" s="354" t="s">
        <v>897</v>
      </c>
      <c r="G718" s="354" t="s">
        <v>677</v>
      </c>
      <c r="BF718" s="348"/>
    </row>
    <row r="719" spans="2:58" ht="14" thickBot="1">
      <c r="B719" s="350" t="s">
        <v>895</v>
      </c>
      <c r="C719" s="351" t="s">
        <v>899</v>
      </c>
      <c r="D719" s="351"/>
      <c r="E719" s="351"/>
      <c r="F719" s="351"/>
      <c r="G719" s="351"/>
      <c r="H719" s="351"/>
      <c r="I719" s="351"/>
      <c r="J719" s="351"/>
      <c r="K719" s="351"/>
      <c r="L719" s="351"/>
      <c r="M719" s="351"/>
      <c r="N719" s="351"/>
      <c r="O719" s="351"/>
      <c r="P719" s="351"/>
      <c r="Q719" s="351"/>
      <c r="R719" s="351"/>
      <c r="S719" s="351"/>
      <c r="T719" s="351"/>
      <c r="U719" s="351"/>
      <c r="V719" s="351"/>
      <c r="W719" s="351"/>
      <c r="X719" s="351"/>
      <c r="Y719" s="351"/>
      <c r="Z719" s="351"/>
      <c r="AA719" s="351"/>
      <c r="AB719" s="351"/>
      <c r="AC719" s="351"/>
      <c r="AD719" s="351"/>
      <c r="AE719" s="351"/>
      <c r="AF719" s="351"/>
      <c r="AG719" s="351"/>
      <c r="AH719" s="351"/>
      <c r="AI719" s="351"/>
      <c r="AJ719" s="351"/>
      <c r="AK719" s="351"/>
      <c r="AL719" s="351"/>
      <c r="AM719" s="351"/>
      <c r="AN719" s="351"/>
      <c r="AO719" s="351"/>
      <c r="AP719" s="351"/>
      <c r="AQ719" s="351"/>
      <c r="AR719" s="351"/>
      <c r="AS719" s="351"/>
      <c r="AT719" s="351"/>
      <c r="AU719" s="351"/>
      <c r="AV719" s="351"/>
      <c r="AW719" s="351"/>
      <c r="AX719" s="351"/>
      <c r="AY719" s="351"/>
      <c r="AZ719" s="351"/>
      <c r="BA719" s="351"/>
      <c r="BB719" s="351"/>
      <c r="BC719" s="351"/>
      <c r="BD719" s="351"/>
      <c r="BE719" s="351"/>
      <c r="BF719" s="454"/>
    </row>
    <row r="720" spans="2:58" ht="14" thickBot="1">
      <c r="B720" s="352" t="s">
        <v>986</v>
      </c>
      <c r="C720" s="351" t="s">
        <v>674</v>
      </c>
      <c r="D720" s="351"/>
      <c r="E720" s="351"/>
      <c r="F720" s="351"/>
      <c r="G720" s="351"/>
      <c r="H720" s="351"/>
      <c r="I720" s="351"/>
      <c r="J720" s="351"/>
      <c r="K720" s="351"/>
      <c r="L720" s="351"/>
      <c r="M720" s="351"/>
      <c r="N720" s="351"/>
      <c r="O720" s="351"/>
      <c r="P720" s="351"/>
      <c r="Q720" s="351"/>
      <c r="R720" s="351"/>
      <c r="S720" s="351"/>
      <c r="T720" s="351"/>
      <c r="U720" s="351"/>
      <c r="V720" s="351"/>
      <c r="W720" s="351"/>
      <c r="X720" s="351"/>
      <c r="Y720" s="351"/>
      <c r="Z720" s="351"/>
      <c r="AA720" s="351"/>
      <c r="AB720" s="351"/>
      <c r="AC720" s="351"/>
      <c r="AD720" s="351"/>
      <c r="AE720" s="351"/>
      <c r="AF720" s="351"/>
      <c r="AG720" s="351"/>
      <c r="AH720" s="351"/>
      <c r="AI720" s="351"/>
      <c r="AJ720" s="351"/>
      <c r="AK720" s="351"/>
      <c r="AL720" s="351"/>
      <c r="AM720" s="351"/>
      <c r="AN720" s="351"/>
      <c r="AO720" s="351"/>
      <c r="AP720" s="351"/>
      <c r="AQ720" s="351"/>
      <c r="AR720" s="351"/>
      <c r="AS720" s="351"/>
      <c r="AT720" s="351"/>
      <c r="AU720" s="351"/>
      <c r="AV720" s="351"/>
      <c r="AW720" s="351"/>
      <c r="AX720" s="351"/>
      <c r="AY720" s="351"/>
      <c r="AZ720" s="351"/>
      <c r="BA720" s="351"/>
      <c r="BB720" s="351"/>
      <c r="BC720" s="351"/>
      <c r="BD720" s="351"/>
      <c r="BE720" s="351"/>
      <c r="BF720" s="454"/>
    </row>
    <row r="721" spans="2:58">
      <c r="B721" s="366"/>
      <c r="BF721" s="348"/>
    </row>
    <row r="722" spans="2:58" ht="13.5">
      <c r="B722" s="366"/>
      <c r="C722" s="354" t="s">
        <v>481</v>
      </c>
      <c r="D722" s="354"/>
      <c r="E722" s="354"/>
      <c r="F722" s="354"/>
      <c r="G722" s="354"/>
      <c r="BF722" s="348"/>
    </row>
    <row r="723" spans="2:58" ht="13.5">
      <c r="B723" s="366"/>
      <c r="C723" s="354" t="s">
        <v>900</v>
      </c>
      <c r="D723" s="354"/>
      <c r="E723" s="354"/>
      <c r="F723" s="354"/>
      <c r="G723" s="354"/>
      <c r="BF723" s="348"/>
    </row>
    <row r="724" spans="2:58" ht="13.5">
      <c r="B724" s="366"/>
      <c r="C724" s="354"/>
      <c r="D724" s="354"/>
      <c r="E724" s="354"/>
      <c r="F724" s="354"/>
      <c r="G724" s="354"/>
      <c r="BF724" s="348"/>
    </row>
    <row r="725" spans="2:58" ht="13.5">
      <c r="B725" s="366"/>
      <c r="C725" s="354" t="s">
        <v>153</v>
      </c>
      <c r="D725" s="354"/>
      <c r="E725" s="354"/>
      <c r="F725" s="354"/>
      <c r="G725" s="354"/>
      <c r="BF725" s="348"/>
    </row>
    <row r="726" spans="2:58" ht="13.5">
      <c r="B726" s="366"/>
      <c r="C726" s="354" t="s">
        <v>641</v>
      </c>
      <c r="D726" s="354" t="s">
        <v>642</v>
      </c>
      <c r="E726" s="354" t="s">
        <v>205</v>
      </c>
      <c r="F726" s="354" t="s">
        <v>643</v>
      </c>
      <c r="G726" s="354" t="s">
        <v>644</v>
      </c>
      <c r="BF726" s="348"/>
    </row>
    <row r="727" spans="2:58" ht="13.5">
      <c r="B727" s="366"/>
      <c r="C727" s="354">
        <v>-2</v>
      </c>
      <c r="D727" s="354" t="s">
        <v>156</v>
      </c>
      <c r="E727" s="354" t="s">
        <v>975</v>
      </c>
      <c r="F727" s="354" t="s">
        <v>941</v>
      </c>
      <c r="G727" s="354" t="s">
        <v>677</v>
      </c>
      <c r="BF727" s="348"/>
    </row>
    <row r="728" spans="2:58" ht="13.5" thickBot="1">
      <c r="B728" s="366"/>
      <c r="BF728" s="348"/>
    </row>
    <row r="729" spans="2:58" ht="14" thickBot="1">
      <c r="B729" s="350" t="s">
        <v>898</v>
      </c>
      <c r="C729" s="351" t="s">
        <v>901</v>
      </c>
      <c r="D729" s="351"/>
      <c r="E729" s="351"/>
      <c r="F729" s="351"/>
      <c r="G729" s="351"/>
      <c r="H729" s="351"/>
      <c r="I729" s="351"/>
      <c r="J729" s="351"/>
      <c r="K729" s="351"/>
      <c r="L729" s="351"/>
      <c r="M729" s="351"/>
      <c r="N729" s="351"/>
      <c r="O729" s="351"/>
      <c r="P729" s="351"/>
      <c r="Q729" s="351"/>
      <c r="R729" s="351"/>
      <c r="S729" s="351"/>
      <c r="T729" s="351"/>
      <c r="U729" s="351"/>
      <c r="V729" s="351"/>
      <c r="W729" s="351"/>
      <c r="X729" s="351"/>
      <c r="Y729" s="351"/>
      <c r="Z729" s="351"/>
      <c r="AA729" s="351"/>
      <c r="AB729" s="351"/>
      <c r="AC729" s="351"/>
      <c r="AD729" s="351"/>
      <c r="AE729" s="351"/>
      <c r="AF729" s="351"/>
      <c r="AG729" s="351"/>
      <c r="AH729" s="351"/>
      <c r="AI729" s="351"/>
      <c r="AJ729" s="351"/>
      <c r="AK729" s="351"/>
      <c r="AL729" s="351"/>
      <c r="AM729" s="351"/>
      <c r="AN729" s="351"/>
      <c r="AO729" s="351"/>
      <c r="AP729" s="351"/>
      <c r="AQ729" s="351"/>
      <c r="AR729" s="351"/>
      <c r="AS729" s="351"/>
      <c r="AT729" s="351"/>
      <c r="AU729" s="351"/>
      <c r="AV729" s="351"/>
      <c r="AW729" s="351"/>
      <c r="AX729" s="351"/>
      <c r="AY729" s="351"/>
      <c r="AZ729" s="351"/>
      <c r="BA729" s="351"/>
      <c r="BB729" s="351"/>
      <c r="BC729" s="351"/>
      <c r="BD729" s="351"/>
      <c r="BE729" s="351"/>
      <c r="BF729" s="454"/>
    </row>
    <row r="730" spans="2:58" ht="14" thickBot="1">
      <c r="B730" s="352" t="s">
        <v>986</v>
      </c>
      <c r="C730" s="351" t="s">
        <v>674</v>
      </c>
      <c r="D730" s="351"/>
      <c r="E730" s="351"/>
      <c r="F730" s="351"/>
      <c r="G730" s="351"/>
      <c r="H730" s="351"/>
      <c r="I730" s="351"/>
      <c r="J730" s="351"/>
      <c r="K730" s="351"/>
      <c r="L730" s="351"/>
      <c r="M730" s="351"/>
      <c r="N730" s="351"/>
      <c r="O730" s="351"/>
      <c r="P730" s="351"/>
      <c r="Q730" s="351"/>
      <c r="R730" s="351"/>
      <c r="S730" s="351"/>
      <c r="T730" s="351"/>
      <c r="U730" s="351"/>
      <c r="V730" s="351"/>
      <c r="W730" s="351"/>
      <c r="X730" s="351"/>
      <c r="Y730" s="351"/>
      <c r="Z730" s="351"/>
      <c r="AA730" s="351"/>
      <c r="AB730" s="351"/>
      <c r="AC730" s="351"/>
      <c r="AD730" s="351"/>
      <c r="AE730" s="351"/>
      <c r="AF730" s="351"/>
      <c r="AG730" s="351"/>
      <c r="AH730" s="351"/>
      <c r="AI730" s="351"/>
      <c r="AJ730" s="351"/>
      <c r="AK730" s="351"/>
      <c r="AL730" s="351"/>
      <c r="AM730" s="351"/>
      <c r="AN730" s="351"/>
      <c r="AO730" s="351"/>
      <c r="AP730" s="351"/>
      <c r="AQ730" s="351"/>
      <c r="AR730" s="351"/>
      <c r="AS730" s="351"/>
      <c r="AT730" s="351"/>
      <c r="AU730" s="351"/>
      <c r="AV730" s="351"/>
      <c r="AW730" s="351"/>
      <c r="AX730" s="351"/>
      <c r="AY730" s="351"/>
      <c r="AZ730" s="351"/>
      <c r="BA730" s="351"/>
      <c r="BB730" s="351"/>
      <c r="BC730" s="351"/>
      <c r="BD730" s="351"/>
      <c r="BE730" s="351"/>
      <c r="BF730" s="454"/>
    </row>
    <row r="731" spans="2:58">
      <c r="B731" s="366"/>
      <c r="BF731" s="348"/>
    </row>
    <row r="732" spans="2:58" ht="13.5">
      <c r="B732" s="366"/>
      <c r="C732" s="354" t="s">
        <v>481</v>
      </c>
      <c r="BF732" s="348"/>
    </row>
    <row r="733" spans="2:58" ht="13.5">
      <c r="B733" s="366"/>
      <c r="C733" s="354" t="s">
        <v>906</v>
      </c>
      <c r="BF733" s="348"/>
    </row>
    <row r="734" spans="2:58">
      <c r="B734" s="366"/>
      <c r="BF734" s="348"/>
    </row>
    <row r="735" spans="2:58" ht="13.5">
      <c r="B735" s="366"/>
      <c r="C735" s="354" t="s">
        <v>153</v>
      </c>
      <c r="BF735" s="348"/>
    </row>
    <row r="736" spans="2:58" ht="13.5">
      <c r="B736" s="366"/>
      <c r="C736" s="354" t="s">
        <v>641</v>
      </c>
      <c r="D736" s="354" t="s">
        <v>642</v>
      </c>
      <c r="E736" s="354" t="s">
        <v>205</v>
      </c>
      <c r="F736" s="354" t="s">
        <v>643</v>
      </c>
      <c r="G736" s="354" t="s">
        <v>644</v>
      </c>
      <c r="BF736" s="348"/>
    </row>
    <row r="737" spans="2:58" ht="13.5">
      <c r="B737" s="366"/>
      <c r="C737" s="354">
        <v>-2</v>
      </c>
      <c r="D737" s="354" t="s">
        <v>156</v>
      </c>
      <c r="E737" s="354" t="s">
        <v>977</v>
      </c>
      <c r="F737" s="354" t="s">
        <v>904</v>
      </c>
      <c r="G737" s="354" t="s">
        <v>677</v>
      </c>
      <c r="BF737" s="348"/>
    </row>
    <row r="738" spans="2:58" ht="13.5" thickBot="1">
      <c r="B738" s="366"/>
      <c r="BF738" s="348"/>
    </row>
    <row r="739" spans="2:58" ht="14" thickBot="1">
      <c r="B739" s="350" t="s">
        <v>888</v>
      </c>
      <c r="C739" s="351" t="s">
        <v>905</v>
      </c>
      <c r="D739" s="351"/>
      <c r="E739" s="351"/>
      <c r="F739" s="351"/>
      <c r="G739" s="351"/>
      <c r="H739" s="351"/>
      <c r="I739" s="351"/>
      <c r="J739" s="351"/>
      <c r="K739" s="351"/>
      <c r="L739" s="351"/>
      <c r="M739" s="351"/>
      <c r="N739" s="351"/>
      <c r="O739" s="351"/>
      <c r="P739" s="351"/>
      <c r="Q739" s="351"/>
      <c r="R739" s="351"/>
      <c r="S739" s="351"/>
      <c r="T739" s="351"/>
      <c r="U739" s="351"/>
      <c r="V739" s="351"/>
      <c r="W739" s="351"/>
      <c r="X739" s="351"/>
      <c r="Y739" s="351"/>
      <c r="Z739" s="351"/>
      <c r="AA739" s="351"/>
      <c r="AB739" s="351"/>
      <c r="AC739" s="351"/>
      <c r="AD739" s="351"/>
      <c r="AE739" s="351"/>
      <c r="AF739" s="351"/>
      <c r="AG739" s="351"/>
      <c r="AH739" s="351"/>
      <c r="AI739" s="351"/>
      <c r="AJ739" s="351"/>
      <c r="AK739" s="351"/>
      <c r="AL739" s="351"/>
      <c r="AM739" s="351"/>
      <c r="AN739" s="351"/>
      <c r="AO739" s="351"/>
      <c r="AP739" s="351"/>
      <c r="AQ739" s="351"/>
      <c r="AR739" s="351"/>
      <c r="AS739" s="351"/>
      <c r="AT739" s="351"/>
      <c r="AU739" s="351"/>
      <c r="AV739" s="351"/>
      <c r="AW739" s="351"/>
      <c r="AX739" s="351"/>
      <c r="AY739" s="351"/>
      <c r="AZ739" s="351"/>
      <c r="BA739" s="351"/>
      <c r="BB739" s="351"/>
      <c r="BC739" s="351"/>
      <c r="BD739" s="351"/>
      <c r="BE739" s="351"/>
      <c r="BF739" s="454"/>
    </row>
    <row r="740" spans="2:58" ht="14" thickBot="1">
      <c r="B740" s="352" t="s">
        <v>675</v>
      </c>
      <c r="C740" s="351" t="s">
        <v>480</v>
      </c>
      <c r="D740" s="351"/>
      <c r="E740" s="351"/>
      <c r="F740" s="351"/>
      <c r="G740" s="351"/>
      <c r="H740" s="351"/>
      <c r="I740" s="351"/>
      <c r="J740" s="351"/>
      <c r="K740" s="351"/>
      <c r="L740" s="351"/>
      <c r="M740" s="351"/>
      <c r="N740" s="351"/>
      <c r="O740" s="351"/>
      <c r="P740" s="351"/>
      <c r="Q740" s="351"/>
      <c r="R740" s="351"/>
      <c r="S740" s="351"/>
      <c r="T740" s="351"/>
      <c r="U740" s="351"/>
      <c r="V740" s="351"/>
      <c r="W740" s="351"/>
      <c r="X740" s="351"/>
      <c r="Y740" s="351"/>
      <c r="Z740" s="351"/>
      <c r="AA740" s="351"/>
      <c r="AB740" s="351"/>
      <c r="AC740" s="351"/>
      <c r="AD740" s="351"/>
      <c r="AE740" s="351"/>
      <c r="AF740" s="351"/>
      <c r="AG740" s="351"/>
      <c r="AH740" s="351"/>
      <c r="AI740" s="351"/>
      <c r="AJ740" s="351"/>
      <c r="AK740" s="351"/>
      <c r="AL740" s="351"/>
      <c r="AM740" s="351"/>
      <c r="AN740" s="351"/>
      <c r="AO740" s="351"/>
      <c r="AP740" s="351"/>
      <c r="AQ740" s="351"/>
      <c r="AR740" s="351"/>
      <c r="AS740" s="351"/>
      <c r="AT740" s="351"/>
      <c r="AU740" s="351"/>
      <c r="AV740" s="351"/>
      <c r="AW740" s="351"/>
      <c r="AX740" s="351"/>
      <c r="AY740" s="351"/>
      <c r="AZ740" s="351"/>
      <c r="BA740" s="351"/>
      <c r="BB740" s="351"/>
      <c r="BC740" s="351"/>
      <c r="BD740" s="351"/>
      <c r="BE740" s="351"/>
      <c r="BF740" s="454"/>
    </row>
    <row r="741" spans="2:58">
      <c r="B741" s="366"/>
      <c r="BF741" s="348"/>
    </row>
    <row r="742" spans="2:58" ht="13.5">
      <c r="B742" s="366"/>
      <c r="C742" s="354" t="s">
        <v>481</v>
      </c>
      <c r="D742" s="354"/>
      <c r="E742" s="354"/>
      <c r="F742" s="354"/>
      <c r="G742" s="354"/>
      <c r="BF742" s="348"/>
    </row>
    <row r="743" spans="2:58" ht="13.5">
      <c r="B743" s="366"/>
      <c r="C743" s="354" t="s">
        <v>907</v>
      </c>
      <c r="D743" s="354"/>
      <c r="E743" s="354"/>
      <c r="F743" s="354"/>
      <c r="G743" s="354"/>
      <c r="BF743" s="348"/>
    </row>
    <row r="744" spans="2:58" ht="13.5">
      <c r="B744" s="366"/>
      <c r="C744" s="354"/>
      <c r="D744" s="354"/>
      <c r="E744" s="354"/>
      <c r="F744" s="354"/>
      <c r="G744" s="354"/>
      <c r="BF744" s="348"/>
    </row>
    <row r="745" spans="2:58" ht="13.5">
      <c r="B745" s="366"/>
      <c r="C745" s="354" t="s">
        <v>153</v>
      </c>
      <c r="D745" s="354"/>
      <c r="E745" s="354"/>
      <c r="F745" s="354"/>
      <c r="G745" s="354"/>
      <c r="BF745" s="348"/>
    </row>
    <row r="746" spans="2:58" ht="13.5">
      <c r="B746" s="366"/>
      <c r="C746" s="354" t="s">
        <v>641</v>
      </c>
      <c r="D746" s="354" t="s">
        <v>642</v>
      </c>
      <c r="E746" s="354" t="s">
        <v>205</v>
      </c>
      <c r="F746" s="354" t="s">
        <v>643</v>
      </c>
      <c r="G746" s="354" t="s">
        <v>644</v>
      </c>
      <c r="BF746" s="348"/>
    </row>
    <row r="747" spans="2:58" ht="13.5">
      <c r="B747" s="366"/>
      <c r="C747" s="354">
        <v>0</v>
      </c>
      <c r="D747" s="354"/>
      <c r="E747" s="354"/>
      <c r="F747" s="354"/>
      <c r="G747" s="354"/>
      <c r="BF747" s="348"/>
    </row>
    <row r="748" spans="2:58" ht="13.5" thickBot="1">
      <c r="B748" s="366"/>
      <c r="BF748" s="348"/>
    </row>
    <row r="749" spans="2:58" ht="14" thickBot="1">
      <c r="B749" s="350" t="s">
        <v>902</v>
      </c>
      <c r="C749" s="351" t="s">
        <v>908</v>
      </c>
      <c r="D749" s="351"/>
      <c r="E749" s="351"/>
      <c r="F749" s="351"/>
      <c r="G749" s="351"/>
      <c r="H749" s="351"/>
      <c r="I749" s="351"/>
      <c r="J749" s="351"/>
      <c r="K749" s="351"/>
      <c r="L749" s="351"/>
      <c r="M749" s="351"/>
      <c r="N749" s="351"/>
      <c r="O749" s="351"/>
      <c r="P749" s="351"/>
      <c r="Q749" s="351"/>
      <c r="R749" s="351"/>
      <c r="S749" s="351"/>
      <c r="T749" s="351"/>
      <c r="U749" s="351"/>
      <c r="V749" s="351"/>
      <c r="W749" s="351"/>
      <c r="X749" s="351"/>
      <c r="Y749" s="351"/>
      <c r="Z749" s="351"/>
      <c r="AA749" s="351"/>
      <c r="AB749" s="351"/>
      <c r="AC749" s="351"/>
      <c r="AD749" s="351"/>
      <c r="AE749" s="351"/>
      <c r="AF749" s="351"/>
      <c r="AG749" s="351"/>
      <c r="AH749" s="351"/>
      <c r="AI749" s="351"/>
      <c r="AJ749" s="351"/>
      <c r="AK749" s="351"/>
      <c r="AL749" s="351"/>
      <c r="AM749" s="351"/>
      <c r="AN749" s="351"/>
      <c r="AO749" s="351"/>
      <c r="AP749" s="351"/>
      <c r="AQ749" s="351"/>
      <c r="AR749" s="351"/>
      <c r="AS749" s="351"/>
      <c r="AT749" s="351"/>
      <c r="AU749" s="351"/>
      <c r="AV749" s="351"/>
      <c r="AW749" s="351"/>
      <c r="AX749" s="351"/>
      <c r="AY749" s="351"/>
      <c r="AZ749" s="351"/>
      <c r="BA749" s="351"/>
      <c r="BB749" s="351"/>
      <c r="BC749" s="351"/>
      <c r="BD749" s="351"/>
      <c r="BE749" s="351"/>
      <c r="BF749" s="454"/>
    </row>
    <row r="750" spans="2:58" ht="14" thickBot="1">
      <c r="B750" s="352" t="s">
        <v>986</v>
      </c>
      <c r="C750" s="351" t="s">
        <v>674</v>
      </c>
      <c r="D750" s="351"/>
      <c r="E750" s="351"/>
      <c r="F750" s="351"/>
      <c r="G750" s="351"/>
      <c r="H750" s="351"/>
      <c r="I750" s="351"/>
      <c r="J750" s="351"/>
      <c r="K750" s="351"/>
      <c r="L750" s="351"/>
      <c r="M750" s="351"/>
      <c r="N750" s="351"/>
      <c r="O750" s="351"/>
      <c r="P750" s="351"/>
      <c r="Q750" s="351"/>
      <c r="R750" s="351"/>
      <c r="S750" s="351"/>
      <c r="T750" s="351"/>
      <c r="U750" s="351"/>
      <c r="V750" s="351"/>
      <c r="W750" s="351"/>
      <c r="X750" s="351"/>
      <c r="Y750" s="351"/>
      <c r="Z750" s="351"/>
      <c r="AA750" s="351"/>
      <c r="AB750" s="351"/>
      <c r="AC750" s="351"/>
      <c r="AD750" s="351"/>
      <c r="AE750" s="351"/>
      <c r="AF750" s="351"/>
      <c r="AG750" s="351"/>
      <c r="AH750" s="351"/>
      <c r="AI750" s="351"/>
      <c r="AJ750" s="351"/>
      <c r="AK750" s="351"/>
      <c r="AL750" s="351"/>
      <c r="AM750" s="351"/>
      <c r="AN750" s="351"/>
      <c r="AO750" s="351"/>
      <c r="AP750" s="351"/>
      <c r="AQ750" s="351"/>
      <c r="AR750" s="351"/>
      <c r="AS750" s="351"/>
      <c r="AT750" s="351"/>
      <c r="AU750" s="351"/>
      <c r="AV750" s="351"/>
      <c r="AW750" s="351"/>
      <c r="AX750" s="351"/>
      <c r="AY750" s="351"/>
      <c r="AZ750" s="351"/>
      <c r="BA750" s="351"/>
      <c r="BB750" s="351"/>
      <c r="BC750" s="351"/>
      <c r="BD750" s="351"/>
      <c r="BE750" s="351"/>
      <c r="BF750" s="454"/>
    </row>
    <row r="751" spans="2:58">
      <c r="B751" s="366"/>
      <c r="BF751" s="348"/>
    </row>
    <row r="752" spans="2:58" ht="13.5">
      <c r="B752" s="366"/>
      <c r="C752" s="354" t="s">
        <v>481</v>
      </c>
      <c r="D752" s="354"/>
      <c r="E752" s="354"/>
      <c r="F752" s="354"/>
      <c r="G752" s="354"/>
      <c r="BF752" s="348"/>
    </row>
    <row r="753" spans="2:58" ht="13.5">
      <c r="B753" s="366"/>
      <c r="C753" s="354" t="s">
        <v>903</v>
      </c>
      <c r="D753" s="354"/>
      <c r="E753" s="354"/>
      <c r="F753" s="354"/>
      <c r="G753" s="354"/>
      <c r="BF753" s="348"/>
    </row>
    <row r="754" spans="2:58" ht="13.5">
      <c r="B754" s="366"/>
      <c r="C754" s="354"/>
      <c r="D754" s="354"/>
      <c r="E754" s="354"/>
      <c r="F754" s="354"/>
      <c r="G754" s="354"/>
      <c r="BF754" s="348"/>
    </row>
    <row r="755" spans="2:58" ht="13.5">
      <c r="B755" s="366"/>
      <c r="C755" s="354" t="s">
        <v>153</v>
      </c>
      <c r="D755" s="354"/>
      <c r="E755" s="354"/>
      <c r="F755" s="354"/>
      <c r="G755" s="354"/>
      <c r="BF755" s="348"/>
    </row>
    <row r="756" spans="2:58" ht="13.5">
      <c r="B756" s="366"/>
      <c r="C756" s="354" t="s">
        <v>641</v>
      </c>
      <c r="D756" s="354" t="s">
        <v>642</v>
      </c>
      <c r="E756" s="354" t="s">
        <v>205</v>
      </c>
      <c r="F756" s="354" t="s">
        <v>643</v>
      </c>
      <c r="G756" s="354" t="s">
        <v>644</v>
      </c>
      <c r="BF756" s="348"/>
    </row>
    <row r="757" spans="2:58" ht="13.5">
      <c r="B757" s="366"/>
      <c r="C757" s="354">
        <v>-2</v>
      </c>
      <c r="D757" s="354" t="s">
        <v>156</v>
      </c>
      <c r="E757" s="354" t="s">
        <v>977</v>
      </c>
      <c r="F757" s="354" t="s">
        <v>904</v>
      </c>
      <c r="G757" s="354" t="s">
        <v>677</v>
      </c>
      <c r="BF757" s="348"/>
    </row>
    <row r="758" spans="2:58" ht="13.5" thickBot="1">
      <c r="B758" s="366"/>
      <c r="BF758" s="348"/>
    </row>
    <row r="759" spans="2:58" ht="14" thickBot="1">
      <c r="B759" s="350" t="s">
        <v>912</v>
      </c>
      <c r="C759" s="351" t="s">
        <v>914</v>
      </c>
      <c r="D759" s="351"/>
      <c r="E759" s="351"/>
      <c r="F759" s="351"/>
      <c r="G759" s="351"/>
      <c r="H759" s="351"/>
      <c r="I759" s="351"/>
      <c r="J759" s="351"/>
      <c r="K759" s="351"/>
      <c r="L759" s="351"/>
      <c r="M759" s="351"/>
      <c r="N759" s="351"/>
      <c r="O759" s="351"/>
      <c r="P759" s="351"/>
      <c r="Q759" s="351"/>
      <c r="R759" s="351"/>
      <c r="S759" s="351"/>
      <c r="T759" s="351"/>
      <c r="U759" s="351"/>
      <c r="V759" s="351"/>
      <c r="W759" s="351"/>
      <c r="X759" s="351"/>
      <c r="Y759" s="351"/>
      <c r="Z759" s="351"/>
      <c r="AA759" s="351"/>
      <c r="AB759" s="351"/>
      <c r="AC759" s="351"/>
      <c r="AD759" s="351"/>
      <c r="AE759" s="351"/>
      <c r="AF759" s="351"/>
      <c r="AG759" s="351"/>
      <c r="AH759" s="351"/>
      <c r="AI759" s="351"/>
      <c r="AJ759" s="351"/>
      <c r="AK759" s="351"/>
      <c r="AL759" s="351"/>
      <c r="AM759" s="351"/>
      <c r="AN759" s="351"/>
      <c r="AO759" s="351"/>
      <c r="AP759" s="351"/>
      <c r="AQ759" s="351"/>
      <c r="AR759" s="351"/>
      <c r="AS759" s="351"/>
      <c r="AT759" s="351"/>
      <c r="AU759" s="351"/>
      <c r="AV759" s="351"/>
      <c r="AW759" s="351"/>
      <c r="AX759" s="351"/>
      <c r="AY759" s="351"/>
      <c r="AZ759" s="351"/>
      <c r="BA759" s="351"/>
      <c r="BB759" s="351"/>
      <c r="BC759" s="351"/>
      <c r="BD759" s="351"/>
      <c r="BE759" s="351"/>
      <c r="BF759" s="454"/>
    </row>
    <row r="760" spans="2:58" ht="14" thickBot="1">
      <c r="B760" s="352" t="s">
        <v>675</v>
      </c>
      <c r="C760" s="351" t="s">
        <v>480</v>
      </c>
      <c r="D760" s="351"/>
      <c r="E760" s="351"/>
      <c r="F760" s="351"/>
      <c r="G760" s="351"/>
      <c r="H760" s="351"/>
      <c r="I760" s="351"/>
      <c r="J760" s="351"/>
      <c r="K760" s="351"/>
      <c r="L760" s="351"/>
      <c r="M760" s="351"/>
      <c r="N760" s="351"/>
      <c r="O760" s="351"/>
      <c r="P760" s="351"/>
      <c r="Q760" s="351"/>
      <c r="R760" s="351"/>
      <c r="S760" s="351"/>
      <c r="T760" s="351"/>
      <c r="U760" s="351"/>
      <c r="V760" s="351"/>
      <c r="W760" s="351"/>
      <c r="X760" s="351"/>
      <c r="Y760" s="351"/>
      <c r="Z760" s="351"/>
      <c r="AA760" s="351"/>
      <c r="AB760" s="351"/>
      <c r="AC760" s="351"/>
      <c r="AD760" s="351"/>
      <c r="AE760" s="351"/>
      <c r="AF760" s="351"/>
      <c r="AG760" s="351"/>
      <c r="AH760" s="351"/>
      <c r="AI760" s="351"/>
      <c r="AJ760" s="351"/>
      <c r="AK760" s="351"/>
      <c r="AL760" s="351"/>
      <c r="AM760" s="351"/>
      <c r="AN760" s="351"/>
      <c r="AO760" s="351"/>
      <c r="AP760" s="351"/>
      <c r="AQ760" s="351"/>
      <c r="AR760" s="351"/>
      <c r="AS760" s="351"/>
      <c r="AT760" s="351"/>
      <c r="AU760" s="351"/>
      <c r="AV760" s="351"/>
      <c r="AW760" s="351"/>
      <c r="AX760" s="351"/>
      <c r="AY760" s="351"/>
      <c r="AZ760" s="351"/>
      <c r="BA760" s="351"/>
      <c r="BB760" s="351"/>
      <c r="BC760" s="351"/>
      <c r="BD760" s="351"/>
      <c r="BE760" s="351"/>
      <c r="BF760" s="454"/>
    </row>
    <row r="761" spans="2:58">
      <c r="B761" s="366"/>
      <c r="BF761" s="348"/>
    </row>
    <row r="762" spans="2:58" ht="13.5">
      <c r="B762" s="366"/>
      <c r="C762" s="354" t="s">
        <v>481</v>
      </c>
      <c r="D762" s="354"/>
      <c r="E762" s="354"/>
      <c r="F762" s="354"/>
      <c r="G762" s="354"/>
      <c r="I762" s="354"/>
      <c r="AO762" s="354"/>
      <c r="BF762" s="348"/>
    </row>
    <row r="763" spans="2:58" ht="13.5">
      <c r="B763" s="366"/>
      <c r="C763" s="354" t="s">
        <v>903</v>
      </c>
      <c r="D763" s="354"/>
      <c r="E763" s="354"/>
      <c r="F763" s="354"/>
      <c r="G763" s="354"/>
      <c r="I763" s="354"/>
      <c r="AO763" s="354"/>
      <c r="BF763" s="348"/>
    </row>
    <row r="764" spans="2:58" ht="13.5">
      <c r="B764" s="366"/>
      <c r="C764" s="354"/>
      <c r="D764" s="354"/>
      <c r="E764" s="354"/>
      <c r="F764" s="354"/>
      <c r="G764" s="354"/>
      <c r="I764" s="354"/>
      <c r="AO764" s="354"/>
      <c r="BF764" s="348"/>
    </row>
    <row r="765" spans="2:58" ht="13.5">
      <c r="B765" s="366"/>
      <c r="C765" s="354" t="s">
        <v>153</v>
      </c>
      <c r="D765" s="354"/>
      <c r="E765" s="354"/>
      <c r="F765" s="354"/>
      <c r="G765" s="354"/>
      <c r="I765" s="354"/>
      <c r="AO765" s="354"/>
      <c r="BF765" s="348"/>
    </row>
    <row r="766" spans="2:58" ht="13.5">
      <c r="B766" s="366"/>
      <c r="C766" s="354" t="s">
        <v>641</v>
      </c>
      <c r="D766" s="354" t="s">
        <v>642</v>
      </c>
      <c r="E766" s="354" t="s">
        <v>205</v>
      </c>
      <c r="F766" s="354" t="s">
        <v>643</v>
      </c>
      <c r="G766" s="354" t="s">
        <v>644</v>
      </c>
      <c r="H766" s="354"/>
      <c r="I766" s="354"/>
      <c r="J766" s="354"/>
      <c r="K766" s="354"/>
      <c r="L766" s="354"/>
      <c r="M766" s="354"/>
      <c r="N766" s="354"/>
      <c r="O766" s="354"/>
      <c r="P766" s="354"/>
      <c r="Q766" s="354"/>
      <c r="R766" s="354"/>
      <c r="S766" s="354"/>
      <c r="T766" s="354"/>
      <c r="U766" s="354"/>
      <c r="BF766" s="348"/>
    </row>
    <row r="767" spans="2:58" ht="13.5">
      <c r="B767" s="366"/>
      <c r="C767" s="354">
        <v>-2</v>
      </c>
      <c r="D767" s="354" t="s">
        <v>156</v>
      </c>
      <c r="E767" s="354" t="s">
        <v>977</v>
      </c>
      <c r="F767" s="354" t="s">
        <v>904</v>
      </c>
      <c r="G767" s="354" t="s">
        <v>677</v>
      </c>
      <c r="I767" s="354"/>
      <c r="J767" s="354"/>
      <c r="K767" s="354"/>
      <c r="L767" s="354"/>
      <c r="M767" s="354"/>
      <c r="N767" s="354"/>
      <c r="O767" s="354"/>
      <c r="P767" s="354"/>
      <c r="Q767" s="354"/>
      <c r="R767" s="354"/>
      <c r="S767" s="354"/>
      <c r="T767" s="354"/>
      <c r="U767" s="354"/>
      <c r="AO767" s="354" t="s">
        <v>645</v>
      </c>
      <c r="BF767" s="348"/>
    </row>
    <row r="768" spans="2:58" ht="14" thickBot="1">
      <c r="B768" s="366"/>
      <c r="C768" s="354"/>
      <c r="D768" s="354"/>
      <c r="E768" s="354"/>
      <c r="F768" s="354"/>
      <c r="G768" s="354"/>
      <c r="I768" s="354"/>
      <c r="J768" s="354"/>
      <c r="K768" s="354"/>
      <c r="L768" s="354"/>
      <c r="M768" s="354"/>
      <c r="N768" s="354"/>
      <c r="O768" s="354"/>
      <c r="P768" s="354"/>
      <c r="Q768" s="354"/>
      <c r="R768" s="354"/>
      <c r="S768" s="354"/>
      <c r="T768" s="354"/>
      <c r="U768" s="354"/>
      <c r="AO768" s="354"/>
      <c r="BF768" s="348"/>
    </row>
    <row r="769" spans="2:58" ht="14" thickBot="1">
      <c r="B769" s="350" t="s">
        <v>913</v>
      </c>
      <c r="C769" s="351" t="s">
        <v>915</v>
      </c>
      <c r="D769" s="351"/>
      <c r="E769" s="351"/>
      <c r="F769" s="351"/>
      <c r="G769" s="351"/>
      <c r="H769" s="351"/>
      <c r="I769" s="351"/>
      <c r="J769" s="351"/>
      <c r="K769" s="351"/>
      <c r="L769" s="351"/>
      <c r="M769" s="351"/>
      <c r="N769" s="351"/>
      <c r="O769" s="351"/>
      <c r="P769" s="351"/>
      <c r="Q769" s="351"/>
      <c r="R769" s="351"/>
      <c r="S769" s="351"/>
      <c r="T769" s="351"/>
      <c r="U769" s="351"/>
      <c r="V769" s="351"/>
      <c r="W769" s="351"/>
      <c r="X769" s="351"/>
      <c r="Y769" s="351"/>
      <c r="Z769" s="351"/>
      <c r="AA769" s="351"/>
      <c r="AB769" s="351"/>
      <c r="AC769" s="351"/>
      <c r="AD769" s="351"/>
      <c r="AE769" s="351"/>
      <c r="AF769" s="351"/>
      <c r="AG769" s="351"/>
      <c r="AH769" s="351"/>
      <c r="AI769" s="351"/>
      <c r="AJ769" s="351"/>
      <c r="AK769" s="351"/>
      <c r="AL769" s="351"/>
      <c r="AM769" s="351"/>
      <c r="AN769" s="351"/>
      <c r="AO769" s="351"/>
      <c r="AP769" s="351"/>
      <c r="AQ769" s="351"/>
      <c r="AR769" s="351"/>
      <c r="AS769" s="351"/>
      <c r="AT769" s="351"/>
      <c r="AU769" s="351"/>
      <c r="AV769" s="351"/>
      <c r="AW769" s="351"/>
      <c r="AX769" s="351"/>
      <c r="AY769" s="351"/>
      <c r="AZ769" s="351"/>
      <c r="BA769" s="351"/>
      <c r="BB769" s="351"/>
      <c r="BC769" s="351"/>
      <c r="BD769" s="351"/>
      <c r="BE769" s="351"/>
      <c r="BF769" s="454"/>
    </row>
    <row r="770" spans="2:58" ht="14" thickBot="1">
      <c r="B770" s="352" t="s">
        <v>986</v>
      </c>
      <c r="C770" s="351" t="s">
        <v>674</v>
      </c>
      <c r="D770" s="351"/>
      <c r="E770" s="351"/>
      <c r="F770" s="351"/>
      <c r="G770" s="351"/>
      <c r="H770" s="351"/>
      <c r="I770" s="351"/>
      <c r="J770" s="351"/>
      <c r="K770" s="351"/>
      <c r="L770" s="351"/>
      <c r="M770" s="351"/>
      <c r="N770" s="351"/>
      <c r="O770" s="351"/>
      <c r="P770" s="351"/>
      <c r="Q770" s="351"/>
      <c r="R770" s="351"/>
      <c r="S770" s="351"/>
      <c r="T770" s="351"/>
      <c r="U770" s="351"/>
      <c r="V770" s="351"/>
      <c r="W770" s="351"/>
      <c r="X770" s="351"/>
      <c r="Y770" s="351"/>
      <c r="Z770" s="351"/>
      <c r="AA770" s="351"/>
      <c r="AB770" s="351"/>
      <c r="AC770" s="351"/>
      <c r="AD770" s="351"/>
      <c r="AE770" s="351"/>
      <c r="AF770" s="351"/>
      <c r="AG770" s="351"/>
      <c r="AH770" s="351"/>
      <c r="AI770" s="351"/>
      <c r="AJ770" s="351"/>
      <c r="AK770" s="351"/>
      <c r="AL770" s="351"/>
      <c r="AM770" s="351"/>
      <c r="AN770" s="351"/>
      <c r="AO770" s="351"/>
      <c r="AP770" s="351"/>
      <c r="AQ770" s="351"/>
      <c r="AR770" s="351"/>
      <c r="AS770" s="351"/>
      <c r="AT770" s="351"/>
      <c r="AU770" s="351"/>
      <c r="AV770" s="351"/>
      <c r="AW770" s="351"/>
      <c r="AX770" s="351"/>
      <c r="AY770" s="351"/>
      <c r="AZ770" s="351"/>
      <c r="BA770" s="351"/>
      <c r="BB770" s="351"/>
      <c r="BC770" s="351"/>
      <c r="BD770" s="351"/>
      <c r="BE770" s="351"/>
      <c r="BF770" s="454"/>
    </row>
    <row r="771" spans="2:58" ht="13.5">
      <c r="B771" s="366"/>
      <c r="C771" s="354"/>
      <c r="D771" s="354"/>
      <c r="E771" s="354"/>
      <c r="F771" s="354"/>
      <c r="G771" s="354"/>
      <c r="I771" s="354"/>
      <c r="J771" s="354"/>
      <c r="K771" s="354"/>
      <c r="L771" s="354"/>
      <c r="M771" s="354"/>
      <c r="N771" s="354"/>
      <c r="O771" s="354"/>
      <c r="P771" s="354"/>
      <c r="Q771" s="354"/>
      <c r="R771" s="354"/>
      <c r="S771" s="354"/>
      <c r="T771" s="354"/>
      <c r="U771" s="354"/>
      <c r="AO771" s="354"/>
      <c r="BF771" s="348"/>
    </row>
    <row r="772" spans="2:58" ht="13.5">
      <c r="B772" s="366"/>
      <c r="C772" s="354" t="s">
        <v>481</v>
      </c>
      <c r="D772" s="354"/>
      <c r="E772" s="354"/>
      <c r="F772" s="354"/>
      <c r="G772" s="354"/>
      <c r="I772" s="354"/>
      <c r="J772" s="354"/>
      <c r="K772" s="354"/>
      <c r="L772" s="354"/>
      <c r="M772" s="354"/>
      <c r="N772" s="354"/>
      <c r="O772" s="354"/>
      <c r="P772" s="354"/>
      <c r="Q772" s="354"/>
      <c r="R772" s="354"/>
      <c r="S772" s="354"/>
      <c r="T772" s="354"/>
      <c r="U772" s="354"/>
      <c r="AO772" s="354"/>
      <c r="BF772" s="348"/>
    </row>
    <row r="773" spans="2:58" ht="13.5">
      <c r="B773" s="366"/>
      <c r="C773" s="354" t="s">
        <v>917</v>
      </c>
      <c r="D773" s="354"/>
      <c r="E773" s="354"/>
      <c r="F773" s="354"/>
      <c r="G773" s="354"/>
      <c r="I773" s="354"/>
      <c r="J773" s="354"/>
      <c r="K773" s="354"/>
      <c r="L773" s="354"/>
      <c r="M773" s="354"/>
      <c r="N773" s="354"/>
      <c r="O773" s="354"/>
      <c r="P773" s="354"/>
      <c r="Q773" s="354"/>
      <c r="R773" s="354"/>
      <c r="S773" s="354"/>
      <c r="T773" s="354"/>
      <c r="U773" s="354"/>
      <c r="AO773" s="354"/>
      <c r="BF773" s="348"/>
    </row>
    <row r="774" spans="2:58" ht="13.5">
      <c r="B774" s="366"/>
      <c r="C774" s="354"/>
      <c r="D774" s="354"/>
      <c r="E774" s="354"/>
      <c r="F774" s="354"/>
      <c r="G774" s="354"/>
      <c r="I774" s="354"/>
      <c r="J774" s="354"/>
      <c r="K774" s="354"/>
      <c r="L774" s="354"/>
      <c r="M774" s="354"/>
      <c r="N774" s="354"/>
      <c r="O774" s="354"/>
      <c r="P774" s="354"/>
      <c r="Q774" s="354"/>
      <c r="R774" s="354"/>
      <c r="S774" s="354"/>
      <c r="T774" s="354"/>
      <c r="U774" s="354"/>
      <c r="AO774" s="354"/>
      <c r="BF774" s="348"/>
    </row>
    <row r="775" spans="2:58" ht="13.5">
      <c r="B775" s="366"/>
      <c r="C775" s="354" t="s">
        <v>153</v>
      </c>
      <c r="D775" s="354"/>
      <c r="E775" s="354"/>
      <c r="F775" s="354"/>
      <c r="G775" s="354"/>
      <c r="I775" s="354"/>
      <c r="J775" s="354"/>
      <c r="K775" s="354"/>
      <c r="L775" s="354"/>
      <c r="M775" s="354"/>
      <c r="N775" s="354"/>
      <c r="O775" s="354"/>
      <c r="P775" s="354"/>
      <c r="Q775" s="354"/>
      <c r="R775" s="354"/>
      <c r="S775" s="354"/>
      <c r="T775" s="354"/>
      <c r="U775" s="354"/>
      <c r="AO775" s="354"/>
      <c r="BF775" s="348"/>
    </row>
    <row r="776" spans="2:58" ht="13.5">
      <c r="B776" s="366"/>
      <c r="C776" s="354" t="s">
        <v>154</v>
      </c>
      <c r="D776" s="354" t="s">
        <v>155</v>
      </c>
      <c r="E776" s="354" t="s">
        <v>157</v>
      </c>
      <c r="F776" s="354" t="s">
        <v>159</v>
      </c>
      <c r="G776" s="354" t="s">
        <v>409</v>
      </c>
      <c r="H776" s="354"/>
      <c r="I776" s="354"/>
      <c r="J776" s="354"/>
      <c r="K776" s="354"/>
      <c r="L776" s="354"/>
      <c r="M776" s="354"/>
      <c r="N776" s="354"/>
      <c r="O776" s="354"/>
      <c r="P776" s="354"/>
      <c r="Q776" s="354"/>
      <c r="R776" s="354"/>
      <c r="S776" s="354"/>
      <c r="T776" s="354"/>
      <c r="U776" s="354"/>
      <c r="AO776" s="354"/>
      <c r="BF776" s="348"/>
    </row>
    <row r="777" spans="2:58" ht="13.5">
      <c r="B777" s="366"/>
      <c r="C777" s="354">
        <v>-2</v>
      </c>
      <c r="D777" s="354"/>
      <c r="E777" s="354"/>
      <c r="F777" s="354" t="s">
        <v>1026</v>
      </c>
      <c r="G777" s="354" t="s">
        <v>677</v>
      </c>
      <c r="I777" s="354" t="s">
        <v>156</v>
      </c>
      <c r="J777" s="354" t="s">
        <v>156</v>
      </c>
      <c r="K777" s="354" t="s">
        <v>156</v>
      </c>
      <c r="L777" s="354" t="s">
        <v>156</v>
      </c>
      <c r="M777" s="354" t="s">
        <v>156</v>
      </c>
      <c r="N777" s="354" t="s">
        <v>156</v>
      </c>
      <c r="O777" s="354" t="s">
        <v>156</v>
      </c>
      <c r="P777" s="354" t="s">
        <v>156</v>
      </c>
      <c r="Q777" s="354" t="s">
        <v>156</v>
      </c>
      <c r="R777" s="354" t="s">
        <v>156</v>
      </c>
      <c r="S777" s="354" t="s">
        <v>156</v>
      </c>
      <c r="T777" s="354" t="s">
        <v>156</v>
      </c>
      <c r="U777" s="354" t="s">
        <v>156</v>
      </c>
      <c r="AO777" s="354" t="s">
        <v>156</v>
      </c>
      <c r="BF777" s="348"/>
    </row>
    <row r="778" spans="2:58" ht="14" thickBot="1">
      <c r="B778" s="366"/>
      <c r="C778" s="354"/>
      <c r="D778" s="354"/>
      <c r="E778" s="354"/>
      <c r="F778" s="354"/>
      <c r="G778" s="354"/>
      <c r="I778" s="354"/>
      <c r="J778" s="354"/>
      <c r="K778" s="354"/>
      <c r="L778" s="354"/>
      <c r="M778" s="354"/>
      <c r="N778" s="354"/>
      <c r="O778" s="354"/>
      <c r="P778" s="354"/>
      <c r="Q778" s="354"/>
      <c r="R778" s="354"/>
      <c r="S778" s="354"/>
      <c r="T778" s="354"/>
      <c r="U778" s="354"/>
      <c r="AO778" s="354"/>
      <c r="BF778" s="348"/>
    </row>
    <row r="779" spans="2:58" ht="15" thickBot="1">
      <c r="B779" s="350" t="s">
        <v>919</v>
      </c>
      <c r="C779" s="351" t="s">
        <v>916</v>
      </c>
      <c r="D779" s="351"/>
      <c r="E779" s="351"/>
      <c r="F779" s="351"/>
      <c r="G779" s="351"/>
      <c r="H779" s="351"/>
      <c r="I779" s="351"/>
      <c r="J779" s="351"/>
      <c r="K779" s="351"/>
      <c r="L779" s="351"/>
      <c r="M779" s="351"/>
      <c r="N779" s="351"/>
      <c r="O779" s="351"/>
      <c r="P779" s="351"/>
      <c r="Q779" s="351"/>
      <c r="R779" s="351"/>
      <c r="S779" s="351"/>
      <c r="T779" s="351"/>
      <c r="U779" s="351"/>
      <c r="V779" s="351"/>
      <c r="W779" s="351"/>
      <c r="X779" s="351"/>
      <c r="Y779" s="351"/>
      <c r="Z779" s="351"/>
      <c r="AA779" s="351"/>
      <c r="AB779" s="351"/>
      <c r="AC779" s="351"/>
      <c r="AD779" s="351"/>
      <c r="AE779" s="351"/>
      <c r="AF779" s="351"/>
      <c r="AG779" s="351"/>
      <c r="AH779" s="351"/>
      <c r="AI779" s="351"/>
      <c r="AJ779" s="351"/>
      <c r="AK779" s="351"/>
      <c r="AL779" s="351"/>
      <c r="AM779" s="351"/>
      <c r="AN779" s="351"/>
      <c r="AO779" s="351"/>
      <c r="AP779" s="351"/>
      <c r="AQ779" s="351"/>
      <c r="AR779" s="351"/>
      <c r="AS779" s="351"/>
      <c r="AT779" s="351"/>
      <c r="AU779" s="351"/>
      <c r="AV779" s="351"/>
      <c r="AW779" s="351"/>
      <c r="AX779" s="351"/>
      <c r="AY779" s="351"/>
      <c r="AZ779" s="351"/>
      <c r="BA779" s="351"/>
      <c r="BB779" s="351"/>
      <c r="BC779" s="351"/>
      <c r="BD779" s="351"/>
      <c r="BE779" s="351"/>
      <c r="BF779" s="454"/>
    </row>
    <row r="780" spans="2:58" ht="14" thickBot="1">
      <c r="B780" s="352" t="s">
        <v>986</v>
      </c>
      <c r="C780" s="351" t="s">
        <v>674</v>
      </c>
      <c r="D780" s="351"/>
      <c r="E780" s="351"/>
      <c r="F780" s="351"/>
      <c r="G780" s="351"/>
      <c r="H780" s="351"/>
      <c r="I780" s="351"/>
      <c r="J780" s="351"/>
      <c r="K780" s="351"/>
      <c r="L780" s="351"/>
      <c r="M780" s="351"/>
      <c r="N780" s="351"/>
      <c r="O780" s="351"/>
      <c r="P780" s="351"/>
      <c r="Q780" s="351"/>
      <c r="R780" s="351"/>
      <c r="S780" s="351"/>
      <c r="T780" s="351"/>
      <c r="U780" s="351"/>
      <c r="V780" s="351"/>
      <c r="W780" s="351"/>
      <c r="X780" s="351"/>
      <c r="Y780" s="351"/>
      <c r="Z780" s="351"/>
      <c r="AA780" s="351"/>
      <c r="AB780" s="351"/>
      <c r="AC780" s="351"/>
      <c r="AD780" s="351"/>
      <c r="AE780" s="351"/>
      <c r="AF780" s="351"/>
      <c r="AG780" s="351"/>
      <c r="AH780" s="351"/>
      <c r="AI780" s="351"/>
      <c r="AJ780" s="351"/>
      <c r="AK780" s="351"/>
      <c r="AL780" s="351"/>
      <c r="AM780" s="351"/>
      <c r="AN780" s="351"/>
      <c r="AO780" s="351"/>
      <c r="AP780" s="351"/>
      <c r="AQ780" s="351"/>
      <c r="AR780" s="351"/>
      <c r="AS780" s="351"/>
      <c r="AT780" s="351"/>
      <c r="AU780" s="351"/>
      <c r="AV780" s="351"/>
      <c r="AW780" s="351"/>
      <c r="AX780" s="351"/>
      <c r="AY780" s="351"/>
      <c r="AZ780" s="351"/>
      <c r="BA780" s="351"/>
      <c r="BB780" s="351"/>
      <c r="BC780" s="351"/>
      <c r="BD780" s="351"/>
      <c r="BE780" s="351"/>
      <c r="BF780" s="454"/>
    </row>
    <row r="781" spans="2:58" ht="13.5">
      <c r="B781" s="366"/>
      <c r="C781" s="354"/>
      <c r="D781" s="354"/>
      <c r="E781" s="354"/>
      <c r="F781" s="354"/>
      <c r="G781" s="354"/>
      <c r="I781" s="354"/>
      <c r="J781" s="354"/>
      <c r="K781" s="354"/>
      <c r="L781" s="354"/>
      <c r="M781" s="354"/>
      <c r="N781" s="354"/>
      <c r="O781" s="354"/>
      <c r="P781" s="354"/>
      <c r="Q781" s="354"/>
      <c r="R781" s="354"/>
      <c r="S781" s="354"/>
      <c r="T781" s="354"/>
      <c r="U781" s="354"/>
      <c r="AO781" s="354"/>
      <c r="BF781" s="348"/>
    </row>
    <row r="782" spans="2:58" ht="13.5">
      <c r="B782" s="366"/>
      <c r="C782" s="354" t="s">
        <v>481</v>
      </c>
      <c r="D782" s="354"/>
      <c r="E782" s="354"/>
      <c r="F782" s="354"/>
      <c r="G782" s="354"/>
      <c r="I782" s="354"/>
      <c r="J782" s="354"/>
      <c r="K782" s="354"/>
      <c r="L782" s="354"/>
      <c r="M782" s="354"/>
      <c r="N782" s="354"/>
      <c r="O782" s="354"/>
      <c r="P782" s="354"/>
      <c r="Q782" s="354"/>
      <c r="R782" s="354"/>
      <c r="S782" s="354"/>
      <c r="T782" s="354"/>
      <c r="U782" s="354"/>
      <c r="AO782" s="354"/>
      <c r="BF782" s="348"/>
    </row>
    <row r="783" spans="2:58" ht="13.5">
      <c r="B783" s="366"/>
      <c r="C783" s="354" t="s">
        <v>1024</v>
      </c>
      <c r="D783" s="354"/>
      <c r="E783" s="354"/>
      <c r="F783" s="354"/>
      <c r="G783" s="354"/>
      <c r="I783" s="354"/>
      <c r="J783" s="354"/>
      <c r="K783" s="354"/>
      <c r="L783" s="354"/>
      <c r="M783" s="354"/>
      <c r="N783" s="354"/>
      <c r="O783" s="354"/>
      <c r="P783" s="354"/>
      <c r="Q783" s="354"/>
      <c r="R783" s="354"/>
      <c r="S783" s="354"/>
      <c r="T783" s="354"/>
      <c r="U783" s="354"/>
      <c r="AO783" s="354"/>
      <c r="BF783" s="348"/>
    </row>
    <row r="784" spans="2:58" ht="13.5">
      <c r="B784" s="366"/>
      <c r="C784" s="354"/>
      <c r="D784" s="354"/>
      <c r="E784" s="354"/>
      <c r="F784" s="354"/>
      <c r="G784" s="354"/>
      <c r="I784" s="354"/>
      <c r="J784" s="354"/>
      <c r="K784" s="354"/>
      <c r="L784" s="354"/>
      <c r="M784" s="354"/>
      <c r="N784" s="354"/>
      <c r="O784" s="354"/>
      <c r="P784" s="354"/>
      <c r="Q784" s="354"/>
      <c r="R784" s="354"/>
      <c r="S784" s="354"/>
      <c r="T784" s="354"/>
      <c r="U784" s="354"/>
      <c r="AO784" s="354"/>
      <c r="BF784" s="348"/>
    </row>
    <row r="785" spans="2:58" ht="13.5">
      <c r="B785" s="366"/>
      <c r="C785" s="354" t="s">
        <v>153</v>
      </c>
      <c r="D785" s="354"/>
      <c r="E785" s="354"/>
      <c r="F785" s="354"/>
      <c r="G785" s="354"/>
      <c r="I785" s="354"/>
      <c r="J785" s="354"/>
      <c r="K785" s="354"/>
      <c r="L785" s="354"/>
      <c r="M785" s="354"/>
      <c r="N785" s="354"/>
      <c r="O785" s="354"/>
      <c r="P785" s="354"/>
      <c r="Q785" s="354"/>
      <c r="R785" s="354"/>
      <c r="S785" s="354"/>
      <c r="T785" s="354"/>
      <c r="U785" s="354"/>
      <c r="AO785" s="354"/>
      <c r="BF785" s="348"/>
    </row>
    <row r="786" spans="2:58" ht="13.5">
      <c r="B786" s="366"/>
      <c r="C786" s="354" t="s">
        <v>154</v>
      </c>
      <c r="D786" s="354" t="s">
        <v>155</v>
      </c>
      <c r="E786" s="354" t="s">
        <v>157</v>
      </c>
      <c r="F786" s="354" t="s">
        <v>159</v>
      </c>
      <c r="G786" s="354" t="s">
        <v>409</v>
      </c>
      <c r="H786" s="354"/>
      <c r="I786" s="354"/>
      <c r="J786" s="354"/>
      <c r="K786" s="354"/>
      <c r="L786" s="354"/>
      <c r="M786" s="354"/>
      <c r="N786" s="354"/>
      <c r="O786" s="354"/>
      <c r="P786" s="354"/>
      <c r="Q786" s="354"/>
      <c r="R786" s="354"/>
      <c r="S786" s="354"/>
      <c r="T786" s="354"/>
      <c r="U786" s="354"/>
      <c r="AO786" s="354"/>
      <c r="BF786" s="348"/>
    </row>
    <row r="787" spans="2:58" ht="13.5">
      <c r="B787" s="366"/>
      <c r="C787" s="354">
        <v>-2</v>
      </c>
      <c r="D787" s="354"/>
      <c r="E787" s="354"/>
      <c r="F787" s="354" t="s">
        <v>1025</v>
      </c>
      <c r="G787" s="354" t="s">
        <v>677</v>
      </c>
      <c r="I787" s="354"/>
      <c r="J787" s="354"/>
      <c r="K787" s="354"/>
      <c r="L787" s="354"/>
      <c r="M787" s="354"/>
      <c r="N787" s="354"/>
      <c r="O787" s="354"/>
      <c r="P787" s="354"/>
      <c r="Q787" s="354"/>
      <c r="R787" s="354"/>
      <c r="S787" s="354"/>
      <c r="T787" s="354"/>
      <c r="U787" s="354"/>
      <c r="AO787" s="354" t="s">
        <v>156</v>
      </c>
      <c r="BF787" s="348"/>
    </row>
    <row r="788" spans="2:58" ht="13.5">
      <c r="B788" s="366"/>
      <c r="C788" s="354"/>
      <c r="D788" s="354"/>
      <c r="E788" s="354"/>
      <c r="F788" s="354"/>
      <c r="G788" s="354"/>
      <c r="I788" s="354"/>
      <c r="J788" s="354"/>
      <c r="K788" s="354"/>
      <c r="L788" s="354"/>
      <c r="M788" s="354"/>
      <c r="N788" s="354"/>
      <c r="O788" s="354"/>
      <c r="P788" s="354"/>
      <c r="Q788" s="354"/>
      <c r="R788" s="354"/>
      <c r="S788" s="354"/>
      <c r="T788" s="354"/>
      <c r="U788" s="354"/>
      <c r="AO788" s="354"/>
      <c r="BF788" s="348"/>
    </row>
    <row r="789" spans="2:58" ht="13.5">
      <c r="B789" s="366"/>
      <c r="C789" s="354"/>
      <c r="D789" s="354"/>
      <c r="E789" s="354"/>
      <c r="F789" s="354"/>
      <c r="G789" s="354"/>
      <c r="I789" s="354"/>
      <c r="J789" s="354"/>
      <c r="K789" s="354"/>
      <c r="L789" s="354"/>
      <c r="M789" s="354"/>
      <c r="N789" s="354"/>
      <c r="O789" s="354"/>
      <c r="P789" s="354"/>
      <c r="Q789" s="354"/>
      <c r="R789" s="354"/>
      <c r="S789" s="354"/>
      <c r="T789" s="354"/>
      <c r="U789" s="354"/>
      <c r="AO789" s="354"/>
      <c r="BF789" s="348"/>
    </row>
    <row r="790" spans="2:58" ht="14" thickBot="1">
      <c r="B790" s="447"/>
      <c r="C790" s="453"/>
      <c r="D790" s="453"/>
      <c r="E790" s="453"/>
      <c r="F790" s="453"/>
      <c r="G790" s="453"/>
      <c r="H790" s="448"/>
      <c r="I790" s="453"/>
      <c r="J790" s="453"/>
      <c r="K790" s="453"/>
      <c r="L790" s="453"/>
      <c r="M790" s="453"/>
      <c r="N790" s="453"/>
      <c r="O790" s="453"/>
      <c r="P790" s="453"/>
      <c r="Q790" s="453"/>
      <c r="R790" s="453"/>
      <c r="S790" s="453"/>
      <c r="T790" s="453"/>
      <c r="U790" s="453"/>
      <c r="V790" s="448"/>
      <c r="W790" s="448"/>
      <c r="X790" s="448"/>
      <c r="Y790" s="448"/>
      <c r="Z790" s="448"/>
      <c r="AA790" s="448"/>
      <c r="AB790" s="448"/>
      <c r="AC790" s="448"/>
      <c r="AD790" s="448"/>
      <c r="AE790" s="448"/>
      <c r="AF790" s="448"/>
      <c r="AG790" s="448"/>
      <c r="AH790" s="448"/>
      <c r="AI790" s="448"/>
      <c r="AJ790" s="448"/>
      <c r="AK790" s="448"/>
      <c r="AL790" s="448"/>
      <c r="AM790" s="448"/>
      <c r="AN790" s="448"/>
      <c r="AO790" s="453"/>
      <c r="AP790" s="448"/>
      <c r="AQ790" s="448"/>
      <c r="AR790" s="448"/>
      <c r="AS790" s="448"/>
      <c r="AT790" s="448"/>
      <c r="AU790" s="448"/>
      <c r="AV790" s="448"/>
      <c r="AW790" s="448"/>
      <c r="AX790" s="448"/>
      <c r="AY790" s="448"/>
      <c r="AZ790" s="448"/>
      <c r="BA790" s="448"/>
      <c r="BB790" s="448"/>
      <c r="BC790" s="448"/>
      <c r="BD790" s="448"/>
      <c r="BE790" s="448"/>
      <c r="BF790" s="449"/>
    </row>
    <row r="791" spans="2:58" ht="13.5">
      <c r="C791" s="354"/>
      <c r="D791" s="354"/>
      <c r="E791" s="354"/>
      <c r="F791" s="354"/>
      <c r="G791" s="354"/>
      <c r="I791" s="354"/>
      <c r="J791" s="354"/>
      <c r="K791" s="354"/>
      <c r="L791" s="354"/>
      <c r="M791" s="354"/>
      <c r="N791" s="354"/>
      <c r="O791" s="354"/>
      <c r="P791" s="354"/>
      <c r="Q791" s="354"/>
      <c r="R791" s="354"/>
      <c r="S791" s="354"/>
      <c r="T791" s="354"/>
      <c r="U791" s="354"/>
      <c r="AO791" s="354"/>
    </row>
    <row r="792" spans="2:58" ht="13.5">
      <c r="C792" s="354"/>
      <c r="D792" s="354"/>
      <c r="E792" s="354"/>
      <c r="F792" s="354"/>
      <c r="G792" s="354"/>
      <c r="I792" s="354"/>
      <c r="J792" s="354"/>
      <c r="K792" s="354"/>
      <c r="L792" s="354"/>
      <c r="M792" s="354"/>
      <c r="N792" s="354"/>
      <c r="O792" s="354"/>
      <c r="P792" s="354"/>
      <c r="Q792" s="354"/>
      <c r="R792" s="354"/>
      <c r="S792" s="354"/>
      <c r="T792" s="354"/>
      <c r="U792" s="354"/>
      <c r="AO792" s="354"/>
    </row>
    <row r="793" spans="2:58" ht="13.5">
      <c r="C793" s="354"/>
      <c r="D793" s="354"/>
      <c r="E793" s="354"/>
      <c r="F793" s="354"/>
      <c r="G793" s="354"/>
      <c r="I793" s="354"/>
      <c r="J793" s="354"/>
      <c r="K793" s="354"/>
      <c r="L793" s="354"/>
      <c r="M793" s="354"/>
      <c r="N793" s="354"/>
      <c r="O793" s="354"/>
      <c r="P793" s="354"/>
      <c r="Q793" s="354"/>
      <c r="R793" s="354"/>
      <c r="S793" s="354"/>
      <c r="T793" s="354"/>
      <c r="U793" s="354"/>
      <c r="AO793" s="354"/>
    </row>
    <row r="794" spans="2:58" ht="13.5">
      <c r="C794" s="354"/>
      <c r="D794" s="354"/>
      <c r="E794" s="354"/>
      <c r="F794" s="354"/>
      <c r="G794" s="354"/>
      <c r="I794" s="354"/>
      <c r="J794" s="354"/>
      <c r="K794" s="354"/>
      <c r="L794" s="354"/>
      <c r="M794" s="354"/>
      <c r="N794" s="354"/>
      <c r="O794" s="354"/>
      <c r="P794" s="354"/>
      <c r="Q794" s="354"/>
      <c r="R794" s="354"/>
      <c r="S794" s="354"/>
      <c r="T794" s="354"/>
      <c r="U794" s="354"/>
      <c r="AO794" s="354"/>
    </row>
    <row r="795" spans="2:58" ht="13.5">
      <c r="C795" s="354"/>
      <c r="D795" s="354"/>
      <c r="E795" s="354"/>
      <c r="F795" s="354"/>
      <c r="G795" s="354"/>
      <c r="I795" s="354"/>
      <c r="J795" s="354"/>
      <c r="K795" s="354"/>
      <c r="L795" s="354"/>
      <c r="M795" s="354"/>
      <c r="N795" s="354"/>
      <c r="O795" s="354"/>
      <c r="P795" s="354"/>
      <c r="Q795" s="354"/>
      <c r="R795" s="354"/>
      <c r="S795" s="354"/>
      <c r="T795" s="354"/>
      <c r="U795" s="354"/>
      <c r="AO795" s="354"/>
    </row>
    <row r="796" spans="2:58" ht="13.5">
      <c r="C796" s="354"/>
      <c r="D796" s="354"/>
      <c r="E796" s="354"/>
      <c r="F796" s="354"/>
      <c r="G796" s="354"/>
      <c r="I796" s="354"/>
      <c r="J796" s="354"/>
      <c r="K796" s="354"/>
      <c r="L796" s="354"/>
      <c r="M796" s="354"/>
      <c r="N796" s="354"/>
      <c r="O796" s="354"/>
      <c r="P796" s="354"/>
      <c r="Q796" s="354"/>
      <c r="R796" s="354"/>
      <c r="S796" s="354"/>
      <c r="T796" s="354"/>
      <c r="U796" s="354"/>
      <c r="AO796" s="354"/>
    </row>
    <row r="797" spans="2:58" ht="13.5">
      <c r="C797" s="354"/>
      <c r="D797" s="354"/>
      <c r="E797" s="354"/>
      <c r="F797" s="354"/>
      <c r="G797" s="354"/>
      <c r="I797" s="354"/>
      <c r="J797" s="354"/>
      <c r="K797" s="354"/>
      <c r="L797" s="354"/>
      <c r="M797" s="354"/>
      <c r="N797" s="354"/>
      <c r="O797" s="354"/>
      <c r="P797" s="354"/>
      <c r="Q797" s="354"/>
      <c r="R797" s="354"/>
      <c r="S797" s="354"/>
      <c r="T797" s="354"/>
      <c r="U797" s="354"/>
      <c r="AO797" s="354"/>
    </row>
    <row r="798" spans="2:58" ht="13.5">
      <c r="C798" s="354"/>
      <c r="D798" s="354"/>
      <c r="E798" s="354"/>
      <c r="F798" s="354"/>
      <c r="G798" s="354"/>
      <c r="I798" s="354"/>
      <c r="J798" s="354"/>
      <c r="K798" s="354"/>
      <c r="L798" s="354"/>
      <c r="M798" s="354"/>
      <c r="N798" s="354"/>
      <c r="O798" s="354"/>
      <c r="P798" s="354"/>
      <c r="Q798" s="354"/>
      <c r="R798" s="354"/>
      <c r="S798" s="354"/>
      <c r="T798" s="354"/>
      <c r="U798" s="354"/>
      <c r="AO798" s="354"/>
    </row>
    <row r="799" spans="2:58" ht="13.5">
      <c r="C799" s="354"/>
      <c r="D799" s="354"/>
      <c r="E799" s="354"/>
      <c r="F799" s="354"/>
      <c r="G799" s="354"/>
      <c r="I799" s="354"/>
      <c r="J799" s="354"/>
      <c r="K799" s="354"/>
      <c r="L799" s="354"/>
      <c r="M799" s="354"/>
      <c r="N799" s="354"/>
      <c r="O799" s="354"/>
      <c r="P799" s="354"/>
      <c r="Q799" s="354"/>
      <c r="R799" s="354"/>
      <c r="S799" s="354"/>
      <c r="T799" s="354"/>
      <c r="U799" s="354"/>
      <c r="AO799" s="354"/>
    </row>
    <row r="800" spans="2:58" ht="13.5">
      <c r="C800" s="354"/>
      <c r="D800" s="354"/>
      <c r="E800" s="354"/>
      <c r="F800" s="354"/>
      <c r="G800" s="354"/>
      <c r="I800" s="354"/>
      <c r="J800" s="354"/>
      <c r="K800" s="354"/>
      <c r="L800" s="354"/>
      <c r="M800" s="354"/>
      <c r="N800" s="354"/>
      <c r="O800" s="354"/>
      <c r="P800" s="354"/>
      <c r="Q800" s="354"/>
      <c r="R800" s="354"/>
      <c r="S800" s="354"/>
      <c r="T800" s="354"/>
      <c r="U800" s="354"/>
      <c r="AO800" s="354"/>
    </row>
    <row r="801" spans="3:41" ht="13.5">
      <c r="C801" s="354"/>
      <c r="D801" s="354"/>
      <c r="E801" s="354"/>
      <c r="F801" s="354"/>
      <c r="G801" s="354"/>
      <c r="I801" s="354"/>
      <c r="J801" s="354"/>
      <c r="K801" s="354"/>
      <c r="L801" s="354"/>
      <c r="M801" s="354"/>
      <c r="N801" s="354"/>
      <c r="O801" s="354"/>
      <c r="P801" s="354"/>
      <c r="Q801" s="354"/>
      <c r="R801" s="354"/>
      <c r="S801" s="354"/>
      <c r="T801" s="354"/>
      <c r="U801" s="354"/>
      <c r="AO801" s="354"/>
    </row>
    <row r="802" spans="3:41" ht="13.5">
      <c r="C802" s="354"/>
      <c r="D802" s="354"/>
      <c r="E802" s="354"/>
      <c r="F802" s="354"/>
      <c r="G802" s="354"/>
      <c r="I802" s="354"/>
      <c r="J802" s="354"/>
      <c r="K802" s="354"/>
      <c r="L802" s="354"/>
      <c r="M802" s="354"/>
      <c r="N802" s="354"/>
      <c r="O802" s="354"/>
      <c r="P802" s="354"/>
      <c r="Q802" s="354"/>
      <c r="R802" s="354"/>
      <c r="S802" s="354"/>
      <c r="T802" s="354"/>
      <c r="U802" s="354"/>
      <c r="AO802" s="354"/>
    </row>
    <row r="803" spans="3:41" ht="13.5">
      <c r="C803" s="354"/>
      <c r="D803" s="354"/>
      <c r="E803" s="354"/>
      <c r="F803" s="354"/>
      <c r="G803" s="354"/>
      <c r="I803" s="354"/>
      <c r="J803" s="354"/>
      <c r="K803" s="354"/>
      <c r="L803" s="354"/>
      <c r="M803" s="354"/>
      <c r="N803" s="354"/>
      <c r="O803" s="354"/>
      <c r="P803" s="354"/>
      <c r="Q803" s="354"/>
      <c r="R803" s="354"/>
      <c r="S803" s="354"/>
      <c r="T803" s="354"/>
      <c r="U803" s="354"/>
      <c r="AO803" s="354"/>
    </row>
    <row r="804" spans="3:41" ht="13.5">
      <c r="C804" s="354"/>
      <c r="D804" s="354"/>
      <c r="E804" s="354"/>
      <c r="F804" s="354"/>
      <c r="G804" s="354"/>
      <c r="I804" s="354"/>
      <c r="J804" s="354"/>
      <c r="K804" s="354"/>
      <c r="L804" s="354"/>
      <c r="M804" s="354"/>
      <c r="N804" s="354"/>
      <c r="O804" s="354"/>
      <c r="P804" s="354"/>
      <c r="Q804" s="354"/>
      <c r="R804" s="354"/>
      <c r="S804" s="354"/>
      <c r="T804" s="354"/>
      <c r="U804" s="354"/>
      <c r="AO804" s="354"/>
    </row>
    <row r="805" spans="3:41" ht="13.5">
      <c r="C805" s="354"/>
      <c r="D805" s="354"/>
      <c r="E805" s="354"/>
      <c r="F805" s="354"/>
      <c r="G805" s="354"/>
      <c r="I805" s="354"/>
      <c r="J805" s="354"/>
      <c r="K805" s="354"/>
      <c r="L805" s="354"/>
      <c r="M805" s="354"/>
      <c r="N805" s="354"/>
      <c r="O805" s="354"/>
      <c r="P805" s="354"/>
      <c r="Q805" s="354"/>
      <c r="R805" s="354"/>
      <c r="S805" s="354"/>
      <c r="T805" s="354"/>
      <c r="U805" s="354"/>
      <c r="AO805" s="354"/>
    </row>
    <row r="806" spans="3:41" ht="13.5">
      <c r="C806" s="354"/>
      <c r="D806" s="354"/>
      <c r="E806" s="354"/>
      <c r="F806" s="354"/>
      <c r="G806" s="354"/>
      <c r="I806" s="354"/>
      <c r="J806" s="354"/>
      <c r="K806" s="354"/>
      <c r="L806" s="354"/>
      <c r="M806" s="354"/>
      <c r="N806" s="354"/>
      <c r="O806" s="354"/>
      <c r="P806" s="354"/>
      <c r="Q806" s="354"/>
      <c r="R806" s="354"/>
      <c r="S806" s="354"/>
      <c r="T806" s="354"/>
      <c r="U806" s="354"/>
      <c r="AO806" s="354"/>
    </row>
    <row r="807" spans="3:41" ht="13.5">
      <c r="C807" s="354"/>
      <c r="D807" s="354"/>
      <c r="E807" s="354"/>
      <c r="F807" s="354"/>
      <c r="G807" s="354"/>
      <c r="I807" s="354"/>
      <c r="J807" s="354"/>
      <c r="K807" s="354"/>
      <c r="L807" s="354"/>
      <c r="M807" s="354"/>
      <c r="N807" s="354"/>
      <c r="O807" s="354"/>
      <c r="P807" s="354"/>
      <c r="Q807" s="354"/>
      <c r="R807" s="354"/>
      <c r="S807" s="354"/>
      <c r="T807" s="354"/>
      <c r="U807" s="354"/>
      <c r="AO807" s="354"/>
    </row>
    <row r="808" spans="3:41" ht="13.5">
      <c r="C808" s="354"/>
      <c r="D808" s="354"/>
      <c r="E808" s="354"/>
      <c r="F808" s="354"/>
      <c r="G808" s="354"/>
      <c r="I808" s="354"/>
      <c r="J808" s="354"/>
      <c r="K808" s="354"/>
      <c r="L808" s="354"/>
      <c r="M808" s="354"/>
      <c r="N808" s="354"/>
      <c r="O808" s="354"/>
      <c r="P808" s="354"/>
      <c r="Q808" s="354"/>
      <c r="R808" s="354"/>
      <c r="S808" s="354"/>
      <c r="T808" s="354"/>
      <c r="U808" s="354"/>
      <c r="AO808" s="354"/>
    </row>
    <row r="809" spans="3:41" ht="13.5">
      <c r="C809" s="354"/>
      <c r="D809" s="354"/>
      <c r="E809" s="354"/>
      <c r="F809" s="354"/>
      <c r="G809" s="354"/>
      <c r="I809" s="354"/>
      <c r="J809" s="354"/>
      <c r="K809" s="354"/>
      <c r="L809" s="354"/>
      <c r="M809" s="354"/>
      <c r="N809" s="354"/>
      <c r="O809" s="354"/>
      <c r="P809" s="354"/>
      <c r="Q809" s="354"/>
      <c r="R809" s="354"/>
      <c r="S809" s="354"/>
      <c r="T809" s="354"/>
      <c r="U809" s="354"/>
      <c r="AO809" s="354"/>
    </row>
    <row r="810" spans="3:41" ht="13.5">
      <c r="C810" s="354"/>
      <c r="D810" s="354"/>
      <c r="E810" s="354"/>
      <c r="F810" s="354"/>
      <c r="G810" s="354"/>
      <c r="I810" s="354"/>
      <c r="J810" s="354"/>
      <c r="K810" s="354"/>
      <c r="L810" s="354"/>
      <c r="M810" s="354"/>
      <c r="N810" s="354"/>
      <c r="O810" s="354"/>
      <c r="P810" s="354"/>
      <c r="Q810" s="354"/>
      <c r="R810" s="354"/>
      <c r="S810" s="354"/>
      <c r="T810" s="354"/>
      <c r="U810" s="354"/>
      <c r="AO810" s="354"/>
    </row>
    <row r="811" spans="3:41" ht="13.5">
      <c r="C811" s="354"/>
      <c r="D811" s="354"/>
      <c r="E811" s="354"/>
      <c r="F811" s="354"/>
      <c r="G811" s="354"/>
      <c r="I811" s="354"/>
      <c r="J811" s="354"/>
      <c r="K811" s="354"/>
      <c r="L811" s="354"/>
      <c r="M811" s="354"/>
      <c r="N811" s="354"/>
      <c r="O811" s="354"/>
      <c r="P811" s="354"/>
      <c r="Q811" s="354"/>
      <c r="R811" s="354"/>
      <c r="S811" s="354"/>
      <c r="T811" s="354"/>
      <c r="U811" s="354"/>
      <c r="AO811" s="354"/>
    </row>
    <row r="812" spans="3:41" ht="13.5">
      <c r="C812" s="354"/>
      <c r="D812" s="354"/>
      <c r="E812" s="354"/>
      <c r="F812" s="354"/>
      <c r="G812" s="354"/>
      <c r="I812" s="354"/>
      <c r="J812" s="354"/>
      <c r="K812" s="354"/>
      <c r="L812" s="354"/>
      <c r="M812" s="354"/>
      <c r="N812" s="354"/>
      <c r="O812" s="354"/>
      <c r="P812" s="354"/>
      <c r="Q812" s="354"/>
      <c r="R812" s="354"/>
      <c r="S812" s="354"/>
      <c r="T812" s="354"/>
      <c r="U812" s="354"/>
      <c r="AO812" s="354"/>
    </row>
    <row r="813" spans="3:41" ht="13.5">
      <c r="C813" s="354"/>
      <c r="D813" s="354"/>
      <c r="E813" s="354"/>
      <c r="F813" s="354"/>
      <c r="G813" s="354"/>
      <c r="I813" s="354"/>
      <c r="J813" s="354"/>
      <c r="K813" s="354"/>
      <c r="L813" s="354"/>
      <c r="M813" s="354"/>
      <c r="N813" s="354"/>
      <c r="O813" s="354"/>
      <c r="P813" s="354"/>
      <c r="Q813" s="354"/>
      <c r="R813" s="354"/>
      <c r="S813" s="354"/>
      <c r="T813" s="354"/>
      <c r="U813" s="354"/>
      <c r="AO813" s="354"/>
    </row>
    <row r="814" spans="3:41" ht="13.5">
      <c r="C814" s="354"/>
      <c r="D814" s="354"/>
      <c r="E814" s="354"/>
      <c r="F814" s="354"/>
      <c r="G814" s="354"/>
      <c r="I814" s="354"/>
      <c r="J814" s="354"/>
      <c r="K814" s="354"/>
      <c r="L814" s="354"/>
      <c r="M814" s="354"/>
      <c r="N814" s="354"/>
      <c r="O814" s="354"/>
      <c r="P814" s="354"/>
      <c r="Q814" s="354"/>
      <c r="R814" s="354"/>
      <c r="S814" s="354"/>
      <c r="T814" s="354"/>
      <c r="U814" s="354"/>
      <c r="AO814" s="354"/>
    </row>
    <row r="815" spans="3:41" ht="13.5">
      <c r="C815" s="354"/>
      <c r="D815" s="354"/>
      <c r="E815" s="354"/>
      <c r="F815" s="354"/>
      <c r="G815" s="354"/>
      <c r="I815" s="354"/>
      <c r="J815" s="354"/>
      <c r="K815" s="354"/>
      <c r="L815" s="354"/>
      <c r="M815" s="354"/>
      <c r="N815" s="354"/>
      <c r="O815" s="354"/>
      <c r="P815" s="354"/>
      <c r="Q815" s="354"/>
      <c r="R815" s="354"/>
      <c r="S815" s="354"/>
      <c r="T815" s="354"/>
      <c r="U815" s="354"/>
      <c r="AO815" s="354"/>
    </row>
    <row r="816" spans="3:41" ht="13.5">
      <c r="C816" s="354"/>
      <c r="D816" s="354"/>
      <c r="E816" s="354"/>
      <c r="F816" s="354"/>
      <c r="G816" s="354"/>
      <c r="I816" s="354"/>
      <c r="J816" s="354"/>
      <c r="K816" s="354"/>
      <c r="L816" s="354"/>
      <c r="M816" s="354"/>
      <c r="N816" s="354"/>
      <c r="O816" s="354"/>
      <c r="P816" s="354"/>
      <c r="Q816" s="354"/>
      <c r="R816" s="354"/>
      <c r="S816" s="354"/>
      <c r="T816" s="354"/>
      <c r="U816" s="354"/>
      <c r="AO816" s="354"/>
    </row>
    <row r="817" spans="3:41" ht="13.5">
      <c r="C817" s="354"/>
      <c r="D817" s="354"/>
      <c r="E817" s="354"/>
      <c r="F817" s="354"/>
      <c r="G817" s="354"/>
      <c r="I817" s="354"/>
      <c r="J817" s="354"/>
      <c r="K817" s="354"/>
      <c r="L817" s="354"/>
      <c r="M817" s="354"/>
      <c r="N817" s="354"/>
      <c r="O817" s="354"/>
      <c r="P817" s="354"/>
      <c r="Q817" s="354"/>
      <c r="R817" s="354"/>
      <c r="S817" s="354"/>
      <c r="T817" s="354"/>
      <c r="U817" s="354"/>
      <c r="AO817" s="354"/>
    </row>
    <row r="818" spans="3:41" ht="13.5">
      <c r="C818" s="354"/>
      <c r="D818" s="354"/>
      <c r="E818" s="354"/>
      <c r="F818" s="354"/>
      <c r="G818" s="354"/>
      <c r="I818" s="354"/>
      <c r="J818" s="354"/>
      <c r="K818" s="354"/>
      <c r="L818" s="354"/>
      <c r="M818" s="354"/>
      <c r="N818" s="354"/>
      <c r="O818" s="354"/>
      <c r="P818" s="354"/>
      <c r="Q818" s="354"/>
      <c r="R818" s="354"/>
      <c r="S818" s="354"/>
      <c r="T818" s="354"/>
      <c r="U818" s="354"/>
      <c r="AO818" s="354"/>
    </row>
    <row r="819" spans="3:41" ht="13.5">
      <c r="C819" s="354"/>
      <c r="D819" s="354"/>
      <c r="E819" s="354"/>
      <c r="F819" s="354"/>
      <c r="G819" s="354"/>
      <c r="I819" s="354"/>
      <c r="J819" s="354"/>
      <c r="K819" s="354"/>
      <c r="L819" s="354"/>
      <c r="M819" s="354"/>
      <c r="N819" s="354"/>
      <c r="O819" s="354"/>
      <c r="P819" s="354"/>
      <c r="Q819" s="354"/>
      <c r="R819" s="354"/>
      <c r="S819" s="354"/>
      <c r="T819" s="354"/>
      <c r="U819" s="354"/>
      <c r="AO819" s="354"/>
    </row>
    <row r="820" spans="3:41" ht="13.5">
      <c r="C820" s="354"/>
      <c r="D820" s="354"/>
      <c r="E820" s="354"/>
      <c r="F820" s="354"/>
      <c r="G820" s="354"/>
      <c r="I820" s="354"/>
      <c r="J820" s="354"/>
      <c r="K820" s="354"/>
      <c r="L820" s="354"/>
      <c r="M820" s="354"/>
      <c r="N820" s="354"/>
      <c r="O820" s="354"/>
      <c r="P820" s="354"/>
      <c r="Q820" s="354"/>
      <c r="R820" s="354"/>
      <c r="S820" s="354"/>
      <c r="T820" s="354"/>
      <c r="U820" s="354"/>
      <c r="AO820" s="354"/>
    </row>
    <row r="821" spans="3:41" ht="13.5">
      <c r="C821" s="354"/>
      <c r="D821" s="354"/>
      <c r="E821" s="354"/>
      <c r="F821" s="354"/>
      <c r="G821" s="354"/>
      <c r="I821" s="354"/>
      <c r="J821" s="354"/>
      <c r="K821" s="354"/>
      <c r="L821" s="354"/>
      <c r="M821" s="354"/>
      <c r="N821" s="354"/>
      <c r="O821" s="354"/>
      <c r="P821" s="354"/>
      <c r="Q821" s="354"/>
      <c r="R821" s="354"/>
      <c r="S821" s="354"/>
      <c r="T821" s="354"/>
      <c r="U821" s="354"/>
      <c r="AO821" s="354"/>
    </row>
    <row r="822" spans="3:41" ht="13.5">
      <c r="C822" s="354"/>
      <c r="D822" s="354"/>
      <c r="E822" s="354"/>
      <c r="F822" s="354"/>
      <c r="G822" s="354"/>
      <c r="I822" s="354"/>
      <c r="J822" s="354"/>
      <c r="K822" s="354"/>
      <c r="L822" s="354"/>
      <c r="M822" s="354"/>
      <c r="N822" s="354"/>
      <c r="O822" s="354"/>
      <c r="P822" s="354"/>
      <c r="Q822" s="354"/>
      <c r="R822" s="354"/>
      <c r="S822" s="354"/>
      <c r="T822" s="354"/>
      <c r="U822" s="354"/>
      <c r="AO822" s="354"/>
    </row>
    <row r="823" spans="3:41" ht="13.5">
      <c r="C823" s="354"/>
      <c r="D823" s="354"/>
      <c r="E823" s="354"/>
      <c r="F823" s="354"/>
      <c r="G823" s="354"/>
      <c r="I823" s="354"/>
      <c r="J823" s="354"/>
      <c r="K823" s="354"/>
      <c r="L823" s="354"/>
      <c r="M823" s="354"/>
      <c r="N823" s="354"/>
      <c r="O823" s="354"/>
      <c r="P823" s="354"/>
      <c r="Q823" s="354"/>
      <c r="R823" s="354"/>
      <c r="S823" s="354"/>
      <c r="T823" s="354"/>
      <c r="U823" s="354"/>
      <c r="AO823" s="354"/>
    </row>
    <row r="824" spans="3:41" ht="13.5">
      <c r="C824" s="354"/>
      <c r="D824" s="354"/>
      <c r="E824" s="354"/>
      <c r="F824" s="354"/>
      <c r="G824" s="354"/>
      <c r="I824" s="354"/>
      <c r="J824" s="354"/>
      <c r="K824" s="354"/>
      <c r="L824" s="354"/>
      <c r="M824" s="354"/>
      <c r="N824" s="354"/>
      <c r="O824" s="354"/>
      <c r="P824" s="354"/>
      <c r="Q824" s="354"/>
      <c r="R824" s="354"/>
      <c r="S824" s="354"/>
      <c r="T824" s="354"/>
      <c r="U824" s="354"/>
      <c r="AO824" s="354"/>
    </row>
    <row r="825" spans="3:41" ht="13.5">
      <c r="C825" s="354"/>
      <c r="D825" s="354"/>
      <c r="E825" s="354"/>
      <c r="F825" s="354"/>
      <c r="G825" s="354"/>
      <c r="I825" s="354"/>
      <c r="J825" s="354"/>
      <c r="K825" s="354"/>
      <c r="L825" s="354"/>
      <c r="M825" s="354"/>
      <c r="N825" s="354"/>
      <c r="O825" s="354"/>
      <c r="P825" s="354"/>
      <c r="Q825" s="354"/>
      <c r="R825" s="354"/>
      <c r="S825" s="354"/>
      <c r="T825" s="354"/>
      <c r="U825" s="354"/>
      <c r="AO825" s="354"/>
    </row>
    <row r="826" spans="3:41" ht="13.5">
      <c r="C826" s="354"/>
      <c r="D826" s="354"/>
      <c r="E826" s="354"/>
      <c r="F826" s="354"/>
      <c r="G826" s="354"/>
      <c r="I826" s="354"/>
      <c r="J826" s="354"/>
      <c r="K826" s="354"/>
      <c r="L826" s="354"/>
      <c r="M826" s="354"/>
      <c r="N826" s="354"/>
      <c r="O826" s="354"/>
      <c r="P826" s="354"/>
      <c r="Q826" s="354"/>
      <c r="R826" s="354"/>
      <c r="S826" s="354"/>
      <c r="T826" s="354"/>
      <c r="U826" s="354"/>
      <c r="AO826" s="354"/>
    </row>
    <row r="827" spans="3:41" ht="13.5">
      <c r="C827" s="354"/>
      <c r="D827" s="354"/>
      <c r="E827" s="354"/>
      <c r="F827" s="354"/>
      <c r="G827" s="354"/>
      <c r="I827" s="354"/>
      <c r="J827" s="354"/>
      <c r="K827" s="354"/>
      <c r="L827" s="354"/>
      <c r="M827" s="354"/>
      <c r="N827" s="354"/>
      <c r="O827" s="354"/>
      <c r="P827" s="354"/>
      <c r="Q827" s="354"/>
      <c r="R827" s="354"/>
      <c r="S827" s="354"/>
      <c r="T827" s="354"/>
      <c r="U827" s="354"/>
      <c r="AO827" s="354"/>
    </row>
    <row r="828" spans="3:41" ht="13.5">
      <c r="C828" s="354"/>
      <c r="D828" s="354"/>
      <c r="E828" s="354"/>
      <c r="F828" s="354"/>
      <c r="G828" s="354"/>
      <c r="I828" s="354"/>
      <c r="J828" s="354"/>
      <c r="K828" s="354"/>
      <c r="L828" s="354"/>
      <c r="M828" s="354"/>
      <c r="N828" s="354"/>
      <c r="O828" s="354"/>
      <c r="P828" s="354"/>
      <c r="Q828" s="354"/>
      <c r="R828" s="354"/>
      <c r="S828" s="354"/>
      <c r="T828" s="354"/>
      <c r="U828" s="354"/>
      <c r="AO828" s="354"/>
    </row>
    <row r="829" spans="3:41" ht="13.5">
      <c r="C829" s="354"/>
      <c r="D829" s="354"/>
      <c r="E829" s="354"/>
      <c r="F829" s="354"/>
      <c r="G829" s="354"/>
      <c r="I829" s="354"/>
      <c r="J829" s="354"/>
      <c r="K829" s="354"/>
      <c r="L829" s="354"/>
      <c r="M829" s="354"/>
      <c r="N829" s="354"/>
      <c r="O829" s="354"/>
      <c r="P829" s="354"/>
      <c r="Q829" s="354"/>
      <c r="R829" s="354"/>
      <c r="S829" s="354"/>
      <c r="T829" s="354"/>
      <c r="U829" s="354"/>
      <c r="AO829" s="354"/>
    </row>
    <row r="830" spans="3:41" ht="13.5">
      <c r="C830" s="354"/>
      <c r="D830" s="354"/>
      <c r="E830" s="354"/>
      <c r="F830" s="354"/>
      <c r="G830" s="354"/>
      <c r="I830" s="354"/>
      <c r="J830" s="354"/>
      <c r="K830" s="354"/>
      <c r="L830" s="354"/>
      <c r="M830" s="354"/>
      <c r="N830" s="354"/>
      <c r="O830" s="354"/>
      <c r="P830" s="354"/>
      <c r="Q830" s="354"/>
      <c r="R830" s="354"/>
      <c r="S830" s="354"/>
      <c r="T830" s="354"/>
      <c r="U830" s="354"/>
      <c r="AO830" s="354"/>
    </row>
    <row r="831" spans="3:41" ht="13.5">
      <c r="C831" s="354"/>
      <c r="D831" s="354"/>
      <c r="E831" s="354"/>
      <c r="F831" s="354"/>
      <c r="G831" s="354"/>
      <c r="I831" s="354"/>
      <c r="J831" s="354"/>
      <c r="K831" s="354"/>
      <c r="L831" s="354"/>
      <c r="M831" s="354"/>
      <c r="N831" s="354"/>
      <c r="O831" s="354"/>
      <c r="P831" s="354"/>
      <c r="Q831" s="354"/>
      <c r="R831" s="354"/>
      <c r="S831" s="354"/>
      <c r="T831" s="354"/>
      <c r="U831" s="354"/>
      <c r="AO831" s="354"/>
    </row>
    <row r="832" spans="3:41" ht="13.5">
      <c r="C832" s="354"/>
      <c r="D832" s="354"/>
      <c r="E832" s="354"/>
      <c r="F832" s="354"/>
      <c r="G832" s="354"/>
      <c r="I832" s="354"/>
      <c r="J832" s="354"/>
      <c r="K832" s="354"/>
      <c r="L832" s="354"/>
      <c r="M832" s="354"/>
      <c r="N832" s="354"/>
      <c r="O832" s="354"/>
      <c r="P832" s="354"/>
      <c r="Q832" s="354"/>
      <c r="R832" s="354"/>
      <c r="S832" s="354"/>
      <c r="T832" s="354"/>
      <c r="U832" s="354"/>
      <c r="AO832" s="354"/>
    </row>
    <row r="833" spans="3:41" ht="13.5">
      <c r="C833" s="354"/>
      <c r="D833" s="354"/>
      <c r="E833" s="354"/>
      <c r="F833" s="354"/>
      <c r="G833" s="354"/>
      <c r="I833" s="354"/>
      <c r="J833" s="354"/>
      <c r="K833" s="354"/>
      <c r="L833" s="354"/>
      <c r="M833" s="354"/>
      <c r="N833" s="354"/>
      <c r="O833" s="354"/>
      <c r="P833" s="354"/>
      <c r="Q833" s="354"/>
      <c r="R833" s="354"/>
      <c r="S833" s="354"/>
      <c r="T833" s="354"/>
      <c r="U833" s="354"/>
      <c r="AO833" s="354"/>
    </row>
    <row r="834" spans="3:41" ht="13.5">
      <c r="C834" s="354"/>
      <c r="D834" s="354"/>
      <c r="E834" s="354"/>
      <c r="F834" s="354"/>
      <c r="G834" s="354"/>
      <c r="I834" s="354"/>
      <c r="J834" s="354"/>
      <c r="K834" s="354"/>
      <c r="L834" s="354"/>
      <c r="M834" s="354"/>
      <c r="N834" s="354"/>
      <c r="O834" s="354"/>
      <c r="P834" s="354"/>
      <c r="Q834" s="354"/>
      <c r="R834" s="354"/>
      <c r="S834" s="354"/>
      <c r="T834" s="354"/>
      <c r="U834" s="354"/>
      <c r="AO834" s="354"/>
    </row>
    <row r="835" spans="3:41" ht="13.5">
      <c r="C835" s="354"/>
      <c r="D835" s="354"/>
      <c r="E835" s="354"/>
      <c r="F835" s="354"/>
      <c r="G835" s="354"/>
      <c r="I835" s="354"/>
      <c r="J835" s="354"/>
      <c r="K835" s="354"/>
      <c r="L835" s="354"/>
      <c r="M835" s="354"/>
      <c r="N835" s="354"/>
      <c r="O835" s="354"/>
      <c r="P835" s="354"/>
      <c r="Q835" s="354"/>
      <c r="R835" s="354"/>
      <c r="S835" s="354"/>
      <c r="T835" s="354"/>
      <c r="U835" s="354"/>
      <c r="AO835" s="354"/>
    </row>
    <row r="836" spans="3:41" ht="13.5">
      <c r="C836" s="354"/>
      <c r="D836" s="354"/>
      <c r="E836" s="354"/>
      <c r="F836" s="354"/>
      <c r="G836" s="354"/>
      <c r="I836" s="354"/>
      <c r="J836" s="354"/>
      <c r="K836" s="354"/>
      <c r="L836" s="354"/>
      <c r="M836" s="354"/>
      <c r="N836" s="354"/>
      <c r="O836" s="354"/>
      <c r="P836" s="354"/>
      <c r="Q836" s="354"/>
      <c r="R836" s="354"/>
      <c r="S836" s="354"/>
      <c r="T836" s="354"/>
      <c r="U836" s="354"/>
      <c r="AO836" s="354"/>
    </row>
    <row r="837" spans="3:41" ht="13.5">
      <c r="C837" s="354"/>
      <c r="D837" s="354"/>
      <c r="E837" s="354"/>
      <c r="F837" s="354"/>
      <c r="G837" s="354"/>
      <c r="I837" s="354"/>
      <c r="J837" s="354"/>
      <c r="K837" s="354"/>
      <c r="L837" s="354"/>
      <c r="M837" s="354"/>
      <c r="N837" s="354"/>
      <c r="O837" s="354"/>
      <c r="P837" s="354"/>
      <c r="Q837" s="354"/>
      <c r="R837" s="354"/>
      <c r="S837" s="354"/>
      <c r="T837" s="354"/>
      <c r="U837" s="354"/>
      <c r="AO837" s="354"/>
    </row>
    <row r="838" spans="3:41" ht="13.5">
      <c r="C838" s="354"/>
      <c r="D838" s="354"/>
      <c r="E838" s="354"/>
      <c r="F838" s="354"/>
      <c r="G838" s="354"/>
      <c r="I838" s="354"/>
      <c r="J838" s="354"/>
      <c r="K838" s="354"/>
      <c r="L838" s="354"/>
      <c r="M838" s="354"/>
      <c r="N838" s="354"/>
      <c r="O838" s="354"/>
      <c r="P838" s="354"/>
      <c r="Q838" s="354"/>
      <c r="R838" s="354"/>
      <c r="S838" s="354"/>
      <c r="T838" s="354"/>
      <c r="U838" s="354"/>
      <c r="AO838" s="354"/>
    </row>
    <row r="839" spans="3:41" ht="13.5">
      <c r="C839" s="354"/>
      <c r="D839" s="354"/>
      <c r="E839" s="354"/>
      <c r="F839" s="354"/>
      <c r="G839" s="354"/>
      <c r="I839" s="354"/>
      <c r="J839" s="354"/>
      <c r="K839" s="354"/>
      <c r="L839" s="354"/>
      <c r="M839" s="354"/>
      <c r="N839" s="354"/>
      <c r="O839" s="354"/>
      <c r="P839" s="354"/>
      <c r="Q839" s="354"/>
      <c r="R839" s="354"/>
      <c r="S839" s="354"/>
      <c r="T839" s="354"/>
      <c r="U839" s="354"/>
      <c r="AO839" s="354"/>
    </row>
    <row r="840" spans="3:41" ht="13.5">
      <c r="C840" s="354"/>
      <c r="D840" s="354"/>
      <c r="E840" s="354"/>
      <c r="F840" s="354"/>
      <c r="G840" s="354"/>
      <c r="I840" s="354"/>
      <c r="J840" s="354"/>
      <c r="K840" s="354"/>
      <c r="L840" s="354"/>
      <c r="M840" s="354"/>
      <c r="N840" s="354"/>
      <c r="O840" s="354"/>
      <c r="P840" s="354"/>
      <c r="Q840" s="354"/>
      <c r="R840" s="354"/>
      <c r="S840" s="354"/>
      <c r="T840" s="354"/>
      <c r="U840" s="354"/>
      <c r="AO840" s="354"/>
    </row>
    <row r="841" spans="3:41" ht="13.5">
      <c r="C841" s="354"/>
      <c r="D841" s="354"/>
      <c r="E841" s="354"/>
      <c r="F841" s="354"/>
      <c r="G841" s="354"/>
      <c r="I841" s="354"/>
      <c r="J841" s="354"/>
      <c r="K841" s="354"/>
      <c r="L841" s="354"/>
      <c r="M841" s="354"/>
      <c r="N841" s="354"/>
      <c r="O841" s="354"/>
      <c r="P841" s="354"/>
      <c r="Q841" s="354"/>
      <c r="R841" s="354"/>
      <c r="S841" s="354"/>
      <c r="T841" s="354"/>
      <c r="U841" s="354"/>
      <c r="AO841" s="354"/>
    </row>
    <row r="842" spans="3:41" ht="13.5">
      <c r="C842" s="354"/>
      <c r="D842" s="354"/>
      <c r="E842" s="354"/>
      <c r="F842" s="354"/>
      <c r="G842" s="354"/>
      <c r="I842" s="354"/>
      <c r="J842" s="354"/>
      <c r="K842" s="354"/>
      <c r="L842" s="354"/>
      <c r="M842" s="354"/>
      <c r="N842" s="354"/>
      <c r="O842" s="354"/>
      <c r="P842" s="354"/>
      <c r="Q842" s="354"/>
      <c r="R842" s="354"/>
      <c r="S842" s="354"/>
      <c r="T842" s="354"/>
      <c r="U842" s="354"/>
      <c r="AO842" s="354"/>
    </row>
    <row r="843" spans="3:41" ht="13.5">
      <c r="C843" s="354"/>
      <c r="D843" s="354"/>
      <c r="E843" s="354"/>
      <c r="F843" s="354"/>
      <c r="G843" s="354"/>
      <c r="I843" s="354"/>
      <c r="J843" s="354"/>
      <c r="K843" s="354"/>
      <c r="L843" s="354"/>
      <c r="M843" s="354"/>
      <c r="N843" s="354"/>
      <c r="O843" s="354"/>
      <c r="P843" s="354"/>
      <c r="Q843" s="354"/>
      <c r="R843" s="354"/>
      <c r="S843" s="354"/>
      <c r="T843" s="354"/>
      <c r="U843" s="354"/>
      <c r="AO843" s="354"/>
    </row>
    <row r="844" spans="3:41" ht="13.5">
      <c r="C844" s="354"/>
      <c r="D844" s="354"/>
      <c r="E844" s="354"/>
      <c r="F844" s="354"/>
      <c r="G844" s="354"/>
      <c r="I844" s="354"/>
      <c r="J844" s="354"/>
      <c r="K844" s="354"/>
      <c r="L844" s="354"/>
      <c r="M844" s="354"/>
      <c r="N844" s="354"/>
      <c r="O844" s="354"/>
      <c r="P844" s="354"/>
      <c r="Q844" s="354"/>
      <c r="R844" s="354"/>
      <c r="S844" s="354"/>
      <c r="T844" s="354"/>
      <c r="U844" s="354"/>
      <c r="AO844" s="354"/>
    </row>
    <row r="845" spans="3:41" ht="13.5">
      <c r="C845" s="354"/>
      <c r="D845" s="354"/>
      <c r="E845" s="354"/>
      <c r="F845" s="354"/>
      <c r="G845" s="354"/>
      <c r="I845" s="354"/>
      <c r="J845" s="354"/>
      <c r="K845" s="354"/>
      <c r="L845" s="354"/>
      <c r="M845" s="354"/>
      <c r="N845" s="354"/>
      <c r="O845" s="354"/>
      <c r="P845" s="354"/>
      <c r="Q845" s="354"/>
      <c r="R845" s="354"/>
      <c r="S845" s="354"/>
      <c r="T845" s="354"/>
      <c r="U845" s="354"/>
      <c r="AO845" s="354"/>
    </row>
    <row r="846" spans="3:41" ht="13.5">
      <c r="C846" s="354"/>
      <c r="D846" s="354"/>
      <c r="E846" s="354"/>
      <c r="F846" s="354"/>
      <c r="G846" s="354"/>
      <c r="I846" s="354"/>
      <c r="J846" s="354"/>
      <c r="K846" s="354"/>
      <c r="L846" s="354"/>
      <c r="M846" s="354"/>
      <c r="N846" s="354"/>
      <c r="O846" s="354"/>
      <c r="P846" s="354"/>
      <c r="Q846" s="354"/>
      <c r="R846" s="354"/>
      <c r="S846" s="354"/>
      <c r="T846" s="354"/>
      <c r="U846" s="354"/>
      <c r="AO846" s="354"/>
    </row>
    <row r="847" spans="3:41" ht="13.5">
      <c r="C847" s="354"/>
      <c r="D847" s="354"/>
      <c r="E847" s="354"/>
      <c r="F847" s="354"/>
      <c r="G847" s="354"/>
      <c r="I847" s="354"/>
      <c r="J847" s="354"/>
      <c r="K847" s="354"/>
      <c r="L847" s="354"/>
      <c r="M847" s="354"/>
      <c r="N847" s="354"/>
      <c r="O847" s="354"/>
      <c r="P847" s="354"/>
      <c r="Q847" s="354"/>
      <c r="R847" s="354"/>
      <c r="S847" s="354"/>
      <c r="T847" s="354"/>
      <c r="U847" s="354"/>
      <c r="AO847" s="354"/>
    </row>
    <row r="848" spans="3:41" ht="13.5">
      <c r="C848" s="354"/>
      <c r="D848" s="354"/>
      <c r="E848" s="354"/>
      <c r="F848" s="354"/>
      <c r="G848" s="354"/>
      <c r="I848" s="354"/>
      <c r="J848" s="354"/>
      <c r="K848" s="354"/>
      <c r="L848" s="354"/>
      <c r="M848" s="354"/>
      <c r="N848" s="354"/>
      <c r="O848" s="354"/>
      <c r="P848" s="354"/>
      <c r="Q848" s="354"/>
      <c r="R848" s="354"/>
      <c r="S848" s="354"/>
      <c r="T848" s="354"/>
      <c r="U848" s="354"/>
      <c r="AO848" s="354"/>
    </row>
    <row r="849" spans="3:41" ht="13.5">
      <c r="C849" s="354"/>
      <c r="D849" s="354"/>
      <c r="E849" s="354"/>
      <c r="F849" s="354"/>
      <c r="G849" s="354"/>
      <c r="I849" s="354"/>
      <c r="J849" s="354"/>
      <c r="K849" s="354"/>
      <c r="L849" s="354"/>
      <c r="M849" s="354"/>
      <c r="N849" s="354"/>
      <c r="O849" s="354"/>
      <c r="P849" s="354"/>
      <c r="Q849" s="354"/>
      <c r="R849" s="354"/>
      <c r="S849" s="354"/>
      <c r="T849" s="354"/>
      <c r="U849" s="354"/>
      <c r="AO849" s="354"/>
    </row>
    <row r="850" spans="3:41" ht="13.5">
      <c r="C850" s="354"/>
      <c r="D850" s="354"/>
      <c r="E850" s="354"/>
      <c r="F850" s="354"/>
      <c r="G850" s="354"/>
      <c r="I850" s="354"/>
      <c r="J850" s="354"/>
      <c r="K850" s="354"/>
      <c r="L850" s="354"/>
      <c r="M850" s="354"/>
      <c r="N850" s="354"/>
      <c r="O850" s="354"/>
      <c r="P850" s="354"/>
      <c r="Q850" s="354"/>
      <c r="R850" s="354"/>
      <c r="S850" s="354"/>
      <c r="T850" s="354"/>
      <c r="U850" s="354"/>
      <c r="AO850" s="354"/>
    </row>
    <row r="851" spans="3:41" ht="13.5">
      <c r="C851" s="354"/>
      <c r="D851" s="354"/>
      <c r="E851" s="354"/>
      <c r="F851" s="354"/>
      <c r="G851" s="354"/>
      <c r="I851" s="354"/>
      <c r="J851" s="354"/>
      <c r="K851" s="354"/>
      <c r="L851" s="354"/>
      <c r="M851" s="354"/>
      <c r="N851" s="354"/>
      <c r="O851" s="354"/>
      <c r="P851" s="354"/>
      <c r="Q851" s="354"/>
      <c r="R851" s="354"/>
      <c r="S851" s="354"/>
      <c r="T851" s="354"/>
      <c r="U851" s="354"/>
      <c r="AO851" s="354"/>
    </row>
    <row r="852" spans="3:41" ht="13.5">
      <c r="C852" s="354"/>
      <c r="D852" s="354"/>
      <c r="E852" s="354"/>
      <c r="F852" s="354"/>
      <c r="G852" s="354"/>
      <c r="I852" s="354"/>
      <c r="J852" s="354"/>
      <c r="K852" s="354"/>
      <c r="L852" s="354"/>
      <c r="M852" s="354"/>
      <c r="N852" s="354"/>
      <c r="O852" s="354"/>
      <c r="P852" s="354"/>
      <c r="Q852" s="354"/>
      <c r="R852" s="354"/>
      <c r="S852" s="354"/>
      <c r="T852" s="354"/>
      <c r="U852" s="354"/>
      <c r="AO852" s="354"/>
    </row>
    <row r="853" spans="3:41" ht="13.5">
      <c r="C853" s="354"/>
      <c r="D853" s="354"/>
      <c r="E853" s="354"/>
      <c r="F853" s="354"/>
      <c r="G853" s="354"/>
      <c r="I853" s="354"/>
      <c r="J853" s="354"/>
      <c r="K853" s="354"/>
      <c r="L853" s="354"/>
      <c r="M853" s="354"/>
      <c r="N853" s="354"/>
      <c r="O853" s="354"/>
      <c r="P853" s="354"/>
      <c r="Q853" s="354"/>
      <c r="R853" s="354"/>
      <c r="S853" s="354"/>
      <c r="T853" s="354"/>
      <c r="U853" s="354"/>
      <c r="AO853" s="354"/>
    </row>
    <row r="854" spans="3:41" ht="13.5">
      <c r="C854" s="354"/>
      <c r="D854" s="354"/>
      <c r="E854" s="354"/>
      <c r="F854" s="354"/>
      <c r="G854" s="354"/>
      <c r="I854" s="354"/>
      <c r="J854" s="354"/>
      <c r="K854" s="354"/>
      <c r="L854" s="354"/>
      <c r="M854" s="354"/>
      <c r="N854" s="354"/>
      <c r="O854" s="354"/>
      <c r="P854" s="354"/>
      <c r="Q854" s="354"/>
      <c r="R854" s="354"/>
      <c r="S854" s="354"/>
      <c r="T854" s="354"/>
      <c r="U854" s="354"/>
      <c r="AO854" s="354"/>
    </row>
    <row r="855" spans="3:41" ht="13.5">
      <c r="C855" s="354"/>
      <c r="D855" s="354"/>
      <c r="E855" s="354"/>
      <c r="F855" s="354"/>
      <c r="G855" s="354"/>
      <c r="I855" s="354"/>
      <c r="J855" s="354"/>
      <c r="K855" s="354"/>
      <c r="L855" s="354"/>
      <c r="M855" s="354"/>
      <c r="N855" s="354"/>
      <c r="O855" s="354"/>
      <c r="P855" s="354"/>
      <c r="Q855" s="354"/>
      <c r="R855" s="354"/>
      <c r="S855" s="354"/>
      <c r="T855" s="354"/>
      <c r="U855" s="354"/>
      <c r="AO855" s="354"/>
    </row>
    <row r="856" spans="3:41" ht="13.5">
      <c r="C856" s="354"/>
      <c r="D856" s="354"/>
      <c r="E856" s="354"/>
      <c r="F856" s="354"/>
      <c r="G856" s="354"/>
      <c r="I856" s="354"/>
      <c r="J856" s="354"/>
      <c r="K856" s="354"/>
      <c r="L856" s="354"/>
      <c r="M856" s="354"/>
      <c r="N856" s="354"/>
      <c r="O856" s="354"/>
      <c r="P856" s="354"/>
      <c r="Q856" s="354"/>
      <c r="R856" s="354"/>
      <c r="S856" s="354"/>
      <c r="T856" s="354"/>
      <c r="U856" s="354"/>
      <c r="AO856" s="354"/>
    </row>
    <row r="857" spans="3:41" ht="13.5">
      <c r="C857" s="354"/>
      <c r="D857" s="354"/>
      <c r="E857" s="354"/>
      <c r="F857" s="354"/>
      <c r="G857" s="354"/>
      <c r="I857" s="354"/>
      <c r="J857" s="354"/>
      <c r="K857" s="354"/>
      <c r="L857" s="354"/>
      <c r="M857" s="354"/>
      <c r="N857" s="354"/>
      <c r="O857" s="354"/>
      <c r="P857" s="354"/>
      <c r="Q857" s="354"/>
      <c r="R857" s="354"/>
      <c r="S857" s="354"/>
      <c r="T857" s="354"/>
      <c r="U857" s="354"/>
      <c r="AO857" s="354"/>
    </row>
    <row r="858" spans="3:41" ht="13.5">
      <c r="C858" s="354"/>
      <c r="D858" s="354"/>
      <c r="E858" s="354"/>
      <c r="F858" s="354"/>
      <c r="G858" s="354"/>
      <c r="I858" s="354"/>
      <c r="J858" s="354"/>
      <c r="K858" s="354"/>
      <c r="L858" s="354"/>
      <c r="M858" s="354"/>
      <c r="N858" s="354"/>
      <c r="O858" s="354"/>
      <c r="P858" s="354"/>
      <c r="Q858" s="354"/>
      <c r="R858" s="354"/>
      <c r="S858" s="354"/>
      <c r="T858" s="354"/>
      <c r="U858" s="354"/>
      <c r="AO858" s="354"/>
    </row>
    <row r="859" spans="3:41" ht="13.5">
      <c r="C859" s="354"/>
      <c r="D859" s="354"/>
      <c r="E859" s="354"/>
      <c r="F859" s="354"/>
      <c r="G859" s="354"/>
      <c r="I859" s="354"/>
      <c r="J859" s="354"/>
      <c r="K859" s="354"/>
      <c r="L859" s="354"/>
      <c r="M859" s="354"/>
      <c r="N859" s="354"/>
      <c r="O859" s="354"/>
      <c r="P859" s="354"/>
      <c r="Q859" s="354"/>
      <c r="R859" s="354"/>
      <c r="S859" s="354"/>
      <c r="T859" s="354"/>
      <c r="U859" s="354"/>
      <c r="AO859" s="354"/>
    </row>
    <row r="860" spans="3:41" ht="13.5">
      <c r="C860" s="354"/>
      <c r="D860" s="354"/>
      <c r="E860" s="354"/>
      <c r="F860" s="354"/>
      <c r="G860" s="354"/>
      <c r="I860" s="354"/>
      <c r="J860" s="354"/>
      <c r="K860" s="354"/>
      <c r="L860" s="354"/>
      <c r="M860" s="354"/>
      <c r="N860" s="354"/>
      <c r="O860" s="354"/>
      <c r="P860" s="354"/>
      <c r="Q860" s="354"/>
      <c r="R860" s="354"/>
      <c r="S860" s="354"/>
      <c r="T860" s="354"/>
      <c r="U860" s="354"/>
      <c r="AO860" s="354"/>
    </row>
    <row r="861" spans="3:41" ht="13.5">
      <c r="C861" s="354"/>
      <c r="D861" s="354"/>
      <c r="E861" s="354"/>
      <c r="F861" s="354"/>
      <c r="G861" s="354"/>
      <c r="I861" s="354"/>
      <c r="J861" s="354"/>
      <c r="K861" s="354"/>
      <c r="L861" s="354"/>
      <c r="M861" s="354"/>
      <c r="N861" s="354"/>
      <c r="O861" s="354"/>
      <c r="P861" s="354"/>
      <c r="Q861" s="354"/>
      <c r="R861" s="354"/>
      <c r="S861" s="354"/>
      <c r="T861" s="354"/>
      <c r="U861" s="354"/>
      <c r="AO861" s="354"/>
    </row>
    <row r="862" spans="3:41" ht="13.5">
      <c r="C862" s="354"/>
      <c r="D862" s="354"/>
      <c r="E862" s="354"/>
      <c r="F862" s="354"/>
      <c r="G862" s="354"/>
      <c r="I862" s="354"/>
      <c r="J862" s="354"/>
      <c r="K862" s="354"/>
      <c r="L862" s="354"/>
      <c r="M862" s="354"/>
      <c r="N862" s="354"/>
      <c r="O862" s="354"/>
      <c r="P862" s="354"/>
      <c r="Q862" s="354"/>
      <c r="R862" s="354"/>
      <c r="S862" s="354"/>
      <c r="T862" s="354"/>
      <c r="U862" s="354"/>
      <c r="AO862" s="354"/>
    </row>
    <row r="863" spans="3:41" ht="13.5">
      <c r="C863" s="354"/>
      <c r="D863" s="354"/>
      <c r="E863" s="354"/>
      <c r="F863" s="354"/>
      <c r="G863" s="354"/>
      <c r="I863" s="354"/>
      <c r="J863" s="354"/>
      <c r="K863" s="354"/>
      <c r="L863" s="354"/>
      <c r="M863" s="354"/>
      <c r="N863" s="354"/>
      <c r="O863" s="354"/>
      <c r="P863" s="354"/>
      <c r="Q863" s="354"/>
      <c r="R863" s="354"/>
      <c r="S863" s="354"/>
      <c r="T863" s="354"/>
      <c r="U863" s="354"/>
      <c r="AO863" s="354"/>
    </row>
    <row r="864" spans="3:41" ht="13.5">
      <c r="C864" s="354"/>
      <c r="D864" s="354"/>
      <c r="E864" s="354"/>
      <c r="F864" s="354"/>
      <c r="G864" s="354"/>
      <c r="I864" s="354"/>
      <c r="J864" s="354"/>
      <c r="K864" s="354"/>
      <c r="L864" s="354"/>
      <c r="M864" s="354"/>
      <c r="N864" s="354"/>
      <c r="O864" s="354"/>
      <c r="P864" s="354"/>
      <c r="Q864" s="354"/>
      <c r="R864" s="354"/>
      <c r="S864" s="354"/>
      <c r="T864" s="354"/>
      <c r="U864" s="354"/>
      <c r="AO864" s="354"/>
    </row>
    <row r="865" spans="3:41" ht="13.5">
      <c r="C865" s="354"/>
      <c r="D865" s="354"/>
      <c r="E865" s="354"/>
      <c r="F865" s="354"/>
      <c r="G865" s="354"/>
      <c r="I865" s="354"/>
      <c r="J865" s="354"/>
      <c r="K865" s="354"/>
      <c r="L865" s="354"/>
      <c r="M865" s="354"/>
      <c r="N865" s="354"/>
      <c r="O865" s="354"/>
      <c r="P865" s="354"/>
      <c r="Q865" s="354"/>
      <c r="R865" s="354"/>
      <c r="S865" s="354"/>
      <c r="T865" s="354"/>
      <c r="U865" s="354"/>
      <c r="AO865" s="354"/>
    </row>
    <row r="866" spans="3:41" ht="13.5">
      <c r="C866" s="354"/>
      <c r="D866" s="354"/>
      <c r="E866" s="354"/>
      <c r="F866" s="354"/>
      <c r="G866" s="354"/>
      <c r="I866" s="354"/>
      <c r="J866" s="354"/>
      <c r="K866" s="354"/>
      <c r="L866" s="354"/>
      <c r="M866" s="354"/>
      <c r="N866" s="354"/>
      <c r="O866" s="354"/>
      <c r="P866" s="354"/>
      <c r="Q866" s="354"/>
      <c r="R866" s="354"/>
      <c r="S866" s="354"/>
      <c r="T866" s="354"/>
      <c r="U866" s="354"/>
      <c r="AO866" s="354"/>
    </row>
    <row r="867" spans="3:41" ht="13.5">
      <c r="C867" s="354"/>
      <c r="D867" s="354"/>
      <c r="E867" s="354"/>
      <c r="F867" s="354"/>
      <c r="G867" s="354"/>
      <c r="I867" s="354"/>
      <c r="J867" s="354"/>
      <c r="K867" s="354"/>
      <c r="L867" s="354"/>
      <c r="M867" s="354"/>
      <c r="N867" s="354"/>
      <c r="O867" s="354"/>
      <c r="P867" s="354"/>
      <c r="Q867" s="354"/>
      <c r="R867" s="354"/>
      <c r="S867" s="354"/>
      <c r="T867" s="354"/>
      <c r="U867" s="354"/>
      <c r="AO867" s="354"/>
    </row>
    <row r="868" spans="3:41" ht="13.5">
      <c r="C868" s="354"/>
      <c r="D868" s="354"/>
      <c r="E868" s="354"/>
      <c r="F868" s="354"/>
      <c r="G868" s="354"/>
      <c r="I868" s="354"/>
      <c r="J868" s="354"/>
      <c r="K868" s="354"/>
      <c r="L868" s="354"/>
      <c r="M868" s="354"/>
      <c r="N868" s="354"/>
      <c r="O868" s="354"/>
      <c r="P868" s="354"/>
      <c r="Q868" s="354"/>
      <c r="R868" s="354"/>
      <c r="S868" s="354"/>
      <c r="T868" s="354"/>
      <c r="U868" s="354"/>
      <c r="AO868" s="354"/>
    </row>
    <row r="869" spans="3:41" ht="13.5">
      <c r="C869" s="354"/>
      <c r="D869" s="354"/>
      <c r="E869" s="354"/>
      <c r="F869" s="354"/>
      <c r="G869" s="354"/>
      <c r="I869" s="354"/>
      <c r="J869" s="354"/>
      <c r="K869" s="354"/>
      <c r="L869" s="354"/>
      <c r="M869" s="354"/>
      <c r="N869" s="354"/>
      <c r="O869" s="354"/>
      <c r="P869" s="354"/>
      <c r="Q869" s="354"/>
      <c r="R869" s="354"/>
      <c r="S869" s="354"/>
      <c r="T869" s="354"/>
      <c r="U869" s="354"/>
      <c r="AO869" s="354"/>
    </row>
    <row r="870" spans="3:41" ht="13.5">
      <c r="C870" s="354"/>
      <c r="D870" s="354"/>
      <c r="E870" s="354"/>
      <c r="F870" s="354"/>
      <c r="G870" s="354"/>
      <c r="I870" s="354"/>
      <c r="J870" s="354"/>
      <c r="K870" s="354"/>
      <c r="L870" s="354"/>
      <c r="M870" s="354"/>
      <c r="N870" s="354"/>
      <c r="O870" s="354"/>
      <c r="P870" s="354"/>
      <c r="Q870" s="354"/>
      <c r="R870" s="354"/>
      <c r="S870" s="354"/>
      <c r="T870" s="354"/>
      <c r="U870" s="354"/>
      <c r="AO870" s="354"/>
    </row>
    <row r="871" spans="3:41" ht="13.5">
      <c r="C871" s="354"/>
      <c r="D871" s="354"/>
      <c r="E871" s="354"/>
      <c r="F871" s="354"/>
      <c r="G871" s="354"/>
      <c r="I871" s="354"/>
      <c r="J871" s="354"/>
      <c r="K871" s="354"/>
      <c r="L871" s="354"/>
      <c r="M871" s="354"/>
      <c r="N871" s="354"/>
      <c r="O871" s="354"/>
      <c r="P871" s="354"/>
      <c r="Q871" s="354"/>
      <c r="R871" s="354"/>
      <c r="S871" s="354"/>
      <c r="T871" s="354"/>
      <c r="U871" s="354"/>
      <c r="AO871" s="354"/>
    </row>
    <row r="872" spans="3:41" ht="13.5">
      <c r="C872" s="354"/>
      <c r="D872" s="354"/>
      <c r="E872" s="354"/>
      <c r="F872" s="354"/>
      <c r="G872" s="354"/>
      <c r="I872" s="354"/>
      <c r="J872" s="354"/>
      <c r="K872" s="354"/>
      <c r="L872" s="354"/>
      <c r="M872" s="354"/>
      <c r="N872" s="354"/>
      <c r="O872" s="354"/>
      <c r="P872" s="354"/>
      <c r="Q872" s="354"/>
      <c r="R872" s="354"/>
      <c r="S872" s="354"/>
      <c r="T872" s="354"/>
      <c r="U872" s="354"/>
      <c r="AO872" s="354"/>
    </row>
    <row r="873" spans="3:41" ht="13.5">
      <c r="C873" s="354"/>
      <c r="D873" s="354"/>
      <c r="E873" s="354"/>
      <c r="F873" s="354"/>
      <c r="G873" s="354"/>
      <c r="I873" s="354"/>
      <c r="J873" s="354"/>
      <c r="K873" s="354"/>
      <c r="L873" s="354"/>
      <c r="M873" s="354"/>
      <c r="N873" s="354"/>
      <c r="O873" s="354"/>
      <c r="P873" s="354"/>
      <c r="Q873" s="354"/>
      <c r="R873" s="354"/>
      <c r="S873" s="354"/>
      <c r="T873" s="354"/>
      <c r="U873" s="354"/>
      <c r="AO873" s="354"/>
    </row>
    <row r="874" spans="3:41" ht="13.5">
      <c r="C874" s="354"/>
      <c r="D874" s="354"/>
      <c r="E874" s="354"/>
      <c r="F874" s="354"/>
      <c r="G874" s="354"/>
      <c r="I874" s="354"/>
      <c r="J874" s="354"/>
      <c r="K874" s="354"/>
      <c r="L874" s="354"/>
      <c r="M874" s="354"/>
      <c r="N874" s="354"/>
      <c r="O874" s="354"/>
      <c r="P874" s="354"/>
      <c r="Q874" s="354"/>
      <c r="R874" s="354"/>
      <c r="S874" s="354"/>
      <c r="T874" s="354"/>
      <c r="U874" s="354"/>
      <c r="AO874" s="354"/>
    </row>
    <row r="875" spans="3:41" ht="13.5">
      <c r="C875" s="354"/>
      <c r="D875" s="354"/>
      <c r="E875" s="354"/>
      <c r="F875" s="354"/>
      <c r="G875" s="354"/>
      <c r="I875" s="354"/>
      <c r="J875" s="354"/>
      <c r="K875" s="354"/>
      <c r="L875" s="354"/>
      <c r="M875" s="354"/>
      <c r="N875" s="354"/>
      <c r="O875" s="354"/>
      <c r="P875" s="354"/>
      <c r="Q875" s="354"/>
      <c r="R875" s="354"/>
      <c r="S875" s="354"/>
      <c r="T875" s="354"/>
      <c r="U875" s="354"/>
      <c r="AO875" s="354"/>
    </row>
    <row r="876" spans="3:41" ht="13.5">
      <c r="C876" s="354"/>
      <c r="D876" s="354"/>
      <c r="E876" s="354"/>
      <c r="F876" s="354"/>
      <c r="G876" s="354"/>
      <c r="I876" s="354"/>
      <c r="J876" s="354"/>
      <c r="K876" s="354"/>
      <c r="L876" s="354"/>
      <c r="M876" s="354"/>
      <c r="N876" s="354"/>
      <c r="O876" s="354"/>
      <c r="P876" s="354"/>
      <c r="Q876" s="354"/>
      <c r="R876" s="354"/>
      <c r="S876" s="354"/>
      <c r="T876" s="354"/>
      <c r="U876" s="354"/>
      <c r="AO876" s="354"/>
    </row>
    <row r="877" spans="3:41" ht="13.5">
      <c r="C877" s="354"/>
      <c r="D877" s="354"/>
      <c r="E877" s="354"/>
      <c r="F877" s="354"/>
      <c r="G877" s="354"/>
      <c r="I877" s="354"/>
      <c r="J877" s="354"/>
      <c r="K877" s="354"/>
      <c r="L877" s="354"/>
      <c r="M877" s="354"/>
      <c r="N877" s="354"/>
      <c r="O877" s="354"/>
      <c r="P877" s="354"/>
      <c r="Q877" s="354"/>
      <c r="R877" s="354"/>
      <c r="S877" s="354"/>
      <c r="T877" s="354"/>
      <c r="U877" s="354"/>
      <c r="AO877" s="354"/>
    </row>
    <row r="878" spans="3:41" ht="13.5">
      <c r="C878" s="354"/>
      <c r="D878" s="354"/>
      <c r="E878" s="354"/>
      <c r="F878" s="354"/>
      <c r="G878" s="354"/>
      <c r="I878" s="354"/>
      <c r="J878" s="354"/>
      <c r="K878" s="354"/>
      <c r="L878" s="354"/>
      <c r="M878" s="354"/>
      <c r="N878" s="354"/>
      <c r="O878" s="354"/>
      <c r="P878" s="354"/>
      <c r="Q878" s="354"/>
      <c r="R878" s="354"/>
      <c r="S878" s="354"/>
      <c r="T878" s="354"/>
      <c r="U878" s="354"/>
      <c r="AO878" s="354"/>
    </row>
    <row r="879" spans="3:41" ht="13.5">
      <c r="C879" s="354"/>
      <c r="D879" s="354"/>
      <c r="E879" s="354"/>
      <c r="F879" s="354"/>
      <c r="G879" s="354"/>
      <c r="I879" s="354"/>
      <c r="J879" s="354"/>
      <c r="K879" s="354"/>
      <c r="L879" s="354"/>
      <c r="M879" s="354"/>
      <c r="N879" s="354"/>
      <c r="O879" s="354"/>
      <c r="P879" s="354"/>
      <c r="Q879" s="354"/>
      <c r="R879" s="354"/>
      <c r="S879" s="354"/>
      <c r="T879" s="354"/>
      <c r="U879" s="354"/>
      <c r="AO879" s="354"/>
    </row>
    <row r="880" spans="3:41" ht="13.5">
      <c r="C880" s="354"/>
      <c r="D880" s="354"/>
      <c r="E880" s="354"/>
      <c r="F880" s="354"/>
      <c r="G880" s="354"/>
      <c r="I880" s="354"/>
      <c r="J880" s="354"/>
      <c r="K880" s="354"/>
      <c r="L880" s="354"/>
      <c r="M880" s="354"/>
      <c r="N880" s="354"/>
      <c r="O880" s="354"/>
      <c r="P880" s="354"/>
      <c r="Q880" s="354"/>
      <c r="R880" s="354"/>
      <c r="S880" s="354"/>
      <c r="T880" s="354"/>
      <c r="U880" s="354"/>
      <c r="AO880" s="354"/>
    </row>
    <row r="881" spans="3:41" ht="13.5">
      <c r="C881" s="354"/>
      <c r="D881" s="354"/>
      <c r="E881" s="354"/>
      <c r="F881" s="354"/>
      <c r="G881" s="354"/>
      <c r="I881" s="354"/>
      <c r="J881" s="354"/>
      <c r="K881" s="354"/>
      <c r="L881" s="354"/>
      <c r="M881" s="354"/>
      <c r="N881" s="354"/>
      <c r="O881" s="354"/>
      <c r="P881" s="354"/>
      <c r="Q881" s="354"/>
      <c r="R881" s="354"/>
      <c r="S881" s="354"/>
      <c r="T881" s="354"/>
      <c r="U881" s="354"/>
      <c r="AO881" s="354"/>
    </row>
    <row r="882" spans="3:41" ht="13.5">
      <c r="C882" s="354"/>
      <c r="D882" s="354"/>
      <c r="E882" s="354"/>
      <c r="F882" s="354"/>
      <c r="G882" s="354"/>
      <c r="I882" s="354"/>
      <c r="J882" s="354"/>
      <c r="K882" s="354"/>
      <c r="L882" s="354"/>
      <c r="M882" s="354"/>
      <c r="N882" s="354"/>
      <c r="O882" s="354"/>
      <c r="P882" s="354"/>
      <c r="Q882" s="354"/>
      <c r="R882" s="354"/>
      <c r="S882" s="354"/>
      <c r="T882" s="354"/>
      <c r="U882" s="354"/>
      <c r="AO882" s="354"/>
    </row>
    <row r="883" spans="3:41" ht="13.5">
      <c r="C883" s="354"/>
      <c r="D883" s="354"/>
      <c r="E883" s="354"/>
      <c r="F883" s="354"/>
      <c r="G883" s="354"/>
      <c r="I883" s="354"/>
      <c r="J883" s="354"/>
      <c r="K883" s="354"/>
      <c r="L883" s="354"/>
      <c r="M883" s="354"/>
      <c r="N883" s="354"/>
      <c r="O883" s="354"/>
      <c r="P883" s="354"/>
      <c r="Q883" s="354"/>
      <c r="R883" s="354"/>
      <c r="S883" s="354"/>
      <c r="T883" s="354"/>
      <c r="U883" s="354"/>
      <c r="AO883" s="354"/>
    </row>
    <row r="884" spans="3:41" ht="13.5">
      <c r="C884" s="354"/>
      <c r="D884" s="354"/>
      <c r="E884" s="354"/>
      <c r="F884" s="354"/>
      <c r="G884" s="354"/>
      <c r="I884" s="354"/>
      <c r="J884" s="354"/>
      <c r="K884" s="354"/>
      <c r="L884" s="354"/>
      <c r="M884" s="354"/>
      <c r="N884" s="354"/>
      <c r="O884" s="354"/>
      <c r="P884" s="354"/>
      <c r="Q884" s="354"/>
      <c r="R884" s="354"/>
      <c r="S884" s="354"/>
      <c r="T884" s="354"/>
      <c r="U884" s="354"/>
      <c r="AO884" s="354"/>
    </row>
    <row r="885" spans="3:41" ht="13.5">
      <c r="C885" s="354"/>
      <c r="D885" s="354"/>
      <c r="E885" s="354"/>
      <c r="F885" s="354"/>
      <c r="G885" s="354"/>
      <c r="I885" s="354"/>
      <c r="J885" s="354"/>
      <c r="K885" s="354"/>
      <c r="L885" s="354"/>
      <c r="M885" s="354"/>
      <c r="N885" s="354"/>
      <c r="O885" s="354"/>
      <c r="P885" s="354"/>
      <c r="Q885" s="354"/>
      <c r="R885" s="354"/>
      <c r="S885" s="354"/>
      <c r="T885" s="354"/>
      <c r="U885" s="354"/>
      <c r="AO885" s="354"/>
    </row>
    <row r="886" spans="3:41" ht="13.5">
      <c r="C886" s="354"/>
      <c r="D886" s="354"/>
      <c r="E886" s="354"/>
      <c r="F886" s="354"/>
      <c r="G886" s="354"/>
      <c r="I886" s="354"/>
      <c r="J886" s="354"/>
      <c r="K886" s="354"/>
      <c r="L886" s="354"/>
      <c r="M886" s="354"/>
      <c r="N886" s="354"/>
      <c r="O886" s="354"/>
      <c r="P886" s="354"/>
      <c r="Q886" s="354"/>
      <c r="R886" s="354"/>
      <c r="S886" s="354"/>
      <c r="T886" s="354"/>
      <c r="U886" s="354"/>
      <c r="AO886" s="354"/>
    </row>
    <row r="887" spans="3:41" ht="13.5">
      <c r="C887" s="354"/>
      <c r="D887" s="354"/>
      <c r="E887" s="354"/>
      <c r="F887" s="354"/>
      <c r="G887" s="354"/>
      <c r="I887" s="354"/>
      <c r="J887" s="354"/>
      <c r="K887" s="354"/>
      <c r="L887" s="354"/>
      <c r="M887" s="354"/>
      <c r="N887" s="354"/>
      <c r="O887" s="354"/>
      <c r="P887" s="354"/>
      <c r="Q887" s="354"/>
      <c r="R887" s="354"/>
      <c r="S887" s="354"/>
      <c r="T887" s="354"/>
      <c r="U887" s="354"/>
      <c r="AO887" s="354"/>
    </row>
    <row r="888" spans="3:41" ht="13.5">
      <c r="C888" s="354"/>
      <c r="D888" s="354"/>
      <c r="E888" s="354"/>
      <c r="F888" s="354"/>
      <c r="G888" s="354"/>
      <c r="I888" s="354"/>
      <c r="J888" s="354"/>
      <c r="K888" s="354"/>
      <c r="L888" s="354"/>
      <c r="M888" s="354"/>
      <c r="N888" s="354"/>
      <c r="O888" s="354"/>
      <c r="P888" s="354"/>
      <c r="Q888" s="354"/>
      <c r="R888" s="354"/>
      <c r="S888" s="354"/>
      <c r="T888" s="354"/>
      <c r="U888" s="354"/>
      <c r="AO888" s="354"/>
    </row>
    <row r="889" spans="3:41" ht="13.5">
      <c r="C889" s="354"/>
      <c r="D889" s="354"/>
      <c r="E889" s="354"/>
      <c r="F889" s="354"/>
      <c r="G889" s="354"/>
      <c r="I889" s="354"/>
      <c r="J889" s="354"/>
      <c r="K889" s="354"/>
      <c r="L889" s="354"/>
      <c r="M889" s="354"/>
      <c r="N889" s="354"/>
      <c r="O889" s="354"/>
      <c r="P889" s="354"/>
      <c r="Q889" s="354"/>
      <c r="R889" s="354"/>
      <c r="S889" s="354"/>
      <c r="T889" s="354"/>
      <c r="U889" s="354"/>
      <c r="AO889" s="354"/>
    </row>
    <row r="890" spans="3:41" ht="13.5">
      <c r="C890" s="354"/>
      <c r="D890" s="354"/>
      <c r="E890" s="354"/>
      <c r="F890" s="354"/>
      <c r="G890" s="354"/>
      <c r="I890" s="354"/>
      <c r="J890" s="354"/>
      <c r="K890" s="354"/>
      <c r="L890" s="354"/>
      <c r="M890" s="354"/>
      <c r="N890" s="354"/>
      <c r="O890" s="354"/>
      <c r="P890" s="354"/>
      <c r="Q890" s="354"/>
      <c r="R890" s="354"/>
      <c r="S890" s="354"/>
      <c r="T890" s="354"/>
      <c r="U890" s="354"/>
      <c r="AO890" s="354"/>
    </row>
    <row r="891" spans="3:41" ht="13.5">
      <c r="C891" s="354"/>
      <c r="D891" s="354"/>
      <c r="E891" s="354"/>
      <c r="F891" s="354"/>
      <c r="G891" s="354"/>
      <c r="I891" s="354"/>
      <c r="J891" s="354"/>
      <c r="K891" s="354"/>
      <c r="L891" s="354"/>
      <c r="M891" s="354"/>
      <c r="N891" s="354"/>
      <c r="O891" s="354"/>
      <c r="P891" s="354"/>
      <c r="Q891" s="354"/>
      <c r="R891" s="354"/>
      <c r="S891" s="354"/>
      <c r="T891" s="354"/>
      <c r="U891" s="354"/>
      <c r="AO891" s="354"/>
    </row>
    <row r="892" spans="3:41" ht="13.5">
      <c r="C892" s="354"/>
      <c r="D892" s="354"/>
      <c r="E892" s="354"/>
      <c r="F892" s="354"/>
      <c r="G892" s="354"/>
      <c r="I892" s="354"/>
      <c r="J892" s="354"/>
      <c r="K892" s="354"/>
      <c r="L892" s="354"/>
      <c r="M892" s="354"/>
      <c r="N892" s="354"/>
      <c r="O892" s="354"/>
      <c r="P892" s="354"/>
      <c r="Q892" s="354"/>
      <c r="R892" s="354"/>
      <c r="S892" s="354"/>
      <c r="T892" s="354"/>
      <c r="U892" s="354"/>
      <c r="AO892" s="354"/>
    </row>
    <row r="893" spans="3:41" ht="13.5">
      <c r="C893" s="354"/>
      <c r="D893" s="354"/>
      <c r="E893" s="354"/>
      <c r="F893" s="354"/>
      <c r="G893" s="354"/>
      <c r="I893" s="354"/>
      <c r="J893" s="354"/>
      <c r="K893" s="354"/>
      <c r="L893" s="354"/>
      <c r="M893" s="354"/>
      <c r="N893" s="354"/>
      <c r="O893" s="354"/>
      <c r="P893" s="354"/>
      <c r="Q893" s="354"/>
      <c r="R893" s="354"/>
      <c r="S893" s="354"/>
      <c r="T893" s="354"/>
      <c r="U893" s="354"/>
      <c r="AO893" s="354"/>
    </row>
    <row r="894" spans="3:41" ht="13.5">
      <c r="C894" s="354"/>
      <c r="D894" s="354"/>
      <c r="E894" s="354"/>
      <c r="F894" s="354"/>
      <c r="G894" s="354"/>
      <c r="I894" s="354"/>
      <c r="J894" s="354"/>
      <c r="K894" s="354"/>
      <c r="L894" s="354"/>
      <c r="M894" s="354"/>
      <c r="N894" s="354"/>
      <c r="O894" s="354"/>
      <c r="P894" s="354"/>
      <c r="Q894" s="354"/>
      <c r="R894" s="354"/>
      <c r="S894" s="354"/>
      <c r="T894" s="354"/>
      <c r="U894" s="354"/>
      <c r="AO894" s="354"/>
    </row>
    <row r="895" spans="3:41" ht="13.5">
      <c r="C895" s="354"/>
      <c r="D895" s="354"/>
      <c r="E895" s="354"/>
      <c r="F895" s="354"/>
      <c r="G895" s="354"/>
      <c r="I895" s="354"/>
      <c r="J895" s="354"/>
      <c r="K895" s="354"/>
      <c r="L895" s="354"/>
      <c r="M895" s="354"/>
      <c r="N895" s="354"/>
      <c r="O895" s="354"/>
      <c r="P895" s="354"/>
      <c r="Q895" s="354"/>
      <c r="R895" s="354"/>
      <c r="S895" s="354"/>
      <c r="T895" s="354"/>
      <c r="U895" s="354"/>
      <c r="AO895" s="354"/>
    </row>
    <row r="896" spans="3:41" ht="13.5">
      <c r="C896" s="354"/>
      <c r="D896" s="354"/>
      <c r="E896" s="354"/>
      <c r="F896" s="354"/>
      <c r="G896" s="354"/>
      <c r="I896" s="354"/>
      <c r="J896" s="354"/>
      <c r="K896" s="354"/>
      <c r="L896" s="354"/>
      <c r="M896" s="354"/>
      <c r="N896" s="354"/>
      <c r="O896" s="354"/>
      <c r="P896" s="354"/>
      <c r="Q896" s="354"/>
      <c r="R896" s="354"/>
      <c r="S896" s="354"/>
      <c r="T896" s="354"/>
      <c r="U896" s="354"/>
      <c r="AO896" s="354"/>
    </row>
    <row r="897" spans="3:41" ht="13.5">
      <c r="C897" s="354"/>
      <c r="D897" s="354"/>
      <c r="E897" s="354"/>
      <c r="F897" s="354"/>
      <c r="G897" s="354"/>
      <c r="I897" s="354"/>
      <c r="J897" s="354"/>
      <c r="K897" s="354"/>
      <c r="L897" s="354"/>
      <c r="M897" s="354"/>
      <c r="N897" s="354"/>
      <c r="O897" s="354"/>
      <c r="P897" s="354"/>
      <c r="Q897" s="354"/>
      <c r="R897" s="354"/>
      <c r="S897" s="354"/>
      <c r="T897" s="354"/>
      <c r="U897" s="354"/>
      <c r="AO897" s="354"/>
    </row>
    <row r="898" spans="3:41" ht="13.5">
      <c r="C898" s="354"/>
      <c r="D898" s="354"/>
      <c r="E898" s="354"/>
      <c r="F898" s="354"/>
      <c r="G898" s="354"/>
      <c r="I898" s="354"/>
      <c r="J898" s="354"/>
      <c r="K898" s="354"/>
      <c r="L898" s="354"/>
      <c r="M898" s="354"/>
      <c r="N898" s="354"/>
      <c r="O898" s="354"/>
      <c r="P898" s="354"/>
      <c r="Q898" s="354"/>
      <c r="R898" s="354"/>
      <c r="S898" s="354"/>
      <c r="T898" s="354"/>
      <c r="U898" s="354"/>
      <c r="AO898" s="354"/>
    </row>
    <row r="899" spans="3:41" ht="13.5">
      <c r="C899" s="354"/>
      <c r="D899" s="354"/>
      <c r="E899" s="354"/>
      <c r="F899" s="354"/>
      <c r="G899" s="354"/>
      <c r="I899" s="354"/>
      <c r="J899" s="354"/>
      <c r="K899" s="354"/>
      <c r="L899" s="354"/>
      <c r="M899" s="354"/>
      <c r="N899" s="354"/>
      <c r="O899" s="354"/>
      <c r="P899" s="354"/>
      <c r="Q899" s="354"/>
      <c r="R899" s="354"/>
      <c r="S899" s="354"/>
      <c r="T899" s="354"/>
      <c r="U899" s="354"/>
      <c r="AO899" s="354"/>
    </row>
    <row r="900" spans="3:41" ht="13.5">
      <c r="C900" s="354"/>
      <c r="D900" s="354"/>
      <c r="E900" s="354"/>
      <c r="F900" s="354"/>
      <c r="G900" s="354"/>
      <c r="I900" s="354"/>
      <c r="J900" s="354"/>
      <c r="K900" s="354"/>
      <c r="L900" s="354"/>
      <c r="M900" s="354"/>
      <c r="N900" s="354"/>
      <c r="O900" s="354"/>
      <c r="P900" s="354"/>
      <c r="Q900" s="354"/>
      <c r="R900" s="354"/>
      <c r="S900" s="354"/>
      <c r="T900" s="354"/>
      <c r="U900" s="354"/>
      <c r="AO900" s="354"/>
    </row>
    <row r="901" spans="3:41" ht="13.5">
      <c r="C901" s="354"/>
      <c r="D901" s="354"/>
      <c r="E901" s="354"/>
      <c r="F901" s="354"/>
      <c r="G901" s="354"/>
      <c r="I901" s="354"/>
      <c r="J901" s="354"/>
      <c r="K901" s="354"/>
      <c r="L901" s="354"/>
      <c r="M901" s="354"/>
      <c r="N901" s="354"/>
      <c r="O901" s="354"/>
      <c r="P901" s="354"/>
      <c r="Q901" s="354"/>
      <c r="R901" s="354"/>
      <c r="S901" s="354"/>
      <c r="T901" s="354"/>
      <c r="U901" s="354"/>
      <c r="AO901" s="354"/>
    </row>
    <row r="902" spans="3:41" ht="13.5">
      <c r="C902" s="354"/>
      <c r="D902" s="354"/>
      <c r="E902" s="354"/>
      <c r="F902" s="354"/>
      <c r="G902" s="354"/>
      <c r="I902" s="354"/>
      <c r="J902" s="354"/>
      <c r="K902" s="354"/>
      <c r="L902" s="354"/>
      <c r="M902" s="354"/>
      <c r="N902" s="354"/>
      <c r="O902" s="354"/>
      <c r="P902" s="354"/>
      <c r="Q902" s="354"/>
      <c r="R902" s="354"/>
      <c r="S902" s="354"/>
      <c r="T902" s="354"/>
      <c r="U902" s="354"/>
      <c r="AO902" s="354"/>
    </row>
    <row r="903" spans="3:41" ht="13.5">
      <c r="C903" s="354"/>
      <c r="D903" s="354"/>
      <c r="E903" s="354"/>
      <c r="F903" s="354"/>
      <c r="G903" s="354"/>
      <c r="I903" s="354"/>
      <c r="J903" s="354"/>
      <c r="K903" s="354"/>
      <c r="L903" s="354"/>
      <c r="M903" s="354"/>
      <c r="N903" s="354"/>
      <c r="O903" s="354"/>
      <c r="P903" s="354"/>
      <c r="Q903" s="354"/>
      <c r="R903" s="354"/>
      <c r="S903" s="354"/>
      <c r="T903" s="354"/>
      <c r="U903" s="354"/>
      <c r="AO903" s="354"/>
    </row>
    <row r="904" spans="3:41" ht="13.5">
      <c r="C904" s="354"/>
      <c r="D904" s="354"/>
      <c r="E904" s="354"/>
      <c r="F904" s="354"/>
      <c r="G904" s="354"/>
      <c r="I904" s="354"/>
      <c r="J904" s="354"/>
      <c r="K904" s="354"/>
      <c r="L904" s="354"/>
      <c r="M904" s="354"/>
      <c r="N904" s="354"/>
      <c r="O904" s="354"/>
      <c r="P904" s="354"/>
      <c r="Q904" s="354"/>
      <c r="R904" s="354"/>
      <c r="S904" s="354"/>
      <c r="T904" s="354"/>
      <c r="U904" s="354"/>
      <c r="AO904" s="354"/>
    </row>
    <row r="905" spans="3:41" ht="13.5">
      <c r="C905" s="354"/>
      <c r="D905" s="354"/>
      <c r="E905" s="354"/>
      <c r="F905" s="354"/>
      <c r="G905" s="354"/>
      <c r="I905" s="354"/>
      <c r="J905" s="354"/>
      <c r="K905" s="354"/>
      <c r="L905" s="354"/>
      <c r="M905" s="354"/>
      <c r="N905" s="354"/>
      <c r="O905" s="354"/>
      <c r="P905" s="354"/>
      <c r="Q905" s="354"/>
      <c r="R905" s="354"/>
      <c r="S905" s="354"/>
      <c r="T905" s="354"/>
      <c r="U905" s="354"/>
      <c r="AO905" s="354"/>
    </row>
    <row r="906" spans="3:41" ht="13.5">
      <c r="C906" s="354"/>
      <c r="D906" s="354"/>
      <c r="E906" s="354"/>
      <c r="F906" s="354"/>
      <c r="G906" s="354"/>
      <c r="I906" s="354"/>
      <c r="J906" s="354"/>
      <c r="K906" s="354"/>
      <c r="L906" s="354"/>
      <c r="M906" s="354"/>
      <c r="N906" s="354"/>
      <c r="O906" s="354"/>
      <c r="P906" s="354"/>
      <c r="Q906" s="354"/>
      <c r="R906" s="354"/>
      <c r="S906" s="354"/>
      <c r="T906" s="354"/>
      <c r="U906" s="354"/>
      <c r="AO906" s="354"/>
    </row>
    <row r="907" spans="3:41" ht="13.5">
      <c r="C907" s="354"/>
      <c r="D907" s="354"/>
      <c r="E907" s="354"/>
      <c r="F907" s="354"/>
      <c r="G907" s="354"/>
      <c r="I907" s="354"/>
      <c r="J907" s="354"/>
      <c r="K907" s="354"/>
      <c r="L907" s="354"/>
      <c r="M907" s="354"/>
      <c r="N907" s="354"/>
      <c r="O907" s="354"/>
      <c r="P907" s="354"/>
      <c r="Q907" s="354"/>
      <c r="R907" s="354"/>
      <c r="S907" s="354"/>
      <c r="T907" s="354"/>
      <c r="U907" s="354"/>
      <c r="AO907" s="354"/>
    </row>
    <row r="908" spans="3:41" ht="13.5">
      <c r="C908" s="354"/>
      <c r="D908" s="354"/>
      <c r="E908" s="354"/>
      <c r="F908" s="354"/>
      <c r="G908" s="354"/>
      <c r="I908" s="354"/>
      <c r="J908" s="354"/>
      <c r="K908" s="354"/>
      <c r="L908" s="354"/>
      <c r="M908" s="354"/>
      <c r="N908" s="354"/>
      <c r="O908" s="354"/>
      <c r="P908" s="354"/>
      <c r="Q908" s="354"/>
      <c r="R908" s="354"/>
      <c r="S908" s="354"/>
      <c r="T908" s="354"/>
      <c r="U908" s="354"/>
      <c r="AO908" s="354"/>
    </row>
    <row r="909" spans="3:41" ht="13.5">
      <c r="C909" s="354"/>
      <c r="D909" s="354"/>
      <c r="E909" s="354"/>
      <c r="F909" s="354"/>
      <c r="G909" s="354"/>
      <c r="I909" s="354"/>
      <c r="J909" s="354"/>
      <c r="K909" s="354"/>
      <c r="L909" s="354"/>
      <c r="M909" s="354"/>
      <c r="N909" s="354"/>
      <c r="O909" s="354"/>
      <c r="P909" s="354"/>
      <c r="Q909" s="354"/>
      <c r="R909" s="354"/>
      <c r="S909" s="354"/>
      <c r="T909" s="354"/>
      <c r="U909" s="354"/>
      <c r="AO909" s="354"/>
    </row>
    <row r="910" spans="3:41" ht="13.5">
      <c r="C910" s="354"/>
      <c r="D910" s="354"/>
      <c r="E910" s="354"/>
      <c r="F910" s="354"/>
      <c r="G910" s="354"/>
      <c r="I910" s="354"/>
      <c r="J910" s="354"/>
      <c r="K910" s="354"/>
      <c r="L910" s="354"/>
      <c r="M910" s="354"/>
      <c r="N910" s="354"/>
      <c r="O910" s="354"/>
      <c r="P910" s="354"/>
      <c r="Q910" s="354"/>
      <c r="R910" s="354"/>
      <c r="S910" s="354"/>
      <c r="T910" s="354"/>
      <c r="U910" s="354"/>
      <c r="AO910" s="354"/>
    </row>
    <row r="911" spans="3:41" ht="13.5">
      <c r="C911" s="354"/>
      <c r="D911" s="354"/>
      <c r="E911" s="354"/>
      <c r="F911" s="354"/>
      <c r="G911" s="354"/>
      <c r="I911" s="354"/>
      <c r="J911" s="354"/>
      <c r="K911" s="354"/>
      <c r="L911" s="354"/>
      <c r="M911" s="354"/>
      <c r="N911" s="354"/>
      <c r="O911" s="354"/>
      <c r="P911" s="354"/>
      <c r="Q911" s="354"/>
      <c r="R911" s="354"/>
      <c r="S911" s="354"/>
      <c r="T911" s="354"/>
      <c r="U911" s="354"/>
      <c r="AO911" s="354"/>
    </row>
    <row r="912" spans="3:41" ht="13.5">
      <c r="C912" s="354"/>
      <c r="D912" s="354"/>
      <c r="E912" s="354"/>
      <c r="F912" s="354"/>
      <c r="G912" s="354"/>
      <c r="I912" s="354"/>
      <c r="J912" s="354"/>
      <c r="K912" s="354"/>
      <c r="L912" s="354"/>
      <c r="M912" s="354"/>
      <c r="N912" s="354"/>
      <c r="O912" s="354"/>
      <c r="P912" s="354"/>
      <c r="Q912" s="354"/>
      <c r="R912" s="354"/>
      <c r="S912" s="354"/>
      <c r="T912" s="354"/>
      <c r="U912" s="354"/>
      <c r="AO912" s="354"/>
    </row>
    <row r="913" spans="3:41" ht="13.5">
      <c r="C913" s="354"/>
      <c r="D913" s="354"/>
      <c r="E913" s="354"/>
      <c r="F913" s="354"/>
      <c r="G913" s="354"/>
      <c r="I913" s="354"/>
      <c r="J913" s="354"/>
      <c r="K913" s="354"/>
      <c r="L913" s="354"/>
      <c r="M913" s="354"/>
      <c r="N913" s="354"/>
      <c r="O913" s="354"/>
      <c r="P913" s="354"/>
      <c r="Q913" s="354"/>
      <c r="R913" s="354"/>
      <c r="S913" s="354"/>
      <c r="T913" s="354"/>
      <c r="U913" s="354"/>
      <c r="AO913" s="354"/>
    </row>
    <row r="914" spans="3:41" ht="13.5">
      <c r="C914" s="354"/>
      <c r="D914" s="354"/>
      <c r="E914" s="354"/>
      <c r="F914" s="354"/>
      <c r="G914" s="354"/>
      <c r="I914" s="354"/>
      <c r="J914" s="354"/>
      <c r="K914" s="354"/>
      <c r="L914" s="354"/>
      <c r="M914" s="354"/>
      <c r="N914" s="354"/>
      <c r="O914" s="354"/>
      <c r="P914" s="354"/>
      <c r="Q914" s="354"/>
      <c r="R914" s="354"/>
      <c r="S914" s="354"/>
      <c r="T914" s="354"/>
      <c r="U914" s="354"/>
      <c r="AO914" s="354"/>
    </row>
    <row r="915" spans="3:41" ht="13.5">
      <c r="C915" s="354"/>
      <c r="D915" s="354"/>
      <c r="E915" s="354"/>
      <c r="F915" s="354"/>
      <c r="G915" s="354"/>
      <c r="I915" s="354"/>
      <c r="J915" s="354"/>
      <c r="K915" s="354"/>
      <c r="L915" s="354"/>
      <c r="M915" s="354"/>
      <c r="N915" s="354"/>
      <c r="O915" s="354"/>
      <c r="P915" s="354"/>
      <c r="Q915" s="354"/>
      <c r="R915" s="354"/>
      <c r="S915" s="354"/>
      <c r="T915" s="354"/>
      <c r="U915" s="354"/>
      <c r="AO915" s="354"/>
    </row>
    <row r="916" spans="3:41" ht="13.5">
      <c r="C916" s="354"/>
      <c r="D916" s="354"/>
      <c r="E916" s="354"/>
      <c r="F916" s="354"/>
      <c r="G916" s="354"/>
      <c r="I916" s="354"/>
      <c r="J916" s="354"/>
      <c r="K916" s="354"/>
      <c r="L916" s="354"/>
      <c r="M916" s="354"/>
      <c r="N916" s="354"/>
      <c r="O916" s="354"/>
      <c r="P916" s="354"/>
      <c r="Q916" s="354"/>
      <c r="R916" s="354"/>
      <c r="S916" s="354"/>
      <c r="T916" s="354"/>
      <c r="U916" s="354"/>
      <c r="AO916" s="354"/>
    </row>
    <row r="917" spans="3:41" ht="13.5">
      <c r="C917" s="354"/>
      <c r="D917" s="354"/>
      <c r="E917" s="354"/>
      <c r="F917" s="354"/>
      <c r="G917" s="354"/>
      <c r="I917" s="354"/>
      <c r="J917" s="354"/>
      <c r="K917" s="354"/>
      <c r="L917" s="354"/>
      <c r="M917" s="354"/>
      <c r="N917" s="354"/>
      <c r="O917" s="354"/>
      <c r="P917" s="354"/>
      <c r="Q917" s="354"/>
      <c r="R917" s="354"/>
      <c r="S917" s="354"/>
      <c r="T917" s="354"/>
      <c r="U917" s="354"/>
      <c r="AO917" s="354"/>
    </row>
    <row r="918" spans="3:41" ht="13.5">
      <c r="C918" s="354"/>
      <c r="D918" s="354"/>
      <c r="E918" s="354"/>
      <c r="F918" s="354"/>
      <c r="G918" s="354"/>
      <c r="I918" s="354"/>
      <c r="J918" s="354"/>
      <c r="K918" s="354"/>
      <c r="L918" s="354"/>
      <c r="M918" s="354"/>
      <c r="N918" s="354"/>
      <c r="O918" s="354"/>
      <c r="P918" s="354"/>
      <c r="Q918" s="354"/>
      <c r="R918" s="354"/>
      <c r="S918" s="354"/>
      <c r="T918" s="354"/>
      <c r="U918" s="354"/>
      <c r="AO918" s="354"/>
    </row>
    <row r="919" spans="3:41" ht="13.5">
      <c r="C919" s="354"/>
      <c r="D919" s="354"/>
      <c r="E919" s="354"/>
      <c r="F919" s="354"/>
      <c r="G919" s="354"/>
      <c r="I919" s="354"/>
      <c r="J919" s="354"/>
      <c r="K919" s="354"/>
      <c r="L919" s="354"/>
      <c r="M919" s="354"/>
      <c r="N919" s="354"/>
      <c r="O919" s="354"/>
      <c r="P919" s="354"/>
      <c r="Q919" s="354"/>
      <c r="R919" s="354"/>
      <c r="S919" s="354"/>
      <c r="T919" s="354"/>
      <c r="U919" s="354"/>
      <c r="AO919" s="354"/>
    </row>
    <row r="920" spans="3:41" ht="13.5">
      <c r="C920" s="354"/>
      <c r="D920" s="354"/>
      <c r="E920" s="354"/>
      <c r="F920" s="354"/>
      <c r="G920" s="354"/>
      <c r="I920" s="354"/>
      <c r="J920" s="354"/>
      <c r="K920" s="354"/>
      <c r="L920" s="354"/>
      <c r="M920" s="354"/>
      <c r="N920" s="354"/>
      <c r="O920" s="354"/>
      <c r="P920" s="354"/>
      <c r="Q920" s="354"/>
      <c r="R920" s="354"/>
      <c r="S920" s="354"/>
      <c r="T920" s="354"/>
      <c r="U920" s="354"/>
      <c r="AO920" s="354"/>
    </row>
  </sheetData>
  <mergeCells count="1">
    <mergeCell ref="C280:X280"/>
  </mergeCells>
  <phoneticPr fontId="3"/>
  <hyperlinks>
    <hyperlink ref="A1" location="TCS!A1" display="戻る" xr:uid="{BFFFBE4B-31FC-407F-95DB-CA1D51263B83}"/>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7023F-22B5-4B0A-A1EA-4B72CE9859DB}">
  <sheetPr>
    <tabColor rgb="FFFFC000"/>
  </sheetPr>
  <dimension ref="A1"/>
  <sheetViews>
    <sheetView workbookViewId="0"/>
  </sheetViews>
  <sheetFormatPr defaultColWidth="9" defaultRowHeight="15"/>
  <cols>
    <col min="1" max="16384" width="9" style="28"/>
  </cols>
  <sheetData>
    <row r="1" spans="1:1">
      <c r="A1" s="27"/>
    </row>
  </sheetData>
  <phoneticPr fontId="2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048C12-B2F2-4E2D-92A8-5090A17145D0}">
  <dimension ref="A1:M475"/>
  <sheetViews>
    <sheetView showGridLines="0" workbookViewId="0">
      <pane ySplit="3" topLeftCell="A4" activePane="bottomLeft" state="frozen"/>
      <selection activeCell="H40" sqref="H40"/>
      <selection pane="bottomLeft" activeCell="H40" sqref="H40"/>
    </sheetView>
  </sheetViews>
  <sheetFormatPr defaultColWidth="9" defaultRowHeight="15"/>
  <cols>
    <col min="1" max="1" width="3.08984375" style="28" customWidth="1"/>
    <col min="2" max="2" width="7.453125" style="28" customWidth="1"/>
    <col min="3" max="3" width="9" style="28"/>
    <col min="4" max="12" width="9" style="30"/>
    <col min="13" max="13" width="5" style="30" customWidth="1"/>
    <col min="14" max="16384" width="9" style="28"/>
  </cols>
  <sheetData>
    <row r="1" spans="1:13">
      <c r="A1" s="29" t="s">
        <v>118</v>
      </c>
    </row>
    <row r="2" spans="1:13" ht="33" thickBot="1">
      <c r="A2" s="31"/>
      <c r="B2" s="32" t="s">
        <v>119</v>
      </c>
      <c r="C2" s="33"/>
      <c r="D2" s="33"/>
      <c r="E2" s="33"/>
      <c r="F2" s="33"/>
      <c r="G2" s="33"/>
      <c r="H2" s="33"/>
      <c r="I2" s="33"/>
      <c r="J2" s="33"/>
      <c r="K2" s="33"/>
      <c r="L2" s="33"/>
      <c r="M2" s="33"/>
    </row>
    <row r="3" spans="1:13" ht="16" thickTop="1" thickBot="1">
      <c r="B3" s="34" t="s">
        <v>120</v>
      </c>
      <c r="C3" s="34" t="s">
        <v>121</v>
      </c>
      <c r="D3" s="34"/>
      <c r="E3" s="35"/>
    </row>
    <row r="4" spans="1:13">
      <c r="B4" s="36">
        <v>1</v>
      </c>
      <c r="C4" s="37" t="s">
        <v>122</v>
      </c>
      <c r="D4" s="37"/>
      <c r="E4" s="37"/>
      <c r="F4" s="37"/>
      <c r="G4" s="37"/>
      <c r="H4" s="37"/>
      <c r="I4" s="37"/>
      <c r="J4" s="37"/>
      <c r="K4" s="37"/>
      <c r="L4" s="37"/>
      <c r="M4" s="38"/>
    </row>
    <row r="5" spans="1:13" ht="15.5" thickBot="1">
      <c r="B5" s="39" t="s">
        <v>123</v>
      </c>
      <c r="C5" s="40"/>
      <c r="D5" s="41"/>
      <c r="E5" s="41"/>
      <c r="F5" s="41"/>
      <c r="G5" s="41"/>
      <c r="H5" s="41"/>
      <c r="I5" s="41"/>
      <c r="J5" s="41"/>
      <c r="K5" s="41"/>
      <c r="L5" s="41"/>
      <c r="M5" s="42"/>
    </row>
    <row r="6" spans="1:13">
      <c r="B6" s="43"/>
      <c r="C6" s="44"/>
      <c r="D6" s="44"/>
      <c r="E6" s="44"/>
      <c r="F6" s="44"/>
      <c r="G6" s="44"/>
      <c r="H6" s="44"/>
      <c r="I6" s="44"/>
      <c r="J6" s="44"/>
      <c r="K6" s="44"/>
      <c r="L6" s="44"/>
      <c r="M6" s="45"/>
    </row>
    <row r="7" spans="1:13">
      <c r="B7" s="46"/>
      <c r="C7" s="47" t="s">
        <v>124</v>
      </c>
      <c r="D7" s="48" t="s">
        <v>125</v>
      </c>
      <c r="E7" s="49"/>
      <c r="F7" s="50"/>
      <c r="G7" s="50"/>
      <c r="H7" s="50"/>
      <c r="I7" s="50"/>
      <c r="J7" s="50"/>
      <c r="K7" s="50"/>
      <c r="L7" s="50"/>
      <c r="M7" s="51"/>
    </row>
    <row r="8" spans="1:13" s="52" customFormat="1" ht="13.5">
      <c r="B8" s="43"/>
      <c r="C8" s="53" t="s">
        <v>126</v>
      </c>
      <c r="D8" s="44"/>
      <c r="E8" s="44"/>
      <c r="F8" s="44"/>
      <c r="G8" s="44"/>
      <c r="H8" s="44"/>
      <c r="I8" s="44"/>
      <c r="J8" s="44"/>
      <c r="K8" s="44"/>
      <c r="L8" s="44"/>
      <c r="M8" s="45"/>
    </row>
    <row r="9" spans="1:13" s="52" customFormat="1" ht="13.5">
      <c r="B9" s="43"/>
      <c r="C9" s="54"/>
      <c r="D9" s="55"/>
      <c r="E9" s="56" t="s">
        <v>127</v>
      </c>
      <c r="F9" s="56" t="s">
        <v>128</v>
      </c>
      <c r="G9" s="57"/>
      <c r="H9" s="44"/>
      <c r="I9" s="44"/>
      <c r="J9" s="44"/>
      <c r="K9" s="44"/>
      <c r="L9" s="44"/>
      <c r="M9" s="45"/>
    </row>
    <row r="10" spans="1:13" s="52" customFormat="1" ht="13.5">
      <c r="B10" s="43"/>
      <c r="C10" s="54"/>
      <c r="D10" s="55"/>
      <c r="E10" s="56" t="s">
        <v>129</v>
      </c>
      <c r="F10" s="56" t="s">
        <v>130</v>
      </c>
      <c r="G10" s="57"/>
      <c r="H10" s="44"/>
      <c r="I10" s="44"/>
      <c r="J10" s="44"/>
      <c r="K10" s="44"/>
      <c r="L10" s="44"/>
      <c r="M10" s="45"/>
    </row>
    <row r="11" spans="1:13" s="52" customFormat="1" ht="13.5">
      <c r="B11" s="43"/>
      <c r="C11" s="55" t="s">
        <v>131</v>
      </c>
      <c r="D11" s="55"/>
      <c r="E11" s="56" t="s">
        <v>132</v>
      </c>
      <c r="F11" s="58" t="s">
        <v>133</v>
      </c>
      <c r="G11" s="57"/>
      <c r="H11" s="44"/>
      <c r="I11" s="44"/>
      <c r="J11" s="44"/>
      <c r="K11" s="44"/>
      <c r="L11" s="44"/>
      <c r="M11" s="45"/>
    </row>
    <row r="12" spans="1:13" s="52" customFormat="1" ht="13.5">
      <c r="B12" s="43"/>
      <c r="C12" s="55" t="s">
        <v>134</v>
      </c>
      <c r="D12" s="55"/>
      <c r="E12" s="56" t="s">
        <v>135</v>
      </c>
      <c r="F12" s="56" t="s">
        <v>136</v>
      </c>
      <c r="G12" s="57"/>
      <c r="H12" s="44"/>
      <c r="I12" s="44"/>
      <c r="J12" s="44"/>
      <c r="K12" s="44"/>
      <c r="L12" s="44"/>
      <c r="M12" s="45"/>
    </row>
    <row r="13" spans="1:13" s="52" customFormat="1" ht="13.5">
      <c r="B13" s="43"/>
      <c r="C13" s="55" t="s">
        <v>137</v>
      </c>
      <c r="D13" s="55"/>
      <c r="E13" s="56" t="s">
        <v>135</v>
      </c>
      <c r="F13" s="56" t="s">
        <v>138</v>
      </c>
      <c r="G13" s="57"/>
      <c r="H13" s="44"/>
      <c r="I13" s="44"/>
      <c r="J13" s="44"/>
      <c r="K13" s="44"/>
      <c r="L13" s="44"/>
      <c r="M13" s="45"/>
    </row>
    <row r="14" spans="1:13" s="52" customFormat="1" ht="13.5">
      <c r="B14" s="43"/>
      <c r="C14" s="55" t="s">
        <v>139</v>
      </c>
      <c r="D14" s="55"/>
      <c r="E14" s="56" t="s">
        <v>135</v>
      </c>
      <c r="F14" s="56" t="s">
        <v>138</v>
      </c>
      <c r="G14" s="57"/>
      <c r="H14" s="44"/>
      <c r="I14" s="44"/>
      <c r="J14" s="44"/>
      <c r="K14" s="44"/>
      <c r="L14" s="44"/>
      <c r="M14" s="45"/>
    </row>
    <row r="15" spans="1:13" s="52" customFormat="1" ht="13.5">
      <c r="B15" s="43"/>
      <c r="C15" s="55" t="s">
        <v>140</v>
      </c>
      <c r="D15" s="55"/>
      <c r="E15" s="56" t="s">
        <v>135</v>
      </c>
      <c r="F15" s="56" t="s">
        <v>141</v>
      </c>
      <c r="G15" s="57"/>
      <c r="H15" s="44"/>
      <c r="I15" s="44"/>
      <c r="J15" s="44"/>
      <c r="K15" s="44"/>
      <c r="L15" s="44"/>
      <c r="M15" s="45"/>
    </row>
    <row r="16" spans="1:13" s="52" customFormat="1" ht="13.5">
      <c r="B16" s="43"/>
      <c r="C16" s="55" t="s">
        <v>142</v>
      </c>
      <c r="D16" s="55"/>
      <c r="E16" s="56" t="s">
        <v>135</v>
      </c>
      <c r="F16" s="56" t="s">
        <v>143</v>
      </c>
      <c r="G16" s="57"/>
      <c r="H16" s="44"/>
      <c r="I16" s="44"/>
      <c r="J16" s="44"/>
      <c r="K16" s="44"/>
      <c r="L16" s="44"/>
      <c r="M16" s="45"/>
    </row>
    <row r="17" spans="2:13" s="52" customFormat="1" ht="13.5">
      <c r="B17" s="43"/>
      <c r="C17" s="55" t="s">
        <v>144</v>
      </c>
      <c r="D17" s="55"/>
      <c r="E17" s="56" t="s">
        <v>135</v>
      </c>
      <c r="F17" s="56" t="s">
        <v>145</v>
      </c>
      <c r="G17" s="57"/>
      <c r="H17" s="44"/>
      <c r="I17" s="44"/>
      <c r="J17" s="44"/>
      <c r="K17" s="44"/>
      <c r="L17" s="44"/>
      <c r="M17" s="45"/>
    </row>
    <row r="18" spans="2:13" s="52" customFormat="1" ht="13.5">
      <c r="B18" s="43"/>
      <c r="C18" s="55" t="s">
        <v>146</v>
      </c>
      <c r="D18" s="55"/>
      <c r="E18" s="56" t="s">
        <v>135</v>
      </c>
      <c r="F18" s="56" t="s">
        <v>147</v>
      </c>
      <c r="G18" s="57"/>
      <c r="H18" s="44"/>
      <c r="I18" s="44"/>
      <c r="J18" s="44"/>
      <c r="K18" s="44"/>
      <c r="L18" s="44"/>
      <c r="M18" s="45"/>
    </row>
    <row r="19" spans="2:13" s="52" customFormat="1" ht="13.5">
      <c r="B19" s="43"/>
      <c r="C19" s="55" t="s">
        <v>148</v>
      </c>
      <c r="D19" s="55"/>
      <c r="E19" s="56" t="s">
        <v>135</v>
      </c>
      <c r="F19" s="56" t="s">
        <v>149</v>
      </c>
      <c r="G19" s="57"/>
      <c r="H19" s="44"/>
      <c r="I19" s="44"/>
      <c r="J19" s="44"/>
      <c r="K19" s="44"/>
      <c r="L19" s="44"/>
      <c r="M19" s="45"/>
    </row>
    <row r="20" spans="2:13" s="52" customFormat="1" ht="13.5">
      <c r="B20" s="43"/>
      <c r="C20" s="55" t="s">
        <v>150</v>
      </c>
      <c r="D20" s="55"/>
      <c r="E20" s="56" t="s">
        <v>135</v>
      </c>
      <c r="F20" s="56" t="s">
        <v>151</v>
      </c>
      <c r="G20" s="57"/>
      <c r="H20" s="44"/>
      <c r="I20" s="44"/>
      <c r="J20" s="44"/>
      <c r="K20" s="44"/>
      <c r="L20" s="44"/>
      <c r="M20" s="45"/>
    </row>
    <row r="21" spans="2:13" s="52" customFormat="1" ht="13.5">
      <c r="B21" s="43"/>
      <c r="C21" s="55"/>
      <c r="D21" s="55"/>
      <c r="E21" s="56" t="s">
        <v>152</v>
      </c>
      <c r="F21" s="56"/>
      <c r="G21" s="57"/>
      <c r="H21" s="44"/>
      <c r="I21" s="44"/>
      <c r="J21" s="44"/>
      <c r="K21" s="44"/>
      <c r="L21" s="44"/>
      <c r="M21" s="45"/>
    </row>
    <row r="22" spans="2:13" s="52" customFormat="1" ht="13.5">
      <c r="B22" s="43"/>
      <c r="C22" s="44"/>
      <c r="D22" s="44"/>
      <c r="E22" s="44"/>
      <c r="F22" s="44"/>
      <c r="G22" s="44"/>
      <c r="H22" s="44"/>
      <c r="I22" s="44"/>
      <c r="J22" s="44"/>
      <c r="K22" s="44"/>
      <c r="L22" s="44"/>
      <c r="M22" s="45"/>
    </row>
    <row r="23" spans="2:13">
      <c r="B23" s="59"/>
      <c r="C23" s="53" t="s">
        <v>153</v>
      </c>
      <c r="D23" s="60"/>
      <c r="E23" s="60"/>
      <c r="F23" s="60"/>
      <c r="G23" s="60"/>
      <c r="H23" s="60"/>
      <c r="I23" s="60"/>
      <c r="J23" s="60"/>
      <c r="K23" s="60"/>
      <c r="L23" s="60"/>
      <c r="M23" s="51"/>
    </row>
    <row r="24" spans="2:13">
      <c r="B24" s="59"/>
      <c r="C24" s="61" t="s">
        <v>154</v>
      </c>
      <c r="D24" s="62">
        <v>-2</v>
      </c>
      <c r="E24" s="63"/>
      <c r="F24" s="63"/>
      <c r="G24" s="63"/>
      <c r="H24" s="63"/>
      <c r="I24" s="63"/>
      <c r="J24" s="63"/>
      <c r="K24" s="64"/>
      <c r="L24" s="60"/>
      <c r="M24" s="51"/>
    </row>
    <row r="25" spans="2:13">
      <c r="B25" s="59"/>
      <c r="C25" s="65" t="s">
        <v>155</v>
      </c>
      <c r="D25" s="66" t="s">
        <v>156</v>
      </c>
      <c r="E25" s="63"/>
      <c r="F25" s="63"/>
      <c r="G25" s="63"/>
      <c r="H25" s="63"/>
      <c r="I25" s="63"/>
      <c r="J25" s="63"/>
      <c r="K25" s="64"/>
      <c r="L25" s="60"/>
      <c r="M25" s="51"/>
    </row>
    <row r="26" spans="2:13">
      <c r="B26" s="59"/>
      <c r="C26" s="65" t="s">
        <v>157</v>
      </c>
      <c r="D26" s="66" t="s">
        <v>158</v>
      </c>
      <c r="E26" s="63"/>
      <c r="F26" s="63"/>
      <c r="G26" s="63"/>
      <c r="H26" s="63"/>
      <c r="I26" s="63"/>
      <c r="J26" s="63"/>
      <c r="K26" s="64"/>
      <c r="L26" s="60"/>
      <c r="M26" s="51"/>
    </row>
    <row r="27" spans="2:13">
      <c r="B27" s="59"/>
      <c r="C27" s="65" t="s">
        <v>159</v>
      </c>
      <c r="D27" s="66" t="s">
        <v>160</v>
      </c>
      <c r="E27" s="63"/>
      <c r="F27" s="63"/>
      <c r="G27" s="63"/>
      <c r="H27" s="63"/>
      <c r="I27" s="63"/>
      <c r="J27" s="63"/>
      <c r="K27" s="64"/>
      <c r="L27" s="60"/>
      <c r="M27" s="51"/>
    </row>
    <row r="28" spans="2:13">
      <c r="B28" s="59"/>
      <c r="C28" s="67"/>
      <c r="D28" s="68"/>
      <c r="E28" s="60"/>
      <c r="F28" s="60"/>
      <c r="G28" s="60"/>
      <c r="H28" s="60"/>
      <c r="I28" s="60"/>
      <c r="J28" s="60"/>
      <c r="K28" s="60"/>
      <c r="L28" s="60"/>
      <c r="M28" s="51"/>
    </row>
    <row r="29" spans="2:13">
      <c r="B29" s="59"/>
      <c r="C29" s="30"/>
      <c r="D29" s="60"/>
      <c r="E29" s="60"/>
      <c r="F29" s="60"/>
      <c r="G29" s="60"/>
      <c r="H29" s="60"/>
      <c r="I29" s="60"/>
      <c r="J29" s="60"/>
      <c r="K29" s="60"/>
      <c r="L29" s="60"/>
      <c r="M29" s="51"/>
    </row>
    <row r="30" spans="2:13">
      <c r="B30" s="46"/>
      <c r="C30" s="47" t="s">
        <v>124</v>
      </c>
      <c r="D30" s="48" t="s">
        <v>161</v>
      </c>
      <c r="E30" s="49"/>
      <c r="F30" s="50"/>
      <c r="G30" s="50"/>
      <c r="H30" s="50"/>
      <c r="I30" s="50"/>
      <c r="J30" s="50"/>
      <c r="K30" s="50"/>
      <c r="L30" s="50"/>
      <c r="M30" s="51"/>
    </row>
    <row r="31" spans="2:13" s="52" customFormat="1" ht="13.5">
      <c r="B31" s="43"/>
      <c r="C31" s="53" t="s">
        <v>126</v>
      </c>
      <c r="D31" s="44"/>
      <c r="E31" s="44"/>
      <c r="F31" s="44"/>
      <c r="G31" s="44"/>
      <c r="H31" s="44"/>
      <c r="I31" s="44"/>
      <c r="J31" s="44"/>
      <c r="K31" s="44"/>
      <c r="L31" s="44"/>
      <c r="M31" s="45"/>
    </row>
    <row r="32" spans="2:13" s="52" customFormat="1" ht="13.5">
      <c r="B32" s="43"/>
      <c r="C32" s="54"/>
      <c r="D32" s="55"/>
      <c r="E32" s="56" t="s">
        <v>127</v>
      </c>
      <c r="F32" s="56" t="s">
        <v>128</v>
      </c>
      <c r="G32" s="57"/>
      <c r="H32" s="44"/>
      <c r="I32" s="44"/>
      <c r="J32" s="44"/>
      <c r="K32" s="44"/>
      <c r="L32" s="44"/>
      <c r="M32" s="45"/>
    </row>
    <row r="33" spans="2:13" s="52" customFormat="1" ht="13.5">
      <c r="B33" s="43"/>
      <c r="C33" s="54"/>
      <c r="D33" s="55"/>
      <c r="E33" s="56" t="s">
        <v>129</v>
      </c>
      <c r="F33" s="56" t="s">
        <v>130</v>
      </c>
      <c r="G33" s="57"/>
      <c r="H33" s="44"/>
      <c r="I33" s="44"/>
      <c r="J33" s="44"/>
      <c r="K33" s="44"/>
      <c r="L33" s="44"/>
      <c r="M33" s="45"/>
    </row>
    <row r="34" spans="2:13" s="52" customFormat="1" ht="13.5">
      <c r="B34" s="43"/>
      <c r="C34" s="55" t="s">
        <v>131</v>
      </c>
      <c r="D34" s="55"/>
      <c r="E34" s="56" t="s">
        <v>132</v>
      </c>
      <c r="F34" s="56" t="s">
        <v>162</v>
      </c>
      <c r="G34" s="57"/>
      <c r="H34" s="44"/>
      <c r="I34" s="44"/>
      <c r="J34" s="44"/>
      <c r="K34" s="44"/>
      <c r="L34" s="44"/>
      <c r="M34" s="45"/>
    </row>
    <row r="35" spans="2:13" s="52" customFormat="1" ht="13.5">
      <c r="B35" s="43"/>
      <c r="C35" s="55" t="s">
        <v>134</v>
      </c>
      <c r="D35" s="55"/>
      <c r="E35" s="56" t="s">
        <v>135</v>
      </c>
      <c r="F35" s="58" t="s">
        <v>133</v>
      </c>
      <c r="G35" s="57"/>
      <c r="H35" s="44"/>
      <c r="I35" s="44"/>
      <c r="J35" s="44"/>
      <c r="K35" s="44"/>
      <c r="L35" s="44"/>
      <c r="M35" s="45"/>
    </row>
    <row r="36" spans="2:13" s="52" customFormat="1" ht="13.5">
      <c r="B36" s="43"/>
      <c r="C36" s="55" t="s">
        <v>137</v>
      </c>
      <c r="D36" s="55"/>
      <c r="E36" s="56" t="s">
        <v>135</v>
      </c>
      <c r="F36" s="56" t="s">
        <v>138</v>
      </c>
      <c r="G36" s="57"/>
      <c r="H36" s="44"/>
      <c r="I36" s="44"/>
      <c r="J36" s="44"/>
      <c r="K36" s="44"/>
      <c r="L36" s="44"/>
      <c r="M36" s="45"/>
    </row>
    <row r="37" spans="2:13" s="52" customFormat="1" ht="13.5">
      <c r="B37" s="43"/>
      <c r="C37" s="55" t="s">
        <v>139</v>
      </c>
      <c r="D37" s="55"/>
      <c r="E37" s="56" t="s">
        <v>135</v>
      </c>
      <c r="F37" s="56" t="s">
        <v>138</v>
      </c>
      <c r="G37" s="57"/>
      <c r="H37" s="44"/>
      <c r="I37" s="44"/>
      <c r="J37" s="44"/>
      <c r="K37" s="44"/>
      <c r="L37" s="44"/>
      <c r="M37" s="45"/>
    </row>
    <row r="38" spans="2:13" s="52" customFormat="1" ht="13.5">
      <c r="B38" s="43"/>
      <c r="C38" s="55" t="s">
        <v>140</v>
      </c>
      <c r="D38" s="55"/>
      <c r="E38" s="56" t="s">
        <v>135</v>
      </c>
      <c r="F38" s="56" t="s">
        <v>141</v>
      </c>
      <c r="G38" s="57"/>
      <c r="H38" s="44"/>
      <c r="I38" s="44"/>
      <c r="J38" s="44"/>
      <c r="K38" s="44"/>
      <c r="L38" s="44"/>
      <c r="M38" s="45"/>
    </row>
    <row r="39" spans="2:13" s="52" customFormat="1" ht="13.5">
      <c r="B39" s="43"/>
      <c r="C39" s="55" t="s">
        <v>142</v>
      </c>
      <c r="D39" s="55"/>
      <c r="E39" s="56" t="s">
        <v>135</v>
      </c>
      <c r="F39" s="56" t="s">
        <v>143</v>
      </c>
      <c r="G39" s="57"/>
      <c r="H39" s="44"/>
      <c r="I39" s="44"/>
      <c r="J39" s="44"/>
      <c r="K39" s="44"/>
      <c r="L39" s="44"/>
      <c r="M39" s="45"/>
    </row>
    <row r="40" spans="2:13" s="52" customFormat="1" ht="13.5">
      <c r="B40" s="43"/>
      <c r="C40" s="55" t="s">
        <v>144</v>
      </c>
      <c r="D40" s="55"/>
      <c r="E40" s="56" t="s">
        <v>135</v>
      </c>
      <c r="F40" s="56" t="s">
        <v>145</v>
      </c>
      <c r="G40" s="57"/>
      <c r="H40" s="44"/>
      <c r="I40" s="44"/>
      <c r="J40" s="44"/>
      <c r="K40" s="44"/>
      <c r="L40" s="44"/>
      <c r="M40" s="45"/>
    </row>
    <row r="41" spans="2:13" s="52" customFormat="1" ht="13.5">
      <c r="B41" s="43"/>
      <c r="C41" s="55" t="s">
        <v>146</v>
      </c>
      <c r="D41" s="55"/>
      <c r="E41" s="56" t="s">
        <v>135</v>
      </c>
      <c r="F41" s="56" t="s">
        <v>147</v>
      </c>
      <c r="G41" s="57"/>
      <c r="H41" s="44"/>
      <c r="I41" s="44"/>
      <c r="J41" s="44"/>
      <c r="K41" s="44"/>
      <c r="L41" s="44"/>
      <c r="M41" s="45"/>
    </row>
    <row r="42" spans="2:13" s="52" customFormat="1" ht="13.5">
      <c r="B42" s="43"/>
      <c r="C42" s="55" t="s">
        <v>148</v>
      </c>
      <c r="D42" s="55"/>
      <c r="E42" s="56" t="s">
        <v>135</v>
      </c>
      <c r="F42" s="56" t="s">
        <v>149</v>
      </c>
      <c r="G42" s="57"/>
      <c r="H42" s="44"/>
      <c r="I42" s="44"/>
      <c r="J42" s="44"/>
      <c r="K42" s="44"/>
      <c r="L42" s="44"/>
      <c r="M42" s="45"/>
    </row>
    <row r="43" spans="2:13" s="52" customFormat="1" ht="13.5">
      <c r="B43" s="43"/>
      <c r="C43" s="55" t="s">
        <v>150</v>
      </c>
      <c r="D43" s="55"/>
      <c r="E43" s="56" t="s">
        <v>135</v>
      </c>
      <c r="F43" s="56" t="s">
        <v>151</v>
      </c>
      <c r="G43" s="57"/>
      <c r="H43" s="44"/>
      <c r="I43" s="44"/>
      <c r="J43" s="44"/>
      <c r="K43" s="44"/>
      <c r="L43" s="44"/>
      <c r="M43" s="45"/>
    </row>
    <row r="44" spans="2:13" s="52" customFormat="1" ht="13.5">
      <c r="B44" s="43"/>
      <c r="C44" s="55"/>
      <c r="D44" s="55"/>
      <c r="E44" s="56" t="s">
        <v>152</v>
      </c>
      <c r="F44" s="56"/>
      <c r="G44" s="57"/>
      <c r="H44" s="44"/>
      <c r="I44" s="44"/>
      <c r="J44" s="44"/>
      <c r="K44" s="44"/>
      <c r="L44" s="44"/>
      <c r="M44" s="45"/>
    </row>
    <row r="45" spans="2:13" s="52" customFormat="1" ht="13.5">
      <c r="B45" s="43"/>
      <c r="C45" s="44"/>
      <c r="D45" s="44"/>
      <c r="E45" s="44"/>
      <c r="F45" s="44"/>
      <c r="G45" s="44"/>
      <c r="H45" s="44"/>
      <c r="I45" s="44"/>
      <c r="J45" s="44"/>
      <c r="K45" s="44"/>
      <c r="L45" s="44"/>
      <c r="M45" s="45"/>
    </row>
    <row r="46" spans="2:13">
      <c r="B46" s="59"/>
      <c r="C46" s="53" t="s">
        <v>153</v>
      </c>
      <c r="D46" s="60"/>
      <c r="E46" s="60"/>
      <c r="F46" s="60"/>
      <c r="G46" s="60"/>
      <c r="H46" s="60"/>
      <c r="I46" s="60"/>
      <c r="J46" s="60"/>
      <c r="K46" s="60"/>
      <c r="L46" s="60"/>
      <c r="M46" s="51"/>
    </row>
    <row r="47" spans="2:13">
      <c r="B47" s="59"/>
      <c r="C47" s="61" t="s">
        <v>154</v>
      </c>
      <c r="D47" s="62">
        <v>-2</v>
      </c>
      <c r="E47" s="63"/>
      <c r="F47" s="63"/>
      <c r="G47" s="63"/>
      <c r="H47" s="63"/>
      <c r="I47" s="63"/>
      <c r="J47" s="63"/>
      <c r="K47" s="64"/>
      <c r="L47" s="60"/>
      <c r="M47" s="51"/>
    </row>
    <row r="48" spans="2:13">
      <c r="B48" s="59"/>
      <c r="C48" s="65" t="s">
        <v>155</v>
      </c>
      <c r="D48" s="66" t="s">
        <v>156</v>
      </c>
      <c r="E48" s="63"/>
      <c r="F48" s="63"/>
      <c r="G48" s="63"/>
      <c r="H48" s="63"/>
      <c r="I48" s="63"/>
      <c r="J48" s="63"/>
      <c r="K48" s="64"/>
      <c r="L48" s="60"/>
      <c r="M48" s="51"/>
    </row>
    <row r="49" spans="2:13">
      <c r="B49" s="59"/>
      <c r="C49" s="65" t="s">
        <v>157</v>
      </c>
      <c r="D49" s="66" t="s">
        <v>163</v>
      </c>
      <c r="E49" s="63"/>
      <c r="F49" s="63"/>
      <c r="G49" s="63"/>
      <c r="H49" s="63"/>
      <c r="I49" s="63"/>
      <c r="J49" s="63"/>
      <c r="K49" s="64"/>
      <c r="L49" s="60"/>
      <c r="M49" s="51"/>
    </row>
    <row r="50" spans="2:13">
      <c r="B50" s="59"/>
      <c r="C50" s="65" t="s">
        <v>159</v>
      </c>
      <c r="D50" s="66" t="s">
        <v>164</v>
      </c>
      <c r="E50" s="63"/>
      <c r="F50" s="63"/>
      <c r="G50" s="63"/>
      <c r="H50" s="63"/>
      <c r="I50" s="63"/>
      <c r="J50" s="63"/>
      <c r="K50" s="64"/>
      <c r="L50" s="60"/>
      <c r="M50" s="51"/>
    </row>
    <row r="51" spans="2:13">
      <c r="B51" s="59"/>
      <c r="C51" s="30"/>
      <c r="D51" s="60"/>
      <c r="E51" s="60"/>
      <c r="F51" s="60"/>
      <c r="G51" s="60"/>
      <c r="H51" s="60"/>
      <c r="I51" s="60"/>
      <c r="J51" s="60"/>
      <c r="K51" s="60"/>
      <c r="L51" s="60"/>
      <c r="M51" s="51"/>
    </row>
    <row r="52" spans="2:13">
      <c r="B52" s="59"/>
      <c r="C52" s="30"/>
      <c r="D52" s="60"/>
      <c r="E52" s="60"/>
      <c r="F52" s="60"/>
      <c r="G52" s="60"/>
      <c r="H52" s="60"/>
      <c r="I52" s="60"/>
      <c r="J52" s="60"/>
      <c r="K52" s="60"/>
      <c r="L52" s="60"/>
      <c r="M52" s="51"/>
    </row>
    <row r="53" spans="2:13">
      <c r="B53" s="46"/>
      <c r="C53" s="47" t="s">
        <v>124</v>
      </c>
      <c r="D53" s="48" t="s">
        <v>165</v>
      </c>
      <c r="E53" s="49"/>
      <c r="F53" s="50"/>
      <c r="G53" s="50"/>
      <c r="H53" s="50"/>
      <c r="I53" s="50"/>
      <c r="J53" s="50"/>
      <c r="K53" s="50"/>
      <c r="L53" s="50"/>
      <c r="M53" s="51"/>
    </row>
    <row r="54" spans="2:13" s="52" customFormat="1" ht="13.5">
      <c r="B54" s="43"/>
      <c r="C54" s="53" t="s">
        <v>126</v>
      </c>
      <c r="D54" s="44"/>
      <c r="E54" s="44"/>
      <c r="F54" s="44"/>
      <c r="G54" s="44"/>
      <c r="H54" s="44"/>
      <c r="I54" s="44"/>
      <c r="J54" s="44"/>
      <c r="K54" s="44"/>
      <c r="L54" s="44"/>
      <c r="M54" s="45"/>
    </row>
    <row r="55" spans="2:13" s="52" customFormat="1" ht="13.5">
      <c r="B55" s="43"/>
      <c r="C55" s="54"/>
      <c r="D55" s="55"/>
      <c r="E55" s="56" t="s">
        <v>127</v>
      </c>
      <c r="F55" s="56" t="s">
        <v>128</v>
      </c>
      <c r="G55" s="57"/>
      <c r="H55" s="44"/>
      <c r="I55" s="44"/>
      <c r="J55" s="44"/>
      <c r="K55" s="44"/>
      <c r="L55" s="44"/>
      <c r="M55" s="45"/>
    </row>
    <row r="56" spans="2:13" s="52" customFormat="1" ht="13.5">
      <c r="B56" s="43"/>
      <c r="C56" s="54"/>
      <c r="D56" s="55"/>
      <c r="E56" s="56" t="s">
        <v>129</v>
      </c>
      <c r="F56" s="56" t="s">
        <v>130</v>
      </c>
      <c r="G56" s="57"/>
      <c r="H56" s="44"/>
      <c r="I56" s="44"/>
      <c r="J56" s="44"/>
      <c r="K56" s="44"/>
      <c r="L56" s="44"/>
      <c r="M56" s="45"/>
    </row>
    <row r="57" spans="2:13" s="52" customFormat="1" ht="13.5">
      <c r="B57" s="43"/>
      <c r="C57" s="55" t="s">
        <v>131</v>
      </c>
      <c r="D57" s="55"/>
      <c r="E57" s="56" t="s">
        <v>132</v>
      </c>
      <c r="F57" s="56" t="s">
        <v>162</v>
      </c>
      <c r="G57" s="57"/>
      <c r="H57" s="44"/>
      <c r="I57" s="44"/>
      <c r="J57" s="44"/>
      <c r="K57" s="44"/>
      <c r="L57" s="44"/>
      <c r="M57" s="45"/>
    </row>
    <row r="58" spans="2:13" s="52" customFormat="1" ht="13.5">
      <c r="B58" s="43"/>
      <c r="C58" s="55" t="s">
        <v>134</v>
      </c>
      <c r="D58" s="55"/>
      <c r="E58" s="56" t="s">
        <v>135</v>
      </c>
      <c r="F58" s="56" t="s">
        <v>136</v>
      </c>
      <c r="G58" s="57"/>
      <c r="H58" s="44"/>
      <c r="I58" s="44"/>
      <c r="J58" s="44"/>
      <c r="K58" s="44"/>
      <c r="L58" s="44"/>
      <c r="M58" s="45"/>
    </row>
    <row r="59" spans="2:13" s="52" customFormat="1" ht="13.5">
      <c r="B59" s="43"/>
      <c r="C59" s="55" t="s">
        <v>137</v>
      </c>
      <c r="D59" s="55"/>
      <c r="E59" s="56" t="s">
        <v>135</v>
      </c>
      <c r="F59" s="58" t="s">
        <v>133</v>
      </c>
      <c r="G59" s="57"/>
      <c r="H59" s="44"/>
      <c r="I59" s="44"/>
      <c r="J59" s="44"/>
      <c r="K59" s="44"/>
      <c r="L59" s="44"/>
      <c r="M59" s="45"/>
    </row>
    <row r="60" spans="2:13" s="52" customFormat="1" ht="13.5">
      <c r="B60" s="43"/>
      <c r="C60" s="55" t="s">
        <v>139</v>
      </c>
      <c r="D60" s="55"/>
      <c r="E60" s="56" t="s">
        <v>135</v>
      </c>
      <c r="F60" s="56" t="s">
        <v>138</v>
      </c>
      <c r="G60" s="57"/>
      <c r="H60" s="44"/>
      <c r="I60" s="44"/>
      <c r="J60" s="44"/>
      <c r="K60" s="44"/>
      <c r="L60" s="44"/>
      <c r="M60" s="45"/>
    </row>
    <row r="61" spans="2:13" s="52" customFormat="1" ht="13.5">
      <c r="B61" s="43"/>
      <c r="C61" s="55" t="s">
        <v>140</v>
      </c>
      <c r="D61" s="55"/>
      <c r="E61" s="56" t="s">
        <v>135</v>
      </c>
      <c r="F61" s="56" t="s">
        <v>141</v>
      </c>
      <c r="G61" s="57"/>
      <c r="H61" s="44"/>
      <c r="I61" s="44"/>
      <c r="J61" s="44"/>
      <c r="K61" s="44"/>
      <c r="L61" s="44"/>
      <c r="M61" s="45"/>
    </row>
    <row r="62" spans="2:13" s="52" customFormat="1" ht="13.5">
      <c r="B62" s="43"/>
      <c r="C62" s="55" t="s">
        <v>142</v>
      </c>
      <c r="D62" s="55"/>
      <c r="E62" s="56" t="s">
        <v>135</v>
      </c>
      <c r="F62" s="56" t="s">
        <v>143</v>
      </c>
      <c r="G62" s="57"/>
      <c r="H62" s="44"/>
      <c r="I62" s="44"/>
      <c r="J62" s="44"/>
      <c r="K62" s="44"/>
      <c r="L62" s="44"/>
      <c r="M62" s="45"/>
    </row>
    <row r="63" spans="2:13" s="52" customFormat="1" ht="13.5">
      <c r="B63" s="43"/>
      <c r="C63" s="55" t="s">
        <v>144</v>
      </c>
      <c r="D63" s="55"/>
      <c r="E63" s="56" t="s">
        <v>135</v>
      </c>
      <c r="F63" s="56" t="s">
        <v>145</v>
      </c>
      <c r="G63" s="57"/>
      <c r="H63" s="44"/>
      <c r="I63" s="44"/>
      <c r="J63" s="44"/>
      <c r="K63" s="44"/>
      <c r="L63" s="44"/>
      <c r="M63" s="45"/>
    </row>
    <row r="64" spans="2:13" s="52" customFormat="1" ht="13.5">
      <c r="B64" s="43"/>
      <c r="C64" s="55" t="s">
        <v>146</v>
      </c>
      <c r="D64" s="55"/>
      <c r="E64" s="56" t="s">
        <v>135</v>
      </c>
      <c r="F64" s="56" t="s">
        <v>147</v>
      </c>
      <c r="G64" s="57"/>
      <c r="H64" s="44"/>
      <c r="I64" s="44"/>
      <c r="J64" s="44"/>
      <c r="K64" s="44"/>
      <c r="L64" s="44"/>
      <c r="M64" s="45"/>
    </row>
    <row r="65" spans="2:13" s="52" customFormat="1" ht="13.5">
      <c r="B65" s="43"/>
      <c r="C65" s="55" t="s">
        <v>148</v>
      </c>
      <c r="D65" s="55"/>
      <c r="E65" s="56" t="s">
        <v>135</v>
      </c>
      <c r="F65" s="56" t="s">
        <v>149</v>
      </c>
      <c r="G65" s="57"/>
      <c r="H65" s="44"/>
      <c r="I65" s="44"/>
      <c r="J65" s="44"/>
      <c r="K65" s="44"/>
      <c r="L65" s="44"/>
      <c r="M65" s="45"/>
    </row>
    <row r="66" spans="2:13" s="52" customFormat="1" ht="13.5">
      <c r="B66" s="43"/>
      <c r="C66" s="55" t="s">
        <v>150</v>
      </c>
      <c r="D66" s="55"/>
      <c r="E66" s="56" t="s">
        <v>135</v>
      </c>
      <c r="F66" s="56" t="s">
        <v>151</v>
      </c>
      <c r="G66" s="57"/>
      <c r="H66" s="44"/>
      <c r="I66" s="44"/>
      <c r="J66" s="44"/>
      <c r="K66" s="44"/>
      <c r="L66" s="44"/>
      <c r="M66" s="45"/>
    </row>
    <row r="67" spans="2:13" s="52" customFormat="1" ht="13.5">
      <c r="B67" s="43"/>
      <c r="C67" s="55"/>
      <c r="D67" s="55"/>
      <c r="E67" s="56" t="s">
        <v>152</v>
      </c>
      <c r="F67" s="56"/>
      <c r="G67" s="57"/>
      <c r="H67" s="44"/>
      <c r="I67" s="44"/>
      <c r="J67" s="44"/>
      <c r="K67" s="44"/>
      <c r="L67" s="44"/>
      <c r="M67" s="45"/>
    </row>
    <row r="68" spans="2:13" s="52" customFormat="1" ht="13.5">
      <c r="B68" s="43"/>
      <c r="C68" s="44"/>
      <c r="D68" s="44"/>
      <c r="E68" s="44"/>
      <c r="F68" s="44"/>
      <c r="G68" s="44"/>
      <c r="H68" s="44"/>
      <c r="I68" s="44"/>
      <c r="J68" s="44"/>
      <c r="K68" s="44"/>
      <c r="L68" s="44"/>
      <c r="M68" s="45"/>
    </row>
    <row r="69" spans="2:13">
      <c r="B69" s="59"/>
      <c r="C69" s="53" t="s">
        <v>153</v>
      </c>
      <c r="D69" s="60"/>
      <c r="E69" s="60"/>
      <c r="F69" s="60"/>
      <c r="G69" s="60"/>
      <c r="H69" s="60"/>
      <c r="I69" s="60"/>
      <c r="J69" s="60"/>
      <c r="K69" s="60"/>
      <c r="L69" s="60"/>
      <c r="M69" s="51"/>
    </row>
    <row r="70" spans="2:13">
      <c r="B70" s="59"/>
      <c r="C70" s="61" t="s">
        <v>154</v>
      </c>
      <c r="D70" s="62">
        <v>-2</v>
      </c>
      <c r="E70" s="63"/>
      <c r="F70" s="63"/>
      <c r="G70" s="63"/>
      <c r="H70" s="63"/>
      <c r="I70" s="63"/>
      <c r="J70" s="63"/>
      <c r="K70" s="64"/>
      <c r="L70" s="60"/>
      <c r="M70" s="51"/>
    </row>
    <row r="71" spans="2:13">
      <c r="B71" s="59"/>
      <c r="C71" s="65" t="s">
        <v>155</v>
      </c>
      <c r="D71" s="66" t="s">
        <v>156</v>
      </c>
      <c r="E71" s="63"/>
      <c r="F71" s="63"/>
      <c r="G71" s="63"/>
      <c r="H71" s="63"/>
      <c r="I71" s="63"/>
      <c r="J71" s="63"/>
      <c r="K71" s="64"/>
      <c r="L71" s="60"/>
      <c r="M71" s="51"/>
    </row>
    <row r="72" spans="2:13">
      <c r="B72" s="59"/>
      <c r="C72" s="65" t="s">
        <v>157</v>
      </c>
      <c r="D72" s="66" t="s">
        <v>166</v>
      </c>
      <c r="E72" s="63"/>
      <c r="F72" s="63"/>
      <c r="G72" s="63"/>
      <c r="H72" s="63"/>
      <c r="I72" s="63"/>
      <c r="J72" s="63"/>
      <c r="K72" s="64"/>
      <c r="L72" s="60"/>
      <c r="M72" s="51"/>
    </row>
    <row r="73" spans="2:13">
      <c r="B73" s="59"/>
      <c r="C73" s="65" t="s">
        <v>159</v>
      </c>
      <c r="D73" s="66" t="s">
        <v>167</v>
      </c>
      <c r="E73" s="63"/>
      <c r="F73" s="63"/>
      <c r="G73" s="63"/>
      <c r="H73" s="63"/>
      <c r="I73" s="63"/>
      <c r="J73" s="63"/>
      <c r="K73" s="64"/>
      <c r="L73" s="60"/>
      <c r="M73" s="51"/>
    </row>
    <row r="74" spans="2:13">
      <c r="B74" s="59"/>
      <c r="C74" s="30"/>
      <c r="D74" s="60"/>
      <c r="E74" s="60"/>
      <c r="F74" s="60"/>
      <c r="G74" s="60"/>
      <c r="H74" s="60"/>
      <c r="I74" s="60"/>
      <c r="J74" s="60"/>
      <c r="K74" s="60"/>
      <c r="L74" s="60"/>
      <c r="M74" s="51"/>
    </row>
    <row r="75" spans="2:13">
      <c r="B75" s="59"/>
      <c r="C75" s="30"/>
      <c r="D75" s="60"/>
      <c r="E75" s="60"/>
      <c r="F75" s="60"/>
      <c r="G75" s="60"/>
      <c r="H75" s="60"/>
      <c r="I75" s="60"/>
      <c r="J75" s="60"/>
      <c r="K75" s="60"/>
      <c r="L75" s="60"/>
      <c r="M75" s="51"/>
    </row>
    <row r="76" spans="2:13">
      <c r="B76" s="46"/>
      <c r="C76" s="47" t="s">
        <v>124</v>
      </c>
      <c r="D76" s="48" t="s">
        <v>168</v>
      </c>
      <c r="E76" s="49"/>
      <c r="F76" s="50"/>
      <c r="G76" s="50"/>
      <c r="H76" s="50"/>
      <c r="I76" s="50"/>
      <c r="J76" s="50"/>
      <c r="K76" s="50"/>
      <c r="L76" s="50"/>
      <c r="M76" s="51"/>
    </row>
    <row r="77" spans="2:13" s="52" customFormat="1" ht="13.5">
      <c r="B77" s="43"/>
      <c r="C77" s="53" t="s">
        <v>126</v>
      </c>
      <c r="D77" s="44"/>
      <c r="E77" s="44"/>
      <c r="F77" s="44"/>
      <c r="G77" s="44"/>
      <c r="H77" s="44"/>
      <c r="I77" s="44"/>
      <c r="J77" s="44"/>
      <c r="K77" s="44"/>
      <c r="L77" s="44"/>
      <c r="M77" s="45"/>
    </row>
    <row r="78" spans="2:13" s="52" customFormat="1" ht="13.5">
      <c r="B78" s="43"/>
      <c r="C78" s="54"/>
      <c r="D78" s="55"/>
      <c r="E78" s="56" t="s">
        <v>127</v>
      </c>
      <c r="F78" s="56" t="s">
        <v>128</v>
      </c>
      <c r="G78" s="57"/>
      <c r="H78" s="44"/>
      <c r="I78" s="44"/>
      <c r="J78" s="44"/>
      <c r="K78" s="44"/>
      <c r="L78" s="44"/>
      <c r="M78" s="45"/>
    </row>
    <row r="79" spans="2:13" s="52" customFormat="1" ht="13.5">
      <c r="B79" s="43"/>
      <c r="C79" s="54"/>
      <c r="D79" s="55"/>
      <c r="E79" s="56" t="s">
        <v>129</v>
      </c>
      <c r="F79" s="56" t="s">
        <v>130</v>
      </c>
      <c r="G79" s="57"/>
      <c r="H79" s="44"/>
      <c r="I79" s="44"/>
      <c r="J79" s="44"/>
      <c r="K79" s="44"/>
      <c r="L79" s="44"/>
      <c r="M79" s="45"/>
    </row>
    <row r="80" spans="2:13" s="52" customFormat="1" ht="13.5">
      <c r="B80" s="43"/>
      <c r="C80" s="55" t="s">
        <v>131</v>
      </c>
      <c r="D80" s="55"/>
      <c r="E80" s="56" t="s">
        <v>132</v>
      </c>
      <c r="F80" s="56" t="s">
        <v>162</v>
      </c>
      <c r="G80" s="57"/>
      <c r="H80" s="44"/>
      <c r="I80" s="44"/>
      <c r="J80" s="44"/>
      <c r="K80" s="44"/>
      <c r="L80" s="44"/>
      <c r="M80" s="45"/>
    </row>
    <row r="81" spans="2:13" s="52" customFormat="1" ht="13.5">
      <c r="B81" s="43"/>
      <c r="C81" s="55" t="s">
        <v>134</v>
      </c>
      <c r="D81" s="55"/>
      <c r="E81" s="56" t="s">
        <v>135</v>
      </c>
      <c r="F81" s="56" t="s">
        <v>136</v>
      </c>
      <c r="G81" s="57"/>
      <c r="H81" s="44"/>
      <c r="I81" s="44"/>
      <c r="J81" s="44"/>
      <c r="K81" s="44"/>
      <c r="L81" s="44"/>
      <c r="M81" s="45"/>
    </row>
    <row r="82" spans="2:13" s="52" customFormat="1" ht="13.5">
      <c r="B82" s="43"/>
      <c r="C82" s="55" t="s">
        <v>137</v>
      </c>
      <c r="D82" s="55"/>
      <c r="E82" s="56" t="s">
        <v>135</v>
      </c>
      <c r="F82" s="56" t="s">
        <v>138</v>
      </c>
      <c r="G82" s="57"/>
      <c r="H82" s="44"/>
      <c r="I82" s="44"/>
      <c r="J82" s="44"/>
      <c r="K82" s="44"/>
      <c r="L82" s="44"/>
      <c r="M82" s="45"/>
    </row>
    <row r="83" spans="2:13" s="52" customFormat="1" ht="13.5">
      <c r="B83" s="43"/>
      <c r="C83" s="55" t="s">
        <v>139</v>
      </c>
      <c r="D83" s="55"/>
      <c r="E83" s="56" t="s">
        <v>135</v>
      </c>
      <c r="F83" s="58" t="s">
        <v>133</v>
      </c>
      <c r="G83" s="57"/>
      <c r="H83" s="44"/>
      <c r="I83" s="44"/>
      <c r="J83" s="44"/>
      <c r="K83" s="44"/>
      <c r="L83" s="44"/>
      <c r="M83" s="45"/>
    </row>
    <row r="84" spans="2:13" s="52" customFormat="1" ht="13.5">
      <c r="B84" s="43"/>
      <c r="C84" s="55" t="s">
        <v>140</v>
      </c>
      <c r="D84" s="55"/>
      <c r="E84" s="56" t="s">
        <v>135</v>
      </c>
      <c r="F84" s="56" t="s">
        <v>141</v>
      </c>
      <c r="G84" s="57"/>
      <c r="H84" s="44"/>
      <c r="I84" s="44"/>
      <c r="J84" s="44"/>
      <c r="K84" s="44"/>
      <c r="L84" s="44"/>
      <c r="M84" s="45"/>
    </row>
    <row r="85" spans="2:13" s="52" customFormat="1" ht="13.5">
      <c r="B85" s="43"/>
      <c r="C85" s="55" t="s">
        <v>142</v>
      </c>
      <c r="D85" s="55"/>
      <c r="E85" s="56" t="s">
        <v>135</v>
      </c>
      <c r="F85" s="56" t="s">
        <v>143</v>
      </c>
      <c r="G85" s="57"/>
      <c r="H85" s="44"/>
      <c r="I85" s="44"/>
      <c r="J85" s="44"/>
      <c r="K85" s="44"/>
      <c r="L85" s="44"/>
      <c r="M85" s="45"/>
    </row>
    <row r="86" spans="2:13" s="52" customFormat="1" ht="13.5">
      <c r="B86" s="43"/>
      <c r="C86" s="55" t="s">
        <v>144</v>
      </c>
      <c r="D86" s="55"/>
      <c r="E86" s="56" t="s">
        <v>135</v>
      </c>
      <c r="F86" s="56" t="s">
        <v>145</v>
      </c>
      <c r="G86" s="57"/>
      <c r="H86" s="44"/>
      <c r="I86" s="44"/>
      <c r="J86" s="44"/>
      <c r="K86" s="44"/>
      <c r="L86" s="44"/>
      <c r="M86" s="45"/>
    </row>
    <row r="87" spans="2:13" s="52" customFormat="1" ht="13.5">
      <c r="B87" s="43"/>
      <c r="C87" s="55" t="s">
        <v>146</v>
      </c>
      <c r="D87" s="55"/>
      <c r="E87" s="56" t="s">
        <v>135</v>
      </c>
      <c r="F87" s="56" t="s">
        <v>147</v>
      </c>
      <c r="G87" s="57"/>
      <c r="H87" s="44"/>
      <c r="I87" s="44"/>
      <c r="J87" s="44"/>
      <c r="K87" s="44"/>
      <c r="L87" s="44"/>
      <c r="M87" s="45"/>
    </row>
    <row r="88" spans="2:13" s="52" customFormat="1" ht="13.5">
      <c r="B88" s="43"/>
      <c r="C88" s="55" t="s">
        <v>148</v>
      </c>
      <c r="D88" s="55"/>
      <c r="E88" s="56" t="s">
        <v>135</v>
      </c>
      <c r="F88" s="56" t="s">
        <v>149</v>
      </c>
      <c r="G88" s="57"/>
      <c r="H88" s="44"/>
      <c r="I88" s="44"/>
      <c r="J88" s="44"/>
      <c r="K88" s="44"/>
      <c r="L88" s="44"/>
      <c r="M88" s="45"/>
    </row>
    <row r="89" spans="2:13" s="52" customFormat="1" ht="13.5">
      <c r="B89" s="43"/>
      <c r="C89" s="55" t="s">
        <v>150</v>
      </c>
      <c r="D89" s="55"/>
      <c r="E89" s="56" t="s">
        <v>135</v>
      </c>
      <c r="F89" s="56" t="s">
        <v>151</v>
      </c>
      <c r="G89" s="57"/>
      <c r="H89" s="44"/>
      <c r="I89" s="44"/>
      <c r="J89" s="44"/>
      <c r="K89" s="44"/>
      <c r="L89" s="44"/>
      <c r="M89" s="45"/>
    </row>
    <row r="90" spans="2:13" s="52" customFormat="1" ht="13.5">
      <c r="B90" s="43"/>
      <c r="C90" s="55"/>
      <c r="D90" s="55"/>
      <c r="E90" s="56" t="s">
        <v>152</v>
      </c>
      <c r="F90" s="56"/>
      <c r="G90" s="57"/>
      <c r="H90" s="44"/>
      <c r="I90" s="44"/>
      <c r="J90" s="44"/>
      <c r="K90" s="44"/>
      <c r="L90" s="44"/>
      <c r="M90" s="45"/>
    </row>
    <row r="91" spans="2:13" s="52" customFormat="1" ht="13.5">
      <c r="B91" s="43"/>
      <c r="C91" s="44"/>
      <c r="D91" s="44"/>
      <c r="E91" s="44"/>
      <c r="F91" s="44"/>
      <c r="G91" s="44"/>
      <c r="H91" s="44"/>
      <c r="I91" s="44"/>
      <c r="J91" s="44"/>
      <c r="K91" s="44"/>
      <c r="L91" s="44"/>
      <c r="M91" s="45"/>
    </row>
    <row r="92" spans="2:13">
      <c r="B92" s="59"/>
      <c r="C92" s="53" t="s">
        <v>153</v>
      </c>
      <c r="D92" s="60"/>
      <c r="E92" s="60"/>
      <c r="F92" s="60"/>
      <c r="G92" s="60"/>
      <c r="H92" s="60"/>
      <c r="I92" s="60"/>
      <c r="J92" s="60"/>
      <c r="K92" s="60"/>
      <c r="L92" s="60"/>
      <c r="M92" s="51"/>
    </row>
    <row r="93" spans="2:13">
      <c r="B93" s="59"/>
      <c r="C93" s="61" t="s">
        <v>154</v>
      </c>
      <c r="D93" s="62">
        <v>-2</v>
      </c>
      <c r="E93" s="63"/>
      <c r="F93" s="63"/>
      <c r="G93" s="63"/>
      <c r="H93" s="63"/>
      <c r="I93" s="63"/>
      <c r="J93" s="63"/>
      <c r="K93" s="64"/>
      <c r="L93" s="60"/>
      <c r="M93" s="51"/>
    </row>
    <row r="94" spans="2:13">
      <c r="B94" s="59"/>
      <c r="C94" s="65" t="s">
        <v>155</v>
      </c>
      <c r="D94" s="66" t="s">
        <v>156</v>
      </c>
      <c r="E94" s="63"/>
      <c r="F94" s="63"/>
      <c r="G94" s="63"/>
      <c r="H94" s="63"/>
      <c r="I94" s="63"/>
      <c r="J94" s="63"/>
      <c r="K94" s="64"/>
      <c r="L94" s="60"/>
      <c r="M94" s="51"/>
    </row>
    <row r="95" spans="2:13">
      <c r="B95" s="59"/>
      <c r="C95" s="65" t="s">
        <v>157</v>
      </c>
      <c r="D95" s="66" t="s">
        <v>169</v>
      </c>
      <c r="E95" s="63"/>
      <c r="F95" s="63"/>
      <c r="G95" s="63"/>
      <c r="H95" s="63"/>
      <c r="I95" s="63"/>
      <c r="J95" s="63"/>
      <c r="K95" s="64"/>
      <c r="L95" s="60"/>
      <c r="M95" s="51"/>
    </row>
    <row r="96" spans="2:13">
      <c r="B96" s="59"/>
      <c r="C96" s="65" t="s">
        <v>159</v>
      </c>
      <c r="D96" s="66" t="s">
        <v>170</v>
      </c>
      <c r="E96" s="63"/>
      <c r="F96" s="63"/>
      <c r="G96" s="63"/>
      <c r="H96" s="63"/>
      <c r="I96" s="63"/>
      <c r="J96" s="63"/>
      <c r="K96" s="64"/>
      <c r="L96" s="60"/>
      <c r="M96" s="51"/>
    </row>
    <row r="97" spans="2:13">
      <c r="B97" s="59"/>
      <c r="C97" s="30"/>
      <c r="D97" s="60"/>
      <c r="E97" s="60"/>
      <c r="F97" s="60"/>
      <c r="G97" s="60"/>
      <c r="H97" s="60"/>
      <c r="I97" s="60"/>
      <c r="J97" s="60"/>
      <c r="K97" s="60"/>
      <c r="L97" s="60"/>
      <c r="M97" s="51"/>
    </row>
    <row r="98" spans="2:13">
      <c r="B98" s="59"/>
      <c r="C98" s="30"/>
      <c r="D98" s="60"/>
      <c r="E98" s="60"/>
      <c r="F98" s="60"/>
      <c r="G98" s="60"/>
      <c r="H98" s="60"/>
      <c r="I98" s="60"/>
      <c r="J98" s="60"/>
      <c r="K98" s="60"/>
      <c r="L98" s="60"/>
      <c r="M98" s="51"/>
    </row>
    <row r="99" spans="2:13">
      <c r="B99" s="46"/>
      <c r="C99" s="47" t="s">
        <v>124</v>
      </c>
      <c r="D99" s="48" t="s">
        <v>171</v>
      </c>
      <c r="E99" s="49"/>
      <c r="F99" s="50"/>
      <c r="G99" s="50"/>
      <c r="H99" s="50"/>
      <c r="I99" s="69" t="s">
        <v>172</v>
      </c>
      <c r="J99" s="50"/>
      <c r="K99" s="50"/>
      <c r="L99" s="50"/>
      <c r="M99" s="51"/>
    </row>
    <row r="100" spans="2:13" s="52" customFormat="1" ht="13.5">
      <c r="B100" s="43"/>
      <c r="C100" s="53" t="s">
        <v>126</v>
      </c>
      <c r="D100" s="44"/>
      <c r="E100" s="44"/>
      <c r="F100" s="44"/>
      <c r="G100" s="44"/>
      <c r="H100" s="44"/>
      <c r="I100" s="44"/>
      <c r="J100" s="44"/>
      <c r="K100" s="44"/>
      <c r="L100" s="44"/>
      <c r="M100" s="45"/>
    </row>
    <row r="101" spans="2:13" s="52" customFormat="1" ht="13.5">
      <c r="B101" s="43"/>
      <c r="C101" s="54"/>
      <c r="D101" s="55"/>
      <c r="E101" s="56" t="s">
        <v>127</v>
      </c>
      <c r="F101" s="56" t="s">
        <v>128</v>
      </c>
      <c r="G101" s="57"/>
      <c r="H101" s="44"/>
      <c r="I101" s="44"/>
      <c r="J101" s="44"/>
      <c r="K101" s="44"/>
      <c r="L101" s="44"/>
      <c r="M101" s="45"/>
    </row>
    <row r="102" spans="2:13" s="52" customFormat="1" ht="13.5">
      <c r="B102" s="43"/>
      <c r="C102" s="54"/>
      <c r="D102" s="55"/>
      <c r="E102" s="56" t="s">
        <v>129</v>
      </c>
      <c r="F102" s="56" t="s">
        <v>130</v>
      </c>
      <c r="G102" s="57"/>
      <c r="H102" s="44"/>
      <c r="I102" s="44"/>
      <c r="J102" s="44"/>
      <c r="K102" s="44"/>
      <c r="L102" s="44"/>
      <c r="M102" s="45"/>
    </row>
    <row r="103" spans="2:13" s="52" customFormat="1" ht="13.5">
      <c r="B103" s="43"/>
      <c r="C103" s="55" t="s">
        <v>131</v>
      </c>
      <c r="D103" s="55"/>
      <c r="E103" s="56" t="s">
        <v>132</v>
      </c>
      <c r="F103" s="56" t="s">
        <v>162</v>
      </c>
      <c r="G103" s="57"/>
      <c r="H103" s="44"/>
      <c r="I103" s="44"/>
      <c r="J103" s="44"/>
      <c r="K103" s="44"/>
      <c r="L103" s="44"/>
      <c r="M103" s="45"/>
    </row>
    <row r="104" spans="2:13" s="52" customFormat="1" ht="13.5">
      <c r="B104" s="43"/>
      <c r="C104" s="55" t="s">
        <v>134</v>
      </c>
      <c r="D104" s="55"/>
      <c r="E104" s="56" t="s">
        <v>135</v>
      </c>
      <c r="F104" s="56" t="s">
        <v>136</v>
      </c>
      <c r="G104" s="57"/>
      <c r="H104" s="44"/>
      <c r="I104" s="44"/>
      <c r="J104" s="44"/>
      <c r="K104" s="44"/>
      <c r="L104" s="44"/>
      <c r="M104" s="45"/>
    </row>
    <row r="105" spans="2:13" s="52" customFormat="1" ht="13.5">
      <c r="B105" s="43"/>
      <c r="C105" s="55" t="s">
        <v>137</v>
      </c>
      <c r="D105" s="55"/>
      <c r="E105" s="56" t="s">
        <v>135</v>
      </c>
      <c r="F105" s="56" t="s">
        <v>138</v>
      </c>
      <c r="G105" s="57"/>
      <c r="H105" s="44"/>
      <c r="I105" s="44"/>
      <c r="J105" s="44"/>
      <c r="K105" s="44"/>
      <c r="L105" s="44"/>
      <c r="M105" s="45"/>
    </row>
    <row r="106" spans="2:13" s="52" customFormat="1" ht="13.5">
      <c r="B106" s="43"/>
      <c r="C106" s="55" t="s">
        <v>139</v>
      </c>
      <c r="D106" s="55"/>
      <c r="E106" s="56" t="s">
        <v>135</v>
      </c>
      <c r="F106" s="56" t="s">
        <v>173</v>
      </c>
      <c r="G106" s="57"/>
      <c r="H106" s="44"/>
      <c r="I106" s="44"/>
      <c r="J106" s="44"/>
      <c r="K106" s="44"/>
      <c r="L106" s="44"/>
      <c r="M106" s="45"/>
    </row>
    <row r="107" spans="2:13" s="52" customFormat="1" ht="13.5">
      <c r="B107" s="43"/>
      <c r="C107" s="55" t="s">
        <v>140</v>
      </c>
      <c r="D107" s="55"/>
      <c r="E107" s="56" t="s">
        <v>135</v>
      </c>
      <c r="F107" s="58" t="s">
        <v>133</v>
      </c>
      <c r="G107" s="57"/>
      <c r="H107" s="44"/>
      <c r="I107" s="44"/>
      <c r="J107" s="44"/>
      <c r="K107" s="44"/>
      <c r="L107" s="44"/>
      <c r="M107" s="45"/>
    </row>
    <row r="108" spans="2:13" s="52" customFormat="1" ht="13.5">
      <c r="B108" s="43"/>
      <c r="C108" s="55" t="s">
        <v>142</v>
      </c>
      <c r="D108" s="55"/>
      <c r="E108" s="56" t="s">
        <v>135</v>
      </c>
      <c r="F108" s="56" t="s">
        <v>143</v>
      </c>
      <c r="G108" s="57"/>
      <c r="H108" s="44"/>
      <c r="I108" s="44"/>
      <c r="J108" s="44"/>
      <c r="K108" s="44"/>
      <c r="L108" s="44"/>
      <c r="M108" s="45"/>
    </row>
    <row r="109" spans="2:13" s="52" customFormat="1" ht="13.5">
      <c r="B109" s="43"/>
      <c r="C109" s="55" t="s">
        <v>144</v>
      </c>
      <c r="D109" s="55"/>
      <c r="E109" s="56" t="s">
        <v>135</v>
      </c>
      <c r="F109" s="56" t="s">
        <v>145</v>
      </c>
      <c r="G109" s="57"/>
      <c r="H109" s="44"/>
      <c r="I109" s="44"/>
      <c r="J109" s="44"/>
      <c r="K109" s="44"/>
      <c r="L109" s="44"/>
      <c r="M109" s="45"/>
    </row>
    <row r="110" spans="2:13" s="52" customFormat="1" ht="13.5">
      <c r="B110" s="43"/>
      <c r="C110" s="55" t="s">
        <v>146</v>
      </c>
      <c r="D110" s="55"/>
      <c r="E110" s="56" t="s">
        <v>135</v>
      </c>
      <c r="F110" s="56" t="s">
        <v>147</v>
      </c>
      <c r="G110" s="57"/>
      <c r="H110" s="44"/>
      <c r="I110" s="44"/>
      <c r="J110" s="44"/>
      <c r="K110" s="44"/>
      <c r="L110" s="44"/>
      <c r="M110" s="45"/>
    </row>
    <row r="111" spans="2:13" s="52" customFormat="1" ht="13.5">
      <c r="B111" s="43"/>
      <c r="C111" s="55" t="s">
        <v>148</v>
      </c>
      <c r="D111" s="55"/>
      <c r="E111" s="56" t="s">
        <v>135</v>
      </c>
      <c r="F111" s="56" t="s">
        <v>149</v>
      </c>
      <c r="G111" s="57"/>
      <c r="H111" s="44"/>
      <c r="I111" s="44"/>
      <c r="J111" s="44"/>
      <c r="K111" s="44"/>
      <c r="L111" s="44"/>
      <c r="M111" s="45"/>
    </row>
    <row r="112" spans="2:13" s="52" customFormat="1" ht="13.5">
      <c r="B112" s="43"/>
      <c r="C112" s="55" t="s">
        <v>150</v>
      </c>
      <c r="D112" s="55"/>
      <c r="E112" s="56" t="s">
        <v>135</v>
      </c>
      <c r="F112" s="56" t="s">
        <v>151</v>
      </c>
      <c r="G112" s="57"/>
      <c r="H112" s="44"/>
      <c r="I112" s="44"/>
      <c r="J112" s="44"/>
      <c r="K112" s="44"/>
      <c r="L112" s="44"/>
      <c r="M112" s="45"/>
    </row>
    <row r="113" spans="2:13" s="52" customFormat="1" ht="13.5">
      <c r="B113" s="43"/>
      <c r="C113" s="55"/>
      <c r="D113" s="55"/>
      <c r="E113" s="56" t="s">
        <v>152</v>
      </c>
      <c r="F113" s="56"/>
      <c r="G113" s="57"/>
      <c r="H113" s="44"/>
      <c r="I113" s="44"/>
      <c r="J113" s="44"/>
      <c r="K113" s="44"/>
      <c r="L113" s="44"/>
      <c r="M113" s="45"/>
    </row>
    <row r="114" spans="2:13" s="52" customFormat="1" ht="13.5">
      <c r="B114" s="43"/>
      <c r="C114" s="44"/>
      <c r="D114" s="44"/>
      <c r="E114" s="44"/>
      <c r="F114" s="44"/>
      <c r="G114" s="44"/>
      <c r="H114" s="44"/>
      <c r="I114" s="44"/>
      <c r="J114" s="44"/>
      <c r="K114" s="44"/>
      <c r="L114" s="44"/>
      <c r="M114" s="45"/>
    </row>
    <row r="115" spans="2:13">
      <c r="B115" s="59"/>
      <c r="C115" s="53" t="s">
        <v>153</v>
      </c>
      <c r="D115" s="60"/>
      <c r="E115" s="60"/>
      <c r="F115" s="60"/>
      <c r="G115" s="60"/>
      <c r="H115" s="60"/>
      <c r="I115" s="60"/>
      <c r="J115" s="60"/>
      <c r="K115" s="60"/>
      <c r="L115" s="60"/>
      <c r="M115" s="51"/>
    </row>
    <row r="116" spans="2:13">
      <c r="B116" s="59"/>
      <c r="C116" s="61" t="s">
        <v>154</v>
      </c>
      <c r="D116" s="62">
        <v>-2</v>
      </c>
      <c r="E116" s="63"/>
      <c r="F116" s="63"/>
      <c r="G116" s="63"/>
      <c r="H116" s="63"/>
      <c r="I116" s="63"/>
      <c r="J116" s="63"/>
      <c r="K116" s="64"/>
      <c r="L116" s="60"/>
      <c r="M116" s="51"/>
    </row>
    <row r="117" spans="2:13">
      <c r="B117" s="59"/>
      <c r="C117" s="65" t="s">
        <v>155</v>
      </c>
      <c r="D117" s="66" t="s">
        <v>156</v>
      </c>
      <c r="E117" s="63"/>
      <c r="F117" s="63"/>
      <c r="G117" s="63"/>
      <c r="H117" s="63"/>
      <c r="I117" s="63"/>
      <c r="J117" s="63"/>
      <c r="K117" s="64"/>
      <c r="L117" s="60"/>
      <c r="M117" s="51"/>
    </row>
    <row r="118" spans="2:13">
      <c r="B118" s="59"/>
      <c r="C118" s="65" t="s">
        <v>157</v>
      </c>
      <c r="D118" s="66" t="s">
        <v>174</v>
      </c>
      <c r="E118" s="63"/>
      <c r="F118" s="63"/>
      <c r="G118" s="63"/>
      <c r="H118" s="63"/>
      <c r="I118" s="63"/>
      <c r="J118" s="63"/>
      <c r="K118" s="64"/>
      <c r="L118" s="60"/>
      <c r="M118" s="51"/>
    </row>
    <row r="119" spans="2:13">
      <c r="B119" s="59"/>
      <c r="C119" s="65" t="s">
        <v>159</v>
      </c>
      <c r="D119" s="66" t="s">
        <v>175</v>
      </c>
      <c r="E119" s="63"/>
      <c r="F119" s="63"/>
      <c r="G119" s="63"/>
      <c r="H119" s="63"/>
      <c r="I119" s="63"/>
      <c r="J119" s="63"/>
      <c r="K119" s="64"/>
      <c r="L119" s="60"/>
      <c r="M119" s="51"/>
    </row>
    <row r="120" spans="2:13">
      <c r="B120" s="59"/>
      <c r="C120" s="30"/>
      <c r="D120" s="60"/>
      <c r="E120" s="60"/>
      <c r="F120" s="60"/>
      <c r="G120" s="60"/>
      <c r="H120" s="60"/>
      <c r="I120" s="60"/>
      <c r="J120" s="60"/>
      <c r="K120" s="60"/>
      <c r="L120" s="60"/>
      <c r="M120" s="51"/>
    </row>
    <row r="121" spans="2:13">
      <c r="B121" s="59"/>
      <c r="C121" s="30"/>
      <c r="D121" s="60"/>
      <c r="E121" s="60"/>
      <c r="F121" s="60"/>
      <c r="G121" s="60"/>
      <c r="H121" s="60"/>
      <c r="I121" s="60"/>
      <c r="J121" s="60"/>
      <c r="K121" s="60"/>
      <c r="L121" s="60"/>
      <c r="M121" s="51"/>
    </row>
    <row r="122" spans="2:13">
      <c r="B122" s="46"/>
      <c r="C122" s="47" t="s">
        <v>124</v>
      </c>
      <c r="D122" s="48" t="s">
        <v>176</v>
      </c>
      <c r="E122" s="49"/>
      <c r="F122" s="50"/>
      <c r="G122" s="50"/>
      <c r="H122" s="50"/>
      <c r="I122" s="69" t="s">
        <v>172</v>
      </c>
      <c r="J122" s="50"/>
      <c r="K122" s="50"/>
      <c r="L122" s="50"/>
      <c r="M122" s="51"/>
    </row>
    <row r="123" spans="2:13" s="52" customFormat="1" ht="13.5">
      <c r="B123" s="43"/>
      <c r="C123" s="53" t="s">
        <v>126</v>
      </c>
      <c r="D123" s="44"/>
      <c r="E123" s="44"/>
      <c r="F123" s="44"/>
      <c r="G123" s="44"/>
      <c r="H123" s="44"/>
      <c r="I123" s="44"/>
      <c r="J123" s="44"/>
      <c r="K123" s="44"/>
      <c r="L123" s="44"/>
      <c r="M123" s="45"/>
    </row>
    <row r="124" spans="2:13" s="52" customFormat="1" ht="13.5">
      <c r="B124" s="43"/>
      <c r="C124" s="54"/>
      <c r="D124" s="55"/>
      <c r="E124" s="56" t="s">
        <v>127</v>
      </c>
      <c r="F124" s="56" t="s">
        <v>128</v>
      </c>
      <c r="G124" s="57"/>
      <c r="H124" s="44"/>
      <c r="I124" s="44"/>
      <c r="J124" s="44"/>
      <c r="K124" s="44"/>
      <c r="L124" s="44"/>
      <c r="M124" s="45"/>
    </row>
    <row r="125" spans="2:13" s="52" customFormat="1" ht="13.5">
      <c r="B125" s="43"/>
      <c r="C125" s="54"/>
      <c r="D125" s="55"/>
      <c r="E125" s="56" t="s">
        <v>129</v>
      </c>
      <c r="F125" s="56" t="s">
        <v>130</v>
      </c>
      <c r="G125" s="57"/>
      <c r="H125" s="44"/>
      <c r="I125" s="44"/>
      <c r="J125" s="44"/>
      <c r="K125" s="44"/>
      <c r="L125" s="44"/>
      <c r="M125" s="45"/>
    </row>
    <row r="126" spans="2:13" s="52" customFormat="1" ht="13.5">
      <c r="B126" s="43"/>
      <c r="C126" s="55" t="s">
        <v>131</v>
      </c>
      <c r="D126" s="55"/>
      <c r="E126" s="56" t="s">
        <v>132</v>
      </c>
      <c r="F126" s="56" t="s">
        <v>162</v>
      </c>
      <c r="G126" s="57"/>
      <c r="H126" s="44"/>
      <c r="I126" s="44"/>
      <c r="J126" s="44"/>
      <c r="K126" s="44"/>
      <c r="L126" s="44"/>
      <c r="M126" s="45"/>
    </row>
    <row r="127" spans="2:13" s="52" customFormat="1" ht="13.5">
      <c r="B127" s="43"/>
      <c r="C127" s="55" t="s">
        <v>134</v>
      </c>
      <c r="D127" s="55"/>
      <c r="E127" s="56" t="s">
        <v>135</v>
      </c>
      <c r="F127" s="56" t="s">
        <v>136</v>
      </c>
      <c r="G127" s="57"/>
      <c r="H127" s="44"/>
      <c r="I127" s="44"/>
      <c r="J127" s="44"/>
      <c r="K127" s="44"/>
      <c r="L127" s="44"/>
      <c r="M127" s="45"/>
    </row>
    <row r="128" spans="2:13" s="52" customFormat="1" ht="13.5">
      <c r="B128" s="43"/>
      <c r="C128" s="55" t="s">
        <v>137</v>
      </c>
      <c r="D128" s="55"/>
      <c r="E128" s="56" t="s">
        <v>135</v>
      </c>
      <c r="F128" s="56" t="s">
        <v>138</v>
      </c>
      <c r="G128" s="57"/>
      <c r="H128" s="44"/>
      <c r="I128" s="44"/>
      <c r="J128" s="44"/>
      <c r="K128" s="44"/>
      <c r="L128" s="44"/>
      <c r="M128" s="45"/>
    </row>
    <row r="129" spans="2:13" s="52" customFormat="1" ht="13.5">
      <c r="B129" s="43"/>
      <c r="C129" s="55" t="s">
        <v>139</v>
      </c>
      <c r="D129" s="55"/>
      <c r="E129" s="56" t="s">
        <v>135</v>
      </c>
      <c r="F129" s="56" t="s">
        <v>173</v>
      </c>
      <c r="G129" s="57"/>
      <c r="H129" s="44"/>
      <c r="I129" s="44"/>
      <c r="J129" s="44"/>
      <c r="K129" s="44"/>
      <c r="L129" s="44"/>
      <c r="M129" s="45"/>
    </row>
    <row r="130" spans="2:13" s="52" customFormat="1" ht="13.5">
      <c r="B130" s="43"/>
      <c r="C130" s="55" t="s">
        <v>140</v>
      </c>
      <c r="D130" s="55"/>
      <c r="E130" s="56" t="s">
        <v>135</v>
      </c>
      <c r="F130" s="56" t="s">
        <v>141</v>
      </c>
      <c r="G130" s="57"/>
      <c r="H130" s="44"/>
      <c r="I130" s="44"/>
      <c r="J130" s="44"/>
      <c r="K130" s="44"/>
      <c r="L130" s="44"/>
      <c r="M130" s="45"/>
    </row>
    <row r="131" spans="2:13" s="52" customFormat="1" ht="13.5">
      <c r="B131" s="43"/>
      <c r="C131" s="55" t="s">
        <v>142</v>
      </c>
      <c r="D131" s="55"/>
      <c r="E131" s="56" t="s">
        <v>135</v>
      </c>
      <c r="F131" s="58" t="s">
        <v>133</v>
      </c>
      <c r="G131" s="57"/>
      <c r="H131" s="44"/>
      <c r="I131" s="44"/>
      <c r="J131" s="44"/>
      <c r="K131" s="44"/>
      <c r="L131" s="44"/>
      <c r="M131" s="45"/>
    </row>
    <row r="132" spans="2:13" s="52" customFormat="1" ht="13.5">
      <c r="B132" s="43"/>
      <c r="C132" s="55" t="s">
        <v>144</v>
      </c>
      <c r="D132" s="55"/>
      <c r="E132" s="56" t="s">
        <v>135</v>
      </c>
      <c r="F132" s="56" t="s">
        <v>145</v>
      </c>
      <c r="G132" s="57"/>
      <c r="H132" s="44"/>
      <c r="I132" s="44"/>
      <c r="J132" s="44"/>
      <c r="K132" s="44"/>
      <c r="L132" s="44"/>
      <c r="M132" s="45"/>
    </row>
    <row r="133" spans="2:13" s="52" customFormat="1" ht="13.5">
      <c r="B133" s="43"/>
      <c r="C133" s="55" t="s">
        <v>146</v>
      </c>
      <c r="D133" s="55"/>
      <c r="E133" s="56" t="s">
        <v>135</v>
      </c>
      <c r="F133" s="56" t="s">
        <v>147</v>
      </c>
      <c r="G133" s="57"/>
      <c r="H133" s="44"/>
      <c r="I133" s="44"/>
      <c r="J133" s="44"/>
      <c r="K133" s="44"/>
      <c r="L133" s="44"/>
      <c r="M133" s="45"/>
    </row>
    <row r="134" spans="2:13" s="52" customFormat="1" ht="13.5">
      <c r="B134" s="43"/>
      <c r="C134" s="55" t="s">
        <v>148</v>
      </c>
      <c r="D134" s="55"/>
      <c r="E134" s="56" t="s">
        <v>135</v>
      </c>
      <c r="F134" s="56" t="s">
        <v>149</v>
      </c>
      <c r="G134" s="57"/>
      <c r="H134" s="44"/>
      <c r="I134" s="44"/>
      <c r="J134" s="44"/>
      <c r="K134" s="44"/>
      <c r="L134" s="44"/>
      <c r="M134" s="45"/>
    </row>
    <row r="135" spans="2:13" s="52" customFormat="1" ht="13.5">
      <c r="B135" s="43"/>
      <c r="C135" s="55" t="s">
        <v>150</v>
      </c>
      <c r="D135" s="55"/>
      <c r="E135" s="56" t="s">
        <v>135</v>
      </c>
      <c r="F135" s="56" t="s">
        <v>151</v>
      </c>
      <c r="G135" s="57"/>
      <c r="H135" s="44"/>
      <c r="I135" s="44"/>
      <c r="J135" s="44"/>
      <c r="K135" s="44"/>
      <c r="L135" s="44"/>
      <c r="M135" s="45"/>
    </row>
    <row r="136" spans="2:13" s="52" customFormat="1" ht="13.5">
      <c r="B136" s="43"/>
      <c r="C136" s="55"/>
      <c r="D136" s="55"/>
      <c r="E136" s="56" t="s">
        <v>152</v>
      </c>
      <c r="F136" s="56"/>
      <c r="G136" s="57"/>
      <c r="H136" s="44"/>
      <c r="I136" s="44"/>
      <c r="J136" s="44"/>
      <c r="K136" s="44"/>
      <c r="L136" s="44"/>
      <c r="M136" s="45"/>
    </row>
    <row r="137" spans="2:13" s="52" customFormat="1" ht="13.5">
      <c r="B137" s="43"/>
      <c r="C137" s="44"/>
      <c r="D137" s="44"/>
      <c r="E137" s="44"/>
      <c r="F137" s="44"/>
      <c r="G137" s="44"/>
      <c r="H137" s="44"/>
      <c r="I137" s="44"/>
      <c r="J137" s="44"/>
      <c r="K137" s="44"/>
      <c r="L137" s="44"/>
      <c r="M137" s="45"/>
    </row>
    <row r="138" spans="2:13">
      <c r="B138" s="59"/>
      <c r="C138" s="53" t="s">
        <v>153</v>
      </c>
      <c r="D138" s="60"/>
      <c r="E138" s="60"/>
      <c r="F138" s="60"/>
      <c r="G138" s="60"/>
      <c r="H138" s="60"/>
      <c r="I138" s="60"/>
      <c r="J138" s="60"/>
      <c r="K138" s="60"/>
      <c r="L138" s="60"/>
      <c r="M138" s="51"/>
    </row>
    <row r="139" spans="2:13">
      <c r="B139" s="59"/>
      <c r="C139" s="61" t="s">
        <v>154</v>
      </c>
      <c r="D139" s="62">
        <v>-2</v>
      </c>
      <c r="E139" s="63"/>
      <c r="F139" s="63"/>
      <c r="G139" s="63"/>
      <c r="H139" s="63"/>
      <c r="I139" s="63"/>
      <c r="J139" s="63"/>
      <c r="K139" s="64"/>
      <c r="L139" s="60"/>
      <c r="M139" s="51"/>
    </row>
    <row r="140" spans="2:13">
      <c r="B140" s="59"/>
      <c r="C140" s="65" t="s">
        <v>155</v>
      </c>
      <c r="D140" s="66" t="s">
        <v>156</v>
      </c>
      <c r="E140" s="63"/>
      <c r="F140" s="63"/>
      <c r="G140" s="63"/>
      <c r="H140" s="63"/>
      <c r="I140" s="63"/>
      <c r="J140" s="63"/>
      <c r="K140" s="64"/>
      <c r="L140" s="60"/>
      <c r="M140" s="51"/>
    </row>
    <row r="141" spans="2:13">
      <c r="B141" s="59"/>
      <c r="C141" s="65" t="s">
        <v>157</v>
      </c>
      <c r="D141" s="66" t="s">
        <v>177</v>
      </c>
      <c r="E141" s="63"/>
      <c r="F141" s="63"/>
      <c r="G141" s="63"/>
      <c r="H141" s="63"/>
      <c r="I141" s="63"/>
      <c r="J141" s="63"/>
      <c r="K141" s="64"/>
      <c r="L141" s="60"/>
      <c r="M141" s="51"/>
    </row>
    <row r="142" spans="2:13">
      <c r="B142" s="59"/>
      <c r="C142" s="65" t="s">
        <v>159</v>
      </c>
      <c r="D142" s="66" t="s">
        <v>178</v>
      </c>
      <c r="E142" s="63"/>
      <c r="F142" s="63"/>
      <c r="G142" s="63"/>
      <c r="H142" s="63"/>
      <c r="I142" s="63"/>
      <c r="J142" s="63"/>
      <c r="K142" s="64"/>
      <c r="L142" s="60"/>
      <c r="M142" s="51"/>
    </row>
    <row r="143" spans="2:13">
      <c r="B143" s="59"/>
      <c r="C143" s="30"/>
      <c r="D143" s="60"/>
      <c r="E143" s="60"/>
      <c r="F143" s="60"/>
      <c r="G143" s="60"/>
      <c r="H143" s="60"/>
      <c r="I143" s="60"/>
      <c r="J143" s="60"/>
      <c r="K143" s="60"/>
      <c r="L143" s="60"/>
      <c r="M143" s="51"/>
    </row>
    <row r="144" spans="2:13">
      <c r="B144" s="59"/>
      <c r="C144" s="30"/>
      <c r="D144" s="60"/>
      <c r="E144" s="60"/>
      <c r="F144" s="60"/>
      <c r="G144" s="60"/>
      <c r="H144" s="60"/>
      <c r="I144" s="60"/>
      <c r="J144" s="60"/>
      <c r="K144" s="60"/>
      <c r="L144" s="60"/>
      <c r="M144" s="51"/>
    </row>
    <row r="145" spans="2:13">
      <c r="B145" s="46"/>
      <c r="C145" s="47" t="s">
        <v>124</v>
      </c>
      <c r="D145" s="48" t="s">
        <v>179</v>
      </c>
      <c r="E145" s="49"/>
      <c r="F145" s="50"/>
      <c r="G145" s="50"/>
      <c r="H145" s="50"/>
      <c r="I145" s="69"/>
      <c r="J145" s="50"/>
      <c r="K145" s="50"/>
      <c r="L145" s="50"/>
      <c r="M145" s="51"/>
    </row>
    <row r="146" spans="2:13" s="52" customFormat="1" ht="13.5">
      <c r="B146" s="43"/>
      <c r="C146" s="53" t="s">
        <v>126</v>
      </c>
      <c r="D146" s="44"/>
      <c r="E146" s="44"/>
      <c r="F146" s="44"/>
      <c r="G146" s="44"/>
      <c r="H146" s="44"/>
      <c r="I146" s="44"/>
      <c r="J146" s="44"/>
      <c r="K146" s="44"/>
      <c r="L146" s="44"/>
      <c r="M146" s="45"/>
    </row>
    <row r="147" spans="2:13" s="52" customFormat="1" ht="13.5">
      <c r="B147" s="43"/>
      <c r="C147" s="54"/>
      <c r="D147" s="55"/>
      <c r="E147" s="56" t="s">
        <v>127</v>
      </c>
      <c r="F147" s="56" t="s">
        <v>128</v>
      </c>
      <c r="G147" s="57"/>
      <c r="H147" s="44"/>
      <c r="I147" s="44"/>
      <c r="J147" s="44"/>
      <c r="K147" s="44"/>
      <c r="L147" s="44"/>
      <c r="M147" s="45"/>
    </row>
    <row r="148" spans="2:13" s="52" customFormat="1" ht="13.5">
      <c r="B148" s="43"/>
      <c r="C148" s="54"/>
      <c r="D148" s="55"/>
      <c r="E148" s="56" t="s">
        <v>129</v>
      </c>
      <c r="F148" s="56" t="s">
        <v>130</v>
      </c>
      <c r="G148" s="57"/>
      <c r="H148" s="44"/>
      <c r="I148" s="44"/>
      <c r="J148" s="44"/>
      <c r="K148" s="44"/>
      <c r="L148" s="44"/>
      <c r="M148" s="45"/>
    </row>
    <row r="149" spans="2:13" s="52" customFormat="1" ht="13.5">
      <c r="B149" s="43"/>
      <c r="C149" s="55" t="s">
        <v>131</v>
      </c>
      <c r="D149" s="55"/>
      <c r="E149" s="56" t="s">
        <v>132</v>
      </c>
      <c r="F149" s="56" t="s">
        <v>162</v>
      </c>
      <c r="G149" s="57"/>
      <c r="H149" s="44"/>
      <c r="I149" s="44"/>
      <c r="J149" s="44"/>
      <c r="K149" s="44"/>
      <c r="L149" s="44"/>
      <c r="M149" s="45"/>
    </row>
    <row r="150" spans="2:13" s="52" customFormat="1" ht="13.5">
      <c r="B150" s="43"/>
      <c r="C150" s="55" t="s">
        <v>134</v>
      </c>
      <c r="D150" s="55"/>
      <c r="E150" s="56" t="s">
        <v>135</v>
      </c>
      <c r="F150" s="56" t="s">
        <v>136</v>
      </c>
      <c r="G150" s="57"/>
      <c r="H150" s="44"/>
      <c r="I150" s="44"/>
      <c r="J150" s="44"/>
      <c r="K150" s="44"/>
      <c r="L150" s="44"/>
      <c r="M150" s="45"/>
    </row>
    <row r="151" spans="2:13" s="52" customFormat="1" ht="13.5">
      <c r="B151" s="43"/>
      <c r="C151" s="55" t="s">
        <v>137</v>
      </c>
      <c r="D151" s="55"/>
      <c r="E151" s="56" t="s">
        <v>135</v>
      </c>
      <c r="F151" s="56" t="s">
        <v>138</v>
      </c>
      <c r="G151" s="57"/>
      <c r="H151" s="44"/>
      <c r="I151" s="44"/>
      <c r="J151" s="44"/>
      <c r="K151" s="44"/>
      <c r="L151" s="44"/>
      <c r="M151" s="45"/>
    </row>
    <row r="152" spans="2:13" s="52" customFormat="1" ht="13.5">
      <c r="B152" s="43"/>
      <c r="C152" s="55" t="s">
        <v>139</v>
      </c>
      <c r="D152" s="55"/>
      <c r="E152" s="56" t="s">
        <v>135</v>
      </c>
      <c r="F152" s="56" t="s">
        <v>173</v>
      </c>
      <c r="G152" s="57"/>
      <c r="H152" s="44"/>
      <c r="I152" s="44"/>
      <c r="J152" s="44"/>
      <c r="K152" s="44"/>
      <c r="L152" s="44"/>
      <c r="M152" s="45"/>
    </row>
    <row r="153" spans="2:13" s="52" customFormat="1" ht="13.5">
      <c r="B153" s="43"/>
      <c r="C153" s="55" t="s">
        <v>140</v>
      </c>
      <c r="D153" s="55"/>
      <c r="E153" s="56" t="s">
        <v>135</v>
      </c>
      <c r="F153" s="56" t="s">
        <v>141</v>
      </c>
      <c r="G153" s="57"/>
      <c r="H153" s="44"/>
      <c r="I153" s="44"/>
      <c r="J153" s="44"/>
      <c r="K153" s="44"/>
      <c r="L153" s="44"/>
      <c r="M153" s="45"/>
    </row>
    <row r="154" spans="2:13" s="52" customFormat="1" ht="13.5">
      <c r="B154" s="43"/>
      <c r="C154" s="55" t="s">
        <v>142</v>
      </c>
      <c r="D154" s="55"/>
      <c r="E154" s="56" t="s">
        <v>135</v>
      </c>
      <c r="F154" s="56" t="s">
        <v>141</v>
      </c>
      <c r="G154" s="57"/>
      <c r="H154" s="44"/>
      <c r="I154" s="44"/>
      <c r="J154" s="44"/>
      <c r="K154" s="44"/>
      <c r="L154" s="44"/>
      <c r="M154" s="45"/>
    </row>
    <row r="155" spans="2:13" s="52" customFormat="1" ht="13.5">
      <c r="B155" s="43"/>
      <c r="C155" s="55" t="s">
        <v>144</v>
      </c>
      <c r="D155" s="55"/>
      <c r="E155" s="56" t="s">
        <v>135</v>
      </c>
      <c r="F155" s="58" t="s">
        <v>133</v>
      </c>
      <c r="G155" s="57"/>
      <c r="H155" s="44"/>
      <c r="I155" s="44"/>
      <c r="J155" s="44"/>
      <c r="K155" s="44"/>
      <c r="L155" s="44"/>
      <c r="M155" s="45"/>
    </row>
    <row r="156" spans="2:13" s="52" customFormat="1" ht="13.5">
      <c r="B156" s="43"/>
      <c r="C156" s="55" t="s">
        <v>146</v>
      </c>
      <c r="D156" s="55"/>
      <c r="E156" s="56" t="s">
        <v>135</v>
      </c>
      <c r="F156" s="56" t="s">
        <v>147</v>
      </c>
      <c r="G156" s="57"/>
      <c r="H156" s="44"/>
      <c r="I156" s="44"/>
      <c r="J156" s="44"/>
      <c r="K156" s="44"/>
      <c r="L156" s="44"/>
      <c r="M156" s="45"/>
    </row>
    <row r="157" spans="2:13" s="52" customFormat="1" ht="13.5">
      <c r="B157" s="43"/>
      <c r="C157" s="55" t="s">
        <v>148</v>
      </c>
      <c r="D157" s="55"/>
      <c r="E157" s="56" t="s">
        <v>135</v>
      </c>
      <c r="F157" s="56" t="s">
        <v>149</v>
      </c>
      <c r="G157" s="57"/>
      <c r="H157" s="44"/>
      <c r="I157" s="44"/>
      <c r="J157" s="44"/>
      <c r="K157" s="44"/>
      <c r="L157" s="44"/>
      <c r="M157" s="45"/>
    </row>
    <row r="158" spans="2:13" s="52" customFormat="1" ht="13.5">
      <c r="B158" s="43"/>
      <c r="C158" s="55" t="s">
        <v>150</v>
      </c>
      <c r="D158" s="55"/>
      <c r="E158" s="56" t="s">
        <v>135</v>
      </c>
      <c r="F158" s="56" t="s">
        <v>151</v>
      </c>
      <c r="G158" s="57"/>
      <c r="H158" s="44"/>
      <c r="I158" s="44"/>
      <c r="J158" s="44"/>
      <c r="K158" s="44"/>
      <c r="L158" s="44"/>
      <c r="M158" s="45"/>
    </row>
    <row r="159" spans="2:13" s="52" customFormat="1" ht="13.5">
      <c r="B159" s="43"/>
      <c r="C159" s="55"/>
      <c r="D159" s="55"/>
      <c r="E159" s="56" t="s">
        <v>152</v>
      </c>
      <c r="F159" s="56"/>
      <c r="G159" s="57"/>
      <c r="H159" s="44"/>
      <c r="I159" s="44"/>
      <c r="J159" s="44"/>
      <c r="K159" s="44"/>
      <c r="L159" s="44"/>
      <c r="M159" s="45"/>
    </row>
    <row r="160" spans="2:13" s="52" customFormat="1" ht="13.5">
      <c r="B160" s="43"/>
      <c r="C160" s="44"/>
      <c r="D160" s="44"/>
      <c r="E160" s="44"/>
      <c r="F160" s="44"/>
      <c r="G160" s="44"/>
      <c r="H160" s="44"/>
      <c r="I160" s="44"/>
      <c r="J160" s="44"/>
      <c r="K160" s="44"/>
      <c r="L160" s="44"/>
      <c r="M160" s="45"/>
    </row>
    <row r="161" spans="2:13">
      <c r="B161" s="59"/>
      <c r="C161" s="53" t="s">
        <v>153</v>
      </c>
      <c r="D161" s="60"/>
      <c r="E161" s="60"/>
      <c r="F161" s="60"/>
      <c r="G161" s="60"/>
      <c r="H161" s="60"/>
      <c r="I161" s="60"/>
      <c r="J161" s="60"/>
      <c r="K161" s="60"/>
      <c r="L161" s="60"/>
      <c r="M161" s="51"/>
    </row>
    <row r="162" spans="2:13">
      <c r="B162" s="59"/>
      <c r="C162" s="61" t="s">
        <v>154</v>
      </c>
      <c r="D162" s="62">
        <v>-2</v>
      </c>
      <c r="E162" s="63"/>
      <c r="F162" s="63"/>
      <c r="G162" s="63"/>
      <c r="H162" s="63"/>
      <c r="I162" s="63"/>
      <c r="J162" s="63"/>
      <c r="K162" s="64"/>
      <c r="L162" s="60"/>
      <c r="M162" s="51"/>
    </row>
    <row r="163" spans="2:13">
      <c r="B163" s="59"/>
      <c r="C163" s="65" t="s">
        <v>155</v>
      </c>
      <c r="D163" s="66" t="s">
        <v>156</v>
      </c>
      <c r="E163" s="63"/>
      <c r="F163" s="63"/>
      <c r="G163" s="63"/>
      <c r="H163" s="63"/>
      <c r="I163" s="63"/>
      <c r="J163" s="63"/>
      <c r="K163" s="64"/>
      <c r="L163" s="60"/>
      <c r="M163" s="51"/>
    </row>
    <row r="164" spans="2:13">
      <c r="B164" s="59"/>
      <c r="C164" s="65" t="s">
        <v>157</v>
      </c>
      <c r="D164" s="66" t="s">
        <v>177</v>
      </c>
      <c r="E164" s="63"/>
      <c r="F164" s="63"/>
      <c r="G164" s="63"/>
      <c r="H164" s="63"/>
      <c r="I164" s="63"/>
      <c r="J164" s="63"/>
      <c r="K164" s="64"/>
      <c r="L164" s="60"/>
      <c r="M164" s="51"/>
    </row>
    <row r="165" spans="2:13">
      <c r="B165" s="59"/>
      <c r="C165" s="65" t="s">
        <v>159</v>
      </c>
      <c r="D165" s="66" t="s">
        <v>180</v>
      </c>
      <c r="E165" s="63"/>
      <c r="F165" s="63"/>
      <c r="G165" s="63"/>
      <c r="H165" s="63"/>
      <c r="I165" s="63"/>
      <c r="J165" s="63"/>
      <c r="K165" s="64"/>
      <c r="L165" s="60"/>
      <c r="M165" s="51"/>
    </row>
    <row r="166" spans="2:13">
      <c r="B166" s="59"/>
      <c r="C166" s="30"/>
      <c r="D166" s="60"/>
      <c r="E166" s="60"/>
      <c r="F166" s="60"/>
      <c r="G166" s="60"/>
      <c r="H166" s="60"/>
      <c r="I166" s="60"/>
      <c r="J166" s="60"/>
      <c r="K166" s="60"/>
      <c r="L166" s="60"/>
      <c r="M166" s="51"/>
    </row>
    <row r="167" spans="2:13">
      <c r="B167" s="59"/>
      <c r="C167" s="30"/>
      <c r="D167" s="60"/>
      <c r="E167" s="60"/>
      <c r="F167" s="60"/>
      <c r="G167" s="60"/>
      <c r="H167" s="60"/>
      <c r="I167" s="60"/>
      <c r="J167" s="60"/>
      <c r="K167" s="60"/>
      <c r="L167" s="60"/>
      <c r="M167" s="51"/>
    </row>
    <row r="168" spans="2:13">
      <c r="B168" s="46"/>
      <c r="C168" s="47" t="s">
        <v>124</v>
      </c>
      <c r="D168" s="48" t="s">
        <v>181</v>
      </c>
      <c r="E168" s="49"/>
      <c r="F168" s="50"/>
      <c r="G168" s="50"/>
      <c r="H168" s="50"/>
      <c r="I168" s="69"/>
      <c r="J168" s="50"/>
      <c r="K168" s="50"/>
      <c r="L168" s="50"/>
      <c r="M168" s="51"/>
    </row>
    <row r="169" spans="2:13" s="52" customFormat="1" ht="13.5">
      <c r="B169" s="43"/>
      <c r="C169" s="53" t="s">
        <v>126</v>
      </c>
      <c r="D169" s="44"/>
      <c r="E169" s="44"/>
      <c r="F169" s="44"/>
      <c r="G169" s="44"/>
      <c r="H169" s="44"/>
      <c r="I169" s="44"/>
      <c r="J169" s="44"/>
      <c r="K169" s="44"/>
      <c r="L169" s="44"/>
      <c r="M169" s="45"/>
    </row>
    <row r="170" spans="2:13" s="52" customFormat="1" ht="13.5">
      <c r="B170" s="43"/>
      <c r="C170" s="54"/>
      <c r="D170" s="55"/>
      <c r="E170" s="56" t="s">
        <v>127</v>
      </c>
      <c r="F170" s="56" t="s">
        <v>128</v>
      </c>
      <c r="G170" s="57"/>
      <c r="H170" s="44"/>
      <c r="I170" s="44"/>
      <c r="J170" s="44"/>
      <c r="K170" s="44"/>
      <c r="L170" s="44"/>
      <c r="M170" s="45"/>
    </row>
    <row r="171" spans="2:13" s="52" customFormat="1" ht="13.5">
      <c r="B171" s="43"/>
      <c r="C171" s="54"/>
      <c r="D171" s="55"/>
      <c r="E171" s="56" t="s">
        <v>129</v>
      </c>
      <c r="F171" s="56" t="s">
        <v>130</v>
      </c>
      <c r="G171" s="57"/>
      <c r="H171" s="44"/>
      <c r="I171" s="44"/>
      <c r="J171" s="44"/>
      <c r="K171" s="44"/>
      <c r="L171" s="44"/>
      <c r="M171" s="45"/>
    </row>
    <row r="172" spans="2:13" s="52" customFormat="1" ht="13.5">
      <c r="B172" s="43"/>
      <c r="C172" s="55" t="s">
        <v>131</v>
      </c>
      <c r="D172" s="55"/>
      <c r="E172" s="56" t="s">
        <v>132</v>
      </c>
      <c r="F172" s="56" t="s">
        <v>162</v>
      </c>
      <c r="G172" s="57"/>
      <c r="H172" s="44"/>
      <c r="I172" s="44"/>
      <c r="J172" s="44"/>
      <c r="K172" s="44"/>
      <c r="L172" s="44"/>
      <c r="M172" s="45"/>
    </row>
    <row r="173" spans="2:13" s="52" customFormat="1" ht="13.5">
      <c r="B173" s="43"/>
      <c r="C173" s="55" t="s">
        <v>134</v>
      </c>
      <c r="D173" s="55"/>
      <c r="E173" s="56" t="s">
        <v>135</v>
      </c>
      <c r="F173" s="56" t="s">
        <v>136</v>
      </c>
      <c r="G173" s="57"/>
      <c r="H173" s="44"/>
      <c r="I173" s="44"/>
      <c r="J173" s="44"/>
      <c r="K173" s="44"/>
      <c r="L173" s="44"/>
      <c r="M173" s="45"/>
    </row>
    <row r="174" spans="2:13" s="52" customFormat="1" ht="13.5">
      <c r="B174" s="43"/>
      <c r="C174" s="55" t="s">
        <v>137</v>
      </c>
      <c r="D174" s="55"/>
      <c r="E174" s="56" t="s">
        <v>135</v>
      </c>
      <c r="F174" s="56" t="s">
        <v>138</v>
      </c>
      <c r="G174" s="57"/>
      <c r="H174" s="44"/>
      <c r="I174" s="44"/>
      <c r="J174" s="44"/>
      <c r="K174" s="44"/>
      <c r="L174" s="44"/>
      <c r="M174" s="45"/>
    </row>
    <row r="175" spans="2:13" s="52" customFormat="1" ht="13.5">
      <c r="B175" s="43"/>
      <c r="C175" s="55" t="s">
        <v>139</v>
      </c>
      <c r="D175" s="55"/>
      <c r="E175" s="56" t="s">
        <v>135</v>
      </c>
      <c r="F175" s="56" t="s">
        <v>173</v>
      </c>
      <c r="G175" s="57"/>
      <c r="H175" s="44"/>
      <c r="I175" s="44"/>
      <c r="J175" s="44"/>
      <c r="K175" s="44"/>
      <c r="L175" s="44"/>
      <c r="M175" s="45"/>
    </row>
    <row r="176" spans="2:13" s="52" customFormat="1" ht="13.5">
      <c r="B176" s="43"/>
      <c r="C176" s="55" t="s">
        <v>140</v>
      </c>
      <c r="D176" s="55"/>
      <c r="E176" s="56" t="s">
        <v>135</v>
      </c>
      <c r="F176" s="56" t="s">
        <v>141</v>
      </c>
      <c r="G176" s="57"/>
      <c r="H176" s="44"/>
      <c r="I176" s="44"/>
      <c r="J176" s="44"/>
      <c r="K176" s="44"/>
      <c r="L176" s="44"/>
      <c r="M176" s="45"/>
    </row>
    <row r="177" spans="2:13" s="52" customFormat="1" ht="13.5">
      <c r="B177" s="43"/>
      <c r="C177" s="55" t="s">
        <v>142</v>
      </c>
      <c r="D177" s="55"/>
      <c r="E177" s="56" t="s">
        <v>135</v>
      </c>
      <c r="F177" s="56" t="s">
        <v>143</v>
      </c>
      <c r="G177" s="57"/>
      <c r="H177" s="44"/>
      <c r="I177" s="44"/>
      <c r="J177" s="44"/>
      <c r="K177" s="44"/>
      <c r="L177" s="44"/>
      <c r="M177" s="45"/>
    </row>
    <row r="178" spans="2:13" s="52" customFormat="1" ht="13.5">
      <c r="B178" s="43"/>
      <c r="C178" s="55" t="s">
        <v>144</v>
      </c>
      <c r="D178" s="55"/>
      <c r="E178" s="56" t="s">
        <v>135</v>
      </c>
      <c r="F178" s="56" t="s">
        <v>145</v>
      </c>
      <c r="G178" s="57"/>
      <c r="H178" s="44"/>
      <c r="I178" s="44"/>
      <c r="J178" s="44"/>
      <c r="K178" s="44"/>
      <c r="L178" s="44"/>
      <c r="M178" s="45"/>
    </row>
    <row r="179" spans="2:13" s="52" customFormat="1" ht="13.5">
      <c r="B179" s="43"/>
      <c r="C179" s="55" t="s">
        <v>146</v>
      </c>
      <c r="D179" s="55"/>
      <c r="E179" s="56" t="s">
        <v>135</v>
      </c>
      <c r="F179" s="58" t="s">
        <v>133</v>
      </c>
      <c r="G179" s="57"/>
      <c r="H179" s="44"/>
      <c r="I179" s="44"/>
      <c r="J179" s="44"/>
      <c r="K179" s="44"/>
      <c r="L179" s="44"/>
      <c r="M179" s="45"/>
    </row>
    <row r="180" spans="2:13" s="52" customFormat="1" ht="13.5">
      <c r="B180" s="43"/>
      <c r="C180" s="55" t="s">
        <v>148</v>
      </c>
      <c r="D180" s="55"/>
      <c r="E180" s="56" t="s">
        <v>135</v>
      </c>
      <c r="F180" s="56" t="s">
        <v>149</v>
      </c>
      <c r="G180" s="57"/>
      <c r="H180" s="44"/>
      <c r="I180" s="44"/>
      <c r="J180" s="44"/>
      <c r="K180" s="44"/>
      <c r="L180" s="44"/>
      <c r="M180" s="45"/>
    </row>
    <row r="181" spans="2:13" s="52" customFormat="1" ht="13.5">
      <c r="B181" s="43"/>
      <c r="C181" s="55" t="s">
        <v>150</v>
      </c>
      <c r="D181" s="55"/>
      <c r="E181" s="56" t="s">
        <v>135</v>
      </c>
      <c r="F181" s="56" t="s">
        <v>151</v>
      </c>
      <c r="G181" s="57"/>
      <c r="H181" s="44"/>
      <c r="I181" s="44"/>
      <c r="J181" s="44"/>
      <c r="K181" s="44"/>
      <c r="L181" s="44"/>
      <c r="M181" s="45"/>
    </row>
    <row r="182" spans="2:13" s="52" customFormat="1" ht="13.5">
      <c r="B182" s="43"/>
      <c r="C182" s="55"/>
      <c r="D182" s="55"/>
      <c r="E182" s="56" t="s">
        <v>152</v>
      </c>
      <c r="F182" s="56"/>
      <c r="G182" s="57"/>
      <c r="H182" s="44"/>
      <c r="I182" s="44"/>
      <c r="J182" s="44"/>
      <c r="K182" s="44"/>
      <c r="L182" s="44"/>
      <c r="M182" s="45"/>
    </row>
    <row r="183" spans="2:13" s="52" customFormat="1" ht="13.5">
      <c r="B183" s="43"/>
      <c r="C183" s="44"/>
      <c r="D183" s="44"/>
      <c r="E183" s="44"/>
      <c r="F183" s="44"/>
      <c r="G183" s="44"/>
      <c r="H183" s="44"/>
      <c r="I183" s="44"/>
      <c r="J183" s="44"/>
      <c r="K183" s="44"/>
      <c r="L183" s="44"/>
      <c r="M183" s="45"/>
    </row>
    <row r="184" spans="2:13">
      <c r="B184" s="59"/>
      <c r="C184" s="53" t="s">
        <v>153</v>
      </c>
      <c r="D184" s="60"/>
      <c r="E184" s="60"/>
      <c r="F184" s="60"/>
      <c r="G184" s="60"/>
      <c r="H184" s="60"/>
      <c r="I184" s="60"/>
      <c r="J184" s="60"/>
      <c r="K184" s="60"/>
      <c r="L184" s="60"/>
      <c r="M184" s="51"/>
    </row>
    <row r="185" spans="2:13">
      <c r="B185" s="59"/>
      <c r="C185" s="61" t="s">
        <v>154</v>
      </c>
      <c r="D185" s="62">
        <v>-1</v>
      </c>
      <c r="E185" s="63"/>
      <c r="F185" s="63"/>
      <c r="G185" s="63"/>
      <c r="H185" s="63"/>
      <c r="I185" s="63"/>
      <c r="J185" s="63"/>
      <c r="K185" s="64"/>
      <c r="L185" s="60"/>
      <c r="M185" s="51"/>
    </row>
    <row r="186" spans="2:13">
      <c r="B186" s="59"/>
      <c r="C186" s="65" t="s">
        <v>155</v>
      </c>
      <c r="D186" s="66">
        <v>22007</v>
      </c>
      <c r="E186" s="63"/>
      <c r="F186" s="63"/>
      <c r="G186" s="63"/>
      <c r="H186" s="63"/>
      <c r="I186" s="63"/>
      <c r="J186" s="63"/>
      <c r="K186" s="64"/>
      <c r="L186" s="60"/>
      <c r="M186" s="51"/>
    </row>
    <row r="187" spans="2:13">
      <c r="B187" s="59"/>
      <c r="C187" s="65" t="s">
        <v>157</v>
      </c>
      <c r="D187" s="66" t="s">
        <v>156</v>
      </c>
      <c r="E187" s="63"/>
      <c r="F187" s="63"/>
      <c r="G187" s="63"/>
      <c r="H187" s="63"/>
      <c r="I187" s="63"/>
      <c r="J187" s="63"/>
      <c r="K187" s="64"/>
      <c r="L187" s="60"/>
      <c r="M187" s="51"/>
    </row>
    <row r="188" spans="2:13">
      <c r="B188" s="59"/>
      <c r="C188" s="65" t="s">
        <v>159</v>
      </c>
      <c r="D188" s="66" t="s">
        <v>182</v>
      </c>
      <c r="E188" s="63"/>
      <c r="F188" s="63"/>
      <c r="G188" s="63"/>
      <c r="H188" s="63"/>
      <c r="I188" s="63"/>
      <c r="J188" s="63"/>
      <c r="K188" s="64"/>
      <c r="L188" s="60"/>
      <c r="M188" s="51"/>
    </row>
    <row r="189" spans="2:13">
      <c r="B189" s="59"/>
      <c r="C189" s="30"/>
      <c r="D189" s="60"/>
      <c r="E189" s="60"/>
      <c r="F189" s="60"/>
      <c r="G189" s="60"/>
      <c r="H189" s="60"/>
      <c r="I189" s="60"/>
      <c r="J189" s="60"/>
      <c r="K189" s="60"/>
      <c r="L189" s="60"/>
      <c r="M189" s="51"/>
    </row>
    <row r="190" spans="2:13">
      <c r="B190" s="59"/>
      <c r="C190" s="30"/>
      <c r="D190" s="60"/>
      <c r="E190" s="60"/>
      <c r="F190" s="60"/>
      <c r="G190" s="60"/>
      <c r="H190" s="60"/>
      <c r="I190" s="60"/>
      <c r="J190" s="60"/>
      <c r="K190" s="60"/>
      <c r="L190" s="60"/>
      <c r="M190" s="51"/>
    </row>
    <row r="191" spans="2:13">
      <c r="B191" s="46"/>
      <c r="C191" s="47" t="s">
        <v>124</v>
      </c>
      <c r="D191" s="48" t="s">
        <v>183</v>
      </c>
      <c r="E191" s="49"/>
      <c r="F191" s="50"/>
      <c r="G191" s="50"/>
      <c r="H191" s="50"/>
      <c r="I191" s="69"/>
      <c r="J191" s="50"/>
      <c r="K191" s="50"/>
      <c r="L191" s="50"/>
      <c r="M191" s="51"/>
    </row>
    <row r="192" spans="2:13" s="52" customFormat="1" ht="13.5">
      <c r="B192" s="43"/>
      <c r="C192" s="53" t="s">
        <v>126</v>
      </c>
      <c r="D192" s="44"/>
      <c r="E192" s="44"/>
      <c r="F192" s="44"/>
      <c r="G192" s="44"/>
      <c r="H192" s="44"/>
      <c r="I192" s="44"/>
      <c r="J192" s="44"/>
      <c r="K192" s="44"/>
      <c r="L192" s="44"/>
      <c r="M192" s="45"/>
    </row>
    <row r="193" spans="2:13" s="52" customFormat="1" ht="13.5">
      <c r="B193" s="43"/>
      <c r="C193" s="54"/>
      <c r="D193" s="55"/>
      <c r="E193" s="56" t="s">
        <v>127</v>
      </c>
      <c r="F193" s="56" t="s">
        <v>128</v>
      </c>
      <c r="G193" s="57"/>
      <c r="H193" s="44"/>
      <c r="I193" s="44"/>
      <c r="J193" s="44"/>
      <c r="K193" s="44"/>
      <c r="L193" s="44"/>
      <c r="M193" s="45"/>
    </row>
    <row r="194" spans="2:13" s="52" customFormat="1" ht="13.5">
      <c r="B194" s="43"/>
      <c r="C194" s="54"/>
      <c r="D194" s="55"/>
      <c r="E194" s="56" t="s">
        <v>129</v>
      </c>
      <c r="F194" s="56" t="s">
        <v>130</v>
      </c>
      <c r="G194" s="57"/>
      <c r="H194" s="44"/>
      <c r="I194" s="44"/>
      <c r="J194" s="44"/>
      <c r="K194" s="44"/>
      <c r="L194" s="44"/>
      <c r="M194" s="45"/>
    </row>
    <row r="195" spans="2:13" s="52" customFormat="1" ht="13.5">
      <c r="B195" s="43"/>
      <c r="C195" s="55" t="s">
        <v>131</v>
      </c>
      <c r="D195" s="55"/>
      <c r="E195" s="56" t="s">
        <v>132</v>
      </c>
      <c r="F195" s="56" t="s">
        <v>162</v>
      </c>
      <c r="G195" s="57"/>
      <c r="H195" s="44"/>
      <c r="I195" s="44"/>
      <c r="J195" s="44"/>
      <c r="K195" s="44"/>
      <c r="L195" s="44"/>
      <c r="M195" s="45"/>
    </row>
    <row r="196" spans="2:13" s="52" customFormat="1" ht="13.5">
      <c r="B196" s="43"/>
      <c r="C196" s="55" t="s">
        <v>134</v>
      </c>
      <c r="D196" s="55"/>
      <c r="E196" s="56" t="s">
        <v>135</v>
      </c>
      <c r="F196" s="56" t="s">
        <v>136</v>
      </c>
      <c r="G196" s="57"/>
      <c r="H196" s="44"/>
      <c r="I196" s="44"/>
      <c r="J196" s="44"/>
      <c r="K196" s="44"/>
      <c r="L196" s="44"/>
      <c r="M196" s="45"/>
    </row>
    <row r="197" spans="2:13" s="52" customFormat="1" ht="13.5">
      <c r="B197" s="43"/>
      <c r="C197" s="55" t="s">
        <v>137</v>
      </c>
      <c r="D197" s="55"/>
      <c r="E197" s="56" t="s">
        <v>135</v>
      </c>
      <c r="F197" s="56" t="s">
        <v>138</v>
      </c>
      <c r="G197" s="57"/>
      <c r="H197" s="44"/>
      <c r="I197" s="44"/>
      <c r="J197" s="44"/>
      <c r="K197" s="44"/>
      <c r="L197" s="44"/>
      <c r="M197" s="45"/>
    </row>
    <row r="198" spans="2:13" s="52" customFormat="1" ht="13.5">
      <c r="B198" s="43"/>
      <c r="C198" s="55" t="s">
        <v>139</v>
      </c>
      <c r="D198" s="55"/>
      <c r="E198" s="56" t="s">
        <v>135</v>
      </c>
      <c r="F198" s="56" t="s">
        <v>173</v>
      </c>
      <c r="G198" s="57"/>
      <c r="H198" s="44"/>
      <c r="I198" s="44"/>
      <c r="J198" s="44"/>
      <c r="K198" s="44"/>
      <c r="L198" s="44"/>
      <c r="M198" s="45"/>
    </row>
    <row r="199" spans="2:13" s="52" customFormat="1" ht="13.5">
      <c r="B199" s="43"/>
      <c r="C199" s="55" t="s">
        <v>140</v>
      </c>
      <c r="D199" s="55"/>
      <c r="E199" s="56" t="s">
        <v>135</v>
      </c>
      <c r="F199" s="56" t="s">
        <v>141</v>
      </c>
      <c r="G199" s="57"/>
      <c r="H199" s="44"/>
      <c r="I199" s="44"/>
      <c r="J199" s="44"/>
      <c r="K199" s="44"/>
      <c r="L199" s="44"/>
      <c r="M199" s="45"/>
    </row>
    <row r="200" spans="2:13" s="52" customFormat="1" ht="13.5">
      <c r="B200" s="43"/>
      <c r="C200" s="55" t="s">
        <v>142</v>
      </c>
      <c r="D200" s="55"/>
      <c r="E200" s="56" t="s">
        <v>135</v>
      </c>
      <c r="F200" s="56" t="s">
        <v>143</v>
      </c>
      <c r="G200" s="57"/>
      <c r="H200" s="44"/>
      <c r="I200" s="44"/>
      <c r="J200" s="44"/>
      <c r="K200" s="44"/>
      <c r="L200" s="44"/>
      <c r="M200" s="45"/>
    </row>
    <row r="201" spans="2:13" s="52" customFormat="1" ht="13.5">
      <c r="B201" s="43"/>
      <c r="C201" s="55" t="s">
        <v>144</v>
      </c>
      <c r="D201" s="55"/>
      <c r="E201" s="56" t="s">
        <v>135</v>
      </c>
      <c r="F201" s="56" t="s">
        <v>145</v>
      </c>
      <c r="G201" s="57"/>
      <c r="H201" s="44"/>
      <c r="I201" s="44"/>
      <c r="J201" s="44"/>
      <c r="K201" s="44"/>
      <c r="L201" s="44"/>
      <c r="M201" s="45"/>
    </row>
    <row r="202" spans="2:13" s="52" customFormat="1" ht="13.5">
      <c r="B202" s="43"/>
      <c r="C202" s="55" t="s">
        <v>146</v>
      </c>
      <c r="D202" s="55"/>
      <c r="E202" s="56" t="s">
        <v>135</v>
      </c>
      <c r="F202" s="56" t="s">
        <v>147</v>
      </c>
      <c r="G202" s="57"/>
      <c r="H202" s="44"/>
      <c r="I202" s="44"/>
      <c r="J202" s="44"/>
      <c r="K202" s="44"/>
      <c r="L202" s="44"/>
      <c r="M202" s="45"/>
    </row>
    <row r="203" spans="2:13" s="52" customFormat="1" ht="13.5">
      <c r="B203" s="43"/>
      <c r="C203" s="55" t="s">
        <v>148</v>
      </c>
      <c r="D203" s="55"/>
      <c r="E203" s="56" t="s">
        <v>135</v>
      </c>
      <c r="F203" s="58" t="s">
        <v>133</v>
      </c>
      <c r="G203" s="57"/>
      <c r="H203" s="44"/>
      <c r="I203" s="44"/>
      <c r="J203" s="44"/>
      <c r="K203" s="44"/>
      <c r="L203" s="44"/>
      <c r="M203" s="45"/>
    </row>
    <row r="204" spans="2:13" s="52" customFormat="1" ht="13.5">
      <c r="B204" s="43"/>
      <c r="C204" s="55" t="s">
        <v>150</v>
      </c>
      <c r="D204" s="55"/>
      <c r="E204" s="56" t="s">
        <v>135</v>
      </c>
      <c r="F204" s="56" t="s">
        <v>151</v>
      </c>
      <c r="G204" s="57"/>
      <c r="H204" s="44"/>
      <c r="I204" s="44"/>
      <c r="J204" s="44"/>
      <c r="K204" s="44"/>
      <c r="L204" s="44"/>
      <c r="M204" s="45"/>
    </row>
    <row r="205" spans="2:13" s="52" customFormat="1" ht="13.5">
      <c r="B205" s="43"/>
      <c r="C205" s="55"/>
      <c r="D205" s="55"/>
      <c r="E205" s="56" t="s">
        <v>152</v>
      </c>
      <c r="F205" s="56"/>
      <c r="G205" s="57"/>
      <c r="H205" s="44"/>
      <c r="I205" s="44"/>
      <c r="J205" s="44"/>
      <c r="K205" s="44"/>
      <c r="L205" s="44"/>
      <c r="M205" s="45"/>
    </row>
    <row r="206" spans="2:13" s="52" customFormat="1" ht="13.5">
      <c r="B206" s="43"/>
      <c r="C206" s="44"/>
      <c r="D206" s="44"/>
      <c r="E206" s="44"/>
      <c r="F206" s="44"/>
      <c r="G206" s="44"/>
      <c r="H206" s="44"/>
      <c r="I206" s="44"/>
      <c r="J206" s="44"/>
      <c r="K206" s="44"/>
      <c r="L206" s="44"/>
      <c r="M206" s="45"/>
    </row>
    <row r="207" spans="2:13">
      <c r="B207" s="59"/>
      <c r="C207" s="53" t="s">
        <v>153</v>
      </c>
      <c r="D207" s="60"/>
      <c r="E207" s="60"/>
      <c r="F207" s="60"/>
      <c r="G207" s="60"/>
      <c r="H207" s="60"/>
      <c r="I207" s="60"/>
      <c r="J207" s="60"/>
      <c r="K207" s="60"/>
      <c r="L207" s="60"/>
      <c r="M207" s="51"/>
    </row>
    <row r="208" spans="2:13">
      <c r="B208" s="59"/>
      <c r="C208" s="61" t="s">
        <v>154</v>
      </c>
      <c r="D208" s="62">
        <v>-2</v>
      </c>
      <c r="E208" s="63"/>
      <c r="F208" s="63"/>
      <c r="G208" s="63"/>
      <c r="H208" s="63"/>
      <c r="I208" s="63"/>
      <c r="J208" s="63"/>
      <c r="K208" s="64"/>
      <c r="L208" s="60"/>
      <c r="M208" s="51"/>
    </row>
    <row r="209" spans="2:13">
      <c r="B209" s="59"/>
      <c r="C209" s="65" t="s">
        <v>155</v>
      </c>
      <c r="D209" s="66" t="s">
        <v>156</v>
      </c>
      <c r="E209" s="63"/>
      <c r="F209" s="63"/>
      <c r="G209" s="63"/>
      <c r="H209" s="63"/>
      <c r="I209" s="63"/>
      <c r="J209" s="63"/>
      <c r="K209" s="64"/>
      <c r="L209" s="60"/>
      <c r="M209" s="51"/>
    </row>
    <row r="210" spans="2:13">
      <c r="B210" s="59"/>
      <c r="C210" s="65" t="s">
        <v>157</v>
      </c>
      <c r="D210" s="66" t="s">
        <v>184</v>
      </c>
      <c r="E210" s="63"/>
      <c r="F210" s="63"/>
      <c r="G210" s="63"/>
      <c r="H210" s="63"/>
      <c r="I210" s="63"/>
      <c r="J210" s="63"/>
      <c r="K210" s="64"/>
      <c r="L210" s="60"/>
      <c r="M210" s="51"/>
    </row>
    <row r="211" spans="2:13">
      <c r="B211" s="59"/>
      <c r="C211" s="65" t="s">
        <v>159</v>
      </c>
      <c r="D211" s="66" t="s">
        <v>185</v>
      </c>
      <c r="E211" s="63"/>
      <c r="F211" s="63"/>
      <c r="G211" s="63"/>
      <c r="H211" s="63"/>
      <c r="I211" s="63"/>
      <c r="J211" s="63"/>
      <c r="K211" s="64"/>
      <c r="L211" s="60"/>
      <c r="M211" s="51"/>
    </row>
    <row r="212" spans="2:13">
      <c r="B212" s="59"/>
      <c r="C212" s="30"/>
      <c r="D212" s="60"/>
      <c r="E212" s="60"/>
      <c r="F212" s="60"/>
      <c r="G212" s="60"/>
      <c r="H212" s="60"/>
      <c r="I212" s="60"/>
      <c r="J212" s="60"/>
      <c r="K212" s="60"/>
      <c r="L212" s="60"/>
      <c r="M212" s="51"/>
    </row>
    <row r="213" spans="2:13">
      <c r="B213" s="59"/>
      <c r="C213" s="30"/>
      <c r="D213" s="60"/>
      <c r="E213" s="60"/>
      <c r="F213" s="60"/>
      <c r="G213" s="60"/>
      <c r="H213" s="60"/>
      <c r="I213" s="60"/>
      <c r="J213" s="60"/>
      <c r="K213" s="60"/>
      <c r="L213" s="60"/>
      <c r="M213" s="51"/>
    </row>
    <row r="214" spans="2:13">
      <c r="B214" s="46"/>
      <c r="C214" s="47" t="s">
        <v>124</v>
      </c>
      <c r="D214" s="48" t="s">
        <v>186</v>
      </c>
      <c r="E214" s="49"/>
      <c r="F214" s="50"/>
      <c r="G214" s="50"/>
      <c r="H214" s="50"/>
      <c r="I214" s="69"/>
      <c r="J214" s="50"/>
      <c r="K214" s="50"/>
      <c r="L214" s="50"/>
      <c r="M214" s="51"/>
    </row>
    <row r="215" spans="2:13" s="52" customFormat="1" ht="13.5">
      <c r="B215" s="43"/>
      <c r="C215" s="53" t="s">
        <v>126</v>
      </c>
      <c r="D215" s="44"/>
      <c r="E215" s="44"/>
      <c r="F215" s="44"/>
      <c r="G215" s="44"/>
      <c r="H215" s="44"/>
      <c r="I215" s="44"/>
      <c r="J215" s="44"/>
      <c r="K215" s="44"/>
      <c r="L215" s="44"/>
      <c r="M215" s="45"/>
    </row>
    <row r="216" spans="2:13" s="52" customFormat="1" ht="13.5">
      <c r="B216" s="43"/>
      <c r="C216" s="54"/>
      <c r="D216" s="55"/>
      <c r="E216" s="56" t="s">
        <v>127</v>
      </c>
      <c r="F216" s="56" t="s">
        <v>128</v>
      </c>
      <c r="G216" s="57"/>
      <c r="H216" s="44"/>
      <c r="I216" s="44"/>
      <c r="J216" s="44"/>
      <c r="K216" s="44"/>
      <c r="L216" s="44"/>
      <c r="M216" s="45"/>
    </row>
    <row r="217" spans="2:13" s="52" customFormat="1" ht="13.5">
      <c r="B217" s="43"/>
      <c r="C217" s="54"/>
      <c r="D217" s="55"/>
      <c r="E217" s="56" t="s">
        <v>129</v>
      </c>
      <c r="F217" s="56" t="s">
        <v>130</v>
      </c>
      <c r="G217" s="57"/>
      <c r="H217" s="44"/>
      <c r="I217" s="44"/>
      <c r="J217" s="44"/>
      <c r="K217" s="44"/>
      <c r="L217" s="44"/>
      <c r="M217" s="45"/>
    </row>
    <row r="218" spans="2:13" s="52" customFormat="1" ht="13.5">
      <c r="B218" s="43"/>
      <c r="C218" s="55" t="s">
        <v>131</v>
      </c>
      <c r="D218" s="55"/>
      <c r="E218" s="56" t="s">
        <v>132</v>
      </c>
      <c r="F218" s="56" t="s">
        <v>162</v>
      </c>
      <c r="G218" s="57"/>
      <c r="H218" s="44"/>
      <c r="I218" s="44"/>
      <c r="J218" s="44"/>
      <c r="K218" s="44"/>
      <c r="L218" s="44"/>
      <c r="M218" s="45"/>
    </row>
    <row r="219" spans="2:13" s="52" customFormat="1" ht="13.5">
      <c r="B219" s="43"/>
      <c r="C219" s="55" t="s">
        <v>134</v>
      </c>
      <c r="D219" s="55"/>
      <c r="E219" s="56" t="s">
        <v>135</v>
      </c>
      <c r="F219" s="56" t="s">
        <v>136</v>
      </c>
      <c r="G219" s="57"/>
      <c r="H219" s="44"/>
      <c r="I219" s="44"/>
      <c r="J219" s="44"/>
      <c r="K219" s="44"/>
      <c r="L219" s="44"/>
      <c r="M219" s="45"/>
    </row>
    <row r="220" spans="2:13" s="52" customFormat="1" ht="13.5">
      <c r="B220" s="43"/>
      <c r="C220" s="55" t="s">
        <v>137</v>
      </c>
      <c r="D220" s="55"/>
      <c r="E220" s="56" t="s">
        <v>135</v>
      </c>
      <c r="F220" s="56" t="s">
        <v>138</v>
      </c>
      <c r="G220" s="57"/>
      <c r="H220" s="44"/>
      <c r="I220" s="44"/>
      <c r="J220" s="44"/>
      <c r="K220" s="44"/>
      <c r="L220" s="44"/>
      <c r="M220" s="45"/>
    </row>
    <row r="221" spans="2:13" s="52" customFormat="1" ht="13.5">
      <c r="B221" s="43"/>
      <c r="C221" s="55" t="s">
        <v>139</v>
      </c>
      <c r="D221" s="55"/>
      <c r="E221" s="56" t="s">
        <v>135</v>
      </c>
      <c r="F221" s="56" t="s">
        <v>173</v>
      </c>
      <c r="G221" s="57"/>
      <c r="H221" s="44"/>
      <c r="I221" s="44"/>
      <c r="J221" s="44"/>
      <c r="K221" s="44"/>
      <c r="L221" s="44"/>
      <c r="M221" s="45"/>
    </row>
    <row r="222" spans="2:13" s="52" customFormat="1" ht="13.5">
      <c r="B222" s="43"/>
      <c r="C222" s="55" t="s">
        <v>140</v>
      </c>
      <c r="D222" s="55"/>
      <c r="E222" s="56" t="s">
        <v>135</v>
      </c>
      <c r="F222" s="56" t="s">
        <v>141</v>
      </c>
      <c r="G222" s="57"/>
      <c r="H222" s="44"/>
      <c r="I222" s="44"/>
      <c r="J222" s="44"/>
      <c r="K222" s="44"/>
      <c r="L222" s="44"/>
      <c r="M222" s="45"/>
    </row>
    <row r="223" spans="2:13" s="52" customFormat="1" ht="13.5">
      <c r="B223" s="43"/>
      <c r="C223" s="55" t="s">
        <v>142</v>
      </c>
      <c r="D223" s="55"/>
      <c r="E223" s="56" t="s">
        <v>135</v>
      </c>
      <c r="F223" s="56" t="s">
        <v>143</v>
      </c>
      <c r="G223" s="57"/>
      <c r="H223" s="44"/>
      <c r="I223" s="44"/>
      <c r="J223" s="44"/>
      <c r="K223" s="44"/>
      <c r="L223" s="44"/>
      <c r="M223" s="45"/>
    </row>
    <row r="224" spans="2:13" s="52" customFormat="1" ht="13.5">
      <c r="B224" s="43"/>
      <c r="C224" s="55" t="s">
        <v>144</v>
      </c>
      <c r="D224" s="55"/>
      <c r="E224" s="56" t="s">
        <v>135</v>
      </c>
      <c r="F224" s="56" t="s">
        <v>145</v>
      </c>
      <c r="G224" s="57"/>
      <c r="H224" s="44"/>
      <c r="I224" s="44"/>
      <c r="J224" s="44"/>
      <c r="K224" s="44"/>
      <c r="L224" s="44"/>
      <c r="M224" s="45"/>
    </row>
    <row r="225" spans="2:13" s="52" customFormat="1" ht="13.5">
      <c r="B225" s="43"/>
      <c r="C225" s="55" t="s">
        <v>146</v>
      </c>
      <c r="D225" s="55"/>
      <c r="E225" s="56" t="s">
        <v>135</v>
      </c>
      <c r="F225" s="56" t="s">
        <v>147</v>
      </c>
      <c r="G225" s="57"/>
      <c r="H225" s="44"/>
      <c r="I225" s="44"/>
      <c r="J225" s="44"/>
      <c r="K225" s="44"/>
      <c r="L225" s="44"/>
      <c r="M225" s="45"/>
    </row>
    <row r="226" spans="2:13" s="52" customFormat="1" ht="13.5">
      <c r="B226" s="43"/>
      <c r="C226" s="55" t="s">
        <v>148</v>
      </c>
      <c r="D226" s="55"/>
      <c r="E226" s="56" t="s">
        <v>135</v>
      </c>
      <c r="F226" s="56" t="s">
        <v>149</v>
      </c>
      <c r="G226" s="57"/>
      <c r="H226" s="44"/>
      <c r="I226" s="44"/>
      <c r="J226" s="44"/>
      <c r="K226" s="44"/>
      <c r="L226" s="44"/>
      <c r="M226" s="45"/>
    </row>
    <row r="227" spans="2:13" s="52" customFormat="1" ht="13.5">
      <c r="B227" s="43"/>
      <c r="C227" s="55" t="s">
        <v>150</v>
      </c>
      <c r="D227" s="55"/>
      <c r="E227" s="56" t="s">
        <v>135</v>
      </c>
      <c r="F227" s="58" t="s">
        <v>133</v>
      </c>
      <c r="G227" s="57"/>
      <c r="H227" s="44"/>
      <c r="I227" s="44"/>
      <c r="J227" s="44"/>
      <c r="K227" s="44"/>
      <c r="L227" s="44"/>
      <c r="M227" s="45"/>
    </row>
    <row r="228" spans="2:13" s="52" customFormat="1" ht="13.5">
      <c r="B228" s="43"/>
      <c r="C228" s="55"/>
      <c r="D228" s="55"/>
      <c r="E228" s="56" t="s">
        <v>152</v>
      </c>
      <c r="F228" s="56"/>
      <c r="G228" s="57"/>
      <c r="H228" s="44"/>
      <c r="I228" s="44"/>
      <c r="J228" s="44"/>
      <c r="K228" s="44"/>
      <c r="L228" s="44"/>
      <c r="M228" s="45"/>
    </row>
    <row r="229" spans="2:13" s="52" customFormat="1" ht="13.5">
      <c r="B229" s="43"/>
      <c r="C229" s="44"/>
      <c r="D229" s="44"/>
      <c r="E229" s="44"/>
      <c r="F229" s="44"/>
      <c r="G229" s="44"/>
      <c r="H229" s="44"/>
      <c r="I229" s="44"/>
      <c r="J229" s="44"/>
      <c r="K229" s="44"/>
      <c r="L229" s="44"/>
      <c r="M229" s="45"/>
    </row>
    <row r="230" spans="2:13">
      <c r="B230" s="59"/>
      <c r="C230" s="53" t="s">
        <v>153</v>
      </c>
      <c r="D230" s="60"/>
      <c r="E230" s="60"/>
      <c r="F230" s="60"/>
      <c r="G230" s="60"/>
      <c r="H230" s="60"/>
      <c r="I230" s="60"/>
      <c r="J230" s="60"/>
      <c r="K230" s="60"/>
      <c r="L230" s="60"/>
      <c r="M230" s="51"/>
    </row>
    <row r="231" spans="2:13">
      <c r="B231" s="59"/>
      <c r="C231" s="61" t="s">
        <v>154</v>
      </c>
      <c r="D231" s="62">
        <v>-2</v>
      </c>
      <c r="E231" s="63"/>
      <c r="F231" s="63"/>
      <c r="G231" s="63"/>
      <c r="H231" s="63"/>
      <c r="I231" s="63"/>
      <c r="J231" s="63"/>
      <c r="K231" s="64"/>
      <c r="L231" s="60"/>
      <c r="M231" s="51"/>
    </row>
    <row r="232" spans="2:13">
      <c r="B232" s="59"/>
      <c r="C232" s="65" t="s">
        <v>155</v>
      </c>
      <c r="D232" s="66" t="s">
        <v>156</v>
      </c>
      <c r="E232" s="63"/>
      <c r="F232" s="63"/>
      <c r="G232" s="63"/>
      <c r="H232" s="63"/>
      <c r="I232" s="63"/>
      <c r="J232" s="63"/>
      <c r="K232" s="64"/>
      <c r="L232" s="60"/>
      <c r="M232" s="51"/>
    </row>
    <row r="233" spans="2:13">
      <c r="B233" s="59"/>
      <c r="C233" s="65" t="s">
        <v>157</v>
      </c>
      <c r="D233" s="66" t="s">
        <v>187</v>
      </c>
      <c r="E233" s="63"/>
      <c r="F233" s="63"/>
      <c r="G233" s="63"/>
      <c r="H233" s="63"/>
      <c r="I233" s="63"/>
      <c r="J233" s="63"/>
      <c r="K233" s="64"/>
      <c r="L233" s="60"/>
      <c r="M233" s="51"/>
    </row>
    <row r="234" spans="2:13">
      <c r="B234" s="59"/>
      <c r="C234" s="65" t="s">
        <v>159</v>
      </c>
      <c r="D234" s="66" t="s">
        <v>188</v>
      </c>
      <c r="E234" s="63"/>
      <c r="F234" s="63"/>
      <c r="G234" s="63"/>
      <c r="H234" s="63"/>
      <c r="I234" s="63"/>
      <c r="J234" s="63"/>
      <c r="K234" s="64"/>
      <c r="L234" s="60"/>
      <c r="M234" s="51"/>
    </row>
    <row r="235" spans="2:13">
      <c r="B235" s="59"/>
      <c r="C235" s="30"/>
      <c r="D235" s="60"/>
      <c r="E235" s="60"/>
      <c r="F235" s="60"/>
      <c r="G235" s="60"/>
      <c r="H235" s="60"/>
      <c r="I235" s="60"/>
      <c r="J235" s="60"/>
      <c r="K235" s="60"/>
      <c r="L235" s="60"/>
      <c r="M235" s="51"/>
    </row>
    <row r="236" spans="2:13">
      <c r="B236" s="59"/>
      <c r="C236" s="30"/>
      <c r="D236" s="60"/>
      <c r="E236" s="60"/>
      <c r="F236" s="60"/>
      <c r="G236" s="60"/>
      <c r="H236" s="60"/>
      <c r="I236" s="60"/>
      <c r="J236" s="60"/>
      <c r="K236" s="60"/>
      <c r="L236" s="60"/>
      <c r="M236" s="51"/>
    </row>
    <row r="237" spans="2:13">
      <c r="B237" s="59"/>
      <c r="C237" s="30"/>
      <c r="D237" s="60"/>
      <c r="E237" s="60"/>
      <c r="F237" s="60"/>
      <c r="G237" s="60"/>
      <c r="H237" s="60"/>
      <c r="I237" s="60"/>
      <c r="J237" s="60"/>
      <c r="K237" s="60"/>
      <c r="L237" s="60"/>
      <c r="M237" s="51"/>
    </row>
    <row r="238" spans="2:13">
      <c r="B238" s="59"/>
      <c r="C238" s="30"/>
      <c r="D238" s="60"/>
      <c r="E238" s="60"/>
      <c r="F238" s="60"/>
      <c r="G238" s="60"/>
      <c r="H238" s="60"/>
      <c r="I238" s="60"/>
      <c r="J238" s="60"/>
      <c r="K238" s="60"/>
      <c r="L238" s="60"/>
      <c r="M238" s="51"/>
    </row>
    <row r="239" spans="2:13">
      <c r="B239" s="59"/>
      <c r="C239" s="70" t="s">
        <v>189</v>
      </c>
      <c r="D239" s="71" t="s">
        <v>190</v>
      </c>
      <c r="E239" s="71"/>
      <c r="F239" s="71"/>
      <c r="G239" s="71"/>
      <c r="H239" s="71"/>
      <c r="J239" s="71"/>
      <c r="K239" s="71"/>
      <c r="L239" s="71"/>
      <c r="M239" s="51"/>
    </row>
    <row r="240" spans="2:13">
      <c r="B240" s="59"/>
      <c r="C240" s="70"/>
      <c r="D240" s="71"/>
      <c r="E240" s="71"/>
      <c r="F240" s="71"/>
      <c r="G240" s="71"/>
      <c r="H240" s="71"/>
      <c r="J240" s="71"/>
      <c r="K240" s="71"/>
      <c r="L240" s="71"/>
      <c r="M240" s="51"/>
    </row>
    <row r="241" spans="2:13" ht="15.5" thickBot="1">
      <c r="B241" s="72"/>
      <c r="C241" s="73"/>
      <c r="D241" s="74"/>
      <c r="E241" s="74"/>
      <c r="F241" s="74"/>
      <c r="G241" s="74"/>
      <c r="H241" s="74"/>
      <c r="I241" s="74"/>
      <c r="J241" s="74"/>
      <c r="K241" s="74"/>
      <c r="L241" s="74"/>
      <c r="M241" s="75"/>
    </row>
    <row r="242" spans="2:13">
      <c r="B242" s="36">
        <v>2</v>
      </c>
      <c r="C242" s="37" t="s">
        <v>191</v>
      </c>
      <c r="D242" s="37"/>
      <c r="E242" s="37"/>
      <c r="F242" s="37"/>
      <c r="G242" s="37"/>
      <c r="H242" s="37"/>
      <c r="I242" s="37"/>
      <c r="J242" s="37"/>
      <c r="K242" s="37"/>
      <c r="L242" s="37"/>
      <c r="M242" s="38"/>
    </row>
    <row r="243" spans="2:13" ht="15.5" thickBot="1">
      <c r="B243" s="39" t="s">
        <v>192</v>
      </c>
      <c r="C243" s="40"/>
      <c r="D243" s="41"/>
      <c r="E243" s="41"/>
      <c r="F243" s="41"/>
      <c r="G243" s="41"/>
      <c r="H243" s="41"/>
      <c r="I243" s="41"/>
      <c r="J243" s="41"/>
      <c r="K243" s="41"/>
      <c r="L243" s="41"/>
      <c r="M243" s="42"/>
    </row>
    <row r="244" spans="2:13">
      <c r="B244" s="43"/>
      <c r="C244" s="44"/>
      <c r="D244" s="44"/>
      <c r="E244" s="44"/>
      <c r="F244" s="44"/>
      <c r="G244" s="44"/>
      <c r="H244" s="44"/>
      <c r="I244" s="44"/>
      <c r="J244" s="44"/>
      <c r="K244" s="44"/>
      <c r="L244" s="44"/>
      <c r="M244" s="45"/>
    </row>
    <row r="245" spans="2:13">
      <c r="B245" s="46"/>
      <c r="C245" s="47" t="s">
        <v>124</v>
      </c>
      <c r="D245" s="48" t="s">
        <v>125</v>
      </c>
      <c r="E245" s="49"/>
      <c r="F245" s="50"/>
      <c r="G245" s="50"/>
      <c r="H245" s="50"/>
      <c r="I245" s="50"/>
      <c r="J245" s="50"/>
      <c r="K245" s="50"/>
      <c r="L245" s="50"/>
      <c r="M245" s="51"/>
    </row>
    <row r="246" spans="2:13" s="52" customFormat="1" ht="13.5">
      <c r="B246" s="43"/>
      <c r="C246" s="53" t="s">
        <v>126</v>
      </c>
      <c r="D246" s="44"/>
      <c r="E246" s="44"/>
      <c r="F246" s="44"/>
      <c r="G246" s="44"/>
      <c r="H246" s="44"/>
      <c r="I246" s="44"/>
      <c r="J246" s="44"/>
      <c r="K246" s="44"/>
      <c r="L246" s="44"/>
      <c r="M246" s="45"/>
    </row>
    <row r="247" spans="2:13" s="52" customFormat="1" ht="13.5">
      <c r="B247" s="43"/>
      <c r="C247" s="54"/>
      <c r="D247" s="55"/>
      <c r="E247" s="56" t="s">
        <v>127</v>
      </c>
      <c r="F247" s="56" t="s">
        <v>128</v>
      </c>
      <c r="G247" s="57"/>
      <c r="H247" s="44"/>
      <c r="I247" s="44"/>
      <c r="J247" s="44"/>
      <c r="K247" s="44"/>
      <c r="L247" s="44"/>
      <c r="M247" s="45"/>
    </row>
    <row r="248" spans="2:13" s="52" customFormat="1" ht="13.5">
      <c r="B248" s="43"/>
      <c r="C248" s="54"/>
      <c r="D248" s="55"/>
      <c r="E248" s="56" t="s">
        <v>129</v>
      </c>
      <c r="F248" s="56" t="s">
        <v>130</v>
      </c>
      <c r="G248" s="57"/>
      <c r="H248" s="44"/>
      <c r="I248" s="44"/>
      <c r="J248" s="44"/>
      <c r="K248" s="44"/>
      <c r="L248" s="44"/>
      <c r="M248" s="45"/>
    </row>
    <row r="249" spans="2:13" s="52" customFormat="1" ht="13.5">
      <c r="B249" s="43"/>
      <c r="C249" s="55" t="s">
        <v>131</v>
      </c>
      <c r="D249" s="55"/>
      <c r="E249" s="56" t="s">
        <v>132</v>
      </c>
      <c r="F249" s="58" t="s">
        <v>193</v>
      </c>
      <c r="G249" s="57"/>
      <c r="H249" s="44"/>
      <c r="I249" s="44"/>
      <c r="J249" s="44"/>
      <c r="K249" s="44"/>
      <c r="L249" s="44"/>
      <c r="M249" s="45"/>
    </row>
    <row r="250" spans="2:13" s="52" customFormat="1" ht="13.5">
      <c r="B250" s="43"/>
      <c r="C250" s="55" t="s">
        <v>134</v>
      </c>
      <c r="D250" s="55"/>
      <c r="E250" s="56" t="s">
        <v>135</v>
      </c>
      <c r="F250" s="56" t="s">
        <v>136</v>
      </c>
      <c r="G250" s="57"/>
      <c r="H250" s="44"/>
      <c r="I250" s="44"/>
      <c r="J250" s="44"/>
      <c r="K250" s="44"/>
      <c r="L250" s="44"/>
      <c r="M250" s="45"/>
    </row>
    <row r="251" spans="2:13" s="52" customFormat="1" ht="13.5">
      <c r="B251" s="43"/>
      <c r="C251" s="55" t="s">
        <v>137</v>
      </c>
      <c r="D251" s="55"/>
      <c r="E251" s="56" t="s">
        <v>135</v>
      </c>
      <c r="F251" s="56" t="s">
        <v>138</v>
      </c>
      <c r="G251" s="57"/>
      <c r="H251" s="44"/>
      <c r="I251" s="44"/>
      <c r="J251" s="44"/>
      <c r="K251" s="44"/>
      <c r="L251" s="44"/>
      <c r="M251" s="45"/>
    </row>
    <row r="252" spans="2:13" s="52" customFormat="1" ht="13.5">
      <c r="B252" s="43"/>
      <c r="C252" s="55" t="s">
        <v>139</v>
      </c>
      <c r="D252" s="55"/>
      <c r="E252" s="56" t="s">
        <v>135</v>
      </c>
      <c r="F252" s="56" t="s">
        <v>138</v>
      </c>
      <c r="G252" s="57"/>
      <c r="H252" s="44"/>
      <c r="I252" s="44"/>
      <c r="J252" s="44"/>
      <c r="K252" s="44"/>
      <c r="L252" s="44"/>
      <c r="M252" s="45"/>
    </row>
    <row r="253" spans="2:13" s="52" customFormat="1" ht="13.5">
      <c r="B253" s="43"/>
      <c r="C253" s="55" t="s">
        <v>140</v>
      </c>
      <c r="D253" s="55"/>
      <c r="E253" s="56" t="s">
        <v>135</v>
      </c>
      <c r="F253" s="56" t="s">
        <v>141</v>
      </c>
      <c r="G253" s="57"/>
      <c r="H253" s="44"/>
      <c r="I253" s="44"/>
      <c r="J253" s="44"/>
      <c r="K253" s="44"/>
      <c r="L253" s="44"/>
      <c r="M253" s="45"/>
    </row>
    <row r="254" spans="2:13" s="52" customFormat="1" ht="13.5">
      <c r="B254" s="43"/>
      <c r="C254" s="55" t="s">
        <v>142</v>
      </c>
      <c r="D254" s="55"/>
      <c r="E254" s="56" t="s">
        <v>135</v>
      </c>
      <c r="F254" s="56" t="s">
        <v>143</v>
      </c>
      <c r="G254" s="57"/>
      <c r="H254" s="44"/>
      <c r="I254" s="44"/>
      <c r="J254" s="44"/>
      <c r="K254" s="44"/>
      <c r="L254" s="44"/>
      <c r="M254" s="45"/>
    </row>
    <row r="255" spans="2:13" s="52" customFormat="1" ht="13.5">
      <c r="B255" s="43"/>
      <c r="C255" s="55" t="s">
        <v>144</v>
      </c>
      <c r="D255" s="55"/>
      <c r="E255" s="56" t="s">
        <v>135</v>
      </c>
      <c r="F255" s="56" t="s">
        <v>145</v>
      </c>
      <c r="G255" s="57"/>
      <c r="H255" s="44"/>
      <c r="I255" s="44"/>
      <c r="J255" s="44"/>
      <c r="K255" s="44"/>
      <c r="L255" s="44"/>
      <c r="M255" s="45"/>
    </row>
    <row r="256" spans="2:13" s="52" customFormat="1" ht="13.5">
      <c r="B256" s="43"/>
      <c r="C256" s="55" t="s">
        <v>146</v>
      </c>
      <c r="D256" s="55"/>
      <c r="E256" s="56" t="s">
        <v>135</v>
      </c>
      <c r="F256" s="56" t="s">
        <v>147</v>
      </c>
      <c r="G256" s="57"/>
      <c r="H256" s="44"/>
      <c r="I256" s="44"/>
      <c r="J256" s="44"/>
      <c r="K256" s="44"/>
      <c r="L256" s="44"/>
      <c r="M256" s="45"/>
    </row>
    <row r="257" spans="2:13" s="52" customFormat="1" ht="13.5">
      <c r="B257" s="43"/>
      <c r="C257" s="55" t="s">
        <v>148</v>
      </c>
      <c r="D257" s="55"/>
      <c r="E257" s="56" t="s">
        <v>135</v>
      </c>
      <c r="F257" s="56" t="s">
        <v>149</v>
      </c>
      <c r="G257" s="57"/>
      <c r="H257" s="44"/>
      <c r="I257" s="44"/>
      <c r="J257" s="44"/>
      <c r="K257" s="44"/>
      <c r="L257" s="44"/>
      <c r="M257" s="45"/>
    </row>
    <row r="258" spans="2:13" s="52" customFormat="1" ht="13.5">
      <c r="B258" s="43"/>
      <c r="C258" s="55" t="s">
        <v>150</v>
      </c>
      <c r="D258" s="55"/>
      <c r="E258" s="56" t="s">
        <v>135</v>
      </c>
      <c r="F258" s="56" t="s">
        <v>151</v>
      </c>
      <c r="G258" s="57"/>
      <c r="H258" s="44"/>
      <c r="I258" s="44"/>
      <c r="J258" s="44"/>
      <c r="K258" s="44"/>
      <c r="L258" s="44"/>
      <c r="M258" s="45"/>
    </row>
    <row r="259" spans="2:13" s="52" customFormat="1" ht="13.5">
      <c r="B259" s="43"/>
      <c r="C259" s="55"/>
      <c r="D259" s="55"/>
      <c r="E259" s="56" t="s">
        <v>152</v>
      </c>
      <c r="F259" s="56"/>
      <c r="G259" s="57"/>
      <c r="H259" s="44"/>
      <c r="I259" s="44"/>
      <c r="J259" s="44"/>
      <c r="K259" s="44"/>
      <c r="L259" s="44"/>
      <c r="M259" s="45"/>
    </row>
    <row r="260" spans="2:13" s="52" customFormat="1" ht="13.5">
      <c r="B260" s="43"/>
      <c r="C260" s="44"/>
      <c r="D260" s="44"/>
      <c r="E260" s="44"/>
      <c r="F260" s="44"/>
      <c r="G260" s="44"/>
      <c r="H260" s="44"/>
      <c r="I260" s="44"/>
      <c r="J260" s="44"/>
      <c r="K260" s="44"/>
      <c r="L260" s="44"/>
      <c r="M260" s="45"/>
    </row>
    <row r="261" spans="2:13">
      <c r="B261" s="59"/>
      <c r="C261" s="53" t="s">
        <v>153</v>
      </c>
      <c r="D261" s="60"/>
      <c r="E261" s="60"/>
      <c r="F261" s="60"/>
      <c r="G261" s="60"/>
      <c r="H261" s="60"/>
      <c r="I261" s="60"/>
      <c r="J261" s="60"/>
      <c r="K261" s="60"/>
      <c r="L261" s="60"/>
      <c r="M261" s="51"/>
    </row>
    <row r="262" spans="2:13">
      <c r="B262" s="59"/>
      <c r="C262" s="61" t="s">
        <v>154</v>
      </c>
      <c r="D262" s="62">
        <v>-2</v>
      </c>
      <c r="E262" s="63"/>
      <c r="F262" s="63"/>
      <c r="G262" s="63"/>
      <c r="H262" s="63"/>
      <c r="I262" s="63"/>
      <c r="J262" s="63"/>
      <c r="K262" s="64"/>
      <c r="L262" s="60"/>
      <c r="M262" s="51"/>
    </row>
    <row r="263" spans="2:13">
      <c r="B263" s="59"/>
      <c r="C263" s="65" t="s">
        <v>155</v>
      </c>
      <c r="D263" s="66" t="s">
        <v>156</v>
      </c>
      <c r="E263" s="63"/>
      <c r="F263" s="63"/>
      <c r="G263" s="63"/>
      <c r="H263" s="63"/>
      <c r="I263" s="63"/>
      <c r="J263" s="63"/>
      <c r="K263" s="64"/>
      <c r="L263" s="60"/>
      <c r="M263" s="51"/>
    </row>
    <row r="264" spans="2:13">
      <c r="B264" s="59"/>
      <c r="C264" s="65" t="s">
        <v>157</v>
      </c>
      <c r="D264" s="66" t="s">
        <v>158</v>
      </c>
      <c r="E264" s="63"/>
      <c r="F264" s="63"/>
      <c r="G264" s="63"/>
      <c r="H264" s="63"/>
      <c r="I264" s="63"/>
      <c r="J264" s="63"/>
      <c r="K264" s="64"/>
      <c r="L264" s="60"/>
      <c r="M264" s="51"/>
    </row>
    <row r="265" spans="2:13">
      <c r="B265" s="59"/>
      <c r="C265" s="65" t="s">
        <v>159</v>
      </c>
      <c r="D265" s="66" t="s">
        <v>194</v>
      </c>
      <c r="E265" s="63"/>
      <c r="F265" s="63"/>
      <c r="G265" s="63"/>
      <c r="H265" s="63"/>
      <c r="I265" s="63"/>
      <c r="J265" s="63"/>
      <c r="K265" s="64"/>
      <c r="L265" s="60"/>
      <c r="M265" s="51"/>
    </row>
    <row r="266" spans="2:13">
      <c r="B266" s="59"/>
      <c r="C266" s="67"/>
      <c r="D266" s="68"/>
      <c r="E266" s="60"/>
      <c r="F266" s="60"/>
      <c r="G266" s="60"/>
      <c r="H266" s="60"/>
      <c r="I266" s="60"/>
      <c r="J266" s="60"/>
      <c r="K266" s="60"/>
      <c r="L266" s="60"/>
      <c r="M266" s="51"/>
    </row>
    <row r="267" spans="2:13">
      <c r="B267" s="59"/>
      <c r="C267" s="30"/>
      <c r="D267" s="60"/>
      <c r="E267" s="60"/>
      <c r="F267" s="60"/>
      <c r="G267" s="60"/>
      <c r="H267" s="60"/>
      <c r="I267" s="60"/>
      <c r="J267" s="60"/>
      <c r="K267" s="60"/>
      <c r="L267" s="60"/>
      <c r="M267" s="51"/>
    </row>
    <row r="268" spans="2:13">
      <c r="B268" s="46"/>
      <c r="C268" s="47" t="s">
        <v>124</v>
      </c>
      <c r="D268" s="48" t="s">
        <v>161</v>
      </c>
      <c r="E268" s="49"/>
      <c r="F268" s="50"/>
      <c r="G268" s="50"/>
      <c r="H268" s="50"/>
      <c r="I268" s="50"/>
      <c r="J268" s="50"/>
      <c r="K268" s="50"/>
      <c r="L268" s="50"/>
      <c r="M268" s="51"/>
    </row>
    <row r="269" spans="2:13" s="52" customFormat="1" ht="13.5">
      <c r="B269" s="43"/>
      <c r="C269" s="53" t="s">
        <v>126</v>
      </c>
      <c r="D269" s="44"/>
      <c r="E269" s="44"/>
      <c r="F269" s="44"/>
      <c r="G269" s="44"/>
      <c r="H269" s="44"/>
      <c r="I269" s="44"/>
      <c r="J269" s="44"/>
      <c r="K269" s="44"/>
      <c r="L269" s="44"/>
      <c r="M269" s="45"/>
    </row>
    <row r="270" spans="2:13" s="52" customFormat="1" ht="13.5">
      <c r="B270" s="43"/>
      <c r="C270" s="54"/>
      <c r="D270" s="55"/>
      <c r="E270" s="56" t="s">
        <v>127</v>
      </c>
      <c r="F270" s="56" t="s">
        <v>128</v>
      </c>
      <c r="G270" s="57"/>
      <c r="H270" s="44"/>
      <c r="I270" s="44"/>
      <c r="J270" s="44"/>
      <c r="K270" s="44"/>
      <c r="L270" s="44"/>
      <c r="M270" s="45"/>
    </row>
    <row r="271" spans="2:13" s="52" customFormat="1" ht="13.5">
      <c r="B271" s="43"/>
      <c r="C271" s="54"/>
      <c r="D271" s="55"/>
      <c r="E271" s="56" t="s">
        <v>129</v>
      </c>
      <c r="F271" s="56" t="s">
        <v>130</v>
      </c>
      <c r="G271" s="57"/>
      <c r="H271" s="44"/>
      <c r="I271" s="44"/>
      <c r="J271" s="44"/>
      <c r="K271" s="44"/>
      <c r="L271" s="44"/>
      <c r="M271" s="45"/>
    </row>
    <row r="272" spans="2:13" s="52" customFormat="1" ht="13.5">
      <c r="B272" s="43"/>
      <c r="C272" s="55" t="s">
        <v>131</v>
      </c>
      <c r="D272" s="55"/>
      <c r="E272" s="56" t="s">
        <v>132</v>
      </c>
      <c r="F272" s="56" t="s">
        <v>162</v>
      </c>
      <c r="G272" s="57"/>
      <c r="H272" s="44"/>
      <c r="I272" s="44"/>
      <c r="J272" s="44"/>
      <c r="K272" s="44"/>
      <c r="L272" s="44"/>
      <c r="M272" s="45"/>
    </row>
    <row r="273" spans="2:13" s="52" customFormat="1" ht="13.5">
      <c r="B273" s="43"/>
      <c r="C273" s="55" t="s">
        <v>134</v>
      </c>
      <c r="D273" s="55"/>
      <c r="E273" s="56" t="s">
        <v>135</v>
      </c>
      <c r="F273" s="58" t="s">
        <v>193</v>
      </c>
      <c r="G273" s="57"/>
      <c r="H273" s="44"/>
      <c r="I273" s="44"/>
      <c r="J273" s="44"/>
      <c r="K273" s="44"/>
      <c r="L273" s="44"/>
      <c r="M273" s="45"/>
    </row>
    <row r="274" spans="2:13" s="52" customFormat="1" ht="13.5">
      <c r="B274" s="43"/>
      <c r="C274" s="55" t="s">
        <v>137</v>
      </c>
      <c r="D274" s="55"/>
      <c r="E274" s="56" t="s">
        <v>135</v>
      </c>
      <c r="F274" s="56" t="s">
        <v>138</v>
      </c>
      <c r="G274" s="57"/>
      <c r="H274" s="44"/>
      <c r="I274" s="44"/>
      <c r="J274" s="44"/>
      <c r="K274" s="44"/>
      <c r="L274" s="44"/>
      <c r="M274" s="45"/>
    </row>
    <row r="275" spans="2:13" s="52" customFormat="1" ht="13.5">
      <c r="B275" s="43"/>
      <c r="C275" s="55" t="s">
        <v>139</v>
      </c>
      <c r="D275" s="55"/>
      <c r="E275" s="56" t="s">
        <v>135</v>
      </c>
      <c r="F275" s="56" t="s">
        <v>138</v>
      </c>
      <c r="G275" s="57"/>
      <c r="H275" s="44"/>
      <c r="I275" s="44"/>
      <c r="J275" s="44"/>
      <c r="K275" s="44"/>
      <c r="L275" s="44"/>
      <c r="M275" s="45"/>
    </row>
    <row r="276" spans="2:13" s="52" customFormat="1" ht="13.5">
      <c r="B276" s="43"/>
      <c r="C276" s="55" t="s">
        <v>140</v>
      </c>
      <c r="D276" s="55"/>
      <c r="E276" s="56" t="s">
        <v>135</v>
      </c>
      <c r="F276" s="56" t="s">
        <v>141</v>
      </c>
      <c r="G276" s="57"/>
      <c r="H276" s="44"/>
      <c r="I276" s="44"/>
      <c r="J276" s="44"/>
      <c r="K276" s="44"/>
      <c r="L276" s="44"/>
      <c r="M276" s="45"/>
    </row>
    <row r="277" spans="2:13" s="52" customFormat="1" ht="13.5">
      <c r="B277" s="43"/>
      <c r="C277" s="55" t="s">
        <v>142</v>
      </c>
      <c r="D277" s="55"/>
      <c r="E277" s="56" t="s">
        <v>135</v>
      </c>
      <c r="F277" s="56" t="s">
        <v>143</v>
      </c>
      <c r="G277" s="57"/>
      <c r="H277" s="44"/>
      <c r="I277" s="44"/>
      <c r="J277" s="44"/>
      <c r="K277" s="44"/>
      <c r="L277" s="44"/>
      <c r="M277" s="45"/>
    </row>
    <row r="278" spans="2:13" s="52" customFormat="1" ht="13.5">
      <c r="B278" s="43"/>
      <c r="C278" s="55" t="s">
        <v>144</v>
      </c>
      <c r="D278" s="55"/>
      <c r="E278" s="56" t="s">
        <v>135</v>
      </c>
      <c r="F278" s="56" t="s">
        <v>145</v>
      </c>
      <c r="G278" s="57"/>
      <c r="H278" s="44"/>
      <c r="I278" s="44"/>
      <c r="J278" s="44"/>
      <c r="K278" s="44"/>
      <c r="L278" s="44"/>
      <c r="M278" s="45"/>
    </row>
    <row r="279" spans="2:13" s="52" customFormat="1" ht="13.5">
      <c r="B279" s="43"/>
      <c r="C279" s="55" t="s">
        <v>146</v>
      </c>
      <c r="D279" s="55"/>
      <c r="E279" s="56" t="s">
        <v>135</v>
      </c>
      <c r="F279" s="56" t="s">
        <v>147</v>
      </c>
      <c r="G279" s="57"/>
      <c r="H279" s="44"/>
      <c r="I279" s="44"/>
      <c r="J279" s="44"/>
      <c r="K279" s="44"/>
      <c r="L279" s="44"/>
      <c r="M279" s="45"/>
    </row>
    <row r="280" spans="2:13" s="52" customFormat="1" ht="13.5">
      <c r="B280" s="43"/>
      <c r="C280" s="55" t="s">
        <v>148</v>
      </c>
      <c r="D280" s="55"/>
      <c r="E280" s="56" t="s">
        <v>135</v>
      </c>
      <c r="F280" s="56" t="s">
        <v>149</v>
      </c>
      <c r="G280" s="57"/>
      <c r="H280" s="44"/>
      <c r="I280" s="44"/>
      <c r="J280" s="44"/>
      <c r="K280" s="44"/>
      <c r="L280" s="44"/>
      <c r="M280" s="45"/>
    </row>
    <row r="281" spans="2:13" s="52" customFormat="1" ht="13.5">
      <c r="B281" s="43"/>
      <c r="C281" s="55" t="s">
        <v>150</v>
      </c>
      <c r="D281" s="55"/>
      <c r="E281" s="56" t="s">
        <v>135</v>
      </c>
      <c r="F281" s="56" t="s">
        <v>151</v>
      </c>
      <c r="G281" s="57"/>
      <c r="H281" s="44"/>
      <c r="I281" s="44"/>
      <c r="J281" s="44"/>
      <c r="K281" s="44"/>
      <c r="L281" s="44"/>
      <c r="M281" s="45"/>
    </row>
    <row r="282" spans="2:13" s="52" customFormat="1" ht="13.5">
      <c r="B282" s="43"/>
      <c r="C282" s="55"/>
      <c r="D282" s="55"/>
      <c r="E282" s="56" t="s">
        <v>152</v>
      </c>
      <c r="F282" s="56"/>
      <c r="G282" s="57"/>
      <c r="H282" s="44"/>
      <c r="I282" s="44"/>
      <c r="J282" s="44"/>
      <c r="K282" s="44"/>
      <c r="L282" s="44"/>
      <c r="M282" s="45"/>
    </row>
    <row r="283" spans="2:13" s="52" customFormat="1" ht="13.5">
      <c r="B283" s="43"/>
      <c r="C283" s="44"/>
      <c r="D283" s="44"/>
      <c r="E283" s="44"/>
      <c r="F283" s="44"/>
      <c r="G283" s="44"/>
      <c r="H283" s="44"/>
      <c r="I283" s="44"/>
      <c r="J283" s="44"/>
      <c r="K283" s="44"/>
      <c r="L283" s="44"/>
      <c r="M283" s="45"/>
    </row>
    <row r="284" spans="2:13">
      <c r="B284" s="59"/>
      <c r="C284" s="53" t="s">
        <v>153</v>
      </c>
      <c r="D284" s="60"/>
      <c r="E284" s="60"/>
      <c r="F284" s="60"/>
      <c r="G284" s="60"/>
      <c r="H284" s="60"/>
      <c r="I284" s="60"/>
      <c r="J284" s="60"/>
      <c r="K284" s="60"/>
      <c r="L284" s="60"/>
      <c r="M284" s="51"/>
    </row>
    <row r="285" spans="2:13">
      <c r="B285" s="59"/>
      <c r="C285" s="61" t="s">
        <v>154</v>
      </c>
      <c r="D285" s="62">
        <v>-2</v>
      </c>
      <c r="E285" s="63" t="s">
        <v>157</v>
      </c>
      <c r="F285" s="63" t="s">
        <v>159</v>
      </c>
      <c r="G285" s="63"/>
      <c r="H285" s="63"/>
      <c r="I285" s="63"/>
      <c r="J285" s="63"/>
      <c r="K285" s="64"/>
      <c r="L285" s="60"/>
      <c r="M285" s="51"/>
    </row>
    <row r="286" spans="2:13">
      <c r="B286" s="59"/>
      <c r="C286" s="65" t="s">
        <v>155</v>
      </c>
      <c r="D286" s="66" t="s">
        <v>156</v>
      </c>
      <c r="E286" s="63" t="s">
        <v>163</v>
      </c>
      <c r="F286" s="63" t="s">
        <v>195</v>
      </c>
      <c r="G286" s="63"/>
      <c r="H286" s="63"/>
      <c r="I286" s="63"/>
      <c r="J286" s="63"/>
      <c r="K286" s="64"/>
      <c r="L286" s="60"/>
      <c r="M286" s="51"/>
    </row>
    <row r="287" spans="2:13">
      <c r="B287" s="59"/>
      <c r="C287" s="65" t="s">
        <v>157</v>
      </c>
      <c r="D287" s="66" t="s">
        <v>163</v>
      </c>
      <c r="E287" s="63"/>
      <c r="F287" s="63"/>
      <c r="G287" s="63"/>
      <c r="H287" s="63"/>
      <c r="I287" s="63"/>
      <c r="J287" s="63"/>
      <c r="K287" s="64"/>
      <c r="L287" s="60"/>
      <c r="M287" s="51"/>
    </row>
    <row r="288" spans="2:13">
      <c r="B288" s="59"/>
      <c r="C288" s="65" t="s">
        <v>159</v>
      </c>
      <c r="D288" s="66" t="s">
        <v>195</v>
      </c>
      <c r="E288" s="63"/>
      <c r="F288" s="63"/>
      <c r="G288" s="63"/>
      <c r="H288" s="63"/>
      <c r="I288" s="63"/>
      <c r="J288" s="63"/>
      <c r="K288" s="64"/>
      <c r="L288" s="60"/>
      <c r="M288" s="51"/>
    </row>
    <row r="289" spans="2:13">
      <c r="B289" s="59"/>
      <c r="C289" s="30"/>
      <c r="D289" s="60"/>
      <c r="E289" s="60"/>
      <c r="F289" s="60"/>
      <c r="G289" s="60"/>
      <c r="H289" s="60"/>
      <c r="I289" s="60"/>
      <c r="J289" s="60"/>
      <c r="K289" s="60"/>
      <c r="L289" s="60"/>
      <c r="M289" s="51"/>
    </row>
    <row r="290" spans="2:13">
      <c r="B290" s="59"/>
      <c r="C290" s="30"/>
      <c r="D290" s="60"/>
      <c r="E290" s="60"/>
      <c r="F290" s="60"/>
      <c r="G290" s="60"/>
      <c r="H290" s="60"/>
      <c r="I290" s="60"/>
      <c r="J290" s="60"/>
      <c r="K290" s="60"/>
      <c r="L290" s="60"/>
      <c r="M290" s="51"/>
    </row>
    <row r="291" spans="2:13">
      <c r="B291" s="46"/>
      <c r="C291" s="47" t="s">
        <v>124</v>
      </c>
      <c r="D291" s="48" t="s">
        <v>165</v>
      </c>
      <c r="E291" s="49"/>
      <c r="F291" s="50"/>
      <c r="G291" s="50"/>
      <c r="H291" s="50"/>
      <c r="I291" s="50"/>
      <c r="J291" s="50"/>
      <c r="K291" s="50"/>
      <c r="L291" s="50"/>
      <c r="M291" s="51"/>
    </row>
    <row r="292" spans="2:13" s="52" customFormat="1" ht="13.5">
      <c r="B292" s="43"/>
      <c r="C292" s="53" t="s">
        <v>126</v>
      </c>
      <c r="D292" s="44"/>
      <c r="E292" s="44"/>
      <c r="F292" s="44"/>
      <c r="G292" s="44"/>
      <c r="H292" s="44"/>
      <c r="I292" s="44"/>
      <c r="J292" s="44"/>
      <c r="K292" s="44"/>
      <c r="L292" s="44"/>
      <c r="M292" s="45"/>
    </row>
    <row r="293" spans="2:13" s="52" customFormat="1" ht="13.5">
      <c r="B293" s="43"/>
      <c r="C293" s="54"/>
      <c r="D293" s="55"/>
      <c r="E293" s="56" t="s">
        <v>127</v>
      </c>
      <c r="F293" s="56" t="s">
        <v>128</v>
      </c>
      <c r="G293" s="57"/>
      <c r="H293" s="44"/>
      <c r="I293" s="44"/>
      <c r="J293" s="44"/>
      <c r="K293" s="44"/>
      <c r="L293" s="44"/>
      <c r="M293" s="45"/>
    </row>
    <row r="294" spans="2:13" s="52" customFormat="1" ht="13.5">
      <c r="B294" s="43"/>
      <c r="C294" s="54"/>
      <c r="D294" s="55"/>
      <c r="E294" s="56" t="s">
        <v>129</v>
      </c>
      <c r="F294" s="56" t="s">
        <v>130</v>
      </c>
      <c r="G294" s="57"/>
      <c r="H294" s="44"/>
      <c r="I294" s="44"/>
      <c r="J294" s="44"/>
      <c r="K294" s="44"/>
      <c r="L294" s="44"/>
      <c r="M294" s="45"/>
    </row>
    <row r="295" spans="2:13" s="52" customFormat="1" ht="13.5">
      <c r="B295" s="43"/>
      <c r="C295" s="55" t="s">
        <v>131</v>
      </c>
      <c r="D295" s="55"/>
      <c r="E295" s="56" t="s">
        <v>132</v>
      </c>
      <c r="F295" s="56" t="s">
        <v>162</v>
      </c>
      <c r="G295" s="57"/>
      <c r="H295" s="44"/>
      <c r="I295" s="44"/>
      <c r="J295" s="44"/>
      <c r="K295" s="44"/>
      <c r="L295" s="44"/>
      <c r="M295" s="45"/>
    </row>
    <row r="296" spans="2:13" s="52" customFormat="1" ht="13.5">
      <c r="B296" s="43"/>
      <c r="C296" s="55" t="s">
        <v>134</v>
      </c>
      <c r="D296" s="55"/>
      <c r="E296" s="56" t="s">
        <v>135</v>
      </c>
      <c r="F296" s="56" t="s">
        <v>136</v>
      </c>
      <c r="G296" s="57"/>
      <c r="H296" s="44"/>
      <c r="I296" s="44"/>
      <c r="J296" s="44"/>
      <c r="K296" s="44"/>
      <c r="L296" s="44"/>
      <c r="M296" s="45"/>
    </row>
    <row r="297" spans="2:13" s="52" customFormat="1" ht="13.5">
      <c r="B297" s="43"/>
      <c r="C297" s="55" t="s">
        <v>137</v>
      </c>
      <c r="D297" s="55"/>
      <c r="E297" s="56" t="s">
        <v>135</v>
      </c>
      <c r="F297" s="58" t="s">
        <v>193</v>
      </c>
      <c r="G297" s="57"/>
      <c r="H297" s="44"/>
      <c r="I297" s="44"/>
      <c r="J297" s="44"/>
      <c r="K297" s="44"/>
      <c r="L297" s="44"/>
      <c r="M297" s="45"/>
    </row>
    <row r="298" spans="2:13" s="52" customFormat="1" ht="13.5">
      <c r="B298" s="43"/>
      <c r="C298" s="55" t="s">
        <v>139</v>
      </c>
      <c r="D298" s="55"/>
      <c r="E298" s="56" t="s">
        <v>135</v>
      </c>
      <c r="F298" s="56" t="s">
        <v>138</v>
      </c>
      <c r="G298" s="57"/>
      <c r="H298" s="44"/>
      <c r="I298" s="44"/>
      <c r="J298" s="44"/>
      <c r="K298" s="44"/>
      <c r="L298" s="44"/>
      <c r="M298" s="45"/>
    </row>
    <row r="299" spans="2:13" s="52" customFormat="1" ht="13.5">
      <c r="B299" s="43"/>
      <c r="C299" s="55" t="s">
        <v>140</v>
      </c>
      <c r="D299" s="55"/>
      <c r="E299" s="56" t="s">
        <v>135</v>
      </c>
      <c r="F299" s="56" t="s">
        <v>141</v>
      </c>
      <c r="G299" s="57"/>
      <c r="H299" s="44"/>
      <c r="I299" s="44"/>
      <c r="J299" s="44"/>
      <c r="K299" s="44"/>
      <c r="L299" s="44"/>
      <c r="M299" s="45"/>
    </row>
    <row r="300" spans="2:13" s="52" customFormat="1" ht="13.5">
      <c r="B300" s="43"/>
      <c r="C300" s="55" t="s">
        <v>142</v>
      </c>
      <c r="D300" s="55"/>
      <c r="E300" s="56" t="s">
        <v>135</v>
      </c>
      <c r="F300" s="56" t="s">
        <v>143</v>
      </c>
      <c r="G300" s="57"/>
      <c r="H300" s="44"/>
      <c r="I300" s="44"/>
      <c r="J300" s="44"/>
      <c r="K300" s="44"/>
      <c r="L300" s="44"/>
      <c r="M300" s="45"/>
    </row>
    <row r="301" spans="2:13" s="52" customFormat="1" ht="13.5">
      <c r="B301" s="43"/>
      <c r="C301" s="55" t="s">
        <v>144</v>
      </c>
      <c r="D301" s="55"/>
      <c r="E301" s="56" t="s">
        <v>135</v>
      </c>
      <c r="F301" s="56" t="s">
        <v>145</v>
      </c>
      <c r="G301" s="57"/>
      <c r="H301" s="44"/>
      <c r="I301" s="44"/>
      <c r="J301" s="44"/>
      <c r="K301" s="44"/>
      <c r="L301" s="44"/>
      <c r="M301" s="45"/>
    </row>
    <row r="302" spans="2:13" s="52" customFormat="1" ht="13.5">
      <c r="B302" s="43"/>
      <c r="C302" s="55" t="s">
        <v>146</v>
      </c>
      <c r="D302" s="55"/>
      <c r="E302" s="56" t="s">
        <v>135</v>
      </c>
      <c r="F302" s="56" t="s">
        <v>147</v>
      </c>
      <c r="G302" s="57"/>
      <c r="H302" s="44"/>
      <c r="I302" s="44"/>
      <c r="J302" s="44"/>
      <c r="K302" s="44"/>
      <c r="L302" s="44"/>
      <c r="M302" s="45"/>
    </row>
    <row r="303" spans="2:13" s="52" customFormat="1" ht="13.5">
      <c r="B303" s="43"/>
      <c r="C303" s="55" t="s">
        <v>148</v>
      </c>
      <c r="D303" s="55"/>
      <c r="E303" s="56" t="s">
        <v>135</v>
      </c>
      <c r="F303" s="56" t="s">
        <v>149</v>
      </c>
      <c r="G303" s="57"/>
      <c r="H303" s="44"/>
      <c r="I303" s="44"/>
      <c r="J303" s="44"/>
      <c r="K303" s="44"/>
      <c r="L303" s="44"/>
      <c r="M303" s="45"/>
    </row>
    <row r="304" spans="2:13" s="52" customFormat="1" ht="13.5">
      <c r="B304" s="43"/>
      <c r="C304" s="55" t="s">
        <v>150</v>
      </c>
      <c r="D304" s="55"/>
      <c r="E304" s="56" t="s">
        <v>135</v>
      </c>
      <c r="F304" s="56" t="s">
        <v>151</v>
      </c>
      <c r="G304" s="57"/>
      <c r="H304" s="44"/>
      <c r="I304" s="44"/>
      <c r="J304" s="44"/>
      <c r="K304" s="44"/>
      <c r="L304" s="44"/>
      <c r="M304" s="45"/>
    </row>
    <row r="305" spans="2:13" s="52" customFormat="1" ht="13.5">
      <c r="B305" s="43"/>
      <c r="C305" s="55"/>
      <c r="D305" s="55"/>
      <c r="E305" s="56" t="s">
        <v>152</v>
      </c>
      <c r="F305" s="56"/>
      <c r="G305" s="57"/>
      <c r="H305" s="44"/>
      <c r="I305" s="44"/>
      <c r="J305" s="44"/>
      <c r="K305" s="44"/>
      <c r="L305" s="44"/>
      <c r="M305" s="45"/>
    </row>
    <row r="306" spans="2:13" s="52" customFormat="1" ht="13.5">
      <c r="B306" s="43"/>
      <c r="C306" s="44"/>
      <c r="D306" s="44"/>
      <c r="E306" s="44"/>
      <c r="F306" s="44"/>
      <c r="G306" s="44"/>
      <c r="H306" s="44"/>
      <c r="I306" s="44"/>
      <c r="J306" s="44"/>
      <c r="K306" s="44"/>
      <c r="L306" s="44"/>
      <c r="M306" s="45"/>
    </row>
    <row r="307" spans="2:13">
      <c r="B307" s="59"/>
      <c r="C307" s="53" t="s">
        <v>153</v>
      </c>
      <c r="D307" s="60"/>
      <c r="E307" s="60"/>
      <c r="F307" s="60"/>
      <c r="G307" s="60"/>
      <c r="H307" s="60"/>
      <c r="I307" s="60"/>
      <c r="J307" s="60"/>
      <c r="K307" s="60"/>
      <c r="L307" s="60"/>
      <c r="M307" s="51"/>
    </row>
    <row r="308" spans="2:13">
      <c r="B308" s="59"/>
      <c r="C308" s="61" t="s">
        <v>154</v>
      </c>
      <c r="D308" s="62">
        <v>-2</v>
      </c>
      <c r="E308" s="63"/>
      <c r="F308" s="63"/>
      <c r="G308" s="63"/>
      <c r="H308" s="63"/>
      <c r="I308" s="63"/>
      <c r="J308" s="63"/>
      <c r="K308" s="64"/>
      <c r="L308" s="60"/>
      <c r="M308" s="51"/>
    </row>
    <row r="309" spans="2:13">
      <c r="B309" s="59"/>
      <c r="C309" s="65" t="s">
        <v>155</v>
      </c>
      <c r="D309" s="66" t="s">
        <v>156</v>
      </c>
      <c r="E309" s="63"/>
      <c r="F309" s="63"/>
      <c r="G309" s="63"/>
      <c r="H309" s="63"/>
      <c r="I309" s="63"/>
      <c r="J309" s="63"/>
      <c r="K309" s="64"/>
      <c r="L309" s="60"/>
      <c r="M309" s="51"/>
    </row>
    <row r="310" spans="2:13">
      <c r="B310" s="59"/>
      <c r="C310" s="65" t="s">
        <v>157</v>
      </c>
      <c r="D310" s="66" t="s">
        <v>166</v>
      </c>
      <c r="E310" s="63"/>
      <c r="F310" s="63"/>
      <c r="G310" s="63"/>
      <c r="H310" s="63"/>
      <c r="I310" s="63"/>
      <c r="J310" s="63"/>
      <c r="K310" s="64"/>
      <c r="L310" s="60"/>
      <c r="M310" s="51"/>
    </row>
    <row r="311" spans="2:13">
      <c r="B311" s="59"/>
      <c r="C311" s="65" t="s">
        <v>159</v>
      </c>
      <c r="D311" s="66" t="s">
        <v>196</v>
      </c>
      <c r="E311" s="63"/>
      <c r="F311" s="63"/>
      <c r="G311" s="63"/>
      <c r="H311" s="63"/>
      <c r="I311" s="63"/>
      <c r="J311" s="63"/>
      <c r="K311" s="64"/>
      <c r="L311" s="60"/>
      <c r="M311" s="51"/>
    </row>
    <row r="312" spans="2:13">
      <c r="B312" s="59"/>
      <c r="C312" s="30"/>
      <c r="D312" s="60"/>
      <c r="E312" s="60"/>
      <c r="F312" s="60"/>
      <c r="G312" s="60"/>
      <c r="H312" s="60"/>
      <c r="I312" s="60"/>
      <c r="J312" s="60"/>
      <c r="K312" s="60"/>
      <c r="L312" s="60"/>
      <c r="M312" s="51"/>
    </row>
    <row r="313" spans="2:13">
      <c r="B313" s="59"/>
      <c r="C313" s="30"/>
      <c r="D313" s="60"/>
      <c r="E313" s="60"/>
      <c r="F313" s="60"/>
      <c r="G313" s="60"/>
      <c r="H313" s="60"/>
      <c r="I313" s="60"/>
      <c r="J313" s="60"/>
      <c r="K313" s="60"/>
      <c r="L313" s="60"/>
      <c r="M313" s="51"/>
    </row>
    <row r="314" spans="2:13">
      <c r="B314" s="46"/>
      <c r="C314" s="47" t="s">
        <v>124</v>
      </c>
      <c r="D314" s="48" t="s">
        <v>168</v>
      </c>
      <c r="E314" s="49"/>
      <c r="F314" s="50"/>
      <c r="G314" s="50"/>
      <c r="H314" s="50"/>
      <c r="I314" s="50"/>
      <c r="J314" s="50"/>
      <c r="K314" s="50"/>
      <c r="L314" s="50"/>
      <c r="M314" s="51"/>
    </row>
    <row r="315" spans="2:13" s="52" customFormat="1" ht="13.5">
      <c r="B315" s="43"/>
      <c r="C315" s="53" t="s">
        <v>126</v>
      </c>
      <c r="D315" s="44"/>
      <c r="E315" s="44"/>
      <c r="F315" s="44"/>
      <c r="G315" s="44"/>
      <c r="H315" s="44"/>
      <c r="I315" s="44"/>
      <c r="J315" s="44"/>
      <c r="K315" s="44"/>
      <c r="L315" s="44"/>
      <c r="M315" s="45"/>
    </row>
    <row r="316" spans="2:13" s="52" customFormat="1" ht="13.5">
      <c r="B316" s="43"/>
      <c r="C316" s="54"/>
      <c r="D316" s="55"/>
      <c r="E316" s="56" t="s">
        <v>127</v>
      </c>
      <c r="F316" s="56" t="s">
        <v>128</v>
      </c>
      <c r="G316" s="57"/>
      <c r="H316" s="44"/>
      <c r="I316" s="44"/>
      <c r="J316" s="44"/>
      <c r="K316" s="44"/>
      <c r="L316" s="44"/>
      <c r="M316" s="45"/>
    </row>
    <row r="317" spans="2:13" s="52" customFormat="1" ht="13.5">
      <c r="B317" s="43"/>
      <c r="C317" s="54"/>
      <c r="D317" s="55"/>
      <c r="E317" s="56" t="s">
        <v>129</v>
      </c>
      <c r="F317" s="56" t="s">
        <v>130</v>
      </c>
      <c r="G317" s="57"/>
      <c r="H317" s="44"/>
      <c r="I317" s="44"/>
      <c r="J317" s="44"/>
      <c r="K317" s="44"/>
      <c r="L317" s="44"/>
      <c r="M317" s="45"/>
    </row>
    <row r="318" spans="2:13" s="52" customFormat="1" ht="13.5">
      <c r="B318" s="43"/>
      <c r="C318" s="55" t="s">
        <v>131</v>
      </c>
      <c r="D318" s="55"/>
      <c r="E318" s="56" t="s">
        <v>132</v>
      </c>
      <c r="F318" s="56" t="s">
        <v>162</v>
      </c>
      <c r="G318" s="57"/>
      <c r="H318" s="44"/>
      <c r="I318" s="44"/>
      <c r="J318" s="44"/>
      <c r="K318" s="44"/>
      <c r="L318" s="44"/>
      <c r="M318" s="45"/>
    </row>
    <row r="319" spans="2:13" s="52" customFormat="1" ht="13.5">
      <c r="B319" s="43"/>
      <c r="C319" s="55" t="s">
        <v>134</v>
      </c>
      <c r="D319" s="55"/>
      <c r="E319" s="56" t="s">
        <v>135</v>
      </c>
      <c r="F319" s="56" t="s">
        <v>136</v>
      </c>
      <c r="G319" s="57"/>
      <c r="H319" s="44"/>
      <c r="I319" s="44"/>
      <c r="J319" s="44"/>
      <c r="K319" s="44"/>
      <c r="L319" s="44"/>
      <c r="M319" s="45"/>
    </row>
    <row r="320" spans="2:13" s="52" customFormat="1" ht="13.5">
      <c r="B320" s="43"/>
      <c r="C320" s="55" t="s">
        <v>137</v>
      </c>
      <c r="D320" s="55"/>
      <c r="E320" s="56" t="s">
        <v>135</v>
      </c>
      <c r="F320" s="56" t="s">
        <v>138</v>
      </c>
      <c r="G320" s="57"/>
      <c r="H320" s="44"/>
      <c r="I320" s="44"/>
      <c r="J320" s="44"/>
      <c r="K320" s="44"/>
      <c r="L320" s="44"/>
      <c r="M320" s="45"/>
    </row>
    <row r="321" spans="2:13" s="52" customFormat="1" ht="13.5">
      <c r="B321" s="43"/>
      <c r="C321" s="55" t="s">
        <v>139</v>
      </c>
      <c r="D321" s="55"/>
      <c r="E321" s="56" t="s">
        <v>135</v>
      </c>
      <c r="F321" s="58" t="s">
        <v>193</v>
      </c>
      <c r="G321" s="57"/>
      <c r="H321" s="44"/>
      <c r="I321" s="44"/>
      <c r="J321" s="44"/>
      <c r="K321" s="44"/>
      <c r="L321" s="44"/>
      <c r="M321" s="45"/>
    </row>
    <row r="322" spans="2:13" s="52" customFormat="1" ht="13.5">
      <c r="B322" s="43"/>
      <c r="C322" s="55" t="s">
        <v>140</v>
      </c>
      <c r="D322" s="55"/>
      <c r="E322" s="56" t="s">
        <v>135</v>
      </c>
      <c r="F322" s="56" t="s">
        <v>141</v>
      </c>
      <c r="G322" s="57"/>
      <c r="H322" s="44"/>
      <c r="I322" s="44"/>
      <c r="J322" s="44"/>
      <c r="K322" s="44"/>
      <c r="L322" s="44"/>
      <c r="M322" s="45"/>
    </row>
    <row r="323" spans="2:13" s="52" customFormat="1" ht="13.5">
      <c r="B323" s="43"/>
      <c r="C323" s="55" t="s">
        <v>142</v>
      </c>
      <c r="D323" s="55"/>
      <c r="E323" s="56" t="s">
        <v>135</v>
      </c>
      <c r="F323" s="56" t="s">
        <v>143</v>
      </c>
      <c r="G323" s="57"/>
      <c r="H323" s="44"/>
      <c r="I323" s="44"/>
      <c r="J323" s="44"/>
      <c r="K323" s="44"/>
      <c r="L323" s="44"/>
      <c r="M323" s="45"/>
    </row>
    <row r="324" spans="2:13" s="52" customFormat="1" ht="13.5">
      <c r="B324" s="43"/>
      <c r="C324" s="55" t="s">
        <v>144</v>
      </c>
      <c r="D324" s="55"/>
      <c r="E324" s="56" t="s">
        <v>135</v>
      </c>
      <c r="F324" s="56" t="s">
        <v>145</v>
      </c>
      <c r="G324" s="57"/>
      <c r="H324" s="44"/>
      <c r="I324" s="44"/>
      <c r="J324" s="44"/>
      <c r="K324" s="44"/>
      <c r="L324" s="44"/>
      <c r="M324" s="45"/>
    </row>
    <row r="325" spans="2:13" s="52" customFormat="1" ht="13.5">
      <c r="B325" s="43"/>
      <c r="C325" s="55" t="s">
        <v>146</v>
      </c>
      <c r="D325" s="55"/>
      <c r="E325" s="56" t="s">
        <v>135</v>
      </c>
      <c r="F325" s="56" t="s">
        <v>147</v>
      </c>
      <c r="G325" s="57"/>
      <c r="H325" s="44"/>
      <c r="I325" s="44"/>
      <c r="J325" s="44"/>
      <c r="K325" s="44"/>
      <c r="L325" s="44"/>
      <c r="M325" s="45"/>
    </row>
    <row r="326" spans="2:13" s="52" customFormat="1" ht="13.5">
      <c r="B326" s="43"/>
      <c r="C326" s="55" t="s">
        <v>148</v>
      </c>
      <c r="D326" s="55"/>
      <c r="E326" s="56" t="s">
        <v>135</v>
      </c>
      <c r="F326" s="56" t="s">
        <v>149</v>
      </c>
      <c r="G326" s="57"/>
      <c r="H326" s="44"/>
      <c r="I326" s="44"/>
      <c r="J326" s="44"/>
      <c r="K326" s="44"/>
      <c r="L326" s="44"/>
      <c r="M326" s="45"/>
    </row>
    <row r="327" spans="2:13" s="52" customFormat="1" ht="13.5">
      <c r="B327" s="43"/>
      <c r="C327" s="55" t="s">
        <v>150</v>
      </c>
      <c r="D327" s="55"/>
      <c r="E327" s="56" t="s">
        <v>135</v>
      </c>
      <c r="F327" s="56" t="s">
        <v>151</v>
      </c>
      <c r="G327" s="57"/>
      <c r="H327" s="44"/>
      <c r="I327" s="44"/>
      <c r="J327" s="44"/>
      <c r="K327" s="44"/>
      <c r="L327" s="44"/>
      <c r="M327" s="45"/>
    </row>
    <row r="328" spans="2:13" s="52" customFormat="1" ht="13.5">
      <c r="B328" s="43"/>
      <c r="C328" s="55"/>
      <c r="D328" s="55"/>
      <c r="E328" s="56" t="s">
        <v>152</v>
      </c>
      <c r="F328" s="56"/>
      <c r="G328" s="57"/>
      <c r="H328" s="44"/>
      <c r="I328" s="44"/>
      <c r="J328" s="44"/>
      <c r="K328" s="44"/>
      <c r="L328" s="44"/>
      <c r="M328" s="45"/>
    </row>
    <row r="329" spans="2:13" s="52" customFormat="1" ht="13.5">
      <c r="B329" s="43"/>
      <c r="C329" s="44"/>
      <c r="D329" s="44"/>
      <c r="E329" s="44"/>
      <c r="F329" s="44"/>
      <c r="G329" s="44"/>
      <c r="H329" s="44"/>
      <c r="I329" s="44"/>
      <c r="J329" s="44"/>
      <c r="K329" s="44"/>
      <c r="L329" s="44"/>
      <c r="M329" s="45"/>
    </row>
    <row r="330" spans="2:13">
      <c r="B330" s="59"/>
      <c r="C330" s="53" t="s">
        <v>153</v>
      </c>
      <c r="D330" s="60"/>
      <c r="E330" s="60"/>
      <c r="F330" s="60"/>
      <c r="G330" s="60"/>
      <c r="H330" s="60"/>
      <c r="I330" s="60"/>
      <c r="J330" s="60"/>
      <c r="K330" s="60"/>
      <c r="L330" s="60"/>
      <c r="M330" s="51"/>
    </row>
    <row r="331" spans="2:13">
      <c r="B331" s="59"/>
      <c r="C331" s="61" t="s">
        <v>154</v>
      </c>
      <c r="D331" s="62">
        <v>-2</v>
      </c>
      <c r="E331" s="63"/>
      <c r="F331" s="63"/>
      <c r="G331" s="63"/>
      <c r="H331" s="63"/>
      <c r="I331" s="63"/>
      <c r="J331" s="63"/>
      <c r="K331" s="64"/>
      <c r="L331" s="60"/>
      <c r="M331" s="51"/>
    </row>
    <row r="332" spans="2:13">
      <c r="B332" s="59"/>
      <c r="C332" s="65" t="s">
        <v>155</v>
      </c>
      <c r="D332" s="66" t="s">
        <v>156</v>
      </c>
      <c r="E332" s="63"/>
      <c r="F332" s="63"/>
      <c r="G332" s="63"/>
      <c r="H332" s="63"/>
      <c r="I332" s="63"/>
      <c r="J332" s="63"/>
      <c r="K332" s="64"/>
      <c r="L332" s="60"/>
      <c r="M332" s="51"/>
    </row>
    <row r="333" spans="2:13">
      <c r="B333" s="59"/>
      <c r="C333" s="65" t="s">
        <v>157</v>
      </c>
      <c r="D333" s="66" t="s">
        <v>169</v>
      </c>
      <c r="E333" s="63"/>
      <c r="F333" s="63"/>
      <c r="G333" s="63"/>
      <c r="H333" s="63"/>
      <c r="I333" s="63"/>
      <c r="J333" s="63"/>
      <c r="K333" s="64"/>
      <c r="L333" s="60"/>
      <c r="M333" s="51"/>
    </row>
    <row r="334" spans="2:13">
      <c r="B334" s="59"/>
      <c r="C334" s="65" t="s">
        <v>159</v>
      </c>
      <c r="D334" s="66" t="s">
        <v>197</v>
      </c>
      <c r="E334" s="63"/>
      <c r="F334" s="63"/>
      <c r="G334" s="63"/>
      <c r="H334" s="63"/>
      <c r="I334" s="63"/>
      <c r="J334" s="63"/>
      <c r="K334" s="64"/>
      <c r="L334" s="60"/>
      <c r="M334" s="51"/>
    </row>
    <row r="335" spans="2:13">
      <c r="B335" s="59"/>
      <c r="C335" s="30"/>
      <c r="D335" s="60"/>
      <c r="E335" s="60"/>
      <c r="F335" s="60"/>
      <c r="G335" s="60"/>
      <c r="H335" s="60"/>
      <c r="I335" s="60"/>
      <c r="J335" s="60"/>
      <c r="K335" s="60"/>
      <c r="L335" s="60"/>
      <c r="M335" s="51"/>
    </row>
    <row r="336" spans="2:13">
      <c r="B336" s="59"/>
      <c r="C336" s="30"/>
      <c r="D336" s="60"/>
      <c r="E336" s="60"/>
      <c r="F336" s="60"/>
      <c r="G336" s="60"/>
      <c r="H336" s="60"/>
      <c r="I336" s="60"/>
      <c r="J336" s="60"/>
      <c r="K336" s="60"/>
      <c r="L336" s="60"/>
      <c r="M336" s="51"/>
    </row>
    <row r="337" spans="2:13">
      <c r="B337" s="46"/>
      <c r="C337" s="47" t="s">
        <v>124</v>
      </c>
      <c r="D337" s="48" t="s">
        <v>171</v>
      </c>
      <c r="E337" s="49"/>
      <c r="F337" s="50"/>
      <c r="G337" s="50"/>
      <c r="H337" s="50"/>
      <c r="I337" s="69" t="s">
        <v>172</v>
      </c>
      <c r="J337" s="50"/>
      <c r="K337" s="50"/>
      <c r="L337" s="50"/>
      <c r="M337" s="51"/>
    </row>
    <row r="338" spans="2:13" s="52" customFormat="1" ht="13.5">
      <c r="B338" s="43"/>
      <c r="C338" s="53" t="s">
        <v>126</v>
      </c>
      <c r="D338" s="44"/>
      <c r="E338" s="44"/>
      <c r="F338" s="44"/>
      <c r="G338" s="44"/>
      <c r="H338" s="44"/>
      <c r="I338" s="44"/>
      <c r="J338" s="44"/>
      <c r="K338" s="44"/>
      <c r="L338" s="44"/>
      <c r="M338" s="45"/>
    </row>
    <row r="339" spans="2:13" s="52" customFormat="1" ht="13.5">
      <c r="B339" s="43"/>
      <c r="C339" s="54"/>
      <c r="D339" s="55"/>
      <c r="E339" s="56" t="s">
        <v>127</v>
      </c>
      <c r="F339" s="56" t="s">
        <v>128</v>
      </c>
      <c r="G339" s="57"/>
      <c r="H339" s="44"/>
      <c r="I339" s="44"/>
      <c r="J339" s="44"/>
      <c r="K339" s="44"/>
      <c r="L339" s="44"/>
      <c r="M339" s="45"/>
    </row>
    <row r="340" spans="2:13" s="52" customFormat="1" ht="13.5">
      <c r="B340" s="43"/>
      <c r="C340" s="54"/>
      <c r="D340" s="55"/>
      <c r="E340" s="56" t="s">
        <v>129</v>
      </c>
      <c r="F340" s="56" t="s">
        <v>130</v>
      </c>
      <c r="G340" s="57"/>
      <c r="H340" s="44"/>
      <c r="I340" s="44"/>
      <c r="J340" s="44"/>
      <c r="K340" s="44"/>
      <c r="L340" s="44"/>
      <c r="M340" s="45"/>
    </row>
    <row r="341" spans="2:13" s="52" customFormat="1" ht="13.5">
      <c r="B341" s="43"/>
      <c r="C341" s="55" t="s">
        <v>131</v>
      </c>
      <c r="D341" s="55"/>
      <c r="E341" s="56" t="s">
        <v>132</v>
      </c>
      <c r="F341" s="56" t="s">
        <v>162</v>
      </c>
      <c r="G341" s="57"/>
      <c r="H341" s="44"/>
      <c r="I341" s="44"/>
      <c r="J341" s="44"/>
      <c r="K341" s="44"/>
      <c r="L341" s="44"/>
      <c r="M341" s="45"/>
    </row>
    <row r="342" spans="2:13" s="52" customFormat="1" ht="13.5">
      <c r="B342" s="43"/>
      <c r="C342" s="55" t="s">
        <v>134</v>
      </c>
      <c r="D342" s="55"/>
      <c r="E342" s="56" t="s">
        <v>135</v>
      </c>
      <c r="F342" s="56" t="s">
        <v>136</v>
      </c>
      <c r="G342" s="57"/>
      <c r="H342" s="44"/>
      <c r="I342" s="44"/>
      <c r="J342" s="44"/>
      <c r="K342" s="44"/>
      <c r="L342" s="44"/>
      <c r="M342" s="45"/>
    </row>
    <row r="343" spans="2:13" s="52" customFormat="1" ht="13.5">
      <c r="B343" s="43"/>
      <c r="C343" s="55" t="s">
        <v>137</v>
      </c>
      <c r="D343" s="55"/>
      <c r="E343" s="56" t="s">
        <v>135</v>
      </c>
      <c r="F343" s="56" t="s">
        <v>138</v>
      </c>
      <c r="G343" s="57"/>
      <c r="H343" s="44"/>
      <c r="I343" s="44"/>
      <c r="J343" s="44"/>
      <c r="K343" s="44"/>
      <c r="L343" s="44"/>
      <c r="M343" s="45"/>
    </row>
    <row r="344" spans="2:13" s="52" customFormat="1" ht="13.5">
      <c r="B344" s="43"/>
      <c r="C344" s="55" t="s">
        <v>139</v>
      </c>
      <c r="D344" s="55"/>
      <c r="E344" s="56" t="s">
        <v>135</v>
      </c>
      <c r="F344" s="56" t="s">
        <v>173</v>
      </c>
      <c r="G344" s="57"/>
      <c r="H344" s="44"/>
      <c r="I344" s="44"/>
      <c r="J344" s="44"/>
      <c r="K344" s="44"/>
      <c r="L344" s="44"/>
      <c r="M344" s="45"/>
    </row>
    <row r="345" spans="2:13" s="52" customFormat="1" ht="13.5">
      <c r="B345" s="43"/>
      <c r="C345" s="55" t="s">
        <v>140</v>
      </c>
      <c r="D345" s="55"/>
      <c r="E345" s="56" t="s">
        <v>135</v>
      </c>
      <c r="F345" s="58" t="s">
        <v>193</v>
      </c>
      <c r="G345" s="57"/>
      <c r="H345" s="44"/>
      <c r="I345" s="44"/>
      <c r="J345" s="44"/>
      <c r="K345" s="44"/>
      <c r="L345" s="44"/>
      <c r="M345" s="45"/>
    </row>
    <row r="346" spans="2:13" s="52" customFormat="1" ht="13.5">
      <c r="B346" s="43"/>
      <c r="C346" s="55" t="s">
        <v>142</v>
      </c>
      <c r="D346" s="55"/>
      <c r="E346" s="56" t="s">
        <v>135</v>
      </c>
      <c r="F346" s="56" t="s">
        <v>143</v>
      </c>
      <c r="G346" s="57"/>
      <c r="H346" s="44"/>
      <c r="I346" s="44"/>
      <c r="J346" s="44"/>
      <c r="K346" s="44"/>
      <c r="L346" s="44"/>
      <c r="M346" s="45"/>
    </row>
    <row r="347" spans="2:13" s="52" customFormat="1" ht="13.5">
      <c r="B347" s="43"/>
      <c r="C347" s="55" t="s">
        <v>144</v>
      </c>
      <c r="D347" s="55"/>
      <c r="E347" s="56" t="s">
        <v>135</v>
      </c>
      <c r="F347" s="56" t="s">
        <v>145</v>
      </c>
      <c r="G347" s="57"/>
      <c r="H347" s="44"/>
      <c r="I347" s="44"/>
      <c r="J347" s="44"/>
      <c r="K347" s="44"/>
      <c r="L347" s="44"/>
      <c r="M347" s="45"/>
    </row>
    <row r="348" spans="2:13" s="52" customFormat="1" ht="13.5">
      <c r="B348" s="43"/>
      <c r="C348" s="55" t="s">
        <v>146</v>
      </c>
      <c r="D348" s="55"/>
      <c r="E348" s="56" t="s">
        <v>135</v>
      </c>
      <c r="F348" s="56" t="s">
        <v>147</v>
      </c>
      <c r="G348" s="57"/>
      <c r="H348" s="44"/>
      <c r="I348" s="44"/>
      <c r="J348" s="44"/>
      <c r="K348" s="44"/>
      <c r="L348" s="44"/>
      <c r="M348" s="45"/>
    </row>
    <row r="349" spans="2:13" s="52" customFormat="1" ht="13.5">
      <c r="B349" s="43"/>
      <c r="C349" s="55" t="s">
        <v>148</v>
      </c>
      <c r="D349" s="55"/>
      <c r="E349" s="56" t="s">
        <v>135</v>
      </c>
      <c r="F349" s="56" t="s">
        <v>149</v>
      </c>
      <c r="G349" s="57"/>
      <c r="H349" s="44"/>
      <c r="I349" s="44"/>
      <c r="J349" s="44"/>
      <c r="K349" s="44"/>
      <c r="L349" s="44"/>
      <c r="M349" s="45"/>
    </row>
    <row r="350" spans="2:13" s="52" customFormat="1" ht="13.5">
      <c r="B350" s="43"/>
      <c r="C350" s="55" t="s">
        <v>150</v>
      </c>
      <c r="D350" s="55"/>
      <c r="E350" s="56" t="s">
        <v>135</v>
      </c>
      <c r="F350" s="56" t="s">
        <v>151</v>
      </c>
      <c r="G350" s="57"/>
      <c r="H350" s="44"/>
      <c r="I350" s="44"/>
      <c r="J350" s="44"/>
      <c r="K350" s="44"/>
      <c r="L350" s="44"/>
      <c r="M350" s="45"/>
    </row>
    <row r="351" spans="2:13" s="52" customFormat="1" ht="13.5">
      <c r="B351" s="43"/>
      <c r="C351" s="55"/>
      <c r="D351" s="55"/>
      <c r="E351" s="56" t="s">
        <v>152</v>
      </c>
      <c r="F351" s="56"/>
      <c r="G351" s="57"/>
      <c r="H351" s="44"/>
      <c r="I351" s="44"/>
      <c r="J351" s="44"/>
      <c r="K351" s="44"/>
      <c r="L351" s="44"/>
      <c r="M351" s="45"/>
    </row>
    <row r="352" spans="2:13">
      <c r="B352" s="59"/>
      <c r="C352" s="30"/>
      <c r="D352" s="28"/>
      <c r="E352" s="71"/>
      <c r="F352" s="60"/>
      <c r="G352" s="60"/>
      <c r="H352" s="60"/>
      <c r="I352" s="60"/>
      <c r="J352" s="60"/>
      <c r="K352" s="60"/>
      <c r="L352" s="60"/>
      <c r="M352" s="51"/>
    </row>
    <row r="353" spans="2:13">
      <c r="B353" s="59"/>
      <c r="C353" s="53" t="s">
        <v>153</v>
      </c>
      <c r="D353" s="70" t="s">
        <v>198</v>
      </c>
      <c r="E353" s="60"/>
      <c r="F353" s="60"/>
      <c r="G353" s="60"/>
      <c r="H353" s="60"/>
      <c r="I353" s="60"/>
      <c r="J353" s="60"/>
      <c r="K353" s="60"/>
      <c r="L353" s="60"/>
      <c r="M353" s="51"/>
    </row>
    <row r="354" spans="2:13">
      <c r="B354" s="59"/>
      <c r="C354" s="61" t="s">
        <v>154</v>
      </c>
      <c r="D354" s="62">
        <v>0</v>
      </c>
      <c r="E354" s="63"/>
      <c r="F354" s="63"/>
      <c r="G354" s="63"/>
      <c r="H354" s="63"/>
      <c r="I354" s="63"/>
      <c r="J354" s="63"/>
      <c r="K354" s="64"/>
      <c r="L354" s="60"/>
      <c r="M354" s="51"/>
    </row>
    <row r="355" spans="2:13">
      <c r="B355" s="59"/>
      <c r="C355" s="65" t="s">
        <v>155</v>
      </c>
      <c r="D355" s="66" t="s">
        <v>156</v>
      </c>
      <c r="E355" s="63"/>
      <c r="F355" s="63"/>
      <c r="G355" s="63"/>
      <c r="H355" s="63"/>
      <c r="I355" s="63"/>
      <c r="J355" s="63"/>
      <c r="K355" s="64"/>
      <c r="L355" s="60"/>
      <c r="M355" s="51"/>
    </row>
    <row r="356" spans="2:13">
      <c r="B356" s="59"/>
      <c r="C356" s="65" t="s">
        <v>157</v>
      </c>
      <c r="D356" s="66" t="s">
        <v>156</v>
      </c>
      <c r="E356" s="63"/>
      <c r="F356" s="63"/>
      <c r="G356" s="63"/>
      <c r="H356" s="63"/>
      <c r="I356" s="63"/>
      <c r="J356" s="63"/>
      <c r="K356" s="64"/>
      <c r="L356" s="60"/>
      <c r="M356" s="51"/>
    </row>
    <row r="357" spans="2:13">
      <c r="B357" s="59"/>
      <c r="C357" s="65" t="s">
        <v>159</v>
      </c>
      <c r="D357" s="66" t="s">
        <v>199</v>
      </c>
      <c r="E357" s="63"/>
      <c r="F357" s="63"/>
      <c r="G357" s="63"/>
      <c r="H357" s="63"/>
      <c r="I357" s="63"/>
      <c r="J357" s="63"/>
      <c r="K357" s="64"/>
      <c r="L357" s="60"/>
      <c r="M357" s="51"/>
    </row>
    <row r="358" spans="2:13">
      <c r="B358" s="59"/>
      <c r="C358" s="30"/>
      <c r="D358" s="60"/>
      <c r="E358" s="60"/>
      <c r="F358" s="60"/>
      <c r="G358" s="60"/>
      <c r="H358" s="60"/>
      <c r="I358" s="60"/>
      <c r="J358" s="60"/>
      <c r="K358" s="60"/>
      <c r="L358" s="60"/>
      <c r="M358" s="51"/>
    </row>
    <row r="359" spans="2:13">
      <c r="B359" s="59"/>
      <c r="C359" s="30"/>
      <c r="D359" s="60"/>
      <c r="E359" s="60"/>
      <c r="F359" s="60"/>
      <c r="G359" s="60"/>
      <c r="H359" s="60"/>
      <c r="I359" s="60"/>
      <c r="J359" s="60"/>
      <c r="K359" s="60"/>
      <c r="L359" s="60"/>
      <c r="M359" s="51"/>
    </row>
    <row r="360" spans="2:13">
      <c r="B360" s="46"/>
      <c r="C360" s="47" t="s">
        <v>124</v>
      </c>
      <c r="D360" s="48" t="s">
        <v>176</v>
      </c>
      <c r="E360" s="49"/>
      <c r="F360" s="50"/>
      <c r="G360" s="50"/>
      <c r="H360" s="50"/>
      <c r="I360" s="69" t="s">
        <v>172</v>
      </c>
      <c r="J360" s="50"/>
      <c r="K360" s="50"/>
      <c r="L360" s="50"/>
      <c r="M360" s="51"/>
    </row>
    <row r="361" spans="2:13" s="52" customFormat="1" ht="13.5">
      <c r="B361" s="43"/>
      <c r="C361" s="53" t="s">
        <v>126</v>
      </c>
      <c r="D361" s="44"/>
      <c r="E361" s="44"/>
      <c r="F361" s="44"/>
      <c r="G361" s="44"/>
      <c r="H361" s="44"/>
      <c r="I361" s="44"/>
      <c r="J361" s="44"/>
      <c r="K361" s="44"/>
      <c r="L361" s="44"/>
      <c r="M361" s="45"/>
    </row>
    <row r="362" spans="2:13" s="52" customFormat="1" ht="13.5">
      <c r="B362" s="43"/>
      <c r="C362" s="54"/>
      <c r="D362" s="55"/>
      <c r="E362" s="56" t="s">
        <v>127</v>
      </c>
      <c r="F362" s="56" t="s">
        <v>128</v>
      </c>
      <c r="G362" s="57"/>
      <c r="H362" s="44"/>
      <c r="I362" s="44"/>
      <c r="J362" s="44"/>
      <c r="K362" s="44"/>
      <c r="L362" s="44"/>
      <c r="M362" s="45"/>
    </row>
    <row r="363" spans="2:13" s="52" customFormat="1" ht="13.5">
      <c r="B363" s="43"/>
      <c r="C363" s="54"/>
      <c r="D363" s="55"/>
      <c r="E363" s="56" t="s">
        <v>129</v>
      </c>
      <c r="F363" s="56" t="s">
        <v>130</v>
      </c>
      <c r="G363" s="57"/>
      <c r="H363" s="44"/>
      <c r="I363" s="44"/>
      <c r="J363" s="44"/>
      <c r="K363" s="44"/>
      <c r="L363" s="44"/>
      <c r="M363" s="45"/>
    </row>
    <row r="364" spans="2:13" s="52" customFormat="1" ht="13.5">
      <c r="B364" s="43"/>
      <c r="C364" s="55" t="s">
        <v>131</v>
      </c>
      <c r="D364" s="55"/>
      <c r="E364" s="56" t="s">
        <v>132</v>
      </c>
      <c r="F364" s="56" t="s">
        <v>162</v>
      </c>
      <c r="G364" s="57"/>
      <c r="H364" s="44"/>
      <c r="I364" s="44"/>
      <c r="J364" s="44"/>
      <c r="K364" s="44"/>
      <c r="L364" s="44"/>
      <c r="M364" s="45"/>
    </row>
    <row r="365" spans="2:13" s="52" customFormat="1" ht="13.5">
      <c r="B365" s="43"/>
      <c r="C365" s="55" t="s">
        <v>134</v>
      </c>
      <c r="D365" s="55"/>
      <c r="E365" s="56" t="s">
        <v>135</v>
      </c>
      <c r="F365" s="56" t="s">
        <v>136</v>
      </c>
      <c r="G365" s="57"/>
      <c r="H365" s="44"/>
      <c r="I365" s="44"/>
      <c r="J365" s="44"/>
      <c r="K365" s="44"/>
      <c r="L365" s="44"/>
      <c r="M365" s="45"/>
    </row>
    <row r="366" spans="2:13" s="52" customFormat="1" ht="13.5">
      <c r="B366" s="43"/>
      <c r="C366" s="55" t="s">
        <v>137</v>
      </c>
      <c r="D366" s="55"/>
      <c r="E366" s="56" t="s">
        <v>135</v>
      </c>
      <c r="F366" s="56" t="s">
        <v>138</v>
      </c>
      <c r="G366" s="57"/>
      <c r="H366" s="44"/>
      <c r="I366" s="44"/>
      <c r="J366" s="44"/>
      <c r="K366" s="44"/>
      <c r="L366" s="44"/>
      <c r="M366" s="45"/>
    </row>
    <row r="367" spans="2:13" s="52" customFormat="1" ht="13.5">
      <c r="B367" s="43"/>
      <c r="C367" s="55" t="s">
        <v>139</v>
      </c>
      <c r="D367" s="55"/>
      <c r="E367" s="56" t="s">
        <v>135</v>
      </c>
      <c r="F367" s="56" t="s">
        <v>173</v>
      </c>
      <c r="G367" s="57"/>
      <c r="H367" s="44"/>
      <c r="I367" s="44"/>
      <c r="J367" s="44"/>
      <c r="K367" s="44"/>
      <c r="L367" s="44"/>
      <c r="M367" s="45"/>
    </row>
    <row r="368" spans="2:13" s="52" customFormat="1" ht="13.5">
      <c r="B368" s="43"/>
      <c r="C368" s="55" t="s">
        <v>140</v>
      </c>
      <c r="D368" s="55"/>
      <c r="E368" s="56" t="s">
        <v>135</v>
      </c>
      <c r="F368" s="56" t="s">
        <v>141</v>
      </c>
      <c r="G368" s="57"/>
      <c r="H368" s="44"/>
      <c r="I368" s="44"/>
      <c r="J368" s="44"/>
      <c r="K368" s="44"/>
      <c r="L368" s="44"/>
      <c r="M368" s="45"/>
    </row>
    <row r="369" spans="2:13" s="52" customFormat="1" ht="13.5">
      <c r="B369" s="43"/>
      <c r="C369" s="55" t="s">
        <v>142</v>
      </c>
      <c r="D369" s="55"/>
      <c r="E369" s="56" t="s">
        <v>135</v>
      </c>
      <c r="F369" s="58" t="s">
        <v>193</v>
      </c>
      <c r="G369" s="57"/>
      <c r="H369" s="44"/>
      <c r="I369" s="44"/>
      <c r="J369" s="44"/>
      <c r="K369" s="44"/>
      <c r="L369" s="44"/>
      <c r="M369" s="45"/>
    </row>
    <row r="370" spans="2:13" s="52" customFormat="1" ht="13.5">
      <c r="B370" s="43"/>
      <c r="C370" s="55" t="s">
        <v>144</v>
      </c>
      <c r="D370" s="55"/>
      <c r="E370" s="56" t="s">
        <v>135</v>
      </c>
      <c r="F370" s="56" t="s">
        <v>145</v>
      </c>
      <c r="G370" s="57"/>
      <c r="H370" s="44"/>
      <c r="I370" s="44"/>
      <c r="J370" s="44"/>
      <c r="K370" s="44"/>
      <c r="L370" s="44"/>
      <c r="M370" s="45"/>
    </row>
    <row r="371" spans="2:13" s="52" customFormat="1" ht="13.5">
      <c r="B371" s="43"/>
      <c r="C371" s="55" t="s">
        <v>146</v>
      </c>
      <c r="D371" s="55"/>
      <c r="E371" s="56" t="s">
        <v>135</v>
      </c>
      <c r="F371" s="56" t="s">
        <v>147</v>
      </c>
      <c r="G371" s="57"/>
      <c r="H371" s="44"/>
      <c r="I371" s="44"/>
      <c r="J371" s="44"/>
      <c r="K371" s="44"/>
      <c r="L371" s="44"/>
      <c r="M371" s="45"/>
    </row>
    <row r="372" spans="2:13" s="52" customFormat="1" ht="13.5">
      <c r="B372" s="43"/>
      <c r="C372" s="55" t="s">
        <v>148</v>
      </c>
      <c r="D372" s="55"/>
      <c r="E372" s="56" t="s">
        <v>135</v>
      </c>
      <c r="F372" s="56" t="s">
        <v>149</v>
      </c>
      <c r="G372" s="57"/>
      <c r="H372" s="44"/>
      <c r="I372" s="44"/>
      <c r="J372" s="44"/>
      <c r="K372" s="44"/>
      <c r="L372" s="44"/>
      <c r="M372" s="45"/>
    </row>
    <row r="373" spans="2:13" s="52" customFormat="1" ht="13.5">
      <c r="B373" s="43"/>
      <c r="C373" s="55" t="s">
        <v>150</v>
      </c>
      <c r="D373" s="55"/>
      <c r="E373" s="56" t="s">
        <v>135</v>
      </c>
      <c r="F373" s="56" t="s">
        <v>151</v>
      </c>
      <c r="G373" s="57"/>
      <c r="H373" s="44"/>
      <c r="I373" s="44"/>
      <c r="J373" s="44"/>
      <c r="K373" s="44"/>
      <c r="L373" s="44"/>
      <c r="M373" s="45"/>
    </row>
    <row r="374" spans="2:13" s="52" customFormat="1" ht="13.5">
      <c r="B374" s="43"/>
      <c r="C374" s="55"/>
      <c r="D374" s="55"/>
      <c r="E374" s="56" t="s">
        <v>152</v>
      </c>
      <c r="F374" s="56"/>
      <c r="G374" s="57"/>
      <c r="H374" s="44"/>
      <c r="I374" s="44"/>
      <c r="J374" s="44"/>
      <c r="K374" s="44"/>
      <c r="L374" s="44"/>
      <c r="M374" s="45"/>
    </row>
    <row r="375" spans="2:13" s="52" customFormat="1" ht="13.5">
      <c r="B375" s="43"/>
      <c r="C375" s="44"/>
      <c r="D375" s="44"/>
      <c r="E375" s="44"/>
      <c r="F375" s="44"/>
      <c r="G375" s="44"/>
      <c r="H375" s="44"/>
      <c r="I375" s="44"/>
      <c r="J375" s="44"/>
      <c r="K375" s="44"/>
      <c r="L375" s="44"/>
      <c r="M375" s="45"/>
    </row>
    <row r="376" spans="2:13">
      <c r="B376" s="59"/>
      <c r="C376" s="53" t="s">
        <v>153</v>
      </c>
      <c r="D376" s="70" t="s">
        <v>198</v>
      </c>
      <c r="E376" s="60"/>
      <c r="F376" s="60"/>
      <c r="G376" s="60"/>
      <c r="H376" s="60"/>
      <c r="I376" s="60"/>
      <c r="J376" s="60"/>
      <c r="K376" s="60"/>
      <c r="L376" s="60"/>
      <c r="M376" s="51"/>
    </row>
    <row r="377" spans="2:13">
      <c r="B377" s="59"/>
      <c r="C377" s="61" t="s">
        <v>154</v>
      </c>
      <c r="D377" s="62">
        <v>0</v>
      </c>
      <c r="E377" s="63"/>
      <c r="F377" s="63"/>
      <c r="G377" s="63"/>
      <c r="H377" s="63"/>
      <c r="I377" s="63"/>
      <c r="J377" s="63"/>
      <c r="K377" s="64"/>
      <c r="L377" s="60"/>
      <c r="M377" s="51"/>
    </row>
    <row r="378" spans="2:13">
      <c r="B378" s="59"/>
      <c r="C378" s="65" t="s">
        <v>155</v>
      </c>
      <c r="D378" s="66" t="s">
        <v>156</v>
      </c>
      <c r="E378" s="63"/>
      <c r="F378" s="63"/>
      <c r="G378" s="63"/>
      <c r="H378" s="63"/>
      <c r="I378" s="63"/>
      <c r="J378" s="63"/>
      <c r="K378" s="64"/>
      <c r="L378" s="60"/>
      <c r="M378" s="51"/>
    </row>
    <row r="379" spans="2:13">
      <c r="B379" s="59"/>
      <c r="C379" s="65" t="s">
        <v>157</v>
      </c>
      <c r="D379" s="66" t="s">
        <v>156</v>
      </c>
      <c r="E379" s="63"/>
      <c r="F379" s="63"/>
      <c r="G379" s="63"/>
      <c r="H379" s="63"/>
      <c r="I379" s="63"/>
      <c r="J379" s="63"/>
      <c r="K379" s="64"/>
      <c r="L379" s="60"/>
      <c r="M379" s="51"/>
    </row>
    <row r="380" spans="2:13">
      <c r="B380" s="59"/>
      <c r="C380" s="65" t="s">
        <v>159</v>
      </c>
      <c r="D380" s="66" t="s">
        <v>199</v>
      </c>
      <c r="E380" s="63"/>
      <c r="F380" s="63"/>
      <c r="G380" s="63"/>
      <c r="H380" s="63"/>
      <c r="I380" s="63"/>
      <c r="J380" s="63"/>
      <c r="K380" s="64"/>
      <c r="L380" s="60"/>
      <c r="M380" s="51"/>
    </row>
    <row r="381" spans="2:13">
      <c r="B381" s="59"/>
      <c r="C381" s="30"/>
      <c r="D381" s="60"/>
      <c r="E381" s="60"/>
      <c r="F381" s="60"/>
      <c r="G381" s="60"/>
      <c r="H381" s="60"/>
      <c r="I381" s="60"/>
      <c r="J381" s="60"/>
      <c r="K381" s="60"/>
      <c r="L381" s="60"/>
      <c r="M381" s="51"/>
    </row>
    <row r="382" spans="2:13">
      <c r="B382" s="59"/>
      <c r="C382" s="30"/>
      <c r="D382" s="60"/>
      <c r="E382" s="60"/>
      <c r="F382" s="60"/>
      <c r="G382" s="60"/>
      <c r="H382" s="60"/>
      <c r="I382" s="60"/>
      <c r="J382" s="60"/>
      <c r="K382" s="60"/>
      <c r="L382" s="60"/>
      <c r="M382" s="51"/>
    </row>
    <row r="383" spans="2:13">
      <c r="B383" s="46"/>
      <c r="C383" s="47" t="s">
        <v>124</v>
      </c>
      <c r="D383" s="48" t="s">
        <v>179</v>
      </c>
      <c r="E383" s="49"/>
      <c r="F383" s="50"/>
      <c r="G383" s="50"/>
      <c r="H383" s="50"/>
      <c r="I383" s="69"/>
      <c r="J383" s="50"/>
      <c r="K383" s="50"/>
      <c r="L383" s="50"/>
      <c r="M383" s="51"/>
    </row>
    <row r="384" spans="2:13" s="52" customFormat="1" ht="13.5">
      <c r="B384" s="43"/>
      <c r="C384" s="53" t="s">
        <v>126</v>
      </c>
      <c r="D384" s="44"/>
      <c r="E384" s="44"/>
      <c r="F384" s="44"/>
      <c r="G384" s="44"/>
      <c r="H384" s="44"/>
      <c r="I384" s="44"/>
      <c r="J384" s="44"/>
      <c r="K384" s="44"/>
      <c r="L384" s="44"/>
      <c r="M384" s="45"/>
    </row>
    <row r="385" spans="2:13" s="52" customFormat="1" ht="13.5">
      <c r="B385" s="43"/>
      <c r="C385" s="54"/>
      <c r="D385" s="55"/>
      <c r="E385" s="56" t="s">
        <v>127</v>
      </c>
      <c r="F385" s="56" t="s">
        <v>128</v>
      </c>
      <c r="G385" s="57"/>
      <c r="H385" s="44"/>
      <c r="I385" s="44"/>
      <c r="J385" s="44"/>
      <c r="K385" s="44"/>
      <c r="L385" s="44"/>
      <c r="M385" s="45"/>
    </row>
    <row r="386" spans="2:13" s="52" customFormat="1" ht="13.5">
      <c r="B386" s="43"/>
      <c r="C386" s="54"/>
      <c r="D386" s="55"/>
      <c r="E386" s="56" t="s">
        <v>129</v>
      </c>
      <c r="F386" s="56" t="s">
        <v>130</v>
      </c>
      <c r="G386" s="57"/>
      <c r="H386" s="44"/>
      <c r="I386" s="44"/>
      <c r="J386" s="44"/>
      <c r="K386" s="44"/>
      <c r="L386" s="44"/>
      <c r="M386" s="45"/>
    </row>
    <row r="387" spans="2:13" s="52" customFormat="1" ht="13.5">
      <c r="B387" s="43"/>
      <c r="C387" s="55" t="s">
        <v>131</v>
      </c>
      <c r="D387" s="55"/>
      <c r="E387" s="56" t="s">
        <v>132</v>
      </c>
      <c r="F387" s="56" t="s">
        <v>162</v>
      </c>
      <c r="G387" s="57"/>
      <c r="H387" s="44"/>
      <c r="I387" s="44"/>
      <c r="J387" s="44"/>
      <c r="K387" s="44"/>
      <c r="L387" s="44"/>
      <c r="M387" s="45"/>
    </row>
    <row r="388" spans="2:13" s="52" customFormat="1" ht="13.5">
      <c r="B388" s="43"/>
      <c r="C388" s="55" t="s">
        <v>134</v>
      </c>
      <c r="D388" s="55"/>
      <c r="E388" s="56" t="s">
        <v>135</v>
      </c>
      <c r="F388" s="56" t="s">
        <v>136</v>
      </c>
      <c r="G388" s="57"/>
      <c r="H388" s="44"/>
      <c r="I388" s="44"/>
      <c r="J388" s="44"/>
      <c r="K388" s="44"/>
      <c r="L388" s="44"/>
      <c r="M388" s="45"/>
    </row>
    <row r="389" spans="2:13" s="52" customFormat="1" ht="13.5">
      <c r="B389" s="43"/>
      <c r="C389" s="55" t="s">
        <v>137</v>
      </c>
      <c r="D389" s="55"/>
      <c r="E389" s="56" t="s">
        <v>135</v>
      </c>
      <c r="F389" s="56" t="s">
        <v>138</v>
      </c>
      <c r="G389" s="57"/>
      <c r="H389" s="44"/>
      <c r="I389" s="44"/>
      <c r="J389" s="44"/>
      <c r="K389" s="44"/>
      <c r="L389" s="44"/>
      <c r="M389" s="45"/>
    </row>
    <row r="390" spans="2:13" s="52" customFormat="1" ht="13.5">
      <c r="B390" s="43"/>
      <c r="C390" s="55" t="s">
        <v>139</v>
      </c>
      <c r="D390" s="55"/>
      <c r="E390" s="56" t="s">
        <v>135</v>
      </c>
      <c r="F390" s="56" t="s">
        <v>173</v>
      </c>
      <c r="G390" s="57"/>
      <c r="H390" s="44"/>
      <c r="I390" s="44"/>
      <c r="J390" s="44"/>
      <c r="K390" s="44"/>
      <c r="L390" s="44"/>
      <c r="M390" s="45"/>
    </row>
    <row r="391" spans="2:13" s="52" customFormat="1" ht="13.5">
      <c r="B391" s="43"/>
      <c r="C391" s="55" t="s">
        <v>140</v>
      </c>
      <c r="D391" s="55"/>
      <c r="E391" s="56" t="s">
        <v>135</v>
      </c>
      <c r="F391" s="56" t="s">
        <v>141</v>
      </c>
      <c r="G391" s="57"/>
      <c r="H391" s="44"/>
      <c r="I391" s="44"/>
      <c r="J391" s="44"/>
      <c r="K391" s="44"/>
      <c r="L391" s="44"/>
      <c r="M391" s="45"/>
    </row>
    <row r="392" spans="2:13" s="52" customFormat="1" ht="13.5">
      <c r="B392" s="43"/>
      <c r="C392" s="55" t="s">
        <v>142</v>
      </c>
      <c r="D392" s="55"/>
      <c r="E392" s="56" t="s">
        <v>135</v>
      </c>
      <c r="F392" s="56" t="s">
        <v>141</v>
      </c>
      <c r="G392" s="57"/>
      <c r="H392" s="44"/>
      <c r="I392" s="44"/>
      <c r="J392" s="44"/>
      <c r="K392" s="44"/>
      <c r="L392" s="44"/>
      <c r="M392" s="45"/>
    </row>
    <row r="393" spans="2:13" s="52" customFormat="1" ht="13.5">
      <c r="B393" s="43"/>
      <c r="C393" s="55" t="s">
        <v>144</v>
      </c>
      <c r="D393" s="55"/>
      <c r="E393" s="56" t="s">
        <v>135</v>
      </c>
      <c r="F393" s="58" t="s">
        <v>193</v>
      </c>
      <c r="G393" s="57"/>
      <c r="H393" s="44"/>
      <c r="I393" s="44"/>
      <c r="J393" s="44"/>
      <c r="K393" s="44"/>
      <c r="L393" s="44"/>
      <c r="M393" s="45"/>
    </row>
    <row r="394" spans="2:13" s="52" customFormat="1" ht="13.5">
      <c r="B394" s="43"/>
      <c r="C394" s="55" t="s">
        <v>146</v>
      </c>
      <c r="D394" s="55"/>
      <c r="E394" s="56" t="s">
        <v>135</v>
      </c>
      <c r="F394" s="56" t="s">
        <v>147</v>
      </c>
      <c r="G394" s="57"/>
      <c r="H394" s="44"/>
      <c r="I394" s="44"/>
      <c r="J394" s="44"/>
      <c r="K394" s="44"/>
      <c r="L394" s="44"/>
      <c r="M394" s="45"/>
    </row>
    <row r="395" spans="2:13" s="52" customFormat="1" ht="13.5">
      <c r="B395" s="43"/>
      <c r="C395" s="55" t="s">
        <v>148</v>
      </c>
      <c r="D395" s="55"/>
      <c r="E395" s="56" t="s">
        <v>135</v>
      </c>
      <c r="F395" s="56" t="s">
        <v>149</v>
      </c>
      <c r="G395" s="57"/>
      <c r="H395" s="44"/>
      <c r="I395" s="44"/>
      <c r="J395" s="44"/>
      <c r="K395" s="44"/>
      <c r="L395" s="44"/>
      <c r="M395" s="45"/>
    </row>
    <row r="396" spans="2:13" s="52" customFormat="1" ht="13.5">
      <c r="B396" s="43"/>
      <c r="C396" s="55" t="s">
        <v>150</v>
      </c>
      <c r="D396" s="55"/>
      <c r="E396" s="56" t="s">
        <v>135</v>
      </c>
      <c r="F396" s="56" t="s">
        <v>151</v>
      </c>
      <c r="G396" s="57"/>
      <c r="H396" s="44"/>
      <c r="I396" s="44"/>
      <c r="J396" s="44"/>
      <c r="K396" s="44"/>
      <c r="L396" s="44"/>
      <c r="M396" s="45"/>
    </row>
    <row r="397" spans="2:13" s="52" customFormat="1" ht="13.5">
      <c r="B397" s="43"/>
      <c r="C397" s="55"/>
      <c r="D397" s="55"/>
      <c r="E397" s="56" t="s">
        <v>152</v>
      </c>
      <c r="F397" s="56"/>
      <c r="G397" s="57"/>
      <c r="H397" s="44"/>
      <c r="I397" s="44"/>
      <c r="J397" s="44"/>
      <c r="K397" s="44"/>
      <c r="L397" s="44"/>
      <c r="M397" s="45"/>
    </row>
    <row r="398" spans="2:13" s="52" customFormat="1" ht="13.5">
      <c r="B398" s="43"/>
      <c r="C398" s="44"/>
      <c r="D398" s="44"/>
      <c r="E398" s="44"/>
      <c r="F398" s="44"/>
      <c r="G398" s="44"/>
      <c r="H398" s="44"/>
      <c r="I398" s="44"/>
      <c r="J398" s="44"/>
      <c r="K398" s="44"/>
      <c r="L398" s="44"/>
      <c r="M398" s="45"/>
    </row>
    <row r="399" spans="2:13">
      <c r="B399" s="59"/>
      <c r="C399" s="53" t="s">
        <v>153</v>
      </c>
      <c r="D399" s="60"/>
      <c r="E399" s="60"/>
      <c r="F399" s="60"/>
      <c r="G399" s="60"/>
      <c r="H399" s="60"/>
      <c r="I399" s="60"/>
      <c r="J399" s="60"/>
      <c r="K399" s="60"/>
      <c r="L399" s="60"/>
      <c r="M399" s="51"/>
    </row>
    <row r="400" spans="2:13">
      <c r="B400" s="59"/>
      <c r="C400" s="61" t="s">
        <v>154</v>
      </c>
      <c r="D400" s="62">
        <v>-2</v>
      </c>
      <c r="E400" s="63"/>
      <c r="F400" s="63"/>
      <c r="G400" s="63"/>
      <c r="H400" s="63"/>
      <c r="I400" s="63"/>
      <c r="J400" s="63"/>
      <c r="K400" s="64"/>
      <c r="L400" s="60"/>
      <c r="M400" s="51"/>
    </row>
    <row r="401" spans="2:13">
      <c r="B401" s="59"/>
      <c r="C401" s="65" t="s">
        <v>155</v>
      </c>
      <c r="D401" s="66" t="s">
        <v>156</v>
      </c>
      <c r="E401" s="63"/>
      <c r="F401" s="63"/>
      <c r="G401" s="63"/>
      <c r="H401" s="63"/>
      <c r="I401" s="63"/>
      <c r="J401" s="63"/>
      <c r="K401" s="64"/>
      <c r="L401" s="60"/>
      <c r="M401" s="51"/>
    </row>
    <row r="402" spans="2:13">
      <c r="B402" s="59"/>
      <c r="C402" s="65" t="s">
        <v>157</v>
      </c>
      <c r="D402" s="66" t="s">
        <v>177</v>
      </c>
      <c r="E402" s="63"/>
      <c r="F402" s="63"/>
      <c r="G402" s="63"/>
      <c r="H402" s="63"/>
      <c r="I402" s="63"/>
      <c r="J402" s="63"/>
      <c r="K402" s="64"/>
      <c r="L402" s="60"/>
      <c r="M402" s="51"/>
    </row>
    <row r="403" spans="2:13">
      <c r="B403" s="59"/>
      <c r="C403" s="65" t="s">
        <v>159</v>
      </c>
      <c r="D403" s="66" t="s">
        <v>200</v>
      </c>
      <c r="E403" s="63"/>
      <c r="F403" s="63"/>
      <c r="G403" s="63"/>
      <c r="H403" s="63"/>
      <c r="I403" s="63"/>
      <c r="J403" s="63"/>
      <c r="K403" s="64"/>
      <c r="L403" s="60"/>
      <c r="M403" s="51"/>
    </row>
    <row r="404" spans="2:13">
      <c r="B404" s="59"/>
      <c r="C404" s="30"/>
      <c r="D404" s="60"/>
      <c r="E404" s="60"/>
      <c r="F404" s="60"/>
      <c r="G404" s="60"/>
      <c r="H404" s="60"/>
      <c r="I404" s="60"/>
      <c r="J404" s="60"/>
      <c r="K404" s="60"/>
      <c r="L404" s="60"/>
      <c r="M404" s="51"/>
    </row>
    <row r="405" spans="2:13">
      <c r="B405" s="59"/>
      <c r="C405" s="30"/>
      <c r="D405" s="60"/>
      <c r="E405" s="60"/>
      <c r="F405" s="60"/>
      <c r="G405" s="60"/>
      <c r="H405" s="60"/>
      <c r="I405" s="60"/>
      <c r="J405" s="60"/>
      <c r="K405" s="60"/>
      <c r="L405" s="60"/>
      <c r="M405" s="51"/>
    </row>
    <row r="406" spans="2:13">
      <c r="B406" s="46"/>
      <c r="C406" s="47" t="s">
        <v>124</v>
      </c>
      <c r="D406" s="48" t="s">
        <v>181</v>
      </c>
      <c r="E406" s="49"/>
      <c r="F406" s="50"/>
      <c r="G406" s="50"/>
      <c r="H406" s="50"/>
      <c r="I406" s="69"/>
      <c r="J406" s="50"/>
      <c r="K406" s="50"/>
      <c r="L406" s="50"/>
      <c r="M406" s="51"/>
    </row>
    <row r="407" spans="2:13" s="52" customFormat="1" ht="13.5">
      <c r="B407" s="43"/>
      <c r="C407" s="53" t="s">
        <v>126</v>
      </c>
      <c r="D407" s="44"/>
      <c r="E407" s="44"/>
      <c r="F407" s="44"/>
      <c r="G407" s="44"/>
      <c r="H407" s="44"/>
      <c r="I407" s="44"/>
      <c r="J407" s="44"/>
      <c r="K407" s="44"/>
      <c r="L407" s="44"/>
      <c r="M407" s="45"/>
    </row>
    <row r="408" spans="2:13" s="52" customFormat="1" ht="13.5">
      <c r="B408" s="43"/>
      <c r="C408" s="54"/>
      <c r="D408" s="55"/>
      <c r="E408" s="56" t="s">
        <v>127</v>
      </c>
      <c r="F408" s="56" t="s">
        <v>128</v>
      </c>
      <c r="G408" s="57"/>
      <c r="H408" s="44"/>
      <c r="I408" s="44"/>
      <c r="J408" s="44"/>
      <c r="K408" s="44"/>
      <c r="L408" s="44"/>
      <c r="M408" s="45"/>
    </row>
    <row r="409" spans="2:13" s="52" customFormat="1" ht="13.5">
      <c r="B409" s="43"/>
      <c r="C409" s="54"/>
      <c r="D409" s="55"/>
      <c r="E409" s="56" t="s">
        <v>129</v>
      </c>
      <c r="F409" s="56" t="s">
        <v>130</v>
      </c>
      <c r="G409" s="57"/>
      <c r="H409" s="44"/>
      <c r="I409" s="44"/>
      <c r="J409" s="44"/>
      <c r="K409" s="44"/>
      <c r="L409" s="44"/>
      <c r="M409" s="45"/>
    </row>
    <row r="410" spans="2:13" s="52" customFormat="1" ht="13.5">
      <c r="B410" s="43"/>
      <c r="C410" s="55" t="s">
        <v>131</v>
      </c>
      <c r="D410" s="55"/>
      <c r="E410" s="56" t="s">
        <v>132</v>
      </c>
      <c r="F410" s="56" t="s">
        <v>162</v>
      </c>
      <c r="G410" s="57"/>
      <c r="H410" s="44"/>
      <c r="I410" s="44"/>
      <c r="J410" s="44"/>
      <c r="K410" s="44"/>
      <c r="L410" s="44"/>
      <c r="M410" s="45"/>
    </row>
    <row r="411" spans="2:13" s="52" customFormat="1" ht="13.5">
      <c r="B411" s="43"/>
      <c r="C411" s="55" t="s">
        <v>134</v>
      </c>
      <c r="D411" s="55"/>
      <c r="E411" s="56" t="s">
        <v>135</v>
      </c>
      <c r="F411" s="56" t="s">
        <v>136</v>
      </c>
      <c r="G411" s="57"/>
      <c r="H411" s="44"/>
      <c r="I411" s="44"/>
      <c r="J411" s="44"/>
      <c r="K411" s="44"/>
      <c r="L411" s="44"/>
      <c r="M411" s="45"/>
    </row>
    <row r="412" spans="2:13" s="52" customFormat="1" ht="13.5">
      <c r="B412" s="43"/>
      <c r="C412" s="55" t="s">
        <v>137</v>
      </c>
      <c r="D412" s="55"/>
      <c r="E412" s="56" t="s">
        <v>135</v>
      </c>
      <c r="F412" s="56" t="s">
        <v>138</v>
      </c>
      <c r="G412" s="57"/>
      <c r="H412" s="44"/>
      <c r="I412" s="44"/>
      <c r="J412" s="44"/>
      <c r="K412" s="44"/>
      <c r="L412" s="44"/>
      <c r="M412" s="45"/>
    </row>
    <row r="413" spans="2:13" s="52" customFormat="1" ht="13.5">
      <c r="B413" s="43"/>
      <c r="C413" s="55" t="s">
        <v>139</v>
      </c>
      <c r="D413" s="55"/>
      <c r="E413" s="56" t="s">
        <v>135</v>
      </c>
      <c r="F413" s="56" t="s">
        <v>173</v>
      </c>
      <c r="G413" s="57"/>
      <c r="H413" s="44"/>
      <c r="I413" s="44"/>
      <c r="J413" s="44"/>
      <c r="K413" s="44"/>
      <c r="L413" s="44"/>
      <c r="M413" s="45"/>
    </row>
    <row r="414" spans="2:13" s="52" customFormat="1" ht="13.5">
      <c r="B414" s="43"/>
      <c r="C414" s="55" t="s">
        <v>140</v>
      </c>
      <c r="D414" s="55"/>
      <c r="E414" s="56" t="s">
        <v>135</v>
      </c>
      <c r="F414" s="56" t="s">
        <v>141</v>
      </c>
      <c r="G414" s="57"/>
      <c r="H414" s="44"/>
      <c r="I414" s="44"/>
      <c r="J414" s="44"/>
      <c r="K414" s="44"/>
      <c r="L414" s="44"/>
      <c r="M414" s="45"/>
    </row>
    <row r="415" spans="2:13" s="52" customFormat="1" ht="13.5">
      <c r="B415" s="43"/>
      <c r="C415" s="55" t="s">
        <v>142</v>
      </c>
      <c r="D415" s="55"/>
      <c r="E415" s="56" t="s">
        <v>135</v>
      </c>
      <c r="F415" s="56" t="s">
        <v>143</v>
      </c>
      <c r="G415" s="57"/>
      <c r="H415" s="44"/>
      <c r="I415" s="44"/>
      <c r="J415" s="44"/>
      <c r="K415" s="44"/>
      <c r="L415" s="44"/>
      <c r="M415" s="45"/>
    </row>
    <row r="416" spans="2:13" s="52" customFormat="1" ht="13.5">
      <c r="B416" s="43"/>
      <c r="C416" s="55" t="s">
        <v>144</v>
      </c>
      <c r="D416" s="55"/>
      <c r="E416" s="56" t="s">
        <v>135</v>
      </c>
      <c r="F416" s="56" t="s">
        <v>145</v>
      </c>
      <c r="G416" s="57"/>
      <c r="H416" s="44"/>
      <c r="I416" s="44"/>
      <c r="J416" s="44"/>
      <c r="K416" s="44"/>
      <c r="L416" s="44"/>
      <c r="M416" s="45"/>
    </row>
    <row r="417" spans="2:13" s="52" customFormat="1" ht="13.5">
      <c r="B417" s="43"/>
      <c r="C417" s="55" t="s">
        <v>146</v>
      </c>
      <c r="D417" s="55"/>
      <c r="E417" s="56" t="s">
        <v>135</v>
      </c>
      <c r="F417" s="58" t="s">
        <v>193</v>
      </c>
      <c r="G417" s="57"/>
      <c r="H417" s="44"/>
      <c r="I417" s="44"/>
      <c r="J417" s="44"/>
      <c r="K417" s="44"/>
      <c r="L417" s="44"/>
      <c r="M417" s="45"/>
    </row>
    <row r="418" spans="2:13" s="52" customFormat="1" ht="13.5">
      <c r="B418" s="43"/>
      <c r="C418" s="55" t="s">
        <v>148</v>
      </c>
      <c r="D418" s="55"/>
      <c r="E418" s="56" t="s">
        <v>135</v>
      </c>
      <c r="F418" s="56" t="s">
        <v>149</v>
      </c>
      <c r="G418" s="57"/>
      <c r="H418" s="44"/>
      <c r="I418" s="44"/>
      <c r="J418" s="44"/>
      <c r="K418" s="44"/>
      <c r="L418" s="44"/>
      <c r="M418" s="45"/>
    </row>
    <row r="419" spans="2:13" s="52" customFormat="1" ht="13.5">
      <c r="B419" s="43"/>
      <c r="C419" s="55" t="s">
        <v>150</v>
      </c>
      <c r="D419" s="55"/>
      <c r="E419" s="56" t="s">
        <v>135</v>
      </c>
      <c r="F419" s="56" t="s">
        <v>151</v>
      </c>
      <c r="G419" s="57"/>
      <c r="H419" s="44"/>
      <c r="I419" s="44"/>
      <c r="J419" s="44"/>
      <c r="K419" s="44"/>
      <c r="L419" s="44"/>
      <c r="M419" s="45"/>
    </row>
    <row r="420" spans="2:13" s="52" customFormat="1" ht="13.5">
      <c r="B420" s="43"/>
      <c r="C420" s="55"/>
      <c r="D420" s="55"/>
      <c r="E420" s="56" t="s">
        <v>152</v>
      </c>
      <c r="F420" s="56"/>
      <c r="G420" s="57"/>
      <c r="H420" s="44"/>
      <c r="I420" s="44"/>
      <c r="J420" s="44"/>
      <c r="K420" s="44"/>
      <c r="L420" s="44"/>
      <c r="M420" s="45"/>
    </row>
    <row r="421" spans="2:13" s="52" customFormat="1" ht="13.5">
      <c r="B421" s="43"/>
      <c r="C421" s="44"/>
      <c r="D421" s="44"/>
      <c r="E421" s="44"/>
      <c r="F421" s="44"/>
      <c r="G421" s="44"/>
      <c r="H421" s="44"/>
      <c r="I421" s="44"/>
      <c r="J421" s="44"/>
      <c r="K421" s="44"/>
      <c r="L421" s="44"/>
      <c r="M421" s="45"/>
    </row>
    <row r="422" spans="2:13">
      <c r="B422" s="59"/>
      <c r="C422" s="53" t="s">
        <v>153</v>
      </c>
      <c r="D422" s="70" t="s">
        <v>201</v>
      </c>
      <c r="E422" s="60"/>
      <c r="F422" s="60"/>
      <c r="G422" s="60"/>
      <c r="H422" s="60"/>
      <c r="I422" s="60"/>
      <c r="J422" s="60"/>
      <c r="K422" s="60"/>
      <c r="L422" s="60"/>
      <c r="M422" s="51"/>
    </row>
    <row r="423" spans="2:13">
      <c r="B423" s="59"/>
      <c r="C423" s="30"/>
      <c r="D423" s="28"/>
      <c r="E423" s="60"/>
      <c r="F423" s="60"/>
      <c r="G423" s="60"/>
      <c r="H423" s="60"/>
      <c r="I423" s="60"/>
      <c r="J423" s="60"/>
      <c r="K423" s="60"/>
      <c r="L423" s="60"/>
      <c r="M423" s="51"/>
    </row>
    <row r="424" spans="2:13">
      <c r="B424" s="59"/>
      <c r="C424" s="30"/>
      <c r="D424" s="60"/>
      <c r="E424" s="60"/>
      <c r="F424" s="60"/>
      <c r="G424" s="60"/>
      <c r="H424" s="60"/>
      <c r="I424" s="60"/>
      <c r="J424" s="60"/>
      <c r="K424" s="60"/>
      <c r="L424" s="60"/>
      <c r="M424" s="51"/>
    </row>
    <row r="425" spans="2:13">
      <c r="B425" s="46"/>
      <c r="C425" s="47" t="s">
        <v>124</v>
      </c>
      <c r="D425" s="48" t="s">
        <v>183</v>
      </c>
      <c r="E425" s="49"/>
      <c r="F425" s="50"/>
      <c r="G425" s="50"/>
      <c r="H425" s="50"/>
      <c r="I425" s="69"/>
      <c r="J425" s="50"/>
      <c r="K425" s="50"/>
      <c r="L425" s="50"/>
      <c r="M425" s="51"/>
    </row>
    <row r="426" spans="2:13" s="52" customFormat="1" ht="13.5">
      <c r="B426" s="43"/>
      <c r="C426" s="53" t="s">
        <v>126</v>
      </c>
      <c r="D426" s="44"/>
      <c r="E426" s="44"/>
      <c r="F426" s="44"/>
      <c r="G426" s="44"/>
      <c r="H426" s="44"/>
      <c r="I426" s="44"/>
      <c r="J426" s="44"/>
      <c r="K426" s="44"/>
      <c r="L426" s="44"/>
      <c r="M426" s="45"/>
    </row>
    <row r="427" spans="2:13" s="52" customFormat="1" ht="13.5">
      <c r="B427" s="43"/>
      <c r="C427" s="54"/>
      <c r="D427" s="55"/>
      <c r="E427" s="56" t="s">
        <v>127</v>
      </c>
      <c r="F427" s="56" t="s">
        <v>128</v>
      </c>
      <c r="G427" s="57"/>
      <c r="H427" s="44"/>
      <c r="I427" s="44"/>
      <c r="J427" s="44"/>
      <c r="K427" s="44"/>
      <c r="L427" s="44"/>
      <c r="M427" s="45"/>
    </row>
    <row r="428" spans="2:13" s="52" customFormat="1" ht="13.5">
      <c r="B428" s="43"/>
      <c r="C428" s="54"/>
      <c r="D428" s="55"/>
      <c r="E428" s="56" t="s">
        <v>129</v>
      </c>
      <c r="F428" s="56" t="s">
        <v>130</v>
      </c>
      <c r="G428" s="57"/>
      <c r="H428" s="44"/>
      <c r="I428" s="44"/>
      <c r="J428" s="44"/>
      <c r="K428" s="44"/>
      <c r="L428" s="44"/>
      <c r="M428" s="45"/>
    </row>
    <row r="429" spans="2:13" s="52" customFormat="1" ht="13.5">
      <c r="B429" s="43"/>
      <c r="C429" s="55" t="s">
        <v>202</v>
      </c>
      <c r="D429" s="55"/>
      <c r="E429" s="56" t="s">
        <v>132</v>
      </c>
      <c r="F429" s="56" t="s">
        <v>162</v>
      </c>
      <c r="G429" s="57"/>
      <c r="H429" s="44"/>
      <c r="I429" s="44"/>
      <c r="J429" s="44"/>
      <c r="K429" s="44"/>
      <c r="L429" s="44"/>
      <c r="M429" s="45"/>
    </row>
    <row r="430" spans="2:13" s="52" customFormat="1" ht="13.5">
      <c r="B430" s="43"/>
      <c r="C430" s="55" t="s">
        <v>203</v>
      </c>
      <c r="D430" s="55"/>
      <c r="E430" s="56" t="s">
        <v>135</v>
      </c>
      <c r="F430" s="56" t="s">
        <v>136</v>
      </c>
      <c r="G430" s="57"/>
      <c r="H430" s="44"/>
      <c r="I430" s="44"/>
      <c r="J430" s="44"/>
      <c r="K430" s="44"/>
      <c r="L430" s="44"/>
      <c r="M430" s="45"/>
    </row>
    <row r="431" spans="2:13" s="52" customFormat="1" ht="13.5">
      <c r="B431" s="43"/>
      <c r="C431" s="55" t="s">
        <v>204</v>
      </c>
      <c r="D431" s="55"/>
      <c r="E431" s="56" t="s">
        <v>135</v>
      </c>
      <c r="F431" s="56" t="s">
        <v>138</v>
      </c>
      <c r="G431" s="57"/>
      <c r="H431" s="44"/>
      <c r="I431" s="44"/>
      <c r="J431" s="44"/>
      <c r="K431" s="44"/>
      <c r="L431" s="44"/>
      <c r="M431" s="45"/>
    </row>
    <row r="432" spans="2:13" s="52" customFormat="1" ht="13.5">
      <c r="B432" s="43"/>
      <c r="C432" s="55" t="s">
        <v>139</v>
      </c>
      <c r="D432" s="55"/>
      <c r="E432" s="56" t="s">
        <v>135</v>
      </c>
      <c r="F432" s="56" t="s">
        <v>173</v>
      </c>
      <c r="G432" s="57"/>
      <c r="H432" s="44"/>
      <c r="I432" s="44"/>
      <c r="J432" s="44"/>
      <c r="K432" s="44"/>
      <c r="L432" s="44"/>
      <c r="M432" s="45"/>
    </row>
    <row r="433" spans="2:13" s="52" customFormat="1" ht="13.5">
      <c r="B433" s="43"/>
      <c r="C433" s="55" t="s">
        <v>140</v>
      </c>
      <c r="D433" s="55"/>
      <c r="E433" s="56" t="s">
        <v>135</v>
      </c>
      <c r="F433" s="56" t="s">
        <v>141</v>
      </c>
      <c r="G433" s="57"/>
      <c r="H433" s="44"/>
      <c r="I433" s="44"/>
      <c r="J433" s="44"/>
      <c r="K433" s="44"/>
      <c r="L433" s="44"/>
      <c r="M433" s="45"/>
    </row>
    <row r="434" spans="2:13" s="52" customFormat="1" ht="13.5">
      <c r="B434" s="43"/>
      <c r="C434" s="55" t="s">
        <v>142</v>
      </c>
      <c r="D434" s="55"/>
      <c r="E434" s="56" t="s">
        <v>135</v>
      </c>
      <c r="F434" s="56" t="s">
        <v>143</v>
      </c>
      <c r="G434" s="57"/>
      <c r="H434" s="44"/>
      <c r="I434" s="44"/>
      <c r="J434" s="44"/>
      <c r="K434" s="44"/>
      <c r="L434" s="44"/>
      <c r="M434" s="45"/>
    </row>
    <row r="435" spans="2:13" s="52" customFormat="1" ht="13.5">
      <c r="B435" s="43"/>
      <c r="C435" s="55" t="s">
        <v>144</v>
      </c>
      <c r="D435" s="55"/>
      <c r="E435" s="56" t="s">
        <v>135</v>
      </c>
      <c r="F435" s="56" t="s">
        <v>145</v>
      </c>
      <c r="G435" s="57"/>
      <c r="H435" s="44"/>
      <c r="I435" s="44"/>
      <c r="J435" s="44"/>
      <c r="K435" s="44"/>
      <c r="L435" s="44"/>
      <c r="M435" s="45"/>
    </row>
    <row r="436" spans="2:13" s="52" customFormat="1" ht="13.5">
      <c r="B436" s="43"/>
      <c r="C436" s="55" t="s">
        <v>146</v>
      </c>
      <c r="D436" s="55"/>
      <c r="E436" s="56" t="s">
        <v>135</v>
      </c>
      <c r="F436" s="56" t="s">
        <v>147</v>
      </c>
      <c r="G436" s="57"/>
      <c r="H436" s="44"/>
      <c r="I436" s="44"/>
      <c r="J436" s="44"/>
      <c r="K436" s="44"/>
      <c r="L436" s="44"/>
      <c r="M436" s="45"/>
    </row>
    <row r="437" spans="2:13" s="52" customFormat="1" ht="13.5">
      <c r="B437" s="43"/>
      <c r="C437" s="55" t="s">
        <v>148</v>
      </c>
      <c r="D437" s="55"/>
      <c r="E437" s="56" t="s">
        <v>135</v>
      </c>
      <c r="F437" s="58" t="s">
        <v>193</v>
      </c>
      <c r="G437" s="57"/>
      <c r="H437" s="44"/>
      <c r="I437" s="44"/>
      <c r="J437" s="44"/>
      <c r="K437" s="44"/>
      <c r="L437" s="44"/>
      <c r="M437" s="45"/>
    </row>
    <row r="438" spans="2:13" s="52" customFormat="1" ht="13.5">
      <c r="B438" s="43"/>
      <c r="C438" s="55" t="s">
        <v>150</v>
      </c>
      <c r="D438" s="55"/>
      <c r="E438" s="56" t="s">
        <v>135</v>
      </c>
      <c r="F438" s="56" t="s">
        <v>151</v>
      </c>
      <c r="G438" s="57"/>
      <c r="H438" s="44"/>
      <c r="I438" s="44"/>
      <c r="J438" s="44"/>
      <c r="K438" s="44"/>
      <c r="L438" s="44"/>
      <c r="M438" s="45"/>
    </row>
    <row r="439" spans="2:13" s="52" customFormat="1" ht="13.5">
      <c r="B439" s="43"/>
      <c r="C439" s="55"/>
      <c r="D439" s="55"/>
      <c r="E439" s="56" t="s">
        <v>152</v>
      </c>
      <c r="F439" s="56"/>
      <c r="G439" s="57"/>
      <c r="H439" s="44"/>
      <c r="I439" s="44"/>
      <c r="J439" s="44"/>
      <c r="K439" s="44"/>
      <c r="L439" s="44"/>
      <c r="M439" s="45"/>
    </row>
    <row r="440" spans="2:13" s="52" customFormat="1" ht="13.5">
      <c r="B440" s="43"/>
      <c r="C440" s="44"/>
      <c r="D440" s="44"/>
      <c r="E440" s="44"/>
      <c r="F440" s="44"/>
      <c r="G440" s="44"/>
      <c r="H440" s="44"/>
      <c r="I440" s="44"/>
      <c r="J440" s="44"/>
      <c r="K440" s="44"/>
      <c r="L440" s="44"/>
      <c r="M440" s="45"/>
    </row>
    <row r="441" spans="2:13">
      <c r="B441" s="59"/>
      <c r="C441" s="53" t="s">
        <v>153</v>
      </c>
      <c r="D441" s="60"/>
      <c r="E441" s="60"/>
      <c r="F441" s="60"/>
      <c r="G441" s="60"/>
      <c r="H441" s="60"/>
      <c r="I441" s="60"/>
      <c r="J441" s="60"/>
      <c r="K441" s="60"/>
      <c r="L441" s="60"/>
      <c r="M441" s="51"/>
    </row>
    <row r="442" spans="2:13">
      <c r="B442" s="59"/>
      <c r="C442" s="61" t="s">
        <v>154</v>
      </c>
      <c r="D442" s="62">
        <v>-2</v>
      </c>
      <c r="E442" s="63"/>
      <c r="F442" s="63"/>
      <c r="G442" s="63"/>
      <c r="H442" s="63"/>
      <c r="I442" s="63"/>
      <c r="J442" s="63"/>
      <c r="K442" s="64"/>
      <c r="L442" s="60"/>
      <c r="M442" s="51"/>
    </row>
    <row r="443" spans="2:13">
      <c r="B443" s="59"/>
      <c r="C443" s="65" t="s">
        <v>155</v>
      </c>
      <c r="D443" s="66" t="s">
        <v>156</v>
      </c>
      <c r="E443" s="63"/>
      <c r="F443" s="63"/>
      <c r="G443" s="63"/>
      <c r="H443" s="63"/>
      <c r="I443" s="63"/>
      <c r="J443" s="63"/>
      <c r="K443" s="64"/>
      <c r="L443" s="60"/>
      <c r="M443" s="51"/>
    </row>
    <row r="444" spans="2:13">
      <c r="B444" s="59"/>
      <c r="C444" s="65" t="s">
        <v>205</v>
      </c>
      <c r="D444" s="66" t="s">
        <v>184</v>
      </c>
      <c r="E444" s="63"/>
      <c r="F444" s="63"/>
      <c r="G444" s="63"/>
      <c r="H444" s="63"/>
      <c r="I444" s="63"/>
      <c r="J444" s="63"/>
      <c r="K444" s="64"/>
      <c r="L444" s="60"/>
      <c r="M444" s="51"/>
    </row>
    <row r="445" spans="2:13">
      <c r="B445" s="59"/>
      <c r="C445" s="65" t="s">
        <v>159</v>
      </c>
      <c r="D445" s="66" t="s">
        <v>206</v>
      </c>
      <c r="E445" s="63"/>
      <c r="F445" s="63"/>
      <c r="G445" s="63"/>
      <c r="H445" s="63"/>
      <c r="I445" s="63"/>
      <c r="J445" s="63"/>
      <c r="K445" s="64"/>
      <c r="L445" s="60"/>
      <c r="M445" s="51"/>
    </row>
    <row r="446" spans="2:13">
      <c r="B446" s="59"/>
      <c r="C446" s="30"/>
      <c r="D446" s="60"/>
      <c r="E446" s="60"/>
      <c r="F446" s="60"/>
      <c r="G446" s="60"/>
      <c r="H446" s="60"/>
      <c r="I446" s="60"/>
      <c r="J446" s="60"/>
      <c r="K446" s="60"/>
      <c r="L446" s="60"/>
      <c r="M446" s="51"/>
    </row>
    <row r="447" spans="2:13">
      <c r="B447" s="59"/>
      <c r="C447" s="30"/>
      <c r="D447" s="60"/>
      <c r="E447" s="60"/>
      <c r="F447" s="60"/>
      <c r="G447" s="60"/>
      <c r="H447" s="60"/>
      <c r="I447" s="60"/>
      <c r="J447" s="60"/>
      <c r="K447" s="60"/>
      <c r="L447" s="60"/>
      <c r="M447" s="51"/>
    </row>
    <row r="448" spans="2:13">
      <c r="B448" s="46"/>
      <c r="C448" s="47" t="s">
        <v>124</v>
      </c>
      <c r="D448" s="48" t="s">
        <v>186</v>
      </c>
      <c r="E448" s="49"/>
      <c r="F448" s="50"/>
      <c r="G448" s="50"/>
      <c r="H448" s="50"/>
      <c r="I448" s="69"/>
      <c r="J448" s="50"/>
      <c r="K448" s="50"/>
      <c r="L448" s="50"/>
      <c r="M448" s="51"/>
    </row>
    <row r="449" spans="2:13" s="52" customFormat="1" ht="13.5">
      <c r="B449" s="43"/>
      <c r="C449" s="53" t="s">
        <v>126</v>
      </c>
      <c r="D449" s="44"/>
      <c r="E449" s="44"/>
      <c r="F449" s="44"/>
      <c r="G449" s="44"/>
      <c r="H449" s="44"/>
      <c r="I449" s="44"/>
      <c r="J449" s="44"/>
      <c r="K449" s="44"/>
      <c r="L449" s="44"/>
      <c r="M449" s="45"/>
    </row>
    <row r="450" spans="2:13" s="52" customFormat="1" ht="13.5">
      <c r="B450" s="43"/>
      <c r="C450" s="54"/>
      <c r="D450" s="55"/>
      <c r="E450" s="56" t="s">
        <v>127</v>
      </c>
      <c r="F450" s="56" t="s">
        <v>128</v>
      </c>
      <c r="G450" s="57"/>
      <c r="H450" s="44"/>
      <c r="I450" s="44"/>
      <c r="J450" s="44"/>
      <c r="K450" s="44"/>
      <c r="L450" s="44"/>
      <c r="M450" s="45"/>
    </row>
    <row r="451" spans="2:13" s="52" customFormat="1" ht="13.5">
      <c r="B451" s="43"/>
      <c r="C451" s="54"/>
      <c r="D451" s="55"/>
      <c r="E451" s="56" t="s">
        <v>129</v>
      </c>
      <c r="F451" s="56" t="s">
        <v>130</v>
      </c>
      <c r="G451" s="57"/>
      <c r="H451" s="44"/>
      <c r="I451" s="44"/>
      <c r="J451" s="44"/>
      <c r="K451" s="44"/>
      <c r="L451" s="44"/>
      <c r="M451" s="45"/>
    </row>
    <row r="452" spans="2:13" s="52" customFormat="1" ht="13.5">
      <c r="B452" s="43"/>
      <c r="C452" s="55" t="s">
        <v>202</v>
      </c>
      <c r="D452" s="55"/>
      <c r="E452" s="56" t="s">
        <v>132</v>
      </c>
      <c r="F452" s="56" t="s">
        <v>162</v>
      </c>
      <c r="G452" s="57"/>
      <c r="H452" s="44"/>
      <c r="I452" s="44"/>
      <c r="J452" s="44"/>
      <c r="K452" s="44"/>
      <c r="L452" s="44"/>
      <c r="M452" s="45"/>
    </row>
    <row r="453" spans="2:13" s="52" customFormat="1" ht="13.5">
      <c r="B453" s="43"/>
      <c r="C453" s="55" t="s">
        <v>203</v>
      </c>
      <c r="D453" s="55"/>
      <c r="E453" s="56" t="s">
        <v>135</v>
      </c>
      <c r="F453" s="56" t="s">
        <v>136</v>
      </c>
      <c r="G453" s="57"/>
      <c r="H453" s="44"/>
      <c r="I453" s="44"/>
      <c r="J453" s="44"/>
      <c r="K453" s="44"/>
      <c r="L453" s="44"/>
      <c r="M453" s="45"/>
    </row>
    <row r="454" spans="2:13" s="52" customFormat="1" ht="13.5">
      <c r="B454" s="43"/>
      <c r="C454" s="55" t="s">
        <v>204</v>
      </c>
      <c r="D454" s="55"/>
      <c r="E454" s="56" t="s">
        <v>135</v>
      </c>
      <c r="F454" s="56" t="s">
        <v>138</v>
      </c>
      <c r="G454" s="57"/>
      <c r="H454" s="44"/>
      <c r="I454" s="44"/>
      <c r="J454" s="44"/>
      <c r="K454" s="44"/>
      <c r="L454" s="44"/>
      <c r="M454" s="45"/>
    </row>
    <row r="455" spans="2:13" s="52" customFormat="1" ht="13.5">
      <c r="B455" s="43"/>
      <c r="C455" s="55" t="s">
        <v>139</v>
      </c>
      <c r="D455" s="55"/>
      <c r="E455" s="56" t="s">
        <v>135</v>
      </c>
      <c r="F455" s="56" t="s">
        <v>173</v>
      </c>
      <c r="G455" s="57"/>
      <c r="H455" s="44"/>
      <c r="I455" s="44"/>
      <c r="J455" s="44"/>
      <c r="K455" s="44"/>
      <c r="L455" s="44"/>
      <c r="M455" s="45"/>
    </row>
    <row r="456" spans="2:13" s="52" customFormat="1" ht="13.5">
      <c r="B456" s="43"/>
      <c r="C456" s="55" t="s">
        <v>140</v>
      </c>
      <c r="D456" s="55"/>
      <c r="E456" s="56" t="s">
        <v>135</v>
      </c>
      <c r="F456" s="56" t="s">
        <v>141</v>
      </c>
      <c r="G456" s="57"/>
      <c r="H456" s="44"/>
      <c r="I456" s="44"/>
      <c r="J456" s="44"/>
      <c r="K456" s="44"/>
      <c r="L456" s="44"/>
      <c r="M456" s="45"/>
    </row>
    <row r="457" spans="2:13" s="52" customFormat="1" ht="13.5">
      <c r="B457" s="43"/>
      <c r="C457" s="55" t="s">
        <v>142</v>
      </c>
      <c r="D457" s="55"/>
      <c r="E457" s="56" t="s">
        <v>135</v>
      </c>
      <c r="F457" s="56" t="s">
        <v>143</v>
      </c>
      <c r="G457" s="57"/>
      <c r="H457" s="44"/>
      <c r="I457" s="44"/>
      <c r="J457" s="44"/>
      <c r="K457" s="44"/>
      <c r="L457" s="44"/>
      <c r="M457" s="45"/>
    </row>
    <row r="458" spans="2:13" s="52" customFormat="1" ht="13.5">
      <c r="B458" s="43"/>
      <c r="C458" s="55" t="s">
        <v>144</v>
      </c>
      <c r="D458" s="55"/>
      <c r="E458" s="56" t="s">
        <v>135</v>
      </c>
      <c r="F458" s="56" t="s">
        <v>145</v>
      </c>
      <c r="G458" s="57"/>
      <c r="H458" s="44"/>
      <c r="I458" s="44"/>
      <c r="J458" s="44"/>
      <c r="K458" s="44"/>
      <c r="L458" s="44"/>
      <c r="M458" s="45"/>
    </row>
    <row r="459" spans="2:13" s="52" customFormat="1" ht="13.5">
      <c r="B459" s="43"/>
      <c r="C459" s="55" t="s">
        <v>146</v>
      </c>
      <c r="D459" s="55"/>
      <c r="E459" s="56" t="s">
        <v>135</v>
      </c>
      <c r="F459" s="56" t="s">
        <v>147</v>
      </c>
      <c r="G459" s="57"/>
      <c r="H459" s="44"/>
      <c r="I459" s="44"/>
      <c r="J459" s="44"/>
      <c r="K459" s="44"/>
      <c r="L459" s="44"/>
      <c r="M459" s="45"/>
    </row>
    <row r="460" spans="2:13" s="52" customFormat="1" ht="13.5">
      <c r="B460" s="43"/>
      <c r="C460" s="55" t="s">
        <v>148</v>
      </c>
      <c r="D460" s="55"/>
      <c r="E460" s="56" t="s">
        <v>135</v>
      </c>
      <c r="F460" s="56" t="s">
        <v>149</v>
      </c>
      <c r="G460" s="57"/>
      <c r="H460" s="44"/>
      <c r="I460" s="44"/>
      <c r="J460" s="44"/>
      <c r="K460" s="44"/>
      <c r="L460" s="44"/>
      <c r="M460" s="45"/>
    </row>
    <row r="461" spans="2:13" s="52" customFormat="1" ht="13.5">
      <c r="B461" s="43"/>
      <c r="C461" s="55" t="s">
        <v>150</v>
      </c>
      <c r="D461" s="55"/>
      <c r="E461" s="56" t="s">
        <v>135</v>
      </c>
      <c r="F461" s="58" t="s">
        <v>193</v>
      </c>
      <c r="G461" s="57"/>
      <c r="H461" s="44"/>
      <c r="I461" s="44"/>
      <c r="J461" s="44"/>
      <c r="K461" s="44"/>
      <c r="L461" s="44"/>
      <c r="M461" s="45"/>
    </row>
    <row r="462" spans="2:13" s="52" customFormat="1" ht="13.5">
      <c r="B462" s="43"/>
      <c r="C462" s="55"/>
      <c r="D462" s="55"/>
      <c r="E462" s="56" t="s">
        <v>152</v>
      </c>
      <c r="F462" s="56"/>
      <c r="G462" s="57"/>
      <c r="H462" s="44"/>
      <c r="I462" s="44"/>
      <c r="J462" s="44"/>
      <c r="K462" s="44"/>
      <c r="L462" s="44"/>
      <c r="M462" s="45"/>
    </row>
    <row r="463" spans="2:13" s="52" customFormat="1" ht="13.5">
      <c r="B463" s="43"/>
      <c r="C463" s="44"/>
      <c r="D463" s="44"/>
      <c r="E463" s="44"/>
      <c r="F463" s="44"/>
      <c r="G463" s="44"/>
      <c r="H463" s="44"/>
      <c r="I463" s="44"/>
      <c r="J463" s="44"/>
      <c r="K463" s="44"/>
      <c r="L463" s="44"/>
      <c r="M463" s="45"/>
    </row>
    <row r="464" spans="2:13">
      <c r="B464" s="59"/>
      <c r="C464" s="53" t="s">
        <v>153</v>
      </c>
      <c r="D464" s="60"/>
      <c r="E464" s="60"/>
      <c r="F464" s="60"/>
      <c r="G464" s="60"/>
      <c r="H464" s="60"/>
      <c r="I464" s="60"/>
      <c r="J464" s="60"/>
      <c r="K464" s="60"/>
      <c r="L464" s="60"/>
      <c r="M464" s="51"/>
    </row>
    <row r="465" spans="2:13">
      <c r="B465" s="59"/>
      <c r="C465" s="61" t="s">
        <v>154</v>
      </c>
      <c r="D465" s="62">
        <v>-2</v>
      </c>
      <c r="E465" s="63"/>
      <c r="F465" s="63"/>
      <c r="G465" s="63"/>
      <c r="H465" s="63"/>
      <c r="I465" s="63"/>
      <c r="J465" s="63"/>
      <c r="K465" s="64"/>
      <c r="L465" s="60"/>
      <c r="M465" s="51"/>
    </row>
    <row r="466" spans="2:13">
      <c r="B466" s="59"/>
      <c r="C466" s="65" t="s">
        <v>155</v>
      </c>
      <c r="D466" s="66" t="s">
        <v>156</v>
      </c>
      <c r="E466" s="63"/>
      <c r="F466" s="63"/>
      <c r="G466" s="63"/>
      <c r="H466" s="63"/>
      <c r="I466" s="63"/>
      <c r="J466" s="63"/>
      <c r="K466" s="64"/>
      <c r="L466" s="60"/>
      <c r="M466" s="51"/>
    </row>
    <row r="467" spans="2:13">
      <c r="B467" s="59"/>
      <c r="C467" s="65" t="s">
        <v>205</v>
      </c>
      <c r="D467" s="66" t="s">
        <v>187</v>
      </c>
      <c r="E467" s="63"/>
      <c r="F467" s="63"/>
      <c r="G467" s="63"/>
      <c r="H467" s="63"/>
      <c r="I467" s="63"/>
      <c r="J467" s="63"/>
      <c r="K467" s="64"/>
      <c r="L467" s="60"/>
      <c r="M467" s="51"/>
    </row>
    <row r="468" spans="2:13">
      <c r="B468" s="59"/>
      <c r="C468" s="65" t="s">
        <v>159</v>
      </c>
      <c r="D468" s="66" t="s">
        <v>207</v>
      </c>
      <c r="E468" s="63"/>
      <c r="F468" s="63"/>
      <c r="G468" s="63"/>
      <c r="H468" s="63"/>
      <c r="I468" s="63"/>
      <c r="J468" s="63"/>
      <c r="K468" s="64"/>
      <c r="L468" s="60"/>
      <c r="M468" s="51"/>
    </row>
    <row r="469" spans="2:13">
      <c r="B469" s="59"/>
      <c r="C469" s="30"/>
      <c r="D469" s="60"/>
      <c r="E469" s="60"/>
      <c r="F469" s="60"/>
      <c r="G469" s="60"/>
      <c r="H469" s="60"/>
      <c r="I469" s="60"/>
      <c r="J469" s="60"/>
      <c r="K469" s="60"/>
      <c r="L469" s="60"/>
      <c r="M469" s="51"/>
    </row>
    <row r="470" spans="2:13">
      <c r="B470" s="59"/>
      <c r="C470" s="30"/>
      <c r="D470" s="60"/>
      <c r="E470" s="60"/>
      <c r="F470" s="60"/>
      <c r="G470" s="60"/>
      <c r="H470" s="60"/>
      <c r="I470" s="60"/>
      <c r="J470" s="60"/>
      <c r="K470" s="60"/>
      <c r="L470" s="60"/>
      <c r="M470" s="51"/>
    </row>
    <row r="471" spans="2:13">
      <c r="B471" s="59"/>
      <c r="C471" s="30"/>
      <c r="D471" s="60"/>
      <c r="E471" s="60"/>
      <c r="F471" s="60"/>
      <c r="G471" s="60"/>
      <c r="H471" s="60"/>
      <c r="I471" s="60"/>
      <c r="J471" s="60"/>
      <c r="K471" s="60"/>
      <c r="L471" s="60"/>
      <c r="M471" s="51"/>
    </row>
    <row r="472" spans="2:13">
      <c r="B472" s="59"/>
      <c r="C472" s="30"/>
      <c r="D472" s="60"/>
      <c r="E472" s="60"/>
      <c r="F472" s="60"/>
      <c r="G472" s="60"/>
      <c r="H472" s="60"/>
      <c r="I472" s="60"/>
      <c r="J472" s="60"/>
      <c r="K472" s="60"/>
      <c r="L472" s="60"/>
      <c r="M472" s="51"/>
    </row>
    <row r="473" spans="2:13">
      <c r="B473" s="59"/>
      <c r="C473" s="70" t="s">
        <v>189</v>
      </c>
      <c r="D473" s="71" t="s">
        <v>190</v>
      </c>
      <c r="E473" s="71"/>
      <c r="F473" s="71"/>
      <c r="G473" s="71"/>
      <c r="H473" s="71"/>
      <c r="J473" s="71"/>
      <c r="K473" s="71"/>
      <c r="L473" s="71"/>
      <c r="M473" s="51"/>
    </row>
    <row r="474" spans="2:13">
      <c r="B474" s="59"/>
      <c r="C474" s="70"/>
      <c r="D474" s="71"/>
      <c r="E474" s="71"/>
      <c r="F474" s="71"/>
      <c r="G474" s="71"/>
      <c r="H474" s="71"/>
      <c r="J474" s="71"/>
      <c r="K474" s="71"/>
      <c r="L474" s="71"/>
      <c r="M474" s="51"/>
    </row>
    <row r="475" spans="2:13" ht="15.5" thickBot="1">
      <c r="B475" s="72"/>
      <c r="C475" s="73"/>
      <c r="D475" s="74"/>
      <c r="E475" s="74"/>
      <c r="F475" s="74"/>
      <c r="G475" s="74"/>
      <c r="H475" s="74"/>
      <c r="I475" s="74"/>
      <c r="J475" s="74"/>
      <c r="K475" s="74"/>
      <c r="L475" s="74"/>
      <c r="M475" s="75"/>
    </row>
  </sheetData>
  <phoneticPr fontId="21" type="noConversion"/>
  <hyperlinks>
    <hyperlink ref="A1" location="【TCS】!A1" display="戻る" xr:uid="{3D8884A0-0AF1-4F80-962C-1876AD478F6C}"/>
  </hyperlinks>
  <pageMargins left="0.78700000000000003" right="0.78700000000000003" top="0.98399999999999999" bottom="0.98399999999999999" header="0.51200000000000001" footer="0.51200000000000001"/>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9159-E9F3-46EC-8B41-ECE601F4F81E}">
  <dimension ref="A1:J254"/>
  <sheetViews>
    <sheetView showGridLines="0" workbookViewId="0">
      <pane ySplit="7" topLeftCell="A8" activePane="bottomLeft" state="frozen"/>
      <selection activeCell="H40" sqref="H40"/>
      <selection pane="bottomLeft" activeCell="H40" sqref="H40"/>
    </sheetView>
  </sheetViews>
  <sheetFormatPr defaultRowHeight="15"/>
  <cols>
    <col min="1" max="1" width="3.26953125" style="28" customWidth="1"/>
    <col min="2" max="2" width="7.08984375" style="28" customWidth="1"/>
    <col min="3" max="3" width="3.08984375" style="28" customWidth="1"/>
    <col min="4" max="4" width="4.08984375" style="30" customWidth="1"/>
    <col min="5" max="7" width="9" style="30"/>
    <col min="8" max="8" width="8" style="30" customWidth="1"/>
    <col min="9" max="9" width="7.08984375" style="30" customWidth="1"/>
    <col min="10" max="10" width="41.26953125" style="30" customWidth="1"/>
    <col min="11" max="11" width="9" style="28"/>
    <col min="12" max="12" width="9.7265625" style="28" customWidth="1"/>
    <col min="13" max="14" width="10.26953125" style="28" customWidth="1"/>
    <col min="15" max="15" width="11.26953125" style="28" customWidth="1"/>
    <col min="16" max="16" width="8.6328125" style="28" customWidth="1"/>
    <col min="17" max="17" width="10.36328125" style="28" customWidth="1"/>
    <col min="18" max="18" width="9" style="28"/>
    <col min="19" max="19" width="8.08984375" style="28" customWidth="1"/>
    <col min="20" max="21" width="9.453125" style="28" bestFit="1" customWidth="1"/>
    <col min="22" max="22" width="9.6328125" style="28" customWidth="1"/>
    <col min="23" max="256" width="9" style="28"/>
    <col min="257" max="257" width="3.26953125" style="28" customWidth="1"/>
    <col min="258" max="258" width="7.08984375" style="28" customWidth="1"/>
    <col min="259" max="259" width="3.08984375" style="28" customWidth="1"/>
    <col min="260" max="260" width="4.08984375" style="28" customWidth="1"/>
    <col min="261" max="263" width="9" style="28"/>
    <col min="264" max="264" width="8" style="28" customWidth="1"/>
    <col min="265" max="265" width="7.08984375" style="28" customWidth="1"/>
    <col min="266" max="266" width="41.26953125" style="28" customWidth="1"/>
    <col min="267" max="267" width="9" style="28"/>
    <col min="268" max="268" width="9.7265625" style="28" customWidth="1"/>
    <col min="269" max="270" width="10.26953125" style="28" customWidth="1"/>
    <col min="271" max="271" width="11.26953125" style="28" customWidth="1"/>
    <col min="272" max="272" width="8.6328125" style="28" customWidth="1"/>
    <col min="273" max="273" width="10.36328125" style="28" customWidth="1"/>
    <col min="274" max="274" width="9" style="28"/>
    <col min="275" max="275" width="8.08984375" style="28" customWidth="1"/>
    <col min="276" max="277" width="9.453125" style="28" bestFit="1" customWidth="1"/>
    <col min="278" max="278" width="9.6328125" style="28" customWidth="1"/>
    <col min="279" max="512" width="9" style="28"/>
    <col min="513" max="513" width="3.26953125" style="28" customWidth="1"/>
    <col min="514" max="514" width="7.08984375" style="28" customWidth="1"/>
    <col min="515" max="515" width="3.08984375" style="28" customWidth="1"/>
    <col min="516" max="516" width="4.08984375" style="28" customWidth="1"/>
    <col min="517" max="519" width="9" style="28"/>
    <col min="520" max="520" width="8" style="28" customWidth="1"/>
    <col min="521" max="521" width="7.08984375" style="28" customWidth="1"/>
    <col min="522" max="522" width="41.26953125" style="28" customWidth="1"/>
    <col min="523" max="523" width="9" style="28"/>
    <col min="524" max="524" width="9.7265625" style="28" customWidth="1"/>
    <col min="525" max="526" width="10.26953125" style="28" customWidth="1"/>
    <col min="527" max="527" width="11.26953125" style="28" customWidth="1"/>
    <col min="528" max="528" width="8.6328125" style="28" customWidth="1"/>
    <col min="529" max="529" width="10.36328125" style="28" customWidth="1"/>
    <col min="530" max="530" width="9" style="28"/>
    <col min="531" max="531" width="8.08984375" style="28" customWidth="1"/>
    <col min="532" max="533" width="9.453125" style="28" bestFit="1" customWidth="1"/>
    <col min="534" max="534" width="9.6328125" style="28" customWidth="1"/>
    <col min="535" max="768" width="9" style="28"/>
    <col min="769" max="769" width="3.26953125" style="28" customWidth="1"/>
    <col min="770" max="770" width="7.08984375" style="28" customWidth="1"/>
    <col min="771" max="771" width="3.08984375" style="28" customWidth="1"/>
    <col min="772" max="772" width="4.08984375" style="28" customWidth="1"/>
    <col min="773" max="775" width="9" style="28"/>
    <col min="776" max="776" width="8" style="28" customWidth="1"/>
    <col min="777" max="777" width="7.08984375" style="28" customWidth="1"/>
    <col min="778" max="778" width="41.26953125" style="28" customWidth="1"/>
    <col min="779" max="779" width="9" style="28"/>
    <col min="780" max="780" width="9.7265625" style="28" customWidth="1"/>
    <col min="781" max="782" width="10.26953125" style="28" customWidth="1"/>
    <col min="783" max="783" width="11.26953125" style="28" customWidth="1"/>
    <col min="784" max="784" width="8.6328125" style="28" customWidth="1"/>
    <col min="785" max="785" width="10.36328125" style="28" customWidth="1"/>
    <col min="786" max="786" width="9" style="28"/>
    <col min="787" max="787" width="8.08984375" style="28" customWidth="1"/>
    <col min="788" max="789" width="9.453125" style="28" bestFit="1" customWidth="1"/>
    <col min="790" max="790" width="9.6328125" style="28" customWidth="1"/>
    <col min="791" max="1024" width="9" style="28"/>
    <col min="1025" max="1025" width="3.26953125" style="28" customWidth="1"/>
    <col min="1026" max="1026" width="7.08984375" style="28" customWidth="1"/>
    <col min="1027" max="1027" width="3.08984375" style="28" customWidth="1"/>
    <col min="1028" max="1028" width="4.08984375" style="28" customWidth="1"/>
    <col min="1029" max="1031" width="9" style="28"/>
    <col min="1032" max="1032" width="8" style="28" customWidth="1"/>
    <col min="1033" max="1033" width="7.08984375" style="28" customWidth="1"/>
    <col min="1034" max="1034" width="41.26953125" style="28" customWidth="1"/>
    <col min="1035" max="1035" width="9" style="28"/>
    <col min="1036" max="1036" width="9.7265625" style="28" customWidth="1"/>
    <col min="1037" max="1038" width="10.26953125" style="28" customWidth="1"/>
    <col min="1039" max="1039" width="11.26953125" style="28" customWidth="1"/>
    <col min="1040" max="1040" width="8.6328125" style="28" customWidth="1"/>
    <col min="1041" max="1041" width="10.36328125" style="28" customWidth="1"/>
    <col min="1042" max="1042" width="9" style="28"/>
    <col min="1043" max="1043" width="8.08984375" style="28" customWidth="1"/>
    <col min="1044" max="1045" width="9.453125" style="28" bestFit="1" customWidth="1"/>
    <col min="1046" max="1046" width="9.6328125" style="28" customWidth="1"/>
    <col min="1047" max="1280" width="9" style="28"/>
    <col min="1281" max="1281" width="3.26953125" style="28" customWidth="1"/>
    <col min="1282" max="1282" width="7.08984375" style="28" customWidth="1"/>
    <col min="1283" max="1283" width="3.08984375" style="28" customWidth="1"/>
    <col min="1284" max="1284" width="4.08984375" style="28" customWidth="1"/>
    <col min="1285" max="1287" width="9" style="28"/>
    <col min="1288" max="1288" width="8" style="28" customWidth="1"/>
    <col min="1289" max="1289" width="7.08984375" style="28" customWidth="1"/>
    <col min="1290" max="1290" width="41.26953125" style="28" customWidth="1"/>
    <col min="1291" max="1291" width="9" style="28"/>
    <col min="1292" max="1292" width="9.7265625" style="28" customWidth="1"/>
    <col min="1293" max="1294" width="10.26953125" style="28" customWidth="1"/>
    <col min="1295" max="1295" width="11.26953125" style="28" customWidth="1"/>
    <col min="1296" max="1296" width="8.6328125" style="28" customWidth="1"/>
    <col min="1297" max="1297" width="10.36328125" style="28" customWidth="1"/>
    <col min="1298" max="1298" width="9" style="28"/>
    <col min="1299" max="1299" width="8.08984375" style="28" customWidth="1"/>
    <col min="1300" max="1301" width="9.453125" style="28" bestFit="1" customWidth="1"/>
    <col min="1302" max="1302" width="9.6328125" style="28" customWidth="1"/>
    <col min="1303" max="1536" width="9" style="28"/>
    <col min="1537" max="1537" width="3.26953125" style="28" customWidth="1"/>
    <col min="1538" max="1538" width="7.08984375" style="28" customWidth="1"/>
    <col min="1539" max="1539" width="3.08984375" style="28" customWidth="1"/>
    <col min="1540" max="1540" width="4.08984375" style="28" customWidth="1"/>
    <col min="1541" max="1543" width="9" style="28"/>
    <col min="1544" max="1544" width="8" style="28" customWidth="1"/>
    <col min="1545" max="1545" width="7.08984375" style="28" customWidth="1"/>
    <col min="1546" max="1546" width="41.26953125" style="28" customWidth="1"/>
    <col min="1547" max="1547" width="9" style="28"/>
    <col min="1548" max="1548" width="9.7265625" style="28" customWidth="1"/>
    <col min="1549" max="1550" width="10.26953125" style="28" customWidth="1"/>
    <col min="1551" max="1551" width="11.26953125" style="28" customWidth="1"/>
    <col min="1552" max="1552" width="8.6328125" style="28" customWidth="1"/>
    <col min="1553" max="1553" width="10.36328125" style="28" customWidth="1"/>
    <col min="1554" max="1554" width="9" style="28"/>
    <col min="1555" max="1555" width="8.08984375" style="28" customWidth="1"/>
    <col min="1556" max="1557" width="9.453125" style="28" bestFit="1" customWidth="1"/>
    <col min="1558" max="1558" width="9.6328125" style="28" customWidth="1"/>
    <col min="1559" max="1792" width="9" style="28"/>
    <col min="1793" max="1793" width="3.26953125" style="28" customWidth="1"/>
    <col min="1794" max="1794" width="7.08984375" style="28" customWidth="1"/>
    <col min="1795" max="1795" width="3.08984375" style="28" customWidth="1"/>
    <col min="1796" max="1796" width="4.08984375" style="28" customWidth="1"/>
    <col min="1797" max="1799" width="9" style="28"/>
    <col min="1800" max="1800" width="8" style="28" customWidth="1"/>
    <col min="1801" max="1801" width="7.08984375" style="28" customWidth="1"/>
    <col min="1802" max="1802" width="41.26953125" style="28" customWidth="1"/>
    <col min="1803" max="1803" width="9" style="28"/>
    <col min="1804" max="1804" width="9.7265625" style="28" customWidth="1"/>
    <col min="1805" max="1806" width="10.26953125" style="28" customWidth="1"/>
    <col min="1807" max="1807" width="11.26953125" style="28" customWidth="1"/>
    <col min="1808" max="1808" width="8.6328125" style="28" customWidth="1"/>
    <col min="1809" max="1809" width="10.36328125" style="28" customWidth="1"/>
    <col min="1810" max="1810" width="9" style="28"/>
    <col min="1811" max="1811" width="8.08984375" style="28" customWidth="1"/>
    <col min="1812" max="1813" width="9.453125" style="28" bestFit="1" customWidth="1"/>
    <col min="1814" max="1814" width="9.6328125" style="28" customWidth="1"/>
    <col min="1815" max="2048" width="9" style="28"/>
    <col min="2049" max="2049" width="3.26953125" style="28" customWidth="1"/>
    <col min="2050" max="2050" width="7.08984375" style="28" customWidth="1"/>
    <col min="2051" max="2051" width="3.08984375" style="28" customWidth="1"/>
    <col min="2052" max="2052" width="4.08984375" style="28" customWidth="1"/>
    <col min="2053" max="2055" width="9" style="28"/>
    <col min="2056" max="2056" width="8" style="28" customWidth="1"/>
    <col min="2057" max="2057" width="7.08984375" style="28" customWidth="1"/>
    <col min="2058" max="2058" width="41.26953125" style="28" customWidth="1"/>
    <col min="2059" max="2059" width="9" style="28"/>
    <col min="2060" max="2060" width="9.7265625" style="28" customWidth="1"/>
    <col min="2061" max="2062" width="10.26953125" style="28" customWidth="1"/>
    <col min="2063" max="2063" width="11.26953125" style="28" customWidth="1"/>
    <col min="2064" max="2064" width="8.6328125" style="28" customWidth="1"/>
    <col min="2065" max="2065" width="10.36328125" style="28" customWidth="1"/>
    <col min="2066" max="2066" width="9" style="28"/>
    <col min="2067" max="2067" width="8.08984375" style="28" customWidth="1"/>
    <col min="2068" max="2069" width="9.453125" style="28" bestFit="1" customWidth="1"/>
    <col min="2070" max="2070" width="9.6328125" style="28" customWidth="1"/>
    <col min="2071" max="2304" width="9" style="28"/>
    <col min="2305" max="2305" width="3.26953125" style="28" customWidth="1"/>
    <col min="2306" max="2306" width="7.08984375" style="28" customWidth="1"/>
    <col min="2307" max="2307" width="3.08984375" style="28" customWidth="1"/>
    <col min="2308" max="2308" width="4.08984375" style="28" customWidth="1"/>
    <col min="2309" max="2311" width="9" style="28"/>
    <col min="2312" max="2312" width="8" style="28" customWidth="1"/>
    <col min="2313" max="2313" width="7.08984375" style="28" customWidth="1"/>
    <col min="2314" max="2314" width="41.26953125" style="28" customWidth="1"/>
    <col min="2315" max="2315" width="9" style="28"/>
    <col min="2316" max="2316" width="9.7265625" style="28" customWidth="1"/>
    <col min="2317" max="2318" width="10.26953125" style="28" customWidth="1"/>
    <col min="2319" max="2319" width="11.26953125" style="28" customWidth="1"/>
    <col min="2320" max="2320" width="8.6328125" style="28" customWidth="1"/>
    <col min="2321" max="2321" width="10.36328125" style="28" customWidth="1"/>
    <col min="2322" max="2322" width="9" style="28"/>
    <col min="2323" max="2323" width="8.08984375" style="28" customWidth="1"/>
    <col min="2324" max="2325" width="9.453125" style="28" bestFit="1" customWidth="1"/>
    <col min="2326" max="2326" width="9.6328125" style="28" customWidth="1"/>
    <col min="2327" max="2560" width="9" style="28"/>
    <col min="2561" max="2561" width="3.26953125" style="28" customWidth="1"/>
    <col min="2562" max="2562" width="7.08984375" style="28" customWidth="1"/>
    <col min="2563" max="2563" width="3.08984375" style="28" customWidth="1"/>
    <col min="2564" max="2564" width="4.08984375" style="28" customWidth="1"/>
    <col min="2565" max="2567" width="9" style="28"/>
    <col min="2568" max="2568" width="8" style="28" customWidth="1"/>
    <col min="2569" max="2569" width="7.08984375" style="28" customWidth="1"/>
    <col min="2570" max="2570" width="41.26953125" style="28" customWidth="1"/>
    <col min="2571" max="2571" width="9" style="28"/>
    <col min="2572" max="2572" width="9.7265625" style="28" customWidth="1"/>
    <col min="2573" max="2574" width="10.26953125" style="28" customWidth="1"/>
    <col min="2575" max="2575" width="11.26953125" style="28" customWidth="1"/>
    <col min="2576" max="2576" width="8.6328125" style="28" customWidth="1"/>
    <col min="2577" max="2577" width="10.36328125" style="28" customWidth="1"/>
    <col min="2578" max="2578" width="9" style="28"/>
    <col min="2579" max="2579" width="8.08984375" style="28" customWidth="1"/>
    <col min="2580" max="2581" width="9.453125" style="28" bestFit="1" customWidth="1"/>
    <col min="2582" max="2582" width="9.6328125" style="28" customWidth="1"/>
    <col min="2583" max="2816" width="9" style="28"/>
    <col min="2817" max="2817" width="3.26953125" style="28" customWidth="1"/>
    <col min="2818" max="2818" width="7.08984375" style="28" customWidth="1"/>
    <col min="2819" max="2819" width="3.08984375" style="28" customWidth="1"/>
    <col min="2820" max="2820" width="4.08984375" style="28" customWidth="1"/>
    <col min="2821" max="2823" width="9" style="28"/>
    <col min="2824" max="2824" width="8" style="28" customWidth="1"/>
    <col min="2825" max="2825" width="7.08984375" style="28" customWidth="1"/>
    <col min="2826" max="2826" width="41.26953125" style="28" customWidth="1"/>
    <col min="2827" max="2827" width="9" style="28"/>
    <col min="2828" max="2828" width="9.7265625" style="28" customWidth="1"/>
    <col min="2829" max="2830" width="10.26953125" style="28" customWidth="1"/>
    <col min="2831" max="2831" width="11.26953125" style="28" customWidth="1"/>
    <col min="2832" max="2832" width="8.6328125" style="28" customWidth="1"/>
    <col min="2833" max="2833" width="10.36328125" style="28" customWidth="1"/>
    <col min="2834" max="2834" width="9" style="28"/>
    <col min="2835" max="2835" width="8.08984375" style="28" customWidth="1"/>
    <col min="2836" max="2837" width="9.453125" style="28" bestFit="1" customWidth="1"/>
    <col min="2838" max="2838" width="9.6328125" style="28" customWidth="1"/>
    <col min="2839" max="3072" width="9" style="28"/>
    <col min="3073" max="3073" width="3.26953125" style="28" customWidth="1"/>
    <col min="3074" max="3074" width="7.08984375" style="28" customWidth="1"/>
    <col min="3075" max="3075" width="3.08984375" style="28" customWidth="1"/>
    <col min="3076" max="3076" width="4.08984375" style="28" customWidth="1"/>
    <col min="3077" max="3079" width="9" style="28"/>
    <col min="3080" max="3080" width="8" style="28" customWidth="1"/>
    <col min="3081" max="3081" width="7.08984375" style="28" customWidth="1"/>
    <col min="3082" max="3082" width="41.26953125" style="28" customWidth="1"/>
    <col min="3083" max="3083" width="9" style="28"/>
    <col min="3084" max="3084" width="9.7265625" style="28" customWidth="1"/>
    <col min="3085" max="3086" width="10.26953125" style="28" customWidth="1"/>
    <col min="3087" max="3087" width="11.26953125" style="28" customWidth="1"/>
    <col min="3088" max="3088" width="8.6328125" style="28" customWidth="1"/>
    <col min="3089" max="3089" width="10.36328125" style="28" customWidth="1"/>
    <col min="3090" max="3090" width="9" style="28"/>
    <col min="3091" max="3091" width="8.08984375" style="28" customWidth="1"/>
    <col min="3092" max="3093" width="9.453125" style="28" bestFit="1" customWidth="1"/>
    <col min="3094" max="3094" width="9.6328125" style="28" customWidth="1"/>
    <col min="3095" max="3328" width="9" style="28"/>
    <col min="3329" max="3329" width="3.26953125" style="28" customWidth="1"/>
    <col min="3330" max="3330" width="7.08984375" style="28" customWidth="1"/>
    <col min="3331" max="3331" width="3.08984375" style="28" customWidth="1"/>
    <col min="3332" max="3332" width="4.08984375" style="28" customWidth="1"/>
    <col min="3333" max="3335" width="9" style="28"/>
    <col min="3336" max="3336" width="8" style="28" customWidth="1"/>
    <col min="3337" max="3337" width="7.08984375" style="28" customWidth="1"/>
    <col min="3338" max="3338" width="41.26953125" style="28" customWidth="1"/>
    <col min="3339" max="3339" width="9" style="28"/>
    <col min="3340" max="3340" width="9.7265625" style="28" customWidth="1"/>
    <col min="3341" max="3342" width="10.26953125" style="28" customWidth="1"/>
    <col min="3343" max="3343" width="11.26953125" style="28" customWidth="1"/>
    <col min="3344" max="3344" width="8.6328125" style="28" customWidth="1"/>
    <col min="3345" max="3345" width="10.36328125" style="28" customWidth="1"/>
    <col min="3346" max="3346" width="9" style="28"/>
    <col min="3347" max="3347" width="8.08984375" style="28" customWidth="1"/>
    <col min="3348" max="3349" width="9.453125" style="28" bestFit="1" customWidth="1"/>
    <col min="3350" max="3350" width="9.6328125" style="28" customWidth="1"/>
    <col min="3351" max="3584" width="9" style="28"/>
    <col min="3585" max="3585" width="3.26953125" style="28" customWidth="1"/>
    <col min="3586" max="3586" width="7.08984375" style="28" customWidth="1"/>
    <col min="3587" max="3587" width="3.08984375" style="28" customWidth="1"/>
    <col min="3588" max="3588" width="4.08984375" style="28" customWidth="1"/>
    <col min="3589" max="3591" width="9" style="28"/>
    <col min="3592" max="3592" width="8" style="28" customWidth="1"/>
    <col min="3593" max="3593" width="7.08984375" style="28" customWidth="1"/>
    <col min="3594" max="3594" width="41.26953125" style="28" customWidth="1"/>
    <col min="3595" max="3595" width="9" style="28"/>
    <col min="3596" max="3596" width="9.7265625" style="28" customWidth="1"/>
    <col min="3597" max="3598" width="10.26953125" style="28" customWidth="1"/>
    <col min="3599" max="3599" width="11.26953125" style="28" customWidth="1"/>
    <col min="3600" max="3600" width="8.6328125" style="28" customWidth="1"/>
    <col min="3601" max="3601" width="10.36328125" style="28" customWidth="1"/>
    <col min="3602" max="3602" width="9" style="28"/>
    <col min="3603" max="3603" width="8.08984375" style="28" customWidth="1"/>
    <col min="3604" max="3605" width="9.453125" style="28" bestFit="1" customWidth="1"/>
    <col min="3606" max="3606" width="9.6328125" style="28" customWidth="1"/>
    <col min="3607" max="3840" width="9" style="28"/>
    <col min="3841" max="3841" width="3.26953125" style="28" customWidth="1"/>
    <col min="3842" max="3842" width="7.08984375" style="28" customWidth="1"/>
    <col min="3843" max="3843" width="3.08984375" style="28" customWidth="1"/>
    <col min="3844" max="3844" width="4.08984375" style="28" customWidth="1"/>
    <col min="3845" max="3847" width="9" style="28"/>
    <col min="3848" max="3848" width="8" style="28" customWidth="1"/>
    <col min="3849" max="3849" width="7.08984375" style="28" customWidth="1"/>
    <col min="3850" max="3850" width="41.26953125" style="28" customWidth="1"/>
    <col min="3851" max="3851" width="9" style="28"/>
    <col min="3852" max="3852" width="9.7265625" style="28" customWidth="1"/>
    <col min="3853" max="3854" width="10.26953125" style="28" customWidth="1"/>
    <col min="3855" max="3855" width="11.26953125" style="28" customWidth="1"/>
    <col min="3856" max="3856" width="8.6328125" style="28" customWidth="1"/>
    <col min="3857" max="3857" width="10.36328125" style="28" customWidth="1"/>
    <col min="3858" max="3858" width="9" style="28"/>
    <col min="3859" max="3859" width="8.08984375" style="28" customWidth="1"/>
    <col min="3860" max="3861" width="9.453125" style="28" bestFit="1" customWidth="1"/>
    <col min="3862" max="3862" width="9.6328125" style="28" customWidth="1"/>
    <col min="3863" max="4096" width="9" style="28"/>
    <col min="4097" max="4097" width="3.26953125" style="28" customWidth="1"/>
    <col min="4098" max="4098" width="7.08984375" style="28" customWidth="1"/>
    <col min="4099" max="4099" width="3.08984375" style="28" customWidth="1"/>
    <col min="4100" max="4100" width="4.08984375" style="28" customWidth="1"/>
    <col min="4101" max="4103" width="9" style="28"/>
    <col min="4104" max="4104" width="8" style="28" customWidth="1"/>
    <col min="4105" max="4105" width="7.08984375" style="28" customWidth="1"/>
    <col min="4106" max="4106" width="41.26953125" style="28" customWidth="1"/>
    <col min="4107" max="4107" width="9" style="28"/>
    <col min="4108" max="4108" width="9.7265625" style="28" customWidth="1"/>
    <col min="4109" max="4110" width="10.26953125" style="28" customWidth="1"/>
    <col min="4111" max="4111" width="11.26953125" style="28" customWidth="1"/>
    <col min="4112" max="4112" width="8.6328125" style="28" customWidth="1"/>
    <col min="4113" max="4113" width="10.36328125" style="28" customWidth="1"/>
    <col min="4114" max="4114" width="9" style="28"/>
    <col min="4115" max="4115" width="8.08984375" style="28" customWidth="1"/>
    <col min="4116" max="4117" width="9.453125" style="28" bestFit="1" customWidth="1"/>
    <col min="4118" max="4118" width="9.6328125" style="28" customWidth="1"/>
    <col min="4119" max="4352" width="9" style="28"/>
    <col min="4353" max="4353" width="3.26953125" style="28" customWidth="1"/>
    <col min="4354" max="4354" width="7.08984375" style="28" customWidth="1"/>
    <col min="4355" max="4355" width="3.08984375" style="28" customWidth="1"/>
    <col min="4356" max="4356" width="4.08984375" style="28" customWidth="1"/>
    <col min="4357" max="4359" width="9" style="28"/>
    <col min="4360" max="4360" width="8" style="28" customWidth="1"/>
    <col min="4361" max="4361" width="7.08984375" style="28" customWidth="1"/>
    <col min="4362" max="4362" width="41.26953125" style="28" customWidth="1"/>
    <col min="4363" max="4363" width="9" style="28"/>
    <col min="4364" max="4364" width="9.7265625" style="28" customWidth="1"/>
    <col min="4365" max="4366" width="10.26953125" style="28" customWidth="1"/>
    <col min="4367" max="4367" width="11.26953125" style="28" customWidth="1"/>
    <col min="4368" max="4368" width="8.6328125" style="28" customWidth="1"/>
    <col min="4369" max="4369" width="10.36328125" style="28" customWidth="1"/>
    <col min="4370" max="4370" width="9" style="28"/>
    <col min="4371" max="4371" width="8.08984375" style="28" customWidth="1"/>
    <col min="4372" max="4373" width="9.453125" style="28" bestFit="1" customWidth="1"/>
    <col min="4374" max="4374" width="9.6328125" style="28" customWidth="1"/>
    <col min="4375" max="4608" width="9" style="28"/>
    <col min="4609" max="4609" width="3.26953125" style="28" customWidth="1"/>
    <col min="4610" max="4610" width="7.08984375" style="28" customWidth="1"/>
    <col min="4611" max="4611" width="3.08984375" style="28" customWidth="1"/>
    <col min="4612" max="4612" width="4.08984375" style="28" customWidth="1"/>
    <col min="4613" max="4615" width="9" style="28"/>
    <col min="4616" max="4616" width="8" style="28" customWidth="1"/>
    <col min="4617" max="4617" width="7.08984375" style="28" customWidth="1"/>
    <col min="4618" max="4618" width="41.26953125" style="28" customWidth="1"/>
    <col min="4619" max="4619" width="9" style="28"/>
    <col min="4620" max="4620" width="9.7265625" style="28" customWidth="1"/>
    <col min="4621" max="4622" width="10.26953125" style="28" customWidth="1"/>
    <col min="4623" max="4623" width="11.26953125" style="28" customWidth="1"/>
    <col min="4624" max="4624" width="8.6328125" style="28" customWidth="1"/>
    <col min="4625" max="4625" width="10.36328125" style="28" customWidth="1"/>
    <col min="4626" max="4626" width="9" style="28"/>
    <col min="4627" max="4627" width="8.08984375" style="28" customWidth="1"/>
    <col min="4628" max="4629" width="9.453125" style="28" bestFit="1" customWidth="1"/>
    <col min="4630" max="4630" width="9.6328125" style="28" customWidth="1"/>
    <col min="4631" max="4864" width="9" style="28"/>
    <col min="4865" max="4865" width="3.26953125" style="28" customWidth="1"/>
    <col min="4866" max="4866" width="7.08984375" style="28" customWidth="1"/>
    <col min="4867" max="4867" width="3.08984375" style="28" customWidth="1"/>
    <col min="4868" max="4868" width="4.08984375" style="28" customWidth="1"/>
    <col min="4869" max="4871" width="9" style="28"/>
    <col min="4872" max="4872" width="8" style="28" customWidth="1"/>
    <col min="4873" max="4873" width="7.08984375" style="28" customWidth="1"/>
    <col min="4874" max="4874" width="41.26953125" style="28" customWidth="1"/>
    <col min="4875" max="4875" width="9" style="28"/>
    <col min="4876" max="4876" width="9.7265625" style="28" customWidth="1"/>
    <col min="4877" max="4878" width="10.26953125" style="28" customWidth="1"/>
    <col min="4879" max="4879" width="11.26953125" style="28" customWidth="1"/>
    <col min="4880" max="4880" width="8.6328125" style="28" customWidth="1"/>
    <col min="4881" max="4881" width="10.36328125" style="28" customWidth="1"/>
    <col min="4882" max="4882" width="9" style="28"/>
    <col min="4883" max="4883" width="8.08984375" style="28" customWidth="1"/>
    <col min="4884" max="4885" width="9.453125" style="28" bestFit="1" customWidth="1"/>
    <col min="4886" max="4886" width="9.6328125" style="28" customWidth="1"/>
    <col min="4887" max="5120" width="9" style="28"/>
    <col min="5121" max="5121" width="3.26953125" style="28" customWidth="1"/>
    <col min="5122" max="5122" width="7.08984375" style="28" customWidth="1"/>
    <col min="5123" max="5123" width="3.08984375" style="28" customWidth="1"/>
    <col min="5124" max="5124" width="4.08984375" style="28" customWidth="1"/>
    <col min="5125" max="5127" width="9" style="28"/>
    <col min="5128" max="5128" width="8" style="28" customWidth="1"/>
    <col min="5129" max="5129" width="7.08984375" style="28" customWidth="1"/>
    <col min="5130" max="5130" width="41.26953125" style="28" customWidth="1"/>
    <col min="5131" max="5131" width="9" style="28"/>
    <col min="5132" max="5132" width="9.7265625" style="28" customWidth="1"/>
    <col min="5133" max="5134" width="10.26953125" style="28" customWidth="1"/>
    <col min="5135" max="5135" width="11.26953125" style="28" customWidth="1"/>
    <col min="5136" max="5136" width="8.6328125" style="28" customWidth="1"/>
    <col min="5137" max="5137" width="10.36328125" style="28" customWidth="1"/>
    <col min="5138" max="5138" width="9" style="28"/>
    <col min="5139" max="5139" width="8.08984375" style="28" customWidth="1"/>
    <col min="5140" max="5141" width="9.453125" style="28" bestFit="1" customWidth="1"/>
    <col min="5142" max="5142" width="9.6328125" style="28" customWidth="1"/>
    <col min="5143" max="5376" width="9" style="28"/>
    <col min="5377" max="5377" width="3.26953125" style="28" customWidth="1"/>
    <col min="5378" max="5378" width="7.08984375" style="28" customWidth="1"/>
    <col min="5379" max="5379" width="3.08984375" style="28" customWidth="1"/>
    <col min="5380" max="5380" width="4.08984375" style="28" customWidth="1"/>
    <col min="5381" max="5383" width="9" style="28"/>
    <col min="5384" max="5384" width="8" style="28" customWidth="1"/>
    <col min="5385" max="5385" width="7.08984375" style="28" customWidth="1"/>
    <col min="5386" max="5386" width="41.26953125" style="28" customWidth="1"/>
    <col min="5387" max="5387" width="9" style="28"/>
    <col min="5388" max="5388" width="9.7265625" style="28" customWidth="1"/>
    <col min="5389" max="5390" width="10.26953125" style="28" customWidth="1"/>
    <col min="5391" max="5391" width="11.26953125" style="28" customWidth="1"/>
    <col min="5392" max="5392" width="8.6328125" style="28" customWidth="1"/>
    <col min="5393" max="5393" width="10.36328125" style="28" customWidth="1"/>
    <col min="5394" max="5394" width="9" style="28"/>
    <col min="5395" max="5395" width="8.08984375" style="28" customWidth="1"/>
    <col min="5396" max="5397" width="9.453125" style="28" bestFit="1" customWidth="1"/>
    <col min="5398" max="5398" width="9.6328125" style="28" customWidth="1"/>
    <col min="5399" max="5632" width="9" style="28"/>
    <col min="5633" max="5633" width="3.26953125" style="28" customWidth="1"/>
    <col min="5634" max="5634" width="7.08984375" style="28" customWidth="1"/>
    <col min="5635" max="5635" width="3.08984375" style="28" customWidth="1"/>
    <col min="5636" max="5636" width="4.08984375" style="28" customWidth="1"/>
    <col min="5637" max="5639" width="9" style="28"/>
    <col min="5640" max="5640" width="8" style="28" customWidth="1"/>
    <col min="5641" max="5641" width="7.08984375" style="28" customWidth="1"/>
    <col min="5642" max="5642" width="41.26953125" style="28" customWidth="1"/>
    <col min="5643" max="5643" width="9" style="28"/>
    <col min="5644" max="5644" width="9.7265625" style="28" customWidth="1"/>
    <col min="5645" max="5646" width="10.26953125" style="28" customWidth="1"/>
    <col min="5647" max="5647" width="11.26953125" style="28" customWidth="1"/>
    <col min="5648" max="5648" width="8.6328125" style="28" customWidth="1"/>
    <col min="5649" max="5649" width="10.36328125" style="28" customWidth="1"/>
    <col min="5650" max="5650" width="9" style="28"/>
    <col min="5651" max="5651" width="8.08984375" style="28" customWidth="1"/>
    <col min="5652" max="5653" width="9.453125" style="28" bestFit="1" customWidth="1"/>
    <col min="5654" max="5654" width="9.6328125" style="28" customWidth="1"/>
    <col min="5655" max="5888" width="9" style="28"/>
    <col min="5889" max="5889" width="3.26953125" style="28" customWidth="1"/>
    <col min="5890" max="5890" width="7.08984375" style="28" customWidth="1"/>
    <col min="5891" max="5891" width="3.08984375" style="28" customWidth="1"/>
    <col min="5892" max="5892" width="4.08984375" style="28" customWidth="1"/>
    <col min="5893" max="5895" width="9" style="28"/>
    <col min="5896" max="5896" width="8" style="28" customWidth="1"/>
    <col min="5897" max="5897" width="7.08984375" style="28" customWidth="1"/>
    <col min="5898" max="5898" width="41.26953125" style="28" customWidth="1"/>
    <col min="5899" max="5899" width="9" style="28"/>
    <col min="5900" max="5900" width="9.7265625" style="28" customWidth="1"/>
    <col min="5901" max="5902" width="10.26953125" style="28" customWidth="1"/>
    <col min="5903" max="5903" width="11.26953125" style="28" customWidth="1"/>
    <col min="5904" max="5904" width="8.6328125" style="28" customWidth="1"/>
    <col min="5905" max="5905" width="10.36328125" style="28" customWidth="1"/>
    <col min="5906" max="5906" width="9" style="28"/>
    <col min="5907" max="5907" width="8.08984375" style="28" customWidth="1"/>
    <col min="5908" max="5909" width="9.453125" style="28" bestFit="1" customWidth="1"/>
    <col min="5910" max="5910" width="9.6328125" style="28" customWidth="1"/>
    <col min="5911" max="6144" width="9" style="28"/>
    <col min="6145" max="6145" width="3.26953125" style="28" customWidth="1"/>
    <col min="6146" max="6146" width="7.08984375" style="28" customWidth="1"/>
    <col min="6147" max="6147" width="3.08984375" style="28" customWidth="1"/>
    <col min="6148" max="6148" width="4.08984375" style="28" customWidth="1"/>
    <col min="6149" max="6151" width="9" style="28"/>
    <col min="6152" max="6152" width="8" style="28" customWidth="1"/>
    <col min="6153" max="6153" width="7.08984375" style="28" customWidth="1"/>
    <col min="6154" max="6154" width="41.26953125" style="28" customWidth="1"/>
    <col min="6155" max="6155" width="9" style="28"/>
    <col min="6156" max="6156" width="9.7265625" style="28" customWidth="1"/>
    <col min="6157" max="6158" width="10.26953125" style="28" customWidth="1"/>
    <col min="6159" max="6159" width="11.26953125" style="28" customWidth="1"/>
    <col min="6160" max="6160" width="8.6328125" style="28" customWidth="1"/>
    <col min="6161" max="6161" width="10.36328125" style="28" customWidth="1"/>
    <col min="6162" max="6162" width="9" style="28"/>
    <col min="6163" max="6163" width="8.08984375" style="28" customWidth="1"/>
    <col min="6164" max="6165" width="9.453125" style="28" bestFit="1" customWidth="1"/>
    <col min="6166" max="6166" width="9.6328125" style="28" customWidth="1"/>
    <col min="6167" max="6400" width="9" style="28"/>
    <col min="6401" max="6401" width="3.26953125" style="28" customWidth="1"/>
    <col min="6402" max="6402" width="7.08984375" style="28" customWidth="1"/>
    <col min="6403" max="6403" width="3.08984375" style="28" customWidth="1"/>
    <col min="6404" max="6404" width="4.08984375" style="28" customWidth="1"/>
    <col min="6405" max="6407" width="9" style="28"/>
    <col min="6408" max="6408" width="8" style="28" customWidth="1"/>
    <col min="6409" max="6409" width="7.08984375" style="28" customWidth="1"/>
    <col min="6410" max="6410" width="41.26953125" style="28" customWidth="1"/>
    <col min="6411" max="6411" width="9" style="28"/>
    <col min="6412" max="6412" width="9.7265625" style="28" customWidth="1"/>
    <col min="6413" max="6414" width="10.26953125" style="28" customWidth="1"/>
    <col min="6415" max="6415" width="11.26953125" style="28" customWidth="1"/>
    <col min="6416" max="6416" width="8.6328125" style="28" customWidth="1"/>
    <col min="6417" max="6417" width="10.36328125" style="28" customWidth="1"/>
    <col min="6418" max="6418" width="9" style="28"/>
    <col min="6419" max="6419" width="8.08984375" style="28" customWidth="1"/>
    <col min="6420" max="6421" width="9.453125" style="28" bestFit="1" customWidth="1"/>
    <col min="6422" max="6422" width="9.6328125" style="28" customWidth="1"/>
    <col min="6423" max="6656" width="9" style="28"/>
    <col min="6657" max="6657" width="3.26953125" style="28" customWidth="1"/>
    <col min="6658" max="6658" width="7.08984375" style="28" customWidth="1"/>
    <col min="6659" max="6659" width="3.08984375" style="28" customWidth="1"/>
    <col min="6660" max="6660" width="4.08984375" style="28" customWidth="1"/>
    <col min="6661" max="6663" width="9" style="28"/>
    <col min="6664" max="6664" width="8" style="28" customWidth="1"/>
    <col min="6665" max="6665" width="7.08984375" style="28" customWidth="1"/>
    <col min="6666" max="6666" width="41.26953125" style="28" customWidth="1"/>
    <col min="6667" max="6667" width="9" style="28"/>
    <col min="6668" max="6668" width="9.7265625" style="28" customWidth="1"/>
    <col min="6669" max="6670" width="10.26953125" style="28" customWidth="1"/>
    <col min="6671" max="6671" width="11.26953125" style="28" customWidth="1"/>
    <col min="6672" max="6672" width="8.6328125" style="28" customWidth="1"/>
    <col min="6673" max="6673" width="10.36328125" style="28" customWidth="1"/>
    <col min="6674" max="6674" width="9" style="28"/>
    <col min="6675" max="6675" width="8.08984375" style="28" customWidth="1"/>
    <col min="6676" max="6677" width="9.453125" style="28" bestFit="1" customWidth="1"/>
    <col min="6678" max="6678" width="9.6328125" style="28" customWidth="1"/>
    <col min="6679" max="6912" width="9" style="28"/>
    <col min="6913" max="6913" width="3.26953125" style="28" customWidth="1"/>
    <col min="6914" max="6914" width="7.08984375" style="28" customWidth="1"/>
    <col min="6915" max="6915" width="3.08984375" style="28" customWidth="1"/>
    <col min="6916" max="6916" width="4.08984375" style="28" customWidth="1"/>
    <col min="6917" max="6919" width="9" style="28"/>
    <col min="6920" max="6920" width="8" style="28" customWidth="1"/>
    <col min="6921" max="6921" width="7.08984375" style="28" customWidth="1"/>
    <col min="6922" max="6922" width="41.26953125" style="28" customWidth="1"/>
    <col min="6923" max="6923" width="9" style="28"/>
    <col min="6924" max="6924" width="9.7265625" style="28" customWidth="1"/>
    <col min="6925" max="6926" width="10.26953125" style="28" customWidth="1"/>
    <col min="6927" max="6927" width="11.26953125" style="28" customWidth="1"/>
    <col min="6928" max="6928" width="8.6328125" style="28" customWidth="1"/>
    <col min="6929" max="6929" width="10.36328125" style="28" customWidth="1"/>
    <col min="6930" max="6930" width="9" style="28"/>
    <col min="6931" max="6931" width="8.08984375" style="28" customWidth="1"/>
    <col min="6932" max="6933" width="9.453125" style="28" bestFit="1" customWidth="1"/>
    <col min="6934" max="6934" width="9.6328125" style="28" customWidth="1"/>
    <col min="6935" max="7168" width="9" style="28"/>
    <col min="7169" max="7169" width="3.26953125" style="28" customWidth="1"/>
    <col min="7170" max="7170" width="7.08984375" style="28" customWidth="1"/>
    <col min="7171" max="7171" width="3.08984375" style="28" customWidth="1"/>
    <col min="7172" max="7172" width="4.08984375" style="28" customWidth="1"/>
    <col min="7173" max="7175" width="9" style="28"/>
    <col min="7176" max="7176" width="8" style="28" customWidth="1"/>
    <col min="7177" max="7177" width="7.08984375" style="28" customWidth="1"/>
    <col min="7178" max="7178" width="41.26953125" style="28" customWidth="1"/>
    <col min="7179" max="7179" width="9" style="28"/>
    <col min="7180" max="7180" width="9.7265625" style="28" customWidth="1"/>
    <col min="7181" max="7182" width="10.26953125" style="28" customWidth="1"/>
    <col min="7183" max="7183" width="11.26953125" style="28" customWidth="1"/>
    <col min="7184" max="7184" width="8.6328125" style="28" customWidth="1"/>
    <col min="7185" max="7185" width="10.36328125" style="28" customWidth="1"/>
    <col min="7186" max="7186" width="9" style="28"/>
    <col min="7187" max="7187" width="8.08984375" style="28" customWidth="1"/>
    <col min="7188" max="7189" width="9.453125" style="28" bestFit="1" customWidth="1"/>
    <col min="7190" max="7190" width="9.6328125" style="28" customWidth="1"/>
    <col min="7191" max="7424" width="9" style="28"/>
    <col min="7425" max="7425" width="3.26953125" style="28" customWidth="1"/>
    <col min="7426" max="7426" width="7.08984375" style="28" customWidth="1"/>
    <col min="7427" max="7427" width="3.08984375" style="28" customWidth="1"/>
    <col min="7428" max="7428" width="4.08984375" style="28" customWidth="1"/>
    <col min="7429" max="7431" width="9" style="28"/>
    <col min="7432" max="7432" width="8" style="28" customWidth="1"/>
    <col min="7433" max="7433" width="7.08984375" style="28" customWidth="1"/>
    <col min="7434" max="7434" width="41.26953125" style="28" customWidth="1"/>
    <col min="7435" max="7435" width="9" style="28"/>
    <col min="7436" max="7436" width="9.7265625" style="28" customWidth="1"/>
    <col min="7437" max="7438" width="10.26953125" style="28" customWidth="1"/>
    <col min="7439" max="7439" width="11.26953125" style="28" customWidth="1"/>
    <col min="7440" max="7440" width="8.6328125" style="28" customWidth="1"/>
    <col min="7441" max="7441" width="10.36328125" style="28" customWidth="1"/>
    <col min="7442" max="7442" width="9" style="28"/>
    <col min="7443" max="7443" width="8.08984375" style="28" customWidth="1"/>
    <col min="7444" max="7445" width="9.453125" style="28" bestFit="1" customWidth="1"/>
    <col min="7446" max="7446" width="9.6328125" style="28" customWidth="1"/>
    <col min="7447" max="7680" width="9" style="28"/>
    <col min="7681" max="7681" width="3.26953125" style="28" customWidth="1"/>
    <col min="7682" max="7682" width="7.08984375" style="28" customWidth="1"/>
    <col min="7683" max="7683" width="3.08984375" style="28" customWidth="1"/>
    <col min="7684" max="7684" width="4.08984375" style="28" customWidth="1"/>
    <col min="7685" max="7687" width="9" style="28"/>
    <col min="7688" max="7688" width="8" style="28" customWidth="1"/>
    <col min="7689" max="7689" width="7.08984375" style="28" customWidth="1"/>
    <col min="7690" max="7690" width="41.26953125" style="28" customWidth="1"/>
    <col min="7691" max="7691" width="9" style="28"/>
    <col min="7692" max="7692" width="9.7265625" style="28" customWidth="1"/>
    <col min="7693" max="7694" width="10.26953125" style="28" customWidth="1"/>
    <col min="7695" max="7695" width="11.26953125" style="28" customWidth="1"/>
    <col min="7696" max="7696" width="8.6328125" style="28" customWidth="1"/>
    <col min="7697" max="7697" width="10.36328125" style="28" customWidth="1"/>
    <col min="7698" max="7698" width="9" style="28"/>
    <col min="7699" max="7699" width="8.08984375" style="28" customWidth="1"/>
    <col min="7700" max="7701" width="9.453125" style="28" bestFit="1" customWidth="1"/>
    <col min="7702" max="7702" width="9.6328125" style="28" customWidth="1"/>
    <col min="7703" max="7936" width="9" style="28"/>
    <col min="7937" max="7937" width="3.26953125" style="28" customWidth="1"/>
    <col min="7938" max="7938" width="7.08984375" style="28" customWidth="1"/>
    <col min="7939" max="7939" width="3.08984375" style="28" customWidth="1"/>
    <col min="7940" max="7940" width="4.08984375" style="28" customWidth="1"/>
    <col min="7941" max="7943" width="9" style="28"/>
    <col min="7944" max="7944" width="8" style="28" customWidth="1"/>
    <col min="7945" max="7945" width="7.08984375" style="28" customWidth="1"/>
    <col min="7946" max="7946" width="41.26953125" style="28" customWidth="1"/>
    <col min="7947" max="7947" width="9" style="28"/>
    <col min="7948" max="7948" width="9.7265625" style="28" customWidth="1"/>
    <col min="7949" max="7950" width="10.26953125" style="28" customWidth="1"/>
    <col min="7951" max="7951" width="11.26953125" style="28" customWidth="1"/>
    <col min="7952" max="7952" width="8.6328125" style="28" customWidth="1"/>
    <col min="7953" max="7953" width="10.36328125" style="28" customWidth="1"/>
    <col min="7954" max="7954" width="9" style="28"/>
    <col min="7955" max="7955" width="8.08984375" style="28" customWidth="1"/>
    <col min="7956" max="7957" width="9.453125" style="28" bestFit="1" customWidth="1"/>
    <col min="7958" max="7958" width="9.6328125" style="28" customWidth="1"/>
    <col min="7959" max="8192" width="9" style="28"/>
    <col min="8193" max="8193" width="3.26953125" style="28" customWidth="1"/>
    <col min="8194" max="8194" width="7.08984375" style="28" customWidth="1"/>
    <col min="8195" max="8195" width="3.08984375" style="28" customWidth="1"/>
    <col min="8196" max="8196" width="4.08984375" style="28" customWidth="1"/>
    <col min="8197" max="8199" width="9" style="28"/>
    <col min="8200" max="8200" width="8" style="28" customWidth="1"/>
    <col min="8201" max="8201" width="7.08984375" style="28" customWidth="1"/>
    <col min="8202" max="8202" width="41.26953125" style="28" customWidth="1"/>
    <col min="8203" max="8203" width="9" style="28"/>
    <col min="8204" max="8204" width="9.7265625" style="28" customWidth="1"/>
    <col min="8205" max="8206" width="10.26953125" style="28" customWidth="1"/>
    <col min="8207" max="8207" width="11.26953125" style="28" customWidth="1"/>
    <col min="8208" max="8208" width="8.6328125" style="28" customWidth="1"/>
    <col min="8209" max="8209" width="10.36328125" style="28" customWidth="1"/>
    <col min="8210" max="8210" width="9" style="28"/>
    <col min="8211" max="8211" width="8.08984375" style="28" customWidth="1"/>
    <col min="8212" max="8213" width="9.453125" style="28" bestFit="1" customWidth="1"/>
    <col min="8214" max="8214" width="9.6328125" style="28" customWidth="1"/>
    <col min="8215" max="8448" width="9" style="28"/>
    <col min="8449" max="8449" width="3.26953125" style="28" customWidth="1"/>
    <col min="8450" max="8450" width="7.08984375" style="28" customWidth="1"/>
    <col min="8451" max="8451" width="3.08984375" style="28" customWidth="1"/>
    <col min="8452" max="8452" width="4.08984375" style="28" customWidth="1"/>
    <col min="8453" max="8455" width="9" style="28"/>
    <col min="8456" max="8456" width="8" style="28" customWidth="1"/>
    <col min="8457" max="8457" width="7.08984375" style="28" customWidth="1"/>
    <col min="8458" max="8458" width="41.26953125" style="28" customWidth="1"/>
    <col min="8459" max="8459" width="9" style="28"/>
    <col min="8460" max="8460" width="9.7265625" style="28" customWidth="1"/>
    <col min="8461" max="8462" width="10.26953125" style="28" customWidth="1"/>
    <col min="8463" max="8463" width="11.26953125" style="28" customWidth="1"/>
    <col min="8464" max="8464" width="8.6328125" style="28" customWidth="1"/>
    <col min="8465" max="8465" width="10.36328125" style="28" customWidth="1"/>
    <col min="8466" max="8466" width="9" style="28"/>
    <col min="8467" max="8467" width="8.08984375" style="28" customWidth="1"/>
    <col min="8468" max="8469" width="9.453125" style="28" bestFit="1" customWidth="1"/>
    <col min="8470" max="8470" width="9.6328125" style="28" customWidth="1"/>
    <col min="8471" max="8704" width="9" style="28"/>
    <col min="8705" max="8705" width="3.26953125" style="28" customWidth="1"/>
    <col min="8706" max="8706" width="7.08984375" style="28" customWidth="1"/>
    <col min="8707" max="8707" width="3.08984375" style="28" customWidth="1"/>
    <col min="8708" max="8708" width="4.08984375" style="28" customWidth="1"/>
    <col min="8709" max="8711" width="9" style="28"/>
    <col min="8712" max="8712" width="8" style="28" customWidth="1"/>
    <col min="8713" max="8713" width="7.08984375" style="28" customWidth="1"/>
    <col min="8714" max="8714" width="41.26953125" style="28" customWidth="1"/>
    <col min="8715" max="8715" width="9" style="28"/>
    <col min="8716" max="8716" width="9.7265625" style="28" customWidth="1"/>
    <col min="8717" max="8718" width="10.26953125" style="28" customWidth="1"/>
    <col min="8719" max="8719" width="11.26953125" style="28" customWidth="1"/>
    <col min="8720" max="8720" width="8.6328125" style="28" customWidth="1"/>
    <col min="8721" max="8721" width="10.36328125" style="28" customWidth="1"/>
    <col min="8722" max="8722" width="9" style="28"/>
    <col min="8723" max="8723" width="8.08984375" style="28" customWidth="1"/>
    <col min="8724" max="8725" width="9.453125" style="28" bestFit="1" customWidth="1"/>
    <col min="8726" max="8726" width="9.6328125" style="28" customWidth="1"/>
    <col min="8727" max="8960" width="9" style="28"/>
    <col min="8961" max="8961" width="3.26953125" style="28" customWidth="1"/>
    <col min="8962" max="8962" width="7.08984375" style="28" customWidth="1"/>
    <col min="8963" max="8963" width="3.08984375" style="28" customWidth="1"/>
    <col min="8964" max="8964" width="4.08984375" style="28" customWidth="1"/>
    <col min="8965" max="8967" width="9" style="28"/>
    <col min="8968" max="8968" width="8" style="28" customWidth="1"/>
    <col min="8969" max="8969" width="7.08984375" style="28" customWidth="1"/>
    <col min="8970" max="8970" width="41.26953125" style="28" customWidth="1"/>
    <col min="8971" max="8971" width="9" style="28"/>
    <col min="8972" max="8972" width="9.7265625" style="28" customWidth="1"/>
    <col min="8973" max="8974" width="10.26953125" style="28" customWidth="1"/>
    <col min="8975" max="8975" width="11.26953125" style="28" customWidth="1"/>
    <col min="8976" max="8976" width="8.6328125" style="28" customWidth="1"/>
    <col min="8977" max="8977" width="10.36328125" style="28" customWidth="1"/>
    <col min="8978" max="8978" width="9" style="28"/>
    <col min="8979" max="8979" width="8.08984375" style="28" customWidth="1"/>
    <col min="8980" max="8981" width="9.453125" style="28" bestFit="1" customWidth="1"/>
    <col min="8982" max="8982" width="9.6328125" style="28" customWidth="1"/>
    <col min="8983" max="9216" width="9" style="28"/>
    <col min="9217" max="9217" width="3.26953125" style="28" customWidth="1"/>
    <col min="9218" max="9218" width="7.08984375" style="28" customWidth="1"/>
    <col min="9219" max="9219" width="3.08984375" style="28" customWidth="1"/>
    <col min="9220" max="9220" width="4.08984375" style="28" customWidth="1"/>
    <col min="9221" max="9223" width="9" style="28"/>
    <col min="9224" max="9224" width="8" style="28" customWidth="1"/>
    <col min="9225" max="9225" width="7.08984375" style="28" customWidth="1"/>
    <col min="9226" max="9226" width="41.26953125" style="28" customWidth="1"/>
    <col min="9227" max="9227" width="9" style="28"/>
    <col min="9228" max="9228" width="9.7265625" style="28" customWidth="1"/>
    <col min="9229" max="9230" width="10.26953125" style="28" customWidth="1"/>
    <col min="9231" max="9231" width="11.26953125" style="28" customWidth="1"/>
    <col min="9232" max="9232" width="8.6328125" style="28" customWidth="1"/>
    <col min="9233" max="9233" width="10.36328125" style="28" customWidth="1"/>
    <col min="9234" max="9234" width="9" style="28"/>
    <col min="9235" max="9235" width="8.08984375" style="28" customWidth="1"/>
    <col min="9236" max="9237" width="9.453125" style="28" bestFit="1" customWidth="1"/>
    <col min="9238" max="9238" width="9.6328125" style="28" customWidth="1"/>
    <col min="9239" max="9472" width="9" style="28"/>
    <col min="9473" max="9473" width="3.26953125" style="28" customWidth="1"/>
    <col min="9474" max="9474" width="7.08984375" style="28" customWidth="1"/>
    <col min="9475" max="9475" width="3.08984375" style="28" customWidth="1"/>
    <col min="9476" max="9476" width="4.08984375" style="28" customWidth="1"/>
    <col min="9477" max="9479" width="9" style="28"/>
    <col min="9480" max="9480" width="8" style="28" customWidth="1"/>
    <col min="9481" max="9481" width="7.08984375" style="28" customWidth="1"/>
    <col min="9482" max="9482" width="41.26953125" style="28" customWidth="1"/>
    <col min="9483" max="9483" width="9" style="28"/>
    <col min="9484" max="9484" width="9.7265625" style="28" customWidth="1"/>
    <col min="9485" max="9486" width="10.26953125" style="28" customWidth="1"/>
    <col min="9487" max="9487" width="11.26953125" style="28" customWidth="1"/>
    <col min="9488" max="9488" width="8.6328125" style="28" customWidth="1"/>
    <col min="9489" max="9489" width="10.36328125" style="28" customWidth="1"/>
    <col min="9490" max="9490" width="9" style="28"/>
    <col min="9491" max="9491" width="8.08984375" style="28" customWidth="1"/>
    <col min="9492" max="9493" width="9.453125" style="28" bestFit="1" customWidth="1"/>
    <col min="9494" max="9494" width="9.6328125" style="28" customWidth="1"/>
    <col min="9495" max="9728" width="9" style="28"/>
    <col min="9729" max="9729" width="3.26953125" style="28" customWidth="1"/>
    <col min="9730" max="9730" width="7.08984375" style="28" customWidth="1"/>
    <col min="9731" max="9731" width="3.08984375" style="28" customWidth="1"/>
    <col min="9732" max="9732" width="4.08984375" style="28" customWidth="1"/>
    <col min="9733" max="9735" width="9" style="28"/>
    <col min="9736" max="9736" width="8" style="28" customWidth="1"/>
    <col min="9737" max="9737" width="7.08984375" style="28" customWidth="1"/>
    <col min="9738" max="9738" width="41.26953125" style="28" customWidth="1"/>
    <col min="9739" max="9739" width="9" style="28"/>
    <col min="9740" max="9740" width="9.7265625" style="28" customWidth="1"/>
    <col min="9741" max="9742" width="10.26953125" style="28" customWidth="1"/>
    <col min="9743" max="9743" width="11.26953125" style="28" customWidth="1"/>
    <col min="9744" max="9744" width="8.6328125" style="28" customWidth="1"/>
    <col min="9745" max="9745" width="10.36328125" style="28" customWidth="1"/>
    <col min="9746" max="9746" width="9" style="28"/>
    <col min="9747" max="9747" width="8.08984375" style="28" customWidth="1"/>
    <col min="9748" max="9749" width="9.453125" style="28" bestFit="1" customWidth="1"/>
    <col min="9750" max="9750" width="9.6328125" style="28" customWidth="1"/>
    <col min="9751" max="9984" width="9" style="28"/>
    <col min="9985" max="9985" width="3.26953125" style="28" customWidth="1"/>
    <col min="9986" max="9986" width="7.08984375" style="28" customWidth="1"/>
    <col min="9987" max="9987" width="3.08984375" style="28" customWidth="1"/>
    <col min="9988" max="9988" width="4.08984375" style="28" customWidth="1"/>
    <col min="9989" max="9991" width="9" style="28"/>
    <col min="9992" max="9992" width="8" style="28" customWidth="1"/>
    <col min="9993" max="9993" width="7.08984375" style="28" customWidth="1"/>
    <col min="9994" max="9994" width="41.26953125" style="28" customWidth="1"/>
    <col min="9995" max="9995" width="9" style="28"/>
    <col min="9996" max="9996" width="9.7265625" style="28" customWidth="1"/>
    <col min="9997" max="9998" width="10.26953125" style="28" customWidth="1"/>
    <col min="9999" max="9999" width="11.26953125" style="28" customWidth="1"/>
    <col min="10000" max="10000" width="8.6328125" style="28" customWidth="1"/>
    <col min="10001" max="10001" width="10.36328125" style="28" customWidth="1"/>
    <col min="10002" max="10002" width="9" style="28"/>
    <col min="10003" max="10003" width="8.08984375" style="28" customWidth="1"/>
    <col min="10004" max="10005" width="9.453125" style="28" bestFit="1" customWidth="1"/>
    <col min="10006" max="10006" width="9.6328125" style="28" customWidth="1"/>
    <col min="10007" max="10240" width="9" style="28"/>
    <col min="10241" max="10241" width="3.26953125" style="28" customWidth="1"/>
    <col min="10242" max="10242" width="7.08984375" style="28" customWidth="1"/>
    <col min="10243" max="10243" width="3.08984375" style="28" customWidth="1"/>
    <col min="10244" max="10244" width="4.08984375" style="28" customWidth="1"/>
    <col min="10245" max="10247" width="9" style="28"/>
    <col min="10248" max="10248" width="8" style="28" customWidth="1"/>
    <col min="10249" max="10249" width="7.08984375" style="28" customWidth="1"/>
    <col min="10250" max="10250" width="41.26953125" style="28" customWidth="1"/>
    <col min="10251" max="10251" width="9" style="28"/>
    <col min="10252" max="10252" width="9.7265625" style="28" customWidth="1"/>
    <col min="10253" max="10254" width="10.26953125" style="28" customWidth="1"/>
    <col min="10255" max="10255" width="11.26953125" style="28" customWidth="1"/>
    <col min="10256" max="10256" width="8.6328125" style="28" customWidth="1"/>
    <col min="10257" max="10257" width="10.36328125" style="28" customWidth="1"/>
    <col min="10258" max="10258" width="9" style="28"/>
    <col min="10259" max="10259" width="8.08984375" style="28" customWidth="1"/>
    <col min="10260" max="10261" width="9.453125" style="28" bestFit="1" customWidth="1"/>
    <col min="10262" max="10262" width="9.6328125" style="28" customWidth="1"/>
    <col min="10263" max="10496" width="9" style="28"/>
    <col min="10497" max="10497" width="3.26953125" style="28" customWidth="1"/>
    <col min="10498" max="10498" width="7.08984375" style="28" customWidth="1"/>
    <col min="10499" max="10499" width="3.08984375" style="28" customWidth="1"/>
    <col min="10500" max="10500" width="4.08984375" style="28" customWidth="1"/>
    <col min="10501" max="10503" width="9" style="28"/>
    <col min="10504" max="10504" width="8" style="28" customWidth="1"/>
    <col min="10505" max="10505" width="7.08984375" style="28" customWidth="1"/>
    <col min="10506" max="10506" width="41.26953125" style="28" customWidth="1"/>
    <col min="10507" max="10507" width="9" style="28"/>
    <col min="10508" max="10508" width="9.7265625" style="28" customWidth="1"/>
    <col min="10509" max="10510" width="10.26953125" style="28" customWidth="1"/>
    <col min="10511" max="10511" width="11.26953125" style="28" customWidth="1"/>
    <col min="10512" max="10512" width="8.6328125" style="28" customWidth="1"/>
    <col min="10513" max="10513" width="10.36328125" style="28" customWidth="1"/>
    <col min="10514" max="10514" width="9" style="28"/>
    <col min="10515" max="10515" width="8.08984375" style="28" customWidth="1"/>
    <col min="10516" max="10517" width="9.453125" style="28" bestFit="1" customWidth="1"/>
    <col min="10518" max="10518" width="9.6328125" style="28" customWidth="1"/>
    <col min="10519" max="10752" width="9" style="28"/>
    <col min="10753" max="10753" width="3.26953125" style="28" customWidth="1"/>
    <col min="10754" max="10754" width="7.08984375" style="28" customWidth="1"/>
    <col min="10755" max="10755" width="3.08984375" style="28" customWidth="1"/>
    <col min="10756" max="10756" width="4.08984375" style="28" customWidth="1"/>
    <col min="10757" max="10759" width="9" style="28"/>
    <col min="10760" max="10760" width="8" style="28" customWidth="1"/>
    <col min="10761" max="10761" width="7.08984375" style="28" customWidth="1"/>
    <col min="10762" max="10762" width="41.26953125" style="28" customWidth="1"/>
    <col min="10763" max="10763" width="9" style="28"/>
    <col min="10764" max="10764" width="9.7265625" style="28" customWidth="1"/>
    <col min="10765" max="10766" width="10.26953125" style="28" customWidth="1"/>
    <col min="10767" max="10767" width="11.26953125" style="28" customWidth="1"/>
    <col min="10768" max="10768" width="8.6328125" style="28" customWidth="1"/>
    <col min="10769" max="10769" width="10.36328125" style="28" customWidth="1"/>
    <col min="10770" max="10770" width="9" style="28"/>
    <col min="10771" max="10771" width="8.08984375" style="28" customWidth="1"/>
    <col min="10772" max="10773" width="9.453125" style="28" bestFit="1" customWidth="1"/>
    <col min="10774" max="10774" width="9.6328125" style="28" customWidth="1"/>
    <col min="10775" max="11008" width="9" style="28"/>
    <col min="11009" max="11009" width="3.26953125" style="28" customWidth="1"/>
    <col min="11010" max="11010" width="7.08984375" style="28" customWidth="1"/>
    <col min="11011" max="11011" width="3.08984375" style="28" customWidth="1"/>
    <col min="11012" max="11012" width="4.08984375" style="28" customWidth="1"/>
    <col min="11013" max="11015" width="9" style="28"/>
    <col min="11016" max="11016" width="8" style="28" customWidth="1"/>
    <col min="11017" max="11017" width="7.08984375" style="28" customWidth="1"/>
    <col min="11018" max="11018" width="41.26953125" style="28" customWidth="1"/>
    <col min="11019" max="11019" width="9" style="28"/>
    <col min="11020" max="11020" width="9.7265625" style="28" customWidth="1"/>
    <col min="11021" max="11022" width="10.26953125" style="28" customWidth="1"/>
    <col min="11023" max="11023" width="11.26953125" style="28" customWidth="1"/>
    <col min="11024" max="11024" width="8.6328125" style="28" customWidth="1"/>
    <col min="11025" max="11025" width="10.36328125" style="28" customWidth="1"/>
    <col min="11026" max="11026" width="9" style="28"/>
    <col min="11027" max="11027" width="8.08984375" style="28" customWidth="1"/>
    <col min="11028" max="11029" width="9.453125" style="28" bestFit="1" customWidth="1"/>
    <col min="11030" max="11030" width="9.6328125" style="28" customWidth="1"/>
    <col min="11031" max="11264" width="9" style="28"/>
    <col min="11265" max="11265" width="3.26953125" style="28" customWidth="1"/>
    <col min="11266" max="11266" width="7.08984375" style="28" customWidth="1"/>
    <col min="11267" max="11267" width="3.08984375" style="28" customWidth="1"/>
    <col min="11268" max="11268" width="4.08984375" style="28" customWidth="1"/>
    <col min="11269" max="11271" width="9" style="28"/>
    <col min="11272" max="11272" width="8" style="28" customWidth="1"/>
    <col min="11273" max="11273" width="7.08984375" style="28" customWidth="1"/>
    <col min="11274" max="11274" width="41.26953125" style="28" customWidth="1"/>
    <col min="11275" max="11275" width="9" style="28"/>
    <col min="11276" max="11276" width="9.7265625" style="28" customWidth="1"/>
    <col min="11277" max="11278" width="10.26953125" style="28" customWidth="1"/>
    <col min="11279" max="11279" width="11.26953125" style="28" customWidth="1"/>
    <col min="11280" max="11280" width="8.6328125" style="28" customWidth="1"/>
    <col min="11281" max="11281" width="10.36328125" style="28" customWidth="1"/>
    <col min="11282" max="11282" width="9" style="28"/>
    <col min="11283" max="11283" width="8.08984375" style="28" customWidth="1"/>
    <col min="11284" max="11285" width="9.453125" style="28" bestFit="1" customWidth="1"/>
    <col min="11286" max="11286" width="9.6328125" style="28" customWidth="1"/>
    <col min="11287" max="11520" width="9" style="28"/>
    <col min="11521" max="11521" width="3.26953125" style="28" customWidth="1"/>
    <col min="11522" max="11522" width="7.08984375" style="28" customWidth="1"/>
    <col min="11523" max="11523" width="3.08984375" style="28" customWidth="1"/>
    <col min="11524" max="11524" width="4.08984375" style="28" customWidth="1"/>
    <col min="11525" max="11527" width="9" style="28"/>
    <col min="11528" max="11528" width="8" style="28" customWidth="1"/>
    <col min="11529" max="11529" width="7.08984375" style="28" customWidth="1"/>
    <col min="11530" max="11530" width="41.26953125" style="28" customWidth="1"/>
    <col min="11531" max="11531" width="9" style="28"/>
    <col min="11532" max="11532" width="9.7265625" style="28" customWidth="1"/>
    <col min="11533" max="11534" width="10.26953125" style="28" customWidth="1"/>
    <col min="11535" max="11535" width="11.26953125" style="28" customWidth="1"/>
    <col min="11536" max="11536" width="8.6328125" style="28" customWidth="1"/>
    <col min="11537" max="11537" width="10.36328125" style="28" customWidth="1"/>
    <col min="11538" max="11538" width="9" style="28"/>
    <col min="11539" max="11539" width="8.08984375" style="28" customWidth="1"/>
    <col min="11540" max="11541" width="9.453125" style="28" bestFit="1" customWidth="1"/>
    <col min="11542" max="11542" width="9.6328125" style="28" customWidth="1"/>
    <col min="11543" max="11776" width="9" style="28"/>
    <col min="11777" max="11777" width="3.26953125" style="28" customWidth="1"/>
    <col min="11778" max="11778" width="7.08984375" style="28" customWidth="1"/>
    <col min="11779" max="11779" width="3.08984375" style="28" customWidth="1"/>
    <col min="11780" max="11780" width="4.08984375" style="28" customWidth="1"/>
    <col min="11781" max="11783" width="9" style="28"/>
    <col min="11784" max="11784" width="8" style="28" customWidth="1"/>
    <col min="11785" max="11785" width="7.08984375" style="28" customWidth="1"/>
    <col min="11786" max="11786" width="41.26953125" style="28" customWidth="1"/>
    <col min="11787" max="11787" width="9" style="28"/>
    <col min="11788" max="11788" width="9.7265625" style="28" customWidth="1"/>
    <col min="11789" max="11790" width="10.26953125" style="28" customWidth="1"/>
    <col min="11791" max="11791" width="11.26953125" style="28" customWidth="1"/>
    <col min="11792" max="11792" width="8.6328125" style="28" customWidth="1"/>
    <col min="11793" max="11793" width="10.36328125" style="28" customWidth="1"/>
    <col min="11794" max="11794" width="9" style="28"/>
    <col min="11795" max="11795" width="8.08984375" style="28" customWidth="1"/>
    <col min="11796" max="11797" width="9.453125" style="28" bestFit="1" customWidth="1"/>
    <col min="11798" max="11798" width="9.6328125" style="28" customWidth="1"/>
    <col min="11799" max="12032" width="9" style="28"/>
    <col min="12033" max="12033" width="3.26953125" style="28" customWidth="1"/>
    <col min="12034" max="12034" width="7.08984375" style="28" customWidth="1"/>
    <col min="12035" max="12035" width="3.08984375" style="28" customWidth="1"/>
    <col min="12036" max="12036" width="4.08984375" style="28" customWidth="1"/>
    <col min="12037" max="12039" width="9" style="28"/>
    <col min="12040" max="12040" width="8" style="28" customWidth="1"/>
    <col min="12041" max="12041" width="7.08984375" style="28" customWidth="1"/>
    <col min="12042" max="12042" width="41.26953125" style="28" customWidth="1"/>
    <col min="12043" max="12043" width="9" style="28"/>
    <col min="12044" max="12044" width="9.7265625" style="28" customWidth="1"/>
    <col min="12045" max="12046" width="10.26953125" style="28" customWidth="1"/>
    <col min="12047" max="12047" width="11.26953125" style="28" customWidth="1"/>
    <col min="12048" max="12048" width="8.6328125" style="28" customWidth="1"/>
    <col min="12049" max="12049" width="10.36328125" style="28" customWidth="1"/>
    <col min="12050" max="12050" width="9" style="28"/>
    <col min="12051" max="12051" width="8.08984375" style="28" customWidth="1"/>
    <col min="12052" max="12053" width="9.453125" style="28" bestFit="1" customWidth="1"/>
    <col min="12054" max="12054" width="9.6328125" style="28" customWidth="1"/>
    <col min="12055" max="12288" width="9" style="28"/>
    <col min="12289" max="12289" width="3.26953125" style="28" customWidth="1"/>
    <col min="12290" max="12290" width="7.08984375" style="28" customWidth="1"/>
    <col min="12291" max="12291" width="3.08984375" style="28" customWidth="1"/>
    <col min="12292" max="12292" width="4.08984375" style="28" customWidth="1"/>
    <col min="12293" max="12295" width="9" style="28"/>
    <col min="12296" max="12296" width="8" style="28" customWidth="1"/>
    <col min="12297" max="12297" width="7.08984375" style="28" customWidth="1"/>
    <col min="12298" max="12298" width="41.26953125" style="28" customWidth="1"/>
    <col min="12299" max="12299" width="9" style="28"/>
    <col min="12300" max="12300" width="9.7265625" style="28" customWidth="1"/>
    <col min="12301" max="12302" width="10.26953125" style="28" customWidth="1"/>
    <col min="12303" max="12303" width="11.26953125" style="28" customWidth="1"/>
    <col min="12304" max="12304" width="8.6328125" style="28" customWidth="1"/>
    <col min="12305" max="12305" width="10.36328125" style="28" customWidth="1"/>
    <col min="12306" max="12306" width="9" style="28"/>
    <col min="12307" max="12307" width="8.08984375" style="28" customWidth="1"/>
    <col min="12308" max="12309" width="9.453125" style="28" bestFit="1" customWidth="1"/>
    <col min="12310" max="12310" width="9.6328125" style="28" customWidth="1"/>
    <col min="12311" max="12544" width="9" style="28"/>
    <col min="12545" max="12545" width="3.26953125" style="28" customWidth="1"/>
    <col min="12546" max="12546" width="7.08984375" style="28" customWidth="1"/>
    <col min="12547" max="12547" width="3.08984375" style="28" customWidth="1"/>
    <col min="12548" max="12548" width="4.08984375" style="28" customWidth="1"/>
    <col min="12549" max="12551" width="9" style="28"/>
    <col min="12552" max="12552" width="8" style="28" customWidth="1"/>
    <col min="12553" max="12553" width="7.08984375" style="28" customWidth="1"/>
    <col min="12554" max="12554" width="41.26953125" style="28" customWidth="1"/>
    <col min="12555" max="12555" width="9" style="28"/>
    <col min="12556" max="12556" width="9.7265625" style="28" customWidth="1"/>
    <col min="12557" max="12558" width="10.26953125" style="28" customWidth="1"/>
    <col min="12559" max="12559" width="11.26953125" style="28" customWidth="1"/>
    <col min="12560" max="12560" width="8.6328125" style="28" customWidth="1"/>
    <col min="12561" max="12561" width="10.36328125" style="28" customWidth="1"/>
    <col min="12562" max="12562" width="9" style="28"/>
    <col min="12563" max="12563" width="8.08984375" style="28" customWidth="1"/>
    <col min="12564" max="12565" width="9.453125" style="28" bestFit="1" customWidth="1"/>
    <col min="12566" max="12566" width="9.6328125" style="28" customWidth="1"/>
    <col min="12567" max="12800" width="9" style="28"/>
    <col min="12801" max="12801" width="3.26953125" style="28" customWidth="1"/>
    <col min="12802" max="12802" width="7.08984375" style="28" customWidth="1"/>
    <col min="12803" max="12803" width="3.08984375" style="28" customWidth="1"/>
    <col min="12804" max="12804" width="4.08984375" style="28" customWidth="1"/>
    <col min="12805" max="12807" width="9" style="28"/>
    <col min="12808" max="12808" width="8" style="28" customWidth="1"/>
    <col min="12809" max="12809" width="7.08984375" style="28" customWidth="1"/>
    <col min="12810" max="12810" width="41.26953125" style="28" customWidth="1"/>
    <col min="12811" max="12811" width="9" style="28"/>
    <col min="12812" max="12812" width="9.7265625" style="28" customWidth="1"/>
    <col min="12813" max="12814" width="10.26953125" style="28" customWidth="1"/>
    <col min="12815" max="12815" width="11.26953125" style="28" customWidth="1"/>
    <col min="12816" max="12816" width="8.6328125" style="28" customWidth="1"/>
    <col min="12817" max="12817" width="10.36328125" style="28" customWidth="1"/>
    <col min="12818" max="12818" width="9" style="28"/>
    <col min="12819" max="12819" width="8.08984375" style="28" customWidth="1"/>
    <col min="12820" max="12821" width="9.453125" style="28" bestFit="1" customWidth="1"/>
    <col min="12822" max="12822" width="9.6328125" style="28" customWidth="1"/>
    <col min="12823" max="13056" width="9" style="28"/>
    <col min="13057" max="13057" width="3.26953125" style="28" customWidth="1"/>
    <col min="13058" max="13058" width="7.08984375" style="28" customWidth="1"/>
    <col min="13059" max="13059" width="3.08984375" style="28" customWidth="1"/>
    <col min="13060" max="13060" width="4.08984375" style="28" customWidth="1"/>
    <col min="13061" max="13063" width="9" style="28"/>
    <col min="13064" max="13064" width="8" style="28" customWidth="1"/>
    <col min="13065" max="13065" width="7.08984375" style="28" customWidth="1"/>
    <col min="13066" max="13066" width="41.26953125" style="28" customWidth="1"/>
    <col min="13067" max="13067" width="9" style="28"/>
    <col min="13068" max="13068" width="9.7265625" style="28" customWidth="1"/>
    <col min="13069" max="13070" width="10.26953125" style="28" customWidth="1"/>
    <col min="13071" max="13071" width="11.26953125" style="28" customWidth="1"/>
    <col min="13072" max="13072" width="8.6328125" style="28" customWidth="1"/>
    <col min="13073" max="13073" width="10.36328125" style="28" customWidth="1"/>
    <col min="13074" max="13074" width="9" style="28"/>
    <col min="13075" max="13075" width="8.08984375" style="28" customWidth="1"/>
    <col min="13076" max="13077" width="9.453125" style="28" bestFit="1" customWidth="1"/>
    <col min="13078" max="13078" width="9.6328125" style="28" customWidth="1"/>
    <col min="13079" max="13312" width="9" style="28"/>
    <col min="13313" max="13313" width="3.26953125" style="28" customWidth="1"/>
    <col min="13314" max="13314" width="7.08984375" style="28" customWidth="1"/>
    <col min="13315" max="13315" width="3.08984375" style="28" customWidth="1"/>
    <col min="13316" max="13316" width="4.08984375" style="28" customWidth="1"/>
    <col min="13317" max="13319" width="9" style="28"/>
    <col min="13320" max="13320" width="8" style="28" customWidth="1"/>
    <col min="13321" max="13321" width="7.08984375" style="28" customWidth="1"/>
    <col min="13322" max="13322" width="41.26953125" style="28" customWidth="1"/>
    <col min="13323" max="13323" width="9" style="28"/>
    <col min="13324" max="13324" width="9.7265625" style="28" customWidth="1"/>
    <col min="13325" max="13326" width="10.26953125" style="28" customWidth="1"/>
    <col min="13327" max="13327" width="11.26953125" style="28" customWidth="1"/>
    <col min="13328" max="13328" width="8.6328125" style="28" customWidth="1"/>
    <col min="13329" max="13329" width="10.36328125" style="28" customWidth="1"/>
    <col min="13330" max="13330" width="9" style="28"/>
    <col min="13331" max="13331" width="8.08984375" style="28" customWidth="1"/>
    <col min="13332" max="13333" width="9.453125" style="28" bestFit="1" customWidth="1"/>
    <col min="13334" max="13334" width="9.6328125" style="28" customWidth="1"/>
    <col min="13335" max="13568" width="9" style="28"/>
    <col min="13569" max="13569" width="3.26953125" style="28" customWidth="1"/>
    <col min="13570" max="13570" width="7.08984375" style="28" customWidth="1"/>
    <col min="13571" max="13571" width="3.08984375" style="28" customWidth="1"/>
    <col min="13572" max="13572" width="4.08984375" style="28" customWidth="1"/>
    <col min="13573" max="13575" width="9" style="28"/>
    <col min="13576" max="13576" width="8" style="28" customWidth="1"/>
    <col min="13577" max="13577" width="7.08984375" style="28" customWidth="1"/>
    <col min="13578" max="13578" width="41.26953125" style="28" customWidth="1"/>
    <col min="13579" max="13579" width="9" style="28"/>
    <col min="13580" max="13580" width="9.7265625" style="28" customWidth="1"/>
    <col min="13581" max="13582" width="10.26953125" style="28" customWidth="1"/>
    <col min="13583" max="13583" width="11.26953125" style="28" customWidth="1"/>
    <col min="13584" max="13584" width="8.6328125" style="28" customWidth="1"/>
    <col min="13585" max="13585" width="10.36328125" style="28" customWidth="1"/>
    <col min="13586" max="13586" width="9" style="28"/>
    <col min="13587" max="13587" width="8.08984375" style="28" customWidth="1"/>
    <col min="13588" max="13589" width="9.453125" style="28" bestFit="1" customWidth="1"/>
    <col min="13590" max="13590" width="9.6328125" style="28" customWidth="1"/>
    <col min="13591" max="13824" width="9" style="28"/>
    <col min="13825" max="13825" width="3.26953125" style="28" customWidth="1"/>
    <col min="13826" max="13826" width="7.08984375" style="28" customWidth="1"/>
    <col min="13827" max="13827" width="3.08984375" style="28" customWidth="1"/>
    <col min="13828" max="13828" width="4.08984375" style="28" customWidth="1"/>
    <col min="13829" max="13831" width="9" style="28"/>
    <col min="13832" max="13832" width="8" style="28" customWidth="1"/>
    <col min="13833" max="13833" width="7.08984375" style="28" customWidth="1"/>
    <col min="13834" max="13834" width="41.26953125" style="28" customWidth="1"/>
    <col min="13835" max="13835" width="9" style="28"/>
    <col min="13836" max="13836" width="9.7265625" style="28" customWidth="1"/>
    <col min="13837" max="13838" width="10.26953125" style="28" customWidth="1"/>
    <col min="13839" max="13839" width="11.26953125" style="28" customWidth="1"/>
    <col min="13840" max="13840" width="8.6328125" style="28" customWidth="1"/>
    <col min="13841" max="13841" width="10.36328125" style="28" customWidth="1"/>
    <col min="13842" max="13842" width="9" style="28"/>
    <col min="13843" max="13843" width="8.08984375" style="28" customWidth="1"/>
    <col min="13844" max="13845" width="9.453125" style="28" bestFit="1" customWidth="1"/>
    <col min="13846" max="13846" width="9.6328125" style="28" customWidth="1"/>
    <col min="13847" max="14080" width="9" style="28"/>
    <col min="14081" max="14081" width="3.26953125" style="28" customWidth="1"/>
    <col min="14082" max="14082" width="7.08984375" style="28" customWidth="1"/>
    <col min="14083" max="14083" width="3.08984375" style="28" customWidth="1"/>
    <col min="14084" max="14084" width="4.08984375" style="28" customWidth="1"/>
    <col min="14085" max="14087" width="9" style="28"/>
    <col min="14088" max="14088" width="8" style="28" customWidth="1"/>
    <col min="14089" max="14089" width="7.08984375" style="28" customWidth="1"/>
    <col min="14090" max="14090" width="41.26953125" style="28" customWidth="1"/>
    <col min="14091" max="14091" width="9" style="28"/>
    <col min="14092" max="14092" width="9.7265625" style="28" customWidth="1"/>
    <col min="14093" max="14094" width="10.26953125" style="28" customWidth="1"/>
    <col min="14095" max="14095" width="11.26953125" style="28" customWidth="1"/>
    <col min="14096" max="14096" width="8.6328125" style="28" customWidth="1"/>
    <col min="14097" max="14097" width="10.36328125" style="28" customWidth="1"/>
    <col min="14098" max="14098" width="9" style="28"/>
    <col min="14099" max="14099" width="8.08984375" style="28" customWidth="1"/>
    <col min="14100" max="14101" width="9.453125" style="28" bestFit="1" customWidth="1"/>
    <col min="14102" max="14102" width="9.6328125" style="28" customWidth="1"/>
    <col min="14103" max="14336" width="9" style="28"/>
    <col min="14337" max="14337" width="3.26953125" style="28" customWidth="1"/>
    <col min="14338" max="14338" width="7.08984375" style="28" customWidth="1"/>
    <col min="14339" max="14339" width="3.08984375" style="28" customWidth="1"/>
    <col min="14340" max="14340" width="4.08984375" style="28" customWidth="1"/>
    <col min="14341" max="14343" width="9" style="28"/>
    <col min="14344" max="14344" width="8" style="28" customWidth="1"/>
    <col min="14345" max="14345" width="7.08984375" style="28" customWidth="1"/>
    <col min="14346" max="14346" width="41.26953125" style="28" customWidth="1"/>
    <col min="14347" max="14347" width="9" style="28"/>
    <col min="14348" max="14348" width="9.7265625" style="28" customWidth="1"/>
    <col min="14349" max="14350" width="10.26953125" style="28" customWidth="1"/>
    <col min="14351" max="14351" width="11.26953125" style="28" customWidth="1"/>
    <col min="14352" max="14352" width="8.6328125" style="28" customWidth="1"/>
    <col min="14353" max="14353" width="10.36328125" style="28" customWidth="1"/>
    <col min="14354" max="14354" width="9" style="28"/>
    <col min="14355" max="14355" width="8.08984375" style="28" customWidth="1"/>
    <col min="14356" max="14357" width="9.453125" style="28" bestFit="1" customWidth="1"/>
    <col min="14358" max="14358" width="9.6328125" style="28" customWidth="1"/>
    <col min="14359" max="14592" width="9" style="28"/>
    <col min="14593" max="14593" width="3.26953125" style="28" customWidth="1"/>
    <col min="14594" max="14594" width="7.08984375" style="28" customWidth="1"/>
    <col min="14595" max="14595" width="3.08984375" style="28" customWidth="1"/>
    <col min="14596" max="14596" width="4.08984375" style="28" customWidth="1"/>
    <col min="14597" max="14599" width="9" style="28"/>
    <col min="14600" max="14600" width="8" style="28" customWidth="1"/>
    <col min="14601" max="14601" width="7.08984375" style="28" customWidth="1"/>
    <col min="14602" max="14602" width="41.26953125" style="28" customWidth="1"/>
    <col min="14603" max="14603" width="9" style="28"/>
    <col min="14604" max="14604" width="9.7265625" style="28" customWidth="1"/>
    <col min="14605" max="14606" width="10.26953125" style="28" customWidth="1"/>
    <col min="14607" max="14607" width="11.26953125" style="28" customWidth="1"/>
    <col min="14608" max="14608" width="8.6328125" style="28" customWidth="1"/>
    <col min="14609" max="14609" width="10.36328125" style="28" customWidth="1"/>
    <col min="14610" max="14610" width="9" style="28"/>
    <col min="14611" max="14611" width="8.08984375" style="28" customWidth="1"/>
    <col min="14612" max="14613" width="9.453125" style="28" bestFit="1" customWidth="1"/>
    <col min="14614" max="14614" width="9.6328125" style="28" customWidth="1"/>
    <col min="14615" max="14848" width="9" style="28"/>
    <col min="14849" max="14849" width="3.26953125" style="28" customWidth="1"/>
    <col min="14850" max="14850" width="7.08984375" style="28" customWidth="1"/>
    <col min="14851" max="14851" width="3.08984375" style="28" customWidth="1"/>
    <col min="14852" max="14852" width="4.08984375" style="28" customWidth="1"/>
    <col min="14853" max="14855" width="9" style="28"/>
    <col min="14856" max="14856" width="8" style="28" customWidth="1"/>
    <col min="14857" max="14857" width="7.08984375" style="28" customWidth="1"/>
    <col min="14858" max="14858" width="41.26953125" style="28" customWidth="1"/>
    <col min="14859" max="14859" width="9" style="28"/>
    <col min="14860" max="14860" width="9.7265625" style="28" customWidth="1"/>
    <col min="14861" max="14862" width="10.26953125" style="28" customWidth="1"/>
    <col min="14863" max="14863" width="11.26953125" style="28" customWidth="1"/>
    <col min="14864" max="14864" width="8.6328125" style="28" customWidth="1"/>
    <col min="14865" max="14865" width="10.36328125" style="28" customWidth="1"/>
    <col min="14866" max="14866" width="9" style="28"/>
    <col min="14867" max="14867" width="8.08984375" style="28" customWidth="1"/>
    <col min="14868" max="14869" width="9.453125" style="28" bestFit="1" customWidth="1"/>
    <col min="14870" max="14870" width="9.6328125" style="28" customWidth="1"/>
    <col min="14871" max="15104" width="9" style="28"/>
    <col min="15105" max="15105" width="3.26953125" style="28" customWidth="1"/>
    <col min="15106" max="15106" width="7.08984375" style="28" customWidth="1"/>
    <col min="15107" max="15107" width="3.08984375" style="28" customWidth="1"/>
    <col min="15108" max="15108" width="4.08984375" style="28" customWidth="1"/>
    <col min="15109" max="15111" width="9" style="28"/>
    <col min="15112" max="15112" width="8" style="28" customWidth="1"/>
    <col min="15113" max="15113" width="7.08984375" style="28" customWidth="1"/>
    <col min="15114" max="15114" width="41.26953125" style="28" customWidth="1"/>
    <col min="15115" max="15115" width="9" style="28"/>
    <col min="15116" max="15116" width="9.7265625" style="28" customWidth="1"/>
    <col min="15117" max="15118" width="10.26953125" style="28" customWidth="1"/>
    <col min="15119" max="15119" width="11.26953125" style="28" customWidth="1"/>
    <col min="15120" max="15120" width="8.6328125" style="28" customWidth="1"/>
    <col min="15121" max="15121" width="10.36328125" style="28" customWidth="1"/>
    <col min="15122" max="15122" width="9" style="28"/>
    <col min="15123" max="15123" width="8.08984375" style="28" customWidth="1"/>
    <col min="15124" max="15125" width="9.453125" style="28" bestFit="1" customWidth="1"/>
    <col min="15126" max="15126" width="9.6328125" style="28" customWidth="1"/>
    <col min="15127" max="15360" width="9" style="28"/>
    <col min="15361" max="15361" width="3.26953125" style="28" customWidth="1"/>
    <col min="15362" max="15362" width="7.08984375" style="28" customWidth="1"/>
    <col min="15363" max="15363" width="3.08984375" style="28" customWidth="1"/>
    <col min="15364" max="15364" width="4.08984375" style="28" customWidth="1"/>
    <col min="15365" max="15367" width="9" style="28"/>
    <col min="15368" max="15368" width="8" style="28" customWidth="1"/>
    <col min="15369" max="15369" width="7.08984375" style="28" customWidth="1"/>
    <col min="15370" max="15370" width="41.26953125" style="28" customWidth="1"/>
    <col min="15371" max="15371" width="9" style="28"/>
    <col min="15372" max="15372" width="9.7265625" style="28" customWidth="1"/>
    <col min="15373" max="15374" width="10.26953125" style="28" customWidth="1"/>
    <col min="15375" max="15375" width="11.26953125" style="28" customWidth="1"/>
    <col min="15376" max="15376" width="8.6328125" style="28" customWidth="1"/>
    <col min="15377" max="15377" width="10.36328125" style="28" customWidth="1"/>
    <col min="15378" max="15378" width="9" style="28"/>
    <col min="15379" max="15379" width="8.08984375" style="28" customWidth="1"/>
    <col min="15380" max="15381" width="9.453125" style="28" bestFit="1" customWidth="1"/>
    <col min="15382" max="15382" width="9.6328125" style="28" customWidth="1"/>
    <col min="15383" max="15616" width="9" style="28"/>
    <col min="15617" max="15617" width="3.26953125" style="28" customWidth="1"/>
    <col min="15618" max="15618" width="7.08984375" style="28" customWidth="1"/>
    <col min="15619" max="15619" width="3.08984375" style="28" customWidth="1"/>
    <col min="15620" max="15620" width="4.08984375" style="28" customWidth="1"/>
    <col min="15621" max="15623" width="9" style="28"/>
    <col min="15624" max="15624" width="8" style="28" customWidth="1"/>
    <col min="15625" max="15625" width="7.08984375" style="28" customWidth="1"/>
    <col min="15626" max="15626" width="41.26953125" style="28" customWidth="1"/>
    <col min="15627" max="15627" width="9" style="28"/>
    <col min="15628" max="15628" width="9.7265625" style="28" customWidth="1"/>
    <col min="15629" max="15630" width="10.26953125" style="28" customWidth="1"/>
    <col min="15631" max="15631" width="11.26953125" style="28" customWidth="1"/>
    <col min="15632" max="15632" width="8.6328125" style="28" customWidth="1"/>
    <col min="15633" max="15633" width="10.36328125" style="28" customWidth="1"/>
    <col min="15634" max="15634" width="9" style="28"/>
    <col min="15635" max="15635" width="8.08984375" style="28" customWidth="1"/>
    <col min="15636" max="15637" width="9.453125" style="28" bestFit="1" customWidth="1"/>
    <col min="15638" max="15638" width="9.6328125" style="28" customWidth="1"/>
    <col min="15639" max="15872" width="9" style="28"/>
    <col min="15873" max="15873" width="3.26953125" style="28" customWidth="1"/>
    <col min="15874" max="15874" width="7.08984375" style="28" customWidth="1"/>
    <col min="15875" max="15875" width="3.08984375" style="28" customWidth="1"/>
    <col min="15876" max="15876" width="4.08984375" style="28" customWidth="1"/>
    <col min="15877" max="15879" width="9" style="28"/>
    <col min="15880" max="15880" width="8" style="28" customWidth="1"/>
    <col min="15881" max="15881" width="7.08984375" style="28" customWidth="1"/>
    <col min="15882" max="15882" width="41.26953125" style="28" customWidth="1"/>
    <col min="15883" max="15883" width="9" style="28"/>
    <col min="15884" max="15884" width="9.7265625" style="28" customWidth="1"/>
    <col min="15885" max="15886" width="10.26953125" style="28" customWidth="1"/>
    <col min="15887" max="15887" width="11.26953125" style="28" customWidth="1"/>
    <col min="15888" max="15888" width="8.6328125" style="28" customWidth="1"/>
    <col min="15889" max="15889" width="10.36328125" style="28" customWidth="1"/>
    <col min="15890" max="15890" width="9" style="28"/>
    <col min="15891" max="15891" width="8.08984375" style="28" customWidth="1"/>
    <col min="15892" max="15893" width="9.453125" style="28" bestFit="1" customWidth="1"/>
    <col min="15894" max="15894" width="9.6328125" style="28" customWidth="1"/>
    <col min="15895" max="16128" width="9" style="28"/>
    <col min="16129" max="16129" width="3.26953125" style="28" customWidth="1"/>
    <col min="16130" max="16130" width="7.08984375" style="28" customWidth="1"/>
    <col min="16131" max="16131" width="3.08984375" style="28" customWidth="1"/>
    <col min="16132" max="16132" width="4.08984375" style="28" customWidth="1"/>
    <col min="16133" max="16135" width="9" style="28"/>
    <col min="16136" max="16136" width="8" style="28" customWidth="1"/>
    <col min="16137" max="16137" width="7.08984375" style="28" customWidth="1"/>
    <col min="16138" max="16138" width="41.26953125" style="28" customWidth="1"/>
    <col min="16139" max="16139" width="9" style="28"/>
    <col min="16140" max="16140" width="9.7265625" style="28" customWidth="1"/>
    <col min="16141" max="16142" width="10.26953125" style="28" customWidth="1"/>
    <col min="16143" max="16143" width="11.26953125" style="28" customWidth="1"/>
    <col min="16144" max="16144" width="8.6328125" style="28" customWidth="1"/>
    <col min="16145" max="16145" width="10.36328125" style="28" customWidth="1"/>
    <col min="16146" max="16146" width="9" style="28"/>
    <col min="16147" max="16147" width="8.08984375" style="28" customWidth="1"/>
    <col min="16148" max="16149" width="9.453125" style="28" bestFit="1" customWidth="1"/>
    <col min="16150" max="16150" width="9.6328125" style="28" customWidth="1"/>
    <col min="16151" max="16384" width="9" style="28"/>
  </cols>
  <sheetData>
    <row r="1" spans="1:10">
      <c r="A1" s="29" t="s">
        <v>118</v>
      </c>
    </row>
    <row r="2" spans="1:10" s="77" customFormat="1" ht="24" customHeight="1" thickBot="1">
      <c r="A2" s="123"/>
      <c r="B2" s="510" t="s">
        <v>237</v>
      </c>
      <c r="C2" s="510"/>
      <c r="D2" s="510"/>
      <c r="E2" s="510"/>
      <c r="F2" s="510"/>
      <c r="G2" s="510"/>
      <c r="H2" s="510"/>
      <c r="I2" s="510"/>
      <c r="J2" s="510"/>
    </row>
    <row r="3" spans="1:10" s="77" customFormat="1" ht="13.5" customHeight="1" thickTop="1">
      <c r="A3" s="78"/>
      <c r="B3" s="80"/>
      <c r="C3" s="80"/>
      <c r="D3" s="80"/>
      <c r="E3" s="80"/>
      <c r="F3" s="80"/>
      <c r="G3" s="80"/>
      <c r="H3" s="80"/>
      <c r="I3" s="80"/>
      <c r="J3" s="80"/>
    </row>
    <row r="4" spans="1:10" s="77" customFormat="1" ht="13.5" customHeight="1">
      <c r="A4" s="78"/>
      <c r="B4" s="80"/>
      <c r="C4" s="80"/>
      <c r="D4" s="80"/>
      <c r="E4" s="80"/>
      <c r="F4" s="80"/>
      <c r="G4" s="80"/>
      <c r="H4" s="80"/>
      <c r="I4" s="80"/>
      <c r="J4" s="80"/>
    </row>
    <row r="5" spans="1:10" s="77" customFormat="1" ht="13.5" customHeight="1">
      <c r="A5" s="78"/>
      <c r="B5" s="80"/>
      <c r="C5" s="80"/>
      <c r="D5" s="80"/>
      <c r="E5" s="80"/>
      <c r="F5" s="80"/>
      <c r="G5" s="80"/>
      <c r="H5" s="80"/>
      <c r="I5" s="80"/>
      <c r="J5" s="80"/>
    </row>
    <row r="6" spans="1:10" s="77" customFormat="1" ht="13.5" customHeight="1">
      <c r="A6" s="78"/>
      <c r="B6" s="80"/>
      <c r="C6" s="80"/>
      <c r="D6" s="80"/>
      <c r="E6" s="80"/>
      <c r="F6" s="80"/>
      <c r="G6" s="80"/>
      <c r="H6" s="80"/>
      <c r="I6" s="80"/>
      <c r="J6" s="80"/>
    </row>
    <row r="7" spans="1:10" ht="14.25" customHeight="1" thickBot="1">
      <c r="B7" s="34" t="s">
        <v>120</v>
      </c>
      <c r="C7" s="34" t="s">
        <v>121</v>
      </c>
      <c r="D7" s="34"/>
      <c r="E7" s="35"/>
    </row>
    <row r="8" spans="1:10" ht="14.25" customHeight="1">
      <c r="B8" s="511" t="s">
        <v>238</v>
      </c>
      <c r="C8" s="124" t="s">
        <v>239</v>
      </c>
      <c r="D8" s="124"/>
      <c r="E8" s="124"/>
      <c r="F8" s="124"/>
      <c r="G8" s="124"/>
      <c r="H8" s="124"/>
      <c r="I8" s="124"/>
      <c r="J8" s="125"/>
    </row>
    <row r="9" spans="1:10" ht="14.25" customHeight="1" thickBot="1">
      <c r="B9" s="512">
        <v>4</v>
      </c>
      <c r="C9" s="513" t="s">
        <v>240</v>
      </c>
      <c r="D9" s="514"/>
      <c r="E9" s="515"/>
      <c r="F9" s="515"/>
      <c r="G9" s="515"/>
      <c r="H9" s="515"/>
      <c r="I9" s="515"/>
      <c r="J9" s="516"/>
    </row>
    <row r="10" spans="1:10">
      <c r="B10" s="126"/>
      <c r="C10" s="127"/>
      <c r="D10" s="127"/>
      <c r="E10" s="127"/>
      <c r="F10" s="127"/>
      <c r="G10" s="127"/>
      <c r="H10" s="127"/>
      <c r="I10" s="127"/>
      <c r="J10" s="128"/>
    </row>
    <row r="11" spans="1:10">
      <c r="B11" s="126"/>
      <c r="C11" s="127"/>
      <c r="D11" s="127"/>
      <c r="E11" s="127"/>
      <c r="F11" s="127"/>
      <c r="G11" s="127"/>
      <c r="H11" s="127"/>
      <c r="I11" s="127"/>
      <c r="J11" s="128"/>
    </row>
    <row r="12" spans="1:10">
      <c r="B12" s="126"/>
      <c r="C12" s="127"/>
      <c r="D12" s="127"/>
      <c r="E12" s="127"/>
      <c r="F12" s="127"/>
      <c r="G12" s="127"/>
      <c r="H12" s="127"/>
      <c r="I12" s="127"/>
      <c r="J12" s="128"/>
    </row>
    <row r="13" spans="1:10">
      <c r="B13" s="129"/>
      <c r="D13" s="60"/>
      <c r="E13" s="60"/>
      <c r="F13" s="60"/>
      <c r="G13" s="60"/>
      <c r="H13" s="60"/>
      <c r="I13" s="60"/>
      <c r="J13" s="51"/>
    </row>
    <row r="14" spans="1:10">
      <c r="B14" s="130"/>
      <c r="C14" s="131"/>
      <c r="D14" s="60"/>
      <c r="E14" s="60"/>
      <c r="F14" s="60"/>
      <c r="G14" s="60"/>
      <c r="H14" s="60"/>
      <c r="I14" s="60"/>
      <c r="J14" s="51"/>
    </row>
    <row r="15" spans="1:10">
      <c r="B15" s="129"/>
      <c r="D15" s="60"/>
      <c r="E15" s="60"/>
      <c r="F15" s="60"/>
      <c r="G15" s="60"/>
      <c r="H15" s="60"/>
      <c r="I15" s="60"/>
      <c r="J15" s="51"/>
    </row>
    <row r="16" spans="1:10">
      <c r="B16" s="129"/>
      <c r="D16" s="60"/>
      <c r="E16" s="60"/>
      <c r="F16" s="60"/>
      <c r="G16" s="60"/>
      <c r="H16" s="60"/>
      <c r="I16" s="60"/>
      <c r="J16" s="51"/>
    </row>
    <row r="17" spans="2:10">
      <c r="B17" s="129"/>
      <c r="D17" s="60"/>
      <c r="E17" s="60"/>
      <c r="F17" s="60"/>
      <c r="G17" s="60"/>
      <c r="H17" s="60"/>
      <c r="I17" s="60"/>
      <c r="J17" s="51"/>
    </row>
    <row r="18" spans="2:10">
      <c r="B18" s="129"/>
      <c r="D18" s="60"/>
      <c r="E18" s="60"/>
      <c r="F18" s="60"/>
      <c r="G18" s="60"/>
      <c r="H18" s="60"/>
      <c r="I18" s="60"/>
      <c r="J18" s="51"/>
    </row>
    <row r="19" spans="2:10">
      <c r="B19" s="129"/>
      <c r="D19" s="60"/>
      <c r="E19" s="60"/>
      <c r="F19" s="60"/>
      <c r="G19" s="60"/>
      <c r="H19" s="60"/>
      <c r="I19" s="60"/>
      <c r="J19" s="51"/>
    </row>
    <row r="20" spans="2:10">
      <c r="B20" s="129"/>
      <c r="D20" s="60"/>
      <c r="E20" s="60"/>
      <c r="F20" s="60"/>
      <c r="G20" s="60"/>
      <c r="H20" s="60"/>
      <c r="I20" s="60"/>
      <c r="J20" s="51"/>
    </row>
    <row r="21" spans="2:10">
      <c r="B21" s="129"/>
      <c r="D21" s="60"/>
      <c r="E21" s="60"/>
      <c r="F21" s="60"/>
      <c r="G21" s="60"/>
      <c r="H21" s="60"/>
      <c r="I21" s="60"/>
      <c r="J21" s="51"/>
    </row>
    <row r="22" spans="2:10">
      <c r="B22" s="129"/>
      <c r="D22" s="60"/>
      <c r="E22" s="60"/>
      <c r="F22" s="60"/>
      <c r="G22" s="60"/>
      <c r="H22" s="60"/>
      <c r="I22" s="60"/>
      <c r="J22" s="51"/>
    </row>
    <row r="23" spans="2:10">
      <c r="B23" s="126"/>
      <c r="D23" s="60"/>
      <c r="E23" s="60"/>
      <c r="F23" s="60"/>
      <c r="G23" s="60"/>
      <c r="H23" s="60"/>
      <c r="I23" s="60"/>
      <c r="J23" s="51"/>
    </row>
    <row r="24" spans="2:10">
      <c r="B24" s="126"/>
      <c r="D24" s="60"/>
      <c r="E24" s="60"/>
      <c r="F24" s="60"/>
      <c r="G24" s="60"/>
      <c r="H24" s="60"/>
      <c r="I24" s="60"/>
      <c r="J24" s="51"/>
    </row>
    <row r="25" spans="2:10">
      <c r="B25" s="126"/>
      <c r="D25" s="60"/>
      <c r="E25" s="60"/>
      <c r="F25" s="60"/>
      <c r="G25" s="60"/>
      <c r="H25" s="60"/>
      <c r="I25" s="60"/>
      <c r="J25" s="51"/>
    </row>
    <row r="26" spans="2:10">
      <c r="B26" s="126"/>
      <c r="D26" s="60"/>
      <c r="E26" s="60"/>
      <c r="F26" s="60"/>
      <c r="G26" s="60"/>
      <c r="H26" s="60"/>
      <c r="I26" s="60"/>
      <c r="J26" s="51"/>
    </row>
    <row r="27" spans="2:10">
      <c r="B27" s="126"/>
      <c r="D27" s="60"/>
      <c r="E27" s="60"/>
      <c r="F27" s="60"/>
      <c r="G27" s="60"/>
      <c r="H27" s="60"/>
      <c r="I27" s="60"/>
      <c r="J27" s="51"/>
    </row>
    <row r="28" spans="2:10">
      <c r="B28" s="126"/>
      <c r="D28" s="60"/>
      <c r="E28" s="60"/>
      <c r="F28" s="60"/>
      <c r="G28" s="60"/>
      <c r="H28" s="60"/>
      <c r="I28" s="60"/>
      <c r="J28" s="51"/>
    </row>
    <row r="29" spans="2:10">
      <c r="B29" s="126"/>
      <c r="D29" s="60"/>
      <c r="E29" s="60"/>
      <c r="F29" s="60"/>
      <c r="G29" s="60"/>
      <c r="H29" s="60"/>
      <c r="I29" s="60"/>
      <c r="J29" s="51"/>
    </row>
    <row r="30" spans="2:10">
      <c r="B30" s="126"/>
      <c r="D30" s="60"/>
      <c r="E30" s="60"/>
      <c r="F30" s="60"/>
      <c r="G30" s="60"/>
      <c r="H30" s="60"/>
      <c r="I30" s="60"/>
      <c r="J30" s="51"/>
    </row>
    <row r="31" spans="2:10">
      <c r="B31" s="126"/>
      <c r="D31" s="60"/>
      <c r="E31" s="60"/>
      <c r="F31" s="60"/>
      <c r="G31" s="60"/>
      <c r="H31" s="60"/>
      <c r="I31" s="60"/>
      <c r="J31" s="51"/>
    </row>
    <row r="32" spans="2:10">
      <c r="B32" s="126"/>
      <c r="D32" s="60"/>
      <c r="E32" s="60"/>
      <c r="F32" s="60"/>
      <c r="G32" s="60"/>
      <c r="H32" s="60"/>
      <c r="I32" s="60"/>
      <c r="J32" s="51"/>
    </row>
    <row r="33" spans="2:10">
      <c r="B33" s="126"/>
      <c r="D33" s="60"/>
      <c r="E33" s="60"/>
      <c r="F33" s="60"/>
      <c r="G33" s="60"/>
      <c r="H33" s="60"/>
      <c r="I33" s="60"/>
      <c r="J33" s="51"/>
    </row>
    <row r="34" spans="2:10" ht="15.75" customHeight="1">
      <c r="B34" s="126"/>
      <c r="C34" s="127"/>
      <c r="D34" s="127"/>
      <c r="E34" s="127"/>
      <c r="F34" s="127"/>
      <c r="G34" s="127"/>
      <c r="H34" s="127"/>
      <c r="I34" s="127"/>
      <c r="J34" s="128"/>
    </row>
    <row r="35" spans="2:10">
      <c r="B35" s="126"/>
      <c r="C35" s="127"/>
      <c r="D35" s="127"/>
      <c r="E35" s="127"/>
      <c r="F35" s="127"/>
      <c r="G35" s="127"/>
      <c r="H35" s="127"/>
      <c r="I35" s="127"/>
      <c r="J35" s="128"/>
    </row>
    <row r="36" spans="2:10">
      <c r="B36" s="129"/>
      <c r="D36" s="60"/>
      <c r="E36" s="60"/>
      <c r="F36" s="60"/>
      <c r="G36" s="60"/>
      <c r="H36" s="60"/>
      <c r="I36" s="60"/>
      <c r="J36" s="51"/>
    </row>
    <row r="37" spans="2:10">
      <c r="B37" s="129"/>
      <c r="D37" s="60"/>
      <c r="E37" s="60"/>
      <c r="F37" s="60"/>
      <c r="G37" s="60"/>
      <c r="H37" s="60"/>
      <c r="I37" s="60"/>
      <c r="J37" s="51"/>
    </row>
    <row r="38" spans="2:10">
      <c r="B38" s="129"/>
      <c r="D38" s="60"/>
      <c r="E38" s="60"/>
      <c r="F38" s="60"/>
      <c r="G38" s="60"/>
      <c r="H38" s="60"/>
      <c r="I38" s="60"/>
      <c r="J38" s="51"/>
    </row>
    <row r="39" spans="2:10">
      <c r="B39" s="129"/>
      <c r="D39" s="60"/>
      <c r="E39" s="60"/>
      <c r="F39" s="60"/>
      <c r="G39" s="60"/>
      <c r="H39" s="60"/>
      <c r="I39" s="60"/>
      <c r="J39" s="51"/>
    </row>
    <row r="40" spans="2:10" ht="15.75" customHeight="1">
      <c r="B40" s="126"/>
      <c r="C40" s="127"/>
      <c r="D40" s="127"/>
      <c r="E40" s="127"/>
      <c r="F40" s="127"/>
      <c r="G40" s="127"/>
      <c r="H40" s="127"/>
      <c r="I40" s="127"/>
      <c r="J40" s="128"/>
    </row>
    <row r="41" spans="2:10">
      <c r="B41" s="126"/>
      <c r="C41" s="127"/>
      <c r="D41" s="127"/>
      <c r="E41" s="127"/>
      <c r="F41" s="127"/>
      <c r="G41" s="127"/>
      <c r="H41" s="127"/>
      <c r="I41" s="127"/>
      <c r="J41" s="128"/>
    </row>
    <row r="42" spans="2:10">
      <c r="B42" s="126"/>
      <c r="C42" s="127"/>
      <c r="D42" s="127"/>
      <c r="E42" s="127"/>
      <c r="F42" s="127"/>
      <c r="G42" s="127"/>
      <c r="H42" s="127"/>
      <c r="I42" s="127"/>
      <c r="J42" s="128"/>
    </row>
    <row r="43" spans="2:10">
      <c r="B43" s="129"/>
      <c r="D43" s="60"/>
      <c r="E43" s="60"/>
      <c r="F43" s="60"/>
      <c r="G43" s="60"/>
      <c r="H43" s="60"/>
      <c r="I43" s="60"/>
      <c r="J43" s="51"/>
    </row>
    <row r="44" spans="2:10">
      <c r="B44" s="130"/>
      <c r="C44" s="131"/>
      <c r="D44" s="60"/>
      <c r="E44" s="60"/>
      <c r="F44" s="60"/>
      <c r="G44" s="60"/>
      <c r="H44" s="60"/>
      <c r="I44" s="60"/>
      <c r="J44" s="51"/>
    </row>
    <row r="45" spans="2:10">
      <c r="B45" s="129"/>
      <c r="D45" s="60"/>
      <c r="E45" s="60"/>
      <c r="F45" s="60"/>
      <c r="G45" s="60"/>
      <c r="H45" s="60"/>
      <c r="I45" s="60"/>
      <c r="J45" s="51"/>
    </row>
    <row r="46" spans="2:10" ht="15.5" thickBot="1">
      <c r="B46" s="129"/>
      <c r="D46" s="60"/>
      <c r="E46" s="60"/>
      <c r="F46" s="60"/>
      <c r="G46" s="60"/>
      <c r="H46" s="60"/>
      <c r="I46" s="60"/>
      <c r="J46" s="51"/>
    </row>
    <row r="47" spans="2:10" ht="14.25" customHeight="1">
      <c r="B47" s="511" t="s">
        <v>241</v>
      </c>
      <c r="C47" s="124" t="s">
        <v>242</v>
      </c>
      <c r="D47" s="124"/>
      <c r="E47" s="124"/>
      <c r="F47" s="124"/>
      <c r="G47" s="124"/>
      <c r="H47" s="124"/>
      <c r="I47" s="124"/>
      <c r="J47" s="125"/>
    </row>
    <row r="48" spans="2:10" ht="14.25" customHeight="1" thickBot="1">
      <c r="B48" s="512"/>
      <c r="C48" s="513" t="s">
        <v>240</v>
      </c>
      <c r="D48" s="514"/>
      <c r="E48" s="515"/>
      <c r="F48" s="515"/>
      <c r="G48" s="515"/>
      <c r="H48" s="515"/>
      <c r="I48" s="515"/>
      <c r="J48" s="516"/>
    </row>
    <row r="49" spans="2:10">
      <c r="B49" s="126"/>
      <c r="C49" s="127"/>
      <c r="D49" s="127"/>
      <c r="E49" s="127"/>
      <c r="F49" s="127"/>
      <c r="G49" s="127"/>
      <c r="H49" s="127"/>
      <c r="I49" s="127"/>
      <c r="J49" s="128"/>
    </row>
    <row r="50" spans="2:10">
      <c r="B50" s="126"/>
      <c r="C50" s="127"/>
      <c r="D50" s="127"/>
      <c r="E50" s="127"/>
      <c r="F50" s="127"/>
      <c r="G50" s="127"/>
      <c r="H50" s="127"/>
      <c r="I50" s="127"/>
      <c r="J50" s="128"/>
    </row>
    <row r="51" spans="2:10">
      <c r="B51" s="129"/>
      <c r="D51" s="60"/>
      <c r="E51" s="60"/>
      <c r="F51" s="60"/>
      <c r="G51" s="60"/>
      <c r="H51" s="60"/>
      <c r="I51" s="60"/>
      <c r="J51" s="51"/>
    </row>
    <row r="52" spans="2:10">
      <c r="B52" s="130"/>
      <c r="C52" s="131"/>
      <c r="D52" s="60"/>
      <c r="E52" s="60"/>
      <c r="F52" s="60"/>
      <c r="G52" s="60"/>
      <c r="H52" s="60"/>
      <c r="I52" s="60"/>
      <c r="J52" s="51"/>
    </row>
    <row r="53" spans="2:10">
      <c r="B53" s="129"/>
      <c r="D53" s="60"/>
      <c r="E53" s="60"/>
      <c r="F53" s="60"/>
      <c r="G53" s="60"/>
      <c r="H53" s="60"/>
      <c r="I53" s="60"/>
      <c r="J53" s="51"/>
    </row>
    <row r="54" spans="2:10">
      <c r="B54" s="129"/>
      <c r="D54" s="60"/>
      <c r="E54" s="60"/>
      <c r="F54" s="60"/>
      <c r="G54" s="60"/>
      <c r="H54" s="60"/>
      <c r="I54" s="60"/>
      <c r="J54" s="51"/>
    </row>
    <row r="55" spans="2:10">
      <c r="B55" s="129"/>
      <c r="D55" s="60"/>
      <c r="E55" s="60"/>
      <c r="F55" s="60"/>
      <c r="G55" s="60"/>
      <c r="H55" s="60"/>
      <c r="I55" s="60"/>
      <c r="J55" s="51"/>
    </row>
    <row r="56" spans="2:10">
      <c r="B56" s="129"/>
      <c r="D56" s="60"/>
      <c r="E56" s="60"/>
      <c r="F56" s="60"/>
      <c r="G56" s="60"/>
      <c r="H56" s="60"/>
      <c r="I56" s="60"/>
      <c r="J56" s="51"/>
    </row>
    <row r="57" spans="2:10">
      <c r="B57" s="129"/>
      <c r="D57" s="60"/>
      <c r="E57" s="60"/>
      <c r="F57" s="60"/>
      <c r="G57" s="60"/>
      <c r="H57" s="60"/>
      <c r="I57" s="60"/>
      <c r="J57" s="51"/>
    </row>
    <row r="58" spans="2:10">
      <c r="B58" s="129"/>
      <c r="D58" s="60"/>
      <c r="E58" s="60"/>
      <c r="F58" s="60"/>
      <c r="G58" s="60"/>
      <c r="H58" s="60"/>
      <c r="I58" s="60"/>
      <c r="J58" s="51"/>
    </row>
    <row r="59" spans="2:10">
      <c r="B59" s="129"/>
      <c r="D59" s="60"/>
      <c r="E59" s="60"/>
      <c r="F59" s="60"/>
      <c r="G59" s="60"/>
      <c r="H59" s="60"/>
      <c r="I59" s="60"/>
      <c r="J59" s="51"/>
    </row>
    <row r="60" spans="2:10">
      <c r="B60" s="129"/>
      <c r="D60" s="60"/>
      <c r="E60" s="60"/>
      <c r="F60" s="60"/>
      <c r="G60" s="60"/>
      <c r="H60" s="60"/>
      <c r="I60" s="60"/>
      <c r="J60" s="51"/>
    </row>
    <row r="61" spans="2:10">
      <c r="B61" s="126"/>
      <c r="D61" s="60"/>
      <c r="E61" s="60"/>
      <c r="F61" s="60"/>
      <c r="G61" s="60"/>
      <c r="H61" s="60"/>
      <c r="I61" s="60"/>
      <c r="J61" s="51"/>
    </row>
    <row r="62" spans="2:10">
      <c r="B62" s="126"/>
      <c r="C62" s="127"/>
      <c r="D62" s="127"/>
      <c r="E62" s="127"/>
      <c r="F62" s="127"/>
      <c r="G62" s="127"/>
      <c r="H62" s="127"/>
      <c r="I62" s="127"/>
      <c r="J62" s="128"/>
    </row>
    <row r="63" spans="2:10">
      <c r="B63" s="126"/>
      <c r="C63" s="127"/>
      <c r="D63" s="127"/>
      <c r="E63" s="127"/>
      <c r="F63" s="127"/>
      <c r="G63" s="127"/>
      <c r="H63" s="127"/>
      <c r="I63" s="127"/>
      <c r="J63" s="128"/>
    </row>
    <row r="64" spans="2:10">
      <c r="B64" s="126"/>
      <c r="C64" s="127"/>
      <c r="D64" s="127"/>
      <c r="E64" s="127"/>
      <c r="F64" s="127"/>
      <c r="G64" s="127"/>
      <c r="H64" s="127"/>
      <c r="I64" s="127"/>
      <c r="J64" s="128"/>
    </row>
    <row r="65" spans="2:10">
      <c r="B65" s="126"/>
      <c r="C65" s="127"/>
      <c r="D65" s="127"/>
      <c r="E65" s="127"/>
      <c r="F65" s="127"/>
      <c r="G65" s="127"/>
      <c r="H65" s="127"/>
      <c r="I65" s="127"/>
      <c r="J65" s="128"/>
    </row>
    <row r="66" spans="2:10">
      <c r="B66" s="126"/>
      <c r="C66" s="127"/>
      <c r="D66" s="127"/>
      <c r="E66" s="127"/>
      <c r="F66" s="127"/>
      <c r="G66" s="127"/>
      <c r="H66" s="127"/>
      <c r="I66" s="127"/>
      <c r="J66" s="128"/>
    </row>
    <row r="67" spans="2:10">
      <c r="B67" s="126"/>
      <c r="C67" s="127"/>
      <c r="D67" s="127"/>
      <c r="E67" s="127"/>
      <c r="F67" s="127"/>
      <c r="G67" s="127"/>
      <c r="H67" s="127"/>
      <c r="I67" s="127"/>
      <c r="J67" s="128"/>
    </row>
    <row r="68" spans="2:10">
      <c r="B68" s="126"/>
      <c r="C68" s="127"/>
      <c r="D68" s="127"/>
      <c r="E68" s="127"/>
      <c r="F68" s="127"/>
      <c r="G68" s="127"/>
      <c r="H68" s="127"/>
      <c r="I68" s="127"/>
      <c r="J68" s="128"/>
    </row>
    <row r="69" spans="2:10">
      <c r="B69" s="126"/>
      <c r="C69" s="127"/>
      <c r="D69" s="127"/>
      <c r="E69" s="127"/>
      <c r="F69" s="127"/>
      <c r="G69" s="127"/>
      <c r="H69" s="127"/>
      <c r="I69" s="127"/>
      <c r="J69" s="128"/>
    </row>
    <row r="70" spans="2:10">
      <c r="B70" s="126"/>
      <c r="C70" s="127"/>
      <c r="D70" s="127"/>
      <c r="E70" s="127"/>
      <c r="F70" s="127"/>
      <c r="G70" s="127"/>
      <c r="H70" s="127"/>
      <c r="I70" s="127"/>
      <c r="J70" s="128"/>
    </row>
    <row r="71" spans="2:10">
      <c r="B71" s="126"/>
      <c r="C71" s="127"/>
      <c r="D71" s="127"/>
      <c r="E71" s="127"/>
      <c r="F71" s="127"/>
      <c r="G71" s="127"/>
      <c r="H71" s="127"/>
      <c r="I71" s="127"/>
      <c r="J71" s="128"/>
    </row>
    <row r="72" spans="2:10">
      <c r="B72" s="126"/>
      <c r="C72" s="127"/>
      <c r="D72" s="127"/>
      <c r="E72" s="127"/>
      <c r="F72" s="127"/>
      <c r="G72" s="127"/>
      <c r="H72" s="127"/>
      <c r="I72" s="127"/>
      <c r="J72" s="128"/>
    </row>
    <row r="73" spans="2:10">
      <c r="B73" s="126"/>
      <c r="C73" s="127"/>
      <c r="D73" s="127"/>
      <c r="E73" s="127"/>
      <c r="F73" s="127"/>
      <c r="G73" s="127"/>
      <c r="H73" s="127"/>
      <c r="I73" s="127"/>
      <c r="J73" s="128"/>
    </row>
    <row r="74" spans="2:10">
      <c r="B74" s="126"/>
      <c r="C74" s="127"/>
      <c r="D74" s="127"/>
      <c r="E74" s="127"/>
      <c r="F74" s="127"/>
      <c r="G74" s="127"/>
      <c r="H74" s="127"/>
      <c r="I74" s="127"/>
      <c r="J74" s="128"/>
    </row>
    <row r="75" spans="2:10">
      <c r="B75" s="129"/>
      <c r="D75" s="60"/>
      <c r="E75" s="60"/>
      <c r="F75" s="60"/>
      <c r="G75" s="60"/>
      <c r="H75" s="60"/>
      <c r="I75" s="60"/>
      <c r="J75" s="51"/>
    </row>
    <row r="76" spans="2:10">
      <c r="B76" s="129"/>
      <c r="D76" s="60"/>
      <c r="E76" s="60"/>
      <c r="F76" s="60"/>
      <c r="G76" s="60"/>
      <c r="H76" s="60"/>
      <c r="I76" s="60"/>
      <c r="J76" s="51"/>
    </row>
    <row r="77" spans="2:10">
      <c r="B77" s="129"/>
      <c r="D77" s="60"/>
      <c r="E77" s="60"/>
      <c r="F77" s="60"/>
      <c r="G77" s="60"/>
      <c r="H77" s="60"/>
      <c r="I77" s="60"/>
      <c r="J77" s="51"/>
    </row>
    <row r="78" spans="2:10">
      <c r="B78" s="126"/>
      <c r="C78" s="127"/>
      <c r="D78" s="127"/>
      <c r="E78" s="127"/>
      <c r="F78" s="127"/>
      <c r="G78" s="127"/>
      <c r="H78" s="127"/>
      <c r="I78" s="127"/>
      <c r="J78" s="128"/>
    </row>
    <row r="79" spans="2:10">
      <c r="B79" s="126"/>
      <c r="C79" s="127"/>
      <c r="D79" s="127"/>
      <c r="E79" s="127"/>
      <c r="F79" s="127"/>
      <c r="G79" s="127"/>
      <c r="H79" s="127"/>
      <c r="I79" s="127"/>
      <c r="J79" s="128"/>
    </row>
    <row r="80" spans="2:10">
      <c r="B80" s="126"/>
      <c r="C80" s="127"/>
      <c r="D80" s="127"/>
      <c r="E80" s="127"/>
      <c r="F80" s="127"/>
      <c r="G80" s="127"/>
      <c r="H80" s="127"/>
      <c r="I80" s="127"/>
      <c r="J80" s="128"/>
    </row>
    <row r="81" spans="2:10" ht="15.5" thickBot="1">
      <c r="B81" s="129"/>
      <c r="D81" s="60"/>
      <c r="E81" s="60"/>
      <c r="F81" s="60"/>
      <c r="G81" s="60"/>
      <c r="H81" s="60"/>
      <c r="I81" s="60"/>
      <c r="J81" s="51"/>
    </row>
    <row r="82" spans="2:10" ht="14.25" customHeight="1">
      <c r="B82" s="511" t="s">
        <v>243</v>
      </c>
      <c r="C82" s="124" t="s">
        <v>244</v>
      </c>
      <c r="D82" s="124"/>
      <c r="E82" s="124"/>
      <c r="F82" s="124"/>
      <c r="G82" s="124"/>
      <c r="H82" s="124"/>
      <c r="I82" s="124"/>
      <c r="J82" s="125"/>
    </row>
    <row r="83" spans="2:10" ht="14.25" customHeight="1" thickBot="1">
      <c r="B83" s="512"/>
      <c r="C83" s="513" t="s">
        <v>240</v>
      </c>
      <c r="D83" s="514"/>
      <c r="E83" s="515"/>
      <c r="F83" s="515"/>
      <c r="G83" s="515"/>
      <c r="H83" s="515"/>
      <c r="I83" s="515"/>
      <c r="J83" s="516"/>
    </row>
    <row r="84" spans="2:10">
      <c r="B84" s="126"/>
      <c r="C84" s="127"/>
      <c r="D84" s="127"/>
      <c r="E84" s="127"/>
      <c r="F84" s="127"/>
      <c r="G84" s="127"/>
      <c r="H84" s="127"/>
      <c r="I84" s="127"/>
      <c r="J84" s="128"/>
    </row>
    <row r="85" spans="2:10">
      <c r="B85" s="126"/>
      <c r="C85" s="132" t="s">
        <v>245</v>
      </c>
      <c r="D85" s="127"/>
      <c r="E85" s="127"/>
      <c r="F85" s="127"/>
      <c r="G85" s="127"/>
      <c r="H85" s="127"/>
      <c r="I85" s="127"/>
      <c r="J85" s="128"/>
    </row>
    <row r="86" spans="2:10">
      <c r="B86" s="129"/>
      <c r="D86" s="60"/>
      <c r="E86" s="60"/>
      <c r="F86" s="60"/>
      <c r="G86" s="60"/>
      <c r="H86" s="60"/>
      <c r="I86" s="60"/>
      <c r="J86" s="51"/>
    </row>
    <row r="87" spans="2:10">
      <c r="B87" s="130"/>
      <c r="C87" s="131"/>
      <c r="D87" s="60"/>
      <c r="E87" s="60"/>
      <c r="F87" s="60"/>
      <c r="G87" s="60"/>
      <c r="H87" s="60"/>
      <c r="I87" s="60"/>
      <c r="J87" s="51"/>
    </row>
    <row r="88" spans="2:10">
      <c r="B88" s="129"/>
      <c r="D88" s="60"/>
      <c r="E88" s="60"/>
      <c r="F88" s="60"/>
      <c r="G88" s="60"/>
      <c r="H88" s="60"/>
      <c r="I88" s="60"/>
      <c r="J88" s="51"/>
    </row>
    <row r="89" spans="2:10">
      <c r="B89" s="129"/>
      <c r="D89" s="60"/>
      <c r="E89" s="60"/>
      <c r="F89" s="60"/>
      <c r="G89" s="60"/>
      <c r="H89" s="60"/>
      <c r="I89" s="60"/>
      <c r="J89" s="51"/>
    </row>
    <row r="90" spans="2:10">
      <c r="B90" s="129"/>
      <c r="D90" s="60"/>
      <c r="E90" s="60"/>
      <c r="F90" s="60"/>
      <c r="G90" s="60"/>
      <c r="H90" s="60"/>
      <c r="I90" s="60"/>
      <c r="J90" s="51"/>
    </row>
    <row r="91" spans="2:10">
      <c r="B91" s="129"/>
      <c r="D91" s="60"/>
      <c r="E91" s="60"/>
      <c r="F91" s="60"/>
      <c r="G91" s="60"/>
      <c r="H91" s="60"/>
      <c r="I91" s="60"/>
      <c r="J91" s="51"/>
    </row>
    <row r="92" spans="2:10">
      <c r="B92" s="129"/>
      <c r="D92" s="60"/>
      <c r="E92" s="60"/>
      <c r="F92" s="60"/>
      <c r="G92" s="60"/>
      <c r="H92" s="60"/>
      <c r="I92" s="60"/>
      <c r="J92" s="51"/>
    </row>
    <row r="93" spans="2:10">
      <c r="B93" s="129"/>
      <c r="D93" s="60"/>
      <c r="E93" s="60"/>
      <c r="F93" s="60"/>
      <c r="G93" s="60"/>
      <c r="H93" s="60"/>
      <c r="I93" s="60"/>
      <c r="J93" s="51"/>
    </row>
    <row r="94" spans="2:10">
      <c r="B94" s="129"/>
      <c r="D94" s="60"/>
      <c r="E94" s="60"/>
      <c r="F94" s="60"/>
      <c r="G94" s="60"/>
      <c r="H94" s="60"/>
      <c r="I94" s="60"/>
      <c r="J94" s="51"/>
    </row>
    <row r="95" spans="2:10">
      <c r="B95" s="129"/>
      <c r="D95" s="60"/>
      <c r="E95" s="60"/>
      <c r="F95" s="60"/>
      <c r="G95" s="60"/>
      <c r="H95" s="60"/>
      <c r="I95" s="60"/>
      <c r="J95" s="51"/>
    </row>
    <row r="96" spans="2:10">
      <c r="B96" s="126"/>
      <c r="D96" s="60"/>
      <c r="E96" s="60"/>
      <c r="F96" s="60"/>
      <c r="G96" s="60"/>
      <c r="H96" s="60"/>
      <c r="I96" s="60"/>
      <c r="J96" s="51"/>
    </row>
    <row r="97" spans="2:10">
      <c r="B97" s="126"/>
      <c r="D97" s="60"/>
      <c r="E97" s="60"/>
      <c r="F97" s="60"/>
      <c r="G97" s="60"/>
      <c r="H97" s="60"/>
      <c r="I97" s="60"/>
      <c r="J97" s="51"/>
    </row>
    <row r="98" spans="2:10">
      <c r="B98" s="126"/>
      <c r="D98" s="60"/>
      <c r="E98" s="60"/>
      <c r="F98" s="60"/>
      <c r="G98" s="60"/>
      <c r="H98" s="60"/>
      <c r="I98" s="60"/>
      <c r="J98" s="51"/>
    </row>
    <row r="99" spans="2:10">
      <c r="B99" s="126"/>
      <c r="D99" s="60"/>
      <c r="E99" s="60"/>
      <c r="F99" s="60"/>
      <c r="G99" s="60"/>
      <c r="H99" s="60"/>
      <c r="I99" s="60"/>
      <c r="J99" s="51"/>
    </row>
    <row r="100" spans="2:10">
      <c r="B100" s="126"/>
      <c r="D100" s="60"/>
      <c r="E100" s="60"/>
      <c r="F100" s="60"/>
      <c r="G100" s="60"/>
      <c r="H100" s="60"/>
      <c r="I100" s="60"/>
      <c r="J100" s="51"/>
    </row>
    <row r="101" spans="2:10">
      <c r="B101" s="126"/>
      <c r="D101" s="60"/>
      <c r="E101" s="60"/>
      <c r="F101" s="60"/>
      <c r="G101" s="60"/>
      <c r="H101" s="60"/>
      <c r="I101" s="60"/>
      <c r="J101" s="51"/>
    </row>
    <row r="102" spans="2:10">
      <c r="B102" s="126"/>
      <c r="D102" s="60"/>
      <c r="E102" s="60"/>
      <c r="F102" s="60"/>
      <c r="G102" s="60"/>
      <c r="H102" s="60"/>
      <c r="I102" s="60"/>
      <c r="J102" s="51"/>
    </row>
    <row r="103" spans="2:10">
      <c r="B103" s="126"/>
      <c r="D103" s="60"/>
      <c r="E103" s="60"/>
      <c r="F103" s="60"/>
      <c r="G103" s="60"/>
      <c r="H103" s="60"/>
      <c r="I103" s="60"/>
      <c r="J103" s="51"/>
    </row>
    <row r="104" spans="2:10">
      <c r="B104" s="126"/>
      <c r="D104" s="60"/>
      <c r="E104" s="60"/>
      <c r="F104" s="60"/>
      <c r="G104" s="60"/>
      <c r="H104" s="60"/>
      <c r="I104" s="60"/>
      <c r="J104" s="51"/>
    </row>
    <row r="105" spans="2:10">
      <c r="B105" s="126"/>
      <c r="D105" s="60"/>
      <c r="E105" s="60"/>
      <c r="F105" s="60"/>
      <c r="G105" s="60"/>
      <c r="H105" s="60"/>
      <c r="I105" s="60"/>
      <c r="J105" s="51"/>
    </row>
    <row r="106" spans="2:10">
      <c r="B106" s="126"/>
      <c r="D106" s="60"/>
      <c r="E106" s="60"/>
      <c r="F106" s="60"/>
      <c r="G106" s="60"/>
      <c r="H106" s="60"/>
      <c r="I106" s="60"/>
      <c r="J106" s="51"/>
    </row>
    <row r="107" spans="2:10">
      <c r="B107" s="126"/>
      <c r="D107" s="60"/>
      <c r="E107" s="60"/>
      <c r="F107" s="60"/>
      <c r="G107" s="60"/>
      <c r="H107" s="60"/>
      <c r="I107" s="60"/>
      <c r="J107" s="51"/>
    </row>
    <row r="108" spans="2:10">
      <c r="B108" s="126"/>
      <c r="D108" s="60"/>
      <c r="E108" s="60"/>
      <c r="F108" s="60"/>
      <c r="G108" s="60"/>
      <c r="H108" s="60"/>
      <c r="I108" s="60"/>
      <c r="J108" s="51"/>
    </row>
    <row r="109" spans="2:10">
      <c r="B109" s="126"/>
      <c r="C109" s="127"/>
      <c r="D109" s="127"/>
      <c r="E109" s="127"/>
      <c r="F109" s="127"/>
      <c r="G109" s="127"/>
      <c r="H109" s="127"/>
      <c r="I109" s="127"/>
      <c r="J109" s="128"/>
    </row>
    <row r="110" spans="2:10">
      <c r="B110" s="129"/>
      <c r="D110" s="60"/>
      <c r="E110" s="60"/>
      <c r="F110" s="60"/>
      <c r="G110" s="60"/>
      <c r="H110" s="60"/>
      <c r="I110" s="60"/>
      <c r="J110" s="51"/>
    </row>
    <row r="111" spans="2:10">
      <c r="B111" s="129"/>
      <c r="D111" s="60"/>
      <c r="E111" s="60"/>
      <c r="F111" s="60"/>
      <c r="G111" s="60"/>
      <c r="H111" s="60"/>
      <c r="I111" s="60"/>
      <c r="J111" s="51"/>
    </row>
    <row r="112" spans="2:10">
      <c r="B112" s="129"/>
      <c r="D112" s="60"/>
      <c r="E112" s="60"/>
      <c r="F112" s="60"/>
      <c r="G112" s="60"/>
      <c r="H112" s="60"/>
      <c r="I112" s="60"/>
      <c r="J112" s="51"/>
    </row>
    <row r="113" spans="2:10">
      <c r="B113" s="126"/>
      <c r="C113" s="127"/>
      <c r="D113" s="127"/>
      <c r="E113" s="127"/>
      <c r="F113" s="127"/>
      <c r="G113" s="127"/>
      <c r="H113" s="127"/>
      <c r="I113" s="127"/>
      <c r="J113" s="128"/>
    </row>
    <row r="114" spans="2:10">
      <c r="B114" s="126"/>
      <c r="C114" s="127"/>
      <c r="D114" s="127"/>
      <c r="E114" s="127"/>
      <c r="F114" s="127"/>
      <c r="G114" s="127"/>
      <c r="H114" s="127"/>
      <c r="I114" s="127"/>
      <c r="J114" s="128"/>
    </row>
    <row r="115" spans="2:10">
      <c r="B115" s="126"/>
      <c r="C115" s="127"/>
      <c r="D115" s="127"/>
      <c r="E115" s="127"/>
      <c r="F115" s="127"/>
      <c r="G115" s="127"/>
      <c r="H115" s="127"/>
      <c r="I115" s="127"/>
      <c r="J115" s="128"/>
    </row>
    <row r="116" spans="2:10">
      <c r="B116" s="129"/>
      <c r="D116" s="60"/>
      <c r="E116" s="60"/>
      <c r="F116" s="60"/>
      <c r="G116" s="60"/>
      <c r="H116" s="60"/>
      <c r="I116" s="60"/>
      <c r="J116" s="51"/>
    </row>
    <row r="117" spans="2:10" ht="15.5" thickBot="1">
      <c r="B117" s="129"/>
      <c r="D117" s="60"/>
      <c r="E117" s="60"/>
      <c r="F117" s="60"/>
      <c r="G117" s="60"/>
      <c r="H117" s="60"/>
      <c r="I117" s="60"/>
      <c r="J117" s="51"/>
    </row>
    <row r="118" spans="2:10">
      <c r="B118" s="133"/>
      <c r="C118" s="134"/>
      <c r="D118" s="134"/>
      <c r="E118" s="134"/>
      <c r="F118" s="134"/>
      <c r="G118" s="134"/>
      <c r="H118" s="134"/>
      <c r="I118" s="134"/>
      <c r="J118" s="135"/>
    </row>
    <row r="119" spans="2:10">
      <c r="B119" s="126"/>
      <c r="C119" s="132" t="s">
        <v>246</v>
      </c>
      <c r="D119" s="127"/>
      <c r="E119" s="127"/>
      <c r="F119" s="127"/>
      <c r="G119" s="127"/>
      <c r="H119" s="127"/>
      <c r="I119" s="127"/>
      <c r="J119" s="128"/>
    </row>
    <row r="120" spans="2:10">
      <c r="B120" s="129"/>
      <c r="D120" s="60"/>
      <c r="E120" s="60"/>
      <c r="F120" s="60"/>
      <c r="G120" s="60"/>
      <c r="H120" s="60"/>
      <c r="I120" s="60"/>
      <c r="J120" s="51"/>
    </row>
    <row r="121" spans="2:10">
      <c r="B121" s="130"/>
      <c r="C121" s="131"/>
      <c r="D121" s="60"/>
      <c r="E121" s="60"/>
      <c r="F121" s="60"/>
      <c r="G121" s="60"/>
      <c r="H121" s="60"/>
      <c r="I121" s="60"/>
      <c r="J121" s="51"/>
    </row>
    <row r="122" spans="2:10">
      <c r="B122" s="129"/>
      <c r="D122" s="60"/>
      <c r="E122" s="60"/>
      <c r="F122" s="60"/>
      <c r="G122" s="60"/>
      <c r="H122" s="60"/>
      <c r="I122" s="60"/>
      <c r="J122" s="51"/>
    </row>
    <row r="123" spans="2:10">
      <c r="B123" s="129"/>
      <c r="D123" s="60"/>
      <c r="E123" s="60"/>
      <c r="F123" s="60"/>
      <c r="G123" s="60"/>
      <c r="H123" s="60"/>
      <c r="I123" s="60"/>
      <c r="J123" s="51"/>
    </row>
    <row r="124" spans="2:10">
      <c r="B124" s="129"/>
      <c r="D124" s="60"/>
      <c r="E124" s="60"/>
      <c r="F124" s="60"/>
      <c r="G124" s="60"/>
      <c r="H124" s="60"/>
      <c r="I124" s="60"/>
      <c r="J124" s="51"/>
    </row>
    <row r="125" spans="2:10">
      <c r="B125" s="129"/>
      <c r="D125" s="60"/>
      <c r="E125" s="60"/>
      <c r="F125" s="60"/>
      <c r="G125" s="60"/>
      <c r="H125" s="60"/>
      <c r="I125" s="60"/>
      <c r="J125" s="51"/>
    </row>
    <row r="126" spans="2:10">
      <c r="B126" s="129"/>
      <c r="D126" s="60"/>
      <c r="E126" s="60"/>
      <c r="F126" s="60"/>
      <c r="G126" s="60"/>
      <c r="H126" s="60"/>
      <c r="I126" s="60"/>
      <c r="J126" s="51"/>
    </row>
    <row r="127" spans="2:10">
      <c r="B127" s="129"/>
      <c r="D127" s="60"/>
      <c r="E127" s="60"/>
      <c r="F127" s="60"/>
      <c r="G127" s="60"/>
      <c r="H127" s="60"/>
      <c r="I127" s="60"/>
      <c r="J127" s="51"/>
    </row>
    <row r="128" spans="2:10">
      <c r="B128" s="129"/>
      <c r="D128" s="60"/>
      <c r="E128" s="60"/>
      <c r="F128" s="60"/>
      <c r="G128" s="60"/>
      <c r="H128" s="60"/>
      <c r="I128" s="60"/>
      <c r="J128" s="51"/>
    </row>
    <row r="129" spans="2:10">
      <c r="B129" s="129"/>
      <c r="D129" s="60"/>
      <c r="E129" s="60"/>
      <c r="F129" s="60"/>
      <c r="G129" s="60"/>
      <c r="H129" s="60"/>
      <c r="I129" s="60"/>
      <c r="J129" s="51"/>
    </row>
    <row r="130" spans="2:10">
      <c r="B130" s="129"/>
      <c r="D130" s="60"/>
      <c r="E130" s="60"/>
      <c r="F130" s="60"/>
      <c r="G130" s="60"/>
      <c r="H130" s="60"/>
      <c r="I130" s="60"/>
      <c r="J130" s="51"/>
    </row>
    <row r="131" spans="2:10">
      <c r="B131" s="129"/>
      <c r="D131" s="60"/>
      <c r="E131" s="60"/>
      <c r="F131" s="60"/>
      <c r="G131" s="60"/>
      <c r="H131" s="60"/>
      <c r="I131" s="60"/>
      <c r="J131" s="51"/>
    </row>
    <row r="132" spans="2:10">
      <c r="B132" s="129"/>
      <c r="D132" s="60"/>
      <c r="E132" s="60"/>
      <c r="F132" s="60"/>
      <c r="G132" s="60"/>
      <c r="H132" s="60"/>
      <c r="I132" s="60"/>
      <c r="J132" s="51"/>
    </row>
    <row r="133" spans="2:10">
      <c r="B133" s="129"/>
      <c r="D133" s="60"/>
      <c r="E133" s="60"/>
      <c r="F133" s="60"/>
      <c r="G133" s="60"/>
      <c r="H133" s="60"/>
      <c r="I133" s="60"/>
      <c r="J133" s="51"/>
    </row>
    <row r="134" spans="2:10">
      <c r="B134" s="129"/>
      <c r="D134" s="60"/>
      <c r="E134" s="60"/>
      <c r="F134" s="60"/>
      <c r="G134" s="60"/>
      <c r="H134" s="60"/>
      <c r="I134" s="60"/>
      <c r="J134" s="51"/>
    </row>
    <row r="135" spans="2:10">
      <c r="B135" s="129"/>
      <c r="D135" s="60"/>
      <c r="E135" s="60"/>
      <c r="F135" s="60"/>
      <c r="G135" s="60"/>
      <c r="H135" s="60"/>
      <c r="I135" s="60"/>
      <c r="J135" s="51"/>
    </row>
    <row r="136" spans="2:10">
      <c r="B136" s="129"/>
      <c r="D136" s="60"/>
      <c r="E136" s="60"/>
      <c r="F136" s="60"/>
      <c r="G136" s="60"/>
      <c r="H136" s="60"/>
      <c r="I136" s="60"/>
      <c r="J136" s="51"/>
    </row>
    <row r="137" spans="2:10">
      <c r="B137" s="129"/>
      <c r="D137" s="60"/>
      <c r="E137" s="60"/>
      <c r="F137" s="60"/>
      <c r="G137" s="60"/>
      <c r="H137" s="60"/>
      <c r="I137" s="60"/>
      <c r="J137" s="51"/>
    </row>
    <row r="138" spans="2:10">
      <c r="B138" s="129"/>
      <c r="D138" s="60"/>
      <c r="E138" s="60"/>
      <c r="F138" s="60"/>
      <c r="G138" s="60"/>
      <c r="H138" s="60"/>
      <c r="I138" s="60"/>
      <c r="J138" s="51"/>
    </row>
    <row r="139" spans="2:10">
      <c r="B139" s="129"/>
      <c r="D139" s="60"/>
      <c r="E139" s="60"/>
      <c r="F139" s="60"/>
      <c r="G139" s="60"/>
      <c r="H139" s="60"/>
      <c r="I139" s="60"/>
      <c r="J139" s="51"/>
    </row>
    <row r="140" spans="2:10">
      <c r="B140" s="129"/>
      <c r="D140" s="60"/>
      <c r="E140" s="60"/>
      <c r="F140" s="60"/>
      <c r="G140" s="60"/>
      <c r="H140" s="60"/>
      <c r="I140" s="60"/>
      <c r="J140" s="51"/>
    </row>
    <row r="141" spans="2:10">
      <c r="B141" s="129"/>
      <c r="D141" s="60"/>
      <c r="E141" s="60"/>
      <c r="F141" s="60"/>
      <c r="G141" s="60"/>
      <c r="H141" s="60"/>
      <c r="I141" s="60"/>
      <c r="J141" s="51"/>
    </row>
    <row r="142" spans="2:10">
      <c r="B142" s="129"/>
      <c r="D142" s="60"/>
      <c r="E142" s="60"/>
      <c r="F142" s="60"/>
      <c r="G142" s="60"/>
      <c r="H142" s="60"/>
      <c r="I142" s="60"/>
      <c r="J142" s="51"/>
    </row>
    <row r="143" spans="2:10">
      <c r="B143" s="126"/>
      <c r="D143" s="60"/>
      <c r="E143" s="60"/>
      <c r="F143" s="60"/>
      <c r="G143" s="60"/>
      <c r="H143" s="60"/>
      <c r="I143" s="60"/>
      <c r="J143" s="51"/>
    </row>
    <row r="144" spans="2:10">
      <c r="B144" s="126"/>
      <c r="C144" s="127"/>
      <c r="D144" s="127"/>
      <c r="E144" s="127"/>
      <c r="F144" s="127"/>
      <c r="G144" s="127"/>
      <c r="H144" s="127"/>
      <c r="I144" s="127"/>
      <c r="J144" s="128"/>
    </row>
    <row r="145" spans="2:10">
      <c r="B145" s="126"/>
      <c r="C145" s="127"/>
      <c r="D145" s="127"/>
      <c r="E145" s="127"/>
      <c r="F145" s="127"/>
      <c r="G145" s="127"/>
      <c r="H145" s="127"/>
      <c r="I145" s="127"/>
      <c r="J145" s="128"/>
    </row>
    <row r="146" spans="2:10">
      <c r="B146" s="126"/>
      <c r="C146" s="127"/>
      <c r="D146" s="127"/>
      <c r="E146" s="127"/>
      <c r="F146" s="127"/>
      <c r="G146" s="127"/>
      <c r="H146" s="127"/>
      <c r="I146" s="127"/>
      <c r="J146" s="128"/>
    </row>
    <row r="147" spans="2:10">
      <c r="B147" s="129"/>
      <c r="D147" s="60"/>
      <c r="E147" s="60"/>
      <c r="F147" s="60"/>
      <c r="G147" s="60"/>
      <c r="H147" s="60"/>
      <c r="I147" s="60"/>
      <c r="J147" s="51"/>
    </row>
    <row r="148" spans="2:10">
      <c r="B148" s="130"/>
      <c r="C148" s="131"/>
      <c r="D148" s="60"/>
      <c r="E148" s="60"/>
      <c r="F148" s="60"/>
      <c r="G148" s="60"/>
      <c r="H148" s="60"/>
      <c r="I148" s="60"/>
      <c r="J148" s="51"/>
    </row>
    <row r="149" spans="2:10">
      <c r="B149" s="129"/>
      <c r="D149" s="60"/>
      <c r="E149" s="60"/>
      <c r="F149" s="60"/>
      <c r="G149" s="60"/>
      <c r="H149" s="60"/>
      <c r="I149" s="60"/>
      <c r="J149" s="51"/>
    </row>
    <row r="150" spans="2:10">
      <c r="B150" s="129"/>
      <c r="D150" s="60"/>
      <c r="E150" s="60"/>
      <c r="F150" s="60"/>
      <c r="G150" s="60"/>
      <c r="H150" s="60"/>
      <c r="I150" s="60"/>
      <c r="J150" s="51"/>
    </row>
    <row r="151" spans="2:10">
      <c r="B151" s="129"/>
      <c r="D151" s="60"/>
      <c r="E151" s="60"/>
      <c r="F151" s="60"/>
      <c r="G151" s="60"/>
      <c r="H151" s="60"/>
      <c r="I151" s="60"/>
      <c r="J151" s="51"/>
    </row>
    <row r="152" spans="2:10">
      <c r="B152" s="126"/>
      <c r="C152" s="127"/>
      <c r="D152" s="127"/>
      <c r="E152" s="127"/>
      <c r="F152" s="127"/>
      <c r="G152" s="127"/>
      <c r="H152" s="127"/>
      <c r="I152" s="127"/>
      <c r="J152" s="128"/>
    </row>
    <row r="153" spans="2:10">
      <c r="B153" s="126"/>
      <c r="C153" s="127"/>
      <c r="D153" s="127"/>
      <c r="E153" s="127"/>
      <c r="F153" s="127"/>
      <c r="G153" s="127"/>
      <c r="H153" s="127"/>
      <c r="I153" s="127"/>
      <c r="J153" s="128"/>
    </row>
    <row r="154" spans="2:10">
      <c r="B154" s="126"/>
      <c r="C154" s="127"/>
      <c r="D154" s="127"/>
      <c r="E154" s="127"/>
      <c r="F154" s="127"/>
      <c r="G154" s="127"/>
      <c r="H154" s="127"/>
      <c r="I154" s="127"/>
      <c r="J154" s="128"/>
    </row>
    <row r="155" spans="2:10">
      <c r="B155" s="129"/>
      <c r="D155" s="60"/>
      <c r="E155" s="60"/>
      <c r="F155" s="60"/>
      <c r="G155" s="60"/>
      <c r="H155" s="60"/>
      <c r="I155" s="60"/>
      <c r="J155" s="51"/>
    </row>
    <row r="156" spans="2:10">
      <c r="B156" s="130"/>
      <c r="C156" s="131"/>
      <c r="D156" s="60"/>
      <c r="E156" s="60"/>
      <c r="F156" s="60"/>
      <c r="G156" s="60"/>
      <c r="H156" s="60"/>
      <c r="I156" s="60"/>
      <c r="J156" s="51"/>
    </row>
    <row r="157" spans="2:10">
      <c r="B157" s="129"/>
      <c r="D157" s="60"/>
      <c r="E157" s="60"/>
      <c r="F157" s="60"/>
      <c r="G157" s="60"/>
      <c r="H157" s="60"/>
      <c r="I157" s="60"/>
      <c r="J157" s="51"/>
    </row>
    <row r="158" spans="2:10">
      <c r="B158" s="129"/>
      <c r="D158" s="60"/>
      <c r="E158" s="60"/>
      <c r="F158" s="60"/>
      <c r="G158" s="60"/>
      <c r="H158" s="60"/>
      <c r="I158" s="60"/>
      <c r="J158" s="51"/>
    </row>
    <row r="159" spans="2:10" ht="15.5" thickBot="1">
      <c r="B159" s="129"/>
      <c r="D159" s="60"/>
      <c r="E159" s="60"/>
      <c r="F159" s="60"/>
      <c r="G159" s="60"/>
      <c r="H159" s="60"/>
      <c r="I159" s="60"/>
      <c r="J159" s="51"/>
    </row>
    <row r="160" spans="2:10">
      <c r="B160" s="133"/>
      <c r="C160" s="134"/>
      <c r="D160" s="134"/>
      <c r="E160" s="134"/>
      <c r="F160" s="134"/>
      <c r="G160" s="134"/>
      <c r="H160" s="134"/>
      <c r="I160" s="134"/>
      <c r="J160" s="135"/>
    </row>
    <row r="161" spans="2:10">
      <c r="B161" s="126"/>
      <c r="C161" s="132" t="s">
        <v>247</v>
      </c>
      <c r="D161" s="127"/>
      <c r="E161" s="127"/>
      <c r="F161" s="127"/>
      <c r="G161" s="127"/>
      <c r="H161" s="127"/>
      <c r="I161" s="127"/>
      <c r="J161" s="128"/>
    </row>
    <row r="162" spans="2:10">
      <c r="B162" s="129"/>
      <c r="D162" s="60"/>
      <c r="E162" s="60"/>
      <c r="F162" s="60"/>
      <c r="G162" s="60"/>
      <c r="H162" s="60"/>
      <c r="I162" s="60"/>
      <c r="J162" s="51"/>
    </row>
    <row r="163" spans="2:10">
      <c r="B163" s="130"/>
      <c r="C163" s="131"/>
      <c r="D163" s="60"/>
      <c r="E163" s="60"/>
      <c r="F163" s="60"/>
      <c r="G163" s="60"/>
      <c r="H163" s="60"/>
      <c r="I163" s="60"/>
      <c r="J163" s="51"/>
    </row>
    <row r="164" spans="2:10">
      <c r="B164" s="129"/>
      <c r="D164" s="60"/>
      <c r="E164" s="60"/>
      <c r="F164" s="60"/>
      <c r="G164" s="60"/>
      <c r="H164" s="60"/>
      <c r="I164" s="60"/>
      <c r="J164" s="51"/>
    </row>
    <row r="165" spans="2:10">
      <c r="B165" s="129"/>
      <c r="D165" s="60"/>
      <c r="E165" s="60"/>
      <c r="F165" s="60"/>
      <c r="G165" s="60"/>
      <c r="H165" s="60"/>
      <c r="I165" s="60"/>
      <c r="J165" s="51"/>
    </row>
    <row r="166" spans="2:10">
      <c r="B166" s="129"/>
      <c r="D166" s="60"/>
      <c r="E166" s="60"/>
      <c r="F166" s="60"/>
      <c r="G166" s="60"/>
      <c r="H166" s="60"/>
      <c r="I166" s="60"/>
      <c r="J166" s="51"/>
    </row>
    <row r="167" spans="2:10">
      <c r="B167" s="129"/>
      <c r="D167" s="60"/>
      <c r="E167" s="60"/>
      <c r="F167" s="60"/>
      <c r="G167" s="60"/>
      <c r="H167" s="60"/>
      <c r="I167" s="60"/>
      <c r="J167" s="51"/>
    </row>
    <row r="168" spans="2:10">
      <c r="B168" s="129"/>
      <c r="D168" s="60"/>
      <c r="E168" s="60"/>
      <c r="F168" s="60"/>
      <c r="G168" s="60"/>
      <c r="H168" s="60"/>
      <c r="I168" s="60"/>
      <c r="J168" s="51"/>
    </row>
    <row r="169" spans="2:10">
      <c r="B169" s="129"/>
      <c r="D169" s="60"/>
      <c r="E169" s="60"/>
      <c r="F169" s="60"/>
      <c r="G169" s="60"/>
      <c r="H169" s="60"/>
      <c r="I169" s="60"/>
      <c r="J169" s="51"/>
    </row>
    <row r="170" spans="2:10">
      <c r="B170" s="129"/>
      <c r="D170" s="60"/>
      <c r="E170" s="60"/>
      <c r="F170" s="60"/>
      <c r="G170" s="60"/>
      <c r="H170" s="60"/>
      <c r="I170" s="60"/>
      <c r="J170" s="51"/>
    </row>
    <row r="171" spans="2:10">
      <c r="B171" s="130"/>
      <c r="C171" s="131"/>
      <c r="D171" s="60"/>
      <c r="E171" s="60"/>
      <c r="F171" s="60"/>
      <c r="G171" s="60"/>
      <c r="H171" s="60"/>
      <c r="I171" s="60"/>
      <c r="J171" s="51"/>
    </row>
    <row r="172" spans="2:10">
      <c r="B172" s="129"/>
      <c r="D172" s="60"/>
      <c r="E172" s="60"/>
      <c r="F172" s="60"/>
      <c r="G172" s="60"/>
      <c r="H172" s="60"/>
      <c r="I172" s="60"/>
      <c r="J172" s="51"/>
    </row>
    <row r="173" spans="2:10">
      <c r="B173" s="129"/>
      <c r="D173" s="60"/>
      <c r="E173" s="60"/>
      <c r="F173" s="60"/>
      <c r="G173" s="60"/>
      <c r="H173" s="60"/>
      <c r="I173" s="60"/>
      <c r="J173" s="51"/>
    </row>
    <row r="174" spans="2:10">
      <c r="B174" s="129"/>
      <c r="D174" s="60"/>
      <c r="E174" s="60"/>
      <c r="F174" s="60"/>
      <c r="G174" s="60"/>
      <c r="H174" s="60"/>
      <c r="I174" s="60"/>
      <c r="J174" s="51"/>
    </row>
    <row r="175" spans="2:10">
      <c r="B175" s="129"/>
      <c r="D175" s="60"/>
      <c r="E175" s="60"/>
      <c r="F175" s="60"/>
      <c r="G175" s="60"/>
      <c r="H175" s="60"/>
      <c r="I175" s="60"/>
      <c r="J175" s="51"/>
    </row>
    <row r="176" spans="2:10">
      <c r="B176" s="129"/>
      <c r="D176" s="60"/>
      <c r="E176" s="60"/>
      <c r="F176" s="60"/>
      <c r="G176" s="60"/>
      <c r="H176" s="60"/>
      <c r="I176" s="60"/>
      <c r="J176" s="51"/>
    </row>
    <row r="177" spans="2:10">
      <c r="B177" s="129"/>
      <c r="D177" s="60"/>
      <c r="E177" s="60"/>
      <c r="F177" s="60"/>
      <c r="G177" s="60"/>
      <c r="H177" s="60"/>
      <c r="I177" s="60"/>
      <c r="J177" s="51"/>
    </row>
    <row r="178" spans="2:10">
      <c r="B178" s="129"/>
      <c r="D178" s="60"/>
      <c r="E178" s="60"/>
      <c r="F178" s="60"/>
      <c r="G178" s="60"/>
      <c r="H178" s="60"/>
      <c r="I178" s="60"/>
      <c r="J178" s="51"/>
    </row>
    <row r="179" spans="2:10">
      <c r="B179" s="129"/>
      <c r="D179" s="60"/>
      <c r="E179" s="60"/>
      <c r="F179" s="60"/>
      <c r="G179" s="60"/>
      <c r="H179" s="60"/>
      <c r="I179" s="60"/>
      <c r="J179" s="51"/>
    </row>
    <row r="180" spans="2:10">
      <c r="B180" s="129"/>
      <c r="D180" s="60"/>
      <c r="E180" s="60"/>
      <c r="F180" s="60"/>
      <c r="G180" s="60"/>
      <c r="H180" s="60"/>
      <c r="I180" s="60"/>
      <c r="J180" s="51"/>
    </row>
    <row r="181" spans="2:10">
      <c r="B181" s="129"/>
      <c r="D181" s="60"/>
      <c r="E181" s="60"/>
      <c r="F181" s="60"/>
      <c r="G181" s="60"/>
      <c r="H181" s="60"/>
      <c r="I181" s="60"/>
      <c r="J181" s="51"/>
    </row>
    <row r="182" spans="2:10">
      <c r="B182" s="129"/>
      <c r="D182" s="60"/>
      <c r="E182" s="60"/>
      <c r="F182" s="60"/>
      <c r="G182" s="60"/>
      <c r="H182" s="60"/>
      <c r="I182" s="60"/>
      <c r="J182" s="51"/>
    </row>
    <row r="183" spans="2:10">
      <c r="B183" s="129"/>
      <c r="D183" s="60"/>
      <c r="E183" s="60"/>
      <c r="F183" s="60"/>
      <c r="G183" s="60"/>
      <c r="H183" s="60"/>
      <c r="I183" s="60"/>
      <c r="J183" s="51"/>
    </row>
    <row r="184" spans="2:10">
      <c r="B184" s="129"/>
      <c r="D184" s="60"/>
      <c r="E184" s="60"/>
      <c r="F184" s="60"/>
      <c r="G184" s="60"/>
      <c r="H184" s="60"/>
      <c r="I184" s="60"/>
      <c r="J184" s="51"/>
    </row>
    <row r="185" spans="2:10">
      <c r="B185" s="129"/>
      <c r="D185" s="60"/>
      <c r="E185" s="60"/>
      <c r="F185" s="60"/>
      <c r="G185" s="60"/>
      <c r="H185" s="60"/>
      <c r="I185" s="60"/>
      <c r="J185" s="51"/>
    </row>
    <row r="186" spans="2:10">
      <c r="B186" s="129"/>
      <c r="D186" s="60"/>
      <c r="E186" s="60"/>
      <c r="F186" s="60"/>
      <c r="G186" s="60"/>
      <c r="H186" s="60"/>
      <c r="I186" s="60"/>
      <c r="J186" s="51"/>
    </row>
    <row r="187" spans="2:10">
      <c r="B187" s="129"/>
      <c r="D187" s="60"/>
      <c r="E187" s="60"/>
      <c r="F187" s="60"/>
      <c r="G187" s="60"/>
      <c r="H187" s="60"/>
      <c r="I187" s="60"/>
      <c r="J187" s="51"/>
    </row>
    <row r="188" spans="2:10">
      <c r="B188" s="129"/>
      <c r="D188" s="60"/>
      <c r="E188" s="60"/>
      <c r="F188" s="60"/>
      <c r="G188" s="60"/>
      <c r="H188" s="60"/>
      <c r="I188" s="60"/>
      <c r="J188" s="51"/>
    </row>
    <row r="189" spans="2:10">
      <c r="B189" s="129"/>
      <c r="D189" s="60"/>
      <c r="E189" s="60"/>
      <c r="F189" s="60"/>
      <c r="G189" s="60"/>
      <c r="H189" s="60"/>
      <c r="I189" s="60"/>
      <c r="J189" s="51"/>
    </row>
    <row r="190" spans="2:10">
      <c r="B190" s="129"/>
      <c r="D190" s="60"/>
      <c r="E190" s="60"/>
      <c r="F190" s="60"/>
      <c r="G190" s="60"/>
      <c r="H190" s="60"/>
      <c r="I190" s="60"/>
      <c r="J190" s="51"/>
    </row>
    <row r="191" spans="2:10">
      <c r="B191" s="129"/>
      <c r="D191" s="60"/>
      <c r="E191" s="60"/>
      <c r="F191" s="60"/>
      <c r="G191" s="60"/>
      <c r="H191" s="60"/>
      <c r="I191" s="60"/>
      <c r="J191" s="51"/>
    </row>
    <row r="192" spans="2:10">
      <c r="B192" s="129"/>
      <c r="D192" s="60"/>
      <c r="E192" s="60"/>
      <c r="F192" s="60"/>
      <c r="G192" s="60"/>
      <c r="H192" s="60"/>
      <c r="I192" s="60"/>
      <c r="J192" s="51"/>
    </row>
    <row r="193" spans="2:10">
      <c r="B193" s="129"/>
      <c r="D193" s="60"/>
      <c r="E193" s="60"/>
      <c r="F193" s="60"/>
      <c r="G193" s="60"/>
      <c r="H193" s="60"/>
      <c r="I193" s="60"/>
      <c r="J193" s="51"/>
    </row>
    <row r="194" spans="2:10">
      <c r="B194" s="129"/>
      <c r="D194" s="60"/>
      <c r="E194" s="60"/>
      <c r="F194" s="60"/>
      <c r="G194" s="60"/>
      <c r="H194" s="60"/>
      <c r="I194" s="60"/>
      <c r="J194" s="51"/>
    </row>
    <row r="195" spans="2:10">
      <c r="B195" s="129"/>
      <c r="D195" s="60"/>
      <c r="E195" s="60"/>
      <c r="F195" s="60"/>
      <c r="G195" s="60"/>
      <c r="H195" s="60"/>
      <c r="I195" s="60"/>
      <c r="J195" s="51"/>
    </row>
    <row r="196" spans="2:10">
      <c r="B196" s="129"/>
      <c r="D196" s="60"/>
      <c r="E196" s="60"/>
      <c r="F196" s="60"/>
      <c r="G196" s="60"/>
      <c r="H196" s="60"/>
      <c r="I196" s="60"/>
      <c r="J196" s="51"/>
    </row>
    <row r="197" spans="2:10">
      <c r="B197" s="129"/>
      <c r="D197" s="60"/>
      <c r="E197" s="60"/>
      <c r="F197" s="60"/>
      <c r="G197" s="60"/>
      <c r="H197" s="60"/>
      <c r="I197" s="60"/>
      <c r="J197" s="51"/>
    </row>
    <row r="198" spans="2:10">
      <c r="B198" s="129"/>
      <c r="D198" s="60"/>
      <c r="E198" s="60"/>
      <c r="F198" s="60"/>
      <c r="G198" s="60"/>
      <c r="H198" s="60"/>
      <c r="I198" s="60"/>
      <c r="J198" s="51"/>
    </row>
    <row r="199" spans="2:10">
      <c r="B199" s="129"/>
      <c r="D199" s="60"/>
      <c r="E199" s="60"/>
      <c r="F199" s="60"/>
      <c r="G199" s="60"/>
      <c r="H199" s="60"/>
      <c r="I199" s="60"/>
      <c r="J199" s="51"/>
    </row>
    <row r="200" spans="2:10">
      <c r="B200" s="126"/>
      <c r="D200" s="60"/>
      <c r="E200" s="60"/>
      <c r="F200" s="60"/>
      <c r="G200" s="60"/>
      <c r="H200" s="60"/>
      <c r="I200" s="60"/>
      <c r="J200" s="51"/>
    </row>
    <row r="201" spans="2:10">
      <c r="B201" s="126"/>
      <c r="C201" s="127"/>
      <c r="D201" s="127"/>
      <c r="E201" s="127"/>
      <c r="F201" s="127"/>
      <c r="G201" s="127"/>
      <c r="H201" s="127"/>
      <c r="I201" s="127"/>
      <c r="J201" s="128"/>
    </row>
    <row r="202" spans="2:10">
      <c r="B202" s="126"/>
      <c r="C202" s="127"/>
      <c r="D202" s="127"/>
      <c r="E202" s="127"/>
      <c r="F202" s="127"/>
      <c r="G202" s="127"/>
      <c r="H202" s="127"/>
      <c r="I202" s="127"/>
      <c r="J202" s="128"/>
    </row>
    <row r="203" spans="2:10">
      <c r="B203" s="126"/>
      <c r="C203" s="127"/>
      <c r="D203" s="127"/>
      <c r="E203" s="127"/>
      <c r="F203" s="127"/>
      <c r="G203" s="127"/>
      <c r="H203" s="127"/>
      <c r="I203" s="127"/>
      <c r="J203" s="128"/>
    </row>
    <row r="204" spans="2:10">
      <c r="B204" s="129"/>
      <c r="D204" s="60"/>
      <c r="E204" s="60"/>
      <c r="F204" s="60"/>
      <c r="G204" s="60"/>
      <c r="H204" s="60"/>
      <c r="I204" s="60"/>
      <c r="J204" s="51"/>
    </row>
    <row r="205" spans="2:10">
      <c r="B205" s="129"/>
      <c r="D205" s="60"/>
      <c r="E205" s="60"/>
      <c r="F205" s="60"/>
      <c r="G205" s="60"/>
      <c r="H205" s="60"/>
      <c r="I205" s="60"/>
      <c r="J205" s="51"/>
    </row>
    <row r="206" spans="2:10">
      <c r="B206" s="129"/>
      <c r="D206" s="60"/>
      <c r="E206" s="60"/>
      <c r="F206" s="60"/>
      <c r="G206" s="60"/>
      <c r="H206" s="60"/>
      <c r="I206" s="60"/>
      <c r="J206" s="51"/>
    </row>
    <row r="207" spans="2:10">
      <c r="B207" s="126"/>
      <c r="C207" s="127"/>
      <c r="D207" s="127"/>
      <c r="E207" s="127"/>
      <c r="F207" s="127"/>
      <c r="G207" s="127"/>
      <c r="H207" s="127"/>
      <c r="I207" s="127"/>
      <c r="J207" s="128"/>
    </row>
    <row r="208" spans="2:10">
      <c r="B208" s="126"/>
      <c r="C208" s="127"/>
      <c r="D208" s="127"/>
      <c r="E208" s="127"/>
      <c r="F208" s="127"/>
      <c r="G208" s="127"/>
      <c r="H208" s="127"/>
      <c r="I208" s="127"/>
      <c r="J208" s="128"/>
    </row>
    <row r="209" spans="2:10">
      <c r="B209" s="126"/>
      <c r="C209" s="127"/>
      <c r="D209" s="127"/>
      <c r="E209" s="127"/>
      <c r="F209" s="127"/>
      <c r="G209" s="127"/>
      <c r="H209" s="127"/>
      <c r="I209" s="127"/>
      <c r="J209" s="128"/>
    </row>
    <row r="210" spans="2:10">
      <c r="B210" s="129"/>
      <c r="D210" s="60"/>
      <c r="E210" s="60"/>
      <c r="F210" s="60"/>
      <c r="G210" s="60"/>
      <c r="H210" s="60"/>
      <c r="I210" s="60"/>
      <c r="J210" s="51"/>
    </row>
    <row r="211" spans="2:10">
      <c r="B211" s="130"/>
      <c r="C211" s="131"/>
      <c r="D211" s="60"/>
      <c r="E211" s="60"/>
      <c r="F211" s="60"/>
      <c r="G211" s="60"/>
      <c r="H211" s="60"/>
      <c r="I211" s="60"/>
      <c r="J211" s="51"/>
    </row>
    <row r="212" spans="2:10">
      <c r="B212" s="129"/>
      <c r="D212" s="60"/>
      <c r="E212" s="60"/>
      <c r="F212" s="60"/>
      <c r="G212" s="60"/>
      <c r="H212" s="60"/>
      <c r="I212" s="60"/>
      <c r="J212" s="51"/>
    </row>
    <row r="213" spans="2:10">
      <c r="B213" s="129"/>
      <c r="D213" s="60"/>
      <c r="E213" s="60"/>
      <c r="F213" s="60"/>
      <c r="G213" s="60"/>
      <c r="H213" s="60"/>
      <c r="I213" s="60"/>
      <c r="J213" s="51"/>
    </row>
    <row r="214" spans="2:10">
      <c r="B214" s="129"/>
      <c r="D214" s="60"/>
      <c r="E214" s="60"/>
      <c r="F214" s="60"/>
      <c r="G214" s="60"/>
      <c r="H214" s="60"/>
      <c r="I214" s="60"/>
      <c r="J214" s="51"/>
    </row>
    <row r="215" spans="2:10" ht="15.5" thickBot="1">
      <c r="B215" s="136"/>
      <c r="C215" s="137"/>
      <c r="D215" s="138"/>
      <c r="E215" s="138"/>
      <c r="F215" s="138"/>
      <c r="G215" s="138"/>
      <c r="H215" s="138"/>
      <c r="I215" s="138"/>
      <c r="J215" s="139"/>
    </row>
    <row r="216" spans="2:10" ht="14.25" customHeight="1">
      <c r="B216" s="511" t="s">
        <v>248</v>
      </c>
      <c r="C216" s="124" t="s">
        <v>249</v>
      </c>
      <c r="D216" s="124"/>
      <c r="E216" s="124"/>
      <c r="F216" s="124"/>
      <c r="G216" s="124"/>
      <c r="H216" s="124"/>
      <c r="I216" s="124"/>
      <c r="J216" s="125"/>
    </row>
    <row r="217" spans="2:10" ht="14.25" customHeight="1" thickBot="1">
      <c r="B217" s="512"/>
      <c r="C217" s="513" t="s">
        <v>240</v>
      </c>
      <c r="D217" s="514"/>
      <c r="E217" s="515"/>
      <c r="F217" s="515"/>
      <c r="G217" s="515"/>
      <c r="H217" s="515"/>
      <c r="I217" s="515"/>
      <c r="J217" s="516"/>
    </row>
    <row r="218" spans="2:10">
      <c r="B218" s="140" t="s">
        <v>250</v>
      </c>
      <c r="C218" s="141"/>
      <c r="D218" s="141"/>
      <c r="E218" s="141"/>
      <c r="F218" s="141"/>
      <c r="G218" s="141"/>
      <c r="H218" s="141"/>
      <c r="I218" s="141"/>
      <c r="J218" s="142"/>
    </row>
    <row r="219" spans="2:10">
      <c r="B219" s="126"/>
      <c r="C219" s="127"/>
      <c r="D219" s="127"/>
      <c r="E219" s="127"/>
      <c r="F219" s="127"/>
      <c r="G219" s="127"/>
      <c r="H219" s="127"/>
      <c r="I219" s="127"/>
      <c r="J219" s="128"/>
    </row>
    <row r="220" spans="2:10">
      <c r="B220" s="129"/>
      <c r="D220" s="60"/>
      <c r="E220" s="60"/>
      <c r="F220" s="60"/>
      <c r="G220" s="60"/>
      <c r="H220" s="60"/>
      <c r="I220" s="60"/>
      <c r="J220" s="51"/>
    </row>
    <row r="221" spans="2:10">
      <c r="B221" s="129"/>
      <c r="D221" s="60"/>
      <c r="E221" s="60"/>
      <c r="F221" s="60"/>
      <c r="G221" s="60"/>
      <c r="H221" s="60"/>
      <c r="I221" s="60"/>
      <c r="J221" s="51"/>
    </row>
    <row r="222" spans="2:10">
      <c r="B222" s="129"/>
      <c r="D222" s="60"/>
      <c r="E222" s="60"/>
      <c r="F222" s="60"/>
      <c r="G222" s="60"/>
      <c r="H222" s="60"/>
      <c r="I222" s="60"/>
      <c r="J222" s="51"/>
    </row>
    <row r="223" spans="2:10">
      <c r="B223" s="129"/>
      <c r="D223" s="60"/>
      <c r="E223" s="60"/>
      <c r="F223" s="60"/>
      <c r="G223" s="60"/>
      <c r="H223" s="60"/>
      <c r="I223" s="60"/>
      <c r="J223" s="51"/>
    </row>
    <row r="224" spans="2:10">
      <c r="B224" s="129"/>
      <c r="D224" s="60"/>
      <c r="E224" s="60"/>
      <c r="F224" s="60"/>
      <c r="G224" s="60"/>
      <c r="H224" s="60"/>
      <c r="I224" s="60"/>
      <c r="J224" s="51"/>
    </row>
    <row r="225" spans="2:10">
      <c r="B225" s="129"/>
      <c r="C225" s="143" t="s">
        <v>251</v>
      </c>
      <c r="D225" s="60"/>
      <c r="E225" s="60"/>
      <c r="F225" s="60"/>
      <c r="G225" s="60"/>
      <c r="H225" s="60"/>
      <c r="I225" s="60"/>
      <c r="J225" s="51"/>
    </row>
    <row r="226" spans="2:10" ht="15.5" thickBot="1">
      <c r="B226" s="136"/>
      <c r="C226" s="137"/>
      <c r="D226" s="138"/>
      <c r="E226" s="138"/>
      <c r="F226" s="138"/>
      <c r="G226" s="138"/>
      <c r="H226" s="138"/>
      <c r="I226" s="138"/>
      <c r="J226" s="139"/>
    </row>
    <row r="227" spans="2:10" ht="14.25" customHeight="1">
      <c r="B227" s="511" t="s">
        <v>252</v>
      </c>
      <c r="C227" s="124" t="s">
        <v>253</v>
      </c>
      <c r="D227" s="124"/>
      <c r="E227" s="124"/>
      <c r="F227" s="124"/>
      <c r="G227" s="124"/>
      <c r="H227" s="124"/>
      <c r="I227" s="124"/>
      <c r="J227" s="125"/>
    </row>
    <row r="228" spans="2:10" ht="14.25" customHeight="1" thickBot="1">
      <c r="B228" s="512"/>
      <c r="C228" s="513" t="s">
        <v>240</v>
      </c>
      <c r="D228" s="514"/>
      <c r="E228" s="515"/>
      <c r="F228" s="515"/>
      <c r="G228" s="515"/>
      <c r="H228" s="515"/>
      <c r="I228" s="515"/>
      <c r="J228" s="516"/>
    </row>
    <row r="229" spans="2:10">
      <c r="B229" s="129"/>
      <c r="D229" s="60"/>
      <c r="E229" s="60"/>
      <c r="F229" s="60"/>
      <c r="G229" s="60"/>
      <c r="H229" s="60"/>
      <c r="I229" s="60"/>
      <c r="J229" s="51"/>
    </row>
    <row r="230" spans="2:10">
      <c r="B230" s="130"/>
      <c r="C230" s="131"/>
      <c r="D230" s="60"/>
      <c r="E230" s="60"/>
      <c r="F230" s="60"/>
      <c r="G230" s="60"/>
      <c r="H230" s="60"/>
      <c r="I230" s="60"/>
      <c r="J230" s="51"/>
    </row>
    <row r="231" spans="2:10">
      <c r="B231" s="129"/>
      <c r="D231" s="60"/>
      <c r="E231" s="60"/>
      <c r="F231" s="60"/>
      <c r="G231" s="60"/>
      <c r="H231" s="60"/>
      <c r="I231" s="60"/>
      <c r="J231" s="51"/>
    </row>
    <row r="232" spans="2:10">
      <c r="B232" s="129"/>
      <c r="D232" s="60"/>
      <c r="E232" s="60"/>
      <c r="F232" s="60"/>
      <c r="G232" s="60"/>
      <c r="H232" s="60"/>
      <c r="I232" s="60"/>
      <c r="J232" s="51"/>
    </row>
    <row r="233" spans="2:10">
      <c r="B233" s="129"/>
      <c r="D233" s="60"/>
      <c r="E233" s="60"/>
      <c r="F233" s="60"/>
      <c r="G233" s="60"/>
      <c r="H233" s="60"/>
      <c r="I233" s="60"/>
      <c r="J233" s="51"/>
    </row>
    <row r="234" spans="2:10">
      <c r="B234" s="129"/>
      <c r="C234" s="143" t="s">
        <v>254</v>
      </c>
      <c r="D234" s="60"/>
      <c r="E234" s="60"/>
      <c r="F234" s="60"/>
      <c r="G234" s="60"/>
      <c r="H234" s="60"/>
      <c r="I234" s="60"/>
      <c r="J234" s="51"/>
    </row>
    <row r="235" spans="2:10" ht="15.5" thickBot="1">
      <c r="B235" s="136"/>
      <c r="C235" s="137"/>
      <c r="D235" s="138"/>
      <c r="E235" s="138"/>
      <c r="F235" s="138"/>
      <c r="G235" s="138"/>
      <c r="H235" s="138"/>
      <c r="I235" s="138"/>
      <c r="J235" s="139"/>
    </row>
    <row r="236" spans="2:10" ht="14.25" customHeight="1">
      <c r="B236" s="511" t="s">
        <v>255</v>
      </c>
      <c r="C236" s="124" t="s">
        <v>256</v>
      </c>
      <c r="D236" s="124"/>
      <c r="E236" s="124"/>
      <c r="F236" s="124"/>
      <c r="G236" s="124"/>
      <c r="H236" s="124"/>
      <c r="I236" s="124"/>
      <c r="J236" s="125"/>
    </row>
    <row r="237" spans="2:10" ht="14.25" customHeight="1" thickBot="1">
      <c r="B237" s="512"/>
      <c r="C237" s="513" t="s">
        <v>240</v>
      </c>
      <c r="D237" s="514"/>
      <c r="E237" s="515"/>
      <c r="F237" s="515"/>
      <c r="G237" s="515"/>
      <c r="H237" s="515"/>
      <c r="I237" s="515"/>
      <c r="J237" s="516"/>
    </row>
    <row r="238" spans="2:10">
      <c r="B238" s="129"/>
      <c r="D238" s="60"/>
      <c r="E238" s="60"/>
      <c r="F238" s="60"/>
      <c r="G238" s="60"/>
      <c r="H238" s="60"/>
      <c r="I238" s="60"/>
      <c r="J238" s="51"/>
    </row>
    <row r="239" spans="2:10">
      <c r="B239" s="130"/>
      <c r="C239" s="131"/>
      <c r="D239" s="60"/>
      <c r="E239" s="60"/>
      <c r="F239" s="60"/>
      <c r="G239" s="60"/>
      <c r="H239" s="60"/>
      <c r="I239" s="60"/>
      <c r="J239" s="51"/>
    </row>
    <row r="240" spans="2:10">
      <c r="B240" s="129"/>
      <c r="D240" s="60"/>
      <c r="E240" s="60"/>
      <c r="F240" s="60"/>
      <c r="G240" s="60"/>
      <c r="H240" s="60"/>
      <c r="I240" s="60"/>
      <c r="J240" s="51"/>
    </row>
    <row r="241" spans="2:10">
      <c r="B241" s="129"/>
      <c r="D241" s="60"/>
      <c r="E241" s="60"/>
      <c r="F241" s="60"/>
      <c r="G241" s="60"/>
      <c r="H241" s="60"/>
      <c r="I241" s="60"/>
      <c r="J241" s="51"/>
    </row>
    <row r="242" spans="2:10">
      <c r="B242" s="129"/>
      <c r="D242" s="60"/>
      <c r="E242" s="60"/>
      <c r="F242" s="60"/>
      <c r="G242" s="60"/>
      <c r="H242" s="60"/>
      <c r="I242" s="60"/>
      <c r="J242" s="51"/>
    </row>
    <row r="243" spans="2:10">
      <c r="B243" s="129"/>
      <c r="C243" s="143" t="s">
        <v>254</v>
      </c>
      <c r="D243" s="60"/>
      <c r="E243" s="60"/>
      <c r="F243" s="60"/>
      <c r="G243" s="60"/>
      <c r="H243" s="60"/>
      <c r="I243" s="60"/>
      <c r="J243" s="51"/>
    </row>
    <row r="244" spans="2:10" ht="15.5" thickBot="1">
      <c r="B244" s="136"/>
      <c r="C244" s="137"/>
      <c r="D244" s="138"/>
      <c r="E244" s="138"/>
      <c r="F244" s="138"/>
      <c r="G244" s="138"/>
      <c r="H244" s="138"/>
      <c r="I244" s="138"/>
      <c r="J244" s="139"/>
    </row>
    <row r="245" spans="2:10" ht="14.25" customHeight="1">
      <c r="B245" s="511" t="s">
        <v>257</v>
      </c>
      <c r="C245" s="124" t="s">
        <v>258</v>
      </c>
      <c r="D245" s="124"/>
      <c r="E245" s="124"/>
      <c r="F245" s="124"/>
      <c r="G245" s="124"/>
      <c r="H245" s="124"/>
      <c r="I245" s="124"/>
      <c r="J245" s="125"/>
    </row>
    <row r="246" spans="2:10" ht="14.25" customHeight="1" thickBot="1">
      <c r="B246" s="512"/>
      <c r="C246" s="513" t="s">
        <v>240</v>
      </c>
      <c r="D246" s="514"/>
      <c r="E246" s="515"/>
      <c r="F246" s="515"/>
      <c r="G246" s="515"/>
      <c r="H246" s="515"/>
      <c r="I246" s="515"/>
      <c r="J246" s="516"/>
    </row>
    <row r="247" spans="2:10">
      <c r="B247" s="129"/>
      <c r="D247" s="60"/>
      <c r="E247" s="60"/>
      <c r="F247" s="60"/>
      <c r="G247" s="60"/>
      <c r="H247" s="60"/>
      <c r="I247" s="60"/>
      <c r="J247" s="51"/>
    </row>
    <row r="248" spans="2:10">
      <c r="B248" s="130"/>
      <c r="C248" s="131"/>
      <c r="D248" s="60"/>
      <c r="E248" s="60"/>
      <c r="F248" s="60"/>
      <c r="G248" s="60"/>
      <c r="H248" s="60"/>
      <c r="I248" s="60"/>
      <c r="J248" s="51"/>
    </row>
    <row r="249" spans="2:10">
      <c r="B249" s="130"/>
      <c r="C249" s="131"/>
      <c r="D249" s="60"/>
      <c r="E249" s="60"/>
      <c r="F249" s="60"/>
      <c r="G249" s="60"/>
      <c r="H249" s="60"/>
      <c r="I249" s="60"/>
      <c r="J249" s="51"/>
    </row>
    <row r="250" spans="2:10">
      <c r="B250" s="129"/>
      <c r="D250" s="60"/>
      <c r="E250" s="60"/>
      <c r="F250" s="60"/>
      <c r="G250" s="60"/>
      <c r="H250" s="60"/>
      <c r="I250" s="60"/>
      <c r="J250" s="51"/>
    </row>
    <row r="251" spans="2:10">
      <c r="B251" s="129"/>
      <c r="D251" s="60"/>
      <c r="E251" s="60"/>
      <c r="F251" s="60"/>
      <c r="G251" s="60"/>
      <c r="H251" s="60"/>
      <c r="I251" s="60"/>
      <c r="J251" s="51"/>
    </row>
    <row r="252" spans="2:10">
      <c r="B252" s="129"/>
      <c r="D252" s="60"/>
      <c r="E252" s="60"/>
      <c r="F252" s="60"/>
      <c r="G252" s="60"/>
      <c r="H252" s="60"/>
      <c r="I252" s="60"/>
      <c r="J252" s="51"/>
    </row>
    <row r="253" spans="2:10">
      <c r="B253" s="129"/>
      <c r="C253" s="143" t="s">
        <v>254</v>
      </c>
      <c r="D253" s="143"/>
      <c r="E253" s="60"/>
      <c r="F253" s="60"/>
      <c r="G253" s="60"/>
      <c r="H253" s="60"/>
      <c r="I253" s="60"/>
      <c r="J253" s="51"/>
    </row>
    <row r="254" spans="2:10" ht="15.5" thickBot="1">
      <c r="B254" s="144"/>
      <c r="C254" s="145"/>
      <c r="D254" s="74"/>
      <c r="E254" s="74"/>
      <c r="F254" s="74"/>
      <c r="G254" s="74"/>
      <c r="H254" s="74"/>
      <c r="I254" s="74"/>
      <c r="J254" s="75"/>
    </row>
  </sheetData>
  <mergeCells count="22">
    <mergeCell ref="B245:B246"/>
    <mergeCell ref="C246:D246"/>
    <mergeCell ref="E246:J246"/>
    <mergeCell ref="B227:B228"/>
    <mergeCell ref="C228:D228"/>
    <mergeCell ref="E228:J228"/>
    <mergeCell ref="B236:B237"/>
    <mergeCell ref="C237:D237"/>
    <mergeCell ref="E237:J237"/>
    <mergeCell ref="B82:B83"/>
    <mergeCell ref="C83:D83"/>
    <mergeCell ref="E83:J83"/>
    <mergeCell ref="B216:B217"/>
    <mergeCell ref="C217:D217"/>
    <mergeCell ref="E217:J217"/>
    <mergeCell ref="B2:J2"/>
    <mergeCell ref="B8:B9"/>
    <mergeCell ref="C9:D9"/>
    <mergeCell ref="E9:J9"/>
    <mergeCell ref="B47:B48"/>
    <mergeCell ref="C48:D48"/>
    <mergeCell ref="E48:J48"/>
  </mergeCells>
  <phoneticPr fontId="21" type="noConversion"/>
  <hyperlinks>
    <hyperlink ref="A1" location="【TCS】!A1" display="戻る" xr:uid="{6376BA08-7624-4C9B-BC29-26747901E77A}"/>
  </hyperlinks>
  <pageMargins left="0.75" right="0.75" top="1" bottom="1" header="0.51200000000000001" footer="0.51200000000000001"/>
  <pageSetup paperSize="9" orientation="portrait" verticalDpi="0" r:id="rId1"/>
  <headerFooter alignWithMargins="0"/>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368F2C-02D1-40FB-B26E-75E54C833385}">
  <dimension ref="A1:K95"/>
  <sheetViews>
    <sheetView showGridLines="0" workbookViewId="0">
      <pane ySplit="3" topLeftCell="A4" activePane="bottomLeft" state="frozen"/>
      <selection activeCell="H40" sqref="H40"/>
      <selection pane="bottomLeft" activeCell="H40" sqref="H40"/>
    </sheetView>
  </sheetViews>
  <sheetFormatPr defaultRowHeight="15"/>
  <cols>
    <col min="1" max="1" width="3.26953125" style="28" customWidth="1"/>
    <col min="2" max="2" width="7.7265625" style="28" customWidth="1"/>
    <col min="3" max="3" width="10" style="28" customWidth="1"/>
    <col min="4" max="4" width="12.36328125" style="30" customWidth="1"/>
    <col min="5" max="5" width="14.90625" style="30" customWidth="1"/>
    <col min="6" max="6" width="16.36328125" style="30" bestFit="1" customWidth="1"/>
    <col min="7" max="7" width="7" style="28" bestFit="1" customWidth="1"/>
    <col min="8" max="8" width="16.36328125" style="28" bestFit="1" customWidth="1"/>
    <col min="9" max="9" width="7" style="28" bestFit="1" customWidth="1"/>
    <col min="10" max="10" width="16.26953125" style="28" customWidth="1"/>
    <col min="11" max="256" width="9" style="28"/>
    <col min="257" max="257" width="3.26953125" style="28" customWidth="1"/>
    <col min="258" max="258" width="7.7265625" style="28" customWidth="1"/>
    <col min="259" max="259" width="10" style="28" customWidth="1"/>
    <col min="260" max="260" width="12.36328125" style="28" customWidth="1"/>
    <col min="261" max="261" width="14.90625" style="28" customWidth="1"/>
    <col min="262" max="262" width="16.36328125" style="28" bestFit="1" customWidth="1"/>
    <col min="263" max="263" width="7" style="28" bestFit="1" customWidth="1"/>
    <col min="264" max="264" width="16.36328125" style="28" bestFit="1" customWidth="1"/>
    <col min="265" max="265" width="7" style="28" bestFit="1" customWidth="1"/>
    <col min="266" max="266" width="16.26953125" style="28" customWidth="1"/>
    <col min="267" max="512" width="9" style="28"/>
    <col min="513" max="513" width="3.26953125" style="28" customWidth="1"/>
    <col min="514" max="514" width="7.7265625" style="28" customWidth="1"/>
    <col min="515" max="515" width="10" style="28" customWidth="1"/>
    <col min="516" max="516" width="12.36328125" style="28" customWidth="1"/>
    <col min="517" max="517" width="14.90625" style="28" customWidth="1"/>
    <col min="518" max="518" width="16.36328125" style="28" bestFit="1" customWidth="1"/>
    <col min="519" max="519" width="7" style="28" bestFit="1" customWidth="1"/>
    <col min="520" max="520" width="16.36328125" style="28" bestFit="1" customWidth="1"/>
    <col min="521" max="521" width="7" style="28" bestFit="1" customWidth="1"/>
    <col min="522" max="522" width="16.26953125" style="28" customWidth="1"/>
    <col min="523" max="768" width="9" style="28"/>
    <col min="769" max="769" width="3.26953125" style="28" customWidth="1"/>
    <col min="770" max="770" width="7.7265625" style="28" customWidth="1"/>
    <col min="771" max="771" width="10" style="28" customWidth="1"/>
    <col min="772" max="772" width="12.36328125" style="28" customWidth="1"/>
    <col min="773" max="773" width="14.90625" style="28" customWidth="1"/>
    <col min="774" max="774" width="16.36328125" style="28" bestFit="1" customWidth="1"/>
    <col min="775" max="775" width="7" style="28" bestFit="1" customWidth="1"/>
    <col min="776" max="776" width="16.36328125" style="28" bestFit="1" customWidth="1"/>
    <col min="777" max="777" width="7" style="28" bestFit="1" customWidth="1"/>
    <col min="778" max="778" width="16.26953125" style="28" customWidth="1"/>
    <col min="779" max="1024" width="9" style="28"/>
    <col min="1025" max="1025" width="3.26953125" style="28" customWidth="1"/>
    <col min="1026" max="1026" width="7.7265625" style="28" customWidth="1"/>
    <col min="1027" max="1027" width="10" style="28" customWidth="1"/>
    <col min="1028" max="1028" width="12.36328125" style="28" customWidth="1"/>
    <col min="1029" max="1029" width="14.90625" style="28" customWidth="1"/>
    <col min="1030" max="1030" width="16.36328125" style="28" bestFit="1" customWidth="1"/>
    <col min="1031" max="1031" width="7" style="28" bestFit="1" customWidth="1"/>
    <col min="1032" max="1032" width="16.36328125" style="28" bestFit="1" customWidth="1"/>
    <col min="1033" max="1033" width="7" style="28" bestFit="1" customWidth="1"/>
    <col min="1034" max="1034" width="16.26953125" style="28" customWidth="1"/>
    <col min="1035" max="1280" width="9" style="28"/>
    <col min="1281" max="1281" width="3.26953125" style="28" customWidth="1"/>
    <col min="1282" max="1282" width="7.7265625" style="28" customWidth="1"/>
    <col min="1283" max="1283" width="10" style="28" customWidth="1"/>
    <col min="1284" max="1284" width="12.36328125" style="28" customWidth="1"/>
    <col min="1285" max="1285" width="14.90625" style="28" customWidth="1"/>
    <col min="1286" max="1286" width="16.36328125" style="28" bestFit="1" customWidth="1"/>
    <col min="1287" max="1287" width="7" style="28" bestFit="1" customWidth="1"/>
    <col min="1288" max="1288" width="16.36328125" style="28" bestFit="1" customWidth="1"/>
    <col min="1289" max="1289" width="7" style="28" bestFit="1" customWidth="1"/>
    <col min="1290" max="1290" width="16.26953125" style="28" customWidth="1"/>
    <col min="1291" max="1536" width="9" style="28"/>
    <col min="1537" max="1537" width="3.26953125" style="28" customWidth="1"/>
    <col min="1538" max="1538" width="7.7265625" style="28" customWidth="1"/>
    <col min="1539" max="1539" width="10" style="28" customWidth="1"/>
    <col min="1540" max="1540" width="12.36328125" style="28" customWidth="1"/>
    <col min="1541" max="1541" width="14.90625" style="28" customWidth="1"/>
    <col min="1542" max="1542" width="16.36328125" style="28" bestFit="1" customWidth="1"/>
    <col min="1543" max="1543" width="7" style="28" bestFit="1" customWidth="1"/>
    <col min="1544" max="1544" width="16.36328125" style="28" bestFit="1" customWidth="1"/>
    <col min="1545" max="1545" width="7" style="28" bestFit="1" customWidth="1"/>
    <col min="1546" max="1546" width="16.26953125" style="28" customWidth="1"/>
    <col min="1547" max="1792" width="9" style="28"/>
    <col min="1793" max="1793" width="3.26953125" style="28" customWidth="1"/>
    <col min="1794" max="1794" width="7.7265625" style="28" customWidth="1"/>
    <col min="1795" max="1795" width="10" style="28" customWidth="1"/>
    <col min="1796" max="1796" width="12.36328125" style="28" customWidth="1"/>
    <col min="1797" max="1797" width="14.90625" style="28" customWidth="1"/>
    <col min="1798" max="1798" width="16.36328125" style="28" bestFit="1" customWidth="1"/>
    <col min="1799" max="1799" width="7" style="28" bestFit="1" customWidth="1"/>
    <col min="1800" max="1800" width="16.36328125" style="28" bestFit="1" customWidth="1"/>
    <col min="1801" max="1801" width="7" style="28" bestFit="1" customWidth="1"/>
    <col min="1802" max="1802" width="16.26953125" style="28" customWidth="1"/>
    <col min="1803" max="2048" width="9" style="28"/>
    <col min="2049" max="2049" width="3.26953125" style="28" customWidth="1"/>
    <col min="2050" max="2050" width="7.7265625" style="28" customWidth="1"/>
    <col min="2051" max="2051" width="10" style="28" customWidth="1"/>
    <col min="2052" max="2052" width="12.36328125" style="28" customWidth="1"/>
    <col min="2053" max="2053" width="14.90625" style="28" customWidth="1"/>
    <col min="2054" max="2054" width="16.36328125" style="28" bestFit="1" customWidth="1"/>
    <col min="2055" max="2055" width="7" style="28" bestFit="1" customWidth="1"/>
    <col min="2056" max="2056" width="16.36328125" style="28" bestFit="1" customWidth="1"/>
    <col min="2057" max="2057" width="7" style="28" bestFit="1" customWidth="1"/>
    <col min="2058" max="2058" width="16.26953125" style="28" customWidth="1"/>
    <col min="2059" max="2304" width="9" style="28"/>
    <col min="2305" max="2305" width="3.26953125" style="28" customWidth="1"/>
    <col min="2306" max="2306" width="7.7265625" style="28" customWidth="1"/>
    <col min="2307" max="2307" width="10" style="28" customWidth="1"/>
    <col min="2308" max="2308" width="12.36328125" style="28" customWidth="1"/>
    <col min="2309" max="2309" width="14.90625" style="28" customWidth="1"/>
    <col min="2310" max="2310" width="16.36328125" style="28" bestFit="1" customWidth="1"/>
    <col min="2311" max="2311" width="7" style="28" bestFit="1" customWidth="1"/>
    <col min="2312" max="2312" width="16.36328125" style="28" bestFit="1" customWidth="1"/>
    <col min="2313" max="2313" width="7" style="28" bestFit="1" customWidth="1"/>
    <col min="2314" max="2314" width="16.26953125" style="28" customWidth="1"/>
    <col min="2315" max="2560" width="9" style="28"/>
    <col min="2561" max="2561" width="3.26953125" style="28" customWidth="1"/>
    <col min="2562" max="2562" width="7.7265625" style="28" customWidth="1"/>
    <col min="2563" max="2563" width="10" style="28" customWidth="1"/>
    <col min="2564" max="2564" width="12.36328125" style="28" customWidth="1"/>
    <col min="2565" max="2565" width="14.90625" style="28" customWidth="1"/>
    <col min="2566" max="2566" width="16.36328125" style="28" bestFit="1" customWidth="1"/>
    <col min="2567" max="2567" width="7" style="28" bestFit="1" customWidth="1"/>
    <col min="2568" max="2568" width="16.36328125" style="28" bestFit="1" customWidth="1"/>
    <col min="2569" max="2569" width="7" style="28" bestFit="1" customWidth="1"/>
    <col min="2570" max="2570" width="16.26953125" style="28" customWidth="1"/>
    <col min="2571" max="2816" width="9" style="28"/>
    <col min="2817" max="2817" width="3.26953125" style="28" customWidth="1"/>
    <col min="2818" max="2818" width="7.7265625" style="28" customWidth="1"/>
    <col min="2819" max="2819" width="10" style="28" customWidth="1"/>
    <col min="2820" max="2820" width="12.36328125" style="28" customWidth="1"/>
    <col min="2821" max="2821" width="14.90625" style="28" customWidth="1"/>
    <col min="2822" max="2822" width="16.36328125" style="28" bestFit="1" customWidth="1"/>
    <col min="2823" max="2823" width="7" style="28" bestFit="1" customWidth="1"/>
    <col min="2824" max="2824" width="16.36328125" style="28" bestFit="1" customWidth="1"/>
    <col min="2825" max="2825" width="7" style="28" bestFit="1" customWidth="1"/>
    <col min="2826" max="2826" width="16.26953125" style="28" customWidth="1"/>
    <col min="2827" max="3072" width="9" style="28"/>
    <col min="3073" max="3073" width="3.26953125" style="28" customWidth="1"/>
    <col min="3074" max="3074" width="7.7265625" style="28" customWidth="1"/>
    <col min="3075" max="3075" width="10" style="28" customWidth="1"/>
    <col min="3076" max="3076" width="12.36328125" style="28" customWidth="1"/>
    <col min="3077" max="3077" width="14.90625" style="28" customWidth="1"/>
    <col min="3078" max="3078" width="16.36328125" style="28" bestFit="1" customWidth="1"/>
    <col min="3079" max="3079" width="7" style="28" bestFit="1" customWidth="1"/>
    <col min="3080" max="3080" width="16.36328125" style="28" bestFit="1" customWidth="1"/>
    <col min="3081" max="3081" width="7" style="28" bestFit="1" customWidth="1"/>
    <col min="3082" max="3082" width="16.26953125" style="28" customWidth="1"/>
    <col min="3083" max="3328" width="9" style="28"/>
    <col min="3329" max="3329" width="3.26953125" style="28" customWidth="1"/>
    <col min="3330" max="3330" width="7.7265625" style="28" customWidth="1"/>
    <col min="3331" max="3331" width="10" style="28" customWidth="1"/>
    <col min="3332" max="3332" width="12.36328125" style="28" customWidth="1"/>
    <col min="3333" max="3333" width="14.90625" style="28" customWidth="1"/>
    <col min="3334" max="3334" width="16.36328125" style="28" bestFit="1" customWidth="1"/>
    <col min="3335" max="3335" width="7" style="28" bestFit="1" customWidth="1"/>
    <col min="3336" max="3336" width="16.36328125" style="28" bestFit="1" customWidth="1"/>
    <col min="3337" max="3337" width="7" style="28" bestFit="1" customWidth="1"/>
    <col min="3338" max="3338" width="16.26953125" style="28" customWidth="1"/>
    <col min="3339" max="3584" width="9" style="28"/>
    <col min="3585" max="3585" width="3.26953125" style="28" customWidth="1"/>
    <col min="3586" max="3586" width="7.7265625" style="28" customWidth="1"/>
    <col min="3587" max="3587" width="10" style="28" customWidth="1"/>
    <col min="3588" max="3588" width="12.36328125" style="28" customWidth="1"/>
    <col min="3589" max="3589" width="14.90625" style="28" customWidth="1"/>
    <col min="3590" max="3590" width="16.36328125" style="28" bestFit="1" customWidth="1"/>
    <col min="3591" max="3591" width="7" style="28" bestFit="1" customWidth="1"/>
    <col min="3592" max="3592" width="16.36328125" style="28" bestFit="1" customWidth="1"/>
    <col min="3593" max="3593" width="7" style="28" bestFit="1" customWidth="1"/>
    <col min="3594" max="3594" width="16.26953125" style="28" customWidth="1"/>
    <col min="3595" max="3840" width="9" style="28"/>
    <col min="3841" max="3841" width="3.26953125" style="28" customWidth="1"/>
    <col min="3842" max="3842" width="7.7265625" style="28" customWidth="1"/>
    <col min="3843" max="3843" width="10" style="28" customWidth="1"/>
    <col min="3844" max="3844" width="12.36328125" style="28" customWidth="1"/>
    <col min="3845" max="3845" width="14.90625" style="28" customWidth="1"/>
    <col min="3846" max="3846" width="16.36328125" style="28" bestFit="1" customWidth="1"/>
    <col min="3847" max="3847" width="7" style="28" bestFit="1" customWidth="1"/>
    <col min="3848" max="3848" width="16.36328125" style="28" bestFit="1" customWidth="1"/>
    <col min="3849" max="3849" width="7" style="28" bestFit="1" customWidth="1"/>
    <col min="3850" max="3850" width="16.26953125" style="28" customWidth="1"/>
    <col min="3851" max="4096" width="9" style="28"/>
    <col min="4097" max="4097" width="3.26953125" style="28" customWidth="1"/>
    <col min="4098" max="4098" width="7.7265625" style="28" customWidth="1"/>
    <col min="4099" max="4099" width="10" style="28" customWidth="1"/>
    <col min="4100" max="4100" width="12.36328125" style="28" customWidth="1"/>
    <col min="4101" max="4101" width="14.90625" style="28" customWidth="1"/>
    <col min="4102" max="4102" width="16.36328125" style="28" bestFit="1" customWidth="1"/>
    <col min="4103" max="4103" width="7" style="28" bestFit="1" customWidth="1"/>
    <col min="4104" max="4104" width="16.36328125" style="28" bestFit="1" customWidth="1"/>
    <col min="4105" max="4105" width="7" style="28" bestFit="1" customWidth="1"/>
    <col min="4106" max="4106" width="16.26953125" style="28" customWidth="1"/>
    <col min="4107" max="4352" width="9" style="28"/>
    <col min="4353" max="4353" width="3.26953125" style="28" customWidth="1"/>
    <col min="4354" max="4354" width="7.7265625" style="28" customWidth="1"/>
    <col min="4355" max="4355" width="10" style="28" customWidth="1"/>
    <col min="4356" max="4356" width="12.36328125" style="28" customWidth="1"/>
    <col min="4357" max="4357" width="14.90625" style="28" customWidth="1"/>
    <col min="4358" max="4358" width="16.36328125" style="28" bestFit="1" customWidth="1"/>
    <col min="4359" max="4359" width="7" style="28" bestFit="1" customWidth="1"/>
    <col min="4360" max="4360" width="16.36328125" style="28" bestFit="1" customWidth="1"/>
    <col min="4361" max="4361" width="7" style="28" bestFit="1" customWidth="1"/>
    <col min="4362" max="4362" width="16.26953125" style="28" customWidth="1"/>
    <col min="4363" max="4608" width="9" style="28"/>
    <col min="4609" max="4609" width="3.26953125" style="28" customWidth="1"/>
    <col min="4610" max="4610" width="7.7265625" style="28" customWidth="1"/>
    <col min="4611" max="4611" width="10" style="28" customWidth="1"/>
    <col min="4612" max="4612" width="12.36328125" style="28" customWidth="1"/>
    <col min="4613" max="4613" width="14.90625" style="28" customWidth="1"/>
    <col min="4614" max="4614" width="16.36328125" style="28" bestFit="1" customWidth="1"/>
    <col min="4615" max="4615" width="7" style="28" bestFit="1" customWidth="1"/>
    <col min="4616" max="4616" width="16.36328125" style="28" bestFit="1" customWidth="1"/>
    <col min="4617" max="4617" width="7" style="28" bestFit="1" customWidth="1"/>
    <col min="4618" max="4618" width="16.26953125" style="28" customWidth="1"/>
    <col min="4619" max="4864" width="9" style="28"/>
    <col min="4865" max="4865" width="3.26953125" style="28" customWidth="1"/>
    <col min="4866" max="4866" width="7.7265625" style="28" customWidth="1"/>
    <col min="4867" max="4867" width="10" style="28" customWidth="1"/>
    <col min="4868" max="4868" width="12.36328125" style="28" customWidth="1"/>
    <col min="4869" max="4869" width="14.90625" style="28" customWidth="1"/>
    <col min="4870" max="4870" width="16.36328125" style="28" bestFit="1" customWidth="1"/>
    <col min="4871" max="4871" width="7" style="28" bestFit="1" customWidth="1"/>
    <col min="4872" max="4872" width="16.36328125" style="28" bestFit="1" customWidth="1"/>
    <col min="4873" max="4873" width="7" style="28" bestFit="1" customWidth="1"/>
    <col min="4874" max="4874" width="16.26953125" style="28" customWidth="1"/>
    <col min="4875" max="5120" width="9" style="28"/>
    <col min="5121" max="5121" width="3.26953125" style="28" customWidth="1"/>
    <col min="5122" max="5122" width="7.7265625" style="28" customWidth="1"/>
    <col min="5123" max="5123" width="10" style="28" customWidth="1"/>
    <col min="5124" max="5124" width="12.36328125" style="28" customWidth="1"/>
    <col min="5125" max="5125" width="14.90625" style="28" customWidth="1"/>
    <col min="5126" max="5126" width="16.36328125" style="28" bestFit="1" customWidth="1"/>
    <col min="5127" max="5127" width="7" style="28" bestFit="1" customWidth="1"/>
    <col min="5128" max="5128" width="16.36328125" style="28" bestFit="1" customWidth="1"/>
    <col min="5129" max="5129" width="7" style="28" bestFit="1" customWidth="1"/>
    <col min="5130" max="5130" width="16.26953125" style="28" customWidth="1"/>
    <col min="5131" max="5376" width="9" style="28"/>
    <col min="5377" max="5377" width="3.26953125" style="28" customWidth="1"/>
    <col min="5378" max="5378" width="7.7265625" style="28" customWidth="1"/>
    <col min="5379" max="5379" width="10" style="28" customWidth="1"/>
    <col min="5380" max="5380" width="12.36328125" style="28" customWidth="1"/>
    <col min="5381" max="5381" width="14.90625" style="28" customWidth="1"/>
    <col min="5382" max="5382" width="16.36328125" style="28" bestFit="1" customWidth="1"/>
    <col min="5383" max="5383" width="7" style="28" bestFit="1" customWidth="1"/>
    <col min="5384" max="5384" width="16.36328125" style="28" bestFit="1" customWidth="1"/>
    <col min="5385" max="5385" width="7" style="28" bestFit="1" customWidth="1"/>
    <col min="5386" max="5386" width="16.26953125" style="28" customWidth="1"/>
    <col min="5387" max="5632" width="9" style="28"/>
    <col min="5633" max="5633" width="3.26953125" style="28" customWidth="1"/>
    <col min="5634" max="5634" width="7.7265625" style="28" customWidth="1"/>
    <col min="5635" max="5635" width="10" style="28" customWidth="1"/>
    <col min="5636" max="5636" width="12.36328125" style="28" customWidth="1"/>
    <col min="5637" max="5637" width="14.90625" style="28" customWidth="1"/>
    <col min="5638" max="5638" width="16.36328125" style="28" bestFit="1" customWidth="1"/>
    <col min="5639" max="5639" width="7" style="28" bestFit="1" customWidth="1"/>
    <col min="5640" max="5640" width="16.36328125" style="28" bestFit="1" customWidth="1"/>
    <col min="5641" max="5641" width="7" style="28" bestFit="1" customWidth="1"/>
    <col min="5642" max="5642" width="16.26953125" style="28" customWidth="1"/>
    <col min="5643" max="5888" width="9" style="28"/>
    <col min="5889" max="5889" width="3.26953125" style="28" customWidth="1"/>
    <col min="5890" max="5890" width="7.7265625" style="28" customWidth="1"/>
    <col min="5891" max="5891" width="10" style="28" customWidth="1"/>
    <col min="5892" max="5892" width="12.36328125" style="28" customWidth="1"/>
    <col min="5893" max="5893" width="14.90625" style="28" customWidth="1"/>
    <col min="5894" max="5894" width="16.36328125" style="28" bestFit="1" customWidth="1"/>
    <col min="5895" max="5895" width="7" style="28" bestFit="1" customWidth="1"/>
    <col min="5896" max="5896" width="16.36328125" style="28" bestFit="1" customWidth="1"/>
    <col min="5897" max="5897" width="7" style="28" bestFit="1" customWidth="1"/>
    <col min="5898" max="5898" width="16.26953125" style="28" customWidth="1"/>
    <col min="5899" max="6144" width="9" style="28"/>
    <col min="6145" max="6145" width="3.26953125" style="28" customWidth="1"/>
    <col min="6146" max="6146" width="7.7265625" style="28" customWidth="1"/>
    <col min="6147" max="6147" width="10" style="28" customWidth="1"/>
    <col min="6148" max="6148" width="12.36328125" style="28" customWidth="1"/>
    <col min="6149" max="6149" width="14.90625" style="28" customWidth="1"/>
    <col min="6150" max="6150" width="16.36328125" style="28" bestFit="1" customWidth="1"/>
    <col min="6151" max="6151" width="7" style="28" bestFit="1" customWidth="1"/>
    <col min="6152" max="6152" width="16.36328125" style="28" bestFit="1" customWidth="1"/>
    <col min="6153" max="6153" width="7" style="28" bestFit="1" customWidth="1"/>
    <col min="6154" max="6154" width="16.26953125" style="28" customWidth="1"/>
    <col min="6155" max="6400" width="9" style="28"/>
    <col min="6401" max="6401" width="3.26953125" style="28" customWidth="1"/>
    <col min="6402" max="6402" width="7.7265625" style="28" customWidth="1"/>
    <col min="6403" max="6403" width="10" style="28" customWidth="1"/>
    <col min="6404" max="6404" width="12.36328125" style="28" customWidth="1"/>
    <col min="6405" max="6405" width="14.90625" style="28" customWidth="1"/>
    <col min="6406" max="6406" width="16.36328125" style="28" bestFit="1" customWidth="1"/>
    <col min="6407" max="6407" width="7" style="28" bestFit="1" customWidth="1"/>
    <col min="6408" max="6408" width="16.36328125" style="28" bestFit="1" customWidth="1"/>
    <col min="6409" max="6409" width="7" style="28" bestFit="1" customWidth="1"/>
    <col min="6410" max="6410" width="16.26953125" style="28" customWidth="1"/>
    <col min="6411" max="6656" width="9" style="28"/>
    <col min="6657" max="6657" width="3.26953125" style="28" customWidth="1"/>
    <col min="6658" max="6658" width="7.7265625" style="28" customWidth="1"/>
    <col min="6659" max="6659" width="10" style="28" customWidth="1"/>
    <col min="6660" max="6660" width="12.36328125" style="28" customWidth="1"/>
    <col min="6661" max="6661" width="14.90625" style="28" customWidth="1"/>
    <col min="6662" max="6662" width="16.36328125" style="28" bestFit="1" customWidth="1"/>
    <col min="6663" max="6663" width="7" style="28" bestFit="1" customWidth="1"/>
    <col min="6664" max="6664" width="16.36328125" style="28" bestFit="1" customWidth="1"/>
    <col min="6665" max="6665" width="7" style="28" bestFit="1" customWidth="1"/>
    <col min="6666" max="6666" width="16.26953125" style="28" customWidth="1"/>
    <col min="6667" max="6912" width="9" style="28"/>
    <col min="6913" max="6913" width="3.26953125" style="28" customWidth="1"/>
    <col min="6914" max="6914" width="7.7265625" style="28" customWidth="1"/>
    <col min="6915" max="6915" width="10" style="28" customWidth="1"/>
    <col min="6916" max="6916" width="12.36328125" style="28" customWidth="1"/>
    <col min="6917" max="6917" width="14.90625" style="28" customWidth="1"/>
    <col min="6918" max="6918" width="16.36328125" style="28" bestFit="1" customWidth="1"/>
    <col min="6919" max="6919" width="7" style="28" bestFit="1" customWidth="1"/>
    <col min="6920" max="6920" width="16.36328125" style="28" bestFit="1" customWidth="1"/>
    <col min="6921" max="6921" width="7" style="28" bestFit="1" customWidth="1"/>
    <col min="6922" max="6922" width="16.26953125" style="28" customWidth="1"/>
    <col min="6923" max="7168" width="9" style="28"/>
    <col min="7169" max="7169" width="3.26953125" style="28" customWidth="1"/>
    <col min="7170" max="7170" width="7.7265625" style="28" customWidth="1"/>
    <col min="7171" max="7171" width="10" style="28" customWidth="1"/>
    <col min="7172" max="7172" width="12.36328125" style="28" customWidth="1"/>
    <col min="7173" max="7173" width="14.90625" style="28" customWidth="1"/>
    <col min="7174" max="7174" width="16.36328125" style="28" bestFit="1" customWidth="1"/>
    <col min="7175" max="7175" width="7" style="28" bestFit="1" customWidth="1"/>
    <col min="7176" max="7176" width="16.36328125" style="28" bestFit="1" customWidth="1"/>
    <col min="7177" max="7177" width="7" style="28" bestFit="1" customWidth="1"/>
    <col min="7178" max="7178" width="16.26953125" style="28" customWidth="1"/>
    <col min="7179" max="7424" width="9" style="28"/>
    <col min="7425" max="7425" width="3.26953125" style="28" customWidth="1"/>
    <col min="7426" max="7426" width="7.7265625" style="28" customWidth="1"/>
    <col min="7427" max="7427" width="10" style="28" customWidth="1"/>
    <col min="7428" max="7428" width="12.36328125" style="28" customWidth="1"/>
    <col min="7429" max="7429" width="14.90625" style="28" customWidth="1"/>
    <col min="7430" max="7430" width="16.36328125" style="28" bestFit="1" customWidth="1"/>
    <col min="7431" max="7431" width="7" style="28" bestFit="1" customWidth="1"/>
    <col min="7432" max="7432" width="16.36328125" style="28" bestFit="1" customWidth="1"/>
    <col min="7433" max="7433" width="7" style="28" bestFit="1" customWidth="1"/>
    <col min="7434" max="7434" width="16.26953125" style="28" customWidth="1"/>
    <col min="7435" max="7680" width="9" style="28"/>
    <col min="7681" max="7681" width="3.26953125" style="28" customWidth="1"/>
    <col min="7682" max="7682" width="7.7265625" style="28" customWidth="1"/>
    <col min="7683" max="7683" width="10" style="28" customWidth="1"/>
    <col min="7684" max="7684" width="12.36328125" style="28" customWidth="1"/>
    <col min="7685" max="7685" width="14.90625" style="28" customWidth="1"/>
    <col min="7686" max="7686" width="16.36328125" style="28" bestFit="1" customWidth="1"/>
    <col min="7687" max="7687" width="7" style="28" bestFit="1" customWidth="1"/>
    <col min="7688" max="7688" width="16.36328125" style="28" bestFit="1" customWidth="1"/>
    <col min="7689" max="7689" width="7" style="28" bestFit="1" customWidth="1"/>
    <col min="7690" max="7690" width="16.26953125" style="28" customWidth="1"/>
    <col min="7691" max="7936" width="9" style="28"/>
    <col min="7937" max="7937" width="3.26953125" style="28" customWidth="1"/>
    <col min="7938" max="7938" width="7.7265625" style="28" customWidth="1"/>
    <col min="7939" max="7939" width="10" style="28" customWidth="1"/>
    <col min="7940" max="7940" width="12.36328125" style="28" customWidth="1"/>
    <col min="7941" max="7941" width="14.90625" style="28" customWidth="1"/>
    <col min="7942" max="7942" width="16.36328125" style="28" bestFit="1" customWidth="1"/>
    <col min="7943" max="7943" width="7" style="28" bestFit="1" customWidth="1"/>
    <col min="7944" max="7944" width="16.36328125" style="28" bestFit="1" customWidth="1"/>
    <col min="7945" max="7945" width="7" style="28" bestFit="1" customWidth="1"/>
    <col min="7946" max="7946" width="16.26953125" style="28" customWidth="1"/>
    <col min="7947" max="8192" width="9" style="28"/>
    <col min="8193" max="8193" width="3.26953125" style="28" customWidth="1"/>
    <col min="8194" max="8194" width="7.7265625" style="28" customWidth="1"/>
    <col min="8195" max="8195" width="10" style="28" customWidth="1"/>
    <col min="8196" max="8196" width="12.36328125" style="28" customWidth="1"/>
    <col min="8197" max="8197" width="14.90625" style="28" customWidth="1"/>
    <col min="8198" max="8198" width="16.36328125" style="28" bestFit="1" customWidth="1"/>
    <col min="8199" max="8199" width="7" style="28" bestFit="1" customWidth="1"/>
    <col min="8200" max="8200" width="16.36328125" style="28" bestFit="1" customWidth="1"/>
    <col min="8201" max="8201" width="7" style="28" bestFit="1" customWidth="1"/>
    <col min="8202" max="8202" width="16.26953125" style="28" customWidth="1"/>
    <col min="8203" max="8448" width="9" style="28"/>
    <col min="8449" max="8449" width="3.26953125" style="28" customWidth="1"/>
    <col min="8450" max="8450" width="7.7265625" style="28" customWidth="1"/>
    <col min="8451" max="8451" width="10" style="28" customWidth="1"/>
    <col min="8452" max="8452" width="12.36328125" style="28" customWidth="1"/>
    <col min="8453" max="8453" width="14.90625" style="28" customWidth="1"/>
    <col min="8454" max="8454" width="16.36328125" style="28" bestFit="1" customWidth="1"/>
    <col min="8455" max="8455" width="7" style="28" bestFit="1" customWidth="1"/>
    <col min="8456" max="8456" width="16.36328125" style="28" bestFit="1" customWidth="1"/>
    <col min="8457" max="8457" width="7" style="28" bestFit="1" customWidth="1"/>
    <col min="8458" max="8458" width="16.26953125" style="28" customWidth="1"/>
    <col min="8459" max="8704" width="9" style="28"/>
    <col min="8705" max="8705" width="3.26953125" style="28" customWidth="1"/>
    <col min="8706" max="8706" width="7.7265625" style="28" customWidth="1"/>
    <col min="8707" max="8707" width="10" style="28" customWidth="1"/>
    <col min="8708" max="8708" width="12.36328125" style="28" customWidth="1"/>
    <col min="8709" max="8709" width="14.90625" style="28" customWidth="1"/>
    <col min="8710" max="8710" width="16.36328125" style="28" bestFit="1" customWidth="1"/>
    <col min="8711" max="8711" width="7" style="28" bestFit="1" customWidth="1"/>
    <col min="8712" max="8712" width="16.36328125" style="28" bestFit="1" customWidth="1"/>
    <col min="8713" max="8713" width="7" style="28" bestFit="1" customWidth="1"/>
    <col min="8714" max="8714" width="16.26953125" style="28" customWidth="1"/>
    <col min="8715" max="8960" width="9" style="28"/>
    <col min="8961" max="8961" width="3.26953125" style="28" customWidth="1"/>
    <col min="8962" max="8962" width="7.7265625" style="28" customWidth="1"/>
    <col min="8963" max="8963" width="10" style="28" customWidth="1"/>
    <col min="8964" max="8964" width="12.36328125" style="28" customWidth="1"/>
    <col min="8965" max="8965" width="14.90625" style="28" customWidth="1"/>
    <col min="8966" max="8966" width="16.36328125" style="28" bestFit="1" customWidth="1"/>
    <col min="8967" max="8967" width="7" style="28" bestFit="1" customWidth="1"/>
    <col min="8968" max="8968" width="16.36328125" style="28" bestFit="1" customWidth="1"/>
    <col min="8969" max="8969" width="7" style="28" bestFit="1" customWidth="1"/>
    <col min="8970" max="8970" width="16.26953125" style="28" customWidth="1"/>
    <col min="8971" max="9216" width="9" style="28"/>
    <col min="9217" max="9217" width="3.26953125" style="28" customWidth="1"/>
    <col min="9218" max="9218" width="7.7265625" style="28" customWidth="1"/>
    <col min="9219" max="9219" width="10" style="28" customWidth="1"/>
    <col min="9220" max="9220" width="12.36328125" style="28" customWidth="1"/>
    <col min="9221" max="9221" width="14.90625" style="28" customWidth="1"/>
    <col min="9222" max="9222" width="16.36328125" style="28" bestFit="1" customWidth="1"/>
    <col min="9223" max="9223" width="7" style="28" bestFit="1" customWidth="1"/>
    <col min="9224" max="9224" width="16.36328125" style="28" bestFit="1" customWidth="1"/>
    <col min="9225" max="9225" width="7" style="28" bestFit="1" customWidth="1"/>
    <col min="9226" max="9226" width="16.26953125" style="28" customWidth="1"/>
    <col min="9227" max="9472" width="9" style="28"/>
    <col min="9473" max="9473" width="3.26953125" style="28" customWidth="1"/>
    <col min="9474" max="9474" width="7.7265625" style="28" customWidth="1"/>
    <col min="9475" max="9475" width="10" style="28" customWidth="1"/>
    <col min="9476" max="9476" width="12.36328125" style="28" customWidth="1"/>
    <col min="9477" max="9477" width="14.90625" style="28" customWidth="1"/>
    <col min="9478" max="9478" width="16.36328125" style="28" bestFit="1" customWidth="1"/>
    <col min="9479" max="9479" width="7" style="28" bestFit="1" customWidth="1"/>
    <col min="9480" max="9480" width="16.36328125" style="28" bestFit="1" customWidth="1"/>
    <col min="9481" max="9481" width="7" style="28" bestFit="1" customWidth="1"/>
    <col min="9482" max="9482" width="16.26953125" style="28" customWidth="1"/>
    <col min="9483" max="9728" width="9" style="28"/>
    <col min="9729" max="9729" width="3.26953125" style="28" customWidth="1"/>
    <col min="9730" max="9730" width="7.7265625" style="28" customWidth="1"/>
    <col min="9731" max="9731" width="10" style="28" customWidth="1"/>
    <col min="9732" max="9732" width="12.36328125" style="28" customWidth="1"/>
    <col min="9733" max="9733" width="14.90625" style="28" customWidth="1"/>
    <col min="9734" max="9734" width="16.36328125" style="28" bestFit="1" customWidth="1"/>
    <col min="9735" max="9735" width="7" style="28" bestFit="1" customWidth="1"/>
    <col min="9736" max="9736" width="16.36328125" style="28" bestFit="1" customWidth="1"/>
    <col min="9737" max="9737" width="7" style="28" bestFit="1" customWidth="1"/>
    <col min="9738" max="9738" width="16.26953125" style="28" customWidth="1"/>
    <col min="9739" max="9984" width="9" style="28"/>
    <col min="9985" max="9985" width="3.26953125" style="28" customWidth="1"/>
    <col min="9986" max="9986" width="7.7265625" style="28" customWidth="1"/>
    <col min="9987" max="9987" width="10" style="28" customWidth="1"/>
    <col min="9988" max="9988" width="12.36328125" style="28" customWidth="1"/>
    <col min="9989" max="9989" width="14.90625" style="28" customWidth="1"/>
    <col min="9990" max="9990" width="16.36328125" style="28" bestFit="1" customWidth="1"/>
    <col min="9991" max="9991" width="7" style="28" bestFit="1" customWidth="1"/>
    <col min="9992" max="9992" width="16.36328125" style="28" bestFit="1" customWidth="1"/>
    <col min="9993" max="9993" width="7" style="28" bestFit="1" customWidth="1"/>
    <col min="9994" max="9994" width="16.26953125" style="28" customWidth="1"/>
    <col min="9995" max="10240" width="9" style="28"/>
    <col min="10241" max="10241" width="3.26953125" style="28" customWidth="1"/>
    <col min="10242" max="10242" width="7.7265625" style="28" customWidth="1"/>
    <col min="10243" max="10243" width="10" style="28" customWidth="1"/>
    <col min="10244" max="10244" width="12.36328125" style="28" customWidth="1"/>
    <col min="10245" max="10245" width="14.90625" style="28" customWidth="1"/>
    <col min="10246" max="10246" width="16.36328125" style="28" bestFit="1" customWidth="1"/>
    <col min="10247" max="10247" width="7" style="28" bestFit="1" customWidth="1"/>
    <col min="10248" max="10248" width="16.36328125" style="28" bestFit="1" customWidth="1"/>
    <col min="10249" max="10249" width="7" style="28" bestFit="1" customWidth="1"/>
    <col min="10250" max="10250" width="16.26953125" style="28" customWidth="1"/>
    <col min="10251" max="10496" width="9" style="28"/>
    <col min="10497" max="10497" width="3.26953125" style="28" customWidth="1"/>
    <col min="10498" max="10498" width="7.7265625" style="28" customWidth="1"/>
    <col min="10499" max="10499" width="10" style="28" customWidth="1"/>
    <col min="10500" max="10500" width="12.36328125" style="28" customWidth="1"/>
    <col min="10501" max="10501" width="14.90625" style="28" customWidth="1"/>
    <col min="10502" max="10502" width="16.36328125" style="28" bestFit="1" customWidth="1"/>
    <col min="10503" max="10503" width="7" style="28" bestFit="1" customWidth="1"/>
    <col min="10504" max="10504" width="16.36328125" style="28" bestFit="1" customWidth="1"/>
    <col min="10505" max="10505" width="7" style="28" bestFit="1" customWidth="1"/>
    <col min="10506" max="10506" width="16.26953125" style="28" customWidth="1"/>
    <col min="10507" max="10752" width="9" style="28"/>
    <col min="10753" max="10753" width="3.26953125" style="28" customWidth="1"/>
    <col min="10754" max="10754" width="7.7265625" style="28" customWidth="1"/>
    <col min="10755" max="10755" width="10" style="28" customWidth="1"/>
    <col min="10756" max="10756" width="12.36328125" style="28" customWidth="1"/>
    <col min="10757" max="10757" width="14.90625" style="28" customWidth="1"/>
    <col min="10758" max="10758" width="16.36328125" style="28" bestFit="1" customWidth="1"/>
    <col min="10759" max="10759" width="7" style="28" bestFit="1" customWidth="1"/>
    <col min="10760" max="10760" width="16.36328125" style="28" bestFit="1" customWidth="1"/>
    <col min="10761" max="10761" width="7" style="28" bestFit="1" customWidth="1"/>
    <col min="10762" max="10762" width="16.26953125" style="28" customWidth="1"/>
    <col min="10763" max="11008" width="9" style="28"/>
    <col min="11009" max="11009" width="3.26953125" style="28" customWidth="1"/>
    <col min="11010" max="11010" width="7.7265625" style="28" customWidth="1"/>
    <col min="11011" max="11011" width="10" style="28" customWidth="1"/>
    <col min="11012" max="11012" width="12.36328125" style="28" customWidth="1"/>
    <col min="11013" max="11013" width="14.90625" style="28" customWidth="1"/>
    <col min="11014" max="11014" width="16.36328125" style="28" bestFit="1" customWidth="1"/>
    <col min="11015" max="11015" width="7" style="28" bestFit="1" customWidth="1"/>
    <col min="11016" max="11016" width="16.36328125" style="28" bestFit="1" customWidth="1"/>
    <col min="11017" max="11017" width="7" style="28" bestFit="1" customWidth="1"/>
    <col min="11018" max="11018" width="16.26953125" style="28" customWidth="1"/>
    <col min="11019" max="11264" width="9" style="28"/>
    <col min="11265" max="11265" width="3.26953125" style="28" customWidth="1"/>
    <col min="11266" max="11266" width="7.7265625" style="28" customWidth="1"/>
    <col min="11267" max="11267" width="10" style="28" customWidth="1"/>
    <col min="11268" max="11268" width="12.36328125" style="28" customWidth="1"/>
    <col min="11269" max="11269" width="14.90625" style="28" customWidth="1"/>
    <col min="11270" max="11270" width="16.36328125" style="28" bestFit="1" customWidth="1"/>
    <col min="11271" max="11271" width="7" style="28" bestFit="1" customWidth="1"/>
    <col min="11272" max="11272" width="16.36328125" style="28" bestFit="1" customWidth="1"/>
    <col min="11273" max="11273" width="7" style="28" bestFit="1" customWidth="1"/>
    <col min="11274" max="11274" width="16.26953125" style="28" customWidth="1"/>
    <col min="11275" max="11520" width="9" style="28"/>
    <col min="11521" max="11521" width="3.26953125" style="28" customWidth="1"/>
    <col min="11522" max="11522" width="7.7265625" style="28" customWidth="1"/>
    <col min="11523" max="11523" width="10" style="28" customWidth="1"/>
    <col min="11524" max="11524" width="12.36328125" style="28" customWidth="1"/>
    <col min="11525" max="11525" width="14.90625" style="28" customWidth="1"/>
    <col min="11526" max="11526" width="16.36328125" style="28" bestFit="1" customWidth="1"/>
    <col min="11527" max="11527" width="7" style="28" bestFit="1" customWidth="1"/>
    <col min="11528" max="11528" width="16.36328125" style="28" bestFit="1" customWidth="1"/>
    <col min="11529" max="11529" width="7" style="28" bestFit="1" customWidth="1"/>
    <col min="11530" max="11530" width="16.26953125" style="28" customWidth="1"/>
    <col min="11531" max="11776" width="9" style="28"/>
    <col min="11777" max="11777" width="3.26953125" style="28" customWidth="1"/>
    <col min="11778" max="11778" width="7.7265625" style="28" customWidth="1"/>
    <col min="11779" max="11779" width="10" style="28" customWidth="1"/>
    <col min="11780" max="11780" width="12.36328125" style="28" customWidth="1"/>
    <col min="11781" max="11781" width="14.90625" style="28" customWidth="1"/>
    <col min="11782" max="11782" width="16.36328125" style="28" bestFit="1" customWidth="1"/>
    <col min="11783" max="11783" width="7" style="28" bestFit="1" customWidth="1"/>
    <col min="11784" max="11784" width="16.36328125" style="28" bestFit="1" customWidth="1"/>
    <col min="11785" max="11785" width="7" style="28" bestFit="1" customWidth="1"/>
    <col min="11786" max="11786" width="16.26953125" style="28" customWidth="1"/>
    <col min="11787" max="12032" width="9" style="28"/>
    <col min="12033" max="12033" width="3.26953125" style="28" customWidth="1"/>
    <col min="12034" max="12034" width="7.7265625" style="28" customWidth="1"/>
    <col min="12035" max="12035" width="10" style="28" customWidth="1"/>
    <col min="12036" max="12036" width="12.36328125" style="28" customWidth="1"/>
    <col min="12037" max="12037" width="14.90625" style="28" customWidth="1"/>
    <col min="12038" max="12038" width="16.36328125" style="28" bestFit="1" customWidth="1"/>
    <col min="12039" max="12039" width="7" style="28" bestFit="1" customWidth="1"/>
    <col min="12040" max="12040" width="16.36328125" style="28" bestFit="1" customWidth="1"/>
    <col min="12041" max="12041" width="7" style="28" bestFit="1" customWidth="1"/>
    <col min="12042" max="12042" width="16.26953125" style="28" customWidth="1"/>
    <col min="12043" max="12288" width="9" style="28"/>
    <col min="12289" max="12289" width="3.26953125" style="28" customWidth="1"/>
    <col min="12290" max="12290" width="7.7265625" style="28" customWidth="1"/>
    <col min="12291" max="12291" width="10" style="28" customWidth="1"/>
    <col min="12292" max="12292" width="12.36328125" style="28" customWidth="1"/>
    <col min="12293" max="12293" width="14.90625" style="28" customWidth="1"/>
    <col min="12294" max="12294" width="16.36328125" style="28" bestFit="1" customWidth="1"/>
    <col min="12295" max="12295" width="7" style="28" bestFit="1" customWidth="1"/>
    <col min="12296" max="12296" width="16.36328125" style="28" bestFit="1" customWidth="1"/>
    <col min="12297" max="12297" width="7" style="28" bestFit="1" customWidth="1"/>
    <col min="12298" max="12298" width="16.26953125" style="28" customWidth="1"/>
    <col min="12299" max="12544" width="9" style="28"/>
    <col min="12545" max="12545" width="3.26953125" style="28" customWidth="1"/>
    <col min="12546" max="12546" width="7.7265625" style="28" customWidth="1"/>
    <col min="12547" max="12547" width="10" style="28" customWidth="1"/>
    <col min="12548" max="12548" width="12.36328125" style="28" customWidth="1"/>
    <col min="12549" max="12549" width="14.90625" style="28" customWidth="1"/>
    <col min="12550" max="12550" width="16.36328125" style="28" bestFit="1" customWidth="1"/>
    <col min="12551" max="12551" width="7" style="28" bestFit="1" customWidth="1"/>
    <col min="12552" max="12552" width="16.36328125" style="28" bestFit="1" customWidth="1"/>
    <col min="12553" max="12553" width="7" style="28" bestFit="1" customWidth="1"/>
    <col min="12554" max="12554" width="16.26953125" style="28" customWidth="1"/>
    <col min="12555" max="12800" width="9" style="28"/>
    <col min="12801" max="12801" width="3.26953125" style="28" customWidth="1"/>
    <col min="12802" max="12802" width="7.7265625" style="28" customWidth="1"/>
    <col min="12803" max="12803" width="10" style="28" customWidth="1"/>
    <col min="12804" max="12804" width="12.36328125" style="28" customWidth="1"/>
    <col min="12805" max="12805" width="14.90625" style="28" customWidth="1"/>
    <col min="12806" max="12806" width="16.36328125" style="28" bestFit="1" customWidth="1"/>
    <col min="12807" max="12807" width="7" style="28" bestFit="1" customWidth="1"/>
    <col min="12808" max="12808" width="16.36328125" style="28" bestFit="1" customWidth="1"/>
    <col min="12809" max="12809" width="7" style="28" bestFit="1" customWidth="1"/>
    <col min="12810" max="12810" width="16.26953125" style="28" customWidth="1"/>
    <col min="12811" max="13056" width="9" style="28"/>
    <col min="13057" max="13057" width="3.26953125" style="28" customWidth="1"/>
    <col min="13058" max="13058" width="7.7265625" style="28" customWidth="1"/>
    <col min="13059" max="13059" width="10" style="28" customWidth="1"/>
    <col min="13060" max="13060" width="12.36328125" style="28" customWidth="1"/>
    <col min="13061" max="13061" width="14.90625" style="28" customWidth="1"/>
    <col min="13062" max="13062" width="16.36328125" style="28" bestFit="1" customWidth="1"/>
    <col min="13063" max="13063" width="7" style="28" bestFit="1" customWidth="1"/>
    <col min="13064" max="13064" width="16.36328125" style="28" bestFit="1" customWidth="1"/>
    <col min="13065" max="13065" width="7" style="28" bestFit="1" customWidth="1"/>
    <col min="13066" max="13066" width="16.26953125" style="28" customWidth="1"/>
    <col min="13067" max="13312" width="9" style="28"/>
    <col min="13313" max="13313" width="3.26953125" style="28" customWidth="1"/>
    <col min="13314" max="13314" width="7.7265625" style="28" customWidth="1"/>
    <col min="13315" max="13315" width="10" style="28" customWidth="1"/>
    <col min="13316" max="13316" width="12.36328125" style="28" customWidth="1"/>
    <col min="13317" max="13317" width="14.90625" style="28" customWidth="1"/>
    <col min="13318" max="13318" width="16.36328125" style="28" bestFit="1" customWidth="1"/>
    <col min="13319" max="13319" width="7" style="28" bestFit="1" customWidth="1"/>
    <col min="13320" max="13320" width="16.36328125" style="28" bestFit="1" customWidth="1"/>
    <col min="13321" max="13321" width="7" style="28" bestFit="1" customWidth="1"/>
    <col min="13322" max="13322" width="16.26953125" style="28" customWidth="1"/>
    <col min="13323" max="13568" width="9" style="28"/>
    <col min="13569" max="13569" width="3.26953125" style="28" customWidth="1"/>
    <col min="13570" max="13570" width="7.7265625" style="28" customWidth="1"/>
    <col min="13571" max="13571" width="10" style="28" customWidth="1"/>
    <col min="13572" max="13572" width="12.36328125" style="28" customWidth="1"/>
    <col min="13573" max="13573" width="14.90625" style="28" customWidth="1"/>
    <col min="13574" max="13574" width="16.36328125" style="28" bestFit="1" customWidth="1"/>
    <col min="13575" max="13575" width="7" style="28" bestFit="1" customWidth="1"/>
    <col min="13576" max="13576" width="16.36328125" style="28" bestFit="1" customWidth="1"/>
    <col min="13577" max="13577" width="7" style="28" bestFit="1" customWidth="1"/>
    <col min="13578" max="13578" width="16.26953125" style="28" customWidth="1"/>
    <col min="13579" max="13824" width="9" style="28"/>
    <col min="13825" max="13825" width="3.26953125" style="28" customWidth="1"/>
    <col min="13826" max="13826" width="7.7265625" style="28" customWidth="1"/>
    <col min="13827" max="13827" width="10" style="28" customWidth="1"/>
    <col min="13828" max="13828" width="12.36328125" style="28" customWidth="1"/>
    <col min="13829" max="13829" width="14.90625" style="28" customWidth="1"/>
    <col min="13830" max="13830" width="16.36328125" style="28" bestFit="1" customWidth="1"/>
    <col min="13831" max="13831" width="7" style="28" bestFit="1" customWidth="1"/>
    <col min="13832" max="13832" width="16.36328125" style="28" bestFit="1" customWidth="1"/>
    <col min="13833" max="13833" width="7" style="28" bestFit="1" customWidth="1"/>
    <col min="13834" max="13834" width="16.26953125" style="28" customWidth="1"/>
    <col min="13835" max="14080" width="9" style="28"/>
    <col min="14081" max="14081" width="3.26953125" style="28" customWidth="1"/>
    <col min="14082" max="14082" width="7.7265625" style="28" customWidth="1"/>
    <col min="14083" max="14083" width="10" style="28" customWidth="1"/>
    <col min="14084" max="14084" width="12.36328125" style="28" customWidth="1"/>
    <col min="14085" max="14085" width="14.90625" style="28" customWidth="1"/>
    <col min="14086" max="14086" width="16.36328125" style="28" bestFit="1" customWidth="1"/>
    <col min="14087" max="14087" width="7" style="28" bestFit="1" customWidth="1"/>
    <col min="14088" max="14088" width="16.36328125" style="28" bestFit="1" customWidth="1"/>
    <col min="14089" max="14089" width="7" style="28" bestFit="1" customWidth="1"/>
    <col min="14090" max="14090" width="16.26953125" style="28" customWidth="1"/>
    <col min="14091" max="14336" width="9" style="28"/>
    <col min="14337" max="14337" width="3.26953125" style="28" customWidth="1"/>
    <col min="14338" max="14338" width="7.7265625" style="28" customWidth="1"/>
    <col min="14339" max="14339" width="10" style="28" customWidth="1"/>
    <col min="14340" max="14340" width="12.36328125" style="28" customWidth="1"/>
    <col min="14341" max="14341" width="14.90625" style="28" customWidth="1"/>
    <col min="14342" max="14342" width="16.36328125" style="28" bestFit="1" customWidth="1"/>
    <col min="14343" max="14343" width="7" style="28" bestFit="1" customWidth="1"/>
    <col min="14344" max="14344" width="16.36328125" style="28" bestFit="1" customWidth="1"/>
    <col min="14345" max="14345" width="7" style="28" bestFit="1" customWidth="1"/>
    <col min="14346" max="14346" width="16.26953125" style="28" customWidth="1"/>
    <col min="14347" max="14592" width="9" style="28"/>
    <col min="14593" max="14593" width="3.26953125" style="28" customWidth="1"/>
    <col min="14594" max="14594" width="7.7265625" style="28" customWidth="1"/>
    <col min="14595" max="14595" width="10" style="28" customWidth="1"/>
    <col min="14596" max="14596" width="12.36328125" style="28" customWidth="1"/>
    <col min="14597" max="14597" width="14.90625" style="28" customWidth="1"/>
    <col min="14598" max="14598" width="16.36328125" style="28" bestFit="1" customWidth="1"/>
    <col min="14599" max="14599" width="7" style="28" bestFit="1" customWidth="1"/>
    <col min="14600" max="14600" width="16.36328125" style="28" bestFit="1" customWidth="1"/>
    <col min="14601" max="14601" width="7" style="28" bestFit="1" customWidth="1"/>
    <col min="14602" max="14602" width="16.26953125" style="28" customWidth="1"/>
    <col min="14603" max="14848" width="9" style="28"/>
    <col min="14849" max="14849" width="3.26953125" style="28" customWidth="1"/>
    <col min="14850" max="14850" width="7.7265625" style="28" customWidth="1"/>
    <col min="14851" max="14851" width="10" style="28" customWidth="1"/>
    <col min="14852" max="14852" width="12.36328125" style="28" customWidth="1"/>
    <col min="14853" max="14853" width="14.90625" style="28" customWidth="1"/>
    <col min="14854" max="14854" width="16.36328125" style="28" bestFit="1" customWidth="1"/>
    <col min="14855" max="14855" width="7" style="28" bestFit="1" customWidth="1"/>
    <col min="14856" max="14856" width="16.36328125" style="28" bestFit="1" customWidth="1"/>
    <col min="14857" max="14857" width="7" style="28" bestFit="1" customWidth="1"/>
    <col min="14858" max="14858" width="16.26953125" style="28" customWidth="1"/>
    <col min="14859" max="15104" width="9" style="28"/>
    <col min="15105" max="15105" width="3.26953125" style="28" customWidth="1"/>
    <col min="15106" max="15106" width="7.7265625" style="28" customWidth="1"/>
    <col min="15107" max="15107" width="10" style="28" customWidth="1"/>
    <col min="15108" max="15108" width="12.36328125" style="28" customWidth="1"/>
    <col min="15109" max="15109" width="14.90625" style="28" customWidth="1"/>
    <col min="15110" max="15110" width="16.36328125" style="28" bestFit="1" customWidth="1"/>
    <col min="15111" max="15111" width="7" style="28" bestFit="1" customWidth="1"/>
    <col min="15112" max="15112" width="16.36328125" style="28" bestFit="1" customWidth="1"/>
    <col min="15113" max="15113" width="7" style="28" bestFit="1" customWidth="1"/>
    <col min="15114" max="15114" width="16.26953125" style="28" customWidth="1"/>
    <col min="15115" max="15360" width="9" style="28"/>
    <col min="15361" max="15361" width="3.26953125" style="28" customWidth="1"/>
    <col min="15362" max="15362" width="7.7265625" style="28" customWidth="1"/>
    <col min="15363" max="15363" width="10" style="28" customWidth="1"/>
    <col min="15364" max="15364" width="12.36328125" style="28" customWidth="1"/>
    <col min="15365" max="15365" width="14.90625" style="28" customWidth="1"/>
    <col min="15366" max="15366" width="16.36328125" style="28" bestFit="1" customWidth="1"/>
    <col min="15367" max="15367" width="7" style="28" bestFit="1" customWidth="1"/>
    <col min="15368" max="15368" width="16.36328125" style="28" bestFit="1" customWidth="1"/>
    <col min="15369" max="15369" width="7" style="28" bestFit="1" customWidth="1"/>
    <col min="15370" max="15370" width="16.26953125" style="28" customWidth="1"/>
    <col min="15371" max="15616" width="9" style="28"/>
    <col min="15617" max="15617" width="3.26953125" style="28" customWidth="1"/>
    <col min="15618" max="15618" width="7.7265625" style="28" customWidth="1"/>
    <col min="15619" max="15619" width="10" style="28" customWidth="1"/>
    <col min="15620" max="15620" width="12.36328125" style="28" customWidth="1"/>
    <col min="15621" max="15621" width="14.90625" style="28" customWidth="1"/>
    <col min="15622" max="15622" width="16.36328125" style="28" bestFit="1" customWidth="1"/>
    <col min="15623" max="15623" width="7" style="28" bestFit="1" customWidth="1"/>
    <col min="15624" max="15624" width="16.36328125" style="28" bestFit="1" customWidth="1"/>
    <col min="15625" max="15625" width="7" style="28" bestFit="1" customWidth="1"/>
    <col min="15626" max="15626" width="16.26953125" style="28" customWidth="1"/>
    <col min="15627" max="15872" width="9" style="28"/>
    <col min="15873" max="15873" width="3.26953125" style="28" customWidth="1"/>
    <col min="15874" max="15874" width="7.7265625" style="28" customWidth="1"/>
    <col min="15875" max="15875" width="10" style="28" customWidth="1"/>
    <col min="15876" max="15876" width="12.36328125" style="28" customWidth="1"/>
    <col min="15877" max="15877" width="14.90625" style="28" customWidth="1"/>
    <col min="15878" max="15878" width="16.36328125" style="28" bestFit="1" customWidth="1"/>
    <col min="15879" max="15879" width="7" style="28" bestFit="1" customWidth="1"/>
    <col min="15880" max="15880" width="16.36328125" style="28" bestFit="1" customWidth="1"/>
    <col min="15881" max="15881" width="7" style="28" bestFit="1" customWidth="1"/>
    <col min="15882" max="15882" width="16.26953125" style="28" customWidth="1"/>
    <col min="15883" max="16128" width="9" style="28"/>
    <col min="16129" max="16129" width="3.26953125" style="28" customWidth="1"/>
    <col min="16130" max="16130" width="7.7265625" style="28" customWidth="1"/>
    <col min="16131" max="16131" width="10" style="28" customWidth="1"/>
    <col min="16132" max="16132" width="12.36328125" style="28" customWidth="1"/>
    <col min="16133" max="16133" width="14.90625" style="28" customWidth="1"/>
    <col min="16134" max="16134" width="16.36328125" style="28" bestFit="1" customWidth="1"/>
    <col min="16135" max="16135" width="7" style="28" bestFit="1" customWidth="1"/>
    <col min="16136" max="16136" width="16.36328125" style="28" bestFit="1" customWidth="1"/>
    <col min="16137" max="16137" width="7" style="28" bestFit="1" customWidth="1"/>
    <col min="16138" max="16138" width="16.26953125" style="28" customWidth="1"/>
    <col min="16139" max="16384" width="9" style="28"/>
  </cols>
  <sheetData>
    <row r="1" spans="1:11">
      <c r="A1" s="29" t="s">
        <v>118</v>
      </c>
    </row>
    <row r="2" spans="1:11" s="77" customFormat="1" ht="24" customHeight="1" thickBot="1">
      <c r="A2" s="123"/>
      <c r="B2" s="510" t="s">
        <v>259</v>
      </c>
      <c r="C2" s="510"/>
      <c r="D2" s="510"/>
      <c r="E2" s="510"/>
      <c r="F2" s="510"/>
      <c r="G2" s="510"/>
      <c r="H2" s="510"/>
      <c r="I2" s="510"/>
      <c r="J2" s="510"/>
      <c r="K2" s="146"/>
    </row>
    <row r="3" spans="1:11" ht="14.25" customHeight="1" thickTop="1" thickBot="1">
      <c r="B3" s="34" t="s">
        <v>120</v>
      </c>
      <c r="C3" s="34" t="s">
        <v>121</v>
      </c>
      <c r="D3" s="34"/>
      <c r="E3" s="35"/>
      <c r="G3" s="30"/>
      <c r="H3" s="30"/>
      <c r="I3" s="30"/>
      <c r="J3" s="30"/>
    </row>
    <row r="4" spans="1:11" ht="14.25" customHeight="1">
      <c r="B4" s="511" t="s">
        <v>260</v>
      </c>
      <c r="C4" s="124" t="s">
        <v>261</v>
      </c>
      <c r="D4" s="124" t="s">
        <v>262</v>
      </c>
      <c r="E4" s="124"/>
      <c r="F4" s="124"/>
      <c r="G4" s="124"/>
      <c r="H4" s="124"/>
      <c r="I4" s="124"/>
      <c r="J4" s="125"/>
    </row>
    <row r="5" spans="1:11" ht="14.25" customHeight="1" thickBot="1">
      <c r="B5" s="512"/>
      <c r="C5" s="513"/>
      <c r="D5" s="514"/>
      <c r="E5" s="515"/>
      <c r="F5" s="515"/>
      <c r="G5" s="515"/>
      <c r="H5" s="515"/>
      <c r="I5" s="515"/>
      <c r="J5" s="516"/>
    </row>
    <row r="6" spans="1:11">
      <c r="B6" s="147"/>
      <c r="C6" s="148"/>
      <c r="D6" s="60"/>
      <c r="E6" s="60"/>
      <c r="F6" s="60"/>
      <c r="J6" s="149"/>
    </row>
    <row r="7" spans="1:11" ht="17.25" customHeight="1">
      <c r="B7" s="129"/>
      <c r="C7" s="150" t="s">
        <v>263</v>
      </c>
      <c r="D7" s="517" t="s">
        <v>264</v>
      </c>
      <c r="E7" s="518"/>
      <c r="F7" s="518"/>
      <c r="G7" s="518"/>
      <c r="H7" s="518"/>
      <c r="I7" s="519"/>
      <c r="J7" s="151"/>
      <c r="K7" s="152"/>
    </row>
    <row r="8" spans="1:11" ht="15" customHeight="1">
      <c r="B8" s="153"/>
      <c r="C8" s="154" t="s">
        <v>265</v>
      </c>
      <c r="D8" s="155" t="s">
        <v>266</v>
      </c>
      <c r="E8" s="155" t="s">
        <v>267</v>
      </c>
      <c r="F8" s="156" t="s">
        <v>268</v>
      </c>
      <c r="G8" s="156" t="s">
        <v>269</v>
      </c>
      <c r="H8" s="156" t="s">
        <v>270</v>
      </c>
      <c r="I8" s="157" t="s">
        <v>271</v>
      </c>
      <c r="J8" s="158"/>
      <c r="K8" s="159"/>
    </row>
    <row r="9" spans="1:11" ht="12" customHeight="1">
      <c r="B9" s="160"/>
      <c r="C9" s="161" t="s">
        <v>272</v>
      </c>
      <c r="D9" s="162" t="s">
        <v>273</v>
      </c>
      <c r="E9" s="162" t="s">
        <v>274</v>
      </c>
      <c r="F9" s="163" t="s">
        <v>275</v>
      </c>
      <c r="G9" s="163" t="s">
        <v>276</v>
      </c>
      <c r="H9" s="163" t="s">
        <v>277</v>
      </c>
      <c r="I9" s="164" t="s">
        <v>278</v>
      </c>
      <c r="J9" s="165"/>
      <c r="K9" s="166"/>
    </row>
    <row r="10" spans="1:11" ht="12" customHeight="1">
      <c r="B10" s="160"/>
      <c r="C10" s="167" t="s">
        <v>279</v>
      </c>
      <c r="D10" s="168" t="s">
        <v>280</v>
      </c>
      <c r="E10" s="169">
        <v>66666</v>
      </c>
      <c r="F10" s="170" t="s">
        <v>281</v>
      </c>
      <c r="G10" s="170" t="s">
        <v>282</v>
      </c>
      <c r="H10" s="170" t="s">
        <v>281</v>
      </c>
      <c r="I10" s="171" t="s">
        <v>282</v>
      </c>
      <c r="J10" s="172"/>
      <c r="K10" s="173"/>
    </row>
    <row r="11" spans="1:11" ht="12" customHeight="1">
      <c r="B11" s="160"/>
      <c r="C11" s="167" t="s">
        <v>279</v>
      </c>
      <c r="D11" s="168" t="s">
        <v>283</v>
      </c>
      <c r="E11" s="169">
        <v>3500</v>
      </c>
      <c r="F11" s="170" t="s">
        <v>281</v>
      </c>
      <c r="G11" s="170" t="s">
        <v>282</v>
      </c>
      <c r="H11" s="170" t="s">
        <v>281</v>
      </c>
      <c r="I11" s="171" t="s">
        <v>282</v>
      </c>
      <c r="J11" s="172"/>
      <c r="K11" s="173"/>
    </row>
    <row r="12" spans="1:11" ht="12" customHeight="1">
      <c r="B12" s="160"/>
      <c r="C12" s="167" t="s">
        <v>284</v>
      </c>
      <c r="D12" s="168" t="s">
        <v>285</v>
      </c>
      <c r="E12" s="169">
        <v>12000</v>
      </c>
      <c r="F12" s="170" t="s">
        <v>281</v>
      </c>
      <c r="G12" s="170" t="s">
        <v>282</v>
      </c>
      <c r="H12" s="170" t="s">
        <v>281</v>
      </c>
      <c r="I12" s="171" t="s">
        <v>282</v>
      </c>
      <c r="J12" s="172"/>
      <c r="K12" s="173"/>
    </row>
    <row r="13" spans="1:11" ht="12" customHeight="1">
      <c r="B13" s="160"/>
      <c r="C13" s="167" t="s">
        <v>284</v>
      </c>
      <c r="D13" s="168" t="s">
        <v>286</v>
      </c>
      <c r="E13" s="169">
        <v>300</v>
      </c>
      <c r="F13" s="170" t="s">
        <v>281</v>
      </c>
      <c r="G13" s="170" t="s">
        <v>282</v>
      </c>
      <c r="H13" s="170" t="s">
        <v>281</v>
      </c>
      <c r="I13" s="171" t="s">
        <v>282</v>
      </c>
      <c r="J13" s="172"/>
      <c r="K13" s="173"/>
    </row>
    <row r="14" spans="1:11" ht="12" customHeight="1">
      <c r="B14" s="160"/>
      <c r="C14" s="167" t="s">
        <v>284</v>
      </c>
      <c r="D14" s="168" t="s">
        <v>283</v>
      </c>
      <c r="E14" s="169">
        <v>100</v>
      </c>
      <c r="F14" s="170" t="s">
        <v>281</v>
      </c>
      <c r="G14" s="170" t="s">
        <v>282</v>
      </c>
      <c r="H14" s="170" t="s">
        <v>281</v>
      </c>
      <c r="I14" s="171" t="s">
        <v>282</v>
      </c>
      <c r="J14" s="172"/>
      <c r="K14" s="173"/>
    </row>
    <row r="15" spans="1:11" ht="12" customHeight="1">
      <c r="B15" s="160"/>
      <c r="C15" s="167" t="s">
        <v>284</v>
      </c>
      <c r="D15" s="168" t="s">
        <v>287</v>
      </c>
      <c r="E15" s="169">
        <v>50</v>
      </c>
      <c r="F15" s="170" t="s">
        <v>281</v>
      </c>
      <c r="G15" s="170" t="s">
        <v>282</v>
      </c>
      <c r="H15" s="170" t="s">
        <v>281</v>
      </c>
      <c r="I15" s="171" t="s">
        <v>282</v>
      </c>
      <c r="J15" s="172"/>
      <c r="K15" s="173"/>
    </row>
    <row r="16" spans="1:11" ht="12" customHeight="1">
      <c r="B16" s="160"/>
      <c r="C16" s="174" t="s">
        <v>288</v>
      </c>
      <c r="D16" s="175" t="s">
        <v>287</v>
      </c>
      <c r="E16" s="176">
        <v>3000</v>
      </c>
      <c r="F16" s="177" t="s">
        <v>281</v>
      </c>
      <c r="G16" s="177" t="s">
        <v>289</v>
      </c>
      <c r="H16" s="177" t="s">
        <v>281</v>
      </c>
      <c r="I16" s="178" t="s">
        <v>289</v>
      </c>
      <c r="J16" s="172"/>
      <c r="K16" s="179"/>
    </row>
    <row r="17" spans="2:11" ht="12" customHeight="1">
      <c r="B17" s="160"/>
      <c r="C17" s="174" t="s">
        <v>290</v>
      </c>
      <c r="D17" s="175" t="s">
        <v>287</v>
      </c>
      <c r="E17" s="176">
        <v>200</v>
      </c>
      <c r="F17" s="177" t="s">
        <v>281</v>
      </c>
      <c r="G17" s="177" t="s">
        <v>289</v>
      </c>
      <c r="H17" s="177" t="s">
        <v>281</v>
      </c>
      <c r="I17" s="178" t="s">
        <v>289</v>
      </c>
      <c r="J17" s="172"/>
      <c r="K17" s="179"/>
    </row>
    <row r="18" spans="2:11" ht="12" customHeight="1">
      <c r="B18" s="160"/>
      <c r="C18" s="174" t="s">
        <v>291</v>
      </c>
      <c r="D18" s="175" t="s">
        <v>292</v>
      </c>
      <c r="E18" s="176">
        <v>999999999999999</v>
      </c>
      <c r="F18" s="177" t="s">
        <v>281</v>
      </c>
      <c r="G18" s="177" t="s">
        <v>289</v>
      </c>
      <c r="H18" s="177" t="s">
        <v>281</v>
      </c>
      <c r="I18" s="178" t="s">
        <v>289</v>
      </c>
      <c r="J18" s="172"/>
      <c r="K18" s="180"/>
    </row>
    <row r="19" spans="2:11" ht="12" customHeight="1">
      <c r="B19" s="160"/>
      <c r="C19" s="167" t="s">
        <v>291</v>
      </c>
      <c r="D19" s="168" t="s">
        <v>287</v>
      </c>
      <c r="E19" s="169">
        <v>200000</v>
      </c>
      <c r="F19" s="170" t="s">
        <v>281</v>
      </c>
      <c r="G19" s="170" t="s">
        <v>282</v>
      </c>
      <c r="H19" s="170" t="s">
        <v>281</v>
      </c>
      <c r="I19" s="171" t="s">
        <v>282</v>
      </c>
      <c r="J19" s="172"/>
      <c r="K19" s="180"/>
    </row>
    <row r="20" spans="2:11" ht="12" customHeight="1">
      <c r="B20" s="160"/>
      <c r="C20" s="167" t="s">
        <v>291</v>
      </c>
      <c r="D20" s="168" t="s">
        <v>293</v>
      </c>
      <c r="E20" s="169">
        <v>0</v>
      </c>
      <c r="F20" s="170" t="s">
        <v>281</v>
      </c>
      <c r="G20" s="170" t="s">
        <v>282</v>
      </c>
      <c r="H20" s="170" t="s">
        <v>281</v>
      </c>
      <c r="I20" s="171" t="s">
        <v>282</v>
      </c>
      <c r="J20" s="172"/>
      <c r="K20" s="180"/>
    </row>
    <row r="21" spans="2:11" ht="12" customHeight="1">
      <c r="B21" s="160"/>
      <c r="C21" s="181" t="s">
        <v>291</v>
      </c>
      <c r="D21" s="182" t="s">
        <v>294</v>
      </c>
      <c r="E21" s="183">
        <v>333333333</v>
      </c>
      <c r="F21" s="184" t="s">
        <v>281</v>
      </c>
      <c r="G21" s="184" t="s">
        <v>282</v>
      </c>
      <c r="H21" s="184" t="s">
        <v>281</v>
      </c>
      <c r="I21" s="185" t="s">
        <v>282</v>
      </c>
      <c r="J21" s="172"/>
      <c r="K21" s="180"/>
    </row>
    <row r="22" spans="2:11" ht="12" customHeight="1">
      <c r="B22" s="160"/>
      <c r="C22" s="186" t="s">
        <v>291</v>
      </c>
      <c r="D22" s="186" t="s">
        <v>295</v>
      </c>
      <c r="E22" s="187">
        <v>999999999999999</v>
      </c>
      <c r="F22" s="188"/>
      <c r="G22" s="188"/>
      <c r="H22" s="188"/>
      <c r="I22" s="188"/>
      <c r="J22" s="172"/>
      <c r="K22" s="180"/>
    </row>
    <row r="23" spans="2:11" ht="12" customHeight="1">
      <c r="B23" s="160"/>
      <c r="C23" s="186" t="s">
        <v>291</v>
      </c>
      <c r="D23" s="186" t="s">
        <v>296</v>
      </c>
      <c r="E23" s="189">
        <v>300</v>
      </c>
      <c r="F23" s="188"/>
      <c r="G23" s="188"/>
      <c r="H23" s="188"/>
      <c r="I23" s="188"/>
      <c r="J23" s="172"/>
      <c r="K23" s="180"/>
    </row>
    <row r="24" spans="2:11" ht="11.25" customHeight="1">
      <c r="B24" s="160"/>
      <c r="C24" s="186" t="s">
        <v>291</v>
      </c>
      <c r="D24" s="186" t="s">
        <v>297</v>
      </c>
      <c r="E24" s="189">
        <v>20</v>
      </c>
      <c r="F24" s="188"/>
      <c r="G24" s="188"/>
      <c r="H24" s="188"/>
      <c r="I24" s="188"/>
      <c r="J24" s="172"/>
      <c r="K24" s="190"/>
    </row>
    <row r="25" spans="2:11">
      <c r="B25" s="160"/>
      <c r="C25" s="186" t="s">
        <v>298</v>
      </c>
      <c r="D25" s="186" t="s">
        <v>299</v>
      </c>
      <c r="E25" s="189">
        <v>6000</v>
      </c>
      <c r="F25" s="188"/>
      <c r="G25" s="188"/>
      <c r="H25" s="188"/>
      <c r="I25" s="188"/>
      <c r="J25" s="172"/>
      <c r="K25" s="191"/>
    </row>
    <row r="26" spans="2:11">
      <c r="B26" s="129"/>
      <c r="C26" s="188"/>
      <c r="D26" s="188"/>
      <c r="E26" s="188"/>
      <c r="F26" s="188"/>
      <c r="G26" s="188"/>
      <c r="H26" s="188"/>
      <c r="I26" s="188"/>
      <c r="J26" s="172"/>
      <c r="K26" s="180"/>
    </row>
    <row r="27" spans="2:11">
      <c r="B27" s="129"/>
      <c r="C27" s="192"/>
      <c r="D27" s="192"/>
      <c r="E27" s="192"/>
      <c r="F27" s="192"/>
      <c r="G27" s="192"/>
      <c r="H27" s="192"/>
      <c r="I27" s="192"/>
      <c r="J27" s="172"/>
      <c r="K27" s="180"/>
    </row>
    <row r="28" spans="2:11">
      <c r="B28" s="129"/>
      <c r="C28" s="192"/>
      <c r="D28" s="192"/>
      <c r="E28" s="192"/>
      <c r="F28" s="192"/>
      <c r="G28" s="192"/>
      <c r="H28" s="192"/>
      <c r="I28" s="192"/>
      <c r="J28" s="172"/>
      <c r="K28" s="193"/>
    </row>
    <row r="29" spans="2:11">
      <c r="B29" s="129"/>
      <c r="C29" s="173"/>
      <c r="D29" s="173"/>
      <c r="E29" s="173"/>
      <c r="F29" s="173"/>
      <c r="G29" s="173"/>
      <c r="H29" s="173"/>
      <c r="I29" s="173"/>
      <c r="J29" s="194"/>
      <c r="K29" s="173"/>
    </row>
    <row r="30" spans="2:11" ht="17.25" customHeight="1">
      <c r="B30" s="129"/>
      <c r="C30" s="150" t="s">
        <v>300</v>
      </c>
      <c r="D30" s="517" t="s">
        <v>264</v>
      </c>
      <c r="E30" s="518"/>
      <c r="F30" s="518"/>
      <c r="G30" s="518"/>
      <c r="H30" s="518"/>
      <c r="I30" s="519"/>
      <c r="J30" s="151"/>
      <c r="K30" s="152"/>
    </row>
    <row r="31" spans="2:11" ht="15" customHeight="1">
      <c r="B31" s="153"/>
      <c r="C31" s="154" t="s">
        <v>265</v>
      </c>
      <c r="D31" s="155" t="s">
        <v>266</v>
      </c>
      <c r="E31" s="155" t="s">
        <v>267</v>
      </c>
      <c r="F31" s="156" t="s">
        <v>268</v>
      </c>
      <c r="G31" s="156" t="s">
        <v>269</v>
      </c>
      <c r="H31" s="156" t="s">
        <v>270</v>
      </c>
      <c r="I31" s="157" t="s">
        <v>271</v>
      </c>
      <c r="J31" s="158"/>
      <c r="K31" s="159"/>
    </row>
    <row r="32" spans="2:11" ht="12" customHeight="1">
      <c r="B32" s="160"/>
      <c r="C32" s="161" t="s">
        <v>272</v>
      </c>
      <c r="D32" s="162" t="s">
        <v>273</v>
      </c>
      <c r="E32" s="162" t="s">
        <v>274</v>
      </c>
      <c r="F32" s="163" t="s">
        <v>275</v>
      </c>
      <c r="G32" s="163" t="s">
        <v>276</v>
      </c>
      <c r="H32" s="163" t="s">
        <v>277</v>
      </c>
      <c r="I32" s="164" t="s">
        <v>278</v>
      </c>
      <c r="J32" s="165"/>
      <c r="K32" s="166"/>
    </row>
    <row r="33" spans="2:11" ht="12" customHeight="1">
      <c r="B33" s="160"/>
      <c r="C33" s="195"/>
      <c r="D33" s="196"/>
      <c r="E33" s="197"/>
      <c r="F33" s="198"/>
      <c r="G33" s="198"/>
      <c r="H33" s="198"/>
      <c r="I33" s="199"/>
      <c r="J33" s="172"/>
      <c r="K33" s="173"/>
    </row>
    <row r="34" spans="2:11" ht="12" customHeight="1">
      <c r="B34" s="160"/>
      <c r="C34" s="200"/>
      <c r="D34" s="201"/>
      <c r="E34" s="202"/>
      <c r="F34" s="203"/>
      <c r="G34" s="203"/>
      <c r="H34" s="203"/>
      <c r="I34" s="204"/>
      <c r="J34" s="172"/>
      <c r="K34" s="173"/>
    </row>
    <row r="35" spans="2:11" ht="12" customHeight="1">
      <c r="B35" s="160"/>
      <c r="C35" s="200"/>
      <c r="D35" s="201"/>
      <c r="E35" s="202"/>
      <c r="F35" s="203"/>
      <c r="G35" s="203"/>
      <c r="H35" s="203"/>
      <c r="I35" s="204"/>
      <c r="J35" s="172"/>
      <c r="K35" s="173"/>
    </row>
    <row r="36" spans="2:11" ht="12" customHeight="1">
      <c r="B36" s="160"/>
      <c r="C36" s="205"/>
      <c r="D36" s="206"/>
      <c r="E36" s="207"/>
      <c r="F36" s="208"/>
      <c r="G36" s="208"/>
      <c r="H36" s="208"/>
      <c r="I36" s="209"/>
      <c r="J36" s="172"/>
      <c r="K36" s="173"/>
    </row>
    <row r="37" spans="2:11" ht="12" customHeight="1">
      <c r="B37" s="160"/>
      <c r="C37" s="210" t="s">
        <v>284</v>
      </c>
      <c r="D37" s="211" t="s">
        <v>283</v>
      </c>
      <c r="E37" s="212">
        <v>100</v>
      </c>
      <c r="F37" s="213" t="s">
        <v>281</v>
      </c>
      <c r="G37" s="170" t="s">
        <v>282</v>
      </c>
      <c r="H37" s="213" t="s">
        <v>281</v>
      </c>
      <c r="I37" s="171" t="s">
        <v>282</v>
      </c>
      <c r="J37" s="172"/>
      <c r="K37" s="173"/>
    </row>
    <row r="38" spans="2:11" ht="12" customHeight="1">
      <c r="B38" s="160"/>
      <c r="C38" s="214" t="s">
        <v>284</v>
      </c>
      <c r="D38" s="215" t="s">
        <v>287</v>
      </c>
      <c r="E38" s="216">
        <v>50</v>
      </c>
      <c r="F38" s="217" t="s">
        <v>281</v>
      </c>
      <c r="G38" s="170" t="s">
        <v>282</v>
      </c>
      <c r="H38" s="217" t="s">
        <v>281</v>
      </c>
      <c r="I38" s="171" t="s">
        <v>282</v>
      </c>
      <c r="J38" s="172"/>
      <c r="K38" s="173"/>
    </row>
    <row r="39" spans="2:11" ht="12" customHeight="1">
      <c r="B39" s="160"/>
      <c r="C39" s="214" t="s">
        <v>288</v>
      </c>
      <c r="D39" s="215" t="s">
        <v>287</v>
      </c>
      <c r="E39" s="218">
        <v>3000</v>
      </c>
      <c r="F39" s="219" t="s">
        <v>281</v>
      </c>
      <c r="G39" s="220" t="s">
        <v>282</v>
      </c>
      <c r="H39" s="221" t="s">
        <v>301</v>
      </c>
      <c r="I39" s="222" t="s">
        <v>302</v>
      </c>
      <c r="J39" s="172"/>
      <c r="K39" s="179"/>
    </row>
    <row r="40" spans="2:11" ht="12" customHeight="1">
      <c r="B40" s="160"/>
      <c r="C40" s="214" t="s">
        <v>290</v>
      </c>
      <c r="D40" s="215" t="s">
        <v>287</v>
      </c>
      <c r="E40" s="218">
        <v>200</v>
      </c>
      <c r="F40" s="219" t="s">
        <v>281</v>
      </c>
      <c r="G40" s="220" t="s">
        <v>282</v>
      </c>
      <c r="H40" s="221" t="s">
        <v>301</v>
      </c>
      <c r="I40" s="222" t="s">
        <v>302</v>
      </c>
      <c r="J40" s="172"/>
      <c r="K40" s="179"/>
    </row>
    <row r="41" spans="2:11" ht="12" customHeight="1">
      <c r="B41" s="160"/>
      <c r="C41" s="214" t="s">
        <v>291</v>
      </c>
      <c r="D41" s="215" t="s">
        <v>292</v>
      </c>
      <c r="E41" s="218">
        <v>999999999999999</v>
      </c>
      <c r="F41" s="219" t="s">
        <v>281</v>
      </c>
      <c r="G41" s="220" t="s">
        <v>282</v>
      </c>
      <c r="H41" s="221" t="s">
        <v>301</v>
      </c>
      <c r="I41" s="222" t="s">
        <v>302</v>
      </c>
      <c r="J41" s="172"/>
      <c r="K41" s="180"/>
    </row>
    <row r="42" spans="2:11" ht="12" customHeight="1">
      <c r="B42" s="160"/>
      <c r="C42" s="214" t="s">
        <v>291</v>
      </c>
      <c r="D42" s="215" t="s">
        <v>287</v>
      </c>
      <c r="E42" s="216">
        <v>200000</v>
      </c>
      <c r="F42" s="217" t="s">
        <v>281</v>
      </c>
      <c r="G42" s="170" t="s">
        <v>282</v>
      </c>
      <c r="H42" s="217" t="s">
        <v>281</v>
      </c>
      <c r="I42" s="171" t="s">
        <v>282</v>
      </c>
      <c r="J42" s="172"/>
      <c r="K42" s="180"/>
    </row>
    <row r="43" spans="2:11" ht="12" customHeight="1">
      <c r="B43" s="160"/>
      <c r="C43" s="214" t="s">
        <v>291</v>
      </c>
      <c r="D43" s="215" t="s">
        <v>293</v>
      </c>
      <c r="E43" s="216">
        <v>0</v>
      </c>
      <c r="F43" s="217" t="s">
        <v>281</v>
      </c>
      <c r="G43" s="170" t="s">
        <v>282</v>
      </c>
      <c r="H43" s="217" t="s">
        <v>281</v>
      </c>
      <c r="I43" s="171" t="s">
        <v>282</v>
      </c>
      <c r="J43" s="172"/>
      <c r="K43" s="180"/>
    </row>
    <row r="44" spans="2:11" ht="12" customHeight="1">
      <c r="B44" s="160"/>
      <c r="C44" s="214" t="s">
        <v>291</v>
      </c>
      <c r="D44" s="215" t="s">
        <v>294</v>
      </c>
      <c r="E44" s="223">
        <v>333333333</v>
      </c>
      <c r="F44" s="217" t="s">
        <v>281</v>
      </c>
      <c r="G44" s="170" t="s">
        <v>282</v>
      </c>
      <c r="H44" s="217" t="s">
        <v>281</v>
      </c>
      <c r="I44" s="171" t="s">
        <v>282</v>
      </c>
      <c r="J44" s="172"/>
      <c r="K44" s="180"/>
    </row>
    <row r="45" spans="2:11" ht="12" customHeight="1">
      <c r="B45" s="160"/>
      <c r="C45" s="214" t="s">
        <v>291</v>
      </c>
      <c r="D45" s="215" t="s">
        <v>295</v>
      </c>
      <c r="E45" s="223">
        <v>999999999999999</v>
      </c>
      <c r="F45" s="217" t="s">
        <v>303</v>
      </c>
      <c r="G45" s="217" t="s">
        <v>302</v>
      </c>
      <c r="H45" s="217" t="s">
        <v>303</v>
      </c>
      <c r="I45" s="224" t="s">
        <v>302</v>
      </c>
      <c r="J45" s="172"/>
      <c r="K45" s="180"/>
    </row>
    <row r="46" spans="2:11" ht="12" customHeight="1">
      <c r="B46" s="160"/>
      <c r="C46" s="214" t="s">
        <v>291</v>
      </c>
      <c r="D46" s="215" t="s">
        <v>296</v>
      </c>
      <c r="E46" s="216">
        <v>300</v>
      </c>
      <c r="F46" s="217" t="s">
        <v>303</v>
      </c>
      <c r="G46" s="217" t="s">
        <v>302</v>
      </c>
      <c r="H46" s="217" t="s">
        <v>303</v>
      </c>
      <c r="I46" s="224" t="s">
        <v>302</v>
      </c>
      <c r="J46" s="172"/>
      <c r="K46" s="180"/>
    </row>
    <row r="47" spans="2:11" ht="11.25" customHeight="1">
      <c r="B47" s="160"/>
      <c r="C47" s="225" t="s">
        <v>291</v>
      </c>
      <c r="D47" s="226" t="s">
        <v>297</v>
      </c>
      <c r="E47" s="227">
        <v>20</v>
      </c>
      <c r="F47" s="228" t="s">
        <v>303</v>
      </c>
      <c r="G47" s="228" t="s">
        <v>302</v>
      </c>
      <c r="H47" s="228" t="s">
        <v>303</v>
      </c>
      <c r="I47" s="229" t="s">
        <v>302</v>
      </c>
      <c r="J47" s="172"/>
      <c r="K47" s="190"/>
    </row>
    <row r="48" spans="2:11">
      <c r="B48" s="160"/>
      <c r="C48" s="230"/>
      <c r="D48" s="230"/>
      <c r="E48" s="231"/>
      <c r="F48" s="192"/>
      <c r="G48" s="192"/>
      <c r="H48" s="192"/>
      <c r="I48" s="192"/>
      <c r="J48" s="172"/>
      <c r="K48" s="191"/>
    </row>
    <row r="49" spans="2:10">
      <c r="B49" s="232"/>
      <c r="C49" s="148"/>
      <c r="D49" s="60"/>
      <c r="E49" s="60"/>
      <c r="F49" s="60"/>
      <c r="J49" s="149"/>
    </row>
    <row r="50" spans="2:10">
      <c r="B50" s="232"/>
      <c r="C50" s="148"/>
      <c r="D50" s="60"/>
      <c r="E50" s="60"/>
      <c r="F50" s="60"/>
      <c r="J50" s="149"/>
    </row>
    <row r="51" spans="2:10" ht="15.5" thickBot="1">
      <c r="B51" s="233"/>
      <c r="C51" s="234"/>
      <c r="D51" s="138"/>
      <c r="E51" s="138"/>
      <c r="F51" s="138"/>
      <c r="G51" s="137"/>
      <c r="H51" s="137"/>
      <c r="I51" s="137"/>
      <c r="J51" s="235"/>
    </row>
    <row r="52" spans="2:10" ht="14.25" customHeight="1">
      <c r="B52" s="511" t="s">
        <v>304</v>
      </c>
      <c r="C52" s="124" t="s">
        <v>305</v>
      </c>
      <c r="D52" s="124"/>
      <c r="E52" s="124"/>
      <c r="F52" s="124"/>
      <c r="G52" s="124"/>
      <c r="H52" s="124"/>
      <c r="I52" s="124"/>
      <c r="J52" s="125"/>
    </row>
    <row r="53" spans="2:10" ht="14.25" customHeight="1" thickBot="1">
      <c r="B53" s="512"/>
      <c r="C53" s="513"/>
      <c r="D53" s="514"/>
      <c r="E53" s="515"/>
      <c r="F53" s="515"/>
      <c r="G53" s="515"/>
      <c r="H53" s="515"/>
      <c r="I53" s="515"/>
      <c r="J53" s="516"/>
    </row>
    <row r="54" spans="2:10">
      <c r="B54" s="140" t="s">
        <v>306</v>
      </c>
      <c r="D54" s="60"/>
      <c r="E54" s="60"/>
      <c r="F54" s="60"/>
      <c r="J54" s="149"/>
    </row>
    <row r="55" spans="2:10">
      <c r="B55" s="236"/>
      <c r="C55" s="131"/>
      <c r="D55" s="60"/>
      <c r="E55" s="60"/>
      <c r="F55" s="60"/>
      <c r="J55" s="149"/>
    </row>
    <row r="56" spans="2:10">
      <c r="B56" s="129"/>
      <c r="D56" s="60"/>
      <c r="E56" s="60"/>
      <c r="F56" s="60"/>
      <c r="J56" s="149"/>
    </row>
    <row r="57" spans="2:10">
      <c r="B57" s="129"/>
      <c r="D57" s="60"/>
      <c r="E57" s="60"/>
      <c r="F57" s="60"/>
      <c r="J57" s="149"/>
    </row>
    <row r="58" spans="2:10">
      <c r="B58" s="129"/>
      <c r="D58" s="60"/>
      <c r="E58" s="60"/>
      <c r="F58" s="60"/>
      <c r="J58" s="149"/>
    </row>
    <row r="59" spans="2:10">
      <c r="B59" s="129"/>
      <c r="D59" s="60"/>
      <c r="E59" s="60"/>
      <c r="F59" s="60"/>
      <c r="J59" s="149"/>
    </row>
    <row r="60" spans="2:10">
      <c r="B60" s="129"/>
      <c r="D60" s="60"/>
      <c r="E60" s="60"/>
      <c r="F60" s="60"/>
      <c r="J60" s="149"/>
    </row>
    <row r="61" spans="2:10">
      <c r="B61" s="129"/>
      <c r="D61" s="60"/>
      <c r="E61" s="60"/>
      <c r="F61" s="60"/>
      <c r="J61" s="149"/>
    </row>
    <row r="62" spans="2:10">
      <c r="B62" s="129"/>
      <c r="C62" s="191"/>
      <c r="D62" s="60"/>
      <c r="E62" s="60"/>
      <c r="F62" s="60"/>
      <c r="H62" s="191" t="s">
        <v>251</v>
      </c>
      <c r="J62" s="149"/>
    </row>
    <row r="63" spans="2:10">
      <c r="B63" s="129"/>
      <c r="D63" s="60"/>
      <c r="E63" s="60"/>
      <c r="F63" s="60"/>
      <c r="J63" s="149"/>
    </row>
    <row r="64" spans="2:10" ht="15.5" thickBot="1">
      <c r="B64" s="144"/>
      <c r="C64" s="145"/>
      <c r="D64" s="74"/>
      <c r="E64" s="74"/>
      <c r="F64" s="74"/>
      <c r="G64" s="145"/>
      <c r="H64" s="145"/>
      <c r="I64" s="145"/>
      <c r="J64" s="237"/>
    </row>
    <row r="65" spans="2:10" ht="14.25" customHeight="1">
      <c r="B65" s="511" t="s">
        <v>307</v>
      </c>
      <c r="C65" s="124" t="s">
        <v>308</v>
      </c>
      <c r="D65" s="124"/>
      <c r="E65" s="124"/>
      <c r="F65" s="124"/>
      <c r="G65" s="124"/>
      <c r="H65" s="124"/>
      <c r="I65" s="124"/>
      <c r="J65" s="125"/>
    </row>
    <row r="66" spans="2:10" ht="14.25" customHeight="1" thickBot="1">
      <c r="B66" s="512"/>
      <c r="C66" s="513"/>
      <c r="D66" s="514"/>
      <c r="E66" s="515"/>
      <c r="F66" s="515"/>
      <c r="G66" s="515"/>
      <c r="H66" s="515"/>
      <c r="I66" s="515"/>
      <c r="J66" s="516"/>
    </row>
    <row r="67" spans="2:10">
      <c r="B67" s="140" t="s">
        <v>309</v>
      </c>
      <c r="D67" s="60"/>
      <c r="E67" s="60"/>
      <c r="F67" s="60"/>
      <c r="J67" s="149"/>
    </row>
    <row r="68" spans="2:10">
      <c r="B68" s="236"/>
      <c r="C68" s="131"/>
      <c r="D68" s="60"/>
      <c r="E68" s="60"/>
      <c r="F68" s="60"/>
      <c r="J68" s="149"/>
    </row>
    <row r="69" spans="2:10">
      <c r="B69" s="129"/>
      <c r="D69" s="60"/>
      <c r="E69" s="60"/>
      <c r="F69" s="60"/>
      <c r="J69" s="149"/>
    </row>
    <row r="70" spans="2:10">
      <c r="B70" s="129"/>
      <c r="D70" s="60"/>
      <c r="E70" s="60"/>
      <c r="F70" s="60"/>
      <c r="J70" s="149"/>
    </row>
    <row r="71" spans="2:10">
      <c r="B71" s="129"/>
      <c r="D71" s="60"/>
      <c r="E71" s="60"/>
      <c r="F71" s="60"/>
      <c r="J71" s="149"/>
    </row>
    <row r="72" spans="2:10">
      <c r="B72" s="129"/>
      <c r="D72" s="60"/>
      <c r="E72" s="60"/>
      <c r="F72" s="60"/>
      <c r="J72" s="149"/>
    </row>
    <row r="73" spans="2:10">
      <c r="B73" s="129"/>
      <c r="D73" s="60"/>
      <c r="E73" s="60"/>
      <c r="F73" s="60"/>
      <c r="J73" s="149"/>
    </row>
    <row r="74" spans="2:10">
      <c r="B74" s="129"/>
      <c r="C74" s="191"/>
      <c r="D74" s="60"/>
      <c r="E74" s="60"/>
      <c r="F74" s="60"/>
      <c r="H74" s="191" t="s">
        <v>251</v>
      </c>
      <c r="J74" s="149"/>
    </row>
    <row r="75" spans="2:10" ht="15.5" thickBot="1">
      <c r="B75" s="136"/>
      <c r="C75" s="137"/>
      <c r="D75" s="138"/>
      <c r="E75" s="138"/>
      <c r="F75" s="138"/>
      <c r="G75" s="137"/>
      <c r="H75" s="137"/>
      <c r="I75" s="137"/>
      <c r="J75" s="235"/>
    </row>
    <row r="76" spans="2:10" ht="14.25" customHeight="1">
      <c r="B76" s="511" t="s">
        <v>310</v>
      </c>
      <c r="C76" s="124" t="s">
        <v>311</v>
      </c>
      <c r="D76" s="124"/>
      <c r="E76" s="124"/>
      <c r="F76" s="124"/>
      <c r="G76" s="124"/>
      <c r="H76" s="124"/>
      <c r="I76" s="124"/>
      <c r="J76" s="125"/>
    </row>
    <row r="77" spans="2:10" ht="14.25" customHeight="1" thickBot="1">
      <c r="B77" s="512"/>
      <c r="C77" s="513"/>
      <c r="D77" s="514"/>
      <c r="E77" s="515"/>
      <c r="F77" s="515"/>
      <c r="G77" s="515"/>
      <c r="H77" s="515"/>
      <c r="I77" s="515"/>
      <c r="J77" s="516"/>
    </row>
    <row r="78" spans="2:10">
      <c r="B78" s="129"/>
      <c r="D78" s="60"/>
      <c r="E78" s="60"/>
      <c r="F78" s="60"/>
      <c r="J78" s="149"/>
    </row>
    <row r="79" spans="2:10">
      <c r="B79" s="236"/>
      <c r="C79" s="131"/>
      <c r="D79" s="60"/>
      <c r="E79" s="60"/>
      <c r="F79" s="60"/>
      <c r="J79" s="149"/>
    </row>
    <row r="80" spans="2:10">
      <c r="B80" s="129"/>
      <c r="D80" s="60"/>
      <c r="E80" s="60"/>
      <c r="F80" s="60"/>
      <c r="J80" s="149"/>
    </row>
    <row r="81" spans="2:10">
      <c r="B81" s="129"/>
      <c r="D81" s="60"/>
      <c r="E81" s="60"/>
      <c r="F81" s="60"/>
      <c r="J81" s="149"/>
    </row>
    <row r="82" spans="2:10">
      <c r="B82" s="129"/>
      <c r="D82" s="60"/>
      <c r="E82" s="60"/>
      <c r="F82" s="60"/>
      <c r="J82" s="149"/>
    </row>
    <row r="83" spans="2:10">
      <c r="B83" s="129"/>
      <c r="D83" s="60"/>
      <c r="E83" s="60"/>
      <c r="F83" s="60"/>
      <c r="J83" s="149"/>
    </row>
    <row r="84" spans="2:10">
      <c r="B84" s="129"/>
      <c r="C84" s="191"/>
      <c r="D84" s="60"/>
      <c r="E84" s="60"/>
      <c r="F84" s="60"/>
      <c r="H84" s="191" t="s">
        <v>254</v>
      </c>
      <c r="J84" s="149"/>
    </row>
    <row r="85" spans="2:10" ht="15.5" thickBot="1">
      <c r="B85" s="136"/>
      <c r="C85" s="137"/>
      <c r="D85" s="138"/>
      <c r="E85" s="138"/>
      <c r="F85" s="138"/>
      <c r="G85" s="137"/>
      <c r="H85" s="137"/>
      <c r="I85" s="137"/>
      <c r="J85" s="235"/>
    </row>
    <row r="86" spans="2:10" ht="14.25" customHeight="1">
      <c r="B86" s="511" t="s">
        <v>312</v>
      </c>
      <c r="C86" s="124" t="s">
        <v>313</v>
      </c>
      <c r="D86" s="124"/>
      <c r="E86" s="124"/>
      <c r="F86" s="124"/>
      <c r="G86" s="124"/>
      <c r="H86" s="124"/>
      <c r="I86" s="124"/>
      <c r="J86" s="125"/>
    </row>
    <row r="87" spans="2:10" ht="14.25" customHeight="1" thickBot="1">
      <c r="B87" s="512"/>
      <c r="C87" s="513"/>
      <c r="D87" s="514"/>
      <c r="E87" s="515"/>
      <c r="F87" s="515"/>
      <c r="G87" s="515"/>
      <c r="H87" s="515"/>
      <c r="I87" s="515"/>
      <c r="J87" s="516"/>
    </row>
    <row r="88" spans="2:10">
      <c r="B88" s="129"/>
      <c r="D88" s="60"/>
      <c r="E88" s="60"/>
      <c r="F88" s="60"/>
      <c r="J88" s="149"/>
    </row>
    <row r="89" spans="2:10">
      <c r="B89" s="236"/>
      <c r="C89" s="131"/>
      <c r="D89" s="60"/>
      <c r="E89" s="60"/>
      <c r="F89" s="60"/>
      <c r="J89" s="149"/>
    </row>
    <row r="90" spans="2:10">
      <c r="B90" s="129"/>
      <c r="D90" s="60"/>
      <c r="E90" s="60"/>
      <c r="F90" s="60"/>
      <c r="J90" s="149"/>
    </row>
    <row r="91" spans="2:10">
      <c r="B91" s="129"/>
      <c r="D91" s="60"/>
      <c r="E91" s="60"/>
      <c r="F91" s="60"/>
      <c r="J91" s="149"/>
    </row>
    <row r="92" spans="2:10">
      <c r="B92" s="129"/>
      <c r="D92" s="60"/>
      <c r="E92" s="60"/>
      <c r="F92" s="60"/>
      <c r="J92" s="149"/>
    </row>
    <row r="93" spans="2:10">
      <c r="B93" s="129"/>
      <c r="D93" s="60"/>
      <c r="E93" s="60"/>
      <c r="F93" s="60"/>
      <c r="J93" s="149"/>
    </row>
    <row r="94" spans="2:10">
      <c r="B94" s="129"/>
      <c r="C94" s="191"/>
      <c r="D94" s="60"/>
      <c r="E94" s="60"/>
      <c r="F94" s="60"/>
      <c r="H94" s="191" t="s">
        <v>254</v>
      </c>
      <c r="J94" s="149"/>
    </row>
    <row r="95" spans="2:10" ht="15.5" thickBot="1">
      <c r="B95" s="144"/>
      <c r="C95" s="145"/>
      <c r="D95" s="74"/>
      <c r="E95" s="74"/>
      <c r="F95" s="74"/>
      <c r="G95" s="145"/>
      <c r="H95" s="145"/>
      <c r="I95" s="145"/>
      <c r="J95" s="237"/>
    </row>
  </sheetData>
  <mergeCells count="18">
    <mergeCell ref="B76:B77"/>
    <mergeCell ref="C77:D77"/>
    <mergeCell ref="E77:J77"/>
    <mergeCell ref="B86:B87"/>
    <mergeCell ref="C87:D87"/>
    <mergeCell ref="E87:J87"/>
    <mergeCell ref="B52:B53"/>
    <mergeCell ref="C53:D53"/>
    <mergeCell ref="E53:J53"/>
    <mergeCell ref="B65:B66"/>
    <mergeCell ref="C66:D66"/>
    <mergeCell ref="E66:J66"/>
    <mergeCell ref="D30:I30"/>
    <mergeCell ref="B2:J2"/>
    <mergeCell ref="B4:B5"/>
    <mergeCell ref="C5:D5"/>
    <mergeCell ref="E5:J5"/>
    <mergeCell ref="D7:I7"/>
  </mergeCells>
  <phoneticPr fontId="21" type="noConversion"/>
  <hyperlinks>
    <hyperlink ref="A1" location="【TCS】!A1" display="戻る" xr:uid="{7B542ED4-0F8A-40DB-A2F8-39613FFA5EB9}"/>
  </hyperlinks>
  <pageMargins left="0.75" right="0.75" top="1" bottom="1" header="0.51200000000000001" footer="0.51200000000000001"/>
  <pageSetup paperSize="9" orientation="portrait" verticalDpi="0" r:id="rId1"/>
  <headerFooter alignWithMargins="0"/>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E8921-C5C4-42FB-9CDA-8CC5E9B2B43E}">
  <dimension ref="A1:J309"/>
  <sheetViews>
    <sheetView showGridLines="0" workbookViewId="0">
      <pane ySplit="3" topLeftCell="A4" activePane="bottomLeft" state="frozen"/>
      <selection activeCell="H40" sqref="H40"/>
      <selection pane="bottomLeft" activeCell="H40" sqref="H40"/>
    </sheetView>
  </sheetViews>
  <sheetFormatPr defaultRowHeight="15"/>
  <cols>
    <col min="1" max="1" width="3.6328125" style="28" customWidth="1"/>
    <col min="2" max="2" width="8.08984375" style="28" customWidth="1"/>
    <col min="3" max="3" width="7.26953125" style="28" customWidth="1"/>
    <col min="4" max="4" width="0.453125" style="28" hidden="1" customWidth="1"/>
    <col min="5" max="5" width="9" style="28" hidden="1" customWidth="1"/>
    <col min="6" max="9" width="9" style="28"/>
    <col min="10" max="10" width="62" style="28" customWidth="1"/>
    <col min="11" max="11" width="8.6328125" style="28" bestFit="1" customWidth="1"/>
    <col min="12" max="12" width="11.26953125" style="28" customWidth="1"/>
    <col min="13" max="13" width="14.6328125" style="28" customWidth="1"/>
    <col min="14" max="14" width="8.7265625" style="28" customWidth="1"/>
    <col min="15" max="16" width="9.7265625" style="28" customWidth="1"/>
    <col min="17" max="17" width="20" style="28" bestFit="1" customWidth="1"/>
    <col min="18" max="18" width="8" style="28" bestFit="1" customWidth="1"/>
    <col min="19" max="19" width="8.6328125" style="28" bestFit="1" customWidth="1"/>
    <col min="20" max="20" width="7.08984375" style="28" customWidth="1"/>
    <col min="21" max="21" width="17.453125" style="28" bestFit="1" customWidth="1"/>
    <col min="22" max="22" width="10.36328125" style="28" customWidth="1"/>
    <col min="23" max="23" width="7.453125" style="28" customWidth="1"/>
    <col min="24" max="24" width="9" style="28"/>
    <col min="25" max="25" width="10.36328125" style="28" customWidth="1"/>
    <col min="26" max="256" width="9" style="28"/>
    <col min="257" max="257" width="3.6328125" style="28" customWidth="1"/>
    <col min="258" max="258" width="8.08984375" style="28" customWidth="1"/>
    <col min="259" max="259" width="7.26953125" style="28" customWidth="1"/>
    <col min="260" max="261" width="0" style="28" hidden="1" customWidth="1"/>
    <col min="262" max="265" width="9" style="28"/>
    <col min="266" max="266" width="62" style="28" customWidth="1"/>
    <col min="267" max="267" width="8.6328125" style="28" bestFit="1" customWidth="1"/>
    <col min="268" max="268" width="11.26953125" style="28" customWidth="1"/>
    <col min="269" max="269" width="14.6328125" style="28" customWidth="1"/>
    <col min="270" max="270" width="8.7265625" style="28" customWidth="1"/>
    <col min="271" max="272" width="9.7265625" style="28" customWidth="1"/>
    <col min="273" max="273" width="20" style="28" bestFit="1" customWidth="1"/>
    <col min="274" max="274" width="8" style="28" bestFit="1" customWidth="1"/>
    <col min="275" max="275" width="8.6328125" style="28" bestFit="1" customWidth="1"/>
    <col min="276" max="276" width="7.08984375" style="28" customWidth="1"/>
    <col min="277" max="277" width="17.453125" style="28" bestFit="1" customWidth="1"/>
    <col min="278" max="278" width="10.36328125" style="28" customWidth="1"/>
    <col min="279" max="279" width="7.453125" style="28" customWidth="1"/>
    <col min="280" max="280" width="9" style="28"/>
    <col min="281" max="281" width="10.36328125" style="28" customWidth="1"/>
    <col min="282" max="512" width="9" style="28"/>
    <col min="513" max="513" width="3.6328125" style="28" customWidth="1"/>
    <col min="514" max="514" width="8.08984375" style="28" customWidth="1"/>
    <col min="515" max="515" width="7.26953125" style="28" customWidth="1"/>
    <col min="516" max="517" width="0" style="28" hidden="1" customWidth="1"/>
    <col min="518" max="521" width="9" style="28"/>
    <col min="522" max="522" width="62" style="28" customWidth="1"/>
    <col min="523" max="523" width="8.6328125" style="28" bestFit="1" customWidth="1"/>
    <col min="524" max="524" width="11.26953125" style="28" customWidth="1"/>
    <col min="525" max="525" width="14.6328125" style="28" customWidth="1"/>
    <col min="526" max="526" width="8.7265625" style="28" customWidth="1"/>
    <col min="527" max="528" width="9.7265625" style="28" customWidth="1"/>
    <col min="529" max="529" width="20" style="28" bestFit="1" customWidth="1"/>
    <col min="530" max="530" width="8" style="28" bestFit="1" customWidth="1"/>
    <col min="531" max="531" width="8.6328125" style="28" bestFit="1" customWidth="1"/>
    <col min="532" max="532" width="7.08984375" style="28" customWidth="1"/>
    <col min="533" max="533" width="17.453125" style="28" bestFit="1" customWidth="1"/>
    <col min="534" max="534" width="10.36328125" style="28" customWidth="1"/>
    <col min="535" max="535" width="7.453125" style="28" customWidth="1"/>
    <col min="536" max="536" width="9" style="28"/>
    <col min="537" max="537" width="10.36328125" style="28" customWidth="1"/>
    <col min="538" max="768" width="9" style="28"/>
    <col min="769" max="769" width="3.6328125" style="28" customWidth="1"/>
    <col min="770" max="770" width="8.08984375" style="28" customWidth="1"/>
    <col min="771" max="771" width="7.26953125" style="28" customWidth="1"/>
    <col min="772" max="773" width="0" style="28" hidden="1" customWidth="1"/>
    <col min="774" max="777" width="9" style="28"/>
    <col min="778" max="778" width="62" style="28" customWidth="1"/>
    <col min="779" max="779" width="8.6328125" style="28" bestFit="1" customWidth="1"/>
    <col min="780" max="780" width="11.26953125" style="28" customWidth="1"/>
    <col min="781" max="781" width="14.6328125" style="28" customWidth="1"/>
    <col min="782" max="782" width="8.7265625" style="28" customWidth="1"/>
    <col min="783" max="784" width="9.7265625" style="28" customWidth="1"/>
    <col min="785" max="785" width="20" style="28" bestFit="1" customWidth="1"/>
    <col min="786" max="786" width="8" style="28" bestFit="1" customWidth="1"/>
    <col min="787" max="787" width="8.6328125" style="28" bestFit="1" customWidth="1"/>
    <col min="788" max="788" width="7.08984375" style="28" customWidth="1"/>
    <col min="789" max="789" width="17.453125" style="28" bestFit="1" customWidth="1"/>
    <col min="790" max="790" width="10.36328125" style="28" customWidth="1"/>
    <col min="791" max="791" width="7.453125" style="28" customWidth="1"/>
    <col min="792" max="792" width="9" style="28"/>
    <col min="793" max="793" width="10.36328125" style="28" customWidth="1"/>
    <col min="794" max="1024" width="9" style="28"/>
    <col min="1025" max="1025" width="3.6328125" style="28" customWidth="1"/>
    <col min="1026" max="1026" width="8.08984375" style="28" customWidth="1"/>
    <col min="1027" max="1027" width="7.26953125" style="28" customWidth="1"/>
    <col min="1028" max="1029" width="0" style="28" hidden="1" customWidth="1"/>
    <col min="1030" max="1033" width="9" style="28"/>
    <col min="1034" max="1034" width="62" style="28" customWidth="1"/>
    <col min="1035" max="1035" width="8.6328125" style="28" bestFit="1" customWidth="1"/>
    <col min="1036" max="1036" width="11.26953125" style="28" customWidth="1"/>
    <col min="1037" max="1037" width="14.6328125" style="28" customWidth="1"/>
    <col min="1038" max="1038" width="8.7265625" style="28" customWidth="1"/>
    <col min="1039" max="1040" width="9.7265625" style="28" customWidth="1"/>
    <col min="1041" max="1041" width="20" style="28" bestFit="1" customWidth="1"/>
    <col min="1042" max="1042" width="8" style="28" bestFit="1" customWidth="1"/>
    <col min="1043" max="1043" width="8.6328125" style="28" bestFit="1" customWidth="1"/>
    <col min="1044" max="1044" width="7.08984375" style="28" customWidth="1"/>
    <col min="1045" max="1045" width="17.453125" style="28" bestFit="1" customWidth="1"/>
    <col min="1046" max="1046" width="10.36328125" style="28" customWidth="1"/>
    <col min="1047" max="1047" width="7.453125" style="28" customWidth="1"/>
    <col min="1048" max="1048" width="9" style="28"/>
    <col min="1049" max="1049" width="10.36328125" style="28" customWidth="1"/>
    <col min="1050" max="1280" width="9" style="28"/>
    <col min="1281" max="1281" width="3.6328125" style="28" customWidth="1"/>
    <col min="1282" max="1282" width="8.08984375" style="28" customWidth="1"/>
    <col min="1283" max="1283" width="7.26953125" style="28" customWidth="1"/>
    <col min="1284" max="1285" width="0" style="28" hidden="1" customWidth="1"/>
    <col min="1286" max="1289" width="9" style="28"/>
    <col min="1290" max="1290" width="62" style="28" customWidth="1"/>
    <col min="1291" max="1291" width="8.6328125" style="28" bestFit="1" customWidth="1"/>
    <col min="1292" max="1292" width="11.26953125" style="28" customWidth="1"/>
    <col min="1293" max="1293" width="14.6328125" style="28" customWidth="1"/>
    <col min="1294" max="1294" width="8.7265625" style="28" customWidth="1"/>
    <col min="1295" max="1296" width="9.7265625" style="28" customWidth="1"/>
    <col min="1297" max="1297" width="20" style="28" bestFit="1" customWidth="1"/>
    <col min="1298" max="1298" width="8" style="28" bestFit="1" customWidth="1"/>
    <col min="1299" max="1299" width="8.6328125" style="28" bestFit="1" customWidth="1"/>
    <col min="1300" max="1300" width="7.08984375" style="28" customWidth="1"/>
    <col min="1301" max="1301" width="17.453125" style="28" bestFit="1" customWidth="1"/>
    <col min="1302" max="1302" width="10.36328125" style="28" customWidth="1"/>
    <col min="1303" max="1303" width="7.453125" style="28" customWidth="1"/>
    <col min="1304" max="1304" width="9" style="28"/>
    <col min="1305" max="1305" width="10.36328125" style="28" customWidth="1"/>
    <col min="1306" max="1536" width="9" style="28"/>
    <col min="1537" max="1537" width="3.6328125" style="28" customWidth="1"/>
    <col min="1538" max="1538" width="8.08984375" style="28" customWidth="1"/>
    <col min="1539" max="1539" width="7.26953125" style="28" customWidth="1"/>
    <col min="1540" max="1541" width="0" style="28" hidden="1" customWidth="1"/>
    <col min="1542" max="1545" width="9" style="28"/>
    <col min="1546" max="1546" width="62" style="28" customWidth="1"/>
    <col min="1547" max="1547" width="8.6328125" style="28" bestFit="1" customWidth="1"/>
    <col min="1548" max="1548" width="11.26953125" style="28" customWidth="1"/>
    <col min="1549" max="1549" width="14.6328125" style="28" customWidth="1"/>
    <col min="1550" max="1550" width="8.7265625" style="28" customWidth="1"/>
    <col min="1551" max="1552" width="9.7265625" style="28" customWidth="1"/>
    <col min="1553" max="1553" width="20" style="28" bestFit="1" customWidth="1"/>
    <col min="1554" max="1554" width="8" style="28" bestFit="1" customWidth="1"/>
    <col min="1555" max="1555" width="8.6328125" style="28" bestFit="1" customWidth="1"/>
    <col min="1556" max="1556" width="7.08984375" style="28" customWidth="1"/>
    <col min="1557" max="1557" width="17.453125" style="28" bestFit="1" customWidth="1"/>
    <col min="1558" max="1558" width="10.36328125" style="28" customWidth="1"/>
    <col min="1559" max="1559" width="7.453125" style="28" customWidth="1"/>
    <col min="1560" max="1560" width="9" style="28"/>
    <col min="1561" max="1561" width="10.36328125" style="28" customWidth="1"/>
    <col min="1562" max="1792" width="9" style="28"/>
    <col min="1793" max="1793" width="3.6328125" style="28" customWidth="1"/>
    <col min="1794" max="1794" width="8.08984375" style="28" customWidth="1"/>
    <col min="1795" max="1795" width="7.26953125" style="28" customWidth="1"/>
    <col min="1796" max="1797" width="0" style="28" hidden="1" customWidth="1"/>
    <col min="1798" max="1801" width="9" style="28"/>
    <col min="1802" max="1802" width="62" style="28" customWidth="1"/>
    <col min="1803" max="1803" width="8.6328125" style="28" bestFit="1" customWidth="1"/>
    <col min="1804" max="1804" width="11.26953125" style="28" customWidth="1"/>
    <col min="1805" max="1805" width="14.6328125" style="28" customWidth="1"/>
    <col min="1806" max="1806" width="8.7265625" style="28" customWidth="1"/>
    <col min="1807" max="1808" width="9.7265625" style="28" customWidth="1"/>
    <col min="1809" max="1809" width="20" style="28" bestFit="1" customWidth="1"/>
    <col min="1810" max="1810" width="8" style="28" bestFit="1" customWidth="1"/>
    <col min="1811" max="1811" width="8.6328125" style="28" bestFit="1" customWidth="1"/>
    <col min="1812" max="1812" width="7.08984375" style="28" customWidth="1"/>
    <col min="1813" max="1813" width="17.453125" style="28" bestFit="1" customWidth="1"/>
    <col min="1814" max="1814" width="10.36328125" style="28" customWidth="1"/>
    <col min="1815" max="1815" width="7.453125" style="28" customWidth="1"/>
    <col min="1816" max="1816" width="9" style="28"/>
    <col min="1817" max="1817" width="10.36328125" style="28" customWidth="1"/>
    <col min="1818" max="2048" width="9" style="28"/>
    <col min="2049" max="2049" width="3.6328125" style="28" customWidth="1"/>
    <col min="2050" max="2050" width="8.08984375" style="28" customWidth="1"/>
    <col min="2051" max="2051" width="7.26953125" style="28" customWidth="1"/>
    <col min="2052" max="2053" width="0" style="28" hidden="1" customWidth="1"/>
    <col min="2054" max="2057" width="9" style="28"/>
    <col min="2058" max="2058" width="62" style="28" customWidth="1"/>
    <col min="2059" max="2059" width="8.6328125" style="28" bestFit="1" customWidth="1"/>
    <col min="2060" max="2060" width="11.26953125" style="28" customWidth="1"/>
    <col min="2061" max="2061" width="14.6328125" style="28" customWidth="1"/>
    <col min="2062" max="2062" width="8.7265625" style="28" customWidth="1"/>
    <col min="2063" max="2064" width="9.7265625" style="28" customWidth="1"/>
    <col min="2065" max="2065" width="20" style="28" bestFit="1" customWidth="1"/>
    <col min="2066" max="2066" width="8" style="28" bestFit="1" customWidth="1"/>
    <col min="2067" max="2067" width="8.6328125" style="28" bestFit="1" customWidth="1"/>
    <col min="2068" max="2068" width="7.08984375" style="28" customWidth="1"/>
    <col min="2069" max="2069" width="17.453125" style="28" bestFit="1" customWidth="1"/>
    <col min="2070" max="2070" width="10.36328125" style="28" customWidth="1"/>
    <col min="2071" max="2071" width="7.453125" style="28" customWidth="1"/>
    <col min="2072" max="2072" width="9" style="28"/>
    <col min="2073" max="2073" width="10.36328125" style="28" customWidth="1"/>
    <col min="2074" max="2304" width="9" style="28"/>
    <col min="2305" max="2305" width="3.6328125" style="28" customWidth="1"/>
    <col min="2306" max="2306" width="8.08984375" style="28" customWidth="1"/>
    <col min="2307" max="2307" width="7.26953125" style="28" customWidth="1"/>
    <col min="2308" max="2309" width="0" style="28" hidden="1" customWidth="1"/>
    <col min="2310" max="2313" width="9" style="28"/>
    <col min="2314" max="2314" width="62" style="28" customWidth="1"/>
    <col min="2315" max="2315" width="8.6328125" style="28" bestFit="1" customWidth="1"/>
    <col min="2316" max="2316" width="11.26953125" style="28" customWidth="1"/>
    <col min="2317" max="2317" width="14.6328125" style="28" customWidth="1"/>
    <col min="2318" max="2318" width="8.7265625" style="28" customWidth="1"/>
    <col min="2319" max="2320" width="9.7265625" style="28" customWidth="1"/>
    <col min="2321" max="2321" width="20" style="28" bestFit="1" customWidth="1"/>
    <col min="2322" max="2322" width="8" style="28" bestFit="1" customWidth="1"/>
    <col min="2323" max="2323" width="8.6328125" style="28" bestFit="1" customWidth="1"/>
    <col min="2324" max="2324" width="7.08984375" style="28" customWidth="1"/>
    <col min="2325" max="2325" width="17.453125" style="28" bestFit="1" customWidth="1"/>
    <col min="2326" max="2326" width="10.36328125" style="28" customWidth="1"/>
    <col min="2327" max="2327" width="7.453125" style="28" customWidth="1"/>
    <col min="2328" max="2328" width="9" style="28"/>
    <col min="2329" max="2329" width="10.36328125" style="28" customWidth="1"/>
    <col min="2330" max="2560" width="9" style="28"/>
    <col min="2561" max="2561" width="3.6328125" style="28" customWidth="1"/>
    <col min="2562" max="2562" width="8.08984375" style="28" customWidth="1"/>
    <col min="2563" max="2563" width="7.26953125" style="28" customWidth="1"/>
    <col min="2564" max="2565" width="0" style="28" hidden="1" customWidth="1"/>
    <col min="2566" max="2569" width="9" style="28"/>
    <col min="2570" max="2570" width="62" style="28" customWidth="1"/>
    <col min="2571" max="2571" width="8.6328125" style="28" bestFit="1" customWidth="1"/>
    <col min="2572" max="2572" width="11.26953125" style="28" customWidth="1"/>
    <col min="2573" max="2573" width="14.6328125" style="28" customWidth="1"/>
    <col min="2574" max="2574" width="8.7265625" style="28" customWidth="1"/>
    <col min="2575" max="2576" width="9.7265625" style="28" customWidth="1"/>
    <col min="2577" max="2577" width="20" style="28" bestFit="1" customWidth="1"/>
    <col min="2578" max="2578" width="8" style="28" bestFit="1" customWidth="1"/>
    <col min="2579" max="2579" width="8.6328125" style="28" bestFit="1" customWidth="1"/>
    <col min="2580" max="2580" width="7.08984375" style="28" customWidth="1"/>
    <col min="2581" max="2581" width="17.453125" style="28" bestFit="1" customWidth="1"/>
    <col min="2582" max="2582" width="10.36328125" style="28" customWidth="1"/>
    <col min="2583" max="2583" width="7.453125" style="28" customWidth="1"/>
    <col min="2584" max="2584" width="9" style="28"/>
    <col min="2585" max="2585" width="10.36328125" style="28" customWidth="1"/>
    <col min="2586" max="2816" width="9" style="28"/>
    <col min="2817" max="2817" width="3.6328125" style="28" customWidth="1"/>
    <col min="2818" max="2818" width="8.08984375" style="28" customWidth="1"/>
    <col min="2819" max="2819" width="7.26953125" style="28" customWidth="1"/>
    <col min="2820" max="2821" width="0" style="28" hidden="1" customWidth="1"/>
    <col min="2822" max="2825" width="9" style="28"/>
    <col min="2826" max="2826" width="62" style="28" customWidth="1"/>
    <col min="2827" max="2827" width="8.6328125" style="28" bestFit="1" customWidth="1"/>
    <col min="2828" max="2828" width="11.26953125" style="28" customWidth="1"/>
    <col min="2829" max="2829" width="14.6328125" style="28" customWidth="1"/>
    <col min="2830" max="2830" width="8.7265625" style="28" customWidth="1"/>
    <col min="2831" max="2832" width="9.7265625" style="28" customWidth="1"/>
    <col min="2833" max="2833" width="20" style="28" bestFit="1" customWidth="1"/>
    <col min="2834" max="2834" width="8" style="28" bestFit="1" customWidth="1"/>
    <col min="2835" max="2835" width="8.6328125" style="28" bestFit="1" customWidth="1"/>
    <col min="2836" max="2836" width="7.08984375" style="28" customWidth="1"/>
    <col min="2837" max="2837" width="17.453125" style="28" bestFit="1" customWidth="1"/>
    <col min="2838" max="2838" width="10.36328125" style="28" customWidth="1"/>
    <col min="2839" max="2839" width="7.453125" style="28" customWidth="1"/>
    <col min="2840" max="2840" width="9" style="28"/>
    <col min="2841" max="2841" width="10.36328125" style="28" customWidth="1"/>
    <col min="2842" max="3072" width="9" style="28"/>
    <col min="3073" max="3073" width="3.6328125" style="28" customWidth="1"/>
    <col min="3074" max="3074" width="8.08984375" style="28" customWidth="1"/>
    <col min="3075" max="3075" width="7.26953125" style="28" customWidth="1"/>
    <col min="3076" max="3077" width="0" style="28" hidden="1" customWidth="1"/>
    <col min="3078" max="3081" width="9" style="28"/>
    <col min="3082" max="3082" width="62" style="28" customWidth="1"/>
    <col min="3083" max="3083" width="8.6328125" style="28" bestFit="1" customWidth="1"/>
    <col min="3084" max="3084" width="11.26953125" style="28" customWidth="1"/>
    <col min="3085" max="3085" width="14.6328125" style="28" customWidth="1"/>
    <col min="3086" max="3086" width="8.7265625" style="28" customWidth="1"/>
    <col min="3087" max="3088" width="9.7265625" style="28" customWidth="1"/>
    <col min="3089" max="3089" width="20" style="28" bestFit="1" customWidth="1"/>
    <col min="3090" max="3090" width="8" style="28" bestFit="1" customWidth="1"/>
    <col min="3091" max="3091" width="8.6328125" style="28" bestFit="1" customWidth="1"/>
    <col min="3092" max="3092" width="7.08984375" style="28" customWidth="1"/>
    <col min="3093" max="3093" width="17.453125" style="28" bestFit="1" customWidth="1"/>
    <col min="3094" max="3094" width="10.36328125" style="28" customWidth="1"/>
    <col min="3095" max="3095" width="7.453125" style="28" customWidth="1"/>
    <col min="3096" max="3096" width="9" style="28"/>
    <col min="3097" max="3097" width="10.36328125" style="28" customWidth="1"/>
    <col min="3098" max="3328" width="9" style="28"/>
    <col min="3329" max="3329" width="3.6328125" style="28" customWidth="1"/>
    <col min="3330" max="3330" width="8.08984375" style="28" customWidth="1"/>
    <col min="3331" max="3331" width="7.26953125" style="28" customWidth="1"/>
    <col min="3332" max="3333" width="0" style="28" hidden="1" customWidth="1"/>
    <col min="3334" max="3337" width="9" style="28"/>
    <col min="3338" max="3338" width="62" style="28" customWidth="1"/>
    <col min="3339" max="3339" width="8.6328125" style="28" bestFit="1" customWidth="1"/>
    <col min="3340" max="3340" width="11.26953125" style="28" customWidth="1"/>
    <col min="3341" max="3341" width="14.6328125" style="28" customWidth="1"/>
    <col min="3342" max="3342" width="8.7265625" style="28" customWidth="1"/>
    <col min="3343" max="3344" width="9.7265625" style="28" customWidth="1"/>
    <col min="3345" max="3345" width="20" style="28" bestFit="1" customWidth="1"/>
    <col min="3346" max="3346" width="8" style="28" bestFit="1" customWidth="1"/>
    <col min="3347" max="3347" width="8.6328125" style="28" bestFit="1" customWidth="1"/>
    <col min="3348" max="3348" width="7.08984375" style="28" customWidth="1"/>
    <col min="3349" max="3349" width="17.453125" style="28" bestFit="1" customWidth="1"/>
    <col min="3350" max="3350" width="10.36328125" style="28" customWidth="1"/>
    <col min="3351" max="3351" width="7.453125" style="28" customWidth="1"/>
    <col min="3352" max="3352" width="9" style="28"/>
    <col min="3353" max="3353" width="10.36328125" style="28" customWidth="1"/>
    <col min="3354" max="3584" width="9" style="28"/>
    <col min="3585" max="3585" width="3.6328125" style="28" customWidth="1"/>
    <col min="3586" max="3586" width="8.08984375" style="28" customWidth="1"/>
    <col min="3587" max="3587" width="7.26953125" style="28" customWidth="1"/>
    <col min="3588" max="3589" width="0" style="28" hidden="1" customWidth="1"/>
    <col min="3590" max="3593" width="9" style="28"/>
    <col min="3594" max="3594" width="62" style="28" customWidth="1"/>
    <col min="3595" max="3595" width="8.6328125" style="28" bestFit="1" customWidth="1"/>
    <col min="3596" max="3596" width="11.26953125" style="28" customWidth="1"/>
    <col min="3597" max="3597" width="14.6328125" style="28" customWidth="1"/>
    <col min="3598" max="3598" width="8.7265625" style="28" customWidth="1"/>
    <col min="3599" max="3600" width="9.7265625" style="28" customWidth="1"/>
    <col min="3601" max="3601" width="20" style="28" bestFit="1" customWidth="1"/>
    <col min="3602" max="3602" width="8" style="28" bestFit="1" customWidth="1"/>
    <col min="3603" max="3603" width="8.6328125" style="28" bestFit="1" customWidth="1"/>
    <col min="3604" max="3604" width="7.08984375" style="28" customWidth="1"/>
    <col min="3605" max="3605" width="17.453125" style="28" bestFit="1" customWidth="1"/>
    <col min="3606" max="3606" width="10.36328125" style="28" customWidth="1"/>
    <col min="3607" max="3607" width="7.453125" style="28" customWidth="1"/>
    <col min="3608" max="3608" width="9" style="28"/>
    <col min="3609" max="3609" width="10.36328125" style="28" customWidth="1"/>
    <col min="3610" max="3840" width="9" style="28"/>
    <col min="3841" max="3841" width="3.6328125" style="28" customWidth="1"/>
    <col min="3842" max="3842" width="8.08984375" style="28" customWidth="1"/>
    <col min="3843" max="3843" width="7.26953125" style="28" customWidth="1"/>
    <col min="3844" max="3845" width="0" style="28" hidden="1" customWidth="1"/>
    <col min="3846" max="3849" width="9" style="28"/>
    <col min="3850" max="3850" width="62" style="28" customWidth="1"/>
    <col min="3851" max="3851" width="8.6328125" style="28" bestFit="1" customWidth="1"/>
    <col min="3852" max="3852" width="11.26953125" style="28" customWidth="1"/>
    <col min="3853" max="3853" width="14.6328125" style="28" customWidth="1"/>
    <col min="3854" max="3854" width="8.7265625" style="28" customWidth="1"/>
    <col min="3855" max="3856" width="9.7265625" style="28" customWidth="1"/>
    <col min="3857" max="3857" width="20" style="28" bestFit="1" customWidth="1"/>
    <col min="3858" max="3858" width="8" style="28" bestFit="1" customWidth="1"/>
    <col min="3859" max="3859" width="8.6328125" style="28" bestFit="1" customWidth="1"/>
    <col min="3860" max="3860" width="7.08984375" style="28" customWidth="1"/>
    <col min="3861" max="3861" width="17.453125" style="28" bestFit="1" customWidth="1"/>
    <col min="3862" max="3862" width="10.36328125" style="28" customWidth="1"/>
    <col min="3863" max="3863" width="7.453125" style="28" customWidth="1"/>
    <col min="3864" max="3864" width="9" style="28"/>
    <col min="3865" max="3865" width="10.36328125" style="28" customWidth="1"/>
    <col min="3866" max="4096" width="9" style="28"/>
    <col min="4097" max="4097" width="3.6328125" style="28" customWidth="1"/>
    <col min="4098" max="4098" width="8.08984375" style="28" customWidth="1"/>
    <col min="4099" max="4099" width="7.26953125" style="28" customWidth="1"/>
    <col min="4100" max="4101" width="0" style="28" hidden="1" customWidth="1"/>
    <col min="4102" max="4105" width="9" style="28"/>
    <col min="4106" max="4106" width="62" style="28" customWidth="1"/>
    <col min="4107" max="4107" width="8.6328125" style="28" bestFit="1" customWidth="1"/>
    <col min="4108" max="4108" width="11.26953125" style="28" customWidth="1"/>
    <col min="4109" max="4109" width="14.6328125" style="28" customWidth="1"/>
    <col min="4110" max="4110" width="8.7265625" style="28" customWidth="1"/>
    <col min="4111" max="4112" width="9.7265625" style="28" customWidth="1"/>
    <col min="4113" max="4113" width="20" style="28" bestFit="1" customWidth="1"/>
    <col min="4114" max="4114" width="8" style="28" bestFit="1" customWidth="1"/>
    <col min="4115" max="4115" width="8.6328125" style="28" bestFit="1" customWidth="1"/>
    <col min="4116" max="4116" width="7.08984375" style="28" customWidth="1"/>
    <col min="4117" max="4117" width="17.453125" style="28" bestFit="1" customWidth="1"/>
    <col min="4118" max="4118" width="10.36328125" style="28" customWidth="1"/>
    <col min="4119" max="4119" width="7.453125" style="28" customWidth="1"/>
    <col min="4120" max="4120" width="9" style="28"/>
    <col min="4121" max="4121" width="10.36328125" style="28" customWidth="1"/>
    <col min="4122" max="4352" width="9" style="28"/>
    <col min="4353" max="4353" width="3.6328125" style="28" customWidth="1"/>
    <col min="4354" max="4354" width="8.08984375" style="28" customWidth="1"/>
    <col min="4355" max="4355" width="7.26953125" style="28" customWidth="1"/>
    <col min="4356" max="4357" width="0" style="28" hidden="1" customWidth="1"/>
    <col min="4358" max="4361" width="9" style="28"/>
    <col min="4362" max="4362" width="62" style="28" customWidth="1"/>
    <col min="4363" max="4363" width="8.6328125" style="28" bestFit="1" customWidth="1"/>
    <col min="4364" max="4364" width="11.26953125" style="28" customWidth="1"/>
    <col min="4365" max="4365" width="14.6328125" style="28" customWidth="1"/>
    <col min="4366" max="4366" width="8.7265625" style="28" customWidth="1"/>
    <col min="4367" max="4368" width="9.7265625" style="28" customWidth="1"/>
    <col min="4369" max="4369" width="20" style="28" bestFit="1" customWidth="1"/>
    <col min="4370" max="4370" width="8" style="28" bestFit="1" customWidth="1"/>
    <col min="4371" max="4371" width="8.6328125" style="28" bestFit="1" customWidth="1"/>
    <col min="4372" max="4372" width="7.08984375" style="28" customWidth="1"/>
    <col min="4373" max="4373" width="17.453125" style="28" bestFit="1" customWidth="1"/>
    <col min="4374" max="4374" width="10.36328125" style="28" customWidth="1"/>
    <col min="4375" max="4375" width="7.453125" style="28" customWidth="1"/>
    <col min="4376" max="4376" width="9" style="28"/>
    <col min="4377" max="4377" width="10.36328125" style="28" customWidth="1"/>
    <col min="4378" max="4608" width="9" style="28"/>
    <col min="4609" max="4609" width="3.6328125" style="28" customWidth="1"/>
    <col min="4610" max="4610" width="8.08984375" style="28" customWidth="1"/>
    <col min="4611" max="4611" width="7.26953125" style="28" customWidth="1"/>
    <col min="4612" max="4613" width="0" style="28" hidden="1" customWidth="1"/>
    <col min="4614" max="4617" width="9" style="28"/>
    <col min="4618" max="4618" width="62" style="28" customWidth="1"/>
    <col min="4619" max="4619" width="8.6328125" style="28" bestFit="1" customWidth="1"/>
    <col min="4620" max="4620" width="11.26953125" style="28" customWidth="1"/>
    <col min="4621" max="4621" width="14.6328125" style="28" customWidth="1"/>
    <col min="4622" max="4622" width="8.7265625" style="28" customWidth="1"/>
    <col min="4623" max="4624" width="9.7265625" style="28" customWidth="1"/>
    <col min="4625" max="4625" width="20" style="28" bestFit="1" customWidth="1"/>
    <col min="4626" max="4626" width="8" style="28" bestFit="1" customWidth="1"/>
    <col min="4627" max="4627" width="8.6328125" style="28" bestFit="1" customWidth="1"/>
    <col min="4628" max="4628" width="7.08984375" style="28" customWidth="1"/>
    <col min="4629" max="4629" width="17.453125" style="28" bestFit="1" customWidth="1"/>
    <col min="4630" max="4630" width="10.36328125" style="28" customWidth="1"/>
    <col min="4631" max="4631" width="7.453125" style="28" customWidth="1"/>
    <col min="4632" max="4632" width="9" style="28"/>
    <col min="4633" max="4633" width="10.36328125" style="28" customWidth="1"/>
    <col min="4634" max="4864" width="9" style="28"/>
    <col min="4865" max="4865" width="3.6328125" style="28" customWidth="1"/>
    <col min="4866" max="4866" width="8.08984375" style="28" customWidth="1"/>
    <col min="4867" max="4867" width="7.26953125" style="28" customWidth="1"/>
    <col min="4868" max="4869" width="0" style="28" hidden="1" customWidth="1"/>
    <col min="4870" max="4873" width="9" style="28"/>
    <col min="4874" max="4874" width="62" style="28" customWidth="1"/>
    <col min="4875" max="4875" width="8.6328125" style="28" bestFit="1" customWidth="1"/>
    <col min="4876" max="4876" width="11.26953125" style="28" customWidth="1"/>
    <col min="4877" max="4877" width="14.6328125" style="28" customWidth="1"/>
    <col min="4878" max="4878" width="8.7265625" style="28" customWidth="1"/>
    <col min="4879" max="4880" width="9.7265625" style="28" customWidth="1"/>
    <col min="4881" max="4881" width="20" style="28" bestFit="1" customWidth="1"/>
    <col min="4882" max="4882" width="8" style="28" bestFit="1" customWidth="1"/>
    <col min="4883" max="4883" width="8.6328125" style="28" bestFit="1" customWidth="1"/>
    <col min="4884" max="4884" width="7.08984375" style="28" customWidth="1"/>
    <col min="4885" max="4885" width="17.453125" style="28" bestFit="1" customWidth="1"/>
    <col min="4886" max="4886" width="10.36328125" style="28" customWidth="1"/>
    <col min="4887" max="4887" width="7.453125" style="28" customWidth="1"/>
    <col min="4888" max="4888" width="9" style="28"/>
    <col min="4889" max="4889" width="10.36328125" style="28" customWidth="1"/>
    <col min="4890" max="5120" width="9" style="28"/>
    <col min="5121" max="5121" width="3.6328125" style="28" customWidth="1"/>
    <col min="5122" max="5122" width="8.08984375" style="28" customWidth="1"/>
    <col min="5123" max="5123" width="7.26953125" style="28" customWidth="1"/>
    <col min="5124" max="5125" width="0" style="28" hidden="1" customWidth="1"/>
    <col min="5126" max="5129" width="9" style="28"/>
    <col min="5130" max="5130" width="62" style="28" customWidth="1"/>
    <col min="5131" max="5131" width="8.6328125" style="28" bestFit="1" customWidth="1"/>
    <col min="5132" max="5132" width="11.26953125" style="28" customWidth="1"/>
    <col min="5133" max="5133" width="14.6328125" style="28" customWidth="1"/>
    <col min="5134" max="5134" width="8.7265625" style="28" customWidth="1"/>
    <col min="5135" max="5136" width="9.7265625" style="28" customWidth="1"/>
    <col min="5137" max="5137" width="20" style="28" bestFit="1" customWidth="1"/>
    <col min="5138" max="5138" width="8" style="28" bestFit="1" customWidth="1"/>
    <col min="5139" max="5139" width="8.6328125" style="28" bestFit="1" customWidth="1"/>
    <col min="5140" max="5140" width="7.08984375" style="28" customWidth="1"/>
    <col min="5141" max="5141" width="17.453125" style="28" bestFit="1" customWidth="1"/>
    <col min="5142" max="5142" width="10.36328125" style="28" customWidth="1"/>
    <col min="5143" max="5143" width="7.453125" style="28" customWidth="1"/>
    <col min="5144" max="5144" width="9" style="28"/>
    <col min="5145" max="5145" width="10.36328125" style="28" customWidth="1"/>
    <col min="5146" max="5376" width="9" style="28"/>
    <col min="5377" max="5377" width="3.6328125" style="28" customWidth="1"/>
    <col min="5378" max="5378" width="8.08984375" style="28" customWidth="1"/>
    <col min="5379" max="5379" width="7.26953125" style="28" customWidth="1"/>
    <col min="5380" max="5381" width="0" style="28" hidden="1" customWidth="1"/>
    <col min="5382" max="5385" width="9" style="28"/>
    <col min="5386" max="5386" width="62" style="28" customWidth="1"/>
    <col min="5387" max="5387" width="8.6328125" style="28" bestFit="1" customWidth="1"/>
    <col min="5388" max="5388" width="11.26953125" style="28" customWidth="1"/>
    <col min="5389" max="5389" width="14.6328125" style="28" customWidth="1"/>
    <col min="5390" max="5390" width="8.7265625" style="28" customWidth="1"/>
    <col min="5391" max="5392" width="9.7265625" style="28" customWidth="1"/>
    <col min="5393" max="5393" width="20" style="28" bestFit="1" customWidth="1"/>
    <col min="5394" max="5394" width="8" style="28" bestFit="1" customWidth="1"/>
    <col min="5395" max="5395" width="8.6328125" style="28" bestFit="1" customWidth="1"/>
    <col min="5396" max="5396" width="7.08984375" style="28" customWidth="1"/>
    <col min="5397" max="5397" width="17.453125" style="28" bestFit="1" customWidth="1"/>
    <col min="5398" max="5398" width="10.36328125" style="28" customWidth="1"/>
    <col min="5399" max="5399" width="7.453125" style="28" customWidth="1"/>
    <col min="5400" max="5400" width="9" style="28"/>
    <col min="5401" max="5401" width="10.36328125" style="28" customWidth="1"/>
    <col min="5402" max="5632" width="9" style="28"/>
    <col min="5633" max="5633" width="3.6328125" style="28" customWidth="1"/>
    <col min="5634" max="5634" width="8.08984375" style="28" customWidth="1"/>
    <col min="5635" max="5635" width="7.26953125" style="28" customWidth="1"/>
    <col min="5636" max="5637" width="0" style="28" hidden="1" customWidth="1"/>
    <col min="5638" max="5641" width="9" style="28"/>
    <col min="5642" max="5642" width="62" style="28" customWidth="1"/>
    <col min="5643" max="5643" width="8.6328125" style="28" bestFit="1" customWidth="1"/>
    <col min="5644" max="5644" width="11.26953125" style="28" customWidth="1"/>
    <col min="5645" max="5645" width="14.6328125" style="28" customWidth="1"/>
    <col min="5646" max="5646" width="8.7265625" style="28" customWidth="1"/>
    <col min="5647" max="5648" width="9.7265625" style="28" customWidth="1"/>
    <col min="5649" max="5649" width="20" style="28" bestFit="1" customWidth="1"/>
    <col min="5650" max="5650" width="8" style="28" bestFit="1" customWidth="1"/>
    <col min="5651" max="5651" width="8.6328125" style="28" bestFit="1" customWidth="1"/>
    <col min="5652" max="5652" width="7.08984375" style="28" customWidth="1"/>
    <col min="5653" max="5653" width="17.453125" style="28" bestFit="1" customWidth="1"/>
    <col min="5654" max="5654" width="10.36328125" style="28" customWidth="1"/>
    <col min="5655" max="5655" width="7.453125" style="28" customWidth="1"/>
    <col min="5656" max="5656" width="9" style="28"/>
    <col min="5657" max="5657" width="10.36328125" style="28" customWidth="1"/>
    <col min="5658" max="5888" width="9" style="28"/>
    <col min="5889" max="5889" width="3.6328125" style="28" customWidth="1"/>
    <col min="5890" max="5890" width="8.08984375" style="28" customWidth="1"/>
    <col min="5891" max="5891" width="7.26953125" style="28" customWidth="1"/>
    <col min="5892" max="5893" width="0" style="28" hidden="1" customWidth="1"/>
    <col min="5894" max="5897" width="9" style="28"/>
    <col min="5898" max="5898" width="62" style="28" customWidth="1"/>
    <col min="5899" max="5899" width="8.6328125" style="28" bestFit="1" customWidth="1"/>
    <col min="5900" max="5900" width="11.26953125" style="28" customWidth="1"/>
    <col min="5901" max="5901" width="14.6328125" style="28" customWidth="1"/>
    <col min="5902" max="5902" width="8.7265625" style="28" customWidth="1"/>
    <col min="5903" max="5904" width="9.7265625" style="28" customWidth="1"/>
    <col min="5905" max="5905" width="20" style="28" bestFit="1" customWidth="1"/>
    <col min="5906" max="5906" width="8" style="28" bestFit="1" customWidth="1"/>
    <col min="5907" max="5907" width="8.6328125" style="28" bestFit="1" customWidth="1"/>
    <col min="5908" max="5908" width="7.08984375" style="28" customWidth="1"/>
    <col min="5909" max="5909" width="17.453125" style="28" bestFit="1" customWidth="1"/>
    <col min="5910" max="5910" width="10.36328125" style="28" customWidth="1"/>
    <col min="5911" max="5911" width="7.453125" style="28" customWidth="1"/>
    <col min="5912" max="5912" width="9" style="28"/>
    <col min="5913" max="5913" width="10.36328125" style="28" customWidth="1"/>
    <col min="5914" max="6144" width="9" style="28"/>
    <col min="6145" max="6145" width="3.6328125" style="28" customWidth="1"/>
    <col min="6146" max="6146" width="8.08984375" style="28" customWidth="1"/>
    <col min="6147" max="6147" width="7.26953125" style="28" customWidth="1"/>
    <col min="6148" max="6149" width="0" style="28" hidden="1" customWidth="1"/>
    <col min="6150" max="6153" width="9" style="28"/>
    <col min="6154" max="6154" width="62" style="28" customWidth="1"/>
    <col min="6155" max="6155" width="8.6328125" style="28" bestFit="1" customWidth="1"/>
    <col min="6156" max="6156" width="11.26953125" style="28" customWidth="1"/>
    <col min="6157" max="6157" width="14.6328125" style="28" customWidth="1"/>
    <col min="6158" max="6158" width="8.7265625" style="28" customWidth="1"/>
    <col min="6159" max="6160" width="9.7265625" style="28" customWidth="1"/>
    <col min="6161" max="6161" width="20" style="28" bestFit="1" customWidth="1"/>
    <col min="6162" max="6162" width="8" style="28" bestFit="1" customWidth="1"/>
    <col min="6163" max="6163" width="8.6328125" style="28" bestFit="1" customWidth="1"/>
    <col min="6164" max="6164" width="7.08984375" style="28" customWidth="1"/>
    <col min="6165" max="6165" width="17.453125" style="28" bestFit="1" customWidth="1"/>
    <col min="6166" max="6166" width="10.36328125" style="28" customWidth="1"/>
    <col min="6167" max="6167" width="7.453125" style="28" customWidth="1"/>
    <col min="6168" max="6168" width="9" style="28"/>
    <col min="6169" max="6169" width="10.36328125" style="28" customWidth="1"/>
    <col min="6170" max="6400" width="9" style="28"/>
    <col min="6401" max="6401" width="3.6328125" style="28" customWidth="1"/>
    <col min="6402" max="6402" width="8.08984375" style="28" customWidth="1"/>
    <col min="6403" max="6403" width="7.26953125" style="28" customWidth="1"/>
    <col min="6404" max="6405" width="0" style="28" hidden="1" customWidth="1"/>
    <col min="6406" max="6409" width="9" style="28"/>
    <col min="6410" max="6410" width="62" style="28" customWidth="1"/>
    <col min="6411" max="6411" width="8.6328125" style="28" bestFit="1" customWidth="1"/>
    <col min="6412" max="6412" width="11.26953125" style="28" customWidth="1"/>
    <col min="6413" max="6413" width="14.6328125" style="28" customWidth="1"/>
    <col min="6414" max="6414" width="8.7265625" style="28" customWidth="1"/>
    <col min="6415" max="6416" width="9.7265625" style="28" customWidth="1"/>
    <col min="6417" max="6417" width="20" style="28" bestFit="1" customWidth="1"/>
    <col min="6418" max="6418" width="8" style="28" bestFit="1" customWidth="1"/>
    <col min="6419" max="6419" width="8.6328125" style="28" bestFit="1" customWidth="1"/>
    <col min="6420" max="6420" width="7.08984375" style="28" customWidth="1"/>
    <col min="6421" max="6421" width="17.453125" style="28" bestFit="1" customWidth="1"/>
    <col min="6422" max="6422" width="10.36328125" style="28" customWidth="1"/>
    <col min="6423" max="6423" width="7.453125" style="28" customWidth="1"/>
    <col min="6424" max="6424" width="9" style="28"/>
    <col min="6425" max="6425" width="10.36328125" style="28" customWidth="1"/>
    <col min="6426" max="6656" width="9" style="28"/>
    <col min="6657" max="6657" width="3.6328125" style="28" customWidth="1"/>
    <col min="6658" max="6658" width="8.08984375" style="28" customWidth="1"/>
    <col min="6659" max="6659" width="7.26953125" style="28" customWidth="1"/>
    <col min="6660" max="6661" width="0" style="28" hidden="1" customWidth="1"/>
    <col min="6662" max="6665" width="9" style="28"/>
    <col min="6666" max="6666" width="62" style="28" customWidth="1"/>
    <col min="6667" max="6667" width="8.6328125" style="28" bestFit="1" customWidth="1"/>
    <col min="6668" max="6668" width="11.26953125" style="28" customWidth="1"/>
    <col min="6669" max="6669" width="14.6328125" style="28" customWidth="1"/>
    <col min="6670" max="6670" width="8.7265625" style="28" customWidth="1"/>
    <col min="6671" max="6672" width="9.7265625" style="28" customWidth="1"/>
    <col min="6673" max="6673" width="20" style="28" bestFit="1" customWidth="1"/>
    <col min="6674" max="6674" width="8" style="28" bestFit="1" customWidth="1"/>
    <col min="6675" max="6675" width="8.6328125" style="28" bestFit="1" customWidth="1"/>
    <col min="6676" max="6676" width="7.08984375" style="28" customWidth="1"/>
    <col min="6677" max="6677" width="17.453125" style="28" bestFit="1" customWidth="1"/>
    <col min="6678" max="6678" width="10.36328125" style="28" customWidth="1"/>
    <col min="6679" max="6679" width="7.453125" style="28" customWidth="1"/>
    <col min="6680" max="6680" width="9" style="28"/>
    <col min="6681" max="6681" width="10.36328125" style="28" customWidth="1"/>
    <col min="6682" max="6912" width="9" style="28"/>
    <col min="6913" max="6913" width="3.6328125" style="28" customWidth="1"/>
    <col min="6914" max="6914" width="8.08984375" style="28" customWidth="1"/>
    <col min="6915" max="6915" width="7.26953125" style="28" customWidth="1"/>
    <col min="6916" max="6917" width="0" style="28" hidden="1" customWidth="1"/>
    <col min="6918" max="6921" width="9" style="28"/>
    <col min="6922" max="6922" width="62" style="28" customWidth="1"/>
    <col min="6923" max="6923" width="8.6328125" style="28" bestFit="1" customWidth="1"/>
    <col min="6924" max="6924" width="11.26953125" style="28" customWidth="1"/>
    <col min="6925" max="6925" width="14.6328125" style="28" customWidth="1"/>
    <col min="6926" max="6926" width="8.7265625" style="28" customWidth="1"/>
    <col min="6927" max="6928" width="9.7265625" style="28" customWidth="1"/>
    <col min="6929" max="6929" width="20" style="28" bestFit="1" customWidth="1"/>
    <col min="6930" max="6930" width="8" style="28" bestFit="1" customWidth="1"/>
    <col min="6931" max="6931" width="8.6328125" style="28" bestFit="1" customWidth="1"/>
    <col min="6932" max="6932" width="7.08984375" style="28" customWidth="1"/>
    <col min="6933" max="6933" width="17.453125" style="28" bestFit="1" customWidth="1"/>
    <col min="6934" max="6934" width="10.36328125" style="28" customWidth="1"/>
    <col min="6935" max="6935" width="7.453125" style="28" customWidth="1"/>
    <col min="6936" max="6936" width="9" style="28"/>
    <col min="6937" max="6937" width="10.36328125" style="28" customWidth="1"/>
    <col min="6938" max="7168" width="9" style="28"/>
    <col min="7169" max="7169" width="3.6328125" style="28" customWidth="1"/>
    <col min="7170" max="7170" width="8.08984375" style="28" customWidth="1"/>
    <col min="7171" max="7171" width="7.26953125" style="28" customWidth="1"/>
    <col min="7172" max="7173" width="0" style="28" hidden="1" customWidth="1"/>
    <col min="7174" max="7177" width="9" style="28"/>
    <col min="7178" max="7178" width="62" style="28" customWidth="1"/>
    <col min="7179" max="7179" width="8.6328125" style="28" bestFit="1" customWidth="1"/>
    <col min="7180" max="7180" width="11.26953125" style="28" customWidth="1"/>
    <col min="7181" max="7181" width="14.6328125" style="28" customWidth="1"/>
    <col min="7182" max="7182" width="8.7265625" style="28" customWidth="1"/>
    <col min="7183" max="7184" width="9.7265625" style="28" customWidth="1"/>
    <col min="7185" max="7185" width="20" style="28" bestFit="1" customWidth="1"/>
    <col min="7186" max="7186" width="8" style="28" bestFit="1" customWidth="1"/>
    <col min="7187" max="7187" width="8.6328125" style="28" bestFit="1" customWidth="1"/>
    <col min="7188" max="7188" width="7.08984375" style="28" customWidth="1"/>
    <col min="7189" max="7189" width="17.453125" style="28" bestFit="1" customWidth="1"/>
    <col min="7190" max="7190" width="10.36328125" style="28" customWidth="1"/>
    <col min="7191" max="7191" width="7.453125" style="28" customWidth="1"/>
    <col min="7192" max="7192" width="9" style="28"/>
    <col min="7193" max="7193" width="10.36328125" style="28" customWidth="1"/>
    <col min="7194" max="7424" width="9" style="28"/>
    <col min="7425" max="7425" width="3.6328125" style="28" customWidth="1"/>
    <col min="7426" max="7426" width="8.08984375" style="28" customWidth="1"/>
    <col min="7427" max="7427" width="7.26953125" style="28" customWidth="1"/>
    <col min="7428" max="7429" width="0" style="28" hidden="1" customWidth="1"/>
    <col min="7430" max="7433" width="9" style="28"/>
    <col min="7434" max="7434" width="62" style="28" customWidth="1"/>
    <col min="7435" max="7435" width="8.6328125" style="28" bestFit="1" customWidth="1"/>
    <col min="7436" max="7436" width="11.26953125" style="28" customWidth="1"/>
    <col min="7437" max="7437" width="14.6328125" style="28" customWidth="1"/>
    <col min="7438" max="7438" width="8.7265625" style="28" customWidth="1"/>
    <col min="7439" max="7440" width="9.7265625" style="28" customWidth="1"/>
    <col min="7441" max="7441" width="20" style="28" bestFit="1" customWidth="1"/>
    <col min="7442" max="7442" width="8" style="28" bestFit="1" customWidth="1"/>
    <col min="7443" max="7443" width="8.6328125" style="28" bestFit="1" customWidth="1"/>
    <col min="7444" max="7444" width="7.08984375" style="28" customWidth="1"/>
    <col min="7445" max="7445" width="17.453125" style="28" bestFit="1" customWidth="1"/>
    <col min="7446" max="7446" width="10.36328125" style="28" customWidth="1"/>
    <col min="7447" max="7447" width="7.453125" style="28" customWidth="1"/>
    <col min="7448" max="7448" width="9" style="28"/>
    <col min="7449" max="7449" width="10.36328125" style="28" customWidth="1"/>
    <col min="7450" max="7680" width="9" style="28"/>
    <col min="7681" max="7681" width="3.6328125" style="28" customWidth="1"/>
    <col min="7682" max="7682" width="8.08984375" style="28" customWidth="1"/>
    <col min="7683" max="7683" width="7.26953125" style="28" customWidth="1"/>
    <col min="7684" max="7685" width="0" style="28" hidden="1" customWidth="1"/>
    <col min="7686" max="7689" width="9" style="28"/>
    <col min="7690" max="7690" width="62" style="28" customWidth="1"/>
    <col min="7691" max="7691" width="8.6328125" style="28" bestFit="1" customWidth="1"/>
    <col min="7692" max="7692" width="11.26953125" style="28" customWidth="1"/>
    <col min="7693" max="7693" width="14.6328125" style="28" customWidth="1"/>
    <col min="7694" max="7694" width="8.7265625" style="28" customWidth="1"/>
    <col min="7695" max="7696" width="9.7265625" style="28" customWidth="1"/>
    <col min="7697" max="7697" width="20" style="28" bestFit="1" customWidth="1"/>
    <col min="7698" max="7698" width="8" style="28" bestFit="1" customWidth="1"/>
    <col min="7699" max="7699" width="8.6328125" style="28" bestFit="1" customWidth="1"/>
    <col min="7700" max="7700" width="7.08984375" style="28" customWidth="1"/>
    <col min="7701" max="7701" width="17.453125" style="28" bestFit="1" customWidth="1"/>
    <col min="7702" max="7702" width="10.36328125" style="28" customWidth="1"/>
    <col min="7703" max="7703" width="7.453125" style="28" customWidth="1"/>
    <col min="7704" max="7704" width="9" style="28"/>
    <col min="7705" max="7705" width="10.36328125" style="28" customWidth="1"/>
    <col min="7706" max="7936" width="9" style="28"/>
    <col min="7937" max="7937" width="3.6328125" style="28" customWidth="1"/>
    <col min="7938" max="7938" width="8.08984375" style="28" customWidth="1"/>
    <col min="7939" max="7939" width="7.26953125" style="28" customWidth="1"/>
    <col min="7940" max="7941" width="0" style="28" hidden="1" customWidth="1"/>
    <col min="7942" max="7945" width="9" style="28"/>
    <col min="7946" max="7946" width="62" style="28" customWidth="1"/>
    <col min="7947" max="7947" width="8.6328125" style="28" bestFit="1" customWidth="1"/>
    <col min="7948" max="7948" width="11.26953125" style="28" customWidth="1"/>
    <col min="7949" max="7949" width="14.6328125" style="28" customWidth="1"/>
    <col min="7950" max="7950" width="8.7265625" style="28" customWidth="1"/>
    <col min="7951" max="7952" width="9.7265625" style="28" customWidth="1"/>
    <col min="7953" max="7953" width="20" style="28" bestFit="1" customWidth="1"/>
    <col min="7954" max="7954" width="8" style="28" bestFit="1" customWidth="1"/>
    <col min="7955" max="7955" width="8.6328125" style="28" bestFit="1" customWidth="1"/>
    <col min="7956" max="7956" width="7.08984375" style="28" customWidth="1"/>
    <col min="7957" max="7957" width="17.453125" style="28" bestFit="1" customWidth="1"/>
    <col min="7958" max="7958" width="10.36328125" style="28" customWidth="1"/>
    <col min="7959" max="7959" width="7.453125" style="28" customWidth="1"/>
    <col min="7960" max="7960" width="9" style="28"/>
    <col min="7961" max="7961" width="10.36328125" style="28" customWidth="1"/>
    <col min="7962" max="8192" width="9" style="28"/>
    <col min="8193" max="8193" width="3.6328125" style="28" customWidth="1"/>
    <col min="8194" max="8194" width="8.08984375" style="28" customWidth="1"/>
    <col min="8195" max="8195" width="7.26953125" style="28" customWidth="1"/>
    <col min="8196" max="8197" width="0" style="28" hidden="1" customWidth="1"/>
    <col min="8198" max="8201" width="9" style="28"/>
    <col min="8202" max="8202" width="62" style="28" customWidth="1"/>
    <col min="8203" max="8203" width="8.6328125" style="28" bestFit="1" customWidth="1"/>
    <col min="8204" max="8204" width="11.26953125" style="28" customWidth="1"/>
    <col min="8205" max="8205" width="14.6328125" style="28" customWidth="1"/>
    <col min="8206" max="8206" width="8.7265625" style="28" customWidth="1"/>
    <col min="8207" max="8208" width="9.7265625" style="28" customWidth="1"/>
    <col min="8209" max="8209" width="20" style="28" bestFit="1" customWidth="1"/>
    <col min="8210" max="8210" width="8" style="28" bestFit="1" customWidth="1"/>
    <col min="8211" max="8211" width="8.6328125" style="28" bestFit="1" customWidth="1"/>
    <col min="8212" max="8212" width="7.08984375" style="28" customWidth="1"/>
    <col min="8213" max="8213" width="17.453125" style="28" bestFit="1" customWidth="1"/>
    <col min="8214" max="8214" width="10.36328125" style="28" customWidth="1"/>
    <col min="8215" max="8215" width="7.453125" style="28" customWidth="1"/>
    <col min="8216" max="8216" width="9" style="28"/>
    <col min="8217" max="8217" width="10.36328125" style="28" customWidth="1"/>
    <col min="8218" max="8448" width="9" style="28"/>
    <col min="8449" max="8449" width="3.6328125" style="28" customWidth="1"/>
    <col min="8450" max="8450" width="8.08984375" style="28" customWidth="1"/>
    <col min="8451" max="8451" width="7.26953125" style="28" customWidth="1"/>
    <col min="8452" max="8453" width="0" style="28" hidden="1" customWidth="1"/>
    <col min="8454" max="8457" width="9" style="28"/>
    <col min="8458" max="8458" width="62" style="28" customWidth="1"/>
    <col min="8459" max="8459" width="8.6328125" style="28" bestFit="1" customWidth="1"/>
    <col min="8460" max="8460" width="11.26953125" style="28" customWidth="1"/>
    <col min="8461" max="8461" width="14.6328125" style="28" customWidth="1"/>
    <col min="8462" max="8462" width="8.7265625" style="28" customWidth="1"/>
    <col min="8463" max="8464" width="9.7265625" style="28" customWidth="1"/>
    <col min="8465" max="8465" width="20" style="28" bestFit="1" customWidth="1"/>
    <col min="8466" max="8466" width="8" style="28" bestFit="1" customWidth="1"/>
    <col min="8467" max="8467" width="8.6328125" style="28" bestFit="1" customWidth="1"/>
    <col min="8468" max="8468" width="7.08984375" style="28" customWidth="1"/>
    <col min="8469" max="8469" width="17.453125" style="28" bestFit="1" customWidth="1"/>
    <col min="8470" max="8470" width="10.36328125" style="28" customWidth="1"/>
    <col min="8471" max="8471" width="7.453125" style="28" customWidth="1"/>
    <col min="8472" max="8472" width="9" style="28"/>
    <col min="8473" max="8473" width="10.36328125" style="28" customWidth="1"/>
    <col min="8474" max="8704" width="9" style="28"/>
    <col min="8705" max="8705" width="3.6328125" style="28" customWidth="1"/>
    <col min="8706" max="8706" width="8.08984375" style="28" customWidth="1"/>
    <col min="8707" max="8707" width="7.26953125" style="28" customWidth="1"/>
    <col min="8708" max="8709" width="0" style="28" hidden="1" customWidth="1"/>
    <col min="8710" max="8713" width="9" style="28"/>
    <col min="8714" max="8714" width="62" style="28" customWidth="1"/>
    <col min="8715" max="8715" width="8.6328125" style="28" bestFit="1" customWidth="1"/>
    <col min="8716" max="8716" width="11.26953125" style="28" customWidth="1"/>
    <col min="8717" max="8717" width="14.6328125" style="28" customWidth="1"/>
    <col min="8718" max="8718" width="8.7265625" style="28" customWidth="1"/>
    <col min="8719" max="8720" width="9.7265625" style="28" customWidth="1"/>
    <col min="8721" max="8721" width="20" style="28" bestFit="1" customWidth="1"/>
    <col min="8722" max="8722" width="8" style="28" bestFit="1" customWidth="1"/>
    <col min="8723" max="8723" width="8.6328125" style="28" bestFit="1" customWidth="1"/>
    <col min="8724" max="8724" width="7.08984375" style="28" customWidth="1"/>
    <col min="8725" max="8725" width="17.453125" style="28" bestFit="1" customWidth="1"/>
    <col min="8726" max="8726" width="10.36328125" style="28" customWidth="1"/>
    <col min="8727" max="8727" width="7.453125" style="28" customWidth="1"/>
    <col min="8728" max="8728" width="9" style="28"/>
    <col min="8729" max="8729" width="10.36328125" style="28" customWidth="1"/>
    <col min="8730" max="8960" width="9" style="28"/>
    <col min="8961" max="8961" width="3.6328125" style="28" customWidth="1"/>
    <col min="8962" max="8962" width="8.08984375" style="28" customWidth="1"/>
    <col min="8963" max="8963" width="7.26953125" style="28" customWidth="1"/>
    <col min="8964" max="8965" width="0" style="28" hidden="1" customWidth="1"/>
    <col min="8966" max="8969" width="9" style="28"/>
    <col min="8970" max="8970" width="62" style="28" customWidth="1"/>
    <col min="8971" max="8971" width="8.6328125" style="28" bestFit="1" customWidth="1"/>
    <col min="8972" max="8972" width="11.26953125" style="28" customWidth="1"/>
    <col min="8973" max="8973" width="14.6328125" style="28" customWidth="1"/>
    <col min="8974" max="8974" width="8.7265625" style="28" customWidth="1"/>
    <col min="8975" max="8976" width="9.7265625" style="28" customWidth="1"/>
    <col min="8977" max="8977" width="20" style="28" bestFit="1" customWidth="1"/>
    <col min="8978" max="8978" width="8" style="28" bestFit="1" customWidth="1"/>
    <col min="8979" max="8979" width="8.6328125" style="28" bestFit="1" customWidth="1"/>
    <col min="8980" max="8980" width="7.08984375" style="28" customWidth="1"/>
    <col min="8981" max="8981" width="17.453125" style="28" bestFit="1" customWidth="1"/>
    <col min="8982" max="8982" width="10.36328125" style="28" customWidth="1"/>
    <col min="8983" max="8983" width="7.453125" style="28" customWidth="1"/>
    <col min="8984" max="8984" width="9" style="28"/>
    <col min="8985" max="8985" width="10.36328125" style="28" customWidth="1"/>
    <col min="8986" max="9216" width="9" style="28"/>
    <col min="9217" max="9217" width="3.6328125" style="28" customWidth="1"/>
    <col min="9218" max="9218" width="8.08984375" style="28" customWidth="1"/>
    <col min="9219" max="9219" width="7.26953125" style="28" customWidth="1"/>
    <col min="9220" max="9221" width="0" style="28" hidden="1" customWidth="1"/>
    <col min="9222" max="9225" width="9" style="28"/>
    <col min="9226" max="9226" width="62" style="28" customWidth="1"/>
    <col min="9227" max="9227" width="8.6328125" style="28" bestFit="1" customWidth="1"/>
    <col min="9228" max="9228" width="11.26953125" style="28" customWidth="1"/>
    <col min="9229" max="9229" width="14.6328125" style="28" customWidth="1"/>
    <col min="9230" max="9230" width="8.7265625" style="28" customWidth="1"/>
    <col min="9231" max="9232" width="9.7265625" style="28" customWidth="1"/>
    <col min="9233" max="9233" width="20" style="28" bestFit="1" customWidth="1"/>
    <col min="9234" max="9234" width="8" style="28" bestFit="1" customWidth="1"/>
    <col min="9235" max="9235" width="8.6328125" style="28" bestFit="1" customWidth="1"/>
    <col min="9236" max="9236" width="7.08984375" style="28" customWidth="1"/>
    <col min="9237" max="9237" width="17.453125" style="28" bestFit="1" customWidth="1"/>
    <col min="9238" max="9238" width="10.36328125" style="28" customWidth="1"/>
    <col min="9239" max="9239" width="7.453125" style="28" customWidth="1"/>
    <col min="9240" max="9240" width="9" style="28"/>
    <col min="9241" max="9241" width="10.36328125" style="28" customWidth="1"/>
    <col min="9242" max="9472" width="9" style="28"/>
    <col min="9473" max="9473" width="3.6328125" style="28" customWidth="1"/>
    <col min="9474" max="9474" width="8.08984375" style="28" customWidth="1"/>
    <col min="9475" max="9475" width="7.26953125" style="28" customWidth="1"/>
    <col min="9476" max="9477" width="0" style="28" hidden="1" customWidth="1"/>
    <col min="9478" max="9481" width="9" style="28"/>
    <col min="9482" max="9482" width="62" style="28" customWidth="1"/>
    <col min="9483" max="9483" width="8.6328125" style="28" bestFit="1" customWidth="1"/>
    <col min="9484" max="9484" width="11.26953125" style="28" customWidth="1"/>
    <col min="9485" max="9485" width="14.6328125" style="28" customWidth="1"/>
    <col min="9486" max="9486" width="8.7265625" style="28" customWidth="1"/>
    <col min="9487" max="9488" width="9.7265625" style="28" customWidth="1"/>
    <col min="9489" max="9489" width="20" style="28" bestFit="1" customWidth="1"/>
    <col min="9490" max="9490" width="8" style="28" bestFit="1" customWidth="1"/>
    <col min="9491" max="9491" width="8.6328125" style="28" bestFit="1" customWidth="1"/>
    <col min="9492" max="9492" width="7.08984375" style="28" customWidth="1"/>
    <col min="9493" max="9493" width="17.453125" style="28" bestFit="1" customWidth="1"/>
    <col min="9494" max="9494" width="10.36328125" style="28" customWidth="1"/>
    <col min="9495" max="9495" width="7.453125" style="28" customWidth="1"/>
    <col min="9496" max="9496" width="9" style="28"/>
    <col min="9497" max="9497" width="10.36328125" style="28" customWidth="1"/>
    <col min="9498" max="9728" width="9" style="28"/>
    <col min="9729" max="9729" width="3.6328125" style="28" customWidth="1"/>
    <col min="9730" max="9730" width="8.08984375" style="28" customWidth="1"/>
    <col min="9731" max="9731" width="7.26953125" style="28" customWidth="1"/>
    <col min="9732" max="9733" width="0" style="28" hidden="1" customWidth="1"/>
    <col min="9734" max="9737" width="9" style="28"/>
    <col min="9738" max="9738" width="62" style="28" customWidth="1"/>
    <col min="9739" max="9739" width="8.6328125" style="28" bestFit="1" customWidth="1"/>
    <col min="9740" max="9740" width="11.26953125" style="28" customWidth="1"/>
    <col min="9741" max="9741" width="14.6328125" style="28" customWidth="1"/>
    <col min="9742" max="9742" width="8.7265625" style="28" customWidth="1"/>
    <col min="9743" max="9744" width="9.7265625" style="28" customWidth="1"/>
    <col min="9745" max="9745" width="20" style="28" bestFit="1" customWidth="1"/>
    <col min="9746" max="9746" width="8" style="28" bestFit="1" customWidth="1"/>
    <col min="9747" max="9747" width="8.6328125" style="28" bestFit="1" customWidth="1"/>
    <col min="9748" max="9748" width="7.08984375" style="28" customWidth="1"/>
    <col min="9749" max="9749" width="17.453125" style="28" bestFit="1" customWidth="1"/>
    <col min="9750" max="9750" width="10.36328125" style="28" customWidth="1"/>
    <col min="9751" max="9751" width="7.453125" style="28" customWidth="1"/>
    <col min="9752" max="9752" width="9" style="28"/>
    <col min="9753" max="9753" width="10.36328125" style="28" customWidth="1"/>
    <col min="9754" max="9984" width="9" style="28"/>
    <col min="9985" max="9985" width="3.6328125" style="28" customWidth="1"/>
    <col min="9986" max="9986" width="8.08984375" style="28" customWidth="1"/>
    <col min="9987" max="9987" width="7.26953125" style="28" customWidth="1"/>
    <col min="9988" max="9989" width="0" style="28" hidden="1" customWidth="1"/>
    <col min="9990" max="9993" width="9" style="28"/>
    <col min="9994" max="9994" width="62" style="28" customWidth="1"/>
    <col min="9995" max="9995" width="8.6328125" style="28" bestFit="1" customWidth="1"/>
    <col min="9996" max="9996" width="11.26953125" style="28" customWidth="1"/>
    <col min="9997" max="9997" width="14.6328125" style="28" customWidth="1"/>
    <col min="9998" max="9998" width="8.7265625" style="28" customWidth="1"/>
    <col min="9999" max="10000" width="9.7265625" style="28" customWidth="1"/>
    <col min="10001" max="10001" width="20" style="28" bestFit="1" customWidth="1"/>
    <col min="10002" max="10002" width="8" style="28" bestFit="1" customWidth="1"/>
    <col min="10003" max="10003" width="8.6328125" style="28" bestFit="1" customWidth="1"/>
    <col min="10004" max="10004" width="7.08984375" style="28" customWidth="1"/>
    <col min="10005" max="10005" width="17.453125" style="28" bestFit="1" customWidth="1"/>
    <col min="10006" max="10006" width="10.36328125" style="28" customWidth="1"/>
    <col min="10007" max="10007" width="7.453125" style="28" customWidth="1"/>
    <col min="10008" max="10008" width="9" style="28"/>
    <col min="10009" max="10009" width="10.36328125" style="28" customWidth="1"/>
    <col min="10010" max="10240" width="9" style="28"/>
    <col min="10241" max="10241" width="3.6328125" style="28" customWidth="1"/>
    <col min="10242" max="10242" width="8.08984375" style="28" customWidth="1"/>
    <col min="10243" max="10243" width="7.26953125" style="28" customWidth="1"/>
    <col min="10244" max="10245" width="0" style="28" hidden="1" customWidth="1"/>
    <col min="10246" max="10249" width="9" style="28"/>
    <col min="10250" max="10250" width="62" style="28" customWidth="1"/>
    <col min="10251" max="10251" width="8.6328125" style="28" bestFit="1" customWidth="1"/>
    <col min="10252" max="10252" width="11.26953125" style="28" customWidth="1"/>
    <col min="10253" max="10253" width="14.6328125" style="28" customWidth="1"/>
    <col min="10254" max="10254" width="8.7265625" style="28" customWidth="1"/>
    <col min="10255" max="10256" width="9.7265625" style="28" customWidth="1"/>
    <col min="10257" max="10257" width="20" style="28" bestFit="1" customWidth="1"/>
    <col min="10258" max="10258" width="8" style="28" bestFit="1" customWidth="1"/>
    <col min="10259" max="10259" width="8.6328125" style="28" bestFit="1" customWidth="1"/>
    <col min="10260" max="10260" width="7.08984375" style="28" customWidth="1"/>
    <col min="10261" max="10261" width="17.453125" style="28" bestFit="1" customWidth="1"/>
    <col min="10262" max="10262" width="10.36328125" style="28" customWidth="1"/>
    <col min="10263" max="10263" width="7.453125" style="28" customWidth="1"/>
    <col min="10264" max="10264" width="9" style="28"/>
    <col min="10265" max="10265" width="10.36328125" style="28" customWidth="1"/>
    <col min="10266" max="10496" width="9" style="28"/>
    <col min="10497" max="10497" width="3.6328125" style="28" customWidth="1"/>
    <col min="10498" max="10498" width="8.08984375" style="28" customWidth="1"/>
    <col min="10499" max="10499" width="7.26953125" style="28" customWidth="1"/>
    <col min="10500" max="10501" width="0" style="28" hidden="1" customWidth="1"/>
    <col min="10502" max="10505" width="9" style="28"/>
    <col min="10506" max="10506" width="62" style="28" customWidth="1"/>
    <col min="10507" max="10507" width="8.6328125" style="28" bestFit="1" customWidth="1"/>
    <col min="10508" max="10508" width="11.26953125" style="28" customWidth="1"/>
    <col min="10509" max="10509" width="14.6328125" style="28" customWidth="1"/>
    <col min="10510" max="10510" width="8.7265625" style="28" customWidth="1"/>
    <col min="10511" max="10512" width="9.7265625" style="28" customWidth="1"/>
    <col min="10513" max="10513" width="20" style="28" bestFit="1" customWidth="1"/>
    <col min="10514" max="10514" width="8" style="28" bestFit="1" customWidth="1"/>
    <col min="10515" max="10515" width="8.6328125" style="28" bestFit="1" customWidth="1"/>
    <col min="10516" max="10516" width="7.08984375" style="28" customWidth="1"/>
    <col min="10517" max="10517" width="17.453125" style="28" bestFit="1" customWidth="1"/>
    <col min="10518" max="10518" width="10.36328125" style="28" customWidth="1"/>
    <col min="10519" max="10519" width="7.453125" style="28" customWidth="1"/>
    <col min="10520" max="10520" width="9" style="28"/>
    <col min="10521" max="10521" width="10.36328125" style="28" customWidth="1"/>
    <col min="10522" max="10752" width="9" style="28"/>
    <col min="10753" max="10753" width="3.6328125" style="28" customWidth="1"/>
    <col min="10754" max="10754" width="8.08984375" style="28" customWidth="1"/>
    <col min="10755" max="10755" width="7.26953125" style="28" customWidth="1"/>
    <col min="10756" max="10757" width="0" style="28" hidden="1" customWidth="1"/>
    <col min="10758" max="10761" width="9" style="28"/>
    <col min="10762" max="10762" width="62" style="28" customWidth="1"/>
    <col min="10763" max="10763" width="8.6328125" style="28" bestFit="1" customWidth="1"/>
    <col min="10764" max="10764" width="11.26953125" style="28" customWidth="1"/>
    <col min="10765" max="10765" width="14.6328125" style="28" customWidth="1"/>
    <col min="10766" max="10766" width="8.7265625" style="28" customWidth="1"/>
    <col min="10767" max="10768" width="9.7265625" style="28" customWidth="1"/>
    <col min="10769" max="10769" width="20" style="28" bestFit="1" customWidth="1"/>
    <col min="10770" max="10770" width="8" style="28" bestFit="1" customWidth="1"/>
    <col min="10771" max="10771" width="8.6328125" style="28" bestFit="1" customWidth="1"/>
    <col min="10772" max="10772" width="7.08984375" style="28" customWidth="1"/>
    <col min="10773" max="10773" width="17.453125" style="28" bestFit="1" customWidth="1"/>
    <col min="10774" max="10774" width="10.36328125" style="28" customWidth="1"/>
    <col min="10775" max="10775" width="7.453125" style="28" customWidth="1"/>
    <col min="10776" max="10776" width="9" style="28"/>
    <col min="10777" max="10777" width="10.36328125" style="28" customWidth="1"/>
    <col min="10778" max="11008" width="9" style="28"/>
    <col min="11009" max="11009" width="3.6328125" style="28" customWidth="1"/>
    <col min="11010" max="11010" width="8.08984375" style="28" customWidth="1"/>
    <col min="11011" max="11011" width="7.26953125" style="28" customWidth="1"/>
    <col min="11012" max="11013" width="0" style="28" hidden="1" customWidth="1"/>
    <col min="11014" max="11017" width="9" style="28"/>
    <col min="11018" max="11018" width="62" style="28" customWidth="1"/>
    <col min="11019" max="11019" width="8.6328125" style="28" bestFit="1" customWidth="1"/>
    <col min="11020" max="11020" width="11.26953125" style="28" customWidth="1"/>
    <col min="11021" max="11021" width="14.6328125" style="28" customWidth="1"/>
    <col min="11022" max="11022" width="8.7265625" style="28" customWidth="1"/>
    <col min="11023" max="11024" width="9.7265625" style="28" customWidth="1"/>
    <col min="11025" max="11025" width="20" style="28" bestFit="1" customWidth="1"/>
    <col min="11026" max="11026" width="8" style="28" bestFit="1" customWidth="1"/>
    <col min="11027" max="11027" width="8.6328125" style="28" bestFit="1" customWidth="1"/>
    <col min="11028" max="11028" width="7.08984375" style="28" customWidth="1"/>
    <col min="11029" max="11029" width="17.453125" style="28" bestFit="1" customWidth="1"/>
    <col min="11030" max="11030" width="10.36328125" style="28" customWidth="1"/>
    <col min="11031" max="11031" width="7.453125" style="28" customWidth="1"/>
    <col min="11032" max="11032" width="9" style="28"/>
    <col min="11033" max="11033" width="10.36328125" style="28" customWidth="1"/>
    <col min="11034" max="11264" width="9" style="28"/>
    <col min="11265" max="11265" width="3.6328125" style="28" customWidth="1"/>
    <col min="11266" max="11266" width="8.08984375" style="28" customWidth="1"/>
    <col min="11267" max="11267" width="7.26953125" style="28" customWidth="1"/>
    <col min="11268" max="11269" width="0" style="28" hidden="1" customWidth="1"/>
    <col min="11270" max="11273" width="9" style="28"/>
    <col min="11274" max="11274" width="62" style="28" customWidth="1"/>
    <col min="11275" max="11275" width="8.6328125" style="28" bestFit="1" customWidth="1"/>
    <col min="11276" max="11276" width="11.26953125" style="28" customWidth="1"/>
    <col min="11277" max="11277" width="14.6328125" style="28" customWidth="1"/>
    <col min="11278" max="11278" width="8.7265625" style="28" customWidth="1"/>
    <col min="11279" max="11280" width="9.7265625" style="28" customWidth="1"/>
    <col min="11281" max="11281" width="20" style="28" bestFit="1" customWidth="1"/>
    <col min="11282" max="11282" width="8" style="28" bestFit="1" customWidth="1"/>
    <col min="11283" max="11283" width="8.6328125" style="28" bestFit="1" customWidth="1"/>
    <col min="11284" max="11284" width="7.08984375" style="28" customWidth="1"/>
    <col min="11285" max="11285" width="17.453125" style="28" bestFit="1" customWidth="1"/>
    <col min="11286" max="11286" width="10.36328125" style="28" customWidth="1"/>
    <col min="11287" max="11287" width="7.453125" style="28" customWidth="1"/>
    <col min="11288" max="11288" width="9" style="28"/>
    <col min="11289" max="11289" width="10.36328125" style="28" customWidth="1"/>
    <col min="11290" max="11520" width="9" style="28"/>
    <col min="11521" max="11521" width="3.6328125" style="28" customWidth="1"/>
    <col min="11522" max="11522" width="8.08984375" style="28" customWidth="1"/>
    <col min="11523" max="11523" width="7.26953125" style="28" customWidth="1"/>
    <col min="11524" max="11525" width="0" style="28" hidden="1" customWidth="1"/>
    <col min="11526" max="11529" width="9" style="28"/>
    <col min="11530" max="11530" width="62" style="28" customWidth="1"/>
    <col min="11531" max="11531" width="8.6328125" style="28" bestFit="1" customWidth="1"/>
    <col min="11532" max="11532" width="11.26953125" style="28" customWidth="1"/>
    <col min="11533" max="11533" width="14.6328125" style="28" customWidth="1"/>
    <col min="11534" max="11534" width="8.7265625" style="28" customWidth="1"/>
    <col min="11535" max="11536" width="9.7265625" style="28" customWidth="1"/>
    <col min="11537" max="11537" width="20" style="28" bestFit="1" customWidth="1"/>
    <col min="11538" max="11538" width="8" style="28" bestFit="1" customWidth="1"/>
    <col min="11539" max="11539" width="8.6328125" style="28" bestFit="1" customWidth="1"/>
    <col min="11540" max="11540" width="7.08984375" style="28" customWidth="1"/>
    <col min="11541" max="11541" width="17.453125" style="28" bestFit="1" customWidth="1"/>
    <col min="11542" max="11542" width="10.36328125" style="28" customWidth="1"/>
    <col min="11543" max="11543" width="7.453125" style="28" customWidth="1"/>
    <col min="11544" max="11544" width="9" style="28"/>
    <col min="11545" max="11545" width="10.36328125" style="28" customWidth="1"/>
    <col min="11546" max="11776" width="9" style="28"/>
    <col min="11777" max="11777" width="3.6328125" style="28" customWidth="1"/>
    <col min="11778" max="11778" width="8.08984375" style="28" customWidth="1"/>
    <col min="11779" max="11779" width="7.26953125" style="28" customWidth="1"/>
    <col min="11780" max="11781" width="0" style="28" hidden="1" customWidth="1"/>
    <col min="11782" max="11785" width="9" style="28"/>
    <col min="11786" max="11786" width="62" style="28" customWidth="1"/>
    <col min="11787" max="11787" width="8.6328125" style="28" bestFit="1" customWidth="1"/>
    <col min="11788" max="11788" width="11.26953125" style="28" customWidth="1"/>
    <col min="11789" max="11789" width="14.6328125" style="28" customWidth="1"/>
    <col min="11790" max="11790" width="8.7265625" style="28" customWidth="1"/>
    <col min="11791" max="11792" width="9.7265625" style="28" customWidth="1"/>
    <col min="11793" max="11793" width="20" style="28" bestFit="1" customWidth="1"/>
    <col min="11794" max="11794" width="8" style="28" bestFit="1" customWidth="1"/>
    <col min="11795" max="11795" width="8.6328125" style="28" bestFit="1" customWidth="1"/>
    <col min="11796" max="11796" width="7.08984375" style="28" customWidth="1"/>
    <col min="11797" max="11797" width="17.453125" style="28" bestFit="1" customWidth="1"/>
    <col min="11798" max="11798" width="10.36328125" style="28" customWidth="1"/>
    <col min="11799" max="11799" width="7.453125" style="28" customWidth="1"/>
    <col min="11800" max="11800" width="9" style="28"/>
    <col min="11801" max="11801" width="10.36328125" style="28" customWidth="1"/>
    <col min="11802" max="12032" width="9" style="28"/>
    <col min="12033" max="12033" width="3.6328125" style="28" customWidth="1"/>
    <col min="12034" max="12034" width="8.08984375" style="28" customWidth="1"/>
    <col min="12035" max="12035" width="7.26953125" style="28" customWidth="1"/>
    <col min="12036" max="12037" width="0" style="28" hidden="1" customWidth="1"/>
    <col min="12038" max="12041" width="9" style="28"/>
    <col min="12042" max="12042" width="62" style="28" customWidth="1"/>
    <col min="12043" max="12043" width="8.6328125" style="28" bestFit="1" customWidth="1"/>
    <col min="12044" max="12044" width="11.26953125" style="28" customWidth="1"/>
    <col min="12045" max="12045" width="14.6328125" style="28" customWidth="1"/>
    <col min="12046" max="12046" width="8.7265625" style="28" customWidth="1"/>
    <col min="12047" max="12048" width="9.7265625" style="28" customWidth="1"/>
    <col min="12049" max="12049" width="20" style="28" bestFit="1" customWidth="1"/>
    <col min="12050" max="12050" width="8" style="28" bestFit="1" customWidth="1"/>
    <col min="12051" max="12051" width="8.6328125" style="28" bestFit="1" customWidth="1"/>
    <col min="12052" max="12052" width="7.08984375" style="28" customWidth="1"/>
    <col min="12053" max="12053" width="17.453125" style="28" bestFit="1" customWidth="1"/>
    <col min="12054" max="12054" width="10.36328125" style="28" customWidth="1"/>
    <col min="12055" max="12055" width="7.453125" style="28" customWidth="1"/>
    <col min="12056" max="12056" width="9" style="28"/>
    <col min="12057" max="12057" width="10.36328125" style="28" customWidth="1"/>
    <col min="12058" max="12288" width="9" style="28"/>
    <col min="12289" max="12289" width="3.6328125" style="28" customWidth="1"/>
    <col min="12290" max="12290" width="8.08984375" style="28" customWidth="1"/>
    <col min="12291" max="12291" width="7.26953125" style="28" customWidth="1"/>
    <col min="12292" max="12293" width="0" style="28" hidden="1" customWidth="1"/>
    <col min="12294" max="12297" width="9" style="28"/>
    <col min="12298" max="12298" width="62" style="28" customWidth="1"/>
    <col min="12299" max="12299" width="8.6328125" style="28" bestFit="1" customWidth="1"/>
    <col min="12300" max="12300" width="11.26953125" style="28" customWidth="1"/>
    <col min="12301" max="12301" width="14.6328125" style="28" customWidth="1"/>
    <col min="12302" max="12302" width="8.7265625" style="28" customWidth="1"/>
    <col min="12303" max="12304" width="9.7265625" style="28" customWidth="1"/>
    <col min="12305" max="12305" width="20" style="28" bestFit="1" customWidth="1"/>
    <col min="12306" max="12306" width="8" style="28" bestFit="1" customWidth="1"/>
    <col min="12307" max="12307" width="8.6328125" style="28" bestFit="1" customWidth="1"/>
    <col min="12308" max="12308" width="7.08984375" style="28" customWidth="1"/>
    <col min="12309" max="12309" width="17.453125" style="28" bestFit="1" customWidth="1"/>
    <col min="12310" max="12310" width="10.36328125" style="28" customWidth="1"/>
    <col min="12311" max="12311" width="7.453125" style="28" customWidth="1"/>
    <col min="12312" max="12312" width="9" style="28"/>
    <col min="12313" max="12313" width="10.36328125" style="28" customWidth="1"/>
    <col min="12314" max="12544" width="9" style="28"/>
    <col min="12545" max="12545" width="3.6328125" style="28" customWidth="1"/>
    <col min="12546" max="12546" width="8.08984375" style="28" customWidth="1"/>
    <col min="12547" max="12547" width="7.26953125" style="28" customWidth="1"/>
    <col min="12548" max="12549" width="0" style="28" hidden="1" customWidth="1"/>
    <col min="12550" max="12553" width="9" style="28"/>
    <col min="12554" max="12554" width="62" style="28" customWidth="1"/>
    <col min="12555" max="12555" width="8.6328125" style="28" bestFit="1" customWidth="1"/>
    <col min="12556" max="12556" width="11.26953125" style="28" customWidth="1"/>
    <col min="12557" max="12557" width="14.6328125" style="28" customWidth="1"/>
    <col min="12558" max="12558" width="8.7265625" style="28" customWidth="1"/>
    <col min="12559" max="12560" width="9.7265625" style="28" customWidth="1"/>
    <col min="12561" max="12561" width="20" style="28" bestFit="1" customWidth="1"/>
    <col min="12562" max="12562" width="8" style="28" bestFit="1" customWidth="1"/>
    <col min="12563" max="12563" width="8.6328125" style="28" bestFit="1" customWidth="1"/>
    <col min="12564" max="12564" width="7.08984375" style="28" customWidth="1"/>
    <col min="12565" max="12565" width="17.453125" style="28" bestFit="1" customWidth="1"/>
    <col min="12566" max="12566" width="10.36328125" style="28" customWidth="1"/>
    <col min="12567" max="12567" width="7.453125" style="28" customWidth="1"/>
    <col min="12568" max="12568" width="9" style="28"/>
    <col min="12569" max="12569" width="10.36328125" style="28" customWidth="1"/>
    <col min="12570" max="12800" width="9" style="28"/>
    <col min="12801" max="12801" width="3.6328125" style="28" customWidth="1"/>
    <col min="12802" max="12802" width="8.08984375" style="28" customWidth="1"/>
    <col min="12803" max="12803" width="7.26953125" style="28" customWidth="1"/>
    <col min="12804" max="12805" width="0" style="28" hidden="1" customWidth="1"/>
    <col min="12806" max="12809" width="9" style="28"/>
    <col min="12810" max="12810" width="62" style="28" customWidth="1"/>
    <col min="12811" max="12811" width="8.6328125" style="28" bestFit="1" customWidth="1"/>
    <col min="12812" max="12812" width="11.26953125" style="28" customWidth="1"/>
    <col min="12813" max="12813" width="14.6328125" style="28" customWidth="1"/>
    <col min="12814" max="12814" width="8.7265625" style="28" customWidth="1"/>
    <col min="12815" max="12816" width="9.7265625" style="28" customWidth="1"/>
    <col min="12817" max="12817" width="20" style="28" bestFit="1" customWidth="1"/>
    <col min="12818" max="12818" width="8" style="28" bestFit="1" customWidth="1"/>
    <col min="12819" max="12819" width="8.6328125" style="28" bestFit="1" customWidth="1"/>
    <col min="12820" max="12820" width="7.08984375" style="28" customWidth="1"/>
    <col min="12821" max="12821" width="17.453125" style="28" bestFit="1" customWidth="1"/>
    <col min="12822" max="12822" width="10.36328125" style="28" customWidth="1"/>
    <col min="12823" max="12823" width="7.453125" style="28" customWidth="1"/>
    <col min="12824" max="12824" width="9" style="28"/>
    <col min="12825" max="12825" width="10.36328125" style="28" customWidth="1"/>
    <col min="12826" max="13056" width="9" style="28"/>
    <col min="13057" max="13057" width="3.6328125" style="28" customWidth="1"/>
    <col min="13058" max="13058" width="8.08984375" style="28" customWidth="1"/>
    <col min="13059" max="13059" width="7.26953125" style="28" customWidth="1"/>
    <col min="13060" max="13061" width="0" style="28" hidden="1" customWidth="1"/>
    <col min="13062" max="13065" width="9" style="28"/>
    <col min="13066" max="13066" width="62" style="28" customWidth="1"/>
    <col min="13067" max="13067" width="8.6328125" style="28" bestFit="1" customWidth="1"/>
    <col min="13068" max="13068" width="11.26953125" style="28" customWidth="1"/>
    <col min="13069" max="13069" width="14.6328125" style="28" customWidth="1"/>
    <col min="13070" max="13070" width="8.7265625" style="28" customWidth="1"/>
    <col min="13071" max="13072" width="9.7265625" style="28" customWidth="1"/>
    <col min="13073" max="13073" width="20" style="28" bestFit="1" customWidth="1"/>
    <col min="13074" max="13074" width="8" style="28" bestFit="1" customWidth="1"/>
    <col min="13075" max="13075" width="8.6328125" style="28" bestFit="1" customWidth="1"/>
    <col min="13076" max="13076" width="7.08984375" style="28" customWidth="1"/>
    <col min="13077" max="13077" width="17.453125" style="28" bestFit="1" customWidth="1"/>
    <col min="13078" max="13078" width="10.36328125" style="28" customWidth="1"/>
    <col min="13079" max="13079" width="7.453125" style="28" customWidth="1"/>
    <col min="13080" max="13080" width="9" style="28"/>
    <col min="13081" max="13081" width="10.36328125" style="28" customWidth="1"/>
    <col min="13082" max="13312" width="9" style="28"/>
    <col min="13313" max="13313" width="3.6328125" style="28" customWidth="1"/>
    <col min="13314" max="13314" width="8.08984375" style="28" customWidth="1"/>
    <col min="13315" max="13315" width="7.26953125" style="28" customWidth="1"/>
    <col min="13316" max="13317" width="0" style="28" hidden="1" customWidth="1"/>
    <col min="13318" max="13321" width="9" style="28"/>
    <col min="13322" max="13322" width="62" style="28" customWidth="1"/>
    <col min="13323" max="13323" width="8.6328125" style="28" bestFit="1" customWidth="1"/>
    <col min="13324" max="13324" width="11.26953125" style="28" customWidth="1"/>
    <col min="13325" max="13325" width="14.6328125" style="28" customWidth="1"/>
    <col min="13326" max="13326" width="8.7265625" style="28" customWidth="1"/>
    <col min="13327" max="13328" width="9.7265625" style="28" customWidth="1"/>
    <col min="13329" max="13329" width="20" style="28" bestFit="1" customWidth="1"/>
    <col min="13330" max="13330" width="8" style="28" bestFit="1" customWidth="1"/>
    <col min="13331" max="13331" width="8.6328125" style="28" bestFit="1" customWidth="1"/>
    <col min="13332" max="13332" width="7.08984375" style="28" customWidth="1"/>
    <col min="13333" max="13333" width="17.453125" style="28" bestFit="1" customWidth="1"/>
    <col min="13334" max="13334" width="10.36328125" style="28" customWidth="1"/>
    <col min="13335" max="13335" width="7.453125" style="28" customWidth="1"/>
    <col min="13336" max="13336" width="9" style="28"/>
    <col min="13337" max="13337" width="10.36328125" style="28" customWidth="1"/>
    <col min="13338" max="13568" width="9" style="28"/>
    <col min="13569" max="13569" width="3.6328125" style="28" customWidth="1"/>
    <col min="13570" max="13570" width="8.08984375" style="28" customWidth="1"/>
    <col min="13571" max="13571" width="7.26953125" style="28" customWidth="1"/>
    <col min="13572" max="13573" width="0" style="28" hidden="1" customWidth="1"/>
    <col min="13574" max="13577" width="9" style="28"/>
    <col min="13578" max="13578" width="62" style="28" customWidth="1"/>
    <col min="13579" max="13579" width="8.6328125" style="28" bestFit="1" customWidth="1"/>
    <col min="13580" max="13580" width="11.26953125" style="28" customWidth="1"/>
    <col min="13581" max="13581" width="14.6328125" style="28" customWidth="1"/>
    <col min="13582" max="13582" width="8.7265625" style="28" customWidth="1"/>
    <col min="13583" max="13584" width="9.7265625" style="28" customWidth="1"/>
    <col min="13585" max="13585" width="20" style="28" bestFit="1" customWidth="1"/>
    <col min="13586" max="13586" width="8" style="28" bestFit="1" customWidth="1"/>
    <col min="13587" max="13587" width="8.6328125" style="28" bestFit="1" customWidth="1"/>
    <col min="13588" max="13588" width="7.08984375" style="28" customWidth="1"/>
    <col min="13589" max="13589" width="17.453125" style="28" bestFit="1" customWidth="1"/>
    <col min="13590" max="13590" width="10.36328125" style="28" customWidth="1"/>
    <col min="13591" max="13591" width="7.453125" style="28" customWidth="1"/>
    <col min="13592" max="13592" width="9" style="28"/>
    <col min="13593" max="13593" width="10.36328125" style="28" customWidth="1"/>
    <col min="13594" max="13824" width="9" style="28"/>
    <col min="13825" max="13825" width="3.6328125" style="28" customWidth="1"/>
    <col min="13826" max="13826" width="8.08984375" style="28" customWidth="1"/>
    <col min="13827" max="13827" width="7.26953125" style="28" customWidth="1"/>
    <col min="13828" max="13829" width="0" style="28" hidden="1" customWidth="1"/>
    <col min="13830" max="13833" width="9" style="28"/>
    <col min="13834" max="13834" width="62" style="28" customWidth="1"/>
    <col min="13835" max="13835" width="8.6328125" style="28" bestFit="1" customWidth="1"/>
    <col min="13836" max="13836" width="11.26953125" style="28" customWidth="1"/>
    <col min="13837" max="13837" width="14.6328125" style="28" customWidth="1"/>
    <col min="13838" max="13838" width="8.7265625" style="28" customWidth="1"/>
    <col min="13839" max="13840" width="9.7265625" style="28" customWidth="1"/>
    <col min="13841" max="13841" width="20" style="28" bestFit="1" customWidth="1"/>
    <col min="13842" max="13842" width="8" style="28" bestFit="1" customWidth="1"/>
    <col min="13843" max="13843" width="8.6328125" style="28" bestFit="1" customWidth="1"/>
    <col min="13844" max="13844" width="7.08984375" style="28" customWidth="1"/>
    <col min="13845" max="13845" width="17.453125" style="28" bestFit="1" customWidth="1"/>
    <col min="13846" max="13846" width="10.36328125" style="28" customWidth="1"/>
    <col min="13847" max="13847" width="7.453125" style="28" customWidth="1"/>
    <col min="13848" max="13848" width="9" style="28"/>
    <col min="13849" max="13849" width="10.36328125" style="28" customWidth="1"/>
    <col min="13850" max="14080" width="9" style="28"/>
    <col min="14081" max="14081" width="3.6328125" style="28" customWidth="1"/>
    <col min="14082" max="14082" width="8.08984375" style="28" customWidth="1"/>
    <col min="14083" max="14083" width="7.26953125" style="28" customWidth="1"/>
    <col min="14084" max="14085" width="0" style="28" hidden="1" customWidth="1"/>
    <col min="14086" max="14089" width="9" style="28"/>
    <col min="14090" max="14090" width="62" style="28" customWidth="1"/>
    <col min="14091" max="14091" width="8.6328125" style="28" bestFit="1" customWidth="1"/>
    <col min="14092" max="14092" width="11.26953125" style="28" customWidth="1"/>
    <col min="14093" max="14093" width="14.6328125" style="28" customWidth="1"/>
    <col min="14094" max="14094" width="8.7265625" style="28" customWidth="1"/>
    <col min="14095" max="14096" width="9.7265625" style="28" customWidth="1"/>
    <col min="14097" max="14097" width="20" style="28" bestFit="1" customWidth="1"/>
    <col min="14098" max="14098" width="8" style="28" bestFit="1" customWidth="1"/>
    <col min="14099" max="14099" width="8.6328125" style="28" bestFit="1" customWidth="1"/>
    <col min="14100" max="14100" width="7.08984375" style="28" customWidth="1"/>
    <col min="14101" max="14101" width="17.453125" style="28" bestFit="1" customWidth="1"/>
    <col min="14102" max="14102" width="10.36328125" style="28" customWidth="1"/>
    <col min="14103" max="14103" width="7.453125" style="28" customWidth="1"/>
    <col min="14104" max="14104" width="9" style="28"/>
    <col min="14105" max="14105" width="10.36328125" style="28" customWidth="1"/>
    <col min="14106" max="14336" width="9" style="28"/>
    <col min="14337" max="14337" width="3.6328125" style="28" customWidth="1"/>
    <col min="14338" max="14338" width="8.08984375" style="28" customWidth="1"/>
    <col min="14339" max="14339" width="7.26953125" style="28" customWidth="1"/>
    <col min="14340" max="14341" width="0" style="28" hidden="1" customWidth="1"/>
    <col min="14342" max="14345" width="9" style="28"/>
    <col min="14346" max="14346" width="62" style="28" customWidth="1"/>
    <col min="14347" max="14347" width="8.6328125" style="28" bestFit="1" customWidth="1"/>
    <col min="14348" max="14348" width="11.26953125" style="28" customWidth="1"/>
    <col min="14349" max="14349" width="14.6328125" style="28" customWidth="1"/>
    <col min="14350" max="14350" width="8.7265625" style="28" customWidth="1"/>
    <col min="14351" max="14352" width="9.7265625" style="28" customWidth="1"/>
    <col min="14353" max="14353" width="20" style="28" bestFit="1" customWidth="1"/>
    <col min="14354" max="14354" width="8" style="28" bestFit="1" customWidth="1"/>
    <col min="14355" max="14355" width="8.6328125" style="28" bestFit="1" customWidth="1"/>
    <col min="14356" max="14356" width="7.08984375" style="28" customWidth="1"/>
    <col min="14357" max="14357" width="17.453125" style="28" bestFit="1" customWidth="1"/>
    <col min="14358" max="14358" width="10.36328125" style="28" customWidth="1"/>
    <col min="14359" max="14359" width="7.453125" style="28" customWidth="1"/>
    <col min="14360" max="14360" width="9" style="28"/>
    <col min="14361" max="14361" width="10.36328125" style="28" customWidth="1"/>
    <col min="14362" max="14592" width="9" style="28"/>
    <col min="14593" max="14593" width="3.6328125" style="28" customWidth="1"/>
    <col min="14594" max="14594" width="8.08984375" style="28" customWidth="1"/>
    <col min="14595" max="14595" width="7.26953125" style="28" customWidth="1"/>
    <col min="14596" max="14597" width="0" style="28" hidden="1" customWidth="1"/>
    <col min="14598" max="14601" width="9" style="28"/>
    <col min="14602" max="14602" width="62" style="28" customWidth="1"/>
    <col min="14603" max="14603" width="8.6328125" style="28" bestFit="1" customWidth="1"/>
    <col min="14604" max="14604" width="11.26953125" style="28" customWidth="1"/>
    <col min="14605" max="14605" width="14.6328125" style="28" customWidth="1"/>
    <col min="14606" max="14606" width="8.7265625" style="28" customWidth="1"/>
    <col min="14607" max="14608" width="9.7265625" style="28" customWidth="1"/>
    <col min="14609" max="14609" width="20" style="28" bestFit="1" customWidth="1"/>
    <col min="14610" max="14610" width="8" style="28" bestFit="1" customWidth="1"/>
    <col min="14611" max="14611" width="8.6328125" style="28" bestFit="1" customWidth="1"/>
    <col min="14612" max="14612" width="7.08984375" style="28" customWidth="1"/>
    <col min="14613" max="14613" width="17.453125" style="28" bestFit="1" customWidth="1"/>
    <col min="14614" max="14614" width="10.36328125" style="28" customWidth="1"/>
    <col min="14615" max="14615" width="7.453125" style="28" customWidth="1"/>
    <col min="14616" max="14616" width="9" style="28"/>
    <col min="14617" max="14617" width="10.36328125" style="28" customWidth="1"/>
    <col min="14618" max="14848" width="9" style="28"/>
    <col min="14849" max="14849" width="3.6328125" style="28" customWidth="1"/>
    <col min="14850" max="14850" width="8.08984375" style="28" customWidth="1"/>
    <col min="14851" max="14851" width="7.26953125" style="28" customWidth="1"/>
    <col min="14852" max="14853" width="0" style="28" hidden="1" customWidth="1"/>
    <col min="14854" max="14857" width="9" style="28"/>
    <col min="14858" max="14858" width="62" style="28" customWidth="1"/>
    <col min="14859" max="14859" width="8.6328125" style="28" bestFit="1" customWidth="1"/>
    <col min="14860" max="14860" width="11.26953125" style="28" customWidth="1"/>
    <col min="14861" max="14861" width="14.6328125" style="28" customWidth="1"/>
    <col min="14862" max="14862" width="8.7265625" style="28" customWidth="1"/>
    <col min="14863" max="14864" width="9.7265625" style="28" customWidth="1"/>
    <col min="14865" max="14865" width="20" style="28" bestFit="1" customWidth="1"/>
    <col min="14866" max="14866" width="8" style="28" bestFit="1" customWidth="1"/>
    <col min="14867" max="14867" width="8.6328125" style="28" bestFit="1" customWidth="1"/>
    <col min="14868" max="14868" width="7.08984375" style="28" customWidth="1"/>
    <col min="14869" max="14869" width="17.453125" style="28" bestFit="1" customWidth="1"/>
    <col min="14870" max="14870" width="10.36328125" style="28" customWidth="1"/>
    <col min="14871" max="14871" width="7.453125" style="28" customWidth="1"/>
    <col min="14872" max="14872" width="9" style="28"/>
    <col min="14873" max="14873" width="10.36328125" style="28" customWidth="1"/>
    <col min="14874" max="15104" width="9" style="28"/>
    <col min="15105" max="15105" width="3.6328125" style="28" customWidth="1"/>
    <col min="15106" max="15106" width="8.08984375" style="28" customWidth="1"/>
    <col min="15107" max="15107" width="7.26953125" style="28" customWidth="1"/>
    <col min="15108" max="15109" width="0" style="28" hidden="1" customWidth="1"/>
    <col min="15110" max="15113" width="9" style="28"/>
    <col min="15114" max="15114" width="62" style="28" customWidth="1"/>
    <col min="15115" max="15115" width="8.6328125" style="28" bestFit="1" customWidth="1"/>
    <col min="15116" max="15116" width="11.26953125" style="28" customWidth="1"/>
    <col min="15117" max="15117" width="14.6328125" style="28" customWidth="1"/>
    <col min="15118" max="15118" width="8.7265625" style="28" customWidth="1"/>
    <col min="15119" max="15120" width="9.7265625" style="28" customWidth="1"/>
    <col min="15121" max="15121" width="20" style="28" bestFit="1" customWidth="1"/>
    <col min="15122" max="15122" width="8" style="28" bestFit="1" customWidth="1"/>
    <col min="15123" max="15123" width="8.6328125" style="28" bestFit="1" customWidth="1"/>
    <col min="15124" max="15124" width="7.08984375" style="28" customWidth="1"/>
    <col min="15125" max="15125" width="17.453125" style="28" bestFit="1" customWidth="1"/>
    <col min="15126" max="15126" width="10.36328125" style="28" customWidth="1"/>
    <col min="15127" max="15127" width="7.453125" style="28" customWidth="1"/>
    <col min="15128" max="15128" width="9" style="28"/>
    <col min="15129" max="15129" width="10.36328125" style="28" customWidth="1"/>
    <col min="15130" max="15360" width="9" style="28"/>
    <col min="15361" max="15361" width="3.6328125" style="28" customWidth="1"/>
    <col min="15362" max="15362" width="8.08984375" style="28" customWidth="1"/>
    <col min="15363" max="15363" width="7.26953125" style="28" customWidth="1"/>
    <col min="15364" max="15365" width="0" style="28" hidden="1" customWidth="1"/>
    <col min="15366" max="15369" width="9" style="28"/>
    <col min="15370" max="15370" width="62" style="28" customWidth="1"/>
    <col min="15371" max="15371" width="8.6328125" style="28" bestFit="1" customWidth="1"/>
    <col min="15372" max="15372" width="11.26953125" style="28" customWidth="1"/>
    <col min="15373" max="15373" width="14.6328125" style="28" customWidth="1"/>
    <col min="15374" max="15374" width="8.7265625" style="28" customWidth="1"/>
    <col min="15375" max="15376" width="9.7265625" style="28" customWidth="1"/>
    <col min="15377" max="15377" width="20" style="28" bestFit="1" customWidth="1"/>
    <col min="15378" max="15378" width="8" style="28" bestFit="1" customWidth="1"/>
    <col min="15379" max="15379" width="8.6328125" style="28" bestFit="1" customWidth="1"/>
    <col min="15380" max="15380" width="7.08984375" style="28" customWidth="1"/>
    <col min="15381" max="15381" width="17.453125" style="28" bestFit="1" customWidth="1"/>
    <col min="15382" max="15382" width="10.36328125" style="28" customWidth="1"/>
    <col min="15383" max="15383" width="7.453125" style="28" customWidth="1"/>
    <col min="15384" max="15384" width="9" style="28"/>
    <col min="15385" max="15385" width="10.36328125" style="28" customWidth="1"/>
    <col min="15386" max="15616" width="9" style="28"/>
    <col min="15617" max="15617" width="3.6328125" style="28" customWidth="1"/>
    <col min="15618" max="15618" width="8.08984375" style="28" customWidth="1"/>
    <col min="15619" max="15619" width="7.26953125" style="28" customWidth="1"/>
    <col min="15620" max="15621" width="0" style="28" hidden="1" customWidth="1"/>
    <col min="15622" max="15625" width="9" style="28"/>
    <col min="15626" max="15626" width="62" style="28" customWidth="1"/>
    <col min="15627" max="15627" width="8.6328125" style="28" bestFit="1" customWidth="1"/>
    <col min="15628" max="15628" width="11.26953125" style="28" customWidth="1"/>
    <col min="15629" max="15629" width="14.6328125" style="28" customWidth="1"/>
    <col min="15630" max="15630" width="8.7265625" style="28" customWidth="1"/>
    <col min="15631" max="15632" width="9.7265625" style="28" customWidth="1"/>
    <col min="15633" max="15633" width="20" style="28" bestFit="1" customWidth="1"/>
    <col min="15634" max="15634" width="8" style="28" bestFit="1" customWidth="1"/>
    <col min="15635" max="15635" width="8.6328125" style="28" bestFit="1" customWidth="1"/>
    <col min="15636" max="15636" width="7.08984375" style="28" customWidth="1"/>
    <col min="15637" max="15637" width="17.453125" style="28" bestFit="1" customWidth="1"/>
    <col min="15638" max="15638" width="10.36328125" style="28" customWidth="1"/>
    <col min="15639" max="15639" width="7.453125" style="28" customWidth="1"/>
    <col min="15640" max="15640" width="9" style="28"/>
    <col min="15641" max="15641" width="10.36328125" style="28" customWidth="1"/>
    <col min="15642" max="15872" width="9" style="28"/>
    <col min="15873" max="15873" width="3.6328125" style="28" customWidth="1"/>
    <col min="15874" max="15874" width="8.08984375" style="28" customWidth="1"/>
    <col min="15875" max="15875" width="7.26953125" style="28" customWidth="1"/>
    <col min="15876" max="15877" width="0" style="28" hidden="1" customWidth="1"/>
    <col min="15878" max="15881" width="9" style="28"/>
    <col min="15882" max="15882" width="62" style="28" customWidth="1"/>
    <col min="15883" max="15883" width="8.6328125" style="28" bestFit="1" customWidth="1"/>
    <col min="15884" max="15884" width="11.26953125" style="28" customWidth="1"/>
    <col min="15885" max="15885" width="14.6328125" style="28" customWidth="1"/>
    <col min="15886" max="15886" width="8.7265625" style="28" customWidth="1"/>
    <col min="15887" max="15888" width="9.7265625" style="28" customWidth="1"/>
    <col min="15889" max="15889" width="20" style="28" bestFit="1" customWidth="1"/>
    <col min="15890" max="15890" width="8" style="28" bestFit="1" customWidth="1"/>
    <col min="15891" max="15891" width="8.6328125" style="28" bestFit="1" customWidth="1"/>
    <col min="15892" max="15892" width="7.08984375" style="28" customWidth="1"/>
    <col min="15893" max="15893" width="17.453125" style="28" bestFit="1" customWidth="1"/>
    <col min="15894" max="15894" width="10.36328125" style="28" customWidth="1"/>
    <col min="15895" max="15895" width="7.453125" style="28" customWidth="1"/>
    <col min="15896" max="15896" width="9" style="28"/>
    <col min="15897" max="15897" width="10.36328125" style="28" customWidth="1"/>
    <col min="15898" max="16128" width="9" style="28"/>
    <col min="16129" max="16129" width="3.6328125" style="28" customWidth="1"/>
    <col min="16130" max="16130" width="8.08984375" style="28" customWidth="1"/>
    <col min="16131" max="16131" width="7.26953125" style="28" customWidth="1"/>
    <col min="16132" max="16133" width="0" style="28" hidden="1" customWidth="1"/>
    <col min="16134" max="16137" width="9" style="28"/>
    <col min="16138" max="16138" width="62" style="28" customWidth="1"/>
    <col min="16139" max="16139" width="8.6328125" style="28" bestFit="1" customWidth="1"/>
    <col min="16140" max="16140" width="11.26953125" style="28" customWidth="1"/>
    <col min="16141" max="16141" width="14.6328125" style="28" customWidth="1"/>
    <col min="16142" max="16142" width="8.7265625" style="28" customWidth="1"/>
    <col min="16143" max="16144" width="9.7265625" style="28" customWidth="1"/>
    <col min="16145" max="16145" width="20" style="28" bestFit="1" customWidth="1"/>
    <col min="16146" max="16146" width="8" style="28" bestFit="1" customWidth="1"/>
    <col min="16147" max="16147" width="8.6328125" style="28" bestFit="1" customWidth="1"/>
    <col min="16148" max="16148" width="7.08984375" style="28" customWidth="1"/>
    <col min="16149" max="16149" width="17.453125" style="28" bestFit="1" customWidth="1"/>
    <col min="16150" max="16150" width="10.36328125" style="28" customWidth="1"/>
    <col min="16151" max="16151" width="7.453125" style="28" customWidth="1"/>
    <col min="16152" max="16152" width="9" style="28"/>
    <col min="16153" max="16153" width="10.36328125" style="28" customWidth="1"/>
    <col min="16154" max="16384" width="9" style="28"/>
  </cols>
  <sheetData>
    <row r="1" spans="1:10">
      <c r="A1" s="29" t="s">
        <v>118</v>
      </c>
    </row>
    <row r="2" spans="1:10" s="77" customFormat="1" ht="24" customHeight="1" thickBot="1">
      <c r="A2" s="123"/>
      <c r="B2" s="510" t="s">
        <v>314</v>
      </c>
      <c r="C2" s="510"/>
      <c r="D2" s="510"/>
      <c r="E2" s="510"/>
      <c r="F2" s="510"/>
      <c r="G2" s="510"/>
      <c r="H2" s="510"/>
      <c r="I2" s="510"/>
      <c r="J2" s="510"/>
    </row>
    <row r="3" spans="1:10" ht="14.25" customHeight="1" thickTop="1" thickBot="1">
      <c r="B3" s="34" t="s">
        <v>120</v>
      </c>
      <c r="C3" s="34" t="s">
        <v>121</v>
      </c>
      <c r="D3" s="34"/>
      <c r="E3" s="35"/>
      <c r="F3" s="30"/>
      <c r="G3" s="30"/>
      <c r="H3" s="30"/>
      <c r="I3" s="30"/>
      <c r="J3" s="30"/>
    </row>
    <row r="4" spans="1:10" ht="14.25" customHeight="1">
      <c r="B4" s="511" t="s">
        <v>315</v>
      </c>
      <c r="C4" s="124" t="s">
        <v>316</v>
      </c>
      <c r="D4" s="124" t="s">
        <v>317</v>
      </c>
      <c r="E4" s="124"/>
      <c r="F4" s="124"/>
      <c r="G4" s="124"/>
      <c r="H4" s="124"/>
      <c r="I4" s="124"/>
      <c r="J4" s="125"/>
    </row>
    <row r="5" spans="1:10" ht="14.25" customHeight="1" thickBot="1">
      <c r="B5" s="512"/>
      <c r="C5" s="513"/>
      <c r="D5" s="514"/>
      <c r="E5" s="515"/>
      <c r="F5" s="515"/>
      <c r="G5" s="515"/>
      <c r="H5" s="515"/>
      <c r="I5" s="515"/>
      <c r="J5" s="516"/>
    </row>
    <row r="6" spans="1:10" ht="14.25" customHeight="1">
      <c r="B6" s="129"/>
      <c r="D6" s="60"/>
      <c r="E6" s="60"/>
      <c r="F6" s="60"/>
      <c r="G6" s="60"/>
      <c r="H6" s="60"/>
      <c r="I6" s="60"/>
      <c r="J6" s="51"/>
    </row>
    <row r="7" spans="1:10" ht="14.25" customHeight="1">
      <c r="B7" s="238" t="s">
        <v>318</v>
      </c>
      <c r="C7" s="60"/>
      <c r="D7" s="239"/>
      <c r="E7" s="240"/>
      <c r="F7" s="240"/>
      <c r="G7" s="239"/>
      <c r="H7" s="239"/>
      <c r="I7" s="239"/>
      <c r="J7" s="51"/>
    </row>
    <row r="8" spans="1:10" ht="14.25" customHeight="1">
      <c r="B8" s="241"/>
      <c r="C8" s="132"/>
      <c r="D8" s="44" t="s">
        <v>319</v>
      </c>
      <c r="E8" s="44"/>
      <c r="F8" s="44"/>
      <c r="G8" s="44"/>
      <c r="H8" s="44"/>
      <c r="I8" s="44"/>
      <c r="J8" s="242" t="s">
        <v>320</v>
      </c>
    </row>
    <row r="9" spans="1:10" ht="14.25" customHeight="1">
      <c r="B9" s="129"/>
      <c r="D9" s="60"/>
      <c r="E9" s="60"/>
      <c r="F9" s="60"/>
      <c r="G9" s="60"/>
      <c r="H9" s="60"/>
      <c r="I9" s="60"/>
      <c r="J9" s="51"/>
    </row>
    <row r="10" spans="1:10" ht="14.25" customHeight="1">
      <c r="B10" s="129"/>
      <c r="D10" s="60"/>
      <c r="E10" s="60"/>
      <c r="F10" s="60"/>
      <c r="G10" s="60"/>
      <c r="H10" s="60"/>
      <c r="I10" s="60"/>
      <c r="J10" s="51"/>
    </row>
    <row r="11" spans="1:10" ht="14.25" customHeight="1">
      <c r="B11" s="129"/>
      <c r="D11" s="60"/>
      <c r="E11" s="60"/>
      <c r="F11" s="60"/>
      <c r="G11" s="60"/>
      <c r="H11" s="60"/>
      <c r="I11" s="60"/>
      <c r="J11" s="51"/>
    </row>
    <row r="12" spans="1:10" ht="14.25" customHeight="1">
      <c r="B12" s="129"/>
      <c r="D12" s="60"/>
      <c r="E12" s="60"/>
      <c r="F12" s="60"/>
      <c r="G12" s="60"/>
      <c r="H12" s="60"/>
      <c r="I12" s="60"/>
      <c r="J12" s="51"/>
    </row>
    <row r="13" spans="1:10" ht="14.25" customHeight="1">
      <c r="B13" s="129"/>
      <c r="D13" s="60"/>
      <c r="E13" s="60"/>
      <c r="F13" s="60"/>
      <c r="G13" s="60"/>
      <c r="H13" s="60"/>
      <c r="I13" s="60"/>
      <c r="J13" s="51"/>
    </row>
    <row r="14" spans="1:10" ht="14.25" customHeight="1">
      <c r="B14" s="129"/>
      <c r="D14" s="60"/>
      <c r="E14" s="60"/>
      <c r="F14" s="60"/>
      <c r="G14" s="60"/>
      <c r="H14" s="60"/>
      <c r="I14" s="60"/>
      <c r="J14" s="51"/>
    </row>
    <row r="15" spans="1:10" ht="14.25" customHeight="1">
      <c r="B15" s="129"/>
      <c r="D15" s="60"/>
      <c r="E15" s="60"/>
      <c r="F15" s="60"/>
      <c r="G15" s="60"/>
      <c r="H15" s="60"/>
      <c r="I15" s="60"/>
      <c r="J15" s="51"/>
    </row>
    <row r="16" spans="1:10" ht="14.25" customHeight="1">
      <c r="B16" s="129"/>
      <c r="D16" s="60"/>
      <c r="E16" s="60"/>
      <c r="F16" s="60"/>
      <c r="G16" s="60"/>
      <c r="H16" s="60"/>
      <c r="I16" s="60"/>
      <c r="J16" s="51"/>
    </row>
    <row r="17" spans="2:10" ht="14.25" customHeight="1">
      <c r="B17" s="129"/>
      <c r="D17" s="60"/>
      <c r="E17" s="60"/>
      <c r="F17" s="60"/>
      <c r="G17" s="60"/>
      <c r="H17" s="60"/>
      <c r="I17" s="60"/>
      <c r="J17" s="51"/>
    </row>
    <row r="18" spans="2:10" ht="14.25" customHeight="1">
      <c r="B18" s="43"/>
      <c r="C18" s="44"/>
      <c r="D18" s="44"/>
      <c r="E18" s="44"/>
      <c r="F18" s="44"/>
      <c r="G18" s="44"/>
      <c r="H18" s="44"/>
      <c r="I18" s="44"/>
      <c r="J18" s="45"/>
    </row>
    <row r="19" spans="2:10" ht="14.25" customHeight="1">
      <c r="B19" s="243" t="s">
        <v>321</v>
      </c>
      <c r="C19" s="60" t="s">
        <v>322</v>
      </c>
      <c r="D19" s="68" t="s">
        <v>323</v>
      </c>
      <c r="E19" s="60"/>
      <c r="F19" s="60"/>
      <c r="G19" s="60"/>
      <c r="H19" s="60"/>
      <c r="I19" s="60"/>
      <c r="J19" s="51"/>
    </row>
    <row r="20" spans="2:10" ht="14.25" customHeight="1">
      <c r="B20" s="130"/>
      <c r="C20" s="131"/>
      <c r="D20" s="60"/>
      <c r="E20" s="60"/>
      <c r="F20" s="60"/>
      <c r="G20" s="60"/>
      <c r="H20" s="60"/>
      <c r="I20" s="60"/>
      <c r="J20" s="51"/>
    </row>
    <row r="21" spans="2:10" ht="14.25" customHeight="1">
      <c r="B21" s="129"/>
      <c r="D21" s="60"/>
      <c r="E21" s="60"/>
      <c r="F21" s="60"/>
      <c r="G21" s="60"/>
      <c r="H21" s="60"/>
      <c r="I21" s="60"/>
      <c r="J21" s="51"/>
    </row>
    <row r="22" spans="2:10" ht="14.25" customHeight="1">
      <c r="B22" s="129"/>
      <c r="D22" s="60"/>
      <c r="E22" s="60"/>
      <c r="F22" s="60"/>
      <c r="G22" s="60"/>
      <c r="H22" s="60"/>
      <c r="I22" s="60"/>
      <c r="J22" s="51"/>
    </row>
    <row r="23" spans="2:10" ht="14.25" customHeight="1">
      <c r="B23" s="129"/>
      <c r="D23" s="60"/>
      <c r="E23" s="60"/>
      <c r="F23" s="60"/>
      <c r="G23" s="60"/>
      <c r="H23" s="60"/>
      <c r="I23" s="60"/>
      <c r="J23" s="51"/>
    </row>
    <row r="24" spans="2:10" ht="14.25" customHeight="1">
      <c r="B24" s="129"/>
      <c r="D24" s="60"/>
      <c r="E24" s="60"/>
      <c r="F24" s="60"/>
      <c r="G24" s="60"/>
      <c r="H24" s="60"/>
      <c r="I24" s="60"/>
      <c r="J24" s="51"/>
    </row>
    <row r="25" spans="2:10" ht="14.25" customHeight="1">
      <c r="B25" s="129"/>
      <c r="D25" s="60"/>
      <c r="E25" s="60"/>
      <c r="F25" s="60"/>
      <c r="G25" s="60"/>
      <c r="H25" s="60"/>
      <c r="I25" s="60"/>
      <c r="J25" s="51"/>
    </row>
    <row r="26" spans="2:10" ht="14.25" customHeight="1">
      <c r="B26" s="129"/>
      <c r="D26" s="60"/>
      <c r="E26" s="60"/>
      <c r="F26" s="60"/>
      <c r="G26" s="60"/>
      <c r="H26" s="60"/>
      <c r="I26" s="60"/>
      <c r="J26" s="51"/>
    </row>
    <row r="27" spans="2:10" ht="14.25" customHeight="1">
      <c r="B27" s="129"/>
      <c r="D27" s="60"/>
      <c r="E27" s="60"/>
      <c r="F27" s="60"/>
      <c r="G27" s="60"/>
      <c r="H27" s="60"/>
      <c r="I27" s="60"/>
      <c r="J27" s="51"/>
    </row>
    <row r="28" spans="2:10" ht="14.25" customHeight="1">
      <c r="B28" s="129"/>
      <c r="D28" s="60"/>
      <c r="E28" s="60"/>
      <c r="F28" s="60"/>
      <c r="G28" s="60"/>
      <c r="H28" s="60"/>
      <c r="I28" s="60"/>
      <c r="J28" s="51"/>
    </row>
    <row r="29" spans="2:10" ht="14.25" customHeight="1">
      <c r="B29" s="129"/>
      <c r="D29" s="60"/>
      <c r="E29" s="60"/>
      <c r="F29" s="60"/>
      <c r="G29" s="60"/>
      <c r="H29" s="60"/>
      <c r="I29" s="60"/>
      <c r="J29" s="51"/>
    </row>
    <row r="30" spans="2:10" ht="14.25" customHeight="1">
      <c r="B30" s="129"/>
      <c r="D30" s="60"/>
      <c r="E30" s="60"/>
      <c r="F30" s="60"/>
      <c r="G30" s="60"/>
      <c r="H30" s="60"/>
      <c r="I30" s="60"/>
      <c r="J30" s="51"/>
    </row>
    <row r="31" spans="2:10" ht="14.25" customHeight="1">
      <c r="B31" s="129"/>
      <c r="D31" s="60"/>
      <c r="E31" s="60"/>
      <c r="F31" s="60"/>
      <c r="G31" s="60"/>
      <c r="H31" s="60"/>
      <c r="I31" s="60"/>
      <c r="J31" s="51"/>
    </row>
    <row r="32" spans="2:10" ht="14.25" customHeight="1">
      <c r="B32" s="129"/>
      <c r="D32" s="60"/>
      <c r="E32" s="60"/>
      <c r="F32" s="60"/>
      <c r="G32" s="60"/>
      <c r="H32" s="60"/>
      <c r="I32" s="60"/>
      <c r="J32" s="51"/>
    </row>
    <row r="33" spans="2:10" ht="14.25" customHeight="1">
      <c r="B33" s="243" t="s">
        <v>324</v>
      </c>
      <c r="C33" s="60" t="s">
        <v>325</v>
      </c>
      <c r="D33" s="68" t="s">
        <v>325</v>
      </c>
      <c r="E33" s="60"/>
      <c r="F33" s="60"/>
      <c r="G33" s="60"/>
      <c r="H33" s="60"/>
      <c r="I33" s="60"/>
      <c r="J33" s="51"/>
    </row>
    <row r="34" spans="2:10" ht="14.25" customHeight="1">
      <c r="B34" s="129"/>
      <c r="D34" s="60"/>
      <c r="E34" s="60"/>
      <c r="F34" s="60"/>
      <c r="G34" s="60"/>
      <c r="H34" s="60"/>
      <c r="I34" s="60"/>
      <c r="J34" s="51"/>
    </row>
    <row r="35" spans="2:10" ht="14.25" customHeight="1">
      <c r="B35" s="129"/>
      <c r="D35" s="60"/>
      <c r="E35" s="60"/>
      <c r="F35" s="60"/>
      <c r="G35" s="60"/>
      <c r="H35" s="60"/>
      <c r="I35" s="60"/>
      <c r="J35" s="51"/>
    </row>
    <row r="36" spans="2:10" ht="14.25" customHeight="1">
      <c r="B36" s="129"/>
      <c r="D36" s="60"/>
      <c r="E36" s="60"/>
      <c r="F36" s="60"/>
      <c r="G36" s="60"/>
      <c r="H36" s="60"/>
      <c r="I36" s="60"/>
      <c r="J36" s="51"/>
    </row>
    <row r="37" spans="2:10" ht="14.25" customHeight="1">
      <c r="B37" s="129"/>
      <c r="D37" s="60"/>
      <c r="E37" s="60"/>
      <c r="F37" s="60"/>
      <c r="G37" s="60"/>
      <c r="H37" s="60"/>
      <c r="I37" s="60"/>
      <c r="J37" s="51"/>
    </row>
    <row r="38" spans="2:10" ht="14.25" customHeight="1">
      <c r="B38" s="129"/>
      <c r="D38" s="60"/>
      <c r="E38" s="60"/>
      <c r="F38" s="60"/>
      <c r="G38" s="60"/>
      <c r="H38" s="60"/>
      <c r="I38" s="60"/>
      <c r="J38" s="51"/>
    </row>
    <row r="39" spans="2:10" ht="14.25" customHeight="1">
      <c r="B39" s="129"/>
      <c r="D39" s="60"/>
      <c r="E39" s="60"/>
      <c r="F39" s="60"/>
      <c r="G39" s="60"/>
      <c r="H39" s="60"/>
      <c r="I39" s="60"/>
      <c r="J39" s="51"/>
    </row>
    <row r="40" spans="2:10" ht="14.25" customHeight="1">
      <c r="B40" s="129"/>
      <c r="D40" s="60"/>
      <c r="E40" s="60"/>
      <c r="F40" s="60"/>
      <c r="G40" s="60"/>
      <c r="H40" s="60"/>
      <c r="I40" s="60"/>
      <c r="J40" s="51"/>
    </row>
    <row r="41" spans="2:10" ht="14.25" customHeight="1">
      <c r="B41" s="129"/>
      <c r="D41" s="60"/>
      <c r="E41" s="60"/>
      <c r="F41" s="60"/>
      <c r="G41" s="60"/>
      <c r="H41" s="60"/>
      <c r="I41" s="60"/>
      <c r="J41" s="51"/>
    </row>
    <row r="42" spans="2:10" ht="14.25" customHeight="1">
      <c r="B42" s="129"/>
      <c r="D42" s="60"/>
      <c r="E42" s="60"/>
      <c r="F42" s="60"/>
      <c r="G42" s="60"/>
      <c r="H42" s="60"/>
      <c r="I42" s="60"/>
      <c r="J42" s="51"/>
    </row>
    <row r="43" spans="2:10" ht="14.25" customHeight="1">
      <c r="B43" s="129"/>
      <c r="D43" s="60"/>
      <c r="E43" s="60"/>
      <c r="F43" s="60"/>
      <c r="G43" s="60"/>
      <c r="H43" s="60"/>
      <c r="I43" s="60"/>
      <c r="J43" s="51"/>
    </row>
    <row r="44" spans="2:10" ht="14.25" customHeight="1">
      <c r="B44" s="126"/>
      <c r="C44" s="244"/>
      <c r="D44" s="127"/>
      <c r="E44" s="44"/>
      <c r="F44" s="44"/>
      <c r="G44" s="44"/>
      <c r="H44" s="44"/>
      <c r="I44" s="44"/>
      <c r="J44" s="45"/>
    </row>
    <row r="45" spans="2:10" ht="14.25" customHeight="1" thickBot="1">
      <c r="B45" s="144"/>
      <c r="C45" s="145"/>
      <c r="D45" s="74"/>
      <c r="E45" s="74"/>
      <c r="F45" s="74"/>
      <c r="G45" s="74"/>
      <c r="H45" s="74"/>
      <c r="I45" s="74"/>
      <c r="J45" s="75"/>
    </row>
    <row r="46" spans="2:10" ht="14.25" customHeight="1">
      <c r="B46" s="511" t="s">
        <v>326</v>
      </c>
      <c r="C46" s="124" t="s">
        <v>317</v>
      </c>
      <c r="D46" s="124" t="s">
        <v>317</v>
      </c>
      <c r="E46" s="124"/>
      <c r="F46" s="124"/>
      <c r="G46" s="124"/>
      <c r="H46" s="124"/>
      <c r="I46" s="124"/>
      <c r="J46" s="125"/>
    </row>
    <row r="47" spans="2:10" ht="14.25" customHeight="1" thickBot="1">
      <c r="B47" s="512"/>
      <c r="C47" s="513"/>
      <c r="D47" s="514"/>
      <c r="E47" s="515"/>
      <c r="F47" s="515"/>
      <c r="G47" s="515"/>
      <c r="H47" s="515"/>
      <c r="I47" s="515"/>
      <c r="J47" s="516"/>
    </row>
    <row r="48" spans="2:10" ht="17.25" customHeight="1">
      <c r="B48" s="245"/>
      <c r="C48" s="246" t="s">
        <v>327</v>
      </c>
      <c r="D48" s="246"/>
      <c r="E48" s="246"/>
      <c r="F48" s="246"/>
      <c r="G48" s="246"/>
      <c r="H48" s="246"/>
      <c r="I48" s="246"/>
      <c r="J48" s="247"/>
    </row>
    <row r="49" spans="2:10" ht="17.25" customHeight="1">
      <c r="B49" s="248"/>
      <c r="C49" s="71" t="s">
        <v>328</v>
      </c>
      <c r="D49" s="68"/>
      <c r="E49" s="68"/>
      <c r="F49" s="68"/>
      <c r="G49" s="68"/>
      <c r="H49" s="68"/>
      <c r="I49" s="68"/>
      <c r="J49" s="249"/>
    </row>
    <row r="50" spans="2:10" ht="17.25" customHeight="1">
      <c r="B50" s="250"/>
      <c r="C50" s="180"/>
      <c r="D50" s="68"/>
      <c r="E50" s="68"/>
      <c r="F50" s="68"/>
      <c r="G50" s="68"/>
      <c r="H50" s="68"/>
      <c r="I50" s="68"/>
      <c r="J50" s="249"/>
    </row>
    <row r="51" spans="2:10" ht="17.25" customHeight="1">
      <c r="B51" s="250"/>
      <c r="C51" s="180"/>
      <c r="D51" s="68"/>
      <c r="E51" s="68"/>
      <c r="F51" s="68"/>
      <c r="G51" s="68"/>
      <c r="H51" s="68"/>
      <c r="I51" s="68"/>
      <c r="J51" s="249"/>
    </row>
    <row r="52" spans="2:10" ht="17.25" customHeight="1">
      <c r="B52" s="250"/>
      <c r="C52" s="180"/>
      <c r="D52" s="68"/>
      <c r="E52" s="68"/>
      <c r="F52" s="68"/>
      <c r="G52" s="68"/>
      <c r="H52" s="68"/>
      <c r="I52" s="68"/>
      <c r="J52" s="249"/>
    </row>
    <row r="53" spans="2:10" ht="17.25" customHeight="1">
      <c r="B53" s="250"/>
      <c r="C53" s="180"/>
      <c r="D53" s="68"/>
      <c r="E53" s="68"/>
      <c r="F53" s="68"/>
      <c r="G53" s="68"/>
      <c r="H53" s="68"/>
      <c r="I53" s="68"/>
      <c r="J53" s="249"/>
    </row>
    <row r="54" spans="2:10" ht="17.25" customHeight="1">
      <c r="B54" s="250"/>
      <c r="C54" s="180"/>
      <c r="D54" s="68"/>
      <c r="E54" s="68"/>
      <c r="F54" s="68"/>
      <c r="G54" s="68"/>
      <c r="H54" s="68"/>
      <c r="I54" s="68"/>
      <c r="J54" s="249"/>
    </row>
    <row r="55" spans="2:10" ht="17.25" customHeight="1">
      <c r="B55" s="248"/>
      <c r="C55" s="180"/>
      <c r="D55" s="68"/>
      <c r="E55" s="68"/>
      <c r="F55" s="68"/>
      <c r="G55" s="68"/>
      <c r="H55" s="68"/>
      <c r="I55" s="68"/>
      <c r="J55" s="249"/>
    </row>
    <row r="56" spans="2:10" ht="17.25" customHeight="1">
      <c r="B56" s="248"/>
      <c r="D56" s="60"/>
      <c r="E56" s="60"/>
      <c r="F56" s="60"/>
      <c r="G56" s="60"/>
      <c r="H56" s="60"/>
      <c r="I56" s="60"/>
      <c r="J56" s="51"/>
    </row>
    <row r="57" spans="2:10" ht="17.25" customHeight="1">
      <c r="B57" s="130"/>
      <c r="C57" s="131"/>
      <c r="D57" s="60"/>
      <c r="E57" s="60"/>
      <c r="F57" s="60"/>
      <c r="G57" s="60"/>
      <c r="H57" s="60"/>
      <c r="I57" s="60"/>
      <c r="J57" s="51"/>
    </row>
    <row r="58" spans="2:10" ht="17.25" customHeight="1">
      <c r="B58" s="129"/>
      <c r="D58" s="60"/>
      <c r="E58" s="60"/>
      <c r="F58" s="60"/>
      <c r="G58" s="60"/>
      <c r="H58" s="60"/>
      <c r="I58" s="60"/>
      <c r="J58" s="51"/>
    </row>
    <row r="59" spans="2:10" ht="17.25" customHeight="1">
      <c r="B59" s="129"/>
      <c r="D59" s="60"/>
      <c r="E59" s="60"/>
      <c r="F59" s="60"/>
      <c r="G59" s="60"/>
      <c r="H59" s="60"/>
      <c r="I59" s="60"/>
      <c r="J59" s="51"/>
    </row>
    <row r="60" spans="2:10" ht="17.25" customHeight="1">
      <c r="B60" s="129"/>
      <c r="D60" s="60"/>
      <c r="E60" s="60"/>
      <c r="F60" s="60"/>
      <c r="G60" s="60"/>
      <c r="H60" s="60"/>
      <c r="I60" s="60"/>
      <c r="J60" s="51"/>
    </row>
    <row r="61" spans="2:10" ht="17.25" customHeight="1">
      <c r="B61" s="129"/>
      <c r="D61" s="60"/>
      <c r="E61" s="60"/>
      <c r="F61" s="60"/>
      <c r="G61" s="60"/>
      <c r="H61" s="60"/>
      <c r="I61" s="60"/>
      <c r="J61" s="51"/>
    </row>
    <row r="62" spans="2:10" ht="17.25" customHeight="1" thickBot="1">
      <c r="B62" s="136"/>
      <c r="C62" s="137"/>
      <c r="D62" s="138"/>
      <c r="E62" s="138"/>
      <c r="F62" s="138"/>
      <c r="G62" s="138"/>
      <c r="H62" s="138"/>
      <c r="I62" s="138"/>
      <c r="J62" s="139"/>
    </row>
    <row r="63" spans="2:10" ht="14.25" customHeight="1">
      <c r="B63" s="511" t="s">
        <v>329</v>
      </c>
      <c r="C63" s="124" t="s">
        <v>330</v>
      </c>
      <c r="D63" s="124" t="s">
        <v>331</v>
      </c>
      <c r="E63" s="124"/>
      <c r="F63" s="124"/>
      <c r="G63" s="124"/>
      <c r="H63" s="124"/>
      <c r="I63" s="124"/>
      <c r="J63" s="125"/>
    </row>
    <row r="64" spans="2:10" ht="14.25" customHeight="1" thickBot="1">
      <c r="B64" s="512"/>
      <c r="C64" s="513"/>
      <c r="D64" s="514"/>
      <c r="E64" s="515"/>
      <c r="F64" s="515"/>
      <c r="G64" s="515"/>
      <c r="H64" s="515"/>
      <c r="I64" s="515"/>
      <c r="J64" s="516"/>
    </row>
    <row r="65" spans="2:10" ht="17.25" customHeight="1">
      <c r="B65" s="245"/>
      <c r="C65" s="246" t="s">
        <v>327</v>
      </c>
      <c r="D65" s="246"/>
      <c r="E65" s="246"/>
      <c r="F65" s="246"/>
      <c r="G65" s="246"/>
      <c r="H65" s="246"/>
      <c r="I65" s="246"/>
      <c r="J65" s="247"/>
    </row>
    <row r="66" spans="2:10" ht="17.25" customHeight="1">
      <c r="B66" s="248"/>
      <c r="C66" s="71" t="s">
        <v>332</v>
      </c>
      <c r="D66" s="68"/>
      <c r="E66" s="68"/>
      <c r="F66" s="68"/>
      <c r="G66" s="68"/>
      <c r="H66" s="68"/>
      <c r="I66" s="68"/>
      <c r="J66" s="249"/>
    </row>
    <row r="67" spans="2:10" ht="17.25" customHeight="1">
      <c r="B67" s="248"/>
      <c r="C67" s="71"/>
      <c r="D67" s="68"/>
      <c r="E67" s="68"/>
      <c r="F67" s="68"/>
      <c r="G67" s="68"/>
      <c r="H67" s="68"/>
      <c r="I67" s="68"/>
      <c r="J67" s="249"/>
    </row>
    <row r="68" spans="2:10" ht="17.25" customHeight="1">
      <c r="B68" s="129"/>
      <c r="D68" s="60"/>
      <c r="E68" s="60"/>
      <c r="F68" s="60"/>
      <c r="G68" s="60"/>
      <c r="H68" s="60"/>
      <c r="I68" s="60"/>
      <c r="J68" s="51"/>
    </row>
    <row r="69" spans="2:10" ht="17.25" customHeight="1">
      <c r="B69" s="130"/>
      <c r="C69" s="131"/>
      <c r="D69" s="60"/>
      <c r="E69" s="60"/>
      <c r="F69" s="60"/>
      <c r="G69" s="60"/>
      <c r="H69" s="60"/>
      <c r="I69" s="60"/>
      <c r="J69" s="51"/>
    </row>
    <row r="70" spans="2:10" ht="17.25" customHeight="1">
      <c r="B70" s="129"/>
      <c r="D70" s="60"/>
      <c r="E70" s="60"/>
      <c r="F70" s="60"/>
      <c r="G70" s="60"/>
      <c r="H70" s="60"/>
      <c r="I70" s="60"/>
      <c r="J70" s="51"/>
    </row>
    <row r="71" spans="2:10" ht="17.25" customHeight="1">
      <c r="B71" s="129"/>
      <c r="D71" s="60"/>
      <c r="E71" s="60"/>
      <c r="F71" s="60"/>
      <c r="G71" s="60"/>
      <c r="H71" s="60"/>
      <c r="I71" s="60"/>
      <c r="J71" s="51"/>
    </row>
    <row r="72" spans="2:10" ht="17.25" customHeight="1">
      <c r="B72" s="248"/>
      <c r="D72" s="60"/>
      <c r="E72" s="60"/>
      <c r="F72" s="60"/>
      <c r="G72" s="60"/>
      <c r="H72" s="60"/>
      <c r="I72" s="60"/>
      <c r="J72" s="51"/>
    </row>
    <row r="73" spans="2:10" ht="17.25" customHeight="1">
      <c r="B73" s="129"/>
      <c r="D73" s="60"/>
      <c r="E73" s="60"/>
      <c r="F73" s="60"/>
      <c r="G73" s="60"/>
      <c r="H73" s="60"/>
      <c r="I73" s="60"/>
      <c r="J73" s="51"/>
    </row>
    <row r="74" spans="2:10" ht="17.25" customHeight="1">
      <c r="B74" s="129"/>
      <c r="D74" s="60"/>
      <c r="E74" s="60"/>
      <c r="F74" s="60"/>
      <c r="G74" s="60"/>
      <c r="H74" s="60"/>
      <c r="I74" s="60"/>
      <c r="J74" s="51"/>
    </row>
    <row r="75" spans="2:10" ht="17.25" customHeight="1">
      <c r="B75" s="129"/>
      <c r="D75" s="60"/>
      <c r="E75" s="60"/>
      <c r="F75" s="60"/>
      <c r="G75" s="60"/>
      <c r="H75" s="60"/>
      <c r="I75" s="60"/>
      <c r="J75" s="51"/>
    </row>
    <row r="76" spans="2:10" ht="17.25" customHeight="1">
      <c r="B76" s="129"/>
      <c r="D76" s="60"/>
      <c r="E76" s="60"/>
      <c r="F76" s="60"/>
      <c r="G76" s="60"/>
      <c r="H76" s="60"/>
      <c r="I76" s="60"/>
      <c r="J76" s="51"/>
    </row>
    <row r="77" spans="2:10" ht="17.25" customHeight="1">
      <c r="B77" s="129"/>
      <c r="D77" s="60"/>
      <c r="E77" s="60"/>
      <c r="F77" s="60"/>
      <c r="G77" s="60"/>
      <c r="H77" s="60"/>
      <c r="I77" s="60"/>
      <c r="J77" s="51"/>
    </row>
    <row r="78" spans="2:10" ht="17.25" customHeight="1" thickBot="1">
      <c r="B78" s="136"/>
      <c r="C78" s="137"/>
      <c r="D78" s="138"/>
      <c r="E78" s="138"/>
      <c r="F78" s="138"/>
      <c r="G78" s="138"/>
      <c r="H78" s="138"/>
      <c r="I78" s="138"/>
      <c r="J78" s="139"/>
    </row>
    <row r="79" spans="2:10" ht="14.25" customHeight="1">
      <c r="B79" s="511" t="s">
        <v>333</v>
      </c>
      <c r="C79" s="124" t="s">
        <v>334</v>
      </c>
      <c r="D79" s="124" t="s">
        <v>335</v>
      </c>
      <c r="E79" s="124"/>
      <c r="F79" s="124"/>
      <c r="G79" s="124"/>
      <c r="H79" s="124"/>
      <c r="I79" s="124"/>
      <c r="J79" s="125"/>
    </row>
    <row r="80" spans="2:10" ht="14.25" customHeight="1" thickBot="1">
      <c r="B80" s="512"/>
      <c r="C80" s="513"/>
      <c r="D80" s="514"/>
      <c r="E80" s="515"/>
      <c r="F80" s="515"/>
      <c r="G80" s="515"/>
      <c r="H80" s="515"/>
      <c r="I80" s="515"/>
      <c r="J80" s="516"/>
    </row>
    <row r="81" spans="2:10" ht="17.25" customHeight="1">
      <c r="B81" s="43"/>
      <c r="C81" s="246" t="s">
        <v>336</v>
      </c>
      <c r="D81" s="68"/>
      <c r="E81" s="68"/>
      <c r="F81" s="68"/>
      <c r="G81" s="68"/>
      <c r="H81" s="68"/>
      <c r="I81" s="68"/>
      <c r="J81" s="249"/>
    </row>
    <row r="82" spans="2:10" ht="17.25" customHeight="1">
      <c r="B82" s="59"/>
      <c r="C82" s="180"/>
      <c r="D82" s="68"/>
      <c r="E82" s="68"/>
      <c r="F82" s="68"/>
      <c r="G82" s="68"/>
      <c r="H82" s="68"/>
      <c r="I82" s="68"/>
      <c r="J82" s="249"/>
    </row>
    <row r="83" spans="2:10" ht="17.25" customHeight="1">
      <c r="B83" s="59"/>
      <c r="C83" s="180"/>
      <c r="D83" s="68"/>
      <c r="E83" s="68"/>
      <c r="F83" s="68"/>
      <c r="G83" s="68"/>
      <c r="H83" s="68"/>
      <c r="I83" s="68"/>
      <c r="J83" s="249"/>
    </row>
    <row r="84" spans="2:10" ht="17.25" customHeight="1">
      <c r="B84" s="59"/>
      <c r="C84" s="180"/>
      <c r="D84" s="68"/>
      <c r="E84" s="68"/>
      <c r="F84" s="68"/>
      <c r="G84" s="68"/>
      <c r="H84" s="68"/>
      <c r="I84" s="68"/>
      <c r="J84" s="249"/>
    </row>
    <row r="85" spans="2:10" ht="17.25" customHeight="1">
      <c r="B85" s="59"/>
      <c r="C85" s="180"/>
      <c r="D85" s="68"/>
      <c r="E85" s="68"/>
      <c r="F85" s="68"/>
      <c r="G85" s="68"/>
      <c r="H85" s="68"/>
      <c r="I85" s="68"/>
      <c r="J85" s="249"/>
    </row>
    <row r="86" spans="2:10" ht="17.25" customHeight="1">
      <c r="B86" s="59"/>
      <c r="C86" s="180"/>
      <c r="D86" s="68"/>
      <c r="E86" s="68"/>
      <c r="F86" s="68"/>
      <c r="G86" s="68"/>
      <c r="H86" s="68"/>
      <c r="I86" s="68"/>
      <c r="J86" s="249"/>
    </row>
    <row r="87" spans="2:10" ht="17.25" customHeight="1">
      <c r="B87" s="59"/>
      <c r="C87" s="180"/>
      <c r="D87" s="68"/>
      <c r="E87" s="68"/>
      <c r="F87" s="68"/>
      <c r="G87" s="68"/>
      <c r="H87" s="68"/>
      <c r="I87" s="68"/>
      <c r="J87" s="249"/>
    </row>
    <row r="88" spans="2:10" ht="17.25" customHeight="1">
      <c r="B88" s="59"/>
      <c r="C88" s="180"/>
      <c r="D88" s="68"/>
      <c r="E88" s="68"/>
      <c r="F88" s="68"/>
      <c r="G88" s="68"/>
      <c r="H88" s="68"/>
      <c r="I88" s="68"/>
      <c r="J88" s="249"/>
    </row>
    <row r="89" spans="2:10" ht="17.25" customHeight="1">
      <c r="B89" s="248"/>
      <c r="D89" s="60"/>
      <c r="E89" s="60"/>
      <c r="F89" s="60"/>
      <c r="G89" s="60"/>
      <c r="H89" s="60"/>
      <c r="I89" s="60"/>
      <c r="J89" s="51"/>
    </row>
    <row r="90" spans="2:10" ht="17.25" customHeight="1">
      <c r="B90" s="251"/>
      <c r="D90" s="60"/>
      <c r="E90" s="60"/>
      <c r="F90" s="60"/>
      <c r="G90" s="60"/>
      <c r="H90" s="60"/>
      <c r="I90" s="60"/>
      <c r="J90" s="51"/>
    </row>
    <row r="91" spans="2:10" ht="17.25" customHeight="1">
      <c r="B91" s="251"/>
      <c r="D91" s="60"/>
      <c r="E91" s="60"/>
      <c r="F91" s="60"/>
      <c r="G91" s="60"/>
      <c r="H91" s="60"/>
      <c r="I91" s="60"/>
      <c r="J91" s="51"/>
    </row>
    <row r="92" spans="2:10" ht="17.25" customHeight="1">
      <c r="B92" s="251"/>
      <c r="D92" s="60"/>
      <c r="E92" s="60"/>
      <c r="F92" s="60"/>
      <c r="G92" s="60"/>
      <c r="H92" s="60"/>
      <c r="I92" s="60"/>
      <c r="J92" s="51"/>
    </row>
    <row r="93" spans="2:10" ht="17.25" customHeight="1">
      <c r="B93" s="129"/>
      <c r="D93" s="60"/>
      <c r="E93" s="60"/>
      <c r="F93" s="60"/>
      <c r="G93" s="60"/>
      <c r="H93" s="60"/>
      <c r="I93" s="60"/>
      <c r="J93" s="51"/>
    </row>
    <row r="94" spans="2:10" ht="17.25" customHeight="1">
      <c r="B94" s="130"/>
      <c r="C94" s="131"/>
      <c r="D94" s="60"/>
      <c r="E94" s="60"/>
      <c r="F94" s="60"/>
      <c r="G94" s="60"/>
      <c r="H94" s="60"/>
      <c r="I94" s="60"/>
      <c r="J94" s="51"/>
    </row>
    <row r="95" spans="2:10" ht="17.25" customHeight="1" thickBot="1">
      <c r="B95" s="252"/>
      <c r="C95" s="253"/>
      <c r="D95" s="254"/>
      <c r="E95" s="254"/>
      <c r="F95" s="254"/>
      <c r="G95" s="254"/>
      <c r="H95" s="254"/>
      <c r="I95" s="254"/>
      <c r="J95" s="255"/>
    </row>
    <row r="96" spans="2:10" ht="17.25" customHeight="1">
      <c r="B96" s="129"/>
      <c r="D96" s="60"/>
      <c r="E96" s="60"/>
      <c r="F96" s="60"/>
      <c r="G96" s="60"/>
      <c r="H96" s="60"/>
      <c r="I96" s="60"/>
      <c r="J96" s="51"/>
    </row>
    <row r="97" spans="2:10" ht="17.25" customHeight="1">
      <c r="B97" s="43"/>
      <c r="C97" s="246" t="s">
        <v>337</v>
      </c>
      <c r="D97" s="68"/>
      <c r="E97" s="68"/>
      <c r="F97" s="68"/>
      <c r="G97" s="68"/>
      <c r="H97" s="68"/>
      <c r="I97" s="68"/>
      <c r="J97" s="249"/>
    </row>
    <row r="98" spans="2:10" ht="17.25" customHeight="1">
      <c r="B98" s="250"/>
      <c r="C98" s="180"/>
      <c r="D98" s="68"/>
      <c r="E98" s="68"/>
      <c r="F98" s="68"/>
      <c r="G98" s="68"/>
      <c r="H98" s="68"/>
      <c r="I98" s="68"/>
      <c r="J98" s="249"/>
    </row>
    <row r="99" spans="2:10" ht="17.25" customHeight="1">
      <c r="B99" s="59"/>
      <c r="D99" s="60"/>
      <c r="E99" s="60"/>
      <c r="F99" s="60"/>
      <c r="G99" s="60"/>
      <c r="H99" s="60"/>
      <c r="I99" s="60"/>
      <c r="J99" s="51"/>
    </row>
    <row r="100" spans="2:10" ht="17.25" customHeight="1">
      <c r="B100" s="59"/>
      <c r="D100" s="60"/>
      <c r="E100" s="60"/>
      <c r="F100" s="60"/>
      <c r="G100" s="60"/>
      <c r="H100" s="60"/>
      <c r="I100" s="60"/>
      <c r="J100" s="51"/>
    </row>
    <row r="101" spans="2:10" ht="17.25" customHeight="1">
      <c r="B101" s="59"/>
      <c r="D101" s="60"/>
      <c r="E101" s="60"/>
      <c r="F101" s="60"/>
      <c r="G101" s="60"/>
      <c r="H101" s="60"/>
      <c r="I101" s="60"/>
      <c r="J101" s="51"/>
    </row>
    <row r="102" spans="2:10" ht="17.25" customHeight="1">
      <c r="B102" s="59"/>
      <c r="D102" s="60"/>
      <c r="E102" s="60"/>
      <c r="F102" s="60"/>
      <c r="G102" s="60"/>
      <c r="H102" s="60"/>
      <c r="I102" s="60"/>
      <c r="J102" s="51"/>
    </row>
    <row r="103" spans="2:10" ht="17.25" customHeight="1">
      <c r="B103" s="59"/>
      <c r="D103" s="60"/>
      <c r="E103" s="60"/>
      <c r="F103" s="60"/>
      <c r="G103" s="60"/>
      <c r="H103" s="60"/>
      <c r="I103" s="60"/>
      <c r="J103" s="51"/>
    </row>
    <row r="104" spans="2:10" ht="17.25" customHeight="1">
      <c r="B104" s="59"/>
      <c r="D104" s="60"/>
      <c r="E104" s="60"/>
      <c r="F104" s="60"/>
      <c r="G104" s="60"/>
      <c r="H104" s="60"/>
      <c r="I104" s="60"/>
      <c r="J104" s="51"/>
    </row>
    <row r="105" spans="2:10" ht="17.25" customHeight="1">
      <c r="B105" s="248"/>
      <c r="C105" s="256"/>
      <c r="D105" s="256"/>
      <c r="E105" s="256"/>
      <c r="F105" s="256"/>
      <c r="G105" s="60"/>
      <c r="H105" s="60"/>
      <c r="I105" s="60"/>
      <c r="J105" s="51"/>
    </row>
    <row r="106" spans="2:10" ht="17.25" customHeight="1">
      <c r="B106" s="129"/>
      <c r="D106" s="60"/>
      <c r="E106" s="60"/>
      <c r="F106" s="60"/>
      <c r="G106" s="60"/>
      <c r="H106" s="60"/>
      <c r="I106" s="60"/>
      <c r="J106" s="51"/>
    </row>
    <row r="107" spans="2:10" ht="17.25" customHeight="1">
      <c r="B107" s="129"/>
      <c r="D107" s="60"/>
      <c r="E107" s="60"/>
      <c r="F107" s="60"/>
      <c r="G107" s="60"/>
      <c r="H107" s="60"/>
      <c r="I107" s="60"/>
      <c r="J107" s="51"/>
    </row>
    <row r="108" spans="2:10" ht="17.25" customHeight="1">
      <c r="B108" s="129"/>
      <c r="D108" s="60"/>
      <c r="E108" s="60"/>
      <c r="F108" s="60"/>
      <c r="G108" s="60"/>
      <c r="H108" s="60"/>
      <c r="I108" s="60"/>
      <c r="J108" s="51"/>
    </row>
    <row r="109" spans="2:10" ht="17.25" customHeight="1">
      <c r="B109" s="129"/>
      <c r="D109" s="60"/>
      <c r="E109" s="60"/>
      <c r="F109" s="60"/>
      <c r="G109" s="60"/>
      <c r="H109" s="60"/>
      <c r="I109" s="60"/>
      <c r="J109" s="51"/>
    </row>
    <row r="110" spans="2:10" ht="17.25" customHeight="1">
      <c r="B110" s="129"/>
      <c r="D110" s="60"/>
      <c r="E110" s="60"/>
      <c r="F110" s="60"/>
      <c r="G110" s="60"/>
      <c r="H110" s="60"/>
      <c r="I110" s="60"/>
      <c r="J110" s="51"/>
    </row>
    <row r="111" spans="2:10" ht="17.25" customHeight="1" thickBot="1">
      <c r="B111" s="252"/>
      <c r="C111" s="253"/>
      <c r="D111" s="254"/>
      <c r="E111" s="254"/>
      <c r="F111" s="254"/>
      <c r="G111" s="254"/>
      <c r="H111" s="254"/>
      <c r="I111" s="254"/>
      <c r="J111" s="255"/>
    </row>
    <row r="112" spans="2:10" ht="17.25" customHeight="1">
      <c r="B112" s="129"/>
      <c r="D112" s="60"/>
      <c r="E112" s="60"/>
      <c r="F112" s="60"/>
      <c r="G112" s="60"/>
      <c r="H112" s="60"/>
      <c r="I112" s="60"/>
      <c r="J112" s="51"/>
    </row>
    <row r="113" spans="2:10" ht="17.25" customHeight="1">
      <c r="B113" s="257"/>
      <c r="C113" s="246" t="s">
        <v>338</v>
      </c>
      <c r="D113" s="258"/>
      <c r="E113" s="258"/>
      <c r="F113" s="258"/>
      <c r="G113" s="258"/>
      <c r="H113" s="258"/>
      <c r="I113" s="258"/>
      <c r="J113" s="259"/>
    </row>
    <row r="114" spans="2:10" ht="17.25" customHeight="1">
      <c r="B114" s="59"/>
      <c r="C114" s="180"/>
      <c r="D114" s="68"/>
      <c r="E114" s="68"/>
      <c r="F114" s="68"/>
      <c r="G114" s="68"/>
      <c r="H114" s="68"/>
      <c r="I114" s="68"/>
      <c r="J114" s="249"/>
    </row>
    <row r="115" spans="2:10" ht="17.25" customHeight="1">
      <c r="B115" s="59"/>
      <c r="D115" s="60"/>
      <c r="E115" s="60"/>
      <c r="F115" s="60"/>
      <c r="G115" s="60"/>
      <c r="H115" s="60"/>
      <c r="I115" s="60"/>
      <c r="J115" s="51"/>
    </row>
    <row r="116" spans="2:10" ht="17.25" customHeight="1">
      <c r="B116" s="59"/>
      <c r="D116" s="60"/>
      <c r="E116" s="60"/>
      <c r="F116" s="60"/>
      <c r="G116" s="60"/>
      <c r="H116" s="60"/>
      <c r="I116" s="60"/>
      <c r="J116" s="51"/>
    </row>
    <row r="117" spans="2:10" ht="17.25" customHeight="1">
      <c r="B117" s="59"/>
      <c r="D117" s="60"/>
      <c r="E117" s="60"/>
      <c r="F117" s="60"/>
      <c r="G117" s="60"/>
      <c r="H117" s="60"/>
      <c r="I117" s="60"/>
      <c r="J117" s="51"/>
    </row>
    <row r="118" spans="2:10" ht="17.25" customHeight="1">
      <c r="B118" s="59"/>
      <c r="D118" s="60"/>
      <c r="E118" s="60"/>
      <c r="F118" s="60"/>
      <c r="G118" s="60"/>
      <c r="H118" s="60"/>
      <c r="I118" s="60"/>
      <c r="J118" s="51"/>
    </row>
    <row r="119" spans="2:10" ht="17.25" customHeight="1">
      <c r="B119" s="59"/>
      <c r="D119" s="60"/>
      <c r="E119" s="60"/>
      <c r="F119" s="60"/>
      <c r="G119" s="60"/>
      <c r="H119" s="60"/>
      <c r="I119" s="60"/>
      <c r="J119" s="51"/>
    </row>
    <row r="120" spans="2:10" ht="17.25" customHeight="1">
      <c r="B120" s="59"/>
      <c r="D120" s="60"/>
      <c r="E120" s="60"/>
      <c r="F120" s="60"/>
      <c r="G120" s="60"/>
      <c r="H120" s="60"/>
      <c r="I120" s="60"/>
      <c r="J120" s="51"/>
    </row>
    <row r="121" spans="2:10" ht="17.25" customHeight="1">
      <c r="B121" s="248"/>
      <c r="D121" s="60"/>
      <c r="E121" s="60"/>
      <c r="F121" s="60"/>
      <c r="G121" s="60"/>
      <c r="H121" s="60"/>
      <c r="I121" s="60"/>
      <c r="J121" s="51"/>
    </row>
    <row r="122" spans="2:10" ht="17.25" customHeight="1">
      <c r="B122" s="129"/>
      <c r="D122" s="60"/>
      <c r="E122" s="60"/>
      <c r="F122" s="60"/>
      <c r="G122" s="60"/>
      <c r="H122" s="60"/>
      <c r="I122" s="60"/>
      <c r="J122" s="51"/>
    </row>
    <row r="123" spans="2:10" ht="17.25" customHeight="1">
      <c r="B123" s="129"/>
      <c r="D123" s="60"/>
      <c r="E123" s="60"/>
      <c r="F123" s="60"/>
      <c r="G123" s="60"/>
      <c r="H123" s="60"/>
      <c r="I123" s="60"/>
      <c r="J123" s="51"/>
    </row>
    <row r="124" spans="2:10" ht="17.25" customHeight="1">
      <c r="B124" s="129"/>
      <c r="D124" s="60"/>
      <c r="E124" s="60"/>
      <c r="F124" s="60"/>
      <c r="G124" s="60"/>
      <c r="H124" s="60"/>
      <c r="I124" s="60"/>
      <c r="J124" s="51"/>
    </row>
    <row r="125" spans="2:10" ht="17.25" customHeight="1">
      <c r="B125" s="129"/>
      <c r="D125" s="60"/>
      <c r="E125" s="60"/>
      <c r="F125" s="60"/>
      <c r="G125" s="60"/>
      <c r="H125" s="60"/>
      <c r="I125" s="60"/>
      <c r="J125" s="51"/>
    </row>
    <row r="126" spans="2:10" ht="17.25" customHeight="1" thickBot="1">
      <c r="B126" s="136"/>
      <c r="C126" s="137"/>
      <c r="D126" s="138"/>
      <c r="E126" s="138"/>
      <c r="F126" s="138"/>
      <c r="G126" s="138"/>
      <c r="H126" s="138"/>
      <c r="I126" s="138"/>
      <c r="J126" s="139"/>
    </row>
    <row r="127" spans="2:10" ht="14.25" customHeight="1">
      <c r="B127" s="511" t="s">
        <v>339</v>
      </c>
      <c r="C127" s="124" t="s">
        <v>340</v>
      </c>
      <c r="D127" s="124" t="s">
        <v>341</v>
      </c>
      <c r="E127" s="124"/>
      <c r="F127" s="124"/>
      <c r="G127" s="124"/>
      <c r="H127" s="124"/>
      <c r="I127" s="124"/>
      <c r="J127" s="125"/>
    </row>
    <row r="128" spans="2:10" ht="14.25" customHeight="1" thickBot="1">
      <c r="B128" s="512"/>
      <c r="C128" s="513"/>
      <c r="D128" s="514"/>
      <c r="E128" s="515"/>
      <c r="F128" s="515"/>
      <c r="G128" s="515"/>
      <c r="H128" s="515"/>
      <c r="I128" s="515"/>
      <c r="J128" s="516"/>
    </row>
    <row r="129" spans="2:10" ht="17.25" customHeight="1">
      <c r="B129" s="250"/>
      <c r="C129" s="246" t="s">
        <v>342</v>
      </c>
      <c r="J129" s="149"/>
    </row>
    <row r="130" spans="2:10" ht="17.25" customHeight="1">
      <c r="B130" s="250"/>
      <c r="C130" s="246"/>
      <c r="J130" s="149"/>
    </row>
    <row r="131" spans="2:10" ht="17.25" customHeight="1">
      <c r="B131" s="248"/>
      <c r="J131" s="149"/>
    </row>
    <row r="132" spans="2:10" ht="17.25" customHeight="1">
      <c r="B132" s="248"/>
      <c r="J132" s="149"/>
    </row>
    <row r="133" spans="2:10" ht="17.25" customHeight="1">
      <c r="B133" s="248"/>
      <c r="J133" s="149"/>
    </row>
    <row r="134" spans="2:10" ht="17.25" customHeight="1">
      <c r="B134" s="248"/>
      <c r="J134" s="149"/>
    </row>
    <row r="135" spans="2:10" ht="17.25" customHeight="1">
      <c r="B135" s="59"/>
      <c r="J135" s="149"/>
    </row>
    <row r="136" spans="2:10" ht="17.25" customHeight="1">
      <c r="B136" s="59"/>
      <c r="J136" s="149"/>
    </row>
    <row r="137" spans="2:10" ht="17.25" customHeight="1">
      <c r="B137" s="59"/>
      <c r="J137" s="149"/>
    </row>
    <row r="138" spans="2:10" ht="17.25" customHeight="1">
      <c r="B138" s="59"/>
      <c r="J138" s="149"/>
    </row>
    <row r="139" spans="2:10" ht="17.25" customHeight="1">
      <c r="B139" s="248"/>
      <c r="C139" s="180"/>
      <c r="D139" s="68"/>
      <c r="E139" s="68"/>
      <c r="F139" s="68"/>
      <c r="G139" s="68"/>
      <c r="H139" s="68"/>
      <c r="I139" s="68"/>
      <c r="J139" s="249"/>
    </row>
    <row r="140" spans="2:10" ht="17.25" customHeight="1">
      <c r="B140" s="250"/>
      <c r="C140" s="180"/>
      <c r="D140" s="68"/>
      <c r="E140" s="68"/>
      <c r="F140" s="68"/>
      <c r="G140" s="68"/>
      <c r="H140" s="68"/>
      <c r="I140" s="68"/>
      <c r="J140" s="249"/>
    </row>
    <row r="141" spans="2:10" ht="17.25" customHeight="1">
      <c r="B141" s="250"/>
      <c r="C141" s="180"/>
      <c r="D141" s="68"/>
      <c r="E141" s="68"/>
      <c r="F141" s="68"/>
      <c r="G141" s="68"/>
      <c r="H141" s="68"/>
      <c r="I141" s="68"/>
      <c r="J141" s="249"/>
    </row>
    <row r="142" spans="2:10" ht="17.25" customHeight="1">
      <c r="B142" s="250"/>
      <c r="C142" s="180"/>
      <c r="D142" s="68"/>
      <c r="E142" s="68"/>
      <c r="F142" s="68"/>
      <c r="G142" s="68"/>
      <c r="H142" s="68"/>
      <c r="I142" s="68"/>
      <c r="J142" s="249"/>
    </row>
    <row r="143" spans="2:10" ht="17.25" customHeight="1">
      <c r="B143" s="250"/>
      <c r="C143" s="180"/>
      <c r="D143" s="68"/>
      <c r="E143" s="68"/>
      <c r="F143" s="68"/>
      <c r="G143" s="68"/>
      <c r="H143" s="68"/>
      <c r="I143" s="68"/>
      <c r="J143" s="249"/>
    </row>
    <row r="144" spans="2:10" ht="17.25" customHeight="1">
      <c r="B144" s="250"/>
      <c r="C144" s="180"/>
      <c r="D144" s="68"/>
      <c r="E144" s="68"/>
      <c r="F144" s="68"/>
      <c r="G144" s="68"/>
      <c r="H144" s="68"/>
      <c r="I144" s="68"/>
      <c r="J144" s="249"/>
    </row>
    <row r="145" spans="2:10" ht="17.25" customHeight="1">
      <c r="B145" s="250"/>
      <c r="C145" s="180"/>
      <c r="D145" s="68"/>
      <c r="E145" s="68"/>
      <c r="F145" s="68"/>
      <c r="G145" s="68"/>
      <c r="H145" s="68"/>
      <c r="I145" s="68"/>
      <c r="J145" s="249"/>
    </row>
    <row r="146" spans="2:10" ht="17.25" customHeight="1" thickBot="1">
      <c r="B146" s="136"/>
      <c r="C146" s="137"/>
      <c r="D146" s="138"/>
      <c r="E146" s="138"/>
      <c r="F146" s="138"/>
      <c r="G146" s="138"/>
      <c r="H146" s="138"/>
      <c r="I146" s="138"/>
      <c r="J146" s="139"/>
    </row>
    <row r="147" spans="2:10" ht="14.25" customHeight="1">
      <c r="B147" s="511" t="s">
        <v>343</v>
      </c>
      <c r="C147" s="124" t="s">
        <v>344</v>
      </c>
      <c r="D147" s="124" t="s">
        <v>345</v>
      </c>
      <c r="E147" s="124"/>
      <c r="F147" s="124"/>
      <c r="G147" s="124"/>
      <c r="H147" s="124"/>
      <c r="I147" s="124"/>
      <c r="J147" s="125"/>
    </row>
    <row r="148" spans="2:10" ht="14.25" customHeight="1" thickBot="1">
      <c r="B148" s="512"/>
      <c r="C148" s="513"/>
      <c r="D148" s="514"/>
      <c r="E148" s="515"/>
      <c r="F148" s="515"/>
      <c r="G148" s="515"/>
      <c r="H148" s="515"/>
      <c r="I148" s="515"/>
      <c r="J148" s="516"/>
    </row>
    <row r="149" spans="2:10">
      <c r="B149" s="43"/>
      <c r="C149" s="246" t="s">
        <v>346</v>
      </c>
      <c r="D149" s="127"/>
      <c r="E149" s="127"/>
      <c r="F149" s="127"/>
      <c r="G149" s="127"/>
      <c r="H149" s="68"/>
      <c r="I149" s="68"/>
      <c r="J149" s="249"/>
    </row>
    <row r="150" spans="2:10">
      <c r="B150" s="126"/>
      <c r="C150" s="71" t="s">
        <v>347</v>
      </c>
      <c r="D150" s="127"/>
      <c r="E150" s="127"/>
      <c r="F150" s="127"/>
      <c r="G150" s="127"/>
      <c r="H150" s="68"/>
      <c r="I150" s="68"/>
      <c r="J150" s="249"/>
    </row>
    <row r="151" spans="2:10">
      <c r="B151" s="248"/>
      <c r="C151" s="68"/>
      <c r="D151" s="68"/>
      <c r="E151" s="68"/>
      <c r="F151" s="68"/>
      <c r="G151" s="68"/>
      <c r="H151" s="68"/>
      <c r="I151" s="68"/>
      <c r="J151" s="249"/>
    </row>
    <row r="152" spans="2:10">
      <c r="B152" s="250"/>
      <c r="C152" s="180"/>
      <c r="D152" s="68"/>
      <c r="E152" s="68"/>
      <c r="F152" s="68"/>
      <c r="G152" s="68"/>
      <c r="H152" s="68"/>
      <c r="I152" s="68"/>
      <c r="J152" s="249"/>
    </row>
    <row r="153" spans="2:10">
      <c r="B153" s="250"/>
      <c r="C153" s="68"/>
      <c r="D153" s="68"/>
      <c r="E153" s="68"/>
      <c r="F153" s="68"/>
      <c r="G153" s="68"/>
      <c r="H153" s="68"/>
      <c r="I153" s="68"/>
      <c r="J153" s="249"/>
    </row>
    <row r="154" spans="2:10">
      <c r="B154" s="129"/>
      <c r="D154" s="60"/>
      <c r="E154" s="60"/>
      <c r="F154" s="60"/>
      <c r="G154" s="60"/>
      <c r="H154" s="60"/>
      <c r="I154" s="60"/>
      <c r="J154" s="51"/>
    </row>
    <row r="155" spans="2:10">
      <c r="B155" s="130"/>
      <c r="C155" s="131"/>
      <c r="D155" s="260"/>
      <c r="E155" s="60"/>
      <c r="F155" s="60"/>
      <c r="G155" s="60"/>
      <c r="H155" s="60"/>
      <c r="I155" s="60"/>
      <c r="J155" s="51"/>
    </row>
    <row r="156" spans="2:10">
      <c r="B156" s="129"/>
      <c r="D156" s="60"/>
      <c r="E156" s="60"/>
      <c r="F156" s="60"/>
      <c r="G156" s="60"/>
      <c r="H156" s="60"/>
      <c r="I156" s="60"/>
      <c r="J156" s="51"/>
    </row>
    <row r="157" spans="2:10">
      <c r="B157" s="129"/>
      <c r="D157" s="60"/>
      <c r="E157" s="60"/>
      <c r="F157" s="60"/>
      <c r="G157" s="60"/>
      <c r="H157" s="60"/>
      <c r="I157" s="60"/>
      <c r="J157" s="51"/>
    </row>
    <row r="158" spans="2:10">
      <c r="B158" s="129"/>
      <c r="D158" s="60"/>
      <c r="E158" s="60"/>
      <c r="F158" s="60"/>
      <c r="G158" s="60"/>
      <c r="H158" s="60"/>
      <c r="I158" s="60"/>
      <c r="J158" s="51"/>
    </row>
    <row r="159" spans="2:10">
      <c r="B159" s="129"/>
      <c r="D159" s="60"/>
      <c r="E159" s="60"/>
      <c r="F159" s="60"/>
      <c r="G159" s="60"/>
      <c r="H159" s="60"/>
      <c r="I159" s="60"/>
      <c r="J159" s="51"/>
    </row>
    <row r="160" spans="2:10">
      <c r="B160" s="129"/>
      <c r="D160" s="60"/>
      <c r="E160" s="60"/>
      <c r="F160" s="60"/>
      <c r="G160" s="60"/>
      <c r="H160" s="60"/>
      <c r="I160" s="60"/>
      <c r="J160" s="51"/>
    </row>
    <row r="161" spans="2:10">
      <c r="B161" s="129"/>
      <c r="D161" s="60"/>
      <c r="E161" s="60"/>
      <c r="F161" s="60"/>
      <c r="G161" s="60"/>
      <c r="H161" s="60"/>
      <c r="I161" s="60"/>
      <c r="J161" s="51"/>
    </row>
    <row r="162" spans="2:10">
      <c r="B162" s="129"/>
      <c r="D162" s="60"/>
      <c r="E162" s="60"/>
      <c r="F162" s="60"/>
      <c r="G162" s="60"/>
      <c r="H162" s="60"/>
      <c r="I162" s="60"/>
      <c r="J162" s="51"/>
    </row>
    <row r="163" spans="2:10">
      <c r="B163" s="129"/>
      <c r="D163" s="60"/>
      <c r="E163" s="60"/>
      <c r="F163" s="60"/>
      <c r="G163" s="60"/>
      <c r="H163" s="60"/>
      <c r="I163" s="60"/>
      <c r="J163" s="51"/>
    </row>
    <row r="164" spans="2:10">
      <c r="B164" s="129"/>
      <c r="D164" s="60"/>
      <c r="E164" s="60"/>
      <c r="F164" s="60"/>
      <c r="G164" s="60"/>
      <c r="H164" s="60"/>
      <c r="I164" s="60"/>
      <c r="J164" s="51"/>
    </row>
    <row r="165" spans="2:10">
      <c r="B165" s="129"/>
      <c r="D165" s="60"/>
      <c r="E165" s="60"/>
      <c r="F165" s="60"/>
      <c r="G165" s="60"/>
      <c r="H165" s="60"/>
      <c r="I165" s="60"/>
      <c r="J165" s="51"/>
    </row>
    <row r="166" spans="2:10" ht="15.5" thickBot="1">
      <c r="B166" s="136"/>
      <c r="C166" s="137"/>
      <c r="D166" s="138"/>
      <c r="E166" s="138"/>
      <c r="F166" s="138"/>
      <c r="G166" s="138"/>
      <c r="H166" s="138"/>
      <c r="I166" s="138"/>
      <c r="J166" s="139"/>
    </row>
    <row r="167" spans="2:10" ht="14.25" customHeight="1">
      <c r="B167" s="511" t="s">
        <v>348</v>
      </c>
      <c r="C167" s="124" t="s">
        <v>349</v>
      </c>
      <c r="D167" s="124" t="s">
        <v>331</v>
      </c>
      <c r="E167" s="124"/>
      <c r="F167" s="124"/>
      <c r="G167" s="124"/>
      <c r="H167" s="124"/>
      <c r="I167" s="124"/>
      <c r="J167" s="125"/>
    </row>
    <row r="168" spans="2:10" ht="14.25" customHeight="1" thickBot="1">
      <c r="B168" s="512"/>
      <c r="C168" s="513"/>
      <c r="D168" s="514"/>
      <c r="E168" s="515"/>
      <c r="F168" s="515"/>
      <c r="G168" s="515"/>
      <c r="H168" s="515"/>
      <c r="I168" s="515"/>
      <c r="J168" s="516"/>
    </row>
    <row r="169" spans="2:10">
      <c r="B169" s="250"/>
      <c r="C169" s="180"/>
      <c r="D169" s="68"/>
      <c r="E169" s="68"/>
      <c r="F169" s="68"/>
      <c r="G169" s="68"/>
      <c r="H169" s="68"/>
      <c r="I169" s="68"/>
      <c r="J169" s="249"/>
    </row>
    <row r="170" spans="2:10">
      <c r="B170" s="248" t="s">
        <v>350</v>
      </c>
      <c r="C170" s="180"/>
      <c r="D170" s="68"/>
      <c r="E170" s="68"/>
      <c r="F170" s="68"/>
      <c r="G170" s="68"/>
      <c r="H170" s="68"/>
      <c r="I170" s="68"/>
      <c r="J170" s="249"/>
    </row>
    <row r="171" spans="2:10">
      <c r="B171" s="250"/>
      <c r="C171" s="180"/>
      <c r="D171" s="68"/>
      <c r="E171" s="68"/>
      <c r="F171" s="68"/>
      <c r="G171" s="68"/>
      <c r="H171" s="68"/>
      <c r="I171" s="68"/>
      <c r="J171" s="249"/>
    </row>
    <row r="172" spans="2:10">
      <c r="B172" s="250"/>
      <c r="I172" s="68"/>
      <c r="J172" s="249"/>
    </row>
    <row r="173" spans="2:10">
      <c r="B173" s="250"/>
      <c r="C173" s="95"/>
      <c r="D173" s="95"/>
      <c r="E173" s="95"/>
      <c r="F173" s="95"/>
      <c r="G173" s="95"/>
      <c r="H173" s="95"/>
      <c r="I173" s="68"/>
      <c r="J173" s="249"/>
    </row>
    <row r="174" spans="2:10">
      <c r="B174" s="250"/>
      <c r="C174" s="95"/>
      <c r="D174" s="95"/>
      <c r="E174" s="95"/>
      <c r="F174" s="95"/>
      <c r="G174" s="261"/>
      <c r="H174" s="261"/>
      <c r="I174" s="68"/>
      <c r="J174" s="249"/>
    </row>
    <row r="175" spans="2:10">
      <c r="B175" s="129"/>
      <c r="C175" s="95"/>
      <c r="D175" s="95"/>
      <c r="E175" s="95"/>
      <c r="F175" s="95"/>
      <c r="G175" s="261"/>
      <c r="H175" s="261"/>
      <c r="I175" s="60"/>
      <c r="J175" s="51"/>
    </row>
    <row r="176" spans="2:10">
      <c r="B176" s="129"/>
      <c r="C176" s="95"/>
      <c r="D176" s="95"/>
      <c r="E176" s="95"/>
      <c r="F176" s="95"/>
      <c r="G176" s="261"/>
      <c r="H176" s="261"/>
      <c r="I176" s="60"/>
      <c r="J176" s="51"/>
    </row>
    <row r="177" spans="2:10">
      <c r="B177" s="130"/>
      <c r="C177" s="131"/>
      <c r="D177" s="60"/>
      <c r="E177" s="60"/>
      <c r="F177" s="60"/>
      <c r="G177" s="60"/>
      <c r="H177" s="60"/>
      <c r="I177" s="60"/>
      <c r="J177" s="51"/>
    </row>
    <row r="178" spans="2:10">
      <c r="B178" s="248" t="s">
        <v>351</v>
      </c>
      <c r="D178" s="60"/>
      <c r="E178" s="60"/>
      <c r="F178" s="60"/>
      <c r="G178" s="60"/>
      <c r="H178" s="60"/>
      <c r="I178" s="60"/>
      <c r="J178" s="51"/>
    </row>
    <row r="179" spans="2:10">
      <c r="B179" s="129"/>
      <c r="D179" s="60"/>
      <c r="E179" s="60"/>
      <c r="F179" s="60"/>
      <c r="G179" s="60"/>
      <c r="H179" s="60"/>
      <c r="I179" s="60"/>
      <c r="J179" s="51"/>
    </row>
    <row r="180" spans="2:10">
      <c r="B180" s="129"/>
      <c r="D180" s="60"/>
      <c r="E180" s="60"/>
      <c r="F180" s="60"/>
      <c r="G180" s="60"/>
      <c r="H180" s="60"/>
      <c r="I180" s="60"/>
      <c r="J180" s="51"/>
    </row>
    <row r="181" spans="2:10">
      <c r="B181" s="129"/>
      <c r="D181" s="60"/>
      <c r="E181" s="60"/>
      <c r="F181" s="60"/>
      <c r="G181" s="60"/>
      <c r="H181" s="60"/>
      <c r="I181" s="60"/>
      <c r="J181" s="51"/>
    </row>
    <row r="182" spans="2:10">
      <c r="B182" s="129"/>
      <c r="D182" s="60"/>
      <c r="E182" s="60"/>
      <c r="F182" s="60"/>
      <c r="G182" s="60"/>
      <c r="H182" s="60"/>
      <c r="I182" s="60"/>
      <c r="J182" s="51"/>
    </row>
    <row r="183" spans="2:10">
      <c r="B183" s="129"/>
      <c r="D183" s="60"/>
      <c r="E183" s="60"/>
      <c r="F183" s="60"/>
      <c r="G183" s="60"/>
      <c r="H183" s="60"/>
      <c r="I183" s="60"/>
      <c r="J183" s="51"/>
    </row>
    <row r="184" spans="2:10">
      <c r="B184" s="129"/>
      <c r="D184" s="60"/>
      <c r="E184" s="60"/>
      <c r="F184" s="60"/>
      <c r="G184" s="60"/>
      <c r="H184" s="60"/>
      <c r="I184" s="60"/>
      <c r="J184" s="51"/>
    </row>
    <row r="185" spans="2:10">
      <c r="B185" s="129"/>
      <c r="D185" s="60"/>
      <c r="E185" s="60"/>
      <c r="F185" s="60"/>
      <c r="G185" s="60"/>
      <c r="H185" s="60"/>
      <c r="I185" s="60"/>
      <c r="J185" s="51"/>
    </row>
    <row r="186" spans="2:10">
      <c r="B186" s="129"/>
      <c r="D186" s="60"/>
      <c r="E186" s="60"/>
      <c r="F186" s="60"/>
      <c r="G186" s="60"/>
      <c r="H186" s="60"/>
      <c r="I186" s="60"/>
      <c r="J186" s="51"/>
    </row>
    <row r="187" spans="2:10">
      <c r="B187" s="129"/>
      <c r="D187" s="60"/>
      <c r="E187" s="60"/>
      <c r="F187" s="60"/>
      <c r="G187" s="60"/>
      <c r="H187" s="60"/>
      <c r="I187" s="60"/>
      <c r="J187" s="51"/>
    </row>
    <row r="188" spans="2:10">
      <c r="B188" s="129"/>
      <c r="D188" s="60"/>
      <c r="E188" s="60"/>
      <c r="F188" s="60"/>
      <c r="G188" s="60"/>
      <c r="H188" s="60"/>
      <c r="I188" s="60"/>
      <c r="J188" s="51"/>
    </row>
    <row r="189" spans="2:10">
      <c r="B189" s="129"/>
      <c r="C189" s="28" t="s">
        <v>352</v>
      </c>
      <c r="D189" s="60"/>
      <c r="E189" s="60"/>
      <c r="F189" s="60"/>
      <c r="G189" s="60"/>
      <c r="H189" s="60"/>
      <c r="I189" s="60"/>
      <c r="J189" s="51"/>
    </row>
    <row r="190" spans="2:10">
      <c r="B190" s="129"/>
      <c r="D190" s="60"/>
      <c r="E190" s="60"/>
      <c r="F190" s="60"/>
      <c r="G190" s="60"/>
      <c r="H190" s="60"/>
      <c r="I190" s="60"/>
      <c r="J190" s="51"/>
    </row>
    <row r="191" spans="2:10">
      <c r="B191" s="248" t="s">
        <v>353</v>
      </c>
      <c r="D191" s="60"/>
      <c r="E191" s="60"/>
      <c r="F191" s="60"/>
      <c r="G191" s="60"/>
      <c r="H191" s="60"/>
      <c r="I191" s="60"/>
      <c r="J191" s="51"/>
    </row>
    <row r="192" spans="2:10">
      <c r="B192" s="129"/>
      <c r="D192" s="60"/>
      <c r="E192" s="60"/>
      <c r="F192" s="60"/>
      <c r="G192" s="60"/>
      <c r="H192" s="60"/>
      <c r="I192" s="60"/>
      <c r="J192" s="51"/>
    </row>
    <row r="193" spans="2:10">
      <c r="B193" s="129"/>
      <c r="D193" s="60"/>
      <c r="E193" s="60"/>
      <c r="F193" s="60"/>
      <c r="G193" s="60"/>
      <c r="H193" s="60"/>
      <c r="I193" s="60"/>
      <c r="J193" s="51"/>
    </row>
    <row r="194" spans="2:10">
      <c r="B194" s="129"/>
      <c r="D194" s="60"/>
      <c r="E194" s="60"/>
      <c r="F194" s="60"/>
      <c r="G194" s="60"/>
      <c r="H194" s="60"/>
      <c r="I194" s="60"/>
      <c r="J194" s="51"/>
    </row>
    <row r="195" spans="2:10">
      <c r="B195" s="129"/>
      <c r="D195" s="60"/>
      <c r="E195" s="60"/>
      <c r="F195" s="60"/>
      <c r="G195" s="60"/>
      <c r="H195" s="60"/>
      <c r="I195" s="60"/>
      <c r="J195" s="51"/>
    </row>
    <row r="196" spans="2:10">
      <c r="B196" s="129"/>
      <c r="D196" s="60"/>
      <c r="E196" s="60"/>
      <c r="F196" s="60"/>
      <c r="G196" s="60"/>
      <c r="H196" s="60"/>
      <c r="I196" s="60"/>
      <c r="J196" s="51"/>
    </row>
    <row r="197" spans="2:10">
      <c r="B197" s="129"/>
      <c r="D197" s="60"/>
      <c r="E197" s="60"/>
      <c r="F197" s="60"/>
      <c r="G197" s="60"/>
      <c r="H197" s="60"/>
      <c r="I197" s="60"/>
      <c r="J197" s="51"/>
    </row>
    <row r="198" spans="2:10">
      <c r="B198" s="129"/>
      <c r="D198" s="60"/>
      <c r="E198" s="60"/>
      <c r="F198" s="60"/>
      <c r="G198" s="60"/>
      <c r="H198" s="60"/>
      <c r="I198" s="60"/>
      <c r="J198" s="51"/>
    </row>
    <row r="199" spans="2:10">
      <c r="B199" s="248"/>
      <c r="D199" s="60"/>
      <c r="E199" s="60"/>
      <c r="F199" s="60"/>
      <c r="G199" s="60"/>
      <c r="H199" s="60"/>
      <c r="I199" s="60"/>
      <c r="J199" s="51"/>
    </row>
    <row r="200" spans="2:10">
      <c r="B200" s="248"/>
      <c r="D200" s="60"/>
      <c r="E200" s="60"/>
      <c r="F200" s="60"/>
      <c r="G200" s="60"/>
      <c r="H200" s="60"/>
      <c r="I200" s="60"/>
      <c r="J200" s="51"/>
    </row>
    <row r="201" spans="2:10">
      <c r="B201" s="129"/>
      <c r="D201" s="60"/>
      <c r="E201" s="60"/>
      <c r="F201" s="60"/>
      <c r="G201" s="60"/>
      <c r="H201" s="60"/>
      <c r="I201" s="60"/>
      <c r="J201" s="51"/>
    </row>
    <row r="202" spans="2:10">
      <c r="B202" s="129"/>
      <c r="D202" s="60"/>
      <c r="E202" s="60"/>
      <c r="F202" s="60"/>
      <c r="G202" s="60"/>
      <c r="H202" s="60"/>
      <c r="I202" s="60"/>
      <c r="J202" s="51"/>
    </row>
    <row r="203" spans="2:10">
      <c r="B203" s="129"/>
      <c r="D203" s="60"/>
      <c r="E203" s="60"/>
      <c r="F203" s="60"/>
      <c r="G203" s="60"/>
      <c r="H203" s="60"/>
      <c r="I203" s="60"/>
      <c r="J203" s="51"/>
    </row>
    <row r="204" spans="2:10" ht="15.5" thickBot="1">
      <c r="B204" s="136"/>
      <c r="C204" s="137"/>
      <c r="D204" s="138"/>
      <c r="E204" s="138"/>
      <c r="F204" s="138"/>
      <c r="G204" s="138"/>
      <c r="H204" s="138"/>
      <c r="I204" s="138"/>
      <c r="J204" s="139"/>
    </row>
    <row r="205" spans="2:10" ht="18" customHeight="1">
      <c r="B205" s="511" t="s">
        <v>354</v>
      </c>
      <c r="C205" s="520" t="s">
        <v>355</v>
      </c>
      <c r="D205" s="521"/>
      <c r="E205" s="521"/>
      <c r="F205" s="521"/>
      <c r="G205" s="124"/>
      <c r="H205" s="124"/>
      <c r="I205" s="124"/>
      <c r="J205" s="125"/>
    </row>
    <row r="206" spans="2:10" ht="14.25" customHeight="1" thickBot="1">
      <c r="B206" s="512"/>
      <c r="C206" s="513"/>
      <c r="D206" s="514"/>
      <c r="E206" s="515"/>
      <c r="F206" s="515"/>
      <c r="G206" s="515"/>
      <c r="H206" s="515"/>
      <c r="I206" s="515"/>
      <c r="J206" s="516"/>
    </row>
    <row r="207" spans="2:10">
      <c r="B207" s="130"/>
      <c r="C207" s="131"/>
      <c r="D207" s="260"/>
      <c r="E207" s="60"/>
      <c r="F207" s="60"/>
      <c r="G207" s="60"/>
      <c r="H207" s="60"/>
      <c r="I207" s="60"/>
      <c r="J207" s="51"/>
    </row>
    <row r="208" spans="2:10">
      <c r="B208" s="130"/>
      <c r="C208" s="131"/>
      <c r="D208" s="260"/>
      <c r="E208" s="60"/>
      <c r="F208" s="60"/>
      <c r="G208" s="60"/>
      <c r="H208" s="60"/>
      <c r="I208" s="60"/>
      <c r="J208" s="51"/>
    </row>
    <row r="209" spans="2:10">
      <c r="B209" s="130"/>
      <c r="C209" s="131"/>
      <c r="D209" s="260"/>
      <c r="E209" s="60"/>
      <c r="F209" s="60"/>
      <c r="G209" s="60"/>
      <c r="H209" s="60"/>
      <c r="I209" s="60"/>
      <c r="J209" s="51"/>
    </row>
    <row r="210" spans="2:10" ht="16">
      <c r="B210" s="130"/>
      <c r="C210" s="262" t="s">
        <v>356</v>
      </c>
      <c r="D210" s="262"/>
      <c r="E210" s="262"/>
      <c r="F210" s="262"/>
      <c r="G210" s="262"/>
      <c r="H210" s="263"/>
      <c r="I210" s="263"/>
      <c r="J210" s="264"/>
    </row>
    <row r="211" spans="2:10" ht="16">
      <c r="B211" s="130"/>
      <c r="C211" s="262" t="s">
        <v>357</v>
      </c>
      <c r="D211" s="262"/>
      <c r="E211" s="262"/>
      <c r="F211" s="262"/>
      <c r="G211" s="262"/>
      <c r="H211" s="263"/>
      <c r="I211" s="263"/>
      <c r="J211" s="264"/>
    </row>
    <row r="212" spans="2:10">
      <c r="B212" s="130"/>
      <c r="C212" s="60" t="s">
        <v>358</v>
      </c>
      <c r="D212" s="60"/>
      <c r="E212" s="60"/>
      <c r="F212" s="60"/>
      <c r="G212" s="60"/>
      <c r="J212" s="149"/>
    </row>
    <row r="213" spans="2:10">
      <c r="B213" s="130"/>
      <c r="C213" s="60" t="s">
        <v>359</v>
      </c>
      <c r="D213" s="60"/>
      <c r="E213" s="60"/>
      <c r="F213" s="60"/>
      <c r="G213" s="60"/>
      <c r="J213" s="149"/>
    </row>
    <row r="214" spans="2:10">
      <c r="B214" s="130"/>
      <c r="C214" s="60" t="s">
        <v>360</v>
      </c>
      <c r="D214" s="60"/>
      <c r="E214" s="60"/>
      <c r="F214" s="60"/>
      <c r="G214" s="60"/>
      <c r="J214" s="149"/>
    </row>
    <row r="215" spans="2:10">
      <c r="B215" s="130"/>
      <c r="C215" s="60"/>
      <c r="D215" s="60"/>
      <c r="E215" s="60"/>
      <c r="F215" s="60"/>
      <c r="G215" s="60"/>
      <c r="J215" s="149"/>
    </row>
    <row r="216" spans="2:10">
      <c r="B216" s="130"/>
      <c r="C216" s="60" t="s">
        <v>361</v>
      </c>
      <c r="D216" s="60"/>
      <c r="E216" s="60"/>
      <c r="F216" s="60"/>
      <c r="G216" s="60"/>
      <c r="J216" s="149"/>
    </row>
    <row r="217" spans="2:10">
      <c r="B217" s="130"/>
      <c r="C217" s="131"/>
      <c r="D217" s="260"/>
      <c r="E217" s="60"/>
      <c r="F217" s="60"/>
      <c r="G217" s="60"/>
      <c r="H217" s="60"/>
      <c r="I217" s="60"/>
      <c r="J217" s="51"/>
    </row>
    <row r="218" spans="2:10">
      <c r="B218" s="265" t="s">
        <v>362</v>
      </c>
      <c r="C218" s="266" t="s">
        <v>363</v>
      </c>
      <c r="D218" s="266"/>
      <c r="E218" s="266"/>
      <c r="F218" s="266"/>
      <c r="G218" s="266"/>
      <c r="H218" s="266"/>
      <c r="I218" s="266"/>
      <c r="J218" s="267"/>
    </row>
    <row r="219" spans="2:10">
      <c r="B219" s="245"/>
      <c r="C219" s="246"/>
      <c r="D219" s="246"/>
      <c r="E219" s="246"/>
      <c r="F219" s="246"/>
      <c r="G219" s="246"/>
      <c r="H219" s="246"/>
      <c r="I219" s="246"/>
      <c r="J219" s="247"/>
    </row>
    <row r="220" spans="2:10">
      <c r="B220" s="129"/>
      <c r="C220" s="60" t="s">
        <v>364</v>
      </c>
      <c r="D220" s="60"/>
      <c r="E220" s="60"/>
      <c r="F220" s="60"/>
      <c r="G220" s="60"/>
      <c r="H220" s="60"/>
      <c r="I220" s="60"/>
      <c r="J220" s="51"/>
    </row>
    <row r="221" spans="2:10">
      <c r="B221" s="129"/>
      <c r="D221" s="60"/>
      <c r="E221" s="60"/>
      <c r="F221" s="60"/>
      <c r="G221" s="60"/>
      <c r="H221" s="60"/>
      <c r="I221" s="60"/>
      <c r="J221" s="51"/>
    </row>
    <row r="222" spans="2:10">
      <c r="B222" s="129"/>
      <c r="D222" s="60"/>
      <c r="E222" s="60"/>
      <c r="F222" s="60"/>
      <c r="G222" s="60"/>
      <c r="H222" s="60"/>
      <c r="I222" s="60"/>
      <c r="J222" s="51"/>
    </row>
    <row r="223" spans="2:10">
      <c r="B223" s="129"/>
      <c r="D223" s="60"/>
      <c r="E223" s="60"/>
      <c r="F223" s="60"/>
      <c r="G223" s="60"/>
      <c r="H223" s="60"/>
      <c r="I223" s="60"/>
      <c r="J223" s="51"/>
    </row>
    <row r="224" spans="2:10">
      <c r="B224" s="129"/>
      <c r="D224" s="60"/>
      <c r="E224" s="60"/>
      <c r="F224" s="60"/>
      <c r="G224" s="60"/>
      <c r="H224" s="60"/>
      <c r="I224" s="60"/>
      <c r="J224" s="51"/>
    </row>
    <row r="225" spans="2:10">
      <c r="B225" s="129"/>
      <c r="D225" s="60"/>
      <c r="E225" s="60"/>
      <c r="F225" s="60"/>
      <c r="G225" s="60"/>
      <c r="H225" s="60"/>
      <c r="I225" s="60"/>
      <c r="J225" s="51"/>
    </row>
    <row r="226" spans="2:10">
      <c r="B226" s="129"/>
      <c r="D226" s="60"/>
      <c r="E226" s="60"/>
      <c r="F226" s="60"/>
      <c r="G226" s="60"/>
      <c r="H226" s="60"/>
      <c r="I226" s="60"/>
      <c r="J226" s="51"/>
    </row>
    <row r="227" spans="2:10">
      <c r="B227" s="129"/>
      <c r="D227" s="60"/>
      <c r="E227" s="60"/>
      <c r="F227" s="60"/>
      <c r="G227" s="60"/>
      <c r="H227" s="60"/>
      <c r="I227" s="60"/>
      <c r="J227" s="51"/>
    </row>
    <row r="228" spans="2:10">
      <c r="B228" s="129"/>
      <c r="D228" s="60"/>
      <c r="E228" s="60"/>
      <c r="F228" s="60"/>
      <c r="G228" s="60"/>
      <c r="H228" s="60"/>
      <c r="I228" s="60"/>
      <c r="J228" s="51"/>
    </row>
    <row r="229" spans="2:10">
      <c r="B229" s="129"/>
      <c r="D229" s="60"/>
      <c r="E229" s="60"/>
      <c r="F229" s="60"/>
      <c r="G229" s="60"/>
      <c r="H229" s="60"/>
      <c r="I229" s="60"/>
      <c r="J229" s="51"/>
    </row>
    <row r="230" spans="2:10">
      <c r="B230" s="129"/>
      <c r="C230" s="30" t="s">
        <v>365</v>
      </c>
      <c r="D230" s="60"/>
      <c r="E230" s="60"/>
      <c r="F230" s="60"/>
      <c r="G230" s="60"/>
      <c r="H230" s="60"/>
      <c r="I230" s="60"/>
      <c r="J230" s="51"/>
    </row>
    <row r="231" spans="2:10">
      <c r="B231" s="129"/>
      <c r="D231" s="60"/>
      <c r="E231" s="60"/>
      <c r="F231" s="60"/>
      <c r="G231" s="60"/>
      <c r="H231" s="60"/>
      <c r="I231" s="60"/>
      <c r="J231" s="51"/>
    </row>
    <row r="232" spans="2:10">
      <c r="B232" s="129"/>
      <c r="D232" s="60"/>
      <c r="E232" s="60"/>
      <c r="F232" s="60"/>
      <c r="G232" s="60"/>
      <c r="H232" s="60"/>
      <c r="I232" s="60"/>
      <c r="J232" s="51"/>
    </row>
    <row r="233" spans="2:10">
      <c r="B233" s="129"/>
      <c r="D233" s="60"/>
      <c r="E233" s="60"/>
      <c r="F233" s="60"/>
      <c r="G233" s="60"/>
      <c r="H233" s="60"/>
      <c r="I233" s="60"/>
      <c r="J233" s="51"/>
    </row>
    <row r="234" spans="2:10">
      <c r="B234" s="129"/>
      <c r="D234" s="60"/>
      <c r="E234" s="60"/>
      <c r="F234" s="60"/>
      <c r="G234" s="60"/>
      <c r="H234" s="60"/>
      <c r="I234" s="60"/>
      <c r="J234" s="51"/>
    </row>
    <row r="235" spans="2:10">
      <c r="B235" s="129"/>
      <c r="D235" s="60"/>
      <c r="E235" s="60"/>
      <c r="F235" s="60"/>
      <c r="G235" s="60"/>
      <c r="H235" s="60"/>
      <c r="I235" s="60"/>
      <c r="J235" s="268"/>
    </row>
    <row r="236" spans="2:10">
      <c r="B236" s="265" t="s">
        <v>366</v>
      </c>
      <c r="C236" s="266" t="s">
        <v>367</v>
      </c>
      <c r="D236" s="266"/>
      <c r="E236" s="266"/>
      <c r="F236" s="266"/>
      <c r="G236" s="266"/>
      <c r="H236" s="266"/>
      <c r="I236" s="266"/>
      <c r="J236" s="267"/>
    </row>
    <row r="237" spans="2:10">
      <c r="B237" s="129"/>
      <c r="D237" s="60"/>
      <c r="E237" s="60"/>
      <c r="F237" s="60"/>
      <c r="G237" s="60"/>
      <c r="H237" s="60"/>
      <c r="I237" s="60"/>
      <c r="J237" s="269"/>
    </row>
    <row r="238" spans="2:10">
      <c r="B238" s="129"/>
      <c r="C238" s="30" t="s">
        <v>364</v>
      </c>
      <c r="D238" s="60"/>
      <c r="E238" s="60"/>
      <c r="F238" s="60"/>
      <c r="G238" s="60"/>
      <c r="H238" s="60"/>
      <c r="I238" s="60"/>
      <c r="J238" s="51"/>
    </row>
    <row r="239" spans="2:10">
      <c r="B239" s="129"/>
      <c r="D239" s="60"/>
      <c r="E239" s="60"/>
      <c r="F239" s="60"/>
      <c r="G239" s="60"/>
      <c r="H239" s="60"/>
      <c r="I239" s="60"/>
      <c r="J239" s="51"/>
    </row>
    <row r="240" spans="2:10">
      <c r="B240" s="129"/>
      <c r="D240" s="60"/>
      <c r="E240" s="60"/>
      <c r="F240" s="60"/>
      <c r="G240" s="60"/>
      <c r="H240" s="60"/>
      <c r="I240" s="60"/>
      <c r="J240" s="51"/>
    </row>
    <row r="241" spans="2:10">
      <c r="B241" s="129"/>
      <c r="J241" s="149"/>
    </row>
    <row r="242" spans="2:10">
      <c r="B242" s="129"/>
      <c r="J242" s="149"/>
    </row>
    <row r="243" spans="2:10">
      <c r="B243" s="129"/>
      <c r="J243" s="149"/>
    </row>
    <row r="244" spans="2:10">
      <c r="B244" s="129"/>
      <c r="J244" s="149"/>
    </row>
    <row r="245" spans="2:10">
      <c r="B245" s="129"/>
      <c r="J245" s="149"/>
    </row>
    <row r="246" spans="2:10">
      <c r="B246" s="129"/>
      <c r="J246" s="149"/>
    </row>
    <row r="247" spans="2:10">
      <c r="B247" s="129"/>
      <c r="J247" s="149"/>
    </row>
    <row r="248" spans="2:10">
      <c r="B248" s="129"/>
      <c r="J248" s="149"/>
    </row>
    <row r="249" spans="2:10">
      <c r="B249" s="129"/>
      <c r="C249" s="30"/>
      <c r="J249" s="149"/>
    </row>
    <row r="250" spans="2:10">
      <c r="B250" s="129"/>
      <c r="J250" s="149"/>
    </row>
    <row r="251" spans="2:10">
      <c r="B251" s="129"/>
      <c r="J251" s="149"/>
    </row>
    <row r="252" spans="2:10">
      <c r="B252" s="129"/>
      <c r="J252" s="149"/>
    </row>
    <row r="253" spans="2:10">
      <c r="B253" s="129"/>
      <c r="J253" s="149"/>
    </row>
    <row r="254" spans="2:10">
      <c r="B254" s="129"/>
      <c r="J254" s="149"/>
    </row>
    <row r="255" spans="2:10">
      <c r="B255" s="129"/>
      <c r="J255" s="149"/>
    </row>
    <row r="256" spans="2:10">
      <c r="B256" s="129"/>
      <c r="J256" s="149"/>
    </row>
    <row r="257" spans="2:10">
      <c r="B257" s="129"/>
      <c r="C257" s="30" t="s">
        <v>368</v>
      </c>
      <c r="J257" s="149"/>
    </row>
    <row r="258" spans="2:10">
      <c r="B258" s="129"/>
      <c r="J258" s="149"/>
    </row>
    <row r="259" spans="2:10">
      <c r="B259" s="129"/>
      <c r="J259" s="149"/>
    </row>
    <row r="260" spans="2:10">
      <c r="B260" s="129"/>
      <c r="J260" s="149"/>
    </row>
    <row r="261" spans="2:10">
      <c r="B261" s="129"/>
      <c r="J261" s="149"/>
    </row>
    <row r="262" spans="2:10">
      <c r="B262" s="129"/>
      <c r="J262" s="149"/>
    </row>
    <row r="263" spans="2:10">
      <c r="B263" s="129"/>
      <c r="J263" s="149"/>
    </row>
    <row r="264" spans="2:10">
      <c r="B264" s="129"/>
      <c r="J264" s="149"/>
    </row>
    <row r="265" spans="2:10">
      <c r="B265" s="129"/>
      <c r="J265" s="149"/>
    </row>
    <row r="266" spans="2:10">
      <c r="B266" s="129"/>
      <c r="J266" s="149"/>
    </row>
    <row r="267" spans="2:10">
      <c r="B267" s="129"/>
      <c r="J267" s="149"/>
    </row>
    <row r="268" spans="2:10">
      <c r="B268" s="129"/>
      <c r="J268" s="149"/>
    </row>
    <row r="269" spans="2:10">
      <c r="B269" s="129"/>
      <c r="J269" s="149"/>
    </row>
    <row r="270" spans="2:10">
      <c r="B270" s="129"/>
      <c r="J270" s="149"/>
    </row>
    <row r="271" spans="2:10">
      <c r="B271" s="129"/>
      <c r="J271" s="149"/>
    </row>
    <row r="272" spans="2:10">
      <c r="B272" s="265" t="s">
        <v>369</v>
      </c>
      <c r="C272" s="266" t="s">
        <v>370</v>
      </c>
      <c r="D272" s="266"/>
      <c r="E272" s="266"/>
      <c r="F272" s="266"/>
      <c r="G272" s="266"/>
      <c r="H272" s="266"/>
      <c r="I272" s="266"/>
      <c r="J272" s="267"/>
    </row>
    <row r="273" spans="2:10">
      <c r="B273" s="129"/>
      <c r="J273" s="149"/>
    </row>
    <row r="274" spans="2:10">
      <c r="B274" s="129"/>
      <c r="C274" s="30" t="s">
        <v>371</v>
      </c>
      <c r="J274" s="149"/>
    </row>
    <row r="275" spans="2:10">
      <c r="B275" s="129"/>
      <c r="J275" s="149"/>
    </row>
    <row r="276" spans="2:10">
      <c r="B276" s="129"/>
      <c r="J276" s="149"/>
    </row>
    <row r="277" spans="2:10">
      <c r="B277" s="129"/>
      <c r="J277" s="149"/>
    </row>
    <row r="278" spans="2:10">
      <c r="B278" s="129"/>
      <c r="J278" s="149"/>
    </row>
    <row r="279" spans="2:10">
      <c r="B279" s="129"/>
      <c r="J279" s="149"/>
    </row>
    <row r="280" spans="2:10">
      <c r="B280" s="129"/>
      <c r="J280" s="149"/>
    </row>
    <row r="281" spans="2:10">
      <c r="B281" s="129"/>
      <c r="J281" s="149"/>
    </row>
    <row r="282" spans="2:10">
      <c r="B282" s="129"/>
      <c r="J282" s="149"/>
    </row>
    <row r="283" spans="2:10">
      <c r="B283" s="129"/>
      <c r="J283" s="149"/>
    </row>
    <row r="284" spans="2:10">
      <c r="B284" s="129"/>
      <c r="J284" s="149"/>
    </row>
    <row r="285" spans="2:10">
      <c r="B285" s="129"/>
      <c r="J285" s="149"/>
    </row>
    <row r="286" spans="2:10">
      <c r="B286" s="129"/>
      <c r="J286" s="149"/>
    </row>
    <row r="287" spans="2:10">
      <c r="B287" s="129"/>
      <c r="J287" s="149"/>
    </row>
    <row r="288" spans="2:10">
      <c r="B288" s="129"/>
      <c r="J288" s="149"/>
    </row>
    <row r="289" spans="2:10">
      <c r="B289" s="129"/>
      <c r="J289" s="149"/>
    </row>
    <row r="290" spans="2:10">
      <c r="B290" s="129"/>
      <c r="J290" s="149"/>
    </row>
    <row r="291" spans="2:10">
      <c r="B291" s="129"/>
      <c r="J291" s="149"/>
    </row>
    <row r="292" spans="2:10">
      <c r="B292" s="129"/>
      <c r="J292" s="149"/>
    </row>
    <row r="293" spans="2:10">
      <c r="B293" s="129"/>
      <c r="J293" s="149"/>
    </row>
    <row r="294" spans="2:10">
      <c r="B294" s="129"/>
      <c r="J294" s="149"/>
    </row>
    <row r="295" spans="2:10">
      <c r="B295" s="129"/>
      <c r="C295" s="28" t="s">
        <v>365</v>
      </c>
      <c r="J295" s="149"/>
    </row>
    <row r="296" spans="2:10">
      <c r="B296" s="129"/>
      <c r="J296" s="149"/>
    </row>
    <row r="297" spans="2:10">
      <c r="B297" s="129"/>
      <c r="J297" s="149"/>
    </row>
    <row r="298" spans="2:10">
      <c r="B298" s="129"/>
      <c r="J298" s="149"/>
    </row>
    <row r="299" spans="2:10">
      <c r="B299" s="129"/>
      <c r="J299" s="149"/>
    </row>
    <row r="300" spans="2:10">
      <c r="B300" s="129"/>
      <c r="J300" s="149"/>
    </row>
    <row r="301" spans="2:10">
      <c r="B301" s="129"/>
      <c r="J301" s="149"/>
    </row>
    <row r="302" spans="2:10">
      <c r="B302" s="129"/>
      <c r="J302" s="149"/>
    </row>
    <row r="303" spans="2:10">
      <c r="B303" s="129"/>
      <c r="J303" s="149"/>
    </row>
    <row r="304" spans="2:10">
      <c r="B304" s="129"/>
      <c r="J304" s="149"/>
    </row>
    <row r="305" spans="2:10">
      <c r="B305" s="129"/>
      <c r="J305" s="149"/>
    </row>
    <row r="306" spans="2:10">
      <c r="B306" s="129"/>
      <c r="J306" s="149"/>
    </row>
    <row r="307" spans="2:10">
      <c r="B307" s="129"/>
      <c r="J307" s="149"/>
    </row>
    <row r="308" spans="2:10">
      <c r="B308" s="129"/>
      <c r="J308" s="149"/>
    </row>
    <row r="309" spans="2:10" ht="15.5" thickBot="1">
      <c r="B309" s="144"/>
      <c r="C309" s="145"/>
      <c r="D309" s="145"/>
      <c r="E309" s="145"/>
      <c r="F309" s="145"/>
      <c r="G309" s="145"/>
      <c r="H309" s="145"/>
      <c r="I309" s="145"/>
      <c r="J309" s="237"/>
    </row>
  </sheetData>
  <mergeCells count="26">
    <mergeCell ref="B167:B168"/>
    <mergeCell ref="C168:D168"/>
    <mergeCell ref="E168:J168"/>
    <mergeCell ref="B205:B206"/>
    <mergeCell ref="C205:F205"/>
    <mergeCell ref="C206:D206"/>
    <mergeCell ref="E206:J206"/>
    <mergeCell ref="B127:B128"/>
    <mergeCell ref="C128:D128"/>
    <mergeCell ref="E128:J128"/>
    <mergeCell ref="B147:B148"/>
    <mergeCell ref="C148:D148"/>
    <mergeCell ref="E148:J148"/>
    <mergeCell ref="B63:B64"/>
    <mergeCell ref="C64:D64"/>
    <mergeCell ref="E64:J64"/>
    <mergeCell ref="B79:B80"/>
    <mergeCell ref="C80:D80"/>
    <mergeCell ref="E80:J80"/>
    <mergeCell ref="B2:J2"/>
    <mergeCell ref="B4:B5"/>
    <mergeCell ref="C5:D5"/>
    <mergeCell ref="E5:J5"/>
    <mergeCell ref="B46:B47"/>
    <mergeCell ref="C47:D47"/>
    <mergeCell ref="E47:J47"/>
  </mergeCells>
  <phoneticPr fontId="21" type="noConversion"/>
  <hyperlinks>
    <hyperlink ref="A1" location="【TCS】!A1" display="戻る" xr:uid="{E674CDE3-55BD-486F-A91A-FBF1D04857DB}"/>
  </hyperlinks>
  <pageMargins left="0.75" right="0.75" top="1" bottom="1" header="0.51200000000000001" footer="0.51200000000000001"/>
  <pageSetup paperSize="9" orientation="portrait" verticalDpi="0"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1A44C-03D3-48CF-9263-E91B7CDD015D}">
  <dimension ref="A1:K96"/>
  <sheetViews>
    <sheetView showGridLines="0" workbookViewId="0">
      <pane ySplit="3" topLeftCell="A4" activePane="bottomLeft" state="frozen"/>
      <selection activeCell="H40" sqref="H40"/>
      <selection pane="bottomLeft" activeCell="H40" sqref="H40"/>
    </sheetView>
  </sheetViews>
  <sheetFormatPr defaultRowHeight="15"/>
  <cols>
    <col min="1" max="1" width="3.26953125" style="28" customWidth="1"/>
    <col min="2" max="2" width="8.36328125" style="28" customWidth="1"/>
    <col min="3" max="3" width="10" style="28" customWidth="1"/>
    <col min="4" max="4" width="12.36328125" style="30" customWidth="1"/>
    <col min="5" max="5" width="14.90625" style="30" customWidth="1"/>
    <col min="6" max="6" width="16.36328125" style="30" bestFit="1" customWidth="1"/>
    <col min="7" max="7" width="7" style="30" bestFit="1" customWidth="1"/>
    <col min="8" max="8" width="16.36328125" style="30" bestFit="1" customWidth="1"/>
    <col min="9" max="9" width="7" style="30" bestFit="1" customWidth="1"/>
    <col min="10" max="10" width="16.08984375" style="30" customWidth="1"/>
    <col min="11" max="256" width="9" style="28"/>
    <col min="257" max="257" width="3.26953125" style="28" customWidth="1"/>
    <col min="258" max="258" width="8.36328125" style="28" customWidth="1"/>
    <col min="259" max="259" width="10" style="28" customWidth="1"/>
    <col min="260" max="260" width="12.36328125" style="28" customWidth="1"/>
    <col min="261" max="261" width="14.90625" style="28" customWidth="1"/>
    <col min="262" max="262" width="16.36328125" style="28" bestFit="1" customWidth="1"/>
    <col min="263" max="263" width="7" style="28" bestFit="1" customWidth="1"/>
    <col min="264" max="264" width="16.36328125" style="28" bestFit="1" customWidth="1"/>
    <col min="265" max="265" width="7" style="28" bestFit="1" customWidth="1"/>
    <col min="266" max="266" width="16.08984375" style="28" customWidth="1"/>
    <col min="267" max="512" width="9" style="28"/>
    <col min="513" max="513" width="3.26953125" style="28" customWidth="1"/>
    <col min="514" max="514" width="8.36328125" style="28" customWidth="1"/>
    <col min="515" max="515" width="10" style="28" customWidth="1"/>
    <col min="516" max="516" width="12.36328125" style="28" customWidth="1"/>
    <col min="517" max="517" width="14.90625" style="28" customWidth="1"/>
    <col min="518" max="518" width="16.36328125" style="28" bestFit="1" customWidth="1"/>
    <col min="519" max="519" width="7" style="28" bestFit="1" customWidth="1"/>
    <col min="520" max="520" width="16.36328125" style="28" bestFit="1" customWidth="1"/>
    <col min="521" max="521" width="7" style="28" bestFit="1" customWidth="1"/>
    <col min="522" max="522" width="16.08984375" style="28" customWidth="1"/>
    <col min="523" max="768" width="9" style="28"/>
    <col min="769" max="769" width="3.26953125" style="28" customWidth="1"/>
    <col min="770" max="770" width="8.36328125" style="28" customWidth="1"/>
    <col min="771" max="771" width="10" style="28" customWidth="1"/>
    <col min="772" max="772" width="12.36328125" style="28" customWidth="1"/>
    <col min="773" max="773" width="14.90625" style="28" customWidth="1"/>
    <col min="774" max="774" width="16.36328125" style="28" bestFit="1" customWidth="1"/>
    <col min="775" max="775" width="7" style="28" bestFit="1" customWidth="1"/>
    <col min="776" max="776" width="16.36328125" style="28" bestFit="1" customWidth="1"/>
    <col min="777" max="777" width="7" style="28" bestFit="1" customWidth="1"/>
    <col min="778" max="778" width="16.08984375" style="28" customWidth="1"/>
    <col min="779" max="1024" width="9" style="28"/>
    <col min="1025" max="1025" width="3.26953125" style="28" customWidth="1"/>
    <col min="1026" max="1026" width="8.36328125" style="28" customWidth="1"/>
    <col min="1027" max="1027" width="10" style="28" customWidth="1"/>
    <col min="1028" max="1028" width="12.36328125" style="28" customWidth="1"/>
    <col min="1029" max="1029" width="14.90625" style="28" customWidth="1"/>
    <col min="1030" max="1030" width="16.36328125" style="28" bestFit="1" customWidth="1"/>
    <col min="1031" max="1031" width="7" style="28" bestFit="1" customWidth="1"/>
    <col min="1032" max="1032" width="16.36328125" style="28" bestFit="1" customWidth="1"/>
    <col min="1033" max="1033" width="7" style="28" bestFit="1" customWidth="1"/>
    <col min="1034" max="1034" width="16.08984375" style="28" customWidth="1"/>
    <col min="1035" max="1280" width="9" style="28"/>
    <col min="1281" max="1281" width="3.26953125" style="28" customWidth="1"/>
    <col min="1282" max="1282" width="8.36328125" style="28" customWidth="1"/>
    <col min="1283" max="1283" width="10" style="28" customWidth="1"/>
    <col min="1284" max="1284" width="12.36328125" style="28" customWidth="1"/>
    <col min="1285" max="1285" width="14.90625" style="28" customWidth="1"/>
    <col min="1286" max="1286" width="16.36328125" style="28" bestFit="1" customWidth="1"/>
    <col min="1287" max="1287" width="7" style="28" bestFit="1" customWidth="1"/>
    <col min="1288" max="1288" width="16.36328125" style="28" bestFit="1" customWidth="1"/>
    <col min="1289" max="1289" width="7" style="28" bestFit="1" customWidth="1"/>
    <col min="1290" max="1290" width="16.08984375" style="28" customWidth="1"/>
    <col min="1291" max="1536" width="9" style="28"/>
    <col min="1537" max="1537" width="3.26953125" style="28" customWidth="1"/>
    <col min="1538" max="1538" width="8.36328125" style="28" customWidth="1"/>
    <col min="1539" max="1539" width="10" style="28" customWidth="1"/>
    <col min="1540" max="1540" width="12.36328125" style="28" customWidth="1"/>
    <col min="1541" max="1541" width="14.90625" style="28" customWidth="1"/>
    <col min="1542" max="1542" width="16.36328125" style="28" bestFit="1" customWidth="1"/>
    <col min="1543" max="1543" width="7" style="28" bestFit="1" customWidth="1"/>
    <col min="1544" max="1544" width="16.36328125" style="28" bestFit="1" customWidth="1"/>
    <col min="1545" max="1545" width="7" style="28" bestFit="1" customWidth="1"/>
    <col min="1546" max="1546" width="16.08984375" style="28" customWidth="1"/>
    <col min="1547" max="1792" width="9" style="28"/>
    <col min="1793" max="1793" width="3.26953125" style="28" customWidth="1"/>
    <col min="1794" max="1794" width="8.36328125" style="28" customWidth="1"/>
    <col min="1795" max="1795" width="10" style="28" customWidth="1"/>
    <col min="1796" max="1796" width="12.36328125" style="28" customWidth="1"/>
    <col min="1797" max="1797" width="14.90625" style="28" customWidth="1"/>
    <col min="1798" max="1798" width="16.36328125" style="28" bestFit="1" customWidth="1"/>
    <col min="1799" max="1799" width="7" style="28" bestFit="1" customWidth="1"/>
    <col min="1800" max="1800" width="16.36328125" style="28" bestFit="1" customWidth="1"/>
    <col min="1801" max="1801" width="7" style="28" bestFit="1" customWidth="1"/>
    <col min="1802" max="1802" width="16.08984375" style="28" customWidth="1"/>
    <col min="1803" max="2048" width="9" style="28"/>
    <col min="2049" max="2049" width="3.26953125" style="28" customWidth="1"/>
    <col min="2050" max="2050" width="8.36328125" style="28" customWidth="1"/>
    <col min="2051" max="2051" width="10" style="28" customWidth="1"/>
    <col min="2052" max="2052" width="12.36328125" style="28" customWidth="1"/>
    <col min="2053" max="2053" width="14.90625" style="28" customWidth="1"/>
    <col min="2054" max="2054" width="16.36328125" style="28" bestFit="1" customWidth="1"/>
    <col min="2055" max="2055" width="7" style="28" bestFit="1" customWidth="1"/>
    <col min="2056" max="2056" width="16.36328125" style="28" bestFit="1" customWidth="1"/>
    <col min="2057" max="2057" width="7" style="28" bestFit="1" customWidth="1"/>
    <col min="2058" max="2058" width="16.08984375" style="28" customWidth="1"/>
    <col min="2059" max="2304" width="9" style="28"/>
    <col min="2305" max="2305" width="3.26953125" style="28" customWidth="1"/>
    <col min="2306" max="2306" width="8.36328125" style="28" customWidth="1"/>
    <col min="2307" max="2307" width="10" style="28" customWidth="1"/>
    <col min="2308" max="2308" width="12.36328125" style="28" customWidth="1"/>
    <col min="2309" max="2309" width="14.90625" style="28" customWidth="1"/>
    <col min="2310" max="2310" width="16.36328125" style="28" bestFit="1" customWidth="1"/>
    <col min="2311" max="2311" width="7" style="28" bestFit="1" customWidth="1"/>
    <col min="2312" max="2312" width="16.36328125" style="28" bestFit="1" customWidth="1"/>
    <col min="2313" max="2313" width="7" style="28" bestFit="1" customWidth="1"/>
    <col min="2314" max="2314" width="16.08984375" style="28" customWidth="1"/>
    <col min="2315" max="2560" width="9" style="28"/>
    <col min="2561" max="2561" width="3.26953125" style="28" customWidth="1"/>
    <col min="2562" max="2562" width="8.36328125" style="28" customWidth="1"/>
    <col min="2563" max="2563" width="10" style="28" customWidth="1"/>
    <col min="2564" max="2564" width="12.36328125" style="28" customWidth="1"/>
    <col min="2565" max="2565" width="14.90625" style="28" customWidth="1"/>
    <col min="2566" max="2566" width="16.36328125" style="28" bestFit="1" customWidth="1"/>
    <col min="2567" max="2567" width="7" style="28" bestFit="1" customWidth="1"/>
    <col min="2568" max="2568" width="16.36328125" style="28" bestFit="1" customWidth="1"/>
    <col min="2569" max="2569" width="7" style="28" bestFit="1" customWidth="1"/>
    <col min="2570" max="2570" width="16.08984375" style="28" customWidth="1"/>
    <col min="2571" max="2816" width="9" style="28"/>
    <col min="2817" max="2817" width="3.26953125" style="28" customWidth="1"/>
    <col min="2818" max="2818" width="8.36328125" style="28" customWidth="1"/>
    <col min="2819" max="2819" width="10" style="28" customWidth="1"/>
    <col min="2820" max="2820" width="12.36328125" style="28" customWidth="1"/>
    <col min="2821" max="2821" width="14.90625" style="28" customWidth="1"/>
    <col min="2822" max="2822" width="16.36328125" style="28" bestFit="1" customWidth="1"/>
    <col min="2823" max="2823" width="7" style="28" bestFit="1" customWidth="1"/>
    <col min="2824" max="2824" width="16.36328125" style="28" bestFit="1" customWidth="1"/>
    <col min="2825" max="2825" width="7" style="28" bestFit="1" customWidth="1"/>
    <col min="2826" max="2826" width="16.08984375" style="28" customWidth="1"/>
    <col min="2827" max="3072" width="9" style="28"/>
    <col min="3073" max="3073" width="3.26953125" style="28" customWidth="1"/>
    <col min="3074" max="3074" width="8.36328125" style="28" customWidth="1"/>
    <col min="3075" max="3075" width="10" style="28" customWidth="1"/>
    <col min="3076" max="3076" width="12.36328125" style="28" customWidth="1"/>
    <col min="3077" max="3077" width="14.90625" style="28" customWidth="1"/>
    <col min="3078" max="3078" width="16.36328125" style="28" bestFit="1" customWidth="1"/>
    <col min="3079" max="3079" width="7" style="28" bestFit="1" customWidth="1"/>
    <col min="3080" max="3080" width="16.36328125" style="28" bestFit="1" customWidth="1"/>
    <col min="3081" max="3081" width="7" style="28" bestFit="1" customWidth="1"/>
    <col min="3082" max="3082" width="16.08984375" style="28" customWidth="1"/>
    <col min="3083" max="3328" width="9" style="28"/>
    <col min="3329" max="3329" width="3.26953125" style="28" customWidth="1"/>
    <col min="3330" max="3330" width="8.36328125" style="28" customWidth="1"/>
    <col min="3331" max="3331" width="10" style="28" customWidth="1"/>
    <col min="3332" max="3332" width="12.36328125" style="28" customWidth="1"/>
    <col min="3333" max="3333" width="14.90625" style="28" customWidth="1"/>
    <col min="3334" max="3334" width="16.36328125" style="28" bestFit="1" customWidth="1"/>
    <col min="3335" max="3335" width="7" style="28" bestFit="1" customWidth="1"/>
    <col min="3336" max="3336" width="16.36328125" style="28" bestFit="1" customWidth="1"/>
    <col min="3337" max="3337" width="7" style="28" bestFit="1" customWidth="1"/>
    <col min="3338" max="3338" width="16.08984375" style="28" customWidth="1"/>
    <col min="3339" max="3584" width="9" style="28"/>
    <col min="3585" max="3585" width="3.26953125" style="28" customWidth="1"/>
    <col min="3586" max="3586" width="8.36328125" style="28" customWidth="1"/>
    <col min="3587" max="3587" width="10" style="28" customWidth="1"/>
    <col min="3588" max="3588" width="12.36328125" style="28" customWidth="1"/>
    <col min="3589" max="3589" width="14.90625" style="28" customWidth="1"/>
    <col min="3590" max="3590" width="16.36328125" style="28" bestFit="1" customWidth="1"/>
    <col min="3591" max="3591" width="7" style="28" bestFit="1" customWidth="1"/>
    <col min="3592" max="3592" width="16.36328125" style="28" bestFit="1" customWidth="1"/>
    <col min="3593" max="3593" width="7" style="28" bestFit="1" customWidth="1"/>
    <col min="3594" max="3594" width="16.08984375" style="28" customWidth="1"/>
    <col min="3595" max="3840" width="9" style="28"/>
    <col min="3841" max="3841" width="3.26953125" style="28" customWidth="1"/>
    <col min="3842" max="3842" width="8.36328125" style="28" customWidth="1"/>
    <col min="3843" max="3843" width="10" style="28" customWidth="1"/>
    <col min="3844" max="3844" width="12.36328125" style="28" customWidth="1"/>
    <col min="3845" max="3845" width="14.90625" style="28" customWidth="1"/>
    <col min="3846" max="3846" width="16.36328125" style="28" bestFit="1" customWidth="1"/>
    <col min="3847" max="3847" width="7" style="28" bestFit="1" customWidth="1"/>
    <col min="3848" max="3848" width="16.36328125" style="28" bestFit="1" customWidth="1"/>
    <col min="3849" max="3849" width="7" style="28" bestFit="1" customWidth="1"/>
    <col min="3850" max="3850" width="16.08984375" style="28" customWidth="1"/>
    <col min="3851" max="4096" width="9" style="28"/>
    <col min="4097" max="4097" width="3.26953125" style="28" customWidth="1"/>
    <col min="4098" max="4098" width="8.36328125" style="28" customWidth="1"/>
    <col min="4099" max="4099" width="10" style="28" customWidth="1"/>
    <col min="4100" max="4100" width="12.36328125" style="28" customWidth="1"/>
    <col min="4101" max="4101" width="14.90625" style="28" customWidth="1"/>
    <col min="4102" max="4102" width="16.36328125" style="28" bestFit="1" customWidth="1"/>
    <col min="4103" max="4103" width="7" style="28" bestFit="1" customWidth="1"/>
    <col min="4104" max="4104" width="16.36328125" style="28" bestFit="1" customWidth="1"/>
    <col min="4105" max="4105" width="7" style="28" bestFit="1" customWidth="1"/>
    <col min="4106" max="4106" width="16.08984375" style="28" customWidth="1"/>
    <col min="4107" max="4352" width="9" style="28"/>
    <col min="4353" max="4353" width="3.26953125" style="28" customWidth="1"/>
    <col min="4354" max="4354" width="8.36328125" style="28" customWidth="1"/>
    <col min="4355" max="4355" width="10" style="28" customWidth="1"/>
    <col min="4356" max="4356" width="12.36328125" style="28" customWidth="1"/>
    <col min="4357" max="4357" width="14.90625" style="28" customWidth="1"/>
    <col min="4358" max="4358" width="16.36328125" style="28" bestFit="1" customWidth="1"/>
    <col min="4359" max="4359" width="7" style="28" bestFit="1" customWidth="1"/>
    <col min="4360" max="4360" width="16.36328125" style="28" bestFit="1" customWidth="1"/>
    <col min="4361" max="4361" width="7" style="28" bestFit="1" customWidth="1"/>
    <col min="4362" max="4362" width="16.08984375" style="28" customWidth="1"/>
    <col min="4363" max="4608" width="9" style="28"/>
    <col min="4609" max="4609" width="3.26953125" style="28" customWidth="1"/>
    <col min="4610" max="4610" width="8.36328125" style="28" customWidth="1"/>
    <col min="4611" max="4611" width="10" style="28" customWidth="1"/>
    <col min="4612" max="4612" width="12.36328125" style="28" customWidth="1"/>
    <col min="4613" max="4613" width="14.90625" style="28" customWidth="1"/>
    <col min="4614" max="4614" width="16.36328125" style="28" bestFit="1" customWidth="1"/>
    <col min="4615" max="4615" width="7" style="28" bestFit="1" customWidth="1"/>
    <col min="4616" max="4616" width="16.36328125" style="28" bestFit="1" customWidth="1"/>
    <col min="4617" max="4617" width="7" style="28" bestFit="1" customWidth="1"/>
    <col min="4618" max="4618" width="16.08984375" style="28" customWidth="1"/>
    <col min="4619" max="4864" width="9" style="28"/>
    <col min="4865" max="4865" width="3.26953125" style="28" customWidth="1"/>
    <col min="4866" max="4866" width="8.36328125" style="28" customWidth="1"/>
    <col min="4867" max="4867" width="10" style="28" customWidth="1"/>
    <col min="4868" max="4868" width="12.36328125" style="28" customWidth="1"/>
    <col min="4869" max="4869" width="14.90625" style="28" customWidth="1"/>
    <col min="4870" max="4870" width="16.36328125" style="28" bestFit="1" customWidth="1"/>
    <col min="4871" max="4871" width="7" style="28" bestFit="1" customWidth="1"/>
    <col min="4872" max="4872" width="16.36328125" style="28" bestFit="1" customWidth="1"/>
    <col min="4873" max="4873" width="7" style="28" bestFit="1" customWidth="1"/>
    <col min="4874" max="4874" width="16.08984375" style="28" customWidth="1"/>
    <col min="4875" max="5120" width="9" style="28"/>
    <col min="5121" max="5121" width="3.26953125" style="28" customWidth="1"/>
    <col min="5122" max="5122" width="8.36328125" style="28" customWidth="1"/>
    <col min="5123" max="5123" width="10" style="28" customWidth="1"/>
    <col min="5124" max="5124" width="12.36328125" style="28" customWidth="1"/>
    <col min="5125" max="5125" width="14.90625" style="28" customWidth="1"/>
    <col min="5126" max="5126" width="16.36328125" style="28" bestFit="1" customWidth="1"/>
    <col min="5127" max="5127" width="7" style="28" bestFit="1" customWidth="1"/>
    <col min="5128" max="5128" width="16.36328125" style="28" bestFit="1" customWidth="1"/>
    <col min="5129" max="5129" width="7" style="28" bestFit="1" customWidth="1"/>
    <col min="5130" max="5130" width="16.08984375" style="28" customWidth="1"/>
    <col min="5131" max="5376" width="9" style="28"/>
    <col min="5377" max="5377" width="3.26953125" style="28" customWidth="1"/>
    <col min="5378" max="5378" width="8.36328125" style="28" customWidth="1"/>
    <col min="5379" max="5379" width="10" style="28" customWidth="1"/>
    <col min="5380" max="5380" width="12.36328125" style="28" customWidth="1"/>
    <col min="5381" max="5381" width="14.90625" style="28" customWidth="1"/>
    <col min="5382" max="5382" width="16.36328125" style="28" bestFit="1" customWidth="1"/>
    <col min="5383" max="5383" width="7" style="28" bestFit="1" customWidth="1"/>
    <col min="5384" max="5384" width="16.36328125" style="28" bestFit="1" customWidth="1"/>
    <col min="5385" max="5385" width="7" style="28" bestFit="1" customWidth="1"/>
    <col min="5386" max="5386" width="16.08984375" style="28" customWidth="1"/>
    <col min="5387" max="5632" width="9" style="28"/>
    <col min="5633" max="5633" width="3.26953125" style="28" customWidth="1"/>
    <col min="5634" max="5634" width="8.36328125" style="28" customWidth="1"/>
    <col min="5635" max="5635" width="10" style="28" customWidth="1"/>
    <col min="5636" max="5636" width="12.36328125" style="28" customWidth="1"/>
    <col min="5637" max="5637" width="14.90625" style="28" customWidth="1"/>
    <col min="5638" max="5638" width="16.36328125" style="28" bestFit="1" customWidth="1"/>
    <col min="5639" max="5639" width="7" style="28" bestFit="1" customWidth="1"/>
    <col min="5640" max="5640" width="16.36328125" style="28" bestFit="1" customWidth="1"/>
    <col min="5641" max="5641" width="7" style="28" bestFit="1" customWidth="1"/>
    <col min="5642" max="5642" width="16.08984375" style="28" customWidth="1"/>
    <col min="5643" max="5888" width="9" style="28"/>
    <col min="5889" max="5889" width="3.26953125" style="28" customWidth="1"/>
    <col min="5890" max="5890" width="8.36328125" style="28" customWidth="1"/>
    <col min="5891" max="5891" width="10" style="28" customWidth="1"/>
    <col min="5892" max="5892" width="12.36328125" style="28" customWidth="1"/>
    <col min="5893" max="5893" width="14.90625" style="28" customWidth="1"/>
    <col min="5894" max="5894" width="16.36328125" style="28" bestFit="1" customWidth="1"/>
    <col min="5895" max="5895" width="7" style="28" bestFit="1" customWidth="1"/>
    <col min="5896" max="5896" width="16.36328125" style="28" bestFit="1" customWidth="1"/>
    <col min="5897" max="5897" width="7" style="28" bestFit="1" customWidth="1"/>
    <col min="5898" max="5898" width="16.08984375" style="28" customWidth="1"/>
    <col min="5899" max="6144" width="9" style="28"/>
    <col min="6145" max="6145" width="3.26953125" style="28" customWidth="1"/>
    <col min="6146" max="6146" width="8.36328125" style="28" customWidth="1"/>
    <col min="6147" max="6147" width="10" style="28" customWidth="1"/>
    <col min="6148" max="6148" width="12.36328125" style="28" customWidth="1"/>
    <col min="6149" max="6149" width="14.90625" style="28" customWidth="1"/>
    <col min="6150" max="6150" width="16.36328125" style="28" bestFit="1" customWidth="1"/>
    <col min="6151" max="6151" width="7" style="28" bestFit="1" customWidth="1"/>
    <col min="6152" max="6152" width="16.36328125" style="28" bestFit="1" customWidth="1"/>
    <col min="6153" max="6153" width="7" style="28" bestFit="1" customWidth="1"/>
    <col min="6154" max="6154" width="16.08984375" style="28" customWidth="1"/>
    <col min="6155" max="6400" width="9" style="28"/>
    <col min="6401" max="6401" width="3.26953125" style="28" customWidth="1"/>
    <col min="6402" max="6402" width="8.36328125" style="28" customWidth="1"/>
    <col min="6403" max="6403" width="10" style="28" customWidth="1"/>
    <col min="6404" max="6404" width="12.36328125" style="28" customWidth="1"/>
    <col min="6405" max="6405" width="14.90625" style="28" customWidth="1"/>
    <col min="6406" max="6406" width="16.36328125" style="28" bestFit="1" customWidth="1"/>
    <col min="6407" max="6407" width="7" style="28" bestFit="1" customWidth="1"/>
    <col min="6408" max="6408" width="16.36328125" style="28" bestFit="1" customWidth="1"/>
    <col min="6409" max="6409" width="7" style="28" bestFit="1" customWidth="1"/>
    <col min="6410" max="6410" width="16.08984375" style="28" customWidth="1"/>
    <col min="6411" max="6656" width="9" style="28"/>
    <col min="6657" max="6657" width="3.26953125" style="28" customWidth="1"/>
    <col min="6658" max="6658" width="8.36328125" style="28" customWidth="1"/>
    <col min="6659" max="6659" width="10" style="28" customWidth="1"/>
    <col min="6660" max="6660" width="12.36328125" style="28" customWidth="1"/>
    <col min="6661" max="6661" width="14.90625" style="28" customWidth="1"/>
    <col min="6662" max="6662" width="16.36328125" style="28" bestFit="1" customWidth="1"/>
    <col min="6663" max="6663" width="7" style="28" bestFit="1" customWidth="1"/>
    <col min="6664" max="6664" width="16.36328125" style="28" bestFit="1" customWidth="1"/>
    <col min="6665" max="6665" width="7" style="28" bestFit="1" customWidth="1"/>
    <col min="6666" max="6666" width="16.08984375" style="28" customWidth="1"/>
    <col min="6667" max="6912" width="9" style="28"/>
    <col min="6913" max="6913" width="3.26953125" style="28" customWidth="1"/>
    <col min="6914" max="6914" width="8.36328125" style="28" customWidth="1"/>
    <col min="6915" max="6915" width="10" style="28" customWidth="1"/>
    <col min="6916" max="6916" width="12.36328125" style="28" customWidth="1"/>
    <col min="6917" max="6917" width="14.90625" style="28" customWidth="1"/>
    <col min="6918" max="6918" width="16.36328125" style="28" bestFit="1" customWidth="1"/>
    <col min="6919" max="6919" width="7" style="28" bestFit="1" customWidth="1"/>
    <col min="6920" max="6920" width="16.36328125" style="28" bestFit="1" customWidth="1"/>
    <col min="6921" max="6921" width="7" style="28" bestFit="1" customWidth="1"/>
    <col min="6922" max="6922" width="16.08984375" style="28" customWidth="1"/>
    <col min="6923" max="7168" width="9" style="28"/>
    <col min="7169" max="7169" width="3.26953125" style="28" customWidth="1"/>
    <col min="7170" max="7170" width="8.36328125" style="28" customWidth="1"/>
    <col min="7171" max="7171" width="10" style="28" customWidth="1"/>
    <col min="7172" max="7172" width="12.36328125" style="28" customWidth="1"/>
    <col min="7173" max="7173" width="14.90625" style="28" customWidth="1"/>
    <col min="7174" max="7174" width="16.36328125" style="28" bestFit="1" customWidth="1"/>
    <col min="7175" max="7175" width="7" style="28" bestFit="1" customWidth="1"/>
    <col min="7176" max="7176" width="16.36328125" style="28" bestFit="1" customWidth="1"/>
    <col min="7177" max="7177" width="7" style="28" bestFit="1" customWidth="1"/>
    <col min="7178" max="7178" width="16.08984375" style="28" customWidth="1"/>
    <col min="7179" max="7424" width="9" style="28"/>
    <col min="7425" max="7425" width="3.26953125" style="28" customWidth="1"/>
    <col min="7426" max="7426" width="8.36328125" style="28" customWidth="1"/>
    <col min="7427" max="7427" width="10" style="28" customWidth="1"/>
    <col min="7428" max="7428" width="12.36328125" style="28" customWidth="1"/>
    <col min="7429" max="7429" width="14.90625" style="28" customWidth="1"/>
    <col min="7430" max="7430" width="16.36328125" style="28" bestFit="1" customWidth="1"/>
    <col min="7431" max="7431" width="7" style="28" bestFit="1" customWidth="1"/>
    <col min="7432" max="7432" width="16.36328125" style="28" bestFit="1" customWidth="1"/>
    <col min="7433" max="7433" width="7" style="28" bestFit="1" customWidth="1"/>
    <col min="7434" max="7434" width="16.08984375" style="28" customWidth="1"/>
    <col min="7435" max="7680" width="9" style="28"/>
    <col min="7681" max="7681" width="3.26953125" style="28" customWidth="1"/>
    <col min="7682" max="7682" width="8.36328125" style="28" customWidth="1"/>
    <col min="7683" max="7683" width="10" style="28" customWidth="1"/>
    <col min="7684" max="7684" width="12.36328125" style="28" customWidth="1"/>
    <col min="7685" max="7685" width="14.90625" style="28" customWidth="1"/>
    <col min="7686" max="7686" width="16.36328125" style="28" bestFit="1" customWidth="1"/>
    <col min="7687" max="7687" width="7" style="28" bestFit="1" customWidth="1"/>
    <col min="7688" max="7688" width="16.36328125" style="28" bestFit="1" customWidth="1"/>
    <col min="7689" max="7689" width="7" style="28" bestFit="1" customWidth="1"/>
    <col min="7690" max="7690" width="16.08984375" style="28" customWidth="1"/>
    <col min="7691" max="7936" width="9" style="28"/>
    <col min="7937" max="7937" width="3.26953125" style="28" customWidth="1"/>
    <col min="7938" max="7938" width="8.36328125" style="28" customWidth="1"/>
    <col min="7939" max="7939" width="10" style="28" customWidth="1"/>
    <col min="7940" max="7940" width="12.36328125" style="28" customWidth="1"/>
    <col min="7941" max="7941" width="14.90625" style="28" customWidth="1"/>
    <col min="7942" max="7942" width="16.36328125" style="28" bestFit="1" customWidth="1"/>
    <col min="7943" max="7943" width="7" style="28" bestFit="1" customWidth="1"/>
    <col min="7944" max="7944" width="16.36328125" style="28" bestFit="1" customWidth="1"/>
    <col min="7945" max="7945" width="7" style="28" bestFit="1" customWidth="1"/>
    <col min="7946" max="7946" width="16.08984375" style="28" customWidth="1"/>
    <col min="7947" max="8192" width="9" style="28"/>
    <col min="8193" max="8193" width="3.26953125" style="28" customWidth="1"/>
    <col min="8194" max="8194" width="8.36328125" style="28" customWidth="1"/>
    <col min="8195" max="8195" width="10" style="28" customWidth="1"/>
    <col min="8196" max="8196" width="12.36328125" style="28" customWidth="1"/>
    <col min="8197" max="8197" width="14.90625" style="28" customWidth="1"/>
    <col min="8198" max="8198" width="16.36328125" style="28" bestFit="1" customWidth="1"/>
    <col min="8199" max="8199" width="7" style="28" bestFit="1" customWidth="1"/>
    <col min="8200" max="8200" width="16.36328125" style="28" bestFit="1" customWidth="1"/>
    <col min="8201" max="8201" width="7" style="28" bestFit="1" customWidth="1"/>
    <col min="8202" max="8202" width="16.08984375" style="28" customWidth="1"/>
    <col min="8203" max="8448" width="9" style="28"/>
    <col min="8449" max="8449" width="3.26953125" style="28" customWidth="1"/>
    <col min="8450" max="8450" width="8.36328125" style="28" customWidth="1"/>
    <col min="8451" max="8451" width="10" style="28" customWidth="1"/>
    <col min="8452" max="8452" width="12.36328125" style="28" customWidth="1"/>
    <col min="8453" max="8453" width="14.90625" style="28" customWidth="1"/>
    <col min="8454" max="8454" width="16.36328125" style="28" bestFit="1" customWidth="1"/>
    <col min="8455" max="8455" width="7" style="28" bestFit="1" customWidth="1"/>
    <col min="8456" max="8456" width="16.36328125" style="28" bestFit="1" customWidth="1"/>
    <col min="8457" max="8457" width="7" style="28" bestFit="1" customWidth="1"/>
    <col min="8458" max="8458" width="16.08984375" style="28" customWidth="1"/>
    <col min="8459" max="8704" width="9" style="28"/>
    <col min="8705" max="8705" width="3.26953125" style="28" customWidth="1"/>
    <col min="8706" max="8706" width="8.36328125" style="28" customWidth="1"/>
    <col min="8707" max="8707" width="10" style="28" customWidth="1"/>
    <col min="8708" max="8708" width="12.36328125" style="28" customWidth="1"/>
    <col min="8709" max="8709" width="14.90625" style="28" customWidth="1"/>
    <col min="8710" max="8710" width="16.36328125" style="28" bestFit="1" customWidth="1"/>
    <col min="8711" max="8711" width="7" style="28" bestFit="1" customWidth="1"/>
    <col min="8712" max="8712" width="16.36328125" style="28" bestFit="1" customWidth="1"/>
    <col min="8713" max="8713" width="7" style="28" bestFit="1" customWidth="1"/>
    <col min="8714" max="8714" width="16.08984375" style="28" customWidth="1"/>
    <col min="8715" max="8960" width="9" style="28"/>
    <col min="8961" max="8961" width="3.26953125" style="28" customWidth="1"/>
    <col min="8962" max="8962" width="8.36328125" style="28" customWidth="1"/>
    <col min="8963" max="8963" width="10" style="28" customWidth="1"/>
    <col min="8964" max="8964" width="12.36328125" style="28" customWidth="1"/>
    <col min="8965" max="8965" width="14.90625" style="28" customWidth="1"/>
    <col min="8966" max="8966" width="16.36328125" style="28" bestFit="1" customWidth="1"/>
    <col min="8967" max="8967" width="7" style="28" bestFit="1" customWidth="1"/>
    <col min="8968" max="8968" width="16.36328125" style="28" bestFit="1" customWidth="1"/>
    <col min="8969" max="8969" width="7" style="28" bestFit="1" customWidth="1"/>
    <col min="8970" max="8970" width="16.08984375" style="28" customWidth="1"/>
    <col min="8971" max="9216" width="9" style="28"/>
    <col min="9217" max="9217" width="3.26953125" style="28" customWidth="1"/>
    <col min="9218" max="9218" width="8.36328125" style="28" customWidth="1"/>
    <col min="9219" max="9219" width="10" style="28" customWidth="1"/>
    <col min="9220" max="9220" width="12.36328125" style="28" customWidth="1"/>
    <col min="9221" max="9221" width="14.90625" style="28" customWidth="1"/>
    <col min="9222" max="9222" width="16.36328125" style="28" bestFit="1" customWidth="1"/>
    <col min="9223" max="9223" width="7" style="28" bestFit="1" customWidth="1"/>
    <col min="9224" max="9224" width="16.36328125" style="28" bestFit="1" customWidth="1"/>
    <col min="9225" max="9225" width="7" style="28" bestFit="1" customWidth="1"/>
    <col min="9226" max="9226" width="16.08984375" style="28" customWidth="1"/>
    <col min="9227" max="9472" width="9" style="28"/>
    <col min="9473" max="9473" width="3.26953125" style="28" customWidth="1"/>
    <col min="9474" max="9474" width="8.36328125" style="28" customWidth="1"/>
    <col min="9475" max="9475" width="10" style="28" customWidth="1"/>
    <col min="9476" max="9476" width="12.36328125" style="28" customWidth="1"/>
    <col min="9477" max="9477" width="14.90625" style="28" customWidth="1"/>
    <col min="9478" max="9478" width="16.36328125" style="28" bestFit="1" customWidth="1"/>
    <col min="9479" max="9479" width="7" style="28" bestFit="1" customWidth="1"/>
    <col min="9480" max="9480" width="16.36328125" style="28" bestFit="1" customWidth="1"/>
    <col min="9481" max="9481" width="7" style="28" bestFit="1" customWidth="1"/>
    <col min="9482" max="9482" width="16.08984375" style="28" customWidth="1"/>
    <col min="9483" max="9728" width="9" style="28"/>
    <col min="9729" max="9729" width="3.26953125" style="28" customWidth="1"/>
    <col min="9730" max="9730" width="8.36328125" style="28" customWidth="1"/>
    <col min="9731" max="9731" width="10" style="28" customWidth="1"/>
    <col min="9732" max="9732" width="12.36328125" style="28" customWidth="1"/>
    <col min="9733" max="9733" width="14.90625" style="28" customWidth="1"/>
    <col min="9734" max="9734" width="16.36328125" style="28" bestFit="1" customWidth="1"/>
    <col min="9735" max="9735" width="7" style="28" bestFit="1" customWidth="1"/>
    <col min="9736" max="9736" width="16.36328125" style="28" bestFit="1" customWidth="1"/>
    <col min="9737" max="9737" width="7" style="28" bestFit="1" customWidth="1"/>
    <col min="9738" max="9738" width="16.08984375" style="28" customWidth="1"/>
    <col min="9739" max="9984" width="9" style="28"/>
    <col min="9985" max="9985" width="3.26953125" style="28" customWidth="1"/>
    <col min="9986" max="9986" width="8.36328125" style="28" customWidth="1"/>
    <col min="9987" max="9987" width="10" style="28" customWidth="1"/>
    <col min="9988" max="9988" width="12.36328125" style="28" customWidth="1"/>
    <col min="9989" max="9989" width="14.90625" style="28" customWidth="1"/>
    <col min="9990" max="9990" width="16.36328125" style="28" bestFit="1" customWidth="1"/>
    <col min="9991" max="9991" width="7" style="28" bestFit="1" customWidth="1"/>
    <col min="9992" max="9992" width="16.36328125" style="28" bestFit="1" customWidth="1"/>
    <col min="9993" max="9993" width="7" style="28" bestFit="1" customWidth="1"/>
    <col min="9994" max="9994" width="16.08984375" style="28" customWidth="1"/>
    <col min="9995" max="10240" width="9" style="28"/>
    <col min="10241" max="10241" width="3.26953125" style="28" customWidth="1"/>
    <col min="10242" max="10242" width="8.36328125" style="28" customWidth="1"/>
    <col min="10243" max="10243" width="10" style="28" customWidth="1"/>
    <col min="10244" max="10244" width="12.36328125" style="28" customWidth="1"/>
    <col min="10245" max="10245" width="14.90625" style="28" customWidth="1"/>
    <col min="10246" max="10246" width="16.36328125" style="28" bestFit="1" customWidth="1"/>
    <col min="10247" max="10247" width="7" style="28" bestFit="1" customWidth="1"/>
    <col min="10248" max="10248" width="16.36328125" style="28" bestFit="1" customWidth="1"/>
    <col min="10249" max="10249" width="7" style="28" bestFit="1" customWidth="1"/>
    <col min="10250" max="10250" width="16.08984375" style="28" customWidth="1"/>
    <col min="10251" max="10496" width="9" style="28"/>
    <col min="10497" max="10497" width="3.26953125" style="28" customWidth="1"/>
    <col min="10498" max="10498" width="8.36328125" style="28" customWidth="1"/>
    <col min="10499" max="10499" width="10" style="28" customWidth="1"/>
    <col min="10500" max="10500" width="12.36328125" style="28" customWidth="1"/>
    <col min="10501" max="10501" width="14.90625" style="28" customWidth="1"/>
    <col min="10502" max="10502" width="16.36328125" style="28" bestFit="1" customWidth="1"/>
    <col min="10503" max="10503" width="7" style="28" bestFit="1" customWidth="1"/>
    <col min="10504" max="10504" width="16.36328125" style="28" bestFit="1" customWidth="1"/>
    <col min="10505" max="10505" width="7" style="28" bestFit="1" customWidth="1"/>
    <col min="10506" max="10506" width="16.08984375" style="28" customWidth="1"/>
    <col min="10507" max="10752" width="9" style="28"/>
    <col min="10753" max="10753" width="3.26953125" style="28" customWidth="1"/>
    <col min="10754" max="10754" width="8.36328125" style="28" customWidth="1"/>
    <col min="10755" max="10755" width="10" style="28" customWidth="1"/>
    <col min="10756" max="10756" width="12.36328125" style="28" customWidth="1"/>
    <col min="10757" max="10757" width="14.90625" style="28" customWidth="1"/>
    <col min="10758" max="10758" width="16.36328125" style="28" bestFit="1" customWidth="1"/>
    <col min="10759" max="10759" width="7" style="28" bestFit="1" customWidth="1"/>
    <col min="10760" max="10760" width="16.36328125" style="28" bestFit="1" customWidth="1"/>
    <col min="10761" max="10761" width="7" style="28" bestFit="1" customWidth="1"/>
    <col min="10762" max="10762" width="16.08984375" style="28" customWidth="1"/>
    <col min="10763" max="11008" width="9" style="28"/>
    <col min="11009" max="11009" width="3.26953125" style="28" customWidth="1"/>
    <col min="11010" max="11010" width="8.36328125" style="28" customWidth="1"/>
    <col min="11011" max="11011" width="10" style="28" customWidth="1"/>
    <col min="11012" max="11012" width="12.36328125" style="28" customWidth="1"/>
    <col min="11013" max="11013" width="14.90625" style="28" customWidth="1"/>
    <col min="11014" max="11014" width="16.36328125" style="28" bestFit="1" customWidth="1"/>
    <col min="11015" max="11015" width="7" style="28" bestFit="1" customWidth="1"/>
    <col min="11016" max="11016" width="16.36328125" style="28" bestFit="1" customWidth="1"/>
    <col min="11017" max="11017" width="7" style="28" bestFit="1" customWidth="1"/>
    <col min="11018" max="11018" width="16.08984375" style="28" customWidth="1"/>
    <col min="11019" max="11264" width="9" style="28"/>
    <col min="11265" max="11265" width="3.26953125" style="28" customWidth="1"/>
    <col min="11266" max="11266" width="8.36328125" style="28" customWidth="1"/>
    <col min="11267" max="11267" width="10" style="28" customWidth="1"/>
    <col min="11268" max="11268" width="12.36328125" style="28" customWidth="1"/>
    <col min="11269" max="11269" width="14.90625" style="28" customWidth="1"/>
    <col min="11270" max="11270" width="16.36328125" style="28" bestFit="1" customWidth="1"/>
    <col min="11271" max="11271" width="7" style="28" bestFit="1" customWidth="1"/>
    <col min="11272" max="11272" width="16.36328125" style="28" bestFit="1" customWidth="1"/>
    <col min="11273" max="11273" width="7" style="28" bestFit="1" customWidth="1"/>
    <col min="11274" max="11274" width="16.08984375" style="28" customWidth="1"/>
    <col min="11275" max="11520" width="9" style="28"/>
    <col min="11521" max="11521" width="3.26953125" style="28" customWidth="1"/>
    <col min="11522" max="11522" width="8.36328125" style="28" customWidth="1"/>
    <col min="11523" max="11523" width="10" style="28" customWidth="1"/>
    <col min="11524" max="11524" width="12.36328125" style="28" customWidth="1"/>
    <col min="11525" max="11525" width="14.90625" style="28" customWidth="1"/>
    <col min="11526" max="11526" width="16.36328125" style="28" bestFit="1" customWidth="1"/>
    <col min="11527" max="11527" width="7" style="28" bestFit="1" customWidth="1"/>
    <col min="11528" max="11528" width="16.36328125" style="28" bestFit="1" customWidth="1"/>
    <col min="11529" max="11529" width="7" style="28" bestFit="1" customWidth="1"/>
    <col min="11530" max="11530" width="16.08984375" style="28" customWidth="1"/>
    <col min="11531" max="11776" width="9" style="28"/>
    <col min="11777" max="11777" width="3.26953125" style="28" customWidth="1"/>
    <col min="11778" max="11778" width="8.36328125" style="28" customWidth="1"/>
    <col min="11779" max="11779" width="10" style="28" customWidth="1"/>
    <col min="11780" max="11780" width="12.36328125" style="28" customWidth="1"/>
    <col min="11781" max="11781" width="14.90625" style="28" customWidth="1"/>
    <col min="11782" max="11782" width="16.36328125" style="28" bestFit="1" customWidth="1"/>
    <col min="11783" max="11783" width="7" style="28" bestFit="1" customWidth="1"/>
    <col min="11784" max="11784" width="16.36328125" style="28" bestFit="1" customWidth="1"/>
    <col min="11785" max="11785" width="7" style="28" bestFit="1" customWidth="1"/>
    <col min="11786" max="11786" width="16.08984375" style="28" customWidth="1"/>
    <col min="11787" max="12032" width="9" style="28"/>
    <col min="12033" max="12033" width="3.26953125" style="28" customWidth="1"/>
    <col min="12034" max="12034" width="8.36328125" style="28" customWidth="1"/>
    <col min="12035" max="12035" width="10" style="28" customWidth="1"/>
    <col min="12036" max="12036" width="12.36328125" style="28" customWidth="1"/>
    <col min="12037" max="12037" width="14.90625" style="28" customWidth="1"/>
    <col min="12038" max="12038" width="16.36328125" style="28" bestFit="1" customWidth="1"/>
    <col min="12039" max="12039" width="7" style="28" bestFit="1" customWidth="1"/>
    <col min="12040" max="12040" width="16.36328125" style="28" bestFit="1" customWidth="1"/>
    <col min="12041" max="12041" width="7" style="28" bestFit="1" customWidth="1"/>
    <col min="12042" max="12042" width="16.08984375" style="28" customWidth="1"/>
    <col min="12043" max="12288" width="9" style="28"/>
    <col min="12289" max="12289" width="3.26953125" style="28" customWidth="1"/>
    <col min="12290" max="12290" width="8.36328125" style="28" customWidth="1"/>
    <col min="12291" max="12291" width="10" style="28" customWidth="1"/>
    <col min="12292" max="12292" width="12.36328125" style="28" customWidth="1"/>
    <col min="12293" max="12293" width="14.90625" style="28" customWidth="1"/>
    <col min="12294" max="12294" width="16.36328125" style="28" bestFit="1" customWidth="1"/>
    <col min="12295" max="12295" width="7" style="28" bestFit="1" customWidth="1"/>
    <col min="12296" max="12296" width="16.36328125" style="28" bestFit="1" customWidth="1"/>
    <col min="12297" max="12297" width="7" style="28" bestFit="1" customWidth="1"/>
    <col min="12298" max="12298" width="16.08984375" style="28" customWidth="1"/>
    <col min="12299" max="12544" width="9" style="28"/>
    <col min="12545" max="12545" width="3.26953125" style="28" customWidth="1"/>
    <col min="12546" max="12546" width="8.36328125" style="28" customWidth="1"/>
    <col min="12547" max="12547" width="10" style="28" customWidth="1"/>
    <col min="12548" max="12548" width="12.36328125" style="28" customWidth="1"/>
    <col min="12549" max="12549" width="14.90625" style="28" customWidth="1"/>
    <col min="12550" max="12550" width="16.36328125" style="28" bestFit="1" customWidth="1"/>
    <col min="12551" max="12551" width="7" style="28" bestFit="1" customWidth="1"/>
    <col min="12552" max="12552" width="16.36328125" style="28" bestFit="1" customWidth="1"/>
    <col min="12553" max="12553" width="7" style="28" bestFit="1" customWidth="1"/>
    <col min="12554" max="12554" width="16.08984375" style="28" customWidth="1"/>
    <col min="12555" max="12800" width="9" style="28"/>
    <col min="12801" max="12801" width="3.26953125" style="28" customWidth="1"/>
    <col min="12802" max="12802" width="8.36328125" style="28" customWidth="1"/>
    <col min="12803" max="12803" width="10" style="28" customWidth="1"/>
    <col min="12804" max="12804" width="12.36328125" style="28" customWidth="1"/>
    <col min="12805" max="12805" width="14.90625" style="28" customWidth="1"/>
    <col min="12806" max="12806" width="16.36328125" style="28" bestFit="1" customWidth="1"/>
    <col min="12807" max="12807" width="7" style="28" bestFit="1" customWidth="1"/>
    <col min="12808" max="12808" width="16.36328125" style="28" bestFit="1" customWidth="1"/>
    <col min="12809" max="12809" width="7" style="28" bestFit="1" customWidth="1"/>
    <col min="12810" max="12810" width="16.08984375" style="28" customWidth="1"/>
    <col min="12811" max="13056" width="9" style="28"/>
    <col min="13057" max="13057" width="3.26953125" style="28" customWidth="1"/>
    <col min="13058" max="13058" width="8.36328125" style="28" customWidth="1"/>
    <col min="13059" max="13059" width="10" style="28" customWidth="1"/>
    <col min="13060" max="13060" width="12.36328125" style="28" customWidth="1"/>
    <col min="13061" max="13061" width="14.90625" style="28" customWidth="1"/>
    <col min="13062" max="13062" width="16.36328125" style="28" bestFit="1" customWidth="1"/>
    <col min="13063" max="13063" width="7" style="28" bestFit="1" customWidth="1"/>
    <col min="13064" max="13064" width="16.36328125" style="28" bestFit="1" customWidth="1"/>
    <col min="13065" max="13065" width="7" style="28" bestFit="1" customWidth="1"/>
    <col min="13066" max="13066" width="16.08984375" style="28" customWidth="1"/>
    <col min="13067" max="13312" width="9" style="28"/>
    <col min="13313" max="13313" width="3.26953125" style="28" customWidth="1"/>
    <col min="13314" max="13314" width="8.36328125" style="28" customWidth="1"/>
    <col min="13315" max="13315" width="10" style="28" customWidth="1"/>
    <col min="13316" max="13316" width="12.36328125" style="28" customWidth="1"/>
    <col min="13317" max="13317" width="14.90625" style="28" customWidth="1"/>
    <col min="13318" max="13318" width="16.36328125" style="28" bestFit="1" customWidth="1"/>
    <col min="13319" max="13319" width="7" style="28" bestFit="1" customWidth="1"/>
    <col min="13320" max="13320" width="16.36328125" style="28" bestFit="1" customWidth="1"/>
    <col min="13321" max="13321" width="7" style="28" bestFit="1" customWidth="1"/>
    <col min="13322" max="13322" width="16.08984375" style="28" customWidth="1"/>
    <col min="13323" max="13568" width="9" style="28"/>
    <col min="13569" max="13569" width="3.26953125" style="28" customWidth="1"/>
    <col min="13570" max="13570" width="8.36328125" style="28" customWidth="1"/>
    <col min="13571" max="13571" width="10" style="28" customWidth="1"/>
    <col min="13572" max="13572" width="12.36328125" style="28" customWidth="1"/>
    <col min="13573" max="13573" width="14.90625" style="28" customWidth="1"/>
    <col min="13574" max="13574" width="16.36328125" style="28" bestFit="1" customWidth="1"/>
    <col min="13575" max="13575" width="7" style="28" bestFit="1" customWidth="1"/>
    <col min="13576" max="13576" width="16.36328125" style="28" bestFit="1" customWidth="1"/>
    <col min="13577" max="13577" width="7" style="28" bestFit="1" customWidth="1"/>
    <col min="13578" max="13578" width="16.08984375" style="28" customWidth="1"/>
    <col min="13579" max="13824" width="9" style="28"/>
    <col min="13825" max="13825" width="3.26953125" style="28" customWidth="1"/>
    <col min="13826" max="13826" width="8.36328125" style="28" customWidth="1"/>
    <col min="13827" max="13827" width="10" style="28" customWidth="1"/>
    <col min="13828" max="13828" width="12.36328125" style="28" customWidth="1"/>
    <col min="13829" max="13829" width="14.90625" style="28" customWidth="1"/>
    <col min="13830" max="13830" width="16.36328125" style="28" bestFit="1" customWidth="1"/>
    <col min="13831" max="13831" width="7" style="28" bestFit="1" customWidth="1"/>
    <col min="13832" max="13832" width="16.36328125" style="28" bestFit="1" customWidth="1"/>
    <col min="13833" max="13833" width="7" style="28" bestFit="1" customWidth="1"/>
    <col min="13834" max="13834" width="16.08984375" style="28" customWidth="1"/>
    <col min="13835" max="14080" width="9" style="28"/>
    <col min="14081" max="14081" width="3.26953125" style="28" customWidth="1"/>
    <col min="14082" max="14082" width="8.36328125" style="28" customWidth="1"/>
    <col min="14083" max="14083" width="10" style="28" customWidth="1"/>
    <col min="14084" max="14084" width="12.36328125" style="28" customWidth="1"/>
    <col min="14085" max="14085" width="14.90625" style="28" customWidth="1"/>
    <col min="14086" max="14086" width="16.36328125" style="28" bestFit="1" customWidth="1"/>
    <col min="14087" max="14087" width="7" style="28" bestFit="1" customWidth="1"/>
    <col min="14088" max="14088" width="16.36328125" style="28" bestFit="1" customWidth="1"/>
    <col min="14089" max="14089" width="7" style="28" bestFit="1" customWidth="1"/>
    <col min="14090" max="14090" width="16.08984375" style="28" customWidth="1"/>
    <col min="14091" max="14336" width="9" style="28"/>
    <col min="14337" max="14337" width="3.26953125" style="28" customWidth="1"/>
    <col min="14338" max="14338" width="8.36328125" style="28" customWidth="1"/>
    <col min="14339" max="14339" width="10" style="28" customWidth="1"/>
    <col min="14340" max="14340" width="12.36328125" style="28" customWidth="1"/>
    <col min="14341" max="14341" width="14.90625" style="28" customWidth="1"/>
    <col min="14342" max="14342" width="16.36328125" style="28" bestFit="1" customWidth="1"/>
    <col min="14343" max="14343" width="7" style="28" bestFit="1" customWidth="1"/>
    <col min="14344" max="14344" width="16.36328125" style="28" bestFit="1" customWidth="1"/>
    <col min="14345" max="14345" width="7" style="28" bestFit="1" customWidth="1"/>
    <col min="14346" max="14346" width="16.08984375" style="28" customWidth="1"/>
    <col min="14347" max="14592" width="9" style="28"/>
    <col min="14593" max="14593" width="3.26953125" style="28" customWidth="1"/>
    <col min="14594" max="14594" width="8.36328125" style="28" customWidth="1"/>
    <col min="14595" max="14595" width="10" style="28" customWidth="1"/>
    <col min="14596" max="14596" width="12.36328125" style="28" customWidth="1"/>
    <col min="14597" max="14597" width="14.90625" style="28" customWidth="1"/>
    <col min="14598" max="14598" width="16.36328125" style="28" bestFit="1" customWidth="1"/>
    <col min="14599" max="14599" width="7" style="28" bestFit="1" customWidth="1"/>
    <col min="14600" max="14600" width="16.36328125" style="28" bestFit="1" customWidth="1"/>
    <col min="14601" max="14601" width="7" style="28" bestFit="1" customWidth="1"/>
    <col min="14602" max="14602" width="16.08984375" style="28" customWidth="1"/>
    <col min="14603" max="14848" width="9" style="28"/>
    <col min="14849" max="14849" width="3.26953125" style="28" customWidth="1"/>
    <col min="14850" max="14850" width="8.36328125" style="28" customWidth="1"/>
    <col min="14851" max="14851" width="10" style="28" customWidth="1"/>
    <col min="14852" max="14852" width="12.36328125" style="28" customWidth="1"/>
    <col min="14853" max="14853" width="14.90625" style="28" customWidth="1"/>
    <col min="14854" max="14854" width="16.36328125" style="28" bestFit="1" customWidth="1"/>
    <col min="14855" max="14855" width="7" style="28" bestFit="1" customWidth="1"/>
    <col min="14856" max="14856" width="16.36328125" style="28" bestFit="1" customWidth="1"/>
    <col min="14857" max="14857" width="7" style="28" bestFit="1" customWidth="1"/>
    <col min="14858" max="14858" width="16.08984375" style="28" customWidth="1"/>
    <col min="14859" max="15104" width="9" style="28"/>
    <col min="15105" max="15105" width="3.26953125" style="28" customWidth="1"/>
    <col min="15106" max="15106" width="8.36328125" style="28" customWidth="1"/>
    <col min="15107" max="15107" width="10" style="28" customWidth="1"/>
    <col min="15108" max="15108" width="12.36328125" style="28" customWidth="1"/>
    <col min="15109" max="15109" width="14.90625" style="28" customWidth="1"/>
    <col min="15110" max="15110" width="16.36328125" style="28" bestFit="1" customWidth="1"/>
    <col min="15111" max="15111" width="7" style="28" bestFit="1" customWidth="1"/>
    <col min="15112" max="15112" width="16.36328125" style="28" bestFit="1" customWidth="1"/>
    <col min="15113" max="15113" width="7" style="28" bestFit="1" customWidth="1"/>
    <col min="15114" max="15114" width="16.08984375" style="28" customWidth="1"/>
    <col min="15115" max="15360" width="9" style="28"/>
    <col min="15361" max="15361" width="3.26953125" style="28" customWidth="1"/>
    <col min="15362" max="15362" width="8.36328125" style="28" customWidth="1"/>
    <col min="15363" max="15363" width="10" style="28" customWidth="1"/>
    <col min="15364" max="15364" width="12.36328125" style="28" customWidth="1"/>
    <col min="15365" max="15365" width="14.90625" style="28" customWidth="1"/>
    <col min="15366" max="15366" width="16.36328125" style="28" bestFit="1" customWidth="1"/>
    <col min="15367" max="15367" width="7" style="28" bestFit="1" customWidth="1"/>
    <col min="15368" max="15368" width="16.36328125" style="28" bestFit="1" customWidth="1"/>
    <col min="15369" max="15369" width="7" style="28" bestFit="1" customWidth="1"/>
    <col min="15370" max="15370" width="16.08984375" style="28" customWidth="1"/>
    <col min="15371" max="15616" width="9" style="28"/>
    <col min="15617" max="15617" width="3.26953125" style="28" customWidth="1"/>
    <col min="15618" max="15618" width="8.36328125" style="28" customWidth="1"/>
    <col min="15619" max="15619" width="10" style="28" customWidth="1"/>
    <col min="15620" max="15620" width="12.36328125" style="28" customWidth="1"/>
    <col min="15621" max="15621" width="14.90625" style="28" customWidth="1"/>
    <col min="15622" max="15622" width="16.36328125" style="28" bestFit="1" customWidth="1"/>
    <col min="15623" max="15623" width="7" style="28" bestFit="1" customWidth="1"/>
    <col min="15624" max="15624" width="16.36328125" style="28" bestFit="1" customWidth="1"/>
    <col min="15625" max="15625" width="7" style="28" bestFit="1" customWidth="1"/>
    <col min="15626" max="15626" width="16.08984375" style="28" customWidth="1"/>
    <col min="15627" max="15872" width="9" style="28"/>
    <col min="15873" max="15873" width="3.26953125" style="28" customWidth="1"/>
    <col min="15874" max="15874" width="8.36328125" style="28" customWidth="1"/>
    <col min="15875" max="15875" width="10" style="28" customWidth="1"/>
    <col min="15876" max="15876" width="12.36328125" style="28" customWidth="1"/>
    <col min="15877" max="15877" width="14.90625" style="28" customWidth="1"/>
    <col min="15878" max="15878" width="16.36328125" style="28" bestFit="1" customWidth="1"/>
    <col min="15879" max="15879" width="7" style="28" bestFit="1" customWidth="1"/>
    <col min="15880" max="15880" width="16.36328125" style="28" bestFit="1" customWidth="1"/>
    <col min="15881" max="15881" width="7" style="28" bestFit="1" customWidth="1"/>
    <col min="15882" max="15882" width="16.08984375" style="28" customWidth="1"/>
    <col min="15883" max="16128" width="9" style="28"/>
    <col min="16129" max="16129" width="3.26953125" style="28" customWidth="1"/>
    <col min="16130" max="16130" width="8.36328125" style="28" customWidth="1"/>
    <col min="16131" max="16131" width="10" style="28" customWidth="1"/>
    <col min="16132" max="16132" width="12.36328125" style="28" customWidth="1"/>
    <col min="16133" max="16133" width="14.90625" style="28" customWidth="1"/>
    <col min="16134" max="16134" width="16.36328125" style="28" bestFit="1" customWidth="1"/>
    <col min="16135" max="16135" width="7" style="28" bestFit="1" customWidth="1"/>
    <col min="16136" max="16136" width="16.36328125" style="28" bestFit="1" customWidth="1"/>
    <col min="16137" max="16137" width="7" style="28" bestFit="1" customWidth="1"/>
    <col min="16138" max="16138" width="16.08984375" style="28" customWidth="1"/>
    <col min="16139" max="16384" width="9" style="28"/>
  </cols>
  <sheetData>
    <row r="1" spans="1:11">
      <c r="A1" s="29" t="s">
        <v>118</v>
      </c>
    </row>
    <row r="2" spans="1:11" s="77" customFormat="1" ht="24" customHeight="1" thickBot="1">
      <c r="A2" s="123"/>
      <c r="B2" s="510" t="s">
        <v>372</v>
      </c>
      <c r="C2" s="510"/>
      <c r="D2" s="510"/>
      <c r="E2" s="510"/>
      <c r="F2" s="510"/>
      <c r="G2" s="510"/>
      <c r="H2" s="510"/>
      <c r="I2" s="510"/>
      <c r="J2" s="510"/>
    </row>
    <row r="3" spans="1:11" ht="14.25" customHeight="1" thickTop="1" thickBot="1">
      <c r="B3" s="34" t="s">
        <v>120</v>
      </c>
      <c r="C3" s="34" t="s">
        <v>121</v>
      </c>
      <c r="D3" s="34"/>
      <c r="E3" s="35"/>
    </row>
    <row r="4" spans="1:11" ht="14.25" customHeight="1">
      <c r="B4" s="511" t="s">
        <v>373</v>
      </c>
      <c r="C4" s="124" t="s">
        <v>374</v>
      </c>
      <c r="D4" s="124" t="s">
        <v>262</v>
      </c>
      <c r="E4" s="124"/>
      <c r="F4" s="124"/>
      <c r="G4" s="124"/>
      <c r="H4" s="124"/>
      <c r="I4" s="124"/>
      <c r="J4" s="125"/>
    </row>
    <row r="5" spans="1:11" ht="14.25" customHeight="1" thickBot="1">
      <c r="B5" s="512"/>
      <c r="C5" s="513"/>
      <c r="D5" s="514"/>
      <c r="E5" s="515"/>
      <c r="F5" s="515"/>
      <c r="G5" s="515"/>
      <c r="H5" s="515"/>
      <c r="I5" s="515"/>
      <c r="J5" s="516"/>
    </row>
    <row r="6" spans="1:11">
      <c r="B6" s="147"/>
      <c r="C6" s="148"/>
      <c r="D6" s="60"/>
      <c r="E6" s="60"/>
      <c r="F6" s="60"/>
      <c r="G6" s="28"/>
      <c r="H6" s="28"/>
      <c r="I6" s="28"/>
      <c r="J6" s="149"/>
    </row>
    <row r="7" spans="1:11" ht="17.25" customHeight="1">
      <c r="B7" s="129"/>
      <c r="C7" s="150" t="s">
        <v>263</v>
      </c>
      <c r="D7" s="517" t="s">
        <v>264</v>
      </c>
      <c r="E7" s="518"/>
      <c r="F7" s="518"/>
      <c r="G7" s="518"/>
      <c r="H7" s="518"/>
      <c r="I7" s="519"/>
      <c r="J7" s="151"/>
      <c r="K7" s="152"/>
    </row>
    <row r="8" spans="1:11" ht="15" customHeight="1">
      <c r="B8" s="153"/>
      <c r="C8" s="154" t="s">
        <v>265</v>
      </c>
      <c r="D8" s="155" t="s">
        <v>266</v>
      </c>
      <c r="E8" s="155" t="s">
        <v>267</v>
      </c>
      <c r="F8" s="156" t="s">
        <v>268</v>
      </c>
      <c r="G8" s="156" t="s">
        <v>269</v>
      </c>
      <c r="H8" s="156" t="s">
        <v>270</v>
      </c>
      <c r="I8" s="157" t="s">
        <v>271</v>
      </c>
      <c r="J8" s="158"/>
      <c r="K8" s="159"/>
    </row>
    <row r="9" spans="1:11" ht="12" customHeight="1">
      <c r="B9" s="160"/>
      <c r="C9" s="161" t="s">
        <v>272</v>
      </c>
      <c r="D9" s="162" t="s">
        <v>273</v>
      </c>
      <c r="E9" s="162" t="s">
        <v>274</v>
      </c>
      <c r="F9" s="163" t="s">
        <v>275</v>
      </c>
      <c r="G9" s="163" t="s">
        <v>276</v>
      </c>
      <c r="H9" s="163" t="s">
        <v>277</v>
      </c>
      <c r="I9" s="164" t="s">
        <v>278</v>
      </c>
      <c r="J9" s="165"/>
      <c r="K9" s="166"/>
    </row>
    <row r="10" spans="1:11" ht="12" customHeight="1">
      <c r="B10" s="160"/>
      <c r="C10" s="167" t="s">
        <v>279</v>
      </c>
      <c r="D10" s="168" t="s">
        <v>280</v>
      </c>
      <c r="E10" s="169">
        <v>66666</v>
      </c>
      <c r="F10" s="170" t="s">
        <v>281</v>
      </c>
      <c r="G10" s="170" t="s">
        <v>289</v>
      </c>
      <c r="H10" s="170" t="s">
        <v>281</v>
      </c>
      <c r="I10" s="171" t="s">
        <v>289</v>
      </c>
      <c r="J10" s="172"/>
      <c r="K10" s="173"/>
    </row>
    <row r="11" spans="1:11" ht="12" customHeight="1">
      <c r="B11" s="160"/>
      <c r="C11" s="167" t="s">
        <v>279</v>
      </c>
      <c r="D11" s="168" t="s">
        <v>283</v>
      </c>
      <c r="E11" s="169">
        <v>3500</v>
      </c>
      <c r="F11" s="170" t="s">
        <v>281</v>
      </c>
      <c r="G11" s="170" t="s">
        <v>289</v>
      </c>
      <c r="H11" s="170" t="s">
        <v>281</v>
      </c>
      <c r="I11" s="171" t="s">
        <v>289</v>
      </c>
      <c r="J11" s="172"/>
      <c r="K11" s="173"/>
    </row>
    <row r="12" spans="1:11" ht="12" customHeight="1">
      <c r="B12" s="160"/>
      <c r="C12" s="167" t="s">
        <v>284</v>
      </c>
      <c r="D12" s="168" t="s">
        <v>285</v>
      </c>
      <c r="E12" s="169">
        <v>12000</v>
      </c>
      <c r="F12" s="170" t="s">
        <v>281</v>
      </c>
      <c r="G12" s="170" t="s">
        <v>289</v>
      </c>
      <c r="H12" s="170" t="s">
        <v>281</v>
      </c>
      <c r="I12" s="171" t="s">
        <v>289</v>
      </c>
      <c r="J12" s="172"/>
      <c r="K12" s="173"/>
    </row>
    <row r="13" spans="1:11" ht="12" customHeight="1">
      <c r="B13" s="160"/>
      <c r="C13" s="167" t="s">
        <v>284</v>
      </c>
      <c r="D13" s="168" t="s">
        <v>286</v>
      </c>
      <c r="E13" s="169">
        <v>300</v>
      </c>
      <c r="F13" s="170" t="s">
        <v>281</v>
      </c>
      <c r="G13" s="170" t="s">
        <v>289</v>
      </c>
      <c r="H13" s="170" t="s">
        <v>281</v>
      </c>
      <c r="I13" s="171" t="s">
        <v>289</v>
      </c>
      <c r="J13" s="172"/>
      <c r="K13" s="173"/>
    </row>
    <row r="14" spans="1:11" ht="12" customHeight="1">
      <c r="B14" s="160"/>
      <c r="C14" s="167" t="s">
        <v>284</v>
      </c>
      <c r="D14" s="168" t="s">
        <v>283</v>
      </c>
      <c r="E14" s="169">
        <v>100</v>
      </c>
      <c r="F14" s="170" t="s">
        <v>281</v>
      </c>
      <c r="G14" s="170" t="s">
        <v>289</v>
      </c>
      <c r="H14" s="170" t="s">
        <v>281</v>
      </c>
      <c r="I14" s="171" t="s">
        <v>289</v>
      </c>
      <c r="J14" s="172"/>
      <c r="K14" s="173"/>
    </row>
    <row r="15" spans="1:11" ht="12" customHeight="1">
      <c r="B15" s="160"/>
      <c r="C15" s="167" t="s">
        <v>284</v>
      </c>
      <c r="D15" s="168" t="s">
        <v>287</v>
      </c>
      <c r="E15" s="169">
        <v>50</v>
      </c>
      <c r="F15" s="170" t="s">
        <v>281</v>
      </c>
      <c r="G15" s="170" t="s">
        <v>289</v>
      </c>
      <c r="H15" s="170" t="s">
        <v>281</v>
      </c>
      <c r="I15" s="171" t="s">
        <v>289</v>
      </c>
      <c r="J15" s="172"/>
      <c r="K15" s="173"/>
    </row>
    <row r="16" spans="1:11" ht="12" customHeight="1">
      <c r="B16" s="160"/>
      <c r="C16" s="167" t="s">
        <v>288</v>
      </c>
      <c r="D16" s="168" t="s">
        <v>287</v>
      </c>
      <c r="E16" s="169">
        <v>3000</v>
      </c>
      <c r="F16" s="170" t="s">
        <v>281</v>
      </c>
      <c r="G16" s="170" t="s">
        <v>289</v>
      </c>
      <c r="H16" s="170" t="s">
        <v>281</v>
      </c>
      <c r="I16" s="171" t="s">
        <v>289</v>
      </c>
      <c r="J16" s="172"/>
      <c r="K16" s="179"/>
    </row>
    <row r="17" spans="2:11" ht="12" customHeight="1">
      <c r="B17" s="160"/>
      <c r="C17" s="167" t="s">
        <v>290</v>
      </c>
      <c r="D17" s="168" t="s">
        <v>287</v>
      </c>
      <c r="E17" s="169">
        <v>200</v>
      </c>
      <c r="F17" s="170" t="s">
        <v>281</v>
      </c>
      <c r="G17" s="170" t="s">
        <v>289</v>
      </c>
      <c r="H17" s="170" t="s">
        <v>281</v>
      </c>
      <c r="I17" s="171" t="s">
        <v>289</v>
      </c>
      <c r="J17" s="172"/>
      <c r="K17" s="179"/>
    </row>
    <row r="18" spans="2:11" ht="12" customHeight="1">
      <c r="B18" s="160"/>
      <c r="C18" s="167" t="s">
        <v>291</v>
      </c>
      <c r="D18" s="168" t="s">
        <v>292</v>
      </c>
      <c r="E18" s="169">
        <v>999999999999999</v>
      </c>
      <c r="F18" s="170" t="s">
        <v>281</v>
      </c>
      <c r="G18" s="170" t="s">
        <v>289</v>
      </c>
      <c r="H18" s="170" t="s">
        <v>281</v>
      </c>
      <c r="I18" s="171" t="s">
        <v>289</v>
      </c>
      <c r="J18" s="172"/>
      <c r="K18" s="180"/>
    </row>
    <row r="19" spans="2:11" ht="12" customHeight="1">
      <c r="B19" s="160"/>
      <c r="C19" s="167" t="s">
        <v>291</v>
      </c>
      <c r="D19" s="168" t="s">
        <v>287</v>
      </c>
      <c r="E19" s="169">
        <v>200000</v>
      </c>
      <c r="F19" s="170" t="s">
        <v>281</v>
      </c>
      <c r="G19" s="170" t="s">
        <v>289</v>
      </c>
      <c r="H19" s="170" t="s">
        <v>281</v>
      </c>
      <c r="I19" s="171" t="s">
        <v>289</v>
      </c>
      <c r="J19" s="172"/>
      <c r="K19" s="180"/>
    </row>
    <row r="20" spans="2:11" ht="12" customHeight="1">
      <c r="B20" s="160"/>
      <c r="C20" s="167" t="s">
        <v>291</v>
      </c>
      <c r="D20" s="168" t="s">
        <v>293</v>
      </c>
      <c r="E20" s="169">
        <v>0</v>
      </c>
      <c r="F20" s="170" t="s">
        <v>281</v>
      </c>
      <c r="G20" s="170" t="s">
        <v>289</v>
      </c>
      <c r="H20" s="170" t="s">
        <v>281</v>
      </c>
      <c r="I20" s="171" t="s">
        <v>289</v>
      </c>
      <c r="J20" s="172"/>
      <c r="K20" s="180"/>
    </row>
    <row r="21" spans="2:11" ht="12" customHeight="1">
      <c r="B21" s="160"/>
      <c r="C21" s="181" t="s">
        <v>291</v>
      </c>
      <c r="D21" s="182" t="s">
        <v>294</v>
      </c>
      <c r="E21" s="183">
        <v>333333333</v>
      </c>
      <c r="F21" s="184" t="s">
        <v>281</v>
      </c>
      <c r="G21" s="184" t="s">
        <v>289</v>
      </c>
      <c r="H21" s="184" t="s">
        <v>281</v>
      </c>
      <c r="I21" s="185" t="s">
        <v>289</v>
      </c>
      <c r="J21" s="172"/>
      <c r="K21" s="180"/>
    </row>
    <row r="22" spans="2:11" ht="12" customHeight="1">
      <c r="B22" s="160"/>
      <c r="C22" s="270" t="s">
        <v>291</v>
      </c>
      <c r="D22" s="270" t="s">
        <v>295</v>
      </c>
      <c r="E22" s="271">
        <v>999999999999999</v>
      </c>
      <c r="F22" s="272"/>
      <c r="G22" s="272"/>
      <c r="H22" s="272"/>
      <c r="I22" s="272"/>
      <c r="J22" s="172"/>
      <c r="K22" s="180"/>
    </row>
    <row r="23" spans="2:11" ht="12" customHeight="1">
      <c r="B23" s="160"/>
      <c r="C23" s="270" t="s">
        <v>291</v>
      </c>
      <c r="D23" s="270" t="s">
        <v>296</v>
      </c>
      <c r="E23" s="273">
        <v>300</v>
      </c>
      <c r="F23" s="272"/>
      <c r="G23" s="272"/>
      <c r="H23" s="272"/>
      <c r="I23" s="272"/>
      <c r="J23" s="172"/>
      <c r="K23" s="180"/>
    </row>
    <row r="24" spans="2:11" ht="11.25" customHeight="1">
      <c r="B24" s="160"/>
      <c r="C24" s="270" t="s">
        <v>291</v>
      </c>
      <c r="D24" s="270" t="s">
        <v>297</v>
      </c>
      <c r="E24" s="273">
        <v>20</v>
      </c>
      <c r="F24" s="272"/>
      <c r="G24" s="272"/>
      <c r="H24" s="272"/>
      <c r="I24" s="272"/>
      <c r="J24" s="172"/>
      <c r="K24" s="190"/>
    </row>
    <row r="25" spans="2:11">
      <c r="B25" s="160"/>
      <c r="C25" s="270" t="s">
        <v>298</v>
      </c>
      <c r="D25" s="270" t="s">
        <v>299</v>
      </c>
      <c r="E25" s="273">
        <v>6000</v>
      </c>
      <c r="F25" s="272"/>
      <c r="G25" s="272"/>
      <c r="H25" s="272"/>
      <c r="I25" s="272"/>
      <c r="J25" s="172"/>
      <c r="K25" s="191"/>
    </row>
    <row r="26" spans="2:11">
      <c r="B26" s="129"/>
      <c r="C26" s="272"/>
      <c r="D26" s="272"/>
      <c r="E26" s="272"/>
      <c r="F26" s="272"/>
      <c r="G26" s="272"/>
      <c r="H26" s="272"/>
      <c r="I26" s="272"/>
      <c r="J26" s="172"/>
      <c r="K26" s="180"/>
    </row>
    <row r="27" spans="2:11">
      <c r="B27" s="129"/>
      <c r="C27" s="192"/>
      <c r="D27" s="192"/>
      <c r="E27" s="192"/>
      <c r="F27" s="192"/>
      <c r="G27" s="192"/>
      <c r="H27" s="192"/>
      <c r="I27" s="192"/>
      <c r="J27" s="172"/>
      <c r="K27" s="180"/>
    </row>
    <row r="28" spans="2:11">
      <c r="B28" s="129"/>
      <c r="C28" s="192"/>
      <c r="D28" s="192"/>
      <c r="E28" s="192"/>
      <c r="F28" s="192"/>
      <c r="G28" s="192"/>
      <c r="H28" s="192"/>
      <c r="I28" s="192"/>
      <c r="J28" s="172"/>
      <c r="K28" s="193"/>
    </row>
    <row r="29" spans="2:11">
      <c r="B29" s="129"/>
      <c r="C29" s="173"/>
      <c r="D29" s="173"/>
      <c r="E29" s="173"/>
      <c r="F29" s="173"/>
      <c r="G29" s="173"/>
      <c r="H29" s="173"/>
      <c r="I29" s="173"/>
      <c r="J29" s="194"/>
      <c r="K29" s="173"/>
    </row>
    <row r="30" spans="2:11" ht="17.25" customHeight="1">
      <c r="B30" s="129"/>
      <c r="C30" s="150" t="s">
        <v>300</v>
      </c>
      <c r="D30" s="517" t="s">
        <v>264</v>
      </c>
      <c r="E30" s="518"/>
      <c r="F30" s="518"/>
      <c r="G30" s="518"/>
      <c r="H30" s="518"/>
      <c r="I30" s="519"/>
      <c r="J30" s="151"/>
      <c r="K30" s="152"/>
    </row>
    <row r="31" spans="2:11" ht="15" customHeight="1">
      <c r="B31" s="153"/>
      <c r="C31" s="154" t="s">
        <v>265</v>
      </c>
      <c r="D31" s="155" t="s">
        <v>266</v>
      </c>
      <c r="E31" s="155" t="s">
        <v>267</v>
      </c>
      <c r="F31" s="156" t="s">
        <v>268</v>
      </c>
      <c r="G31" s="156" t="s">
        <v>269</v>
      </c>
      <c r="H31" s="156" t="s">
        <v>270</v>
      </c>
      <c r="I31" s="157" t="s">
        <v>271</v>
      </c>
      <c r="J31" s="158"/>
      <c r="K31" s="159"/>
    </row>
    <row r="32" spans="2:11" ht="12" customHeight="1">
      <c r="B32" s="160"/>
      <c r="C32" s="161" t="s">
        <v>272</v>
      </c>
      <c r="D32" s="162" t="s">
        <v>273</v>
      </c>
      <c r="E32" s="162" t="s">
        <v>274</v>
      </c>
      <c r="F32" s="163" t="s">
        <v>275</v>
      </c>
      <c r="G32" s="163" t="s">
        <v>276</v>
      </c>
      <c r="H32" s="163" t="s">
        <v>277</v>
      </c>
      <c r="I32" s="164" t="s">
        <v>278</v>
      </c>
      <c r="J32" s="165"/>
      <c r="K32" s="166"/>
    </row>
    <row r="33" spans="2:11" ht="12" customHeight="1">
      <c r="B33" s="160"/>
      <c r="C33" s="195"/>
      <c r="D33" s="196"/>
      <c r="E33" s="197"/>
      <c r="F33" s="198"/>
      <c r="G33" s="198"/>
      <c r="H33" s="198"/>
      <c r="I33" s="199"/>
      <c r="J33" s="172"/>
      <c r="K33" s="173"/>
    </row>
    <row r="34" spans="2:11" ht="12" customHeight="1">
      <c r="B34" s="160"/>
      <c r="C34" s="200"/>
      <c r="D34" s="201"/>
      <c r="E34" s="202"/>
      <c r="F34" s="203"/>
      <c r="G34" s="203"/>
      <c r="H34" s="203"/>
      <c r="I34" s="204"/>
      <c r="J34" s="172"/>
      <c r="K34" s="173"/>
    </row>
    <row r="35" spans="2:11" ht="12" customHeight="1">
      <c r="B35" s="160"/>
      <c r="C35" s="200"/>
      <c r="D35" s="201"/>
      <c r="E35" s="202"/>
      <c r="F35" s="203"/>
      <c r="G35" s="203"/>
      <c r="H35" s="203"/>
      <c r="I35" s="204"/>
      <c r="J35" s="172"/>
      <c r="K35" s="173"/>
    </row>
    <row r="36" spans="2:11" ht="12" customHeight="1">
      <c r="B36" s="160"/>
      <c r="C36" s="205"/>
      <c r="D36" s="206"/>
      <c r="E36" s="207"/>
      <c r="F36" s="208"/>
      <c r="G36" s="208"/>
      <c r="H36" s="208"/>
      <c r="I36" s="209"/>
      <c r="J36" s="172"/>
      <c r="K36" s="173"/>
    </row>
    <row r="37" spans="2:11" ht="12" customHeight="1">
      <c r="B37" s="160"/>
      <c r="C37" s="210" t="s">
        <v>284</v>
      </c>
      <c r="D37" s="211" t="s">
        <v>283</v>
      </c>
      <c r="E37" s="212">
        <v>100</v>
      </c>
      <c r="F37" s="213" t="s">
        <v>281</v>
      </c>
      <c r="G37" s="213" t="s">
        <v>289</v>
      </c>
      <c r="H37" s="213" t="s">
        <v>281</v>
      </c>
      <c r="I37" s="274" t="s">
        <v>289</v>
      </c>
      <c r="J37" s="172"/>
      <c r="K37" s="173"/>
    </row>
    <row r="38" spans="2:11" ht="12" customHeight="1">
      <c r="B38" s="160"/>
      <c r="C38" s="214" t="s">
        <v>284</v>
      </c>
      <c r="D38" s="215" t="s">
        <v>287</v>
      </c>
      <c r="E38" s="216">
        <v>50</v>
      </c>
      <c r="F38" s="217" t="s">
        <v>281</v>
      </c>
      <c r="G38" s="217" t="s">
        <v>289</v>
      </c>
      <c r="H38" s="217" t="s">
        <v>281</v>
      </c>
      <c r="I38" s="224" t="s">
        <v>289</v>
      </c>
      <c r="J38" s="172"/>
      <c r="K38" s="173"/>
    </row>
    <row r="39" spans="2:11" ht="12" customHeight="1">
      <c r="B39" s="160"/>
      <c r="C39" s="214" t="s">
        <v>288</v>
      </c>
      <c r="D39" s="215" t="s">
        <v>287</v>
      </c>
      <c r="E39" s="216">
        <v>3000</v>
      </c>
      <c r="F39" s="217" t="s">
        <v>281</v>
      </c>
      <c r="G39" s="217" t="s">
        <v>289</v>
      </c>
      <c r="H39" s="217" t="s">
        <v>303</v>
      </c>
      <c r="I39" s="224" t="s">
        <v>302</v>
      </c>
      <c r="J39" s="172"/>
      <c r="K39" s="179"/>
    </row>
    <row r="40" spans="2:11" ht="12" customHeight="1">
      <c r="B40" s="160"/>
      <c r="C40" s="214" t="s">
        <v>290</v>
      </c>
      <c r="D40" s="215" t="s">
        <v>287</v>
      </c>
      <c r="E40" s="216">
        <v>200</v>
      </c>
      <c r="F40" s="217" t="s">
        <v>281</v>
      </c>
      <c r="G40" s="217" t="s">
        <v>289</v>
      </c>
      <c r="H40" s="217" t="s">
        <v>303</v>
      </c>
      <c r="I40" s="224" t="s">
        <v>302</v>
      </c>
      <c r="J40" s="172"/>
      <c r="K40" s="179"/>
    </row>
    <row r="41" spans="2:11" ht="12" customHeight="1">
      <c r="B41" s="160"/>
      <c r="C41" s="214" t="s">
        <v>291</v>
      </c>
      <c r="D41" s="215" t="s">
        <v>292</v>
      </c>
      <c r="E41" s="216">
        <v>999999999999999</v>
      </c>
      <c r="F41" s="217" t="s">
        <v>281</v>
      </c>
      <c r="G41" s="217" t="s">
        <v>289</v>
      </c>
      <c r="H41" s="217" t="s">
        <v>303</v>
      </c>
      <c r="I41" s="224" t="s">
        <v>302</v>
      </c>
      <c r="J41" s="172"/>
      <c r="K41" s="180"/>
    </row>
    <row r="42" spans="2:11" ht="12" customHeight="1">
      <c r="B42" s="160"/>
      <c r="C42" s="214" t="s">
        <v>291</v>
      </c>
      <c r="D42" s="215" t="s">
        <v>287</v>
      </c>
      <c r="E42" s="216">
        <v>200000</v>
      </c>
      <c r="F42" s="217" t="s">
        <v>281</v>
      </c>
      <c r="G42" s="217" t="s">
        <v>289</v>
      </c>
      <c r="H42" s="217" t="s">
        <v>281</v>
      </c>
      <c r="I42" s="224" t="s">
        <v>289</v>
      </c>
      <c r="J42" s="172"/>
      <c r="K42" s="180"/>
    </row>
    <row r="43" spans="2:11" ht="12" customHeight="1">
      <c r="B43" s="160"/>
      <c r="C43" s="214" t="s">
        <v>291</v>
      </c>
      <c r="D43" s="215" t="s">
        <v>293</v>
      </c>
      <c r="E43" s="216">
        <v>0</v>
      </c>
      <c r="F43" s="217" t="s">
        <v>281</v>
      </c>
      <c r="G43" s="217" t="s">
        <v>289</v>
      </c>
      <c r="H43" s="217" t="s">
        <v>281</v>
      </c>
      <c r="I43" s="224" t="s">
        <v>289</v>
      </c>
      <c r="J43" s="172"/>
      <c r="K43" s="180"/>
    </row>
    <row r="44" spans="2:11" ht="12" customHeight="1">
      <c r="B44" s="160"/>
      <c r="C44" s="214" t="s">
        <v>291</v>
      </c>
      <c r="D44" s="215" t="s">
        <v>294</v>
      </c>
      <c r="E44" s="223">
        <v>333333333</v>
      </c>
      <c r="F44" s="217" t="s">
        <v>281</v>
      </c>
      <c r="G44" s="217" t="s">
        <v>289</v>
      </c>
      <c r="H44" s="217" t="s">
        <v>281</v>
      </c>
      <c r="I44" s="224" t="s">
        <v>289</v>
      </c>
      <c r="J44" s="172"/>
      <c r="K44" s="180"/>
    </row>
    <row r="45" spans="2:11" ht="12" customHeight="1">
      <c r="B45" s="160"/>
      <c r="C45" s="275" t="s">
        <v>291</v>
      </c>
      <c r="D45" s="276" t="s">
        <v>295</v>
      </c>
      <c r="E45" s="277">
        <v>999999999999999</v>
      </c>
      <c r="F45" s="221" t="s">
        <v>303</v>
      </c>
      <c r="G45" s="221" t="s">
        <v>302</v>
      </c>
      <c r="H45" s="221" t="s">
        <v>303</v>
      </c>
      <c r="I45" s="222" t="s">
        <v>302</v>
      </c>
      <c r="J45" s="172"/>
      <c r="K45" s="180"/>
    </row>
    <row r="46" spans="2:11" ht="12" customHeight="1">
      <c r="B46" s="160"/>
      <c r="C46" s="275" t="s">
        <v>291</v>
      </c>
      <c r="D46" s="276" t="s">
        <v>296</v>
      </c>
      <c r="E46" s="218">
        <v>300</v>
      </c>
      <c r="F46" s="221" t="s">
        <v>303</v>
      </c>
      <c r="G46" s="221" t="s">
        <v>302</v>
      </c>
      <c r="H46" s="221" t="s">
        <v>303</v>
      </c>
      <c r="I46" s="222" t="s">
        <v>302</v>
      </c>
      <c r="J46" s="172"/>
      <c r="K46" s="180"/>
    </row>
    <row r="47" spans="2:11" ht="11.25" customHeight="1">
      <c r="B47" s="160"/>
      <c r="C47" s="275" t="s">
        <v>291</v>
      </c>
      <c r="D47" s="276" t="s">
        <v>297</v>
      </c>
      <c r="E47" s="218">
        <v>20</v>
      </c>
      <c r="F47" s="221" t="s">
        <v>303</v>
      </c>
      <c r="G47" s="221" t="s">
        <v>302</v>
      </c>
      <c r="H47" s="221" t="s">
        <v>303</v>
      </c>
      <c r="I47" s="222" t="s">
        <v>302</v>
      </c>
      <c r="J47" s="172"/>
      <c r="K47" s="190"/>
    </row>
    <row r="48" spans="2:11">
      <c r="B48" s="160"/>
      <c r="C48" s="278" t="s">
        <v>298</v>
      </c>
      <c r="D48" s="279" t="s">
        <v>299</v>
      </c>
      <c r="E48" s="280">
        <v>6000</v>
      </c>
      <c r="F48" s="281" t="s">
        <v>303</v>
      </c>
      <c r="G48" s="281" t="s">
        <v>302</v>
      </c>
      <c r="H48" s="281" t="s">
        <v>303</v>
      </c>
      <c r="I48" s="282" t="s">
        <v>302</v>
      </c>
      <c r="J48" s="172"/>
      <c r="K48" s="191"/>
    </row>
    <row r="49" spans="2:10">
      <c r="B49" s="232"/>
      <c r="C49" s="148"/>
      <c r="D49" s="60"/>
      <c r="E49" s="60"/>
      <c r="F49" s="60"/>
      <c r="G49" s="28"/>
      <c r="H49" s="28"/>
      <c r="I49" s="28"/>
      <c r="J49" s="149"/>
    </row>
    <row r="50" spans="2:10">
      <c r="B50" s="232"/>
      <c r="C50" s="148"/>
      <c r="D50" s="60"/>
      <c r="E50" s="60"/>
      <c r="F50" s="60"/>
      <c r="G50" s="28"/>
      <c r="H50" s="28"/>
      <c r="I50" s="28"/>
      <c r="J50" s="149"/>
    </row>
    <row r="51" spans="2:10">
      <c r="B51" s="232"/>
      <c r="C51" s="148"/>
      <c r="D51" s="60"/>
      <c r="E51" s="60"/>
      <c r="F51" s="60"/>
      <c r="G51" s="28"/>
      <c r="H51" s="28"/>
      <c r="I51" s="28"/>
      <c r="J51" s="149"/>
    </row>
    <row r="52" spans="2:10">
      <c r="B52" s="232"/>
      <c r="C52" s="148"/>
      <c r="D52" s="60"/>
      <c r="E52" s="60"/>
      <c r="F52" s="60"/>
      <c r="G52" s="28"/>
      <c r="H52" s="28"/>
      <c r="I52" s="28"/>
      <c r="J52" s="149"/>
    </row>
    <row r="53" spans="2:10" ht="15.5" thickBot="1">
      <c r="B53" s="232"/>
      <c r="C53" s="148"/>
      <c r="D53" s="60"/>
      <c r="E53" s="60"/>
      <c r="F53" s="60"/>
      <c r="G53" s="28"/>
      <c r="H53" s="28"/>
      <c r="I53" s="28"/>
      <c r="J53" s="149"/>
    </row>
    <row r="54" spans="2:10" ht="14.25" customHeight="1">
      <c r="B54" s="511" t="s">
        <v>375</v>
      </c>
      <c r="C54" s="124" t="s">
        <v>305</v>
      </c>
      <c r="D54" s="124"/>
      <c r="E54" s="124"/>
      <c r="F54" s="124"/>
      <c r="G54" s="124"/>
      <c r="H54" s="124"/>
      <c r="I54" s="124"/>
      <c r="J54" s="125"/>
    </row>
    <row r="55" spans="2:10" ht="14.25" customHeight="1" thickBot="1">
      <c r="B55" s="512"/>
      <c r="C55" s="513"/>
      <c r="D55" s="514"/>
      <c r="E55" s="515"/>
      <c r="F55" s="515"/>
      <c r="G55" s="515"/>
      <c r="H55" s="515"/>
      <c r="I55" s="515"/>
      <c r="J55" s="516"/>
    </row>
    <row r="56" spans="2:10">
      <c r="B56" s="140" t="s">
        <v>306</v>
      </c>
      <c r="D56" s="60"/>
      <c r="E56" s="60"/>
      <c r="F56" s="60"/>
      <c r="G56" s="28"/>
      <c r="H56" s="28"/>
      <c r="I56" s="28"/>
      <c r="J56" s="149"/>
    </row>
    <row r="57" spans="2:10">
      <c r="B57" s="236"/>
      <c r="C57" s="131"/>
      <c r="D57" s="60"/>
      <c r="E57" s="60"/>
      <c r="F57" s="60"/>
      <c r="G57" s="28"/>
      <c r="H57" s="28"/>
      <c r="I57" s="28"/>
      <c r="J57" s="149"/>
    </row>
    <row r="58" spans="2:10">
      <c r="B58" s="129"/>
      <c r="D58" s="60"/>
      <c r="E58" s="60"/>
      <c r="F58" s="60"/>
      <c r="G58" s="28"/>
      <c r="H58" s="28"/>
      <c r="I58" s="28"/>
      <c r="J58" s="149"/>
    </row>
    <row r="59" spans="2:10">
      <c r="B59" s="129"/>
      <c r="D59" s="60"/>
      <c r="E59" s="60"/>
      <c r="F59" s="60"/>
      <c r="G59" s="28"/>
      <c r="H59" s="28"/>
      <c r="I59" s="28"/>
      <c r="J59" s="149"/>
    </row>
    <row r="60" spans="2:10">
      <c r="B60" s="129"/>
      <c r="D60" s="60"/>
      <c r="E60" s="60"/>
      <c r="F60" s="60"/>
      <c r="G60" s="28"/>
      <c r="H60" s="28"/>
      <c r="I60" s="28"/>
      <c r="J60" s="149"/>
    </row>
    <row r="61" spans="2:10">
      <c r="B61" s="129"/>
      <c r="D61" s="60"/>
      <c r="E61" s="60"/>
      <c r="F61" s="60"/>
      <c r="G61" s="28"/>
      <c r="H61" s="28"/>
      <c r="I61" s="28"/>
      <c r="J61" s="149"/>
    </row>
    <row r="62" spans="2:10">
      <c r="B62" s="129"/>
      <c r="D62" s="60"/>
      <c r="E62" s="60"/>
      <c r="F62" s="60"/>
      <c r="G62" s="28"/>
      <c r="H62" s="28"/>
      <c r="I62" s="28"/>
      <c r="J62" s="149"/>
    </row>
    <row r="63" spans="2:10">
      <c r="B63" s="129"/>
      <c r="C63" s="191"/>
      <c r="D63" s="60"/>
      <c r="E63" s="60"/>
      <c r="F63" s="60"/>
      <c r="G63" s="28"/>
      <c r="H63" s="191" t="s">
        <v>251</v>
      </c>
      <c r="I63" s="28"/>
      <c r="J63" s="149"/>
    </row>
    <row r="64" spans="2:10" ht="15.5" thickBot="1">
      <c r="B64" s="129"/>
      <c r="D64" s="60"/>
      <c r="E64" s="60"/>
      <c r="F64" s="60"/>
      <c r="G64" s="28"/>
      <c r="H64" s="28"/>
      <c r="I64" s="28"/>
      <c r="J64" s="149"/>
    </row>
    <row r="65" spans="2:10" ht="14.25" customHeight="1">
      <c r="B65" s="511" t="s">
        <v>376</v>
      </c>
      <c r="C65" s="124" t="s">
        <v>377</v>
      </c>
      <c r="D65" s="124"/>
      <c r="E65" s="124"/>
      <c r="F65" s="124"/>
      <c r="G65" s="124"/>
      <c r="H65" s="124"/>
      <c r="I65" s="124"/>
      <c r="J65" s="125"/>
    </row>
    <row r="66" spans="2:10" ht="14.25" customHeight="1" thickBot="1">
      <c r="B66" s="512"/>
      <c r="C66" s="513"/>
      <c r="D66" s="514"/>
      <c r="E66" s="515"/>
      <c r="F66" s="515"/>
      <c r="G66" s="515"/>
      <c r="H66" s="515"/>
      <c r="I66" s="515"/>
      <c r="J66" s="516"/>
    </row>
    <row r="67" spans="2:10">
      <c r="B67" s="140" t="s">
        <v>309</v>
      </c>
      <c r="D67" s="60"/>
      <c r="E67" s="60"/>
      <c r="F67" s="60"/>
      <c r="G67" s="28"/>
      <c r="H67" s="28"/>
      <c r="I67" s="28"/>
      <c r="J67" s="149"/>
    </row>
    <row r="68" spans="2:10">
      <c r="B68" s="236"/>
      <c r="C68" s="131"/>
      <c r="D68" s="60"/>
      <c r="E68" s="60"/>
      <c r="F68" s="60"/>
      <c r="G68" s="28"/>
      <c r="H68" s="28"/>
      <c r="I68" s="28"/>
      <c r="J68" s="149"/>
    </row>
    <row r="69" spans="2:10">
      <c r="B69" s="129"/>
      <c r="D69" s="60"/>
      <c r="E69" s="60"/>
      <c r="F69" s="60"/>
      <c r="G69" s="28"/>
      <c r="H69" s="28"/>
      <c r="I69" s="28"/>
      <c r="J69" s="149"/>
    </row>
    <row r="70" spans="2:10">
      <c r="B70" s="129"/>
      <c r="D70" s="60"/>
      <c r="E70" s="60"/>
      <c r="F70" s="60"/>
      <c r="G70" s="28"/>
      <c r="H70" s="28"/>
      <c r="I70" s="28"/>
      <c r="J70" s="149"/>
    </row>
    <row r="71" spans="2:10">
      <c r="B71" s="129"/>
      <c r="D71" s="60"/>
      <c r="E71" s="60"/>
      <c r="F71" s="60"/>
      <c r="G71" s="28"/>
      <c r="H71" s="28"/>
      <c r="I71" s="28"/>
      <c r="J71" s="149"/>
    </row>
    <row r="72" spans="2:10">
      <c r="B72" s="129"/>
      <c r="D72" s="60"/>
      <c r="E72" s="60"/>
      <c r="F72" s="60"/>
      <c r="G72" s="28"/>
      <c r="H72" s="28"/>
      <c r="I72" s="28"/>
      <c r="J72" s="149"/>
    </row>
    <row r="73" spans="2:10">
      <c r="B73" s="129"/>
      <c r="D73" s="60"/>
      <c r="E73" s="60"/>
      <c r="F73" s="60"/>
      <c r="G73" s="28"/>
      <c r="H73" s="28"/>
      <c r="I73" s="28"/>
      <c r="J73" s="149"/>
    </row>
    <row r="74" spans="2:10">
      <c r="B74" s="129"/>
      <c r="C74" s="191"/>
      <c r="D74" s="60"/>
      <c r="E74" s="60"/>
      <c r="F74" s="60"/>
      <c r="G74" s="28"/>
      <c r="H74" s="191" t="s">
        <v>251</v>
      </c>
      <c r="I74" s="28"/>
      <c r="J74" s="149"/>
    </row>
    <row r="75" spans="2:10" ht="15.5" thickBot="1">
      <c r="B75" s="136"/>
      <c r="C75" s="137"/>
      <c r="D75" s="138"/>
      <c r="E75" s="138"/>
      <c r="F75" s="138"/>
      <c r="G75" s="137"/>
      <c r="H75" s="137"/>
      <c r="I75" s="137"/>
      <c r="J75" s="235"/>
    </row>
    <row r="76" spans="2:10" ht="14.25" customHeight="1">
      <c r="B76" s="511" t="s">
        <v>378</v>
      </c>
      <c r="C76" s="124" t="s">
        <v>379</v>
      </c>
      <c r="D76" s="124"/>
      <c r="E76" s="124"/>
      <c r="F76" s="124"/>
      <c r="G76" s="124"/>
      <c r="H76" s="124"/>
      <c r="I76" s="124"/>
      <c r="J76" s="125"/>
    </row>
    <row r="77" spans="2:10" ht="14.25" customHeight="1" thickBot="1">
      <c r="B77" s="512"/>
      <c r="C77" s="513"/>
      <c r="D77" s="514"/>
      <c r="E77" s="515"/>
      <c r="F77" s="515"/>
      <c r="G77" s="515"/>
      <c r="H77" s="515"/>
      <c r="I77" s="515"/>
      <c r="J77" s="516"/>
    </row>
    <row r="78" spans="2:10">
      <c r="B78" s="129"/>
      <c r="D78" s="60"/>
      <c r="E78" s="60"/>
      <c r="F78" s="60"/>
      <c r="G78" s="60"/>
      <c r="H78" s="60"/>
      <c r="I78" s="60"/>
      <c r="J78" s="51"/>
    </row>
    <row r="79" spans="2:10">
      <c r="B79" s="236"/>
      <c r="C79" s="131"/>
      <c r="D79" s="60"/>
      <c r="E79" s="60"/>
      <c r="F79" s="60"/>
      <c r="G79" s="60"/>
      <c r="H79" s="60"/>
      <c r="I79" s="60"/>
      <c r="J79" s="51"/>
    </row>
    <row r="80" spans="2:10">
      <c r="B80" s="129"/>
      <c r="D80" s="60"/>
      <c r="E80" s="60"/>
      <c r="F80" s="60"/>
      <c r="G80" s="60"/>
      <c r="H80" s="60"/>
      <c r="I80" s="60"/>
      <c r="J80" s="51"/>
    </row>
    <row r="81" spans="2:10">
      <c r="B81" s="129"/>
      <c r="D81" s="60"/>
      <c r="E81" s="60"/>
      <c r="F81" s="60"/>
      <c r="G81" s="60"/>
      <c r="H81" s="60"/>
      <c r="I81" s="60"/>
      <c r="J81" s="51"/>
    </row>
    <row r="82" spans="2:10">
      <c r="B82" s="129"/>
      <c r="D82" s="60"/>
      <c r="E82" s="60"/>
      <c r="F82" s="60"/>
      <c r="G82" s="60"/>
      <c r="H82" s="60"/>
      <c r="I82" s="60"/>
      <c r="J82" s="51"/>
    </row>
    <row r="83" spans="2:10">
      <c r="B83" s="129"/>
      <c r="D83" s="60"/>
      <c r="E83" s="60"/>
      <c r="F83" s="60"/>
      <c r="G83" s="60"/>
      <c r="H83" s="60"/>
      <c r="I83" s="60"/>
      <c r="J83" s="51"/>
    </row>
    <row r="84" spans="2:10">
      <c r="B84" s="129"/>
      <c r="C84" s="191"/>
      <c r="D84" s="60"/>
      <c r="E84" s="60"/>
      <c r="F84" s="60"/>
      <c r="G84" s="60"/>
      <c r="H84" s="191" t="s">
        <v>254</v>
      </c>
      <c r="I84" s="60"/>
      <c r="J84" s="51"/>
    </row>
    <row r="85" spans="2:10" ht="15.5" thickBot="1">
      <c r="B85" s="136"/>
      <c r="C85" s="137"/>
      <c r="D85" s="138"/>
      <c r="E85" s="138"/>
      <c r="F85" s="138"/>
      <c r="G85" s="138"/>
      <c r="H85" s="138"/>
      <c r="I85" s="138"/>
      <c r="J85" s="139"/>
    </row>
    <row r="86" spans="2:10" ht="14.25" customHeight="1">
      <c r="B86" s="511" t="s">
        <v>380</v>
      </c>
      <c r="C86" s="124" t="s">
        <v>381</v>
      </c>
      <c r="D86" s="124"/>
      <c r="E86" s="124"/>
      <c r="F86" s="124"/>
      <c r="G86" s="124"/>
      <c r="H86" s="124"/>
      <c r="I86" s="124"/>
      <c r="J86" s="125"/>
    </row>
    <row r="87" spans="2:10" ht="14.25" customHeight="1" thickBot="1">
      <c r="B87" s="512"/>
      <c r="C87" s="513"/>
      <c r="D87" s="514"/>
      <c r="E87" s="515"/>
      <c r="F87" s="515"/>
      <c r="G87" s="515"/>
      <c r="H87" s="515"/>
      <c r="I87" s="515"/>
      <c r="J87" s="516"/>
    </row>
    <row r="88" spans="2:10">
      <c r="B88" s="129"/>
      <c r="D88" s="60"/>
      <c r="E88" s="60"/>
      <c r="F88" s="60"/>
      <c r="G88" s="60"/>
      <c r="H88" s="60"/>
      <c r="I88" s="60"/>
      <c r="J88" s="51"/>
    </row>
    <row r="89" spans="2:10">
      <c r="B89" s="236"/>
      <c r="C89" s="131"/>
      <c r="D89" s="60"/>
      <c r="E89" s="60"/>
      <c r="F89" s="60"/>
      <c r="G89" s="60"/>
      <c r="H89" s="60"/>
      <c r="I89" s="60"/>
      <c r="J89" s="51"/>
    </row>
    <row r="90" spans="2:10">
      <c r="B90" s="129"/>
      <c r="D90" s="60"/>
      <c r="E90" s="60"/>
      <c r="F90" s="60"/>
      <c r="G90" s="60"/>
      <c r="H90" s="60"/>
      <c r="I90" s="60"/>
      <c r="J90" s="51"/>
    </row>
    <row r="91" spans="2:10">
      <c r="B91" s="129"/>
      <c r="D91" s="60"/>
      <c r="E91" s="60"/>
      <c r="F91" s="60"/>
      <c r="G91" s="60"/>
      <c r="H91" s="60"/>
      <c r="I91" s="60"/>
      <c r="J91" s="51"/>
    </row>
    <row r="92" spans="2:10">
      <c r="B92" s="129"/>
      <c r="D92" s="60"/>
      <c r="E92" s="60"/>
      <c r="F92" s="60"/>
      <c r="G92" s="60"/>
      <c r="H92" s="60"/>
      <c r="I92" s="60"/>
      <c r="J92" s="51"/>
    </row>
    <row r="93" spans="2:10">
      <c r="B93" s="129"/>
      <c r="D93" s="60"/>
      <c r="E93" s="60"/>
      <c r="F93" s="60"/>
      <c r="G93" s="60"/>
      <c r="H93" s="60"/>
      <c r="I93" s="60"/>
      <c r="J93" s="51"/>
    </row>
    <row r="94" spans="2:10">
      <c r="B94" s="129"/>
      <c r="D94" s="60"/>
      <c r="E94" s="60"/>
      <c r="F94" s="60"/>
      <c r="G94" s="60"/>
      <c r="H94" s="60"/>
      <c r="I94" s="60"/>
      <c r="J94" s="51"/>
    </row>
    <row r="95" spans="2:10">
      <c r="B95" s="129"/>
      <c r="C95" s="191"/>
      <c r="D95" s="60"/>
      <c r="E95" s="60"/>
      <c r="F95" s="60"/>
      <c r="G95" s="60"/>
      <c r="H95" s="191" t="s">
        <v>254</v>
      </c>
      <c r="I95" s="60"/>
      <c r="J95" s="51"/>
    </row>
    <row r="96" spans="2:10" ht="15.5" thickBot="1">
      <c r="B96" s="144"/>
      <c r="C96" s="145"/>
      <c r="D96" s="74"/>
      <c r="E96" s="74"/>
      <c r="F96" s="74"/>
      <c r="G96" s="74"/>
      <c r="H96" s="74"/>
      <c r="I96" s="74"/>
      <c r="J96" s="75"/>
    </row>
  </sheetData>
  <mergeCells count="18">
    <mergeCell ref="B76:B77"/>
    <mergeCell ref="C77:D77"/>
    <mergeCell ref="E77:J77"/>
    <mergeCell ref="B86:B87"/>
    <mergeCell ref="C87:D87"/>
    <mergeCell ref="E87:J87"/>
    <mergeCell ref="B54:B55"/>
    <mergeCell ref="C55:D55"/>
    <mergeCell ref="E55:J55"/>
    <mergeCell ref="B65:B66"/>
    <mergeCell ref="C66:D66"/>
    <mergeCell ref="E66:J66"/>
    <mergeCell ref="D30:I30"/>
    <mergeCell ref="B2:J2"/>
    <mergeCell ref="B4:B5"/>
    <mergeCell ref="C5:D5"/>
    <mergeCell ref="E5:J5"/>
    <mergeCell ref="D7:I7"/>
  </mergeCells>
  <phoneticPr fontId="21" type="noConversion"/>
  <hyperlinks>
    <hyperlink ref="A1" location="【TCS】!A1" display="戻る" xr:uid="{66D38A66-EA53-41DD-8058-764BDDF82897}"/>
  </hyperlinks>
  <pageMargins left="0.75" right="0.75" top="1" bottom="1" header="0.51200000000000001" footer="0.51200000000000001"/>
  <pageSetup paperSize="9" orientation="portrait" verticalDpi="0" r:id="rId1"/>
  <headerFooter alignWithMargins="0"/>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E40D6-A938-44AF-8BF9-6DBB1996FD91}">
  <dimension ref="A1:L91"/>
  <sheetViews>
    <sheetView showGridLines="0" workbookViewId="0">
      <pane ySplit="3" topLeftCell="A4" activePane="bottomLeft" state="frozen"/>
      <selection activeCell="H40" sqref="H40"/>
      <selection pane="bottomLeft" activeCell="H40" sqref="H40"/>
    </sheetView>
  </sheetViews>
  <sheetFormatPr defaultRowHeight="15"/>
  <cols>
    <col min="1" max="1" width="3.26953125" style="28" customWidth="1"/>
    <col min="2" max="2" width="5.08984375" style="28" customWidth="1"/>
    <col min="3" max="3" width="10" style="28" customWidth="1"/>
    <col min="4" max="4" width="12.36328125" style="30" customWidth="1"/>
    <col min="5" max="5" width="14.90625" style="30" customWidth="1"/>
    <col min="6" max="6" width="16.36328125" style="30" bestFit="1" customWidth="1"/>
    <col min="7" max="7" width="7" style="30" bestFit="1" customWidth="1"/>
    <col min="8" max="8" width="16.36328125" style="30" bestFit="1" customWidth="1"/>
    <col min="9" max="9" width="7" style="30" bestFit="1" customWidth="1"/>
    <col min="10" max="10" width="16.08984375" style="30" customWidth="1"/>
    <col min="11" max="11" width="7" style="30" bestFit="1" customWidth="1"/>
    <col min="12" max="256" width="9" style="28"/>
    <col min="257" max="257" width="3.26953125" style="28" customWidth="1"/>
    <col min="258" max="258" width="5.08984375" style="28" customWidth="1"/>
    <col min="259" max="259" width="10" style="28" customWidth="1"/>
    <col min="260" max="260" width="12.36328125" style="28" customWidth="1"/>
    <col min="261" max="261" width="14.90625" style="28" customWidth="1"/>
    <col min="262" max="262" width="16.36328125" style="28" bestFit="1" customWidth="1"/>
    <col min="263" max="263" width="7" style="28" bestFit="1" customWidth="1"/>
    <col min="264" max="264" width="16.36328125" style="28" bestFit="1" customWidth="1"/>
    <col min="265" max="265" width="7" style="28" bestFit="1" customWidth="1"/>
    <col min="266" max="266" width="16.08984375" style="28" customWidth="1"/>
    <col min="267" max="267" width="7" style="28" bestFit="1" customWidth="1"/>
    <col min="268" max="512" width="9" style="28"/>
    <col min="513" max="513" width="3.26953125" style="28" customWidth="1"/>
    <col min="514" max="514" width="5.08984375" style="28" customWidth="1"/>
    <col min="515" max="515" width="10" style="28" customWidth="1"/>
    <col min="516" max="516" width="12.36328125" style="28" customWidth="1"/>
    <col min="517" max="517" width="14.90625" style="28" customWidth="1"/>
    <col min="518" max="518" width="16.36328125" style="28" bestFit="1" customWidth="1"/>
    <col min="519" max="519" width="7" style="28" bestFit="1" customWidth="1"/>
    <col min="520" max="520" width="16.36328125" style="28" bestFit="1" customWidth="1"/>
    <col min="521" max="521" width="7" style="28" bestFit="1" customWidth="1"/>
    <col min="522" max="522" width="16.08984375" style="28" customWidth="1"/>
    <col min="523" max="523" width="7" style="28" bestFit="1" customWidth="1"/>
    <col min="524" max="768" width="9" style="28"/>
    <col min="769" max="769" width="3.26953125" style="28" customWidth="1"/>
    <col min="770" max="770" width="5.08984375" style="28" customWidth="1"/>
    <col min="771" max="771" width="10" style="28" customWidth="1"/>
    <col min="772" max="772" width="12.36328125" style="28" customWidth="1"/>
    <col min="773" max="773" width="14.90625" style="28" customWidth="1"/>
    <col min="774" max="774" width="16.36328125" style="28" bestFit="1" customWidth="1"/>
    <col min="775" max="775" width="7" style="28" bestFit="1" customWidth="1"/>
    <col min="776" max="776" width="16.36328125" style="28" bestFit="1" customWidth="1"/>
    <col min="777" max="777" width="7" style="28" bestFit="1" customWidth="1"/>
    <col min="778" max="778" width="16.08984375" style="28" customWidth="1"/>
    <col min="779" max="779" width="7" style="28" bestFit="1" customWidth="1"/>
    <col min="780" max="1024" width="9" style="28"/>
    <col min="1025" max="1025" width="3.26953125" style="28" customWidth="1"/>
    <col min="1026" max="1026" width="5.08984375" style="28" customWidth="1"/>
    <col min="1027" max="1027" width="10" style="28" customWidth="1"/>
    <col min="1028" max="1028" width="12.36328125" style="28" customWidth="1"/>
    <col min="1029" max="1029" width="14.90625" style="28" customWidth="1"/>
    <col min="1030" max="1030" width="16.36328125" style="28" bestFit="1" customWidth="1"/>
    <col min="1031" max="1031" width="7" style="28" bestFit="1" customWidth="1"/>
    <col min="1032" max="1032" width="16.36328125" style="28" bestFit="1" customWidth="1"/>
    <col min="1033" max="1033" width="7" style="28" bestFit="1" customWidth="1"/>
    <col min="1034" max="1034" width="16.08984375" style="28" customWidth="1"/>
    <col min="1035" max="1035" width="7" style="28" bestFit="1" customWidth="1"/>
    <col min="1036" max="1280" width="9" style="28"/>
    <col min="1281" max="1281" width="3.26953125" style="28" customWidth="1"/>
    <col min="1282" max="1282" width="5.08984375" style="28" customWidth="1"/>
    <col min="1283" max="1283" width="10" style="28" customWidth="1"/>
    <col min="1284" max="1284" width="12.36328125" style="28" customWidth="1"/>
    <col min="1285" max="1285" width="14.90625" style="28" customWidth="1"/>
    <col min="1286" max="1286" width="16.36328125" style="28" bestFit="1" customWidth="1"/>
    <col min="1287" max="1287" width="7" style="28" bestFit="1" customWidth="1"/>
    <col min="1288" max="1288" width="16.36328125" style="28" bestFit="1" customWidth="1"/>
    <col min="1289" max="1289" width="7" style="28" bestFit="1" customWidth="1"/>
    <col min="1290" max="1290" width="16.08984375" style="28" customWidth="1"/>
    <col min="1291" max="1291" width="7" style="28" bestFit="1" customWidth="1"/>
    <col min="1292" max="1536" width="9" style="28"/>
    <col min="1537" max="1537" width="3.26953125" style="28" customWidth="1"/>
    <col min="1538" max="1538" width="5.08984375" style="28" customWidth="1"/>
    <col min="1539" max="1539" width="10" style="28" customWidth="1"/>
    <col min="1540" max="1540" width="12.36328125" style="28" customWidth="1"/>
    <col min="1541" max="1541" width="14.90625" style="28" customWidth="1"/>
    <col min="1542" max="1542" width="16.36328125" style="28" bestFit="1" customWidth="1"/>
    <col min="1543" max="1543" width="7" style="28" bestFit="1" customWidth="1"/>
    <col min="1544" max="1544" width="16.36328125" style="28" bestFit="1" customWidth="1"/>
    <col min="1545" max="1545" width="7" style="28" bestFit="1" customWidth="1"/>
    <col min="1546" max="1546" width="16.08984375" style="28" customWidth="1"/>
    <col min="1547" max="1547" width="7" style="28" bestFit="1" customWidth="1"/>
    <col min="1548" max="1792" width="9" style="28"/>
    <col min="1793" max="1793" width="3.26953125" style="28" customWidth="1"/>
    <col min="1794" max="1794" width="5.08984375" style="28" customWidth="1"/>
    <col min="1795" max="1795" width="10" style="28" customWidth="1"/>
    <col min="1796" max="1796" width="12.36328125" style="28" customWidth="1"/>
    <col min="1797" max="1797" width="14.90625" style="28" customWidth="1"/>
    <col min="1798" max="1798" width="16.36328125" style="28" bestFit="1" customWidth="1"/>
    <col min="1799" max="1799" width="7" style="28" bestFit="1" customWidth="1"/>
    <col min="1800" max="1800" width="16.36328125" style="28" bestFit="1" customWidth="1"/>
    <col min="1801" max="1801" width="7" style="28" bestFit="1" customWidth="1"/>
    <col min="1802" max="1802" width="16.08984375" style="28" customWidth="1"/>
    <col min="1803" max="1803" width="7" style="28" bestFit="1" customWidth="1"/>
    <col min="1804" max="2048" width="9" style="28"/>
    <col min="2049" max="2049" width="3.26953125" style="28" customWidth="1"/>
    <col min="2050" max="2050" width="5.08984375" style="28" customWidth="1"/>
    <col min="2051" max="2051" width="10" style="28" customWidth="1"/>
    <col min="2052" max="2052" width="12.36328125" style="28" customWidth="1"/>
    <col min="2053" max="2053" width="14.90625" style="28" customWidth="1"/>
    <col min="2054" max="2054" width="16.36328125" style="28" bestFit="1" customWidth="1"/>
    <col min="2055" max="2055" width="7" style="28" bestFit="1" customWidth="1"/>
    <col min="2056" max="2056" width="16.36328125" style="28" bestFit="1" customWidth="1"/>
    <col min="2057" max="2057" width="7" style="28" bestFit="1" customWidth="1"/>
    <col min="2058" max="2058" width="16.08984375" style="28" customWidth="1"/>
    <col min="2059" max="2059" width="7" style="28" bestFit="1" customWidth="1"/>
    <col min="2060" max="2304" width="9" style="28"/>
    <col min="2305" max="2305" width="3.26953125" style="28" customWidth="1"/>
    <col min="2306" max="2306" width="5.08984375" style="28" customWidth="1"/>
    <col min="2307" max="2307" width="10" style="28" customWidth="1"/>
    <col min="2308" max="2308" width="12.36328125" style="28" customWidth="1"/>
    <col min="2309" max="2309" width="14.90625" style="28" customWidth="1"/>
    <col min="2310" max="2310" width="16.36328125" style="28" bestFit="1" customWidth="1"/>
    <col min="2311" max="2311" width="7" style="28" bestFit="1" customWidth="1"/>
    <col min="2312" max="2312" width="16.36328125" style="28" bestFit="1" customWidth="1"/>
    <col min="2313" max="2313" width="7" style="28" bestFit="1" customWidth="1"/>
    <col min="2314" max="2314" width="16.08984375" style="28" customWidth="1"/>
    <col min="2315" max="2315" width="7" style="28" bestFit="1" customWidth="1"/>
    <col min="2316" max="2560" width="9" style="28"/>
    <col min="2561" max="2561" width="3.26953125" style="28" customWidth="1"/>
    <col min="2562" max="2562" width="5.08984375" style="28" customWidth="1"/>
    <col min="2563" max="2563" width="10" style="28" customWidth="1"/>
    <col min="2564" max="2564" width="12.36328125" style="28" customWidth="1"/>
    <col min="2565" max="2565" width="14.90625" style="28" customWidth="1"/>
    <col min="2566" max="2566" width="16.36328125" style="28" bestFit="1" customWidth="1"/>
    <col min="2567" max="2567" width="7" style="28" bestFit="1" customWidth="1"/>
    <col min="2568" max="2568" width="16.36328125" style="28" bestFit="1" customWidth="1"/>
    <col min="2569" max="2569" width="7" style="28" bestFit="1" customWidth="1"/>
    <col min="2570" max="2570" width="16.08984375" style="28" customWidth="1"/>
    <col min="2571" max="2571" width="7" style="28" bestFit="1" customWidth="1"/>
    <col min="2572" max="2816" width="9" style="28"/>
    <col min="2817" max="2817" width="3.26953125" style="28" customWidth="1"/>
    <col min="2818" max="2818" width="5.08984375" style="28" customWidth="1"/>
    <col min="2819" max="2819" width="10" style="28" customWidth="1"/>
    <col min="2820" max="2820" width="12.36328125" style="28" customWidth="1"/>
    <col min="2821" max="2821" width="14.90625" style="28" customWidth="1"/>
    <col min="2822" max="2822" width="16.36328125" style="28" bestFit="1" customWidth="1"/>
    <col min="2823" max="2823" width="7" style="28" bestFit="1" customWidth="1"/>
    <col min="2824" max="2824" width="16.36328125" style="28" bestFit="1" customWidth="1"/>
    <col min="2825" max="2825" width="7" style="28" bestFit="1" customWidth="1"/>
    <col min="2826" max="2826" width="16.08984375" style="28" customWidth="1"/>
    <col min="2827" max="2827" width="7" style="28" bestFit="1" customWidth="1"/>
    <col min="2828" max="3072" width="9" style="28"/>
    <col min="3073" max="3073" width="3.26953125" style="28" customWidth="1"/>
    <col min="3074" max="3074" width="5.08984375" style="28" customWidth="1"/>
    <col min="3075" max="3075" width="10" style="28" customWidth="1"/>
    <col min="3076" max="3076" width="12.36328125" style="28" customWidth="1"/>
    <col min="3077" max="3077" width="14.90625" style="28" customWidth="1"/>
    <col min="3078" max="3078" width="16.36328125" style="28" bestFit="1" customWidth="1"/>
    <col min="3079" max="3079" width="7" style="28" bestFit="1" customWidth="1"/>
    <col min="3080" max="3080" width="16.36328125" style="28" bestFit="1" customWidth="1"/>
    <col min="3081" max="3081" width="7" style="28" bestFit="1" customWidth="1"/>
    <col min="3082" max="3082" width="16.08984375" style="28" customWidth="1"/>
    <col min="3083" max="3083" width="7" style="28" bestFit="1" customWidth="1"/>
    <col min="3084" max="3328" width="9" style="28"/>
    <col min="3329" max="3329" width="3.26953125" style="28" customWidth="1"/>
    <col min="3330" max="3330" width="5.08984375" style="28" customWidth="1"/>
    <col min="3331" max="3331" width="10" style="28" customWidth="1"/>
    <col min="3332" max="3332" width="12.36328125" style="28" customWidth="1"/>
    <col min="3333" max="3333" width="14.90625" style="28" customWidth="1"/>
    <col min="3334" max="3334" width="16.36328125" style="28" bestFit="1" customWidth="1"/>
    <col min="3335" max="3335" width="7" style="28" bestFit="1" customWidth="1"/>
    <col min="3336" max="3336" width="16.36328125" style="28" bestFit="1" customWidth="1"/>
    <col min="3337" max="3337" width="7" style="28" bestFit="1" customWidth="1"/>
    <col min="3338" max="3338" width="16.08984375" style="28" customWidth="1"/>
    <col min="3339" max="3339" width="7" style="28" bestFit="1" customWidth="1"/>
    <col min="3340" max="3584" width="9" style="28"/>
    <col min="3585" max="3585" width="3.26953125" style="28" customWidth="1"/>
    <col min="3586" max="3586" width="5.08984375" style="28" customWidth="1"/>
    <col min="3587" max="3587" width="10" style="28" customWidth="1"/>
    <col min="3588" max="3588" width="12.36328125" style="28" customWidth="1"/>
    <col min="3589" max="3589" width="14.90625" style="28" customWidth="1"/>
    <col min="3590" max="3590" width="16.36328125" style="28" bestFit="1" customWidth="1"/>
    <col min="3591" max="3591" width="7" style="28" bestFit="1" customWidth="1"/>
    <col min="3592" max="3592" width="16.36328125" style="28" bestFit="1" customWidth="1"/>
    <col min="3593" max="3593" width="7" style="28" bestFit="1" customWidth="1"/>
    <col min="3594" max="3594" width="16.08984375" style="28" customWidth="1"/>
    <col min="3595" max="3595" width="7" style="28" bestFit="1" customWidth="1"/>
    <col min="3596" max="3840" width="9" style="28"/>
    <col min="3841" max="3841" width="3.26953125" style="28" customWidth="1"/>
    <col min="3842" max="3842" width="5.08984375" style="28" customWidth="1"/>
    <col min="3843" max="3843" width="10" style="28" customWidth="1"/>
    <col min="3844" max="3844" width="12.36328125" style="28" customWidth="1"/>
    <col min="3845" max="3845" width="14.90625" style="28" customWidth="1"/>
    <col min="3846" max="3846" width="16.36328125" style="28" bestFit="1" customWidth="1"/>
    <col min="3847" max="3847" width="7" style="28" bestFit="1" customWidth="1"/>
    <col min="3848" max="3848" width="16.36328125" style="28" bestFit="1" customWidth="1"/>
    <col min="3849" max="3849" width="7" style="28" bestFit="1" customWidth="1"/>
    <col min="3850" max="3850" width="16.08984375" style="28" customWidth="1"/>
    <col min="3851" max="3851" width="7" style="28" bestFit="1" customWidth="1"/>
    <col min="3852" max="4096" width="9" style="28"/>
    <col min="4097" max="4097" width="3.26953125" style="28" customWidth="1"/>
    <col min="4098" max="4098" width="5.08984375" style="28" customWidth="1"/>
    <col min="4099" max="4099" width="10" style="28" customWidth="1"/>
    <col min="4100" max="4100" width="12.36328125" style="28" customWidth="1"/>
    <col min="4101" max="4101" width="14.90625" style="28" customWidth="1"/>
    <col min="4102" max="4102" width="16.36328125" style="28" bestFit="1" customWidth="1"/>
    <col min="4103" max="4103" width="7" style="28" bestFit="1" customWidth="1"/>
    <col min="4104" max="4104" width="16.36328125" style="28" bestFit="1" customWidth="1"/>
    <col min="4105" max="4105" width="7" style="28" bestFit="1" customWidth="1"/>
    <col min="4106" max="4106" width="16.08984375" style="28" customWidth="1"/>
    <col min="4107" max="4107" width="7" style="28" bestFit="1" customWidth="1"/>
    <col min="4108" max="4352" width="9" style="28"/>
    <col min="4353" max="4353" width="3.26953125" style="28" customWidth="1"/>
    <col min="4354" max="4354" width="5.08984375" style="28" customWidth="1"/>
    <col min="4355" max="4355" width="10" style="28" customWidth="1"/>
    <col min="4356" max="4356" width="12.36328125" style="28" customWidth="1"/>
    <col min="4357" max="4357" width="14.90625" style="28" customWidth="1"/>
    <col min="4358" max="4358" width="16.36328125" style="28" bestFit="1" customWidth="1"/>
    <col min="4359" max="4359" width="7" style="28" bestFit="1" customWidth="1"/>
    <col min="4360" max="4360" width="16.36328125" style="28" bestFit="1" customWidth="1"/>
    <col min="4361" max="4361" width="7" style="28" bestFit="1" customWidth="1"/>
    <col min="4362" max="4362" width="16.08984375" style="28" customWidth="1"/>
    <col min="4363" max="4363" width="7" style="28" bestFit="1" customWidth="1"/>
    <col min="4364" max="4608" width="9" style="28"/>
    <col min="4609" max="4609" width="3.26953125" style="28" customWidth="1"/>
    <col min="4610" max="4610" width="5.08984375" style="28" customWidth="1"/>
    <col min="4611" max="4611" width="10" style="28" customWidth="1"/>
    <col min="4612" max="4612" width="12.36328125" style="28" customWidth="1"/>
    <col min="4613" max="4613" width="14.90625" style="28" customWidth="1"/>
    <col min="4614" max="4614" width="16.36328125" style="28" bestFit="1" customWidth="1"/>
    <col min="4615" max="4615" width="7" style="28" bestFit="1" customWidth="1"/>
    <col min="4616" max="4616" width="16.36328125" style="28" bestFit="1" customWidth="1"/>
    <col min="4617" max="4617" width="7" style="28" bestFit="1" customWidth="1"/>
    <col min="4618" max="4618" width="16.08984375" style="28" customWidth="1"/>
    <col min="4619" max="4619" width="7" style="28" bestFit="1" customWidth="1"/>
    <col min="4620" max="4864" width="9" style="28"/>
    <col min="4865" max="4865" width="3.26953125" style="28" customWidth="1"/>
    <col min="4866" max="4866" width="5.08984375" style="28" customWidth="1"/>
    <col min="4867" max="4867" width="10" style="28" customWidth="1"/>
    <col min="4868" max="4868" width="12.36328125" style="28" customWidth="1"/>
    <col min="4869" max="4869" width="14.90625" style="28" customWidth="1"/>
    <col min="4870" max="4870" width="16.36328125" style="28" bestFit="1" customWidth="1"/>
    <col min="4871" max="4871" width="7" style="28" bestFit="1" customWidth="1"/>
    <col min="4872" max="4872" width="16.36328125" style="28" bestFit="1" customWidth="1"/>
    <col min="4873" max="4873" width="7" style="28" bestFit="1" customWidth="1"/>
    <col min="4874" max="4874" width="16.08984375" style="28" customWidth="1"/>
    <col min="4875" max="4875" width="7" style="28" bestFit="1" customWidth="1"/>
    <col min="4876" max="5120" width="9" style="28"/>
    <col min="5121" max="5121" width="3.26953125" style="28" customWidth="1"/>
    <col min="5122" max="5122" width="5.08984375" style="28" customWidth="1"/>
    <col min="5123" max="5123" width="10" style="28" customWidth="1"/>
    <col min="5124" max="5124" width="12.36328125" style="28" customWidth="1"/>
    <col min="5125" max="5125" width="14.90625" style="28" customWidth="1"/>
    <col min="5126" max="5126" width="16.36328125" style="28" bestFit="1" customWidth="1"/>
    <col min="5127" max="5127" width="7" style="28" bestFit="1" customWidth="1"/>
    <col min="5128" max="5128" width="16.36328125" style="28" bestFit="1" customWidth="1"/>
    <col min="5129" max="5129" width="7" style="28" bestFit="1" customWidth="1"/>
    <col min="5130" max="5130" width="16.08984375" style="28" customWidth="1"/>
    <col min="5131" max="5131" width="7" style="28" bestFit="1" customWidth="1"/>
    <col min="5132" max="5376" width="9" style="28"/>
    <col min="5377" max="5377" width="3.26953125" style="28" customWidth="1"/>
    <col min="5378" max="5378" width="5.08984375" style="28" customWidth="1"/>
    <col min="5379" max="5379" width="10" style="28" customWidth="1"/>
    <col min="5380" max="5380" width="12.36328125" style="28" customWidth="1"/>
    <col min="5381" max="5381" width="14.90625" style="28" customWidth="1"/>
    <col min="5382" max="5382" width="16.36328125" style="28" bestFit="1" customWidth="1"/>
    <col min="5383" max="5383" width="7" style="28" bestFit="1" customWidth="1"/>
    <col min="5384" max="5384" width="16.36328125" style="28" bestFit="1" customWidth="1"/>
    <col min="5385" max="5385" width="7" style="28" bestFit="1" customWidth="1"/>
    <col min="5386" max="5386" width="16.08984375" style="28" customWidth="1"/>
    <col min="5387" max="5387" width="7" style="28" bestFit="1" customWidth="1"/>
    <col min="5388" max="5632" width="9" style="28"/>
    <col min="5633" max="5633" width="3.26953125" style="28" customWidth="1"/>
    <col min="5634" max="5634" width="5.08984375" style="28" customWidth="1"/>
    <col min="5635" max="5635" width="10" style="28" customWidth="1"/>
    <col min="5636" max="5636" width="12.36328125" style="28" customWidth="1"/>
    <col min="5637" max="5637" width="14.90625" style="28" customWidth="1"/>
    <col min="5638" max="5638" width="16.36328125" style="28" bestFit="1" customWidth="1"/>
    <col min="5639" max="5639" width="7" style="28" bestFit="1" customWidth="1"/>
    <col min="5640" max="5640" width="16.36328125" style="28" bestFit="1" customWidth="1"/>
    <col min="5641" max="5641" width="7" style="28" bestFit="1" customWidth="1"/>
    <col min="5642" max="5642" width="16.08984375" style="28" customWidth="1"/>
    <col min="5643" max="5643" width="7" style="28" bestFit="1" customWidth="1"/>
    <col min="5644" max="5888" width="9" style="28"/>
    <col min="5889" max="5889" width="3.26953125" style="28" customWidth="1"/>
    <col min="5890" max="5890" width="5.08984375" style="28" customWidth="1"/>
    <col min="5891" max="5891" width="10" style="28" customWidth="1"/>
    <col min="5892" max="5892" width="12.36328125" style="28" customWidth="1"/>
    <col min="5893" max="5893" width="14.90625" style="28" customWidth="1"/>
    <col min="5894" max="5894" width="16.36328125" style="28" bestFit="1" customWidth="1"/>
    <col min="5895" max="5895" width="7" style="28" bestFit="1" customWidth="1"/>
    <col min="5896" max="5896" width="16.36328125" style="28" bestFit="1" customWidth="1"/>
    <col min="5897" max="5897" width="7" style="28" bestFit="1" customWidth="1"/>
    <col min="5898" max="5898" width="16.08984375" style="28" customWidth="1"/>
    <col min="5899" max="5899" width="7" style="28" bestFit="1" customWidth="1"/>
    <col min="5900" max="6144" width="9" style="28"/>
    <col min="6145" max="6145" width="3.26953125" style="28" customWidth="1"/>
    <col min="6146" max="6146" width="5.08984375" style="28" customWidth="1"/>
    <col min="6147" max="6147" width="10" style="28" customWidth="1"/>
    <col min="6148" max="6148" width="12.36328125" style="28" customWidth="1"/>
    <col min="6149" max="6149" width="14.90625" style="28" customWidth="1"/>
    <col min="6150" max="6150" width="16.36328125" style="28" bestFit="1" customWidth="1"/>
    <col min="6151" max="6151" width="7" style="28" bestFit="1" customWidth="1"/>
    <col min="6152" max="6152" width="16.36328125" style="28" bestFit="1" customWidth="1"/>
    <col min="6153" max="6153" width="7" style="28" bestFit="1" customWidth="1"/>
    <col min="6154" max="6154" width="16.08984375" style="28" customWidth="1"/>
    <col min="6155" max="6155" width="7" style="28" bestFit="1" customWidth="1"/>
    <col min="6156" max="6400" width="9" style="28"/>
    <col min="6401" max="6401" width="3.26953125" style="28" customWidth="1"/>
    <col min="6402" max="6402" width="5.08984375" style="28" customWidth="1"/>
    <col min="6403" max="6403" width="10" style="28" customWidth="1"/>
    <col min="6404" max="6404" width="12.36328125" style="28" customWidth="1"/>
    <col min="6405" max="6405" width="14.90625" style="28" customWidth="1"/>
    <col min="6406" max="6406" width="16.36328125" style="28" bestFit="1" customWidth="1"/>
    <col min="6407" max="6407" width="7" style="28" bestFit="1" customWidth="1"/>
    <col min="6408" max="6408" width="16.36328125" style="28" bestFit="1" customWidth="1"/>
    <col min="6409" max="6409" width="7" style="28" bestFit="1" customWidth="1"/>
    <col min="6410" max="6410" width="16.08984375" style="28" customWidth="1"/>
    <col min="6411" max="6411" width="7" style="28" bestFit="1" customWidth="1"/>
    <col min="6412" max="6656" width="9" style="28"/>
    <col min="6657" max="6657" width="3.26953125" style="28" customWidth="1"/>
    <col min="6658" max="6658" width="5.08984375" style="28" customWidth="1"/>
    <col min="6659" max="6659" width="10" style="28" customWidth="1"/>
    <col min="6660" max="6660" width="12.36328125" style="28" customWidth="1"/>
    <col min="6661" max="6661" width="14.90625" style="28" customWidth="1"/>
    <col min="6662" max="6662" width="16.36328125" style="28" bestFit="1" customWidth="1"/>
    <col min="6663" max="6663" width="7" style="28" bestFit="1" customWidth="1"/>
    <col min="6664" max="6664" width="16.36328125" style="28" bestFit="1" customWidth="1"/>
    <col min="6665" max="6665" width="7" style="28" bestFit="1" customWidth="1"/>
    <col min="6666" max="6666" width="16.08984375" style="28" customWidth="1"/>
    <col min="6667" max="6667" width="7" style="28" bestFit="1" customWidth="1"/>
    <col min="6668" max="6912" width="9" style="28"/>
    <col min="6913" max="6913" width="3.26953125" style="28" customWidth="1"/>
    <col min="6914" max="6914" width="5.08984375" style="28" customWidth="1"/>
    <col min="6915" max="6915" width="10" style="28" customWidth="1"/>
    <col min="6916" max="6916" width="12.36328125" style="28" customWidth="1"/>
    <col min="6917" max="6917" width="14.90625" style="28" customWidth="1"/>
    <col min="6918" max="6918" width="16.36328125" style="28" bestFit="1" customWidth="1"/>
    <col min="6919" max="6919" width="7" style="28" bestFit="1" customWidth="1"/>
    <col min="6920" max="6920" width="16.36328125" style="28" bestFit="1" customWidth="1"/>
    <col min="6921" max="6921" width="7" style="28" bestFit="1" customWidth="1"/>
    <col min="6922" max="6922" width="16.08984375" style="28" customWidth="1"/>
    <col min="6923" max="6923" width="7" style="28" bestFit="1" customWidth="1"/>
    <col min="6924" max="7168" width="9" style="28"/>
    <col min="7169" max="7169" width="3.26953125" style="28" customWidth="1"/>
    <col min="7170" max="7170" width="5.08984375" style="28" customWidth="1"/>
    <col min="7171" max="7171" width="10" style="28" customWidth="1"/>
    <col min="7172" max="7172" width="12.36328125" style="28" customWidth="1"/>
    <col min="7173" max="7173" width="14.90625" style="28" customWidth="1"/>
    <col min="7174" max="7174" width="16.36328125" style="28" bestFit="1" customWidth="1"/>
    <col min="7175" max="7175" width="7" style="28" bestFit="1" customWidth="1"/>
    <col min="7176" max="7176" width="16.36328125" style="28" bestFit="1" customWidth="1"/>
    <col min="7177" max="7177" width="7" style="28" bestFit="1" customWidth="1"/>
    <col min="7178" max="7178" width="16.08984375" style="28" customWidth="1"/>
    <col min="7179" max="7179" width="7" style="28" bestFit="1" customWidth="1"/>
    <col min="7180" max="7424" width="9" style="28"/>
    <col min="7425" max="7425" width="3.26953125" style="28" customWidth="1"/>
    <col min="7426" max="7426" width="5.08984375" style="28" customWidth="1"/>
    <col min="7427" max="7427" width="10" style="28" customWidth="1"/>
    <col min="7428" max="7428" width="12.36328125" style="28" customWidth="1"/>
    <col min="7429" max="7429" width="14.90625" style="28" customWidth="1"/>
    <col min="7430" max="7430" width="16.36328125" style="28" bestFit="1" customWidth="1"/>
    <col min="7431" max="7431" width="7" style="28" bestFit="1" customWidth="1"/>
    <col min="7432" max="7432" width="16.36328125" style="28" bestFit="1" customWidth="1"/>
    <col min="7433" max="7433" width="7" style="28" bestFit="1" customWidth="1"/>
    <col min="7434" max="7434" width="16.08984375" style="28" customWidth="1"/>
    <col min="7435" max="7435" width="7" style="28" bestFit="1" customWidth="1"/>
    <col min="7436" max="7680" width="9" style="28"/>
    <col min="7681" max="7681" width="3.26953125" style="28" customWidth="1"/>
    <col min="7682" max="7682" width="5.08984375" style="28" customWidth="1"/>
    <col min="7683" max="7683" width="10" style="28" customWidth="1"/>
    <col min="7684" max="7684" width="12.36328125" style="28" customWidth="1"/>
    <col min="7685" max="7685" width="14.90625" style="28" customWidth="1"/>
    <col min="7686" max="7686" width="16.36328125" style="28" bestFit="1" customWidth="1"/>
    <col min="7687" max="7687" width="7" style="28" bestFit="1" customWidth="1"/>
    <col min="7688" max="7688" width="16.36328125" style="28" bestFit="1" customWidth="1"/>
    <col min="7689" max="7689" width="7" style="28" bestFit="1" customWidth="1"/>
    <col min="7690" max="7690" width="16.08984375" style="28" customWidth="1"/>
    <col min="7691" max="7691" width="7" style="28" bestFit="1" customWidth="1"/>
    <col min="7692" max="7936" width="9" style="28"/>
    <col min="7937" max="7937" width="3.26953125" style="28" customWidth="1"/>
    <col min="7938" max="7938" width="5.08984375" style="28" customWidth="1"/>
    <col min="7939" max="7939" width="10" style="28" customWidth="1"/>
    <col min="7940" max="7940" width="12.36328125" style="28" customWidth="1"/>
    <col min="7941" max="7941" width="14.90625" style="28" customWidth="1"/>
    <col min="7942" max="7942" width="16.36328125" style="28" bestFit="1" customWidth="1"/>
    <col min="7943" max="7943" width="7" style="28" bestFit="1" customWidth="1"/>
    <col min="7944" max="7944" width="16.36328125" style="28" bestFit="1" customWidth="1"/>
    <col min="7945" max="7945" width="7" style="28" bestFit="1" customWidth="1"/>
    <col min="7946" max="7946" width="16.08984375" style="28" customWidth="1"/>
    <col min="7947" max="7947" width="7" style="28" bestFit="1" customWidth="1"/>
    <col min="7948" max="8192" width="9" style="28"/>
    <col min="8193" max="8193" width="3.26953125" style="28" customWidth="1"/>
    <col min="8194" max="8194" width="5.08984375" style="28" customWidth="1"/>
    <col min="8195" max="8195" width="10" style="28" customWidth="1"/>
    <col min="8196" max="8196" width="12.36328125" style="28" customWidth="1"/>
    <col min="8197" max="8197" width="14.90625" style="28" customWidth="1"/>
    <col min="8198" max="8198" width="16.36328125" style="28" bestFit="1" customWidth="1"/>
    <col min="8199" max="8199" width="7" style="28" bestFit="1" customWidth="1"/>
    <col min="8200" max="8200" width="16.36328125" style="28" bestFit="1" customWidth="1"/>
    <col min="8201" max="8201" width="7" style="28" bestFit="1" customWidth="1"/>
    <col min="8202" max="8202" width="16.08984375" style="28" customWidth="1"/>
    <col min="8203" max="8203" width="7" style="28" bestFit="1" customWidth="1"/>
    <col min="8204" max="8448" width="9" style="28"/>
    <col min="8449" max="8449" width="3.26953125" style="28" customWidth="1"/>
    <col min="8450" max="8450" width="5.08984375" style="28" customWidth="1"/>
    <col min="8451" max="8451" width="10" style="28" customWidth="1"/>
    <col min="8452" max="8452" width="12.36328125" style="28" customWidth="1"/>
    <col min="8453" max="8453" width="14.90625" style="28" customWidth="1"/>
    <col min="8454" max="8454" width="16.36328125" style="28" bestFit="1" customWidth="1"/>
    <col min="8455" max="8455" width="7" style="28" bestFit="1" customWidth="1"/>
    <col min="8456" max="8456" width="16.36328125" style="28" bestFit="1" customWidth="1"/>
    <col min="8457" max="8457" width="7" style="28" bestFit="1" customWidth="1"/>
    <col min="8458" max="8458" width="16.08984375" style="28" customWidth="1"/>
    <col min="8459" max="8459" width="7" style="28" bestFit="1" customWidth="1"/>
    <col min="8460" max="8704" width="9" style="28"/>
    <col min="8705" max="8705" width="3.26953125" style="28" customWidth="1"/>
    <col min="8706" max="8706" width="5.08984375" style="28" customWidth="1"/>
    <col min="8707" max="8707" width="10" style="28" customWidth="1"/>
    <col min="8708" max="8708" width="12.36328125" style="28" customWidth="1"/>
    <col min="8709" max="8709" width="14.90625" style="28" customWidth="1"/>
    <col min="8710" max="8710" width="16.36328125" style="28" bestFit="1" customWidth="1"/>
    <col min="8711" max="8711" width="7" style="28" bestFit="1" customWidth="1"/>
    <col min="8712" max="8712" width="16.36328125" style="28" bestFit="1" customWidth="1"/>
    <col min="8713" max="8713" width="7" style="28" bestFit="1" customWidth="1"/>
    <col min="8714" max="8714" width="16.08984375" style="28" customWidth="1"/>
    <col min="8715" max="8715" width="7" style="28" bestFit="1" customWidth="1"/>
    <col min="8716" max="8960" width="9" style="28"/>
    <col min="8961" max="8961" width="3.26953125" style="28" customWidth="1"/>
    <col min="8962" max="8962" width="5.08984375" style="28" customWidth="1"/>
    <col min="8963" max="8963" width="10" style="28" customWidth="1"/>
    <col min="8964" max="8964" width="12.36328125" style="28" customWidth="1"/>
    <col min="8965" max="8965" width="14.90625" style="28" customWidth="1"/>
    <col min="8966" max="8966" width="16.36328125" style="28" bestFit="1" customWidth="1"/>
    <col min="8967" max="8967" width="7" style="28" bestFit="1" customWidth="1"/>
    <col min="8968" max="8968" width="16.36328125" style="28" bestFit="1" customWidth="1"/>
    <col min="8969" max="8969" width="7" style="28" bestFit="1" customWidth="1"/>
    <col min="8970" max="8970" width="16.08984375" style="28" customWidth="1"/>
    <col min="8971" max="8971" width="7" style="28" bestFit="1" customWidth="1"/>
    <col min="8972" max="9216" width="9" style="28"/>
    <col min="9217" max="9217" width="3.26953125" style="28" customWidth="1"/>
    <col min="9218" max="9218" width="5.08984375" style="28" customWidth="1"/>
    <col min="9219" max="9219" width="10" style="28" customWidth="1"/>
    <col min="9220" max="9220" width="12.36328125" style="28" customWidth="1"/>
    <col min="9221" max="9221" width="14.90625" style="28" customWidth="1"/>
    <col min="9222" max="9222" width="16.36328125" style="28" bestFit="1" customWidth="1"/>
    <col min="9223" max="9223" width="7" style="28" bestFit="1" customWidth="1"/>
    <col min="9224" max="9224" width="16.36328125" style="28" bestFit="1" customWidth="1"/>
    <col min="9225" max="9225" width="7" style="28" bestFit="1" customWidth="1"/>
    <col min="9226" max="9226" width="16.08984375" style="28" customWidth="1"/>
    <col min="9227" max="9227" width="7" style="28" bestFit="1" customWidth="1"/>
    <col min="9228" max="9472" width="9" style="28"/>
    <col min="9473" max="9473" width="3.26953125" style="28" customWidth="1"/>
    <col min="9474" max="9474" width="5.08984375" style="28" customWidth="1"/>
    <col min="9475" max="9475" width="10" style="28" customWidth="1"/>
    <col min="9476" max="9476" width="12.36328125" style="28" customWidth="1"/>
    <col min="9477" max="9477" width="14.90625" style="28" customWidth="1"/>
    <col min="9478" max="9478" width="16.36328125" style="28" bestFit="1" customWidth="1"/>
    <col min="9479" max="9479" width="7" style="28" bestFit="1" customWidth="1"/>
    <col min="9480" max="9480" width="16.36328125" style="28" bestFit="1" customWidth="1"/>
    <col min="9481" max="9481" width="7" style="28" bestFit="1" customWidth="1"/>
    <col min="9482" max="9482" width="16.08984375" style="28" customWidth="1"/>
    <col min="9483" max="9483" width="7" style="28" bestFit="1" customWidth="1"/>
    <col min="9484" max="9728" width="9" style="28"/>
    <col min="9729" max="9729" width="3.26953125" style="28" customWidth="1"/>
    <col min="9730" max="9730" width="5.08984375" style="28" customWidth="1"/>
    <col min="9731" max="9731" width="10" style="28" customWidth="1"/>
    <col min="9732" max="9732" width="12.36328125" style="28" customWidth="1"/>
    <col min="9733" max="9733" width="14.90625" style="28" customWidth="1"/>
    <col min="9734" max="9734" width="16.36328125" style="28" bestFit="1" customWidth="1"/>
    <col min="9735" max="9735" width="7" style="28" bestFit="1" customWidth="1"/>
    <col min="9736" max="9736" width="16.36328125" style="28" bestFit="1" customWidth="1"/>
    <col min="9737" max="9737" width="7" style="28" bestFit="1" customWidth="1"/>
    <col min="9738" max="9738" width="16.08984375" style="28" customWidth="1"/>
    <col min="9739" max="9739" width="7" style="28" bestFit="1" customWidth="1"/>
    <col min="9740" max="9984" width="9" style="28"/>
    <col min="9985" max="9985" width="3.26953125" style="28" customWidth="1"/>
    <col min="9986" max="9986" width="5.08984375" style="28" customWidth="1"/>
    <col min="9987" max="9987" width="10" style="28" customWidth="1"/>
    <col min="9988" max="9988" width="12.36328125" style="28" customWidth="1"/>
    <col min="9989" max="9989" width="14.90625" style="28" customWidth="1"/>
    <col min="9990" max="9990" width="16.36328125" style="28" bestFit="1" customWidth="1"/>
    <col min="9991" max="9991" width="7" style="28" bestFit="1" customWidth="1"/>
    <col min="9992" max="9992" width="16.36328125" style="28" bestFit="1" customWidth="1"/>
    <col min="9993" max="9993" width="7" style="28" bestFit="1" customWidth="1"/>
    <col min="9994" max="9994" width="16.08984375" style="28" customWidth="1"/>
    <col min="9995" max="9995" width="7" style="28" bestFit="1" customWidth="1"/>
    <col min="9996" max="10240" width="9" style="28"/>
    <col min="10241" max="10241" width="3.26953125" style="28" customWidth="1"/>
    <col min="10242" max="10242" width="5.08984375" style="28" customWidth="1"/>
    <col min="10243" max="10243" width="10" style="28" customWidth="1"/>
    <col min="10244" max="10244" width="12.36328125" style="28" customWidth="1"/>
    <col min="10245" max="10245" width="14.90625" style="28" customWidth="1"/>
    <col min="10246" max="10246" width="16.36328125" style="28" bestFit="1" customWidth="1"/>
    <col min="10247" max="10247" width="7" style="28" bestFit="1" customWidth="1"/>
    <col min="10248" max="10248" width="16.36328125" style="28" bestFit="1" customWidth="1"/>
    <col min="10249" max="10249" width="7" style="28" bestFit="1" customWidth="1"/>
    <col min="10250" max="10250" width="16.08984375" style="28" customWidth="1"/>
    <col min="10251" max="10251" width="7" style="28" bestFit="1" customWidth="1"/>
    <col min="10252" max="10496" width="9" style="28"/>
    <col min="10497" max="10497" width="3.26953125" style="28" customWidth="1"/>
    <col min="10498" max="10498" width="5.08984375" style="28" customWidth="1"/>
    <col min="10499" max="10499" width="10" style="28" customWidth="1"/>
    <col min="10500" max="10500" width="12.36328125" style="28" customWidth="1"/>
    <col min="10501" max="10501" width="14.90625" style="28" customWidth="1"/>
    <col min="10502" max="10502" width="16.36328125" style="28" bestFit="1" customWidth="1"/>
    <col min="10503" max="10503" width="7" style="28" bestFit="1" customWidth="1"/>
    <col min="10504" max="10504" width="16.36328125" style="28" bestFit="1" customWidth="1"/>
    <col min="10505" max="10505" width="7" style="28" bestFit="1" customWidth="1"/>
    <col min="10506" max="10506" width="16.08984375" style="28" customWidth="1"/>
    <col min="10507" max="10507" width="7" style="28" bestFit="1" customWidth="1"/>
    <col min="10508" max="10752" width="9" style="28"/>
    <col min="10753" max="10753" width="3.26953125" style="28" customWidth="1"/>
    <col min="10754" max="10754" width="5.08984375" style="28" customWidth="1"/>
    <col min="10755" max="10755" width="10" style="28" customWidth="1"/>
    <col min="10756" max="10756" width="12.36328125" style="28" customWidth="1"/>
    <col min="10757" max="10757" width="14.90625" style="28" customWidth="1"/>
    <col min="10758" max="10758" width="16.36328125" style="28" bestFit="1" customWidth="1"/>
    <col min="10759" max="10759" width="7" style="28" bestFit="1" customWidth="1"/>
    <col min="10760" max="10760" width="16.36328125" style="28" bestFit="1" customWidth="1"/>
    <col min="10761" max="10761" width="7" style="28" bestFit="1" customWidth="1"/>
    <col min="10762" max="10762" width="16.08984375" style="28" customWidth="1"/>
    <col min="10763" max="10763" width="7" style="28" bestFit="1" customWidth="1"/>
    <col min="10764" max="11008" width="9" style="28"/>
    <col min="11009" max="11009" width="3.26953125" style="28" customWidth="1"/>
    <col min="11010" max="11010" width="5.08984375" style="28" customWidth="1"/>
    <col min="11011" max="11011" width="10" style="28" customWidth="1"/>
    <col min="11012" max="11012" width="12.36328125" style="28" customWidth="1"/>
    <col min="11013" max="11013" width="14.90625" style="28" customWidth="1"/>
    <col min="11014" max="11014" width="16.36328125" style="28" bestFit="1" customWidth="1"/>
    <col min="11015" max="11015" width="7" style="28" bestFit="1" customWidth="1"/>
    <col min="11016" max="11016" width="16.36328125" style="28" bestFit="1" customWidth="1"/>
    <col min="11017" max="11017" width="7" style="28" bestFit="1" customWidth="1"/>
    <col min="11018" max="11018" width="16.08984375" style="28" customWidth="1"/>
    <col min="11019" max="11019" width="7" style="28" bestFit="1" customWidth="1"/>
    <col min="11020" max="11264" width="9" style="28"/>
    <col min="11265" max="11265" width="3.26953125" style="28" customWidth="1"/>
    <col min="11266" max="11266" width="5.08984375" style="28" customWidth="1"/>
    <col min="11267" max="11267" width="10" style="28" customWidth="1"/>
    <col min="11268" max="11268" width="12.36328125" style="28" customWidth="1"/>
    <col min="11269" max="11269" width="14.90625" style="28" customWidth="1"/>
    <col min="11270" max="11270" width="16.36328125" style="28" bestFit="1" customWidth="1"/>
    <col min="11271" max="11271" width="7" style="28" bestFit="1" customWidth="1"/>
    <col min="11272" max="11272" width="16.36328125" style="28" bestFit="1" customWidth="1"/>
    <col min="11273" max="11273" width="7" style="28" bestFit="1" customWidth="1"/>
    <col min="11274" max="11274" width="16.08984375" style="28" customWidth="1"/>
    <col min="11275" max="11275" width="7" style="28" bestFit="1" customWidth="1"/>
    <col min="11276" max="11520" width="9" style="28"/>
    <col min="11521" max="11521" width="3.26953125" style="28" customWidth="1"/>
    <col min="11522" max="11522" width="5.08984375" style="28" customWidth="1"/>
    <col min="11523" max="11523" width="10" style="28" customWidth="1"/>
    <col min="11524" max="11524" width="12.36328125" style="28" customWidth="1"/>
    <col min="11525" max="11525" width="14.90625" style="28" customWidth="1"/>
    <col min="11526" max="11526" width="16.36328125" style="28" bestFit="1" customWidth="1"/>
    <col min="11527" max="11527" width="7" style="28" bestFit="1" customWidth="1"/>
    <col min="11528" max="11528" width="16.36328125" style="28" bestFit="1" customWidth="1"/>
    <col min="11529" max="11529" width="7" style="28" bestFit="1" customWidth="1"/>
    <col min="11530" max="11530" width="16.08984375" style="28" customWidth="1"/>
    <col min="11531" max="11531" width="7" style="28" bestFit="1" customWidth="1"/>
    <col min="11532" max="11776" width="9" style="28"/>
    <col min="11777" max="11777" width="3.26953125" style="28" customWidth="1"/>
    <col min="11778" max="11778" width="5.08984375" style="28" customWidth="1"/>
    <col min="11779" max="11779" width="10" style="28" customWidth="1"/>
    <col min="11780" max="11780" width="12.36328125" style="28" customWidth="1"/>
    <col min="11781" max="11781" width="14.90625" style="28" customWidth="1"/>
    <col min="11782" max="11782" width="16.36328125" style="28" bestFit="1" customWidth="1"/>
    <col min="11783" max="11783" width="7" style="28" bestFit="1" customWidth="1"/>
    <col min="11784" max="11784" width="16.36328125" style="28" bestFit="1" customWidth="1"/>
    <col min="11785" max="11785" width="7" style="28" bestFit="1" customWidth="1"/>
    <col min="11786" max="11786" width="16.08984375" style="28" customWidth="1"/>
    <col min="11787" max="11787" width="7" style="28" bestFit="1" customWidth="1"/>
    <col min="11788" max="12032" width="9" style="28"/>
    <col min="12033" max="12033" width="3.26953125" style="28" customWidth="1"/>
    <col min="12034" max="12034" width="5.08984375" style="28" customWidth="1"/>
    <col min="12035" max="12035" width="10" style="28" customWidth="1"/>
    <col min="12036" max="12036" width="12.36328125" style="28" customWidth="1"/>
    <col min="12037" max="12037" width="14.90625" style="28" customWidth="1"/>
    <col min="12038" max="12038" width="16.36328125" style="28" bestFit="1" customWidth="1"/>
    <col min="12039" max="12039" width="7" style="28" bestFit="1" customWidth="1"/>
    <col min="12040" max="12040" width="16.36328125" style="28" bestFit="1" customWidth="1"/>
    <col min="12041" max="12041" width="7" style="28" bestFit="1" customWidth="1"/>
    <col min="12042" max="12042" width="16.08984375" style="28" customWidth="1"/>
    <col min="12043" max="12043" width="7" style="28" bestFit="1" customWidth="1"/>
    <col min="12044" max="12288" width="9" style="28"/>
    <col min="12289" max="12289" width="3.26953125" style="28" customWidth="1"/>
    <col min="12290" max="12290" width="5.08984375" style="28" customWidth="1"/>
    <col min="12291" max="12291" width="10" style="28" customWidth="1"/>
    <col min="12292" max="12292" width="12.36328125" style="28" customWidth="1"/>
    <col min="12293" max="12293" width="14.90625" style="28" customWidth="1"/>
    <col min="12294" max="12294" width="16.36328125" style="28" bestFit="1" customWidth="1"/>
    <col min="12295" max="12295" width="7" style="28" bestFit="1" customWidth="1"/>
    <col min="12296" max="12296" width="16.36328125" style="28" bestFit="1" customWidth="1"/>
    <col min="12297" max="12297" width="7" style="28" bestFit="1" customWidth="1"/>
    <col min="12298" max="12298" width="16.08984375" style="28" customWidth="1"/>
    <col min="12299" max="12299" width="7" style="28" bestFit="1" customWidth="1"/>
    <col min="12300" max="12544" width="9" style="28"/>
    <col min="12545" max="12545" width="3.26953125" style="28" customWidth="1"/>
    <col min="12546" max="12546" width="5.08984375" style="28" customWidth="1"/>
    <col min="12547" max="12547" width="10" style="28" customWidth="1"/>
    <col min="12548" max="12548" width="12.36328125" style="28" customWidth="1"/>
    <col min="12549" max="12549" width="14.90625" style="28" customWidth="1"/>
    <col min="12550" max="12550" width="16.36328125" style="28" bestFit="1" customWidth="1"/>
    <col min="12551" max="12551" width="7" style="28" bestFit="1" customWidth="1"/>
    <col min="12552" max="12552" width="16.36328125" style="28" bestFit="1" customWidth="1"/>
    <col min="12553" max="12553" width="7" style="28" bestFit="1" customWidth="1"/>
    <col min="12554" max="12554" width="16.08984375" style="28" customWidth="1"/>
    <col min="12555" max="12555" width="7" style="28" bestFit="1" customWidth="1"/>
    <col min="12556" max="12800" width="9" style="28"/>
    <col min="12801" max="12801" width="3.26953125" style="28" customWidth="1"/>
    <col min="12802" max="12802" width="5.08984375" style="28" customWidth="1"/>
    <col min="12803" max="12803" width="10" style="28" customWidth="1"/>
    <col min="12804" max="12804" width="12.36328125" style="28" customWidth="1"/>
    <col min="12805" max="12805" width="14.90625" style="28" customWidth="1"/>
    <col min="12806" max="12806" width="16.36328125" style="28" bestFit="1" customWidth="1"/>
    <col min="12807" max="12807" width="7" style="28" bestFit="1" customWidth="1"/>
    <col min="12808" max="12808" width="16.36328125" style="28" bestFit="1" customWidth="1"/>
    <col min="12809" max="12809" width="7" style="28" bestFit="1" customWidth="1"/>
    <col min="12810" max="12810" width="16.08984375" style="28" customWidth="1"/>
    <col min="12811" max="12811" width="7" style="28" bestFit="1" customWidth="1"/>
    <col min="12812" max="13056" width="9" style="28"/>
    <col min="13057" max="13057" width="3.26953125" style="28" customWidth="1"/>
    <col min="13058" max="13058" width="5.08984375" style="28" customWidth="1"/>
    <col min="13059" max="13059" width="10" style="28" customWidth="1"/>
    <col min="13060" max="13060" width="12.36328125" style="28" customWidth="1"/>
    <col min="13061" max="13061" width="14.90625" style="28" customWidth="1"/>
    <col min="13062" max="13062" width="16.36328125" style="28" bestFit="1" customWidth="1"/>
    <col min="13063" max="13063" width="7" style="28" bestFit="1" customWidth="1"/>
    <col min="13064" max="13064" width="16.36328125" style="28" bestFit="1" customWidth="1"/>
    <col min="13065" max="13065" width="7" style="28" bestFit="1" customWidth="1"/>
    <col min="13066" max="13066" width="16.08984375" style="28" customWidth="1"/>
    <col min="13067" max="13067" width="7" style="28" bestFit="1" customWidth="1"/>
    <col min="13068" max="13312" width="9" style="28"/>
    <col min="13313" max="13313" width="3.26953125" style="28" customWidth="1"/>
    <col min="13314" max="13314" width="5.08984375" style="28" customWidth="1"/>
    <col min="13315" max="13315" width="10" style="28" customWidth="1"/>
    <col min="13316" max="13316" width="12.36328125" style="28" customWidth="1"/>
    <col min="13317" max="13317" width="14.90625" style="28" customWidth="1"/>
    <col min="13318" max="13318" width="16.36328125" style="28" bestFit="1" customWidth="1"/>
    <col min="13319" max="13319" width="7" style="28" bestFit="1" customWidth="1"/>
    <col min="13320" max="13320" width="16.36328125" style="28" bestFit="1" customWidth="1"/>
    <col min="13321" max="13321" width="7" style="28" bestFit="1" customWidth="1"/>
    <col min="13322" max="13322" width="16.08984375" style="28" customWidth="1"/>
    <col min="13323" max="13323" width="7" style="28" bestFit="1" customWidth="1"/>
    <col min="13324" max="13568" width="9" style="28"/>
    <col min="13569" max="13569" width="3.26953125" style="28" customWidth="1"/>
    <col min="13570" max="13570" width="5.08984375" style="28" customWidth="1"/>
    <col min="13571" max="13571" width="10" style="28" customWidth="1"/>
    <col min="13572" max="13572" width="12.36328125" style="28" customWidth="1"/>
    <col min="13573" max="13573" width="14.90625" style="28" customWidth="1"/>
    <col min="13574" max="13574" width="16.36328125" style="28" bestFit="1" customWidth="1"/>
    <col min="13575" max="13575" width="7" style="28" bestFit="1" customWidth="1"/>
    <col min="13576" max="13576" width="16.36328125" style="28" bestFit="1" customWidth="1"/>
    <col min="13577" max="13577" width="7" style="28" bestFit="1" customWidth="1"/>
    <col min="13578" max="13578" width="16.08984375" style="28" customWidth="1"/>
    <col min="13579" max="13579" width="7" style="28" bestFit="1" customWidth="1"/>
    <col min="13580" max="13824" width="9" style="28"/>
    <col min="13825" max="13825" width="3.26953125" style="28" customWidth="1"/>
    <col min="13826" max="13826" width="5.08984375" style="28" customWidth="1"/>
    <col min="13827" max="13827" width="10" style="28" customWidth="1"/>
    <col min="13828" max="13828" width="12.36328125" style="28" customWidth="1"/>
    <col min="13829" max="13829" width="14.90625" style="28" customWidth="1"/>
    <col min="13830" max="13830" width="16.36328125" style="28" bestFit="1" customWidth="1"/>
    <col min="13831" max="13831" width="7" style="28" bestFit="1" customWidth="1"/>
    <col min="13832" max="13832" width="16.36328125" style="28" bestFit="1" customWidth="1"/>
    <col min="13833" max="13833" width="7" style="28" bestFit="1" customWidth="1"/>
    <col min="13834" max="13834" width="16.08984375" style="28" customWidth="1"/>
    <col min="13835" max="13835" width="7" style="28" bestFit="1" customWidth="1"/>
    <col min="13836" max="14080" width="9" style="28"/>
    <col min="14081" max="14081" width="3.26953125" style="28" customWidth="1"/>
    <col min="14082" max="14082" width="5.08984375" style="28" customWidth="1"/>
    <col min="14083" max="14083" width="10" style="28" customWidth="1"/>
    <col min="14084" max="14084" width="12.36328125" style="28" customWidth="1"/>
    <col min="14085" max="14085" width="14.90625" style="28" customWidth="1"/>
    <col min="14086" max="14086" width="16.36328125" style="28" bestFit="1" customWidth="1"/>
    <col min="14087" max="14087" width="7" style="28" bestFit="1" customWidth="1"/>
    <col min="14088" max="14088" width="16.36328125" style="28" bestFit="1" customWidth="1"/>
    <col min="14089" max="14089" width="7" style="28" bestFit="1" customWidth="1"/>
    <col min="14090" max="14090" width="16.08984375" style="28" customWidth="1"/>
    <col min="14091" max="14091" width="7" style="28" bestFit="1" customWidth="1"/>
    <col min="14092" max="14336" width="9" style="28"/>
    <col min="14337" max="14337" width="3.26953125" style="28" customWidth="1"/>
    <col min="14338" max="14338" width="5.08984375" style="28" customWidth="1"/>
    <col min="14339" max="14339" width="10" style="28" customWidth="1"/>
    <col min="14340" max="14340" width="12.36328125" style="28" customWidth="1"/>
    <col min="14341" max="14341" width="14.90625" style="28" customWidth="1"/>
    <col min="14342" max="14342" width="16.36328125" style="28" bestFit="1" customWidth="1"/>
    <col min="14343" max="14343" width="7" style="28" bestFit="1" customWidth="1"/>
    <col min="14344" max="14344" width="16.36328125" style="28" bestFit="1" customWidth="1"/>
    <col min="14345" max="14345" width="7" style="28" bestFit="1" customWidth="1"/>
    <col min="14346" max="14346" width="16.08984375" style="28" customWidth="1"/>
    <col min="14347" max="14347" width="7" style="28" bestFit="1" customWidth="1"/>
    <col min="14348" max="14592" width="9" style="28"/>
    <col min="14593" max="14593" width="3.26953125" style="28" customWidth="1"/>
    <col min="14594" max="14594" width="5.08984375" style="28" customWidth="1"/>
    <col min="14595" max="14595" width="10" style="28" customWidth="1"/>
    <col min="14596" max="14596" width="12.36328125" style="28" customWidth="1"/>
    <col min="14597" max="14597" width="14.90625" style="28" customWidth="1"/>
    <col min="14598" max="14598" width="16.36328125" style="28" bestFit="1" customWidth="1"/>
    <col min="14599" max="14599" width="7" style="28" bestFit="1" customWidth="1"/>
    <col min="14600" max="14600" width="16.36328125" style="28" bestFit="1" customWidth="1"/>
    <col min="14601" max="14601" width="7" style="28" bestFit="1" customWidth="1"/>
    <col min="14602" max="14602" width="16.08984375" style="28" customWidth="1"/>
    <col min="14603" max="14603" width="7" style="28" bestFit="1" customWidth="1"/>
    <col min="14604" max="14848" width="9" style="28"/>
    <col min="14849" max="14849" width="3.26953125" style="28" customWidth="1"/>
    <col min="14850" max="14850" width="5.08984375" style="28" customWidth="1"/>
    <col min="14851" max="14851" width="10" style="28" customWidth="1"/>
    <col min="14852" max="14852" width="12.36328125" style="28" customWidth="1"/>
    <col min="14853" max="14853" width="14.90625" style="28" customWidth="1"/>
    <col min="14854" max="14854" width="16.36328125" style="28" bestFit="1" customWidth="1"/>
    <col min="14855" max="14855" width="7" style="28" bestFit="1" customWidth="1"/>
    <col min="14856" max="14856" width="16.36328125" style="28" bestFit="1" customWidth="1"/>
    <col min="14857" max="14857" width="7" style="28" bestFit="1" customWidth="1"/>
    <col min="14858" max="14858" width="16.08984375" style="28" customWidth="1"/>
    <col min="14859" max="14859" width="7" style="28" bestFit="1" customWidth="1"/>
    <col min="14860" max="15104" width="9" style="28"/>
    <col min="15105" max="15105" width="3.26953125" style="28" customWidth="1"/>
    <col min="15106" max="15106" width="5.08984375" style="28" customWidth="1"/>
    <col min="15107" max="15107" width="10" style="28" customWidth="1"/>
    <col min="15108" max="15108" width="12.36328125" style="28" customWidth="1"/>
    <col min="15109" max="15109" width="14.90625" style="28" customWidth="1"/>
    <col min="15110" max="15110" width="16.36328125" style="28" bestFit="1" customWidth="1"/>
    <col min="15111" max="15111" width="7" style="28" bestFit="1" customWidth="1"/>
    <col min="15112" max="15112" width="16.36328125" style="28" bestFit="1" customWidth="1"/>
    <col min="15113" max="15113" width="7" style="28" bestFit="1" customWidth="1"/>
    <col min="15114" max="15114" width="16.08984375" style="28" customWidth="1"/>
    <col min="15115" max="15115" width="7" style="28" bestFit="1" customWidth="1"/>
    <col min="15116" max="15360" width="9" style="28"/>
    <col min="15361" max="15361" width="3.26953125" style="28" customWidth="1"/>
    <col min="15362" max="15362" width="5.08984375" style="28" customWidth="1"/>
    <col min="15363" max="15363" width="10" style="28" customWidth="1"/>
    <col min="15364" max="15364" width="12.36328125" style="28" customWidth="1"/>
    <col min="15365" max="15365" width="14.90625" style="28" customWidth="1"/>
    <col min="15366" max="15366" width="16.36328125" style="28" bestFit="1" customWidth="1"/>
    <col min="15367" max="15367" width="7" style="28" bestFit="1" customWidth="1"/>
    <col min="15368" max="15368" width="16.36328125" style="28" bestFit="1" customWidth="1"/>
    <col min="15369" max="15369" width="7" style="28" bestFit="1" customWidth="1"/>
    <col min="15370" max="15370" width="16.08984375" style="28" customWidth="1"/>
    <col min="15371" max="15371" width="7" style="28" bestFit="1" customWidth="1"/>
    <col min="15372" max="15616" width="9" style="28"/>
    <col min="15617" max="15617" width="3.26953125" style="28" customWidth="1"/>
    <col min="15618" max="15618" width="5.08984375" style="28" customWidth="1"/>
    <col min="15619" max="15619" width="10" style="28" customWidth="1"/>
    <col min="15620" max="15620" width="12.36328125" style="28" customWidth="1"/>
    <col min="15621" max="15621" width="14.90625" style="28" customWidth="1"/>
    <col min="15622" max="15622" width="16.36328125" style="28" bestFit="1" customWidth="1"/>
    <col min="15623" max="15623" width="7" style="28" bestFit="1" customWidth="1"/>
    <col min="15624" max="15624" width="16.36328125" style="28" bestFit="1" customWidth="1"/>
    <col min="15625" max="15625" width="7" style="28" bestFit="1" customWidth="1"/>
    <col min="15626" max="15626" width="16.08984375" style="28" customWidth="1"/>
    <col min="15627" max="15627" width="7" style="28" bestFit="1" customWidth="1"/>
    <col min="15628" max="15872" width="9" style="28"/>
    <col min="15873" max="15873" width="3.26953125" style="28" customWidth="1"/>
    <col min="15874" max="15874" width="5.08984375" style="28" customWidth="1"/>
    <col min="15875" max="15875" width="10" style="28" customWidth="1"/>
    <col min="15876" max="15876" width="12.36328125" style="28" customWidth="1"/>
    <col min="15877" max="15877" width="14.90625" style="28" customWidth="1"/>
    <col min="15878" max="15878" width="16.36328125" style="28" bestFit="1" customWidth="1"/>
    <col min="15879" max="15879" width="7" style="28" bestFit="1" customWidth="1"/>
    <col min="15880" max="15880" width="16.36328125" style="28" bestFit="1" customWidth="1"/>
    <col min="15881" max="15881" width="7" style="28" bestFit="1" customWidth="1"/>
    <col min="15882" max="15882" width="16.08984375" style="28" customWidth="1"/>
    <col min="15883" max="15883" width="7" style="28" bestFit="1" customWidth="1"/>
    <col min="15884" max="16128" width="9" style="28"/>
    <col min="16129" max="16129" width="3.26953125" style="28" customWidth="1"/>
    <col min="16130" max="16130" width="5.08984375" style="28" customWidth="1"/>
    <col min="16131" max="16131" width="10" style="28" customWidth="1"/>
    <col min="16132" max="16132" width="12.36328125" style="28" customWidth="1"/>
    <col min="16133" max="16133" width="14.90625" style="28" customWidth="1"/>
    <col min="16134" max="16134" width="16.36328125" style="28" bestFit="1" customWidth="1"/>
    <col min="16135" max="16135" width="7" style="28" bestFit="1" customWidth="1"/>
    <col min="16136" max="16136" width="16.36328125" style="28" bestFit="1" customWidth="1"/>
    <col min="16137" max="16137" width="7" style="28" bestFit="1" customWidth="1"/>
    <col min="16138" max="16138" width="16.08984375" style="28" customWidth="1"/>
    <col min="16139" max="16139" width="7" style="28" bestFit="1" customWidth="1"/>
    <col min="16140" max="16384" width="9" style="28"/>
  </cols>
  <sheetData>
    <row r="1" spans="1:12">
      <c r="A1" s="29" t="s">
        <v>118</v>
      </c>
    </row>
    <row r="2" spans="1:12" s="77" customFormat="1" ht="24" customHeight="1" thickBot="1">
      <c r="A2" s="123"/>
      <c r="B2" s="510" t="s">
        <v>382</v>
      </c>
      <c r="C2" s="510"/>
      <c r="D2" s="510"/>
      <c r="E2" s="510"/>
      <c r="F2" s="510"/>
      <c r="G2" s="510"/>
      <c r="H2" s="510"/>
      <c r="I2" s="510"/>
      <c r="J2" s="510"/>
    </row>
    <row r="3" spans="1:12" ht="14.25" customHeight="1" thickTop="1" thickBot="1">
      <c r="B3" s="34" t="s">
        <v>120</v>
      </c>
      <c r="C3" s="34" t="s">
        <v>121</v>
      </c>
      <c r="D3" s="34"/>
      <c r="E3" s="35"/>
      <c r="K3" s="28"/>
    </row>
    <row r="4" spans="1:12" ht="14.25" customHeight="1">
      <c r="B4" s="511" t="s">
        <v>383</v>
      </c>
      <c r="C4" s="124" t="s">
        <v>384</v>
      </c>
      <c r="D4" s="124"/>
      <c r="E4" s="124"/>
      <c r="F4" s="124"/>
      <c r="G4" s="124"/>
      <c r="H4" s="124"/>
      <c r="I4" s="124"/>
      <c r="J4" s="125"/>
      <c r="K4" s="28"/>
    </row>
    <row r="5" spans="1:12" ht="14.25" customHeight="1" thickBot="1">
      <c r="B5" s="512"/>
      <c r="C5" s="513"/>
      <c r="D5" s="514"/>
      <c r="E5" s="515"/>
      <c r="F5" s="515"/>
      <c r="G5" s="515"/>
      <c r="H5" s="515"/>
      <c r="I5" s="515"/>
      <c r="J5" s="516"/>
      <c r="K5" s="28"/>
    </row>
    <row r="6" spans="1:12">
      <c r="B6" s="129"/>
      <c r="C6" s="192"/>
      <c r="D6" s="192"/>
      <c r="E6" s="192"/>
      <c r="F6" s="192"/>
      <c r="G6" s="192"/>
      <c r="H6" s="192"/>
      <c r="I6" s="192"/>
      <c r="J6" s="172"/>
      <c r="K6" s="192"/>
      <c r="L6" s="180"/>
    </row>
    <row r="7" spans="1:12" ht="17.25" customHeight="1">
      <c r="B7" s="129"/>
      <c r="C7" s="283" t="s">
        <v>263</v>
      </c>
      <c r="D7" s="522" t="s">
        <v>264</v>
      </c>
      <c r="E7" s="524"/>
      <c r="F7" s="524"/>
      <c r="G7" s="524"/>
      <c r="H7" s="524"/>
      <c r="I7" s="525"/>
      <c r="J7" s="284"/>
      <c r="K7" s="285"/>
      <c r="L7" s="152"/>
    </row>
    <row r="8" spans="1:12" ht="15" customHeight="1">
      <c r="B8" s="153"/>
      <c r="C8" s="286" t="s">
        <v>265</v>
      </c>
      <c r="D8" s="287" t="s">
        <v>266</v>
      </c>
      <c r="E8" s="287" t="s">
        <v>267</v>
      </c>
      <c r="F8" s="288" t="s">
        <v>268</v>
      </c>
      <c r="G8" s="288" t="s">
        <v>269</v>
      </c>
      <c r="H8" s="288" t="s">
        <v>270</v>
      </c>
      <c r="I8" s="289" t="s">
        <v>271</v>
      </c>
      <c r="J8" s="158"/>
      <c r="K8" s="290"/>
      <c r="L8" s="159"/>
    </row>
    <row r="9" spans="1:12" ht="12" customHeight="1">
      <c r="B9" s="160"/>
      <c r="C9" s="291" t="s">
        <v>272</v>
      </c>
      <c r="D9" s="292" t="s">
        <v>273</v>
      </c>
      <c r="E9" s="292" t="s">
        <v>274</v>
      </c>
      <c r="F9" s="293" t="s">
        <v>275</v>
      </c>
      <c r="G9" s="293" t="s">
        <v>276</v>
      </c>
      <c r="H9" s="293" t="s">
        <v>277</v>
      </c>
      <c r="I9" s="294" t="s">
        <v>278</v>
      </c>
      <c r="J9" s="165"/>
      <c r="K9" s="295"/>
      <c r="L9" s="166"/>
    </row>
    <row r="10" spans="1:12" ht="12" customHeight="1">
      <c r="B10" s="160"/>
      <c r="C10" s="296" t="s">
        <v>279</v>
      </c>
      <c r="D10" s="297" t="s">
        <v>280</v>
      </c>
      <c r="E10" s="298">
        <v>66666</v>
      </c>
      <c r="F10" s="299" t="s">
        <v>281</v>
      </c>
      <c r="G10" s="299" t="s">
        <v>289</v>
      </c>
      <c r="H10" s="299" t="s">
        <v>281</v>
      </c>
      <c r="I10" s="300" t="s">
        <v>289</v>
      </c>
      <c r="J10" s="301"/>
      <c r="K10" s="192"/>
      <c r="L10" s="173"/>
    </row>
    <row r="11" spans="1:12" ht="12" customHeight="1">
      <c r="B11" s="160"/>
      <c r="C11" s="296" t="s">
        <v>279</v>
      </c>
      <c r="D11" s="297" t="s">
        <v>283</v>
      </c>
      <c r="E11" s="298">
        <v>3500</v>
      </c>
      <c r="F11" s="299" t="s">
        <v>281</v>
      </c>
      <c r="G11" s="299" t="s">
        <v>289</v>
      </c>
      <c r="H11" s="299" t="s">
        <v>281</v>
      </c>
      <c r="I11" s="300" t="s">
        <v>289</v>
      </c>
      <c r="J11" s="301"/>
      <c r="K11" s="192"/>
      <c r="L11" s="173"/>
    </row>
    <row r="12" spans="1:12" ht="12" customHeight="1">
      <c r="B12" s="160"/>
      <c r="C12" s="302" t="s">
        <v>284</v>
      </c>
      <c r="D12" s="303" t="s">
        <v>285</v>
      </c>
      <c r="E12" s="304">
        <v>12000</v>
      </c>
      <c r="F12" s="305" t="s">
        <v>281</v>
      </c>
      <c r="G12" s="305" t="s">
        <v>289</v>
      </c>
      <c r="H12" s="305" t="s">
        <v>281</v>
      </c>
      <c r="I12" s="306" t="s">
        <v>289</v>
      </c>
      <c r="J12" s="301"/>
      <c r="K12" s="192"/>
      <c r="L12" s="173"/>
    </row>
    <row r="13" spans="1:12" ht="12" customHeight="1">
      <c r="B13" s="160"/>
      <c r="C13" s="302" t="s">
        <v>284</v>
      </c>
      <c r="D13" s="303" t="s">
        <v>286</v>
      </c>
      <c r="E13" s="304">
        <v>300</v>
      </c>
      <c r="F13" s="305" t="s">
        <v>281</v>
      </c>
      <c r="G13" s="305" t="s">
        <v>289</v>
      </c>
      <c r="H13" s="305" t="s">
        <v>281</v>
      </c>
      <c r="I13" s="306" t="s">
        <v>289</v>
      </c>
      <c r="J13" s="301"/>
      <c r="K13" s="192"/>
      <c r="L13" s="173"/>
    </row>
    <row r="14" spans="1:12" ht="12" customHeight="1">
      <c r="B14" s="160"/>
      <c r="C14" s="214" t="s">
        <v>284</v>
      </c>
      <c r="D14" s="215" t="s">
        <v>283</v>
      </c>
      <c r="E14" s="216">
        <v>100</v>
      </c>
      <c r="F14" s="217" t="s">
        <v>281</v>
      </c>
      <c r="G14" s="217" t="s">
        <v>289</v>
      </c>
      <c r="H14" s="217" t="s">
        <v>281</v>
      </c>
      <c r="I14" s="224" t="s">
        <v>289</v>
      </c>
      <c r="J14" s="172"/>
      <c r="K14" s="192"/>
      <c r="L14" s="173"/>
    </row>
    <row r="15" spans="1:12" ht="12" customHeight="1">
      <c r="B15" s="160"/>
      <c r="C15" s="214" t="s">
        <v>284</v>
      </c>
      <c r="D15" s="215" t="s">
        <v>287</v>
      </c>
      <c r="E15" s="216">
        <v>50</v>
      </c>
      <c r="F15" s="217" t="s">
        <v>281</v>
      </c>
      <c r="G15" s="217" t="s">
        <v>289</v>
      </c>
      <c r="H15" s="217" t="s">
        <v>281</v>
      </c>
      <c r="I15" s="224" t="s">
        <v>289</v>
      </c>
      <c r="J15" s="172"/>
      <c r="K15" s="192"/>
      <c r="L15" s="173"/>
    </row>
    <row r="16" spans="1:12" ht="12" customHeight="1">
      <c r="B16" s="160"/>
      <c r="C16" s="214" t="s">
        <v>288</v>
      </c>
      <c r="D16" s="215" t="s">
        <v>287</v>
      </c>
      <c r="E16" s="216">
        <v>3000</v>
      </c>
      <c r="F16" s="217" t="s">
        <v>281</v>
      </c>
      <c r="G16" s="217" t="s">
        <v>289</v>
      </c>
      <c r="H16" s="217" t="s">
        <v>281</v>
      </c>
      <c r="I16" s="224" t="s">
        <v>289</v>
      </c>
      <c r="J16" s="172"/>
      <c r="K16" s="192"/>
      <c r="L16" s="179"/>
    </row>
    <row r="17" spans="2:12" ht="12" customHeight="1">
      <c r="B17" s="160"/>
      <c r="C17" s="214" t="s">
        <v>290</v>
      </c>
      <c r="D17" s="215" t="s">
        <v>287</v>
      </c>
      <c r="E17" s="216">
        <v>200</v>
      </c>
      <c r="F17" s="217" t="s">
        <v>281</v>
      </c>
      <c r="G17" s="217" t="s">
        <v>289</v>
      </c>
      <c r="H17" s="217" t="s">
        <v>281</v>
      </c>
      <c r="I17" s="224" t="s">
        <v>289</v>
      </c>
      <c r="J17" s="172"/>
      <c r="K17" s="192"/>
      <c r="L17" s="179"/>
    </row>
    <row r="18" spans="2:12" ht="12" customHeight="1">
      <c r="B18" s="160"/>
      <c r="C18" s="214" t="s">
        <v>291</v>
      </c>
      <c r="D18" s="215" t="s">
        <v>292</v>
      </c>
      <c r="E18" s="216">
        <v>999999999999999</v>
      </c>
      <c r="F18" s="217" t="s">
        <v>281</v>
      </c>
      <c r="G18" s="217" t="s">
        <v>289</v>
      </c>
      <c r="H18" s="217" t="s">
        <v>281</v>
      </c>
      <c r="I18" s="224" t="s">
        <v>289</v>
      </c>
      <c r="J18" s="172"/>
      <c r="K18" s="192"/>
      <c r="L18" s="180"/>
    </row>
    <row r="19" spans="2:12" ht="12" customHeight="1">
      <c r="B19" s="160"/>
      <c r="C19" s="214" t="s">
        <v>291</v>
      </c>
      <c r="D19" s="215" t="s">
        <v>287</v>
      </c>
      <c r="E19" s="216">
        <v>200000</v>
      </c>
      <c r="F19" s="217" t="s">
        <v>281</v>
      </c>
      <c r="G19" s="217" t="s">
        <v>289</v>
      </c>
      <c r="H19" s="217" t="s">
        <v>281</v>
      </c>
      <c r="I19" s="224" t="s">
        <v>289</v>
      </c>
      <c r="J19" s="172"/>
      <c r="K19" s="192"/>
      <c r="L19" s="180"/>
    </row>
    <row r="20" spans="2:12" ht="12" customHeight="1">
      <c r="B20" s="160"/>
      <c r="C20" s="214" t="s">
        <v>291</v>
      </c>
      <c r="D20" s="215" t="s">
        <v>293</v>
      </c>
      <c r="E20" s="216">
        <v>0</v>
      </c>
      <c r="F20" s="217" t="s">
        <v>281</v>
      </c>
      <c r="G20" s="217" t="s">
        <v>289</v>
      </c>
      <c r="H20" s="217" t="s">
        <v>281</v>
      </c>
      <c r="I20" s="224" t="s">
        <v>289</v>
      </c>
      <c r="J20" s="172"/>
      <c r="K20" s="192"/>
      <c r="L20" s="180"/>
    </row>
    <row r="21" spans="2:12" ht="12" customHeight="1">
      <c r="B21" s="160"/>
      <c r="C21" s="225" t="s">
        <v>291</v>
      </c>
      <c r="D21" s="226" t="s">
        <v>294</v>
      </c>
      <c r="E21" s="307">
        <v>333333333</v>
      </c>
      <c r="F21" s="228" t="s">
        <v>281</v>
      </c>
      <c r="G21" s="228" t="s">
        <v>289</v>
      </c>
      <c r="H21" s="228" t="s">
        <v>281</v>
      </c>
      <c r="I21" s="229" t="s">
        <v>289</v>
      </c>
      <c r="J21" s="172"/>
      <c r="K21" s="192"/>
      <c r="L21" s="180"/>
    </row>
    <row r="22" spans="2:12" ht="12" customHeight="1">
      <c r="B22" s="160"/>
      <c r="C22" s="186" t="s">
        <v>291</v>
      </c>
      <c r="D22" s="186" t="s">
        <v>295</v>
      </c>
      <c r="E22" s="187">
        <v>999999999999999</v>
      </c>
      <c r="F22" s="188"/>
      <c r="G22" s="188"/>
      <c r="H22" s="188"/>
      <c r="I22" s="188"/>
      <c r="J22" s="308"/>
      <c r="K22" s="192"/>
      <c r="L22" s="180"/>
    </row>
    <row r="23" spans="2:12" ht="12" customHeight="1">
      <c r="B23" s="160"/>
      <c r="C23" s="186" t="s">
        <v>291</v>
      </c>
      <c r="D23" s="186" t="s">
        <v>296</v>
      </c>
      <c r="E23" s="189">
        <v>300</v>
      </c>
      <c r="F23" s="188"/>
      <c r="G23" s="188"/>
      <c r="H23" s="188"/>
      <c r="I23" s="188"/>
      <c r="J23" s="308"/>
      <c r="K23" s="192"/>
      <c r="L23" s="180"/>
    </row>
    <row r="24" spans="2:12" ht="11.25" customHeight="1">
      <c r="B24" s="160"/>
      <c r="C24" s="186" t="s">
        <v>291</v>
      </c>
      <c r="D24" s="186" t="s">
        <v>297</v>
      </c>
      <c r="E24" s="189">
        <v>20</v>
      </c>
      <c r="F24" s="188"/>
      <c r="G24" s="188"/>
      <c r="H24" s="188"/>
      <c r="I24" s="188"/>
      <c r="J24" s="308"/>
      <c r="K24" s="192"/>
      <c r="L24" s="190"/>
    </row>
    <row r="25" spans="2:12">
      <c r="B25" s="160"/>
      <c r="C25" s="186" t="s">
        <v>298</v>
      </c>
      <c r="D25" s="186" t="s">
        <v>299</v>
      </c>
      <c r="E25" s="189">
        <v>6000</v>
      </c>
      <c r="F25" s="188"/>
      <c r="G25" s="188"/>
      <c r="H25" s="188"/>
      <c r="I25" s="188"/>
      <c r="J25" s="308"/>
      <c r="K25" s="192"/>
      <c r="L25" s="191"/>
    </row>
    <row r="26" spans="2:12">
      <c r="B26" s="129"/>
      <c r="C26" s="188"/>
      <c r="D26" s="188"/>
      <c r="E26" s="188"/>
      <c r="F26" s="188"/>
      <c r="G26" s="188"/>
      <c r="H26" s="188"/>
      <c r="I26" s="188"/>
      <c r="J26" s="308"/>
      <c r="K26" s="192"/>
      <c r="L26" s="180"/>
    </row>
    <row r="27" spans="2:12">
      <c r="B27" s="129"/>
      <c r="C27" s="192"/>
      <c r="D27" s="192"/>
      <c r="E27" s="192"/>
      <c r="F27" s="192"/>
      <c r="G27" s="192"/>
      <c r="H27" s="192"/>
      <c r="I27" s="192"/>
      <c r="J27" s="172"/>
      <c r="K27" s="192"/>
      <c r="L27" s="180"/>
    </row>
    <row r="28" spans="2:12">
      <c r="B28" s="129"/>
      <c r="C28" s="192"/>
      <c r="D28" s="192"/>
      <c r="E28" s="192"/>
      <c r="F28" s="192"/>
      <c r="G28" s="192"/>
      <c r="H28" s="192"/>
      <c r="I28" s="192"/>
      <c r="J28" s="172"/>
      <c r="K28" s="192"/>
      <c r="L28" s="193"/>
    </row>
    <row r="29" spans="2:12">
      <c r="B29" s="129"/>
      <c r="C29" s="173"/>
      <c r="D29" s="173"/>
      <c r="E29" s="173"/>
      <c r="F29" s="173"/>
      <c r="G29" s="173"/>
      <c r="H29" s="173"/>
      <c r="I29" s="173"/>
      <c r="J29" s="194"/>
      <c r="K29" s="173"/>
      <c r="L29" s="173"/>
    </row>
    <row r="30" spans="2:12" ht="17.25" customHeight="1">
      <c r="B30" s="129"/>
      <c r="C30" s="283" t="s">
        <v>300</v>
      </c>
      <c r="D30" s="522" t="s">
        <v>264</v>
      </c>
      <c r="E30" s="523"/>
      <c r="F30" s="523"/>
      <c r="G30" s="523"/>
      <c r="H30" s="523"/>
      <c r="I30" s="523"/>
      <c r="J30" s="309"/>
      <c r="K30" s="285"/>
      <c r="L30" s="152"/>
    </row>
    <row r="31" spans="2:12" ht="15" customHeight="1">
      <c r="B31" s="153"/>
      <c r="C31" s="286" t="s">
        <v>265</v>
      </c>
      <c r="D31" s="287" t="s">
        <v>266</v>
      </c>
      <c r="E31" s="287" t="s">
        <v>267</v>
      </c>
      <c r="F31" s="288" t="s">
        <v>268</v>
      </c>
      <c r="G31" s="288" t="s">
        <v>269</v>
      </c>
      <c r="H31" s="288" t="s">
        <v>270</v>
      </c>
      <c r="I31" s="310" t="s">
        <v>271</v>
      </c>
      <c r="J31" s="311"/>
      <c r="K31" s="290"/>
      <c r="L31" s="159"/>
    </row>
    <row r="32" spans="2:12" ht="12" customHeight="1">
      <c r="B32" s="160"/>
      <c r="C32" s="291" t="s">
        <v>272</v>
      </c>
      <c r="D32" s="292" t="s">
        <v>273</v>
      </c>
      <c r="E32" s="292" t="s">
        <v>274</v>
      </c>
      <c r="F32" s="293" t="s">
        <v>275</v>
      </c>
      <c r="G32" s="293" t="s">
        <v>276</v>
      </c>
      <c r="H32" s="293" t="s">
        <v>277</v>
      </c>
      <c r="I32" s="312" t="s">
        <v>278</v>
      </c>
      <c r="J32" s="313"/>
      <c r="K32" s="295"/>
      <c r="L32" s="166"/>
    </row>
    <row r="33" spans="2:12" ht="12" customHeight="1">
      <c r="B33" s="160"/>
      <c r="C33" s="214"/>
      <c r="D33" s="215"/>
      <c r="E33" s="216"/>
      <c r="F33" s="217"/>
      <c r="G33" s="217"/>
      <c r="H33" s="217"/>
      <c r="I33" s="314"/>
      <c r="J33" s="315"/>
      <c r="K33" s="192"/>
      <c r="L33" s="173"/>
    </row>
    <row r="34" spans="2:12" ht="12" customHeight="1">
      <c r="B34" s="160"/>
      <c r="C34" s="214"/>
      <c r="D34" s="215"/>
      <c r="E34" s="216"/>
      <c r="F34" s="217"/>
      <c r="G34" s="217"/>
      <c r="H34" s="217"/>
      <c r="I34" s="314"/>
      <c r="J34" s="315"/>
      <c r="K34" s="192"/>
      <c r="L34" s="173"/>
    </row>
    <row r="35" spans="2:12" ht="12" customHeight="1">
      <c r="B35" s="160"/>
      <c r="C35" s="214" t="s">
        <v>284</v>
      </c>
      <c r="D35" s="215" t="s">
        <v>283</v>
      </c>
      <c r="E35" s="216">
        <v>100</v>
      </c>
      <c r="F35" s="217" t="s">
        <v>281</v>
      </c>
      <c r="G35" s="217" t="s">
        <v>289</v>
      </c>
      <c r="H35" s="217" t="s">
        <v>281</v>
      </c>
      <c r="I35" s="314" t="s">
        <v>289</v>
      </c>
      <c r="J35" s="315"/>
      <c r="K35" s="192"/>
      <c r="L35" s="173"/>
    </row>
    <row r="36" spans="2:12" ht="12" customHeight="1">
      <c r="B36" s="160"/>
      <c r="C36" s="214" t="s">
        <v>284</v>
      </c>
      <c r="D36" s="215" t="s">
        <v>287</v>
      </c>
      <c r="E36" s="216">
        <v>50</v>
      </c>
      <c r="F36" s="217" t="s">
        <v>281</v>
      </c>
      <c r="G36" s="217" t="s">
        <v>289</v>
      </c>
      <c r="H36" s="217" t="s">
        <v>281</v>
      </c>
      <c r="I36" s="314" t="s">
        <v>289</v>
      </c>
      <c r="J36" s="315"/>
      <c r="K36" s="192"/>
      <c r="L36" s="173"/>
    </row>
    <row r="37" spans="2:12" ht="12" customHeight="1">
      <c r="B37" s="160"/>
      <c r="C37" s="214" t="s">
        <v>288</v>
      </c>
      <c r="D37" s="215" t="s">
        <v>287</v>
      </c>
      <c r="E37" s="216">
        <v>3000</v>
      </c>
      <c r="F37" s="217" t="s">
        <v>281</v>
      </c>
      <c r="G37" s="217" t="s">
        <v>289</v>
      </c>
      <c r="H37" s="217" t="s">
        <v>303</v>
      </c>
      <c r="I37" s="314" t="s">
        <v>302</v>
      </c>
      <c r="J37" s="315"/>
      <c r="K37" s="192"/>
      <c r="L37" s="179"/>
    </row>
    <row r="38" spans="2:12" ht="12" customHeight="1">
      <c r="B38" s="160"/>
      <c r="C38" s="214" t="s">
        <v>290</v>
      </c>
      <c r="D38" s="215" t="s">
        <v>287</v>
      </c>
      <c r="E38" s="216">
        <v>200</v>
      </c>
      <c r="F38" s="217" t="s">
        <v>281</v>
      </c>
      <c r="G38" s="217" t="s">
        <v>289</v>
      </c>
      <c r="H38" s="217" t="s">
        <v>303</v>
      </c>
      <c r="I38" s="314" t="s">
        <v>302</v>
      </c>
      <c r="J38" s="315"/>
      <c r="K38" s="192"/>
      <c r="L38" s="179"/>
    </row>
    <row r="39" spans="2:12" ht="12" customHeight="1">
      <c r="B39" s="160"/>
      <c r="C39" s="214" t="s">
        <v>291</v>
      </c>
      <c r="D39" s="215" t="s">
        <v>292</v>
      </c>
      <c r="E39" s="216">
        <v>999999999999999</v>
      </c>
      <c r="F39" s="217" t="s">
        <v>281</v>
      </c>
      <c r="G39" s="217" t="s">
        <v>289</v>
      </c>
      <c r="H39" s="217" t="s">
        <v>303</v>
      </c>
      <c r="I39" s="314" t="s">
        <v>302</v>
      </c>
      <c r="J39" s="315"/>
      <c r="K39" s="192"/>
      <c r="L39" s="180"/>
    </row>
    <row r="40" spans="2:12" ht="12" customHeight="1">
      <c r="B40" s="160"/>
      <c r="C40" s="214" t="s">
        <v>291</v>
      </c>
      <c r="D40" s="215" t="s">
        <v>287</v>
      </c>
      <c r="E40" s="216">
        <v>200000</v>
      </c>
      <c r="F40" s="217" t="s">
        <v>281</v>
      </c>
      <c r="G40" s="217" t="s">
        <v>289</v>
      </c>
      <c r="H40" s="217" t="s">
        <v>281</v>
      </c>
      <c r="I40" s="314" t="s">
        <v>289</v>
      </c>
      <c r="J40" s="315"/>
      <c r="K40" s="192"/>
      <c r="L40" s="180"/>
    </row>
    <row r="41" spans="2:12" ht="12" customHeight="1">
      <c r="B41" s="160"/>
      <c r="C41" s="214" t="s">
        <v>291</v>
      </c>
      <c r="D41" s="215" t="s">
        <v>293</v>
      </c>
      <c r="E41" s="216">
        <v>0</v>
      </c>
      <c r="F41" s="217" t="s">
        <v>281</v>
      </c>
      <c r="G41" s="217" t="s">
        <v>289</v>
      </c>
      <c r="H41" s="217" t="s">
        <v>281</v>
      </c>
      <c r="I41" s="314" t="s">
        <v>289</v>
      </c>
      <c r="J41" s="315"/>
      <c r="K41" s="192"/>
      <c r="L41" s="180"/>
    </row>
    <row r="42" spans="2:12" ht="12" customHeight="1">
      <c r="B42" s="160"/>
      <c r="C42" s="214" t="s">
        <v>291</v>
      </c>
      <c r="D42" s="215" t="s">
        <v>294</v>
      </c>
      <c r="E42" s="223">
        <v>333333333</v>
      </c>
      <c r="F42" s="217" t="s">
        <v>281</v>
      </c>
      <c r="G42" s="217" t="s">
        <v>289</v>
      </c>
      <c r="H42" s="217" t="s">
        <v>281</v>
      </c>
      <c r="I42" s="314" t="s">
        <v>289</v>
      </c>
      <c r="J42" s="315"/>
      <c r="K42" s="192"/>
      <c r="L42" s="180"/>
    </row>
    <row r="43" spans="2:12" ht="12" customHeight="1">
      <c r="B43" s="160"/>
      <c r="C43" s="214" t="s">
        <v>291</v>
      </c>
      <c r="D43" s="215" t="s">
        <v>295</v>
      </c>
      <c r="E43" s="223">
        <v>999999999999999</v>
      </c>
      <c r="F43" s="217" t="s">
        <v>303</v>
      </c>
      <c r="G43" s="217" t="s">
        <v>302</v>
      </c>
      <c r="H43" s="217" t="s">
        <v>303</v>
      </c>
      <c r="I43" s="314" t="s">
        <v>302</v>
      </c>
      <c r="J43" s="315"/>
      <c r="K43" s="192"/>
      <c r="L43" s="180"/>
    </row>
    <row r="44" spans="2:12" ht="12" customHeight="1">
      <c r="B44" s="160"/>
      <c r="C44" s="214" t="s">
        <v>291</v>
      </c>
      <c r="D44" s="215" t="s">
        <v>296</v>
      </c>
      <c r="E44" s="216">
        <v>300</v>
      </c>
      <c r="F44" s="217" t="s">
        <v>303</v>
      </c>
      <c r="G44" s="217" t="s">
        <v>302</v>
      </c>
      <c r="H44" s="217" t="s">
        <v>303</v>
      </c>
      <c r="I44" s="314" t="s">
        <v>302</v>
      </c>
      <c r="J44" s="315"/>
      <c r="K44" s="192"/>
      <c r="L44" s="180"/>
    </row>
    <row r="45" spans="2:12" ht="11.25" customHeight="1">
      <c r="B45" s="160"/>
      <c r="C45" s="214" t="s">
        <v>291</v>
      </c>
      <c r="D45" s="215" t="s">
        <v>297</v>
      </c>
      <c r="E45" s="216">
        <v>20</v>
      </c>
      <c r="F45" s="217" t="s">
        <v>303</v>
      </c>
      <c r="G45" s="217" t="s">
        <v>302</v>
      </c>
      <c r="H45" s="217" t="s">
        <v>303</v>
      </c>
      <c r="I45" s="314" t="s">
        <v>302</v>
      </c>
      <c r="J45" s="315"/>
      <c r="K45" s="192"/>
      <c r="L45" s="190"/>
    </row>
    <row r="46" spans="2:12">
      <c r="B46" s="160"/>
      <c r="C46" s="225" t="s">
        <v>298</v>
      </c>
      <c r="D46" s="226" t="s">
        <v>299</v>
      </c>
      <c r="E46" s="227">
        <v>6000</v>
      </c>
      <c r="F46" s="228" t="s">
        <v>303</v>
      </c>
      <c r="G46" s="228" t="s">
        <v>302</v>
      </c>
      <c r="H46" s="228" t="s">
        <v>303</v>
      </c>
      <c r="I46" s="316" t="s">
        <v>302</v>
      </c>
      <c r="J46" s="315"/>
      <c r="K46" s="192"/>
      <c r="L46" s="191"/>
    </row>
    <row r="47" spans="2:12">
      <c r="B47" s="232"/>
      <c r="C47" s="148"/>
      <c r="D47" s="60"/>
      <c r="E47" s="60"/>
      <c r="F47" s="60"/>
      <c r="G47" s="28"/>
      <c r="H47" s="28"/>
      <c r="I47" s="28"/>
      <c r="J47" s="149"/>
      <c r="K47" s="28"/>
    </row>
    <row r="48" spans="2:12" ht="15.5" thickBot="1">
      <c r="B48" s="233"/>
      <c r="C48" s="234"/>
      <c r="D48" s="138"/>
      <c r="E48" s="138"/>
      <c r="F48" s="138"/>
      <c r="G48" s="137"/>
      <c r="H48" s="137"/>
      <c r="I48" s="137"/>
      <c r="J48" s="235"/>
      <c r="K48" s="28"/>
    </row>
    <row r="49" spans="2:10" s="28" customFormat="1" ht="14.25" customHeight="1">
      <c r="B49" s="511" t="s">
        <v>385</v>
      </c>
      <c r="C49" s="124" t="s">
        <v>305</v>
      </c>
      <c r="D49" s="124"/>
      <c r="E49" s="124"/>
      <c r="F49" s="124"/>
      <c r="G49" s="124"/>
      <c r="H49" s="124"/>
      <c r="I49" s="124"/>
      <c r="J49" s="125"/>
    </row>
    <row r="50" spans="2:10" s="28" customFormat="1" ht="14.25" customHeight="1" thickBot="1">
      <c r="B50" s="512"/>
      <c r="C50" s="513"/>
      <c r="D50" s="514"/>
      <c r="E50" s="515"/>
      <c r="F50" s="515"/>
      <c r="G50" s="515"/>
      <c r="H50" s="515"/>
      <c r="I50" s="515"/>
      <c r="J50" s="516"/>
    </row>
    <row r="51" spans="2:10" s="28" customFormat="1">
      <c r="B51" s="140" t="s">
        <v>306</v>
      </c>
      <c r="D51" s="60"/>
      <c r="E51" s="60"/>
      <c r="F51" s="60"/>
      <c r="J51" s="149"/>
    </row>
    <row r="52" spans="2:10" s="28" customFormat="1">
      <c r="B52" s="236"/>
      <c r="C52" s="131"/>
      <c r="D52" s="60"/>
      <c r="E52" s="60"/>
      <c r="F52" s="60"/>
      <c r="J52" s="149"/>
    </row>
    <row r="53" spans="2:10" s="28" customFormat="1">
      <c r="B53" s="129"/>
      <c r="D53" s="60"/>
      <c r="E53" s="60"/>
      <c r="F53" s="60"/>
      <c r="J53" s="149"/>
    </row>
    <row r="54" spans="2:10" s="28" customFormat="1">
      <c r="B54" s="129"/>
      <c r="D54" s="60"/>
      <c r="E54" s="60"/>
      <c r="F54" s="60"/>
      <c r="J54" s="149"/>
    </row>
    <row r="55" spans="2:10" s="28" customFormat="1">
      <c r="B55" s="129"/>
      <c r="D55" s="60"/>
      <c r="E55" s="60"/>
      <c r="F55" s="60"/>
      <c r="J55" s="149"/>
    </row>
    <row r="56" spans="2:10" s="28" customFormat="1">
      <c r="B56" s="129"/>
      <c r="D56" s="60"/>
      <c r="E56" s="60"/>
      <c r="F56" s="60"/>
      <c r="J56" s="149"/>
    </row>
    <row r="57" spans="2:10" s="28" customFormat="1">
      <c r="B57" s="129"/>
      <c r="D57" s="60"/>
      <c r="E57" s="60"/>
      <c r="F57" s="60"/>
      <c r="J57" s="149"/>
    </row>
    <row r="58" spans="2:10" s="28" customFormat="1">
      <c r="B58" s="129"/>
      <c r="C58" s="191"/>
      <c r="D58" s="60"/>
      <c r="E58" s="60"/>
      <c r="F58" s="60"/>
      <c r="H58" s="191" t="s">
        <v>251</v>
      </c>
      <c r="J58" s="149"/>
    </row>
    <row r="59" spans="2:10" s="28" customFormat="1" ht="15.5" thickBot="1">
      <c r="B59" s="129"/>
      <c r="D59" s="60"/>
      <c r="E59" s="60"/>
      <c r="F59" s="60"/>
      <c r="J59" s="149"/>
    </row>
    <row r="60" spans="2:10" s="28" customFormat="1" ht="14.25" customHeight="1">
      <c r="B60" s="511" t="s">
        <v>386</v>
      </c>
      <c r="C60" s="124" t="s">
        <v>387</v>
      </c>
      <c r="D60" s="124"/>
      <c r="E60" s="124"/>
      <c r="F60" s="124"/>
      <c r="G60" s="124"/>
      <c r="H60" s="124"/>
      <c r="I60" s="124"/>
      <c r="J60" s="125"/>
    </row>
    <row r="61" spans="2:10" s="28" customFormat="1" ht="14.25" customHeight="1" thickBot="1">
      <c r="B61" s="512"/>
      <c r="C61" s="513"/>
      <c r="D61" s="514"/>
      <c r="E61" s="515"/>
      <c r="F61" s="515"/>
      <c r="G61" s="515"/>
      <c r="H61" s="515"/>
      <c r="I61" s="515"/>
      <c r="J61" s="516"/>
    </row>
    <row r="62" spans="2:10" s="28" customFormat="1">
      <c r="B62" s="140" t="s">
        <v>388</v>
      </c>
      <c r="D62" s="60"/>
      <c r="E62" s="60"/>
      <c r="F62" s="60"/>
      <c r="J62" s="149"/>
    </row>
    <row r="63" spans="2:10" s="28" customFormat="1">
      <c r="B63" s="236"/>
      <c r="C63" s="131"/>
      <c r="D63" s="60"/>
      <c r="E63" s="60"/>
      <c r="F63" s="60"/>
      <c r="J63" s="149"/>
    </row>
    <row r="64" spans="2:10" s="28" customFormat="1">
      <c r="B64" s="129"/>
      <c r="D64" s="60"/>
      <c r="E64" s="60"/>
      <c r="F64" s="60"/>
      <c r="J64" s="149"/>
    </row>
    <row r="65" spans="2:11">
      <c r="B65" s="129"/>
      <c r="D65" s="60"/>
      <c r="E65" s="60"/>
      <c r="F65" s="60"/>
      <c r="G65" s="28"/>
      <c r="H65" s="28"/>
      <c r="I65" s="28"/>
      <c r="J65" s="149"/>
      <c r="K65" s="28"/>
    </row>
    <row r="66" spans="2:11">
      <c r="B66" s="129"/>
      <c r="D66" s="60"/>
      <c r="E66" s="60"/>
      <c r="F66" s="60"/>
      <c r="G66" s="28"/>
      <c r="H66" s="28"/>
      <c r="I66" s="28"/>
      <c r="J66" s="149"/>
      <c r="K66" s="28"/>
    </row>
    <row r="67" spans="2:11">
      <c r="B67" s="129"/>
      <c r="D67" s="60"/>
      <c r="E67" s="60"/>
      <c r="F67" s="60"/>
      <c r="G67" s="28"/>
      <c r="H67" s="28"/>
      <c r="I67" s="28"/>
      <c r="J67" s="149"/>
      <c r="K67" s="28"/>
    </row>
    <row r="68" spans="2:11">
      <c r="B68" s="129"/>
      <c r="D68" s="60"/>
      <c r="E68" s="60"/>
      <c r="F68" s="60"/>
      <c r="G68" s="28"/>
      <c r="H68" s="28"/>
      <c r="I68" s="28"/>
      <c r="J68" s="149"/>
      <c r="K68" s="28"/>
    </row>
    <row r="69" spans="2:11">
      <c r="B69" s="129"/>
      <c r="C69" s="191"/>
      <c r="D69" s="60"/>
      <c r="E69" s="60"/>
      <c r="F69" s="60"/>
      <c r="G69" s="28"/>
      <c r="H69" s="191" t="s">
        <v>251</v>
      </c>
      <c r="I69" s="28"/>
      <c r="J69" s="149"/>
      <c r="K69" s="28"/>
    </row>
    <row r="70" spans="2:11" ht="15.5" thickBot="1">
      <c r="B70" s="136"/>
      <c r="C70" s="137"/>
      <c r="D70" s="138"/>
      <c r="E70" s="138"/>
      <c r="F70" s="138"/>
      <c r="G70" s="137"/>
      <c r="H70" s="137"/>
      <c r="I70" s="137"/>
      <c r="J70" s="235"/>
      <c r="K70" s="28"/>
    </row>
    <row r="71" spans="2:11" ht="14.25" customHeight="1">
      <c r="B71" s="511" t="s">
        <v>389</v>
      </c>
      <c r="C71" s="124" t="s">
        <v>390</v>
      </c>
      <c r="D71" s="124"/>
      <c r="E71" s="124"/>
      <c r="F71" s="124"/>
      <c r="G71" s="124"/>
      <c r="H71" s="124"/>
      <c r="I71" s="124"/>
      <c r="J71" s="125"/>
      <c r="K71" s="28"/>
    </row>
    <row r="72" spans="2:11" ht="14.25" customHeight="1" thickBot="1">
      <c r="B72" s="512"/>
      <c r="C72" s="513"/>
      <c r="D72" s="514"/>
      <c r="E72" s="515"/>
      <c r="F72" s="515"/>
      <c r="G72" s="515"/>
      <c r="H72" s="515"/>
      <c r="I72" s="515"/>
      <c r="J72" s="516"/>
      <c r="K72" s="28"/>
    </row>
    <row r="73" spans="2:11">
      <c r="B73" s="129"/>
      <c r="D73" s="60"/>
      <c r="E73" s="60"/>
      <c r="F73" s="60"/>
      <c r="G73" s="60"/>
      <c r="H73" s="60"/>
      <c r="I73" s="60"/>
      <c r="J73" s="51"/>
      <c r="K73" s="60"/>
    </row>
    <row r="74" spans="2:11">
      <c r="B74" s="236"/>
      <c r="C74" s="131"/>
      <c r="D74" s="60"/>
      <c r="E74" s="60"/>
      <c r="F74" s="60"/>
      <c r="G74" s="60"/>
      <c r="H74" s="60"/>
      <c r="I74" s="60"/>
      <c r="J74" s="51"/>
      <c r="K74" s="60"/>
    </row>
    <row r="75" spans="2:11">
      <c r="B75" s="129"/>
      <c r="D75" s="60"/>
      <c r="E75" s="60"/>
      <c r="F75" s="60"/>
      <c r="G75" s="60"/>
      <c r="H75" s="60"/>
      <c r="I75" s="60"/>
      <c r="J75" s="51"/>
      <c r="K75" s="60"/>
    </row>
    <row r="76" spans="2:11">
      <c r="B76" s="129"/>
      <c r="D76" s="60"/>
      <c r="E76" s="60"/>
      <c r="F76" s="60"/>
      <c r="G76" s="60"/>
      <c r="H76" s="60"/>
      <c r="I76" s="60"/>
      <c r="J76" s="51"/>
      <c r="K76" s="60"/>
    </row>
    <row r="77" spans="2:11">
      <c r="B77" s="129"/>
      <c r="D77" s="60"/>
      <c r="E77" s="60"/>
      <c r="F77" s="60"/>
      <c r="G77" s="60"/>
      <c r="H77" s="60"/>
      <c r="I77" s="60"/>
      <c r="J77" s="51"/>
      <c r="K77" s="60"/>
    </row>
    <row r="78" spans="2:11">
      <c r="B78" s="129"/>
      <c r="D78" s="60"/>
      <c r="E78" s="60"/>
      <c r="F78" s="60"/>
      <c r="G78" s="60"/>
      <c r="H78" s="60"/>
      <c r="I78" s="60"/>
      <c r="J78" s="51"/>
      <c r="K78" s="60"/>
    </row>
    <row r="79" spans="2:11">
      <c r="B79" s="129"/>
      <c r="C79" s="191"/>
      <c r="D79" s="60"/>
      <c r="E79" s="60"/>
      <c r="F79" s="60"/>
      <c r="G79" s="60"/>
      <c r="H79" s="191" t="s">
        <v>254</v>
      </c>
      <c r="I79" s="60"/>
      <c r="J79" s="51"/>
      <c r="K79" s="60"/>
    </row>
    <row r="80" spans="2:11">
      <c r="B80" s="136"/>
      <c r="C80" s="137"/>
      <c r="D80" s="138"/>
      <c r="E80" s="138"/>
      <c r="F80" s="138"/>
      <c r="G80" s="138"/>
      <c r="H80" s="138"/>
      <c r="I80" s="138"/>
      <c r="J80" s="139"/>
      <c r="K80" s="60"/>
    </row>
    <row r="81" spans="2:11" ht="15.5" thickBot="1">
      <c r="B81" s="129"/>
      <c r="J81" s="317"/>
    </row>
    <row r="82" spans="2:11" ht="14.25" customHeight="1">
      <c r="B82" s="511" t="s">
        <v>391</v>
      </c>
      <c r="C82" s="124" t="s">
        <v>392</v>
      </c>
      <c r="D82" s="124"/>
      <c r="E82" s="124"/>
      <c r="F82" s="124"/>
      <c r="G82" s="124"/>
      <c r="H82" s="124"/>
      <c r="I82" s="124"/>
      <c r="J82" s="125"/>
      <c r="K82" s="28"/>
    </row>
    <row r="83" spans="2:11" ht="14.25" customHeight="1" thickBot="1">
      <c r="B83" s="512"/>
      <c r="C83" s="513"/>
      <c r="D83" s="514"/>
      <c r="E83" s="515"/>
      <c r="F83" s="515"/>
      <c r="G83" s="515"/>
      <c r="H83" s="515"/>
      <c r="I83" s="515"/>
      <c r="J83" s="516"/>
      <c r="K83" s="28"/>
    </row>
    <row r="84" spans="2:11">
      <c r="B84" s="129"/>
      <c r="D84" s="60"/>
      <c r="E84" s="60"/>
      <c r="F84" s="60"/>
      <c r="G84" s="60"/>
      <c r="H84" s="60"/>
      <c r="I84" s="60"/>
      <c r="J84" s="51"/>
      <c r="K84" s="60"/>
    </row>
    <row r="85" spans="2:11">
      <c r="B85" s="236"/>
      <c r="C85" s="131"/>
      <c r="D85" s="60"/>
      <c r="E85" s="60"/>
      <c r="F85" s="60"/>
      <c r="G85" s="60"/>
      <c r="H85" s="60"/>
      <c r="I85" s="60"/>
      <c r="J85" s="51"/>
      <c r="K85" s="60"/>
    </row>
    <row r="86" spans="2:11">
      <c r="B86" s="129"/>
      <c r="D86" s="60"/>
      <c r="E86" s="60"/>
      <c r="F86" s="60"/>
      <c r="G86" s="60"/>
      <c r="H86" s="60"/>
      <c r="I86" s="60"/>
      <c r="J86" s="51"/>
      <c r="K86" s="60"/>
    </row>
    <row r="87" spans="2:11">
      <c r="B87" s="129"/>
      <c r="D87" s="60"/>
      <c r="E87" s="60"/>
      <c r="F87" s="60"/>
      <c r="G87" s="60"/>
      <c r="H87" s="60"/>
      <c r="I87" s="60"/>
      <c r="J87" s="51"/>
      <c r="K87" s="60"/>
    </row>
    <row r="88" spans="2:11">
      <c r="B88" s="129"/>
      <c r="D88" s="60"/>
      <c r="E88" s="60"/>
      <c r="F88" s="60"/>
      <c r="G88" s="60"/>
      <c r="H88" s="60"/>
      <c r="I88" s="60"/>
      <c r="J88" s="51"/>
      <c r="K88" s="60"/>
    </row>
    <row r="89" spans="2:11">
      <c r="B89" s="129"/>
      <c r="D89" s="60"/>
      <c r="E89" s="60"/>
      <c r="F89" s="60"/>
      <c r="G89" s="60"/>
      <c r="H89" s="60"/>
      <c r="I89" s="60"/>
      <c r="J89" s="51"/>
      <c r="K89" s="60"/>
    </row>
    <row r="90" spans="2:11">
      <c r="B90" s="129"/>
      <c r="C90" s="191"/>
      <c r="D90" s="60"/>
      <c r="E90" s="60"/>
      <c r="F90" s="60"/>
      <c r="G90" s="60"/>
      <c r="H90" s="191" t="s">
        <v>254</v>
      </c>
      <c r="I90" s="60"/>
      <c r="J90" s="51"/>
      <c r="K90" s="60"/>
    </row>
    <row r="91" spans="2:11" ht="15.5" thickBot="1">
      <c r="B91" s="144"/>
      <c r="C91" s="145"/>
      <c r="D91" s="74"/>
      <c r="E91" s="74"/>
      <c r="F91" s="74"/>
      <c r="G91" s="74"/>
      <c r="H91" s="74"/>
      <c r="I91" s="74"/>
      <c r="J91" s="75"/>
      <c r="K91" s="60"/>
    </row>
  </sheetData>
  <mergeCells count="18">
    <mergeCell ref="B71:B72"/>
    <mergeCell ref="C72:D72"/>
    <mergeCell ref="E72:J72"/>
    <mergeCell ref="B82:B83"/>
    <mergeCell ref="C83:D83"/>
    <mergeCell ref="E83:J83"/>
    <mergeCell ref="B49:B50"/>
    <mergeCell ref="C50:D50"/>
    <mergeCell ref="E50:J50"/>
    <mergeCell ref="B60:B61"/>
    <mergeCell ref="C61:D61"/>
    <mergeCell ref="E61:J61"/>
    <mergeCell ref="D30:I30"/>
    <mergeCell ref="B2:J2"/>
    <mergeCell ref="B4:B5"/>
    <mergeCell ref="C5:D5"/>
    <mergeCell ref="E5:J5"/>
    <mergeCell ref="D7:I7"/>
  </mergeCells>
  <phoneticPr fontId="21" type="noConversion"/>
  <hyperlinks>
    <hyperlink ref="A1" location="【TCS】!A1" display="戻る" xr:uid="{D7CE96CD-B2F7-4180-8EF1-55F6C5A57498}"/>
  </hyperlinks>
  <pageMargins left="0.75" right="0.75" top="1" bottom="1" header="0.51200000000000001" footer="0.51200000000000001"/>
  <pageSetup paperSize="9" orientation="portrait" verticalDpi="0" r:id="rId1"/>
  <headerFooter alignWithMargins="0"/>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DA6FF-9F15-4D7A-AC62-67F651EA17FA}">
  <dimension ref="A1:J31"/>
  <sheetViews>
    <sheetView showGridLines="0" workbookViewId="0">
      <pane ySplit="3" topLeftCell="A4" activePane="bottomLeft" state="frozen"/>
      <selection activeCell="H40" sqref="H40"/>
      <selection pane="bottomLeft" activeCell="H40" sqref="H40"/>
    </sheetView>
  </sheetViews>
  <sheetFormatPr defaultRowHeight="15"/>
  <cols>
    <col min="1" max="1" width="3.26953125" style="28" customWidth="1"/>
    <col min="2" max="2" width="4.6328125" style="28" customWidth="1"/>
    <col min="3" max="3" width="3.08984375" style="28" customWidth="1"/>
    <col min="4" max="7" width="9" style="30"/>
    <col min="8" max="8" width="8" style="30" customWidth="1"/>
    <col min="9" max="9" width="7.08984375" style="30" customWidth="1"/>
    <col min="10" max="10" width="27.7265625" style="30" customWidth="1"/>
    <col min="11" max="256" width="9" style="28"/>
    <col min="257" max="257" width="3.26953125" style="28" customWidth="1"/>
    <col min="258" max="258" width="4.6328125" style="28" customWidth="1"/>
    <col min="259" max="259" width="3.08984375" style="28" customWidth="1"/>
    <col min="260" max="263" width="9" style="28"/>
    <col min="264" max="264" width="8" style="28" customWidth="1"/>
    <col min="265" max="265" width="7.08984375" style="28" customWidth="1"/>
    <col min="266" max="266" width="27.7265625" style="28" customWidth="1"/>
    <col min="267" max="512" width="9" style="28"/>
    <col min="513" max="513" width="3.26953125" style="28" customWidth="1"/>
    <col min="514" max="514" width="4.6328125" style="28" customWidth="1"/>
    <col min="515" max="515" width="3.08984375" style="28" customWidth="1"/>
    <col min="516" max="519" width="9" style="28"/>
    <col min="520" max="520" width="8" style="28" customWidth="1"/>
    <col min="521" max="521" width="7.08984375" style="28" customWidth="1"/>
    <col min="522" max="522" width="27.7265625" style="28" customWidth="1"/>
    <col min="523" max="768" width="9" style="28"/>
    <col min="769" max="769" width="3.26953125" style="28" customWidth="1"/>
    <col min="770" max="770" width="4.6328125" style="28" customWidth="1"/>
    <col min="771" max="771" width="3.08984375" style="28" customWidth="1"/>
    <col min="772" max="775" width="9" style="28"/>
    <col min="776" max="776" width="8" style="28" customWidth="1"/>
    <col min="777" max="777" width="7.08984375" style="28" customWidth="1"/>
    <col min="778" max="778" width="27.7265625" style="28" customWidth="1"/>
    <col min="779" max="1024" width="9" style="28"/>
    <col min="1025" max="1025" width="3.26953125" style="28" customWidth="1"/>
    <col min="1026" max="1026" width="4.6328125" style="28" customWidth="1"/>
    <col min="1027" max="1027" width="3.08984375" style="28" customWidth="1"/>
    <col min="1028" max="1031" width="9" style="28"/>
    <col min="1032" max="1032" width="8" style="28" customWidth="1"/>
    <col min="1033" max="1033" width="7.08984375" style="28" customWidth="1"/>
    <col min="1034" max="1034" width="27.7265625" style="28" customWidth="1"/>
    <col min="1035" max="1280" width="9" style="28"/>
    <col min="1281" max="1281" width="3.26953125" style="28" customWidth="1"/>
    <col min="1282" max="1282" width="4.6328125" style="28" customWidth="1"/>
    <col min="1283" max="1283" width="3.08984375" style="28" customWidth="1"/>
    <col min="1284" max="1287" width="9" style="28"/>
    <col min="1288" max="1288" width="8" style="28" customWidth="1"/>
    <col min="1289" max="1289" width="7.08984375" style="28" customWidth="1"/>
    <col min="1290" max="1290" width="27.7265625" style="28" customWidth="1"/>
    <col min="1291" max="1536" width="9" style="28"/>
    <col min="1537" max="1537" width="3.26953125" style="28" customWidth="1"/>
    <col min="1538" max="1538" width="4.6328125" style="28" customWidth="1"/>
    <col min="1539" max="1539" width="3.08984375" style="28" customWidth="1"/>
    <col min="1540" max="1543" width="9" style="28"/>
    <col min="1544" max="1544" width="8" style="28" customWidth="1"/>
    <col min="1545" max="1545" width="7.08984375" style="28" customWidth="1"/>
    <col min="1546" max="1546" width="27.7265625" style="28" customWidth="1"/>
    <col min="1547" max="1792" width="9" style="28"/>
    <col min="1793" max="1793" width="3.26953125" style="28" customWidth="1"/>
    <col min="1794" max="1794" width="4.6328125" style="28" customWidth="1"/>
    <col min="1795" max="1795" width="3.08984375" style="28" customWidth="1"/>
    <col min="1796" max="1799" width="9" style="28"/>
    <col min="1800" max="1800" width="8" style="28" customWidth="1"/>
    <col min="1801" max="1801" width="7.08984375" style="28" customWidth="1"/>
    <col min="1802" max="1802" width="27.7265625" style="28" customWidth="1"/>
    <col min="1803" max="2048" width="9" style="28"/>
    <col min="2049" max="2049" width="3.26953125" style="28" customWidth="1"/>
    <col min="2050" max="2050" width="4.6328125" style="28" customWidth="1"/>
    <col min="2051" max="2051" width="3.08984375" style="28" customWidth="1"/>
    <col min="2052" max="2055" width="9" style="28"/>
    <col min="2056" max="2056" width="8" style="28" customWidth="1"/>
    <col min="2057" max="2057" width="7.08984375" style="28" customWidth="1"/>
    <col min="2058" max="2058" width="27.7265625" style="28" customWidth="1"/>
    <col min="2059" max="2304" width="9" style="28"/>
    <col min="2305" max="2305" width="3.26953125" style="28" customWidth="1"/>
    <col min="2306" max="2306" width="4.6328125" style="28" customWidth="1"/>
    <col min="2307" max="2307" width="3.08984375" style="28" customWidth="1"/>
    <col min="2308" max="2311" width="9" style="28"/>
    <col min="2312" max="2312" width="8" style="28" customWidth="1"/>
    <col min="2313" max="2313" width="7.08984375" style="28" customWidth="1"/>
    <col min="2314" max="2314" width="27.7265625" style="28" customWidth="1"/>
    <col min="2315" max="2560" width="9" style="28"/>
    <col min="2561" max="2561" width="3.26953125" style="28" customWidth="1"/>
    <col min="2562" max="2562" width="4.6328125" style="28" customWidth="1"/>
    <col min="2563" max="2563" width="3.08984375" style="28" customWidth="1"/>
    <col min="2564" max="2567" width="9" style="28"/>
    <col min="2568" max="2568" width="8" style="28" customWidth="1"/>
    <col min="2569" max="2569" width="7.08984375" style="28" customWidth="1"/>
    <col min="2570" max="2570" width="27.7265625" style="28" customWidth="1"/>
    <col min="2571" max="2816" width="9" style="28"/>
    <col min="2817" max="2817" width="3.26953125" style="28" customWidth="1"/>
    <col min="2818" max="2818" width="4.6328125" style="28" customWidth="1"/>
    <col min="2819" max="2819" width="3.08984375" style="28" customWidth="1"/>
    <col min="2820" max="2823" width="9" style="28"/>
    <col min="2824" max="2824" width="8" style="28" customWidth="1"/>
    <col min="2825" max="2825" width="7.08984375" style="28" customWidth="1"/>
    <col min="2826" max="2826" width="27.7265625" style="28" customWidth="1"/>
    <col min="2827" max="3072" width="9" style="28"/>
    <col min="3073" max="3073" width="3.26953125" style="28" customWidth="1"/>
    <col min="3074" max="3074" width="4.6328125" style="28" customWidth="1"/>
    <col min="3075" max="3075" width="3.08984375" style="28" customWidth="1"/>
    <col min="3076" max="3079" width="9" style="28"/>
    <col min="3080" max="3080" width="8" style="28" customWidth="1"/>
    <col min="3081" max="3081" width="7.08984375" style="28" customWidth="1"/>
    <col min="3082" max="3082" width="27.7265625" style="28" customWidth="1"/>
    <col min="3083" max="3328" width="9" style="28"/>
    <col min="3329" max="3329" width="3.26953125" style="28" customWidth="1"/>
    <col min="3330" max="3330" width="4.6328125" style="28" customWidth="1"/>
    <col min="3331" max="3331" width="3.08984375" style="28" customWidth="1"/>
    <col min="3332" max="3335" width="9" style="28"/>
    <col min="3336" max="3336" width="8" style="28" customWidth="1"/>
    <col min="3337" max="3337" width="7.08984375" style="28" customWidth="1"/>
    <col min="3338" max="3338" width="27.7265625" style="28" customWidth="1"/>
    <col min="3339" max="3584" width="9" style="28"/>
    <col min="3585" max="3585" width="3.26953125" style="28" customWidth="1"/>
    <col min="3586" max="3586" width="4.6328125" style="28" customWidth="1"/>
    <col min="3587" max="3587" width="3.08984375" style="28" customWidth="1"/>
    <col min="3588" max="3591" width="9" style="28"/>
    <col min="3592" max="3592" width="8" style="28" customWidth="1"/>
    <col min="3593" max="3593" width="7.08984375" style="28" customWidth="1"/>
    <col min="3594" max="3594" width="27.7265625" style="28" customWidth="1"/>
    <col min="3595" max="3840" width="9" style="28"/>
    <col min="3841" max="3841" width="3.26953125" style="28" customWidth="1"/>
    <col min="3842" max="3842" width="4.6328125" style="28" customWidth="1"/>
    <col min="3843" max="3843" width="3.08984375" style="28" customWidth="1"/>
    <col min="3844" max="3847" width="9" style="28"/>
    <col min="3848" max="3848" width="8" style="28" customWidth="1"/>
    <col min="3849" max="3849" width="7.08984375" style="28" customWidth="1"/>
    <col min="3850" max="3850" width="27.7265625" style="28" customWidth="1"/>
    <col min="3851" max="4096" width="9" style="28"/>
    <col min="4097" max="4097" width="3.26953125" style="28" customWidth="1"/>
    <col min="4098" max="4098" width="4.6328125" style="28" customWidth="1"/>
    <col min="4099" max="4099" width="3.08984375" style="28" customWidth="1"/>
    <col min="4100" max="4103" width="9" style="28"/>
    <col min="4104" max="4104" width="8" style="28" customWidth="1"/>
    <col min="4105" max="4105" width="7.08984375" style="28" customWidth="1"/>
    <col min="4106" max="4106" width="27.7265625" style="28" customWidth="1"/>
    <col min="4107" max="4352" width="9" style="28"/>
    <col min="4353" max="4353" width="3.26953125" style="28" customWidth="1"/>
    <col min="4354" max="4354" width="4.6328125" style="28" customWidth="1"/>
    <col min="4355" max="4355" width="3.08984375" style="28" customWidth="1"/>
    <col min="4356" max="4359" width="9" style="28"/>
    <col min="4360" max="4360" width="8" style="28" customWidth="1"/>
    <col min="4361" max="4361" width="7.08984375" style="28" customWidth="1"/>
    <col min="4362" max="4362" width="27.7265625" style="28" customWidth="1"/>
    <col min="4363" max="4608" width="9" style="28"/>
    <col min="4609" max="4609" width="3.26953125" style="28" customWidth="1"/>
    <col min="4610" max="4610" width="4.6328125" style="28" customWidth="1"/>
    <col min="4611" max="4611" width="3.08984375" style="28" customWidth="1"/>
    <col min="4612" max="4615" width="9" style="28"/>
    <col min="4616" max="4616" width="8" style="28" customWidth="1"/>
    <col min="4617" max="4617" width="7.08984375" style="28" customWidth="1"/>
    <col min="4618" max="4618" width="27.7265625" style="28" customWidth="1"/>
    <col min="4619" max="4864" width="9" style="28"/>
    <col min="4865" max="4865" width="3.26953125" style="28" customWidth="1"/>
    <col min="4866" max="4866" width="4.6328125" style="28" customWidth="1"/>
    <col min="4867" max="4867" width="3.08984375" style="28" customWidth="1"/>
    <col min="4868" max="4871" width="9" style="28"/>
    <col min="4872" max="4872" width="8" style="28" customWidth="1"/>
    <col min="4873" max="4873" width="7.08984375" style="28" customWidth="1"/>
    <col min="4874" max="4874" width="27.7265625" style="28" customWidth="1"/>
    <col min="4875" max="5120" width="9" style="28"/>
    <col min="5121" max="5121" width="3.26953125" style="28" customWidth="1"/>
    <col min="5122" max="5122" width="4.6328125" style="28" customWidth="1"/>
    <col min="5123" max="5123" width="3.08984375" style="28" customWidth="1"/>
    <col min="5124" max="5127" width="9" style="28"/>
    <col min="5128" max="5128" width="8" style="28" customWidth="1"/>
    <col min="5129" max="5129" width="7.08984375" style="28" customWidth="1"/>
    <col min="5130" max="5130" width="27.7265625" style="28" customWidth="1"/>
    <col min="5131" max="5376" width="9" style="28"/>
    <col min="5377" max="5377" width="3.26953125" style="28" customWidth="1"/>
    <col min="5378" max="5378" width="4.6328125" style="28" customWidth="1"/>
    <col min="5379" max="5379" width="3.08984375" style="28" customWidth="1"/>
    <col min="5380" max="5383" width="9" style="28"/>
    <col min="5384" max="5384" width="8" style="28" customWidth="1"/>
    <col min="5385" max="5385" width="7.08984375" style="28" customWidth="1"/>
    <col min="5386" max="5386" width="27.7265625" style="28" customWidth="1"/>
    <col min="5387" max="5632" width="9" style="28"/>
    <col min="5633" max="5633" width="3.26953125" style="28" customWidth="1"/>
    <col min="5634" max="5634" width="4.6328125" style="28" customWidth="1"/>
    <col min="5635" max="5635" width="3.08984375" style="28" customWidth="1"/>
    <col min="5636" max="5639" width="9" style="28"/>
    <col min="5640" max="5640" width="8" style="28" customWidth="1"/>
    <col min="5641" max="5641" width="7.08984375" style="28" customWidth="1"/>
    <col min="5642" max="5642" width="27.7265625" style="28" customWidth="1"/>
    <col min="5643" max="5888" width="9" style="28"/>
    <col min="5889" max="5889" width="3.26953125" style="28" customWidth="1"/>
    <col min="5890" max="5890" width="4.6328125" style="28" customWidth="1"/>
    <col min="5891" max="5891" width="3.08984375" style="28" customWidth="1"/>
    <col min="5892" max="5895" width="9" style="28"/>
    <col min="5896" max="5896" width="8" style="28" customWidth="1"/>
    <col min="5897" max="5897" width="7.08984375" style="28" customWidth="1"/>
    <col min="5898" max="5898" width="27.7265625" style="28" customWidth="1"/>
    <col min="5899" max="6144" width="9" style="28"/>
    <col min="6145" max="6145" width="3.26953125" style="28" customWidth="1"/>
    <col min="6146" max="6146" width="4.6328125" style="28" customWidth="1"/>
    <col min="6147" max="6147" width="3.08984375" style="28" customWidth="1"/>
    <col min="6148" max="6151" width="9" style="28"/>
    <col min="6152" max="6152" width="8" style="28" customWidth="1"/>
    <col min="6153" max="6153" width="7.08984375" style="28" customWidth="1"/>
    <col min="6154" max="6154" width="27.7265625" style="28" customWidth="1"/>
    <col min="6155" max="6400" width="9" style="28"/>
    <col min="6401" max="6401" width="3.26953125" style="28" customWidth="1"/>
    <col min="6402" max="6402" width="4.6328125" style="28" customWidth="1"/>
    <col min="6403" max="6403" width="3.08984375" style="28" customWidth="1"/>
    <col min="6404" max="6407" width="9" style="28"/>
    <col min="6408" max="6408" width="8" style="28" customWidth="1"/>
    <col min="6409" max="6409" width="7.08984375" style="28" customWidth="1"/>
    <col min="6410" max="6410" width="27.7265625" style="28" customWidth="1"/>
    <col min="6411" max="6656" width="9" style="28"/>
    <col min="6657" max="6657" width="3.26953125" style="28" customWidth="1"/>
    <col min="6658" max="6658" width="4.6328125" style="28" customWidth="1"/>
    <col min="6659" max="6659" width="3.08984375" style="28" customWidth="1"/>
    <col min="6660" max="6663" width="9" style="28"/>
    <col min="6664" max="6664" width="8" style="28" customWidth="1"/>
    <col min="6665" max="6665" width="7.08984375" style="28" customWidth="1"/>
    <col min="6666" max="6666" width="27.7265625" style="28" customWidth="1"/>
    <col min="6667" max="6912" width="9" style="28"/>
    <col min="6913" max="6913" width="3.26953125" style="28" customWidth="1"/>
    <col min="6914" max="6914" width="4.6328125" style="28" customWidth="1"/>
    <col min="6915" max="6915" width="3.08984375" style="28" customWidth="1"/>
    <col min="6916" max="6919" width="9" style="28"/>
    <col min="6920" max="6920" width="8" style="28" customWidth="1"/>
    <col min="6921" max="6921" width="7.08984375" style="28" customWidth="1"/>
    <col min="6922" max="6922" width="27.7265625" style="28" customWidth="1"/>
    <col min="6923" max="7168" width="9" style="28"/>
    <col min="7169" max="7169" width="3.26953125" style="28" customWidth="1"/>
    <col min="7170" max="7170" width="4.6328125" style="28" customWidth="1"/>
    <col min="7171" max="7171" width="3.08984375" style="28" customWidth="1"/>
    <col min="7172" max="7175" width="9" style="28"/>
    <col min="7176" max="7176" width="8" style="28" customWidth="1"/>
    <col min="7177" max="7177" width="7.08984375" style="28" customWidth="1"/>
    <col min="7178" max="7178" width="27.7265625" style="28" customWidth="1"/>
    <col min="7179" max="7424" width="9" style="28"/>
    <col min="7425" max="7425" width="3.26953125" style="28" customWidth="1"/>
    <col min="7426" max="7426" width="4.6328125" style="28" customWidth="1"/>
    <col min="7427" max="7427" width="3.08984375" style="28" customWidth="1"/>
    <col min="7428" max="7431" width="9" style="28"/>
    <col min="7432" max="7432" width="8" style="28" customWidth="1"/>
    <col min="7433" max="7433" width="7.08984375" style="28" customWidth="1"/>
    <col min="7434" max="7434" width="27.7265625" style="28" customWidth="1"/>
    <col min="7435" max="7680" width="9" style="28"/>
    <col min="7681" max="7681" width="3.26953125" style="28" customWidth="1"/>
    <col min="7682" max="7682" width="4.6328125" style="28" customWidth="1"/>
    <col min="7683" max="7683" width="3.08984375" style="28" customWidth="1"/>
    <col min="7684" max="7687" width="9" style="28"/>
    <col min="7688" max="7688" width="8" style="28" customWidth="1"/>
    <col min="7689" max="7689" width="7.08984375" style="28" customWidth="1"/>
    <col min="7690" max="7690" width="27.7265625" style="28" customWidth="1"/>
    <col min="7691" max="7936" width="9" style="28"/>
    <col min="7937" max="7937" width="3.26953125" style="28" customWidth="1"/>
    <col min="7938" max="7938" width="4.6328125" style="28" customWidth="1"/>
    <col min="7939" max="7939" width="3.08984375" style="28" customWidth="1"/>
    <col min="7940" max="7943" width="9" style="28"/>
    <col min="7944" max="7944" width="8" style="28" customWidth="1"/>
    <col min="7945" max="7945" width="7.08984375" style="28" customWidth="1"/>
    <col min="7946" max="7946" width="27.7265625" style="28" customWidth="1"/>
    <col min="7947" max="8192" width="9" style="28"/>
    <col min="8193" max="8193" width="3.26953125" style="28" customWidth="1"/>
    <col min="8194" max="8194" width="4.6328125" style="28" customWidth="1"/>
    <col min="8195" max="8195" width="3.08984375" style="28" customWidth="1"/>
    <col min="8196" max="8199" width="9" style="28"/>
    <col min="8200" max="8200" width="8" style="28" customWidth="1"/>
    <col min="8201" max="8201" width="7.08984375" style="28" customWidth="1"/>
    <col min="8202" max="8202" width="27.7265625" style="28" customWidth="1"/>
    <col min="8203" max="8448" width="9" style="28"/>
    <col min="8449" max="8449" width="3.26953125" style="28" customWidth="1"/>
    <col min="8450" max="8450" width="4.6328125" style="28" customWidth="1"/>
    <col min="8451" max="8451" width="3.08984375" style="28" customWidth="1"/>
    <col min="8452" max="8455" width="9" style="28"/>
    <col min="8456" max="8456" width="8" style="28" customWidth="1"/>
    <col min="8457" max="8457" width="7.08984375" style="28" customWidth="1"/>
    <col min="8458" max="8458" width="27.7265625" style="28" customWidth="1"/>
    <col min="8459" max="8704" width="9" style="28"/>
    <col min="8705" max="8705" width="3.26953125" style="28" customWidth="1"/>
    <col min="8706" max="8706" width="4.6328125" style="28" customWidth="1"/>
    <col min="8707" max="8707" width="3.08984375" style="28" customWidth="1"/>
    <col min="8708" max="8711" width="9" style="28"/>
    <col min="8712" max="8712" width="8" style="28" customWidth="1"/>
    <col min="8713" max="8713" width="7.08984375" style="28" customWidth="1"/>
    <col min="8714" max="8714" width="27.7265625" style="28" customWidth="1"/>
    <col min="8715" max="8960" width="9" style="28"/>
    <col min="8961" max="8961" width="3.26953125" style="28" customWidth="1"/>
    <col min="8962" max="8962" width="4.6328125" style="28" customWidth="1"/>
    <col min="8963" max="8963" width="3.08984375" style="28" customWidth="1"/>
    <col min="8964" max="8967" width="9" style="28"/>
    <col min="8968" max="8968" width="8" style="28" customWidth="1"/>
    <col min="8969" max="8969" width="7.08984375" style="28" customWidth="1"/>
    <col min="8970" max="8970" width="27.7265625" style="28" customWidth="1"/>
    <col min="8971" max="9216" width="9" style="28"/>
    <col min="9217" max="9217" width="3.26953125" style="28" customWidth="1"/>
    <col min="9218" max="9218" width="4.6328125" style="28" customWidth="1"/>
    <col min="9219" max="9219" width="3.08984375" style="28" customWidth="1"/>
    <col min="9220" max="9223" width="9" style="28"/>
    <col min="9224" max="9224" width="8" style="28" customWidth="1"/>
    <col min="9225" max="9225" width="7.08984375" style="28" customWidth="1"/>
    <col min="9226" max="9226" width="27.7265625" style="28" customWidth="1"/>
    <col min="9227" max="9472" width="9" style="28"/>
    <col min="9473" max="9473" width="3.26953125" style="28" customWidth="1"/>
    <col min="9474" max="9474" width="4.6328125" style="28" customWidth="1"/>
    <col min="9475" max="9475" width="3.08984375" style="28" customWidth="1"/>
    <col min="9476" max="9479" width="9" style="28"/>
    <col min="9480" max="9480" width="8" style="28" customWidth="1"/>
    <col min="9481" max="9481" width="7.08984375" style="28" customWidth="1"/>
    <col min="9482" max="9482" width="27.7265625" style="28" customWidth="1"/>
    <col min="9483" max="9728" width="9" style="28"/>
    <col min="9729" max="9729" width="3.26953125" style="28" customWidth="1"/>
    <col min="9730" max="9730" width="4.6328125" style="28" customWidth="1"/>
    <col min="9731" max="9731" width="3.08984375" style="28" customWidth="1"/>
    <col min="9732" max="9735" width="9" style="28"/>
    <col min="9736" max="9736" width="8" style="28" customWidth="1"/>
    <col min="9737" max="9737" width="7.08984375" style="28" customWidth="1"/>
    <col min="9738" max="9738" width="27.7265625" style="28" customWidth="1"/>
    <col min="9739" max="9984" width="9" style="28"/>
    <col min="9985" max="9985" width="3.26953125" style="28" customWidth="1"/>
    <col min="9986" max="9986" width="4.6328125" style="28" customWidth="1"/>
    <col min="9987" max="9987" width="3.08984375" style="28" customWidth="1"/>
    <col min="9988" max="9991" width="9" style="28"/>
    <col min="9992" max="9992" width="8" style="28" customWidth="1"/>
    <col min="9993" max="9993" width="7.08984375" style="28" customWidth="1"/>
    <col min="9994" max="9994" width="27.7265625" style="28" customWidth="1"/>
    <col min="9995" max="10240" width="9" style="28"/>
    <col min="10241" max="10241" width="3.26953125" style="28" customWidth="1"/>
    <col min="10242" max="10242" width="4.6328125" style="28" customWidth="1"/>
    <col min="10243" max="10243" width="3.08984375" style="28" customWidth="1"/>
    <col min="10244" max="10247" width="9" style="28"/>
    <col min="10248" max="10248" width="8" style="28" customWidth="1"/>
    <col min="10249" max="10249" width="7.08984375" style="28" customWidth="1"/>
    <col min="10250" max="10250" width="27.7265625" style="28" customWidth="1"/>
    <col min="10251" max="10496" width="9" style="28"/>
    <col min="10497" max="10497" width="3.26953125" style="28" customWidth="1"/>
    <col min="10498" max="10498" width="4.6328125" style="28" customWidth="1"/>
    <col min="10499" max="10499" width="3.08984375" style="28" customWidth="1"/>
    <col min="10500" max="10503" width="9" style="28"/>
    <col min="10504" max="10504" width="8" style="28" customWidth="1"/>
    <col min="10505" max="10505" width="7.08984375" style="28" customWidth="1"/>
    <col min="10506" max="10506" width="27.7265625" style="28" customWidth="1"/>
    <col min="10507" max="10752" width="9" style="28"/>
    <col min="10753" max="10753" width="3.26953125" style="28" customWidth="1"/>
    <col min="10754" max="10754" width="4.6328125" style="28" customWidth="1"/>
    <col min="10755" max="10755" width="3.08984375" style="28" customWidth="1"/>
    <col min="10756" max="10759" width="9" style="28"/>
    <col min="10760" max="10760" width="8" style="28" customWidth="1"/>
    <col min="10761" max="10761" width="7.08984375" style="28" customWidth="1"/>
    <col min="10762" max="10762" width="27.7265625" style="28" customWidth="1"/>
    <col min="10763" max="11008" width="9" style="28"/>
    <col min="11009" max="11009" width="3.26953125" style="28" customWidth="1"/>
    <col min="11010" max="11010" width="4.6328125" style="28" customWidth="1"/>
    <col min="11011" max="11011" width="3.08984375" style="28" customWidth="1"/>
    <col min="11012" max="11015" width="9" style="28"/>
    <col min="11016" max="11016" width="8" style="28" customWidth="1"/>
    <col min="11017" max="11017" width="7.08984375" style="28" customWidth="1"/>
    <col min="11018" max="11018" width="27.7265625" style="28" customWidth="1"/>
    <col min="11019" max="11264" width="9" style="28"/>
    <col min="11265" max="11265" width="3.26953125" style="28" customWidth="1"/>
    <col min="11266" max="11266" width="4.6328125" style="28" customWidth="1"/>
    <col min="11267" max="11267" width="3.08984375" style="28" customWidth="1"/>
    <col min="11268" max="11271" width="9" style="28"/>
    <col min="11272" max="11272" width="8" style="28" customWidth="1"/>
    <col min="11273" max="11273" width="7.08984375" style="28" customWidth="1"/>
    <col min="11274" max="11274" width="27.7265625" style="28" customWidth="1"/>
    <col min="11275" max="11520" width="9" style="28"/>
    <col min="11521" max="11521" width="3.26953125" style="28" customWidth="1"/>
    <col min="11522" max="11522" width="4.6328125" style="28" customWidth="1"/>
    <col min="11523" max="11523" width="3.08984375" style="28" customWidth="1"/>
    <col min="11524" max="11527" width="9" style="28"/>
    <col min="11528" max="11528" width="8" style="28" customWidth="1"/>
    <col min="11529" max="11529" width="7.08984375" style="28" customWidth="1"/>
    <col min="11530" max="11530" width="27.7265625" style="28" customWidth="1"/>
    <col min="11531" max="11776" width="9" style="28"/>
    <col min="11777" max="11777" width="3.26953125" style="28" customWidth="1"/>
    <col min="11778" max="11778" width="4.6328125" style="28" customWidth="1"/>
    <col min="11779" max="11779" width="3.08984375" style="28" customWidth="1"/>
    <col min="11780" max="11783" width="9" style="28"/>
    <col min="11784" max="11784" width="8" style="28" customWidth="1"/>
    <col min="11785" max="11785" width="7.08984375" style="28" customWidth="1"/>
    <col min="11786" max="11786" width="27.7265625" style="28" customWidth="1"/>
    <col min="11787" max="12032" width="9" style="28"/>
    <col min="12033" max="12033" width="3.26953125" style="28" customWidth="1"/>
    <col min="12034" max="12034" width="4.6328125" style="28" customWidth="1"/>
    <col min="12035" max="12035" width="3.08984375" style="28" customWidth="1"/>
    <col min="12036" max="12039" width="9" style="28"/>
    <col min="12040" max="12040" width="8" style="28" customWidth="1"/>
    <col min="12041" max="12041" width="7.08984375" style="28" customWidth="1"/>
    <col min="12042" max="12042" width="27.7265625" style="28" customWidth="1"/>
    <col min="12043" max="12288" width="9" style="28"/>
    <col min="12289" max="12289" width="3.26953125" style="28" customWidth="1"/>
    <col min="12290" max="12290" width="4.6328125" style="28" customWidth="1"/>
    <col min="12291" max="12291" width="3.08984375" style="28" customWidth="1"/>
    <col min="12292" max="12295" width="9" style="28"/>
    <col min="12296" max="12296" width="8" style="28" customWidth="1"/>
    <col min="12297" max="12297" width="7.08984375" style="28" customWidth="1"/>
    <col min="12298" max="12298" width="27.7265625" style="28" customWidth="1"/>
    <col min="12299" max="12544" width="9" style="28"/>
    <col min="12545" max="12545" width="3.26953125" style="28" customWidth="1"/>
    <col min="12546" max="12546" width="4.6328125" style="28" customWidth="1"/>
    <col min="12547" max="12547" width="3.08984375" style="28" customWidth="1"/>
    <col min="12548" max="12551" width="9" style="28"/>
    <col min="12552" max="12552" width="8" style="28" customWidth="1"/>
    <col min="12553" max="12553" width="7.08984375" style="28" customWidth="1"/>
    <col min="12554" max="12554" width="27.7265625" style="28" customWidth="1"/>
    <col min="12555" max="12800" width="9" style="28"/>
    <col min="12801" max="12801" width="3.26953125" style="28" customWidth="1"/>
    <col min="12802" max="12802" width="4.6328125" style="28" customWidth="1"/>
    <col min="12803" max="12803" width="3.08984375" style="28" customWidth="1"/>
    <col min="12804" max="12807" width="9" style="28"/>
    <col min="12808" max="12808" width="8" style="28" customWidth="1"/>
    <col min="12809" max="12809" width="7.08984375" style="28" customWidth="1"/>
    <col min="12810" max="12810" width="27.7265625" style="28" customWidth="1"/>
    <col min="12811" max="13056" width="9" style="28"/>
    <col min="13057" max="13057" width="3.26953125" style="28" customWidth="1"/>
    <col min="13058" max="13058" width="4.6328125" style="28" customWidth="1"/>
    <col min="13059" max="13059" width="3.08984375" style="28" customWidth="1"/>
    <col min="13060" max="13063" width="9" style="28"/>
    <col min="13064" max="13064" width="8" style="28" customWidth="1"/>
    <col min="13065" max="13065" width="7.08984375" style="28" customWidth="1"/>
    <col min="13066" max="13066" width="27.7265625" style="28" customWidth="1"/>
    <col min="13067" max="13312" width="9" style="28"/>
    <col min="13313" max="13313" width="3.26953125" style="28" customWidth="1"/>
    <col min="13314" max="13314" width="4.6328125" style="28" customWidth="1"/>
    <col min="13315" max="13315" width="3.08984375" style="28" customWidth="1"/>
    <col min="13316" max="13319" width="9" style="28"/>
    <col min="13320" max="13320" width="8" style="28" customWidth="1"/>
    <col min="13321" max="13321" width="7.08984375" style="28" customWidth="1"/>
    <col min="13322" max="13322" width="27.7265625" style="28" customWidth="1"/>
    <col min="13323" max="13568" width="9" style="28"/>
    <col min="13569" max="13569" width="3.26953125" style="28" customWidth="1"/>
    <col min="13570" max="13570" width="4.6328125" style="28" customWidth="1"/>
    <col min="13571" max="13571" width="3.08984375" style="28" customWidth="1"/>
    <col min="13572" max="13575" width="9" style="28"/>
    <col min="13576" max="13576" width="8" style="28" customWidth="1"/>
    <col min="13577" max="13577" width="7.08984375" style="28" customWidth="1"/>
    <col min="13578" max="13578" width="27.7265625" style="28" customWidth="1"/>
    <col min="13579" max="13824" width="9" style="28"/>
    <col min="13825" max="13825" width="3.26953125" style="28" customWidth="1"/>
    <col min="13826" max="13826" width="4.6328125" style="28" customWidth="1"/>
    <col min="13827" max="13827" width="3.08984375" style="28" customWidth="1"/>
    <col min="13828" max="13831" width="9" style="28"/>
    <col min="13832" max="13832" width="8" style="28" customWidth="1"/>
    <col min="13833" max="13833" width="7.08984375" style="28" customWidth="1"/>
    <col min="13834" max="13834" width="27.7265625" style="28" customWidth="1"/>
    <col min="13835" max="14080" width="9" style="28"/>
    <col min="14081" max="14081" width="3.26953125" style="28" customWidth="1"/>
    <col min="14082" max="14082" width="4.6328125" style="28" customWidth="1"/>
    <col min="14083" max="14083" width="3.08984375" style="28" customWidth="1"/>
    <col min="14084" max="14087" width="9" style="28"/>
    <col min="14088" max="14088" width="8" style="28" customWidth="1"/>
    <col min="14089" max="14089" width="7.08984375" style="28" customWidth="1"/>
    <col min="14090" max="14090" width="27.7265625" style="28" customWidth="1"/>
    <col min="14091" max="14336" width="9" style="28"/>
    <col min="14337" max="14337" width="3.26953125" style="28" customWidth="1"/>
    <col min="14338" max="14338" width="4.6328125" style="28" customWidth="1"/>
    <col min="14339" max="14339" width="3.08984375" style="28" customWidth="1"/>
    <col min="14340" max="14343" width="9" style="28"/>
    <col min="14344" max="14344" width="8" style="28" customWidth="1"/>
    <col min="14345" max="14345" width="7.08984375" style="28" customWidth="1"/>
    <col min="14346" max="14346" width="27.7265625" style="28" customWidth="1"/>
    <col min="14347" max="14592" width="9" style="28"/>
    <col min="14593" max="14593" width="3.26953125" style="28" customWidth="1"/>
    <col min="14594" max="14594" width="4.6328125" style="28" customWidth="1"/>
    <col min="14595" max="14595" width="3.08984375" style="28" customWidth="1"/>
    <col min="14596" max="14599" width="9" style="28"/>
    <col min="14600" max="14600" width="8" style="28" customWidth="1"/>
    <col min="14601" max="14601" width="7.08984375" style="28" customWidth="1"/>
    <col min="14602" max="14602" width="27.7265625" style="28" customWidth="1"/>
    <col min="14603" max="14848" width="9" style="28"/>
    <col min="14849" max="14849" width="3.26953125" style="28" customWidth="1"/>
    <col min="14850" max="14850" width="4.6328125" style="28" customWidth="1"/>
    <col min="14851" max="14851" width="3.08984375" style="28" customWidth="1"/>
    <col min="14852" max="14855" width="9" style="28"/>
    <col min="14856" max="14856" width="8" style="28" customWidth="1"/>
    <col min="14857" max="14857" width="7.08984375" style="28" customWidth="1"/>
    <col min="14858" max="14858" width="27.7265625" style="28" customWidth="1"/>
    <col min="14859" max="15104" width="9" style="28"/>
    <col min="15105" max="15105" width="3.26953125" style="28" customWidth="1"/>
    <col min="15106" max="15106" width="4.6328125" style="28" customWidth="1"/>
    <col min="15107" max="15107" width="3.08984375" style="28" customWidth="1"/>
    <col min="15108" max="15111" width="9" style="28"/>
    <col min="15112" max="15112" width="8" style="28" customWidth="1"/>
    <col min="15113" max="15113" width="7.08984375" style="28" customWidth="1"/>
    <col min="15114" max="15114" width="27.7265625" style="28" customWidth="1"/>
    <col min="15115" max="15360" width="9" style="28"/>
    <col min="15361" max="15361" width="3.26953125" style="28" customWidth="1"/>
    <col min="15362" max="15362" width="4.6328125" style="28" customWidth="1"/>
    <col min="15363" max="15363" width="3.08984375" style="28" customWidth="1"/>
    <col min="15364" max="15367" width="9" style="28"/>
    <col min="15368" max="15368" width="8" style="28" customWidth="1"/>
    <col min="15369" max="15369" width="7.08984375" style="28" customWidth="1"/>
    <col min="15370" max="15370" width="27.7265625" style="28" customWidth="1"/>
    <col min="15371" max="15616" width="9" style="28"/>
    <col min="15617" max="15617" width="3.26953125" style="28" customWidth="1"/>
    <col min="15618" max="15618" width="4.6328125" style="28" customWidth="1"/>
    <col min="15619" max="15619" width="3.08984375" style="28" customWidth="1"/>
    <col min="15620" max="15623" width="9" style="28"/>
    <col min="15624" max="15624" width="8" style="28" customWidth="1"/>
    <col min="15625" max="15625" width="7.08984375" style="28" customWidth="1"/>
    <col min="15626" max="15626" width="27.7265625" style="28" customWidth="1"/>
    <col min="15627" max="15872" width="9" style="28"/>
    <col min="15873" max="15873" width="3.26953125" style="28" customWidth="1"/>
    <col min="15874" max="15874" width="4.6328125" style="28" customWidth="1"/>
    <col min="15875" max="15875" width="3.08984375" style="28" customWidth="1"/>
    <col min="15876" max="15879" width="9" style="28"/>
    <col min="15880" max="15880" width="8" style="28" customWidth="1"/>
    <col min="15881" max="15881" width="7.08984375" style="28" customWidth="1"/>
    <col min="15882" max="15882" width="27.7265625" style="28" customWidth="1"/>
    <col min="15883" max="16128" width="9" style="28"/>
    <col min="16129" max="16129" width="3.26953125" style="28" customWidth="1"/>
    <col min="16130" max="16130" width="4.6328125" style="28" customWidth="1"/>
    <col min="16131" max="16131" width="3.08984375" style="28" customWidth="1"/>
    <col min="16132" max="16135" width="9" style="28"/>
    <col min="16136" max="16136" width="8" style="28" customWidth="1"/>
    <col min="16137" max="16137" width="7.08984375" style="28" customWidth="1"/>
    <col min="16138" max="16138" width="27.7265625" style="28" customWidth="1"/>
    <col min="16139" max="16384" width="9" style="28"/>
  </cols>
  <sheetData>
    <row r="1" spans="1:10">
      <c r="A1" s="29" t="s">
        <v>118</v>
      </c>
    </row>
    <row r="2" spans="1:10" s="77" customFormat="1" ht="24" customHeight="1" thickBot="1">
      <c r="A2" s="123"/>
      <c r="B2" s="510" t="s">
        <v>393</v>
      </c>
      <c r="C2" s="510"/>
      <c r="D2" s="510"/>
      <c r="E2" s="510"/>
      <c r="F2" s="510"/>
      <c r="G2" s="510"/>
      <c r="H2" s="510"/>
      <c r="I2" s="510"/>
      <c r="J2" s="510"/>
    </row>
    <row r="3" spans="1:10" ht="14.25" customHeight="1" thickTop="1" thickBot="1">
      <c r="B3" s="34" t="s">
        <v>120</v>
      </c>
      <c r="C3" s="34" t="s">
        <v>121</v>
      </c>
      <c r="D3" s="34"/>
      <c r="E3" s="35"/>
    </row>
    <row r="4" spans="1:10" ht="14.25" customHeight="1">
      <c r="B4" s="511" t="s">
        <v>394</v>
      </c>
      <c r="C4" s="124" t="s">
        <v>395</v>
      </c>
      <c r="D4" s="124"/>
      <c r="E4" s="124"/>
      <c r="F4" s="124"/>
      <c r="G4" s="124"/>
      <c r="H4" s="124"/>
      <c r="I4" s="124"/>
      <c r="J4" s="125"/>
    </row>
    <row r="5" spans="1:10" ht="14.25" customHeight="1" thickBot="1">
      <c r="B5" s="512"/>
      <c r="C5" s="513"/>
      <c r="D5" s="514"/>
      <c r="E5" s="515"/>
      <c r="F5" s="515"/>
      <c r="G5" s="515"/>
      <c r="H5" s="515"/>
      <c r="I5" s="515"/>
      <c r="J5" s="516"/>
    </row>
    <row r="6" spans="1:10">
      <c r="B6" s="129"/>
      <c r="D6" s="60"/>
      <c r="E6" s="60"/>
      <c r="F6" s="60"/>
      <c r="G6" s="60"/>
      <c r="H6" s="60"/>
      <c r="I6" s="60"/>
      <c r="J6" s="51"/>
    </row>
    <row r="7" spans="1:10">
      <c r="B7" s="130"/>
      <c r="C7" s="131"/>
      <c r="D7" s="260"/>
      <c r="E7" s="60"/>
      <c r="F7" s="60"/>
      <c r="G7" s="60"/>
      <c r="H7" s="60"/>
      <c r="I7" s="60"/>
      <c r="J7" s="51"/>
    </row>
    <row r="8" spans="1:10">
      <c r="B8" s="129"/>
      <c r="D8" s="60"/>
      <c r="E8" s="60"/>
      <c r="F8" s="60"/>
      <c r="G8" s="60"/>
      <c r="H8" s="60"/>
      <c r="I8" s="60"/>
      <c r="J8" s="51"/>
    </row>
    <row r="9" spans="1:10">
      <c r="B9" s="129"/>
      <c r="D9" s="60"/>
      <c r="E9" s="60"/>
      <c r="F9" s="60"/>
      <c r="G9" s="60"/>
      <c r="H9" s="60"/>
      <c r="I9" s="60"/>
      <c r="J9" s="51"/>
    </row>
    <row r="10" spans="1:10">
      <c r="B10" s="129"/>
      <c r="D10" s="60"/>
      <c r="E10" s="60"/>
      <c r="F10" s="60"/>
      <c r="G10" s="60"/>
      <c r="H10" s="60"/>
      <c r="I10" s="60"/>
      <c r="J10" s="51"/>
    </row>
    <row r="11" spans="1:10">
      <c r="B11" s="129"/>
      <c r="D11" s="60"/>
      <c r="E11" s="60"/>
      <c r="F11" s="60"/>
      <c r="G11" s="60"/>
      <c r="H11" s="60"/>
      <c r="I11" s="60"/>
      <c r="J11" s="51"/>
    </row>
    <row r="12" spans="1:10">
      <c r="B12" s="129"/>
      <c r="C12" s="191"/>
      <c r="D12" s="60"/>
      <c r="E12" s="60"/>
      <c r="F12" s="60"/>
      <c r="G12" s="60"/>
      <c r="H12" s="60"/>
      <c r="I12" s="191" t="s">
        <v>254</v>
      </c>
      <c r="J12" s="51"/>
    </row>
    <row r="13" spans="1:10" ht="15.5" thickBot="1">
      <c r="B13" s="136"/>
      <c r="C13" s="137"/>
      <c r="D13" s="138"/>
      <c r="E13" s="138"/>
      <c r="F13" s="138"/>
      <c r="G13" s="138"/>
      <c r="H13" s="138"/>
      <c r="I13" s="138"/>
      <c r="J13" s="139"/>
    </row>
    <row r="14" spans="1:10" ht="14.25" customHeight="1">
      <c r="B14" s="511" t="s">
        <v>396</v>
      </c>
      <c r="C14" s="124" t="s">
        <v>397</v>
      </c>
      <c r="D14" s="124"/>
      <c r="E14" s="124"/>
      <c r="F14" s="124"/>
      <c r="G14" s="124"/>
      <c r="H14" s="124"/>
      <c r="I14" s="124"/>
      <c r="J14" s="125"/>
    </row>
    <row r="15" spans="1:10" ht="14.25" customHeight="1" thickBot="1">
      <c r="B15" s="512"/>
      <c r="C15" s="513"/>
      <c r="D15" s="514"/>
      <c r="E15" s="515"/>
      <c r="F15" s="515"/>
      <c r="G15" s="515"/>
      <c r="H15" s="515"/>
      <c r="I15" s="515"/>
      <c r="J15" s="516"/>
    </row>
    <row r="16" spans="1:10">
      <c r="B16" s="129"/>
      <c r="D16" s="60"/>
      <c r="E16" s="60"/>
      <c r="F16" s="60"/>
      <c r="G16" s="60"/>
      <c r="H16" s="60"/>
      <c r="I16" s="60"/>
      <c r="J16" s="51"/>
    </row>
    <row r="17" spans="2:10">
      <c r="B17" s="130"/>
      <c r="C17" s="131"/>
      <c r="D17" s="60"/>
      <c r="E17" s="60"/>
      <c r="F17" s="60"/>
      <c r="G17" s="60"/>
      <c r="H17" s="60"/>
      <c r="I17" s="60"/>
      <c r="J17" s="51"/>
    </row>
    <row r="18" spans="2:10">
      <c r="B18" s="130"/>
      <c r="C18" s="131"/>
      <c r="D18" s="60"/>
      <c r="E18" s="60"/>
      <c r="F18" s="60"/>
      <c r="G18" s="60"/>
      <c r="H18" s="60"/>
      <c r="I18" s="60"/>
      <c r="J18" s="51"/>
    </row>
    <row r="19" spans="2:10">
      <c r="B19" s="130"/>
      <c r="C19" s="131"/>
      <c r="D19" s="60"/>
      <c r="E19" s="60"/>
      <c r="F19" s="60"/>
      <c r="G19" s="60"/>
      <c r="H19" s="60"/>
      <c r="I19" s="60"/>
      <c r="J19" s="51"/>
    </row>
    <row r="20" spans="2:10">
      <c r="B20" s="130"/>
      <c r="C20" s="131"/>
      <c r="D20" s="60"/>
      <c r="E20" s="60"/>
      <c r="F20" s="60"/>
      <c r="G20" s="60"/>
      <c r="H20" s="60"/>
      <c r="I20" s="60"/>
      <c r="J20" s="51"/>
    </row>
    <row r="21" spans="2:10">
      <c r="B21" s="130"/>
      <c r="C21" s="131"/>
      <c r="D21" s="60"/>
      <c r="E21" s="60"/>
      <c r="F21" s="60"/>
      <c r="G21" s="60"/>
      <c r="H21" s="60"/>
      <c r="I21" s="60"/>
      <c r="J21" s="51"/>
    </row>
    <row r="22" spans="2:10">
      <c r="B22" s="129"/>
      <c r="C22" s="191"/>
      <c r="D22" s="60"/>
      <c r="E22" s="60"/>
      <c r="F22" s="60"/>
      <c r="G22" s="60"/>
      <c r="H22" s="60"/>
      <c r="I22" s="191" t="s">
        <v>254</v>
      </c>
      <c r="J22" s="51"/>
    </row>
    <row r="23" spans="2:10" ht="15.5" thickBot="1">
      <c r="B23" s="136"/>
      <c r="C23" s="137"/>
      <c r="D23" s="138"/>
      <c r="E23" s="138"/>
      <c r="F23" s="138"/>
      <c r="G23" s="138"/>
      <c r="H23" s="138"/>
      <c r="I23" s="138"/>
      <c r="J23" s="139"/>
    </row>
    <row r="24" spans="2:10" ht="14.25" customHeight="1">
      <c r="B24" s="511" t="s">
        <v>398</v>
      </c>
      <c r="C24" s="124" t="s">
        <v>399</v>
      </c>
      <c r="D24" s="124"/>
      <c r="E24" s="124"/>
      <c r="F24" s="124"/>
      <c r="G24" s="124"/>
      <c r="H24" s="124"/>
      <c r="I24" s="124"/>
      <c r="J24" s="125"/>
    </row>
    <row r="25" spans="2:10" ht="14.25" customHeight="1" thickBot="1">
      <c r="B25" s="512"/>
      <c r="C25" s="513"/>
      <c r="D25" s="514"/>
      <c r="E25" s="515"/>
      <c r="F25" s="515"/>
      <c r="G25" s="515"/>
      <c r="H25" s="515"/>
      <c r="I25" s="515"/>
      <c r="J25" s="516"/>
    </row>
    <row r="26" spans="2:10">
      <c r="B26" s="129"/>
      <c r="D26" s="60"/>
      <c r="E26" s="60"/>
      <c r="F26" s="60"/>
      <c r="G26" s="60"/>
      <c r="H26" s="60"/>
      <c r="I26" s="60"/>
      <c r="J26" s="51"/>
    </row>
    <row r="27" spans="2:10">
      <c r="B27" s="130"/>
      <c r="C27" s="131"/>
      <c r="D27" s="60"/>
      <c r="E27" s="60"/>
      <c r="F27" s="60"/>
      <c r="G27" s="60"/>
      <c r="H27" s="60"/>
      <c r="I27" s="60"/>
      <c r="J27" s="51"/>
    </row>
    <row r="28" spans="2:10">
      <c r="B28" s="130"/>
      <c r="C28" s="131"/>
      <c r="D28" s="60"/>
      <c r="E28" s="60"/>
      <c r="F28" s="60"/>
      <c r="G28" s="60"/>
      <c r="H28" s="60"/>
      <c r="I28" s="60"/>
      <c r="J28" s="51"/>
    </row>
    <row r="29" spans="2:10">
      <c r="B29" s="130"/>
      <c r="C29" s="131"/>
      <c r="D29" s="60"/>
      <c r="E29" s="60"/>
      <c r="F29" s="60"/>
      <c r="G29" s="60"/>
      <c r="H29" s="60"/>
      <c r="I29" s="60"/>
      <c r="J29" s="51"/>
    </row>
    <row r="30" spans="2:10">
      <c r="B30" s="130"/>
      <c r="C30" s="131"/>
      <c r="D30" s="60"/>
      <c r="E30" s="60"/>
      <c r="F30" s="191" t="s">
        <v>400</v>
      </c>
      <c r="G30" s="60"/>
      <c r="H30" s="60"/>
      <c r="I30" s="60"/>
      <c r="J30" s="51"/>
    </row>
    <row r="31" spans="2:10" ht="15.5" thickBot="1">
      <c r="B31" s="144"/>
      <c r="C31" s="145"/>
      <c r="D31" s="74"/>
      <c r="E31" s="74"/>
      <c r="F31" s="74"/>
      <c r="G31" s="74"/>
      <c r="H31" s="74"/>
      <c r="I31" s="74"/>
      <c r="J31" s="75"/>
    </row>
  </sheetData>
  <mergeCells count="10">
    <mergeCell ref="B24:B25"/>
    <mergeCell ref="C25:D25"/>
    <mergeCell ref="E25:J25"/>
    <mergeCell ref="B2:J2"/>
    <mergeCell ref="B4:B5"/>
    <mergeCell ref="C5:D5"/>
    <mergeCell ref="E5:J5"/>
    <mergeCell ref="B14:B15"/>
    <mergeCell ref="C15:D15"/>
    <mergeCell ref="E15:J15"/>
  </mergeCells>
  <phoneticPr fontId="21" type="noConversion"/>
  <hyperlinks>
    <hyperlink ref="A1" location="【TCS】!A1" display="戻る" xr:uid="{D1F4152B-FE4C-451A-A69A-82B9E791D45E}"/>
  </hyperlinks>
  <pageMargins left="0.75" right="0.75" top="1" bottom="1" header="0.51200000000000001" footer="0.51200000000000001"/>
  <pageSetup paperSize="9" orientation="portrait" verticalDpi="0"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LongProperties xmlns="http://schemas.microsoft.com/office/2006/metadata/longProperties"/>
</file>

<file path=customXml/item2.xml><?xml version="1.0" encoding="utf-8"?>
<p:properties xmlns:p="http://schemas.microsoft.com/office/2006/metadata/properties" xmlns:xsi="http://www.w3.org/2001/XMLSchema-instance" xmlns:pc="http://schemas.microsoft.com/office/infopath/2007/PartnerControls">
  <documentManagement>
    <TaxCatchAll xmlns="e47b21de-6aa2-4397-bc9c-dfadd9f0c5dc" xsi:nil="true"/>
    <_x72b6__x614b__x7ba1__x7406_ xmlns="4d5f495e-8872-4613-b41e-44adb53a887e" xsi:nil="true"/>
    <_x7d0d__x671f_ xmlns="4d5f495e-8872-4613-b41e-44adb53a887e" xsi:nil="true"/>
    <lcf76f155ced4ddcb4097134ff3c332f xmlns="4d5f495e-8872-4613-b41e-44adb53a887e">
      <Terms xmlns="http://schemas.microsoft.com/office/infopath/2007/PartnerControls"/>
    </lcf76f155ced4ddcb4097134ff3c332f>
    <_Flow_SignoffStatus xmlns="4d5f495e-8872-4613-b41e-44adb53a887e"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ドキュメント" ma:contentTypeID="0x010100CE4925CEB4767D4088405B3A37F02A88" ma:contentTypeVersion="17" ma:contentTypeDescription="新しいドキュメントを作成します。" ma:contentTypeScope="" ma:versionID="074d3528a928c679d67d1ad12dfa4912">
  <xsd:schema xmlns:xsd="http://www.w3.org/2001/XMLSchema" xmlns:xs="http://www.w3.org/2001/XMLSchema" xmlns:p="http://schemas.microsoft.com/office/2006/metadata/properties" xmlns:ns2="4d5f495e-8872-4613-b41e-44adb53a887e" xmlns:ns3="e47b21de-6aa2-4397-bc9c-dfadd9f0c5dc" targetNamespace="http://schemas.microsoft.com/office/2006/metadata/properties" ma:root="true" ma:fieldsID="1deb7a9c2e5ecc746ac0194f551b1971" ns2:_="" ns3:_="">
    <xsd:import namespace="4d5f495e-8872-4613-b41e-44adb53a887e"/>
    <xsd:import namespace="e47b21de-6aa2-4397-bc9c-dfadd9f0c5dc"/>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DateTaken" minOccurs="0"/>
                <xsd:element ref="ns2:MediaLengthInSeconds" minOccurs="0"/>
                <xsd:element ref="ns2:MediaServiceSearchProperties" minOccurs="0"/>
                <xsd:element ref="ns2:_x72b6__x614b__x7ba1__x7406_" minOccurs="0"/>
                <xsd:element ref="ns2:_Flow_SignoffStatus" minOccurs="0"/>
                <xsd:element ref="ns2:_x7d0d__x671f_"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5f495e-8872-4613-b41e-44adb53a887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5d8d8cb3-13e6-4a9b-b8ca-c05e8e4559a2"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_x72b6__x614b__x7ba1__x7406_" ma:index="22" nillable="true" ma:displayName="状態管理" ma:description="作成状況の見える化" ma:format="Dropdown" ma:internalName="_x72b6__x614b__x7ba1__x7406_">
      <xsd:simpleType>
        <xsd:restriction base="dms:Choice">
          <xsd:enumeration value="編集中"/>
          <xsd:enumeration value="レイアウト待ち"/>
          <xsd:enumeration value="レイアウト完成"/>
          <xsd:enumeration value="生管レビュー中"/>
          <xsd:enumeration value="レイアウト承認済"/>
          <xsd:enumeration value="仕様書完成"/>
          <xsd:enumeration value="仕様書承認済"/>
        </xsd:restriction>
      </xsd:simpleType>
    </xsd:element>
    <xsd:element name="_Flow_SignoffStatus" ma:index="23" nillable="true" ma:displayName="承認の状態" ma:internalName="_x0024_Resources_x003a_core_x002c_Signoff_Status">
      <xsd:simpleType>
        <xsd:restriction base="dms:Text"/>
      </xsd:simpleType>
    </xsd:element>
    <xsd:element name="_x7d0d__x671f_" ma:index="24" nillable="true" ma:displayName="納期" ma:format="DateOnly" ma:internalName="_x7d0d__x671f_">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e47b21de-6aa2-4397-bc9c-dfadd9f0c5dc"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47c6d6af-6b20-4698-97a9-af3e7ec4475a}" ma:internalName="TaxCatchAll" ma:showField="CatchAllData" ma:web="e47b21de-6aa2-4397-bc9c-dfadd9f0c5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F2B1990-BD69-40EB-A43C-6C4C780A6DE4}">
  <ds:schemaRefs>
    <ds:schemaRef ds:uri="http://schemas.microsoft.com/office/2006/metadata/longProperties"/>
  </ds:schemaRefs>
</ds:datastoreItem>
</file>

<file path=customXml/itemProps2.xml><?xml version="1.0" encoding="utf-8"?>
<ds:datastoreItem xmlns:ds="http://schemas.openxmlformats.org/officeDocument/2006/customXml" ds:itemID="{B2FADD67-DD7C-4D45-8940-C6EB8B5BA1F7}">
  <ds:schemaRefs>
    <ds:schemaRef ds:uri="http://schemas.openxmlformats.org/package/2006/metadata/core-properties"/>
    <ds:schemaRef ds:uri="http://purl.org/dc/elements/1.1/"/>
    <ds:schemaRef ds:uri="http://schemas.microsoft.com/office/2006/metadata/properties"/>
    <ds:schemaRef ds:uri="http://schemas.microsoft.com/office/infopath/2007/PartnerControls"/>
    <ds:schemaRef ds:uri="4d5f495e-8872-4613-b41e-44adb53a887e"/>
    <ds:schemaRef ds:uri="http://purl.org/dc/terms/"/>
    <ds:schemaRef ds:uri="http://schemas.microsoft.com/office/2006/documentManagement/types"/>
    <ds:schemaRef ds:uri="e47b21de-6aa2-4397-bc9c-dfadd9f0c5dc"/>
    <ds:schemaRef ds:uri="http://www.w3.org/XML/1998/namespace"/>
    <ds:schemaRef ds:uri="http://purl.org/dc/dcmitype/"/>
  </ds:schemaRefs>
</ds:datastoreItem>
</file>

<file path=customXml/itemProps3.xml><?xml version="1.0" encoding="utf-8"?>
<ds:datastoreItem xmlns:ds="http://schemas.openxmlformats.org/officeDocument/2006/customXml" ds:itemID="{84B6BF48-E3F6-4B13-9192-4EFFE42803ED}">
  <ds:schemaRefs>
    <ds:schemaRef ds:uri="http://schemas.microsoft.com/sharepoint/v3/contenttype/forms"/>
  </ds:schemaRefs>
</ds:datastoreItem>
</file>

<file path=customXml/itemProps4.xml><?xml version="1.0" encoding="utf-8"?>
<ds:datastoreItem xmlns:ds="http://schemas.openxmlformats.org/officeDocument/2006/customXml" ds:itemID="{A7EEBDC7-076F-4ACD-8DBF-C49B4CC77BA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5f495e-8872-4613-b41e-44adb53a887e"/>
    <ds:schemaRef ds:uri="e47b21de-6aa2-4397-bc9c-dfadd9f0c5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Cover</vt:lpstr>
      <vt:lpstr>更新履歴</vt:lpstr>
      <vt:lpstr>TCS</vt:lpstr>
      <vt:lpstr>テストデータ</vt:lpstr>
      <vt:lpstr>引数チェック</vt:lpstr>
      <vt:lpstr>主処理</vt:lpstr>
      <vt:lpstr>⇒参考資料用雛形</vt:lpstr>
      <vt:lpstr>確認資料1</vt:lpstr>
      <vt:lpstr>検索</vt:lpstr>
      <vt:lpstr>更新</vt:lpstr>
      <vt:lpstr>処理ﾊﾟﾀｰﾝ</vt:lpstr>
      <vt:lpstr>追加</vt:lpstr>
      <vt:lpstr>削除</vt:lpstr>
      <vt:lpstr>その他</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Suzuki Yusuke</dc:creator>
  <cp:lastModifiedBy>Sun Sheng</cp:lastModifiedBy>
  <cp:lastPrinted>2012-11-07T00:24:04Z</cp:lastPrinted>
  <dcterms:created xsi:type="dcterms:W3CDTF">2006-06-14T00:06:44Z</dcterms:created>
  <dcterms:modified xsi:type="dcterms:W3CDTF">2025-10-31T04:57:19Z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0x010100CE4925CEB4767D4088405B3A37F02A88</vt:lpwstr>
  </property>
  <property fmtid="{D5CDD505-2E9C-101B-9397-08002B2CF9AE}" pid="3" name="MediaServiceImageTags">
    <vt:lpwstr/>
  </property>
</Properties>
</file>