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temp1\A_WorkFile\IC详细设计\IC_详细设计_SP_TCS\"/>
    </mc:Choice>
  </mc:AlternateContent>
  <xr:revisionPtr revIDLastSave="0" documentId="13_ncr:1_{ED05EB30-13FA-4B30-A421-E0EBD9D6DD84}" xr6:coauthVersionLast="47" xr6:coauthVersionMax="47" xr10:uidLastSave="{00000000-0000-0000-0000-000000000000}"/>
  <bookViews>
    <workbookView xWindow="-38520" yWindow="-2460" windowWidth="38640" windowHeight="21120" tabRatio="815" xr2:uid="{00000000-000D-0000-FFFF-FFFF00000000}"/>
  </bookViews>
  <sheets>
    <sheet name="Cover" sheetId="115" r:id="rId1"/>
    <sheet name="更新履歴" sheetId="116" r:id="rId2"/>
    <sheet name="TCS" sheetId="11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2" hidden="1">#REF!</definedName>
    <definedName name="_xlnm._FilterDatabase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2" hidden="1">#REF!</definedName>
    <definedName name="_Regression_X" hidden="1">#REF!</definedName>
    <definedName name="_Sort" localSheetId="2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>[1]!BS入力</definedName>
    <definedName name="EditBack" localSheetId="2">#REF!</definedName>
    <definedName name="EditBack">#REF!</definedName>
    <definedName name="EditBar" localSheetId="2">#REF!</definedName>
    <definedName name="EditBar">#REF!</definedName>
    <definedName name="EditCommon" localSheetId="2">#REF!</definedName>
    <definedName name="EditCommon">#REF!</definedName>
    <definedName name="EditConf" localSheetId="2">#REF!</definedName>
    <definedName name="EditConf">#REF!</definedName>
    <definedName name="EditConfirm" localSheetId="2">#REF!</definedName>
    <definedName name="EditConfirm">#REF!</definedName>
    <definedName name="EditCopyUpdate" localSheetId="2">#REF!</definedName>
    <definedName name="EditCopyUpdate">#REF!</definedName>
    <definedName name="EditDelete" localSheetId="2">#REF!</definedName>
    <definedName name="EditDelete">#REF!</definedName>
    <definedName name="EditDeleteS" localSheetId="2">#REF!</definedName>
    <definedName name="EditDeleteS">#REF!</definedName>
    <definedName name="EditDeleteUpdate" localSheetId="2">#REF!</definedName>
    <definedName name="EditDeleteUpdate">#REF!</definedName>
    <definedName name="EditDetail" localSheetId="2">#REF!</definedName>
    <definedName name="EditDetail">#REF!</definedName>
    <definedName name="EditDetailTran" localSheetId="2">#REF!</definedName>
    <definedName name="EditDetailTran">#REF!</definedName>
    <definedName name="EditDetailTransaction" localSheetId="2">#REF!</definedName>
    <definedName name="EditDetailTransaction">#REF!</definedName>
    <definedName name="EditDownload" localSheetId="2">#REF!</definedName>
    <definedName name="EditDownload">#REF!</definedName>
    <definedName name="EditEdit" localSheetId="2">#REF!</definedName>
    <definedName name="EditEdit">#REF!</definedName>
    <definedName name="EditEditTran" localSheetId="2">#REF!</definedName>
    <definedName name="EditEditTran">#REF!</definedName>
    <definedName name="EditEditUpdate" localSheetId="2">#REF!</definedName>
    <definedName name="EditEditUpdate">#REF!</definedName>
    <definedName name="EditInitial" localSheetId="2">#REF!</definedName>
    <definedName name="EditInitial">#REF!</definedName>
    <definedName name="EditInsert" localSheetId="2">#REF!</definedName>
    <definedName name="EditInsert">#REF!</definedName>
    <definedName name="EditItemChange" localSheetId="2">#REF!</definedName>
    <definedName name="EditItemChange">#REF!</definedName>
    <definedName name="EditLoseFocus" localSheetId="2">#REF!</definedName>
    <definedName name="EditLoseFocus">#REF!</definedName>
    <definedName name="EditLoseFocus1" localSheetId="2">#REF!</definedName>
    <definedName name="EditLoseFocus1">#REF!</definedName>
    <definedName name="EditLoseFocus2" localSheetId="2">#REF!</definedName>
    <definedName name="EditLoseFocus2">#REF!</definedName>
    <definedName name="EditLoseFocus3" localSheetId="2">#REF!</definedName>
    <definedName name="EditLoseFocus3">#REF!</definedName>
    <definedName name="EditLoseFocus4" localSheetId="2">#REF!</definedName>
    <definedName name="EditLoseFocus4">#REF!</definedName>
    <definedName name="EditLoseFocus5" localSheetId="2">#REF!</definedName>
    <definedName name="EditLoseFocus5">#REF!</definedName>
    <definedName name="EditNew" localSheetId="2">#REF!</definedName>
    <definedName name="EditNew">#REF!</definedName>
    <definedName name="EditNewS" localSheetId="2">#REF!</definedName>
    <definedName name="EditNewS">#REF!</definedName>
    <definedName name="EditNewTran" localSheetId="2">#REF!</definedName>
    <definedName name="EditNewTran">#REF!</definedName>
    <definedName name="EditPrev" localSheetId="2">#REF!</definedName>
    <definedName name="EditPrev">#REF!</definedName>
    <definedName name="EditPrint" localSheetId="2">#REF!</definedName>
    <definedName name="EditPrint">#REF!</definedName>
    <definedName name="EditReset" localSheetId="2">#REF!</definedName>
    <definedName name="EditReset">#REF!</definedName>
    <definedName name="EditRetrieve" localSheetId="2">#REF!</definedName>
    <definedName name="EditRetrieve">#REF!</definedName>
    <definedName name="EditUpdateS" localSheetId="2">#REF!</definedName>
    <definedName name="EditUpdateS">#REF!</definedName>
    <definedName name="EditUpload" localSheetId="2">#REF!</definedName>
    <definedName name="EditUpload">#REF!</definedName>
    <definedName name="EditValuesList" localSheetId="2">#REF!</definedName>
    <definedName name="EditValuesList">#REF!</definedName>
    <definedName name="Event" localSheetId="2">#REF!</definedName>
    <definedName name="Event">#REF!</definedName>
    <definedName name="fl01AS1" localSheetId="2" hidden="1">[2]分录!#REF!</definedName>
    <definedName name="fl01AS1" hidden="1">[2]分录!#REF!</definedName>
    <definedName name="fl04AF1" localSheetId="2" hidden="1">[3]分录!#REF!</definedName>
    <definedName name="fl04AF1" hidden="1">[3]分录!#REF!</definedName>
    <definedName name="HeaderItemChanged" localSheetId="2">#REF!</definedName>
    <definedName name="HeaderItemChanged">#REF!</definedName>
    <definedName name="PL入力">[1]!PL入力</definedName>
    <definedName name="test" localSheetId="2">#REF!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 localSheetId="2">#REF!</definedName>
    <definedName name="UpdateConfirm">#REF!</definedName>
    <definedName name="UpdatePrint" localSheetId="2">#REF!</definedName>
    <definedName name="UpdatePrint">#REF!</definedName>
    <definedName name="ValidationCommon" localSheetId="2">#REF!</definedName>
    <definedName name="ValidationCommon">#REF!</definedName>
    <definedName name="ValidationConfirm" localSheetId="2">#REF!</definedName>
    <definedName name="ValidationConfirm">#REF!</definedName>
    <definedName name="ValidationDelete" localSheetId="2">#REF!</definedName>
    <definedName name="ValidationDelete">#REF!</definedName>
    <definedName name="ValidationDetail" localSheetId="2">#REF!</definedName>
    <definedName name="ValidationDetail">#REF!</definedName>
    <definedName name="ValidationEdit" localSheetId="2">#REF!</definedName>
    <definedName name="ValidationEdit">#REF!</definedName>
    <definedName name="ValidationLoseFocus" localSheetId="2">#REF!</definedName>
    <definedName name="ValidationLoseFocus">#REF!</definedName>
    <definedName name="ValidationPrint" localSheetId="2">#REF!</definedName>
    <definedName name="ValidationPrint">#REF!</definedName>
    <definedName name="ValidationRetrieve" localSheetId="2">#REF!</definedName>
    <definedName name="ValidationRetrieve">#REF!</definedName>
    <definedName name="ValidRet" localSheetId="2">#REF!</definedName>
    <definedName name="ValidRet">#REF!</definedName>
    <definedName name="xxjj36" localSheetId="2">[4]已审CF!#REF!</definedName>
    <definedName name="xxjj36">[4]已审CF!#REF!</definedName>
    <definedName name="xxjj44" localSheetId="2">[4]已审CF!#REF!</definedName>
    <definedName name="xxjj44">[4]已审CF!#REF!</definedName>
    <definedName name="xxjj48" localSheetId="2">[4]已审CF!#REF!</definedName>
    <definedName name="xxjj48">[4]已审CF!#REF!</definedName>
    <definedName name="コメント入力">[1]!コメント入力</definedName>
    <definedName name="データ形式">[5]!テーブル56[ファイルデータ形式]</definedName>
    <definedName name="データ型">[5]!テーブル5[データ型]</definedName>
    <definedName name="データ型2">[5]!テーブル69[データ型]</definedName>
    <definedName name="デリミタ">[5]!テーブル3[デリミタ]</definedName>
    <definedName name="改行コード">[5]!テーブル6[改行コード]</definedName>
    <definedName name="固定可変">[5]!テーブル43[固定長/可変長]</definedName>
    <definedName name="関連表" localSheetId="2" hidden="1">#REF!</definedName>
    <definedName name="関連表" hidden="1">#REF!</definedName>
    <definedName name="稼働日" localSheetId="2">#REF!</definedName>
    <definedName name="稼働日">#REF!</definedName>
    <definedName name="客户">[6]索引!$C$4</definedName>
    <definedName name="栏目设置">[6]索引!$C$8</definedName>
    <definedName name="売上入力">[1]!売上入力</definedName>
    <definedName name="末尾デリミタ">[5]!テーブル7[末尾デリミタ文字]</definedName>
    <definedName name="期间">[6]索引!$C$6</definedName>
    <definedName name="人員入力">[1]!人員入力</definedName>
    <definedName name="入出力対象">[5]!テーブル4[入出力対象]</definedName>
    <definedName name="深夜開始">[7]初期値!$G$3</definedName>
    <definedName name="始業時間">[7]初期値!$C$3</definedName>
    <definedName name="文字コード">[5]!テーブル1[文字コード]</definedName>
    <definedName name="曜日" localSheetId="2">#REF!</definedName>
    <definedName name="曜日">#REF!</definedName>
    <definedName name="应付票据mxb" localSheetId="2" hidden="1">#REF!</definedName>
    <definedName name="应付票据mxb" hidden="1">#REF!</definedName>
    <definedName name="終業時間">[7]初期値!$F$3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17" l="1"/>
  <c r="J2" i="117"/>
  <c r="G2" i="117"/>
  <c r="L2" i="117" l="1"/>
  <c r="G3" i="117"/>
  <c r="J3" i="1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5C1326A4-549E-413B-BE9E-ED5283DCD2F7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sharedStrings.xml><?xml version="1.0" encoding="utf-8"?>
<sst xmlns="http://schemas.openxmlformats.org/spreadsheetml/2006/main" count="419" uniqueCount="212">
  <si>
    <t>確認者</t>
    <rPh sb="0" eb="2">
      <t>カクニン</t>
    </rPh>
    <rPh sb="2" eb="3">
      <t>シャ</t>
    </rPh>
    <phoneticPr fontId="3"/>
  </si>
  <si>
    <t>作成者</t>
    <rPh sb="0" eb="3">
      <t>サクセイシャ</t>
    </rPh>
    <phoneticPr fontId="3"/>
  </si>
  <si>
    <t>日付</t>
    <rPh sb="0" eb="2">
      <t>ヒヅケ</t>
    </rPh>
    <phoneticPr fontId="3"/>
  </si>
  <si>
    <t>IC</t>
    <phoneticPr fontId="3"/>
  </si>
  <si>
    <t>更新者</t>
    <rPh sb="0" eb="3">
      <t>コウシンシャ</t>
    </rPh>
    <phoneticPr fontId="3"/>
  </si>
  <si>
    <t>モジュール名</t>
    <rPh sb="5" eb="6">
      <t>メイ</t>
    </rPh>
    <phoneticPr fontId="11"/>
  </si>
  <si>
    <t>プログラムID</t>
    <phoneticPr fontId="11"/>
  </si>
  <si>
    <t>プログラム名</t>
    <phoneticPr fontId="11"/>
  </si>
  <si>
    <t>Project Name</t>
    <phoneticPr fontId="11"/>
  </si>
  <si>
    <t>Yamaha-motor Next Stage</t>
    <phoneticPr fontId="11"/>
  </si>
  <si>
    <t>Workstream</t>
    <phoneticPr fontId="11"/>
  </si>
  <si>
    <t>Document Scope</t>
    <phoneticPr fontId="11"/>
  </si>
  <si>
    <t>TCS作成</t>
    <rPh sb="3" eb="5">
      <t>サクセイ</t>
    </rPh>
    <phoneticPr fontId="11"/>
  </si>
  <si>
    <t>承認者</t>
    <rPh sb="0" eb="3">
      <t>ショウニンシャ</t>
    </rPh>
    <phoneticPr fontId="3"/>
  </si>
  <si>
    <t>名前</t>
    <rPh sb="0" eb="2">
      <t>ナマエ</t>
    </rPh>
    <phoneticPr fontId="3"/>
  </si>
  <si>
    <t>テスト実施</t>
    <rPh sb="3" eb="5">
      <t>ジッシ</t>
    </rPh>
    <phoneticPr fontId="11"/>
  </si>
  <si>
    <t>テスト担当者</t>
    <rPh sb="3" eb="6">
      <t>タントウシャ</t>
    </rPh>
    <phoneticPr fontId="3"/>
  </si>
  <si>
    <t>Ver</t>
    <phoneticPr fontId="3"/>
  </si>
  <si>
    <t>更新日</t>
    <rPh sb="0" eb="2">
      <t>コウシン</t>
    </rPh>
    <rPh sb="2" eb="3">
      <t>ビ</t>
    </rPh>
    <phoneticPr fontId="3"/>
  </si>
  <si>
    <t>更新シート</t>
    <rPh sb="0" eb="2">
      <t>コウシン</t>
    </rPh>
    <phoneticPr fontId="3"/>
  </si>
  <si>
    <t>更新内容</t>
    <rPh sb="0" eb="2">
      <t>コウシン</t>
    </rPh>
    <rPh sb="2" eb="4">
      <t>ナイヨウ</t>
    </rPh>
    <phoneticPr fontId="3"/>
  </si>
  <si>
    <t>確認日</t>
    <rPh sb="0" eb="2">
      <t>カクニン</t>
    </rPh>
    <rPh sb="2" eb="3">
      <t>ビ</t>
    </rPh>
    <phoneticPr fontId="11"/>
  </si>
  <si>
    <t>確認者</t>
    <rPh sb="0" eb="2">
      <t>カクニン</t>
    </rPh>
    <rPh sb="2" eb="3">
      <t>シャ</t>
    </rPh>
    <phoneticPr fontId="11"/>
  </si>
  <si>
    <t>承認日</t>
    <rPh sb="0" eb="2">
      <t>ショウニン</t>
    </rPh>
    <rPh sb="2" eb="3">
      <t>ビ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</si>
  <si>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</si>
  <si>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3"/>
  </si>
  <si>
    <t>*</t>
    <phoneticPr fontId="11"/>
  </si>
  <si>
    <t>テスト概要</t>
    <rPh sb="3" eb="5">
      <t>ｶﾞｲﾖｳ</t>
    </rPh>
    <phoneticPr fontId="18" type="noConversion"/>
  </si>
  <si>
    <t>テストケース数</t>
    <rPh sb="6" eb="7">
      <t>ｽｳ</t>
    </rPh>
    <phoneticPr fontId="18" type="noConversion"/>
  </si>
  <si>
    <t>テスト実施数</t>
    <rPh sb="3" eb="5">
      <t>ｼﾞｯｼ</t>
    </rPh>
    <rPh sb="5" eb="6">
      <t>ｽｳ</t>
    </rPh>
    <phoneticPr fontId="18" type="noConversion"/>
  </si>
  <si>
    <t>テスト未実施数</t>
    <rPh sb="3" eb="6">
      <t>ﾐｼﾞｯｼ</t>
    </rPh>
    <rPh sb="6" eb="7">
      <t>ｽｳ</t>
    </rPh>
    <phoneticPr fontId="18" type="noConversion"/>
  </si>
  <si>
    <t>合格ケース数</t>
    <rPh sb="0" eb="2">
      <t>ｺﾞｳｶｸ</t>
    </rPh>
    <rPh sb="5" eb="6">
      <t>ｽｳ</t>
    </rPh>
    <phoneticPr fontId="18" type="noConversion"/>
  </si>
  <si>
    <t>進捗率</t>
    <rPh sb="0" eb="2">
      <t>ｼﾝﾁｮｸ</t>
    </rPh>
    <rPh sb="2" eb="3">
      <t>ﾘﾂ</t>
    </rPh>
    <phoneticPr fontId="18" type="noConversion"/>
  </si>
  <si>
    <t>ケース合格率</t>
    <rPh sb="3" eb="5">
      <t>ｺﾞｳｶｸ</t>
    </rPh>
    <rPh sb="5" eb="6">
      <t>ﾘﾂ</t>
    </rPh>
    <phoneticPr fontId="18" type="noConversion"/>
  </si>
  <si>
    <t>開発者</t>
    <rPh sb="0" eb="3">
      <t>ｶｲﾊﾂｼｬ</t>
    </rPh>
    <phoneticPr fontId="18" type="noConversion"/>
  </si>
  <si>
    <t>検収者</t>
    <rPh sb="0" eb="2">
      <t>ｹﾝｼｭｳ</t>
    </rPh>
    <rPh sb="2" eb="3">
      <t>ｼｬ</t>
    </rPh>
    <phoneticPr fontId="18" type="noConversion"/>
  </si>
  <si>
    <t>No</t>
    <phoneticPr fontId="18" type="noConversion"/>
  </si>
  <si>
    <t>テスト動作</t>
  </si>
  <si>
    <t>項目名</t>
    <rPh sb="0" eb="2">
      <t>ｺｳﾓｸ</t>
    </rPh>
    <rPh sb="2" eb="3">
      <t>ﾒｲ</t>
    </rPh>
    <phoneticPr fontId="18" type="noConversion"/>
  </si>
  <si>
    <t>テストケース</t>
    <phoneticPr fontId="18" type="noConversion"/>
  </si>
  <si>
    <t>チェックポイント</t>
    <phoneticPr fontId="18" type="noConversion"/>
  </si>
  <si>
    <t>確認資料</t>
    <rPh sb="0" eb="4">
      <t>ｶｸﾆﾝｼﾘｮｳ</t>
    </rPh>
    <phoneticPr fontId="18" type="noConversion"/>
  </si>
  <si>
    <t>生成AI/手動</t>
    <rPh sb="0" eb="2">
      <t>ｾｲｾｲ</t>
    </rPh>
    <rPh sb="5" eb="7">
      <t>ｼｭﾄﾞｳ</t>
    </rPh>
    <phoneticPr fontId="18" type="noConversion"/>
  </si>
  <si>
    <t>テスト方法</t>
    <rPh sb="3" eb="5">
      <t>ﾎｳﾎｳ</t>
    </rPh>
    <phoneticPr fontId="18" type="noConversion"/>
  </si>
  <si>
    <t>エビデンス
要否</t>
    <rPh sb="6" eb="8">
      <t>ﾖｳﾋ</t>
    </rPh>
    <phoneticPr fontId="18" type="noConversion"/>
  </si>
  <si>
    <t>ケース
レビュー</t>
    <phoneticPr fontId="18" type="noConversion"/>
  </si>
  <si>
    <t>テスト担当者</t>
    <rPh sb="3" eb="6">
      <t>ﾀﾝﾄｳｼｬ</t>
    </rPh>
    <phoneticPr fontId="18" type="noConversion"/>
  </si>
  <si>
    <t>テスト
結果</t>
    <rPh sb="4" eb="6">
      <t>ｹｯｶ</t>
    </rPh>
    <phoneticPr fontId="18" type="noConversion"/>
  </si>
  <si>
    <t>テスト実施
レビュー</t>
    <rPh sb="3" eb="5">
      <t>ｼﾞｯｼ</t>
    </rPh>
    <phoneticPr fontId="18" type="noConversion"/>
  </si>
  <si>
    <t>コメント</t>
    <phoneticPr fontId="18" type="noConversion"/>
  </si>
  <si>
    <t>1.引数チェック</t>
  </si>
  <si>
    <t>引数</t>
  </si>
  <si>
    <t>生成AI</t>
  </si>
  <si>
    <t>2.検索(select)</t>
  </si>
  <si>
    <t>検索</t>
  </si>
  <si>
    <t>品目マスター</t>
  </si>
  <si>
    <t>MRP情報値</t>
  </si>
  <si>
    <t>正常終了</t>
  </si>
  <si>
    <t>処理ステータス</t>
  </si>
  <si>
    <t>正常終了時の処理ステータス</t>
  </si>
  <si>
    <t>処理ステータスが0で設定されている</t>
  </si>
  <si>
    <t>SQLコード</t>
  </si>
  <si>
    <t>正常終了時のSQLコード</t>
  </si>
  <si>
    <t>エラーコード</t>
  </si>
  <si>
    <t>正常終了時のエラーコード</t>
  </si>
  <si>
    <t>エラーメッセージ</t>
  </si>
  <si>
    <t>正常終了時のエラーメッセージ</t>
  </si>
  <si>
    <t>エラーメッセージがスペースで設定されている</t>
  </si>
  <si>
    <t>エラー位置</t>
  </si>
  <si>
    <t>正常終了時のエラー位置</t>
  </si>
  <si>
    <t>エラー位置がスペースで設定されている</t>
  </si>
  <si>
    <t>異常終了</t>
  </si>
  <si>
    <t>SQLエラー発生時の処理ステータス</t>
  </si>
  <si>
    <t>処理ステータスが-1で設定されている</t>
  </si>
  <si>
    <t>PGMエラー発生時の処理ステータス</t>
  </si>
  <si>
    <t>処理ステータスが-2で設定されている</t>
  </si>
  <si>
    <t>エラー発生時のエラー位置</t>
  </si>
  <si>
    <t>例外処理</t>
  </si>
  <si>
    <t>SQLエラー</t>
  </si>
  <si>
    <t>データベースエラーが発生した場合</t>
  </si>
  <si>
    <t>エラーログが出力され、適切な戻り値が設定されている</t>
  </si>
  <si>
    <t>パフォーマンス</t>
  </si>
  <si>
    <t>処理時間</t>
  </si>
  <si>
    <t>実際の運用時のデータで実行する</t>
  </si>
  <si>
    <t>適切な処理時間で動作している</t>
  </si>
  <si>
    <t>楽観排他制御</t>
  </si>
  <si>
    <t>排他制御</t>
  </si>
  <si>
    <t>楽観排他制御が適切に動作する</t>
  </si>
  <si>
    <t>排他制御が仕様通りに実装されている</t>
  </si>
  <si>
    <t>着手日</t>
  </si>
  <si>
    <t>引数.着手日がブランクの場合</t>
  </si>
  <si>
    <t>エラーコードE.LDP10354、エラーメッセージ'Specify Start Date.'が出力され処理終了している</t>
  </si>
  <si>
    <t>引数.着手日がNULLの場合</t>
  </si>
  <si>
    <t>完了日</t>
  </si>
  <si>
    <t>引数.完了日がブランクの場合</t>
  </si>
  <si>
    <t>エラーコードE.LDP10355、エラーメッセージ'Specify Due Date.'が出力され処理終了している</t>
  </si>
  <si>
    <t>引数.完了日がNULLの場合</t>
  </si>
  <si>
    <t>払出日</t>
  </si>
  <si>
    <t>引数.払出日がブランクの場合</t>
  </si>
  <si>
    <t>エラーコードE.LDP10356、エラーメッセージ'Specify Disburse Date.'が出力され処理終了している</t>
  </si>
  <si>
    <t>引数.払出日がNULLの場合</t>
  </si>
  <si>
    <t>SUマスタ</t>
  </si>
  <si>
    <t>SUマスタから現在有効カレンダーを正常に検索</t>
  </si>
  <si>
    <t>指定使用者に該当する現在有効カレンダーが正常に取得されている</t>
  </si>
  <si>
    <t>SUマスタでデータが存在しない場合</t>
  </si>
  <si>
    <t>エラーコードE.LDP10910、エラーメッセージ'Effective calendar does not exist by the specified Supplier/User.'が出力され処理終了している</t>
  </si>
  <si>
    <t>日別カレンダーマスタ</t>
  </si>
  <si>
    <t>着手日の稼働日区分を正常に検索</t>
  </si>
  <si>
    <t>着手日に該当する稼働日区分が正常に取得されている</t>
  </si>
  <si>
    <t>エラーコードE.LDP10106、エラーメッセージ'Day String does not exist in the common calendar.'が出力され処理終了している</t>
  </si>
  <si>
    <t>完了日の稼働日区分を正常に検索</t>
  </si>
  <si>
    <t>完了日に該当する稼働日区分が正常に取得されている</t>
  </si>
  <si>
    <t>完了日がカレンダーに存在しない場合</t>
  </si>
  <si>
    <t>払出日の稼働日区分を正常に検索</t>
  </si>
  <si>
    <t>払出日に該当する稼働日区分が正常に取得されている</t>
  </si>
  <si>
    <t>払出日がカレンダーに存在しない場合</t>
  </si>
  <si>
    <t>品目番号、供給者、使用者に該当する確定期間IDが正常に取得されている</t>
  </si>
  <si>
    <t>IC工場処理日</t>
  </si>
  <si>
    <t>IC工場処理日を正常に検索</t>
  </si>
  <si>
    <t>処理タイプ='STD'に該当するIC工場処理日が正常に取得されている</t>
  </si>
  <si>
    <t>IC工場処理日が存在しない場合</t>
  </si>
  <si>
    <t>エラーコードE.LDP10911、エラーメッセージ'The IC pymac date is not exist.'が出力され処理終了している</t>
  </si>
  <si>
    <t>機能オプションパラメータ</t>
  </si>
  <si>
    <t>機能選択（過去オーダー登録許可）を正常に検索</t>
  </si>
  <si>
    <t>システムコード='LC'、IDコード='LCB0001'、選択フラグ='T'に該当するオプションコードが正常に取得されている</t>
  </si>
  <si>
    <t>機能選択のデータが存在しない場合</t>
  </si>
  <si>
    <t>エラーコードE.LDP10912、エラーメッセージ'Target data does not exist in the Function Parameter table.'が出力され処理終了している</t>
  </si>
  <si>
    <t>品目マスターから品目タイプを正常に検索</t>
  </si>
  <si>
    <t>品目番号、供給者、使用者に該当する品目タイプが正常に取得されている</t>
  </si>
  <si>
    <t>品目マスターでデータが存在しない場合</t>
  </si>
  <si>
    <t>エラーコードE.LDP10726、エラーメッセージ'Data does not exist in the item master.'が出力され処理終了している</t>
  </si>
  <si>
    <t>稼働日チェック</t>
  </si>
  <si>
    <t>着手日が稼働日の場合</t>
  </si>
  <si>
    <t>稼働日区分='0'で正常に処理されている</t>
  </si>
  <si>
    <t>着手日が稼働日でない場合</t>
  </si>
  <si>
    <t>エラーコードE.LDP10377、エラーメッセージ'The day you specified is not a working-day.'が出力され処理終了している</t>
  </si>
  <si>
    <t>確定期間チェック</t>
  </si>
  <si>
    <t>確定期間最終日</t>
  </si>
  <si>
    <r>
      <t>処理識別='LD11'かつMRP需要方針コード='3'かつ着手日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</si>
  <si>
    <t>正常に処理されている</t>
  </si>
  <si>
    <t>処理識別='LD11'かつMRP需要方針コード='3'かつ着手日&gt;確定期間最終日の場合</t>
  </si>
  <si>
    <t>エラーコードE.LDP10367、エラーメッセージ'For Start Date、 specify the date former than the final day of the fixed order period.'が出力され処理終了している</t>
  </si>
  <si>
    <r>
      <t>処理識別='LD41'かつMRP需要方針コード='3'かつ着手日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</si>
  <si>
    <t>処理識別='LD41'かつMRP需要方針コード='3'かつ着手日&gt;確定期間最終日の場合</t>
  </si>
  <si>
    <r>
      <t>処理識別='LD71'かつ着手日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</si>
  <si>
    <t>処理識別='LD71'かつ着手日&gt;確定期間最終日の場合</t>
  </si>
  <si>
    <t>IC工場処理日チェック</t>
  </si>
  <si>
    <r>
      <t>処理識別='LD71'かつ着手日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IC工場処理日の場合</t>
    </r>
  </si>
  <si>
    <t>処理識別='LD71'かつ着手日&lt;IC工場処理日の場合</t>
  </si>
  <si>
    <t>エラーコードE.LDP10357、エラーメッセージ'You cannot specify the past date for Start Date.'が出力され処理終了している</t>
  </si>
  <si>
    <t>過去日付チェック</t>
  </si>
  <si>
    <r>
      <t>オプションコード='0'かつ完了日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IC工場処理日かつ品目タイプ&lt;&gt;'2'の場合</t>
    </r>
  </si>
  <si>
    <t>オプションコード='0'かつ完了日&lt;IC工場処理日かつ品目タイプ&lt;&gt;'2'の場合</t>
  </si>
  <si>
    <t>エラーコードE.LDP10398、エラーメッセージ'You cannot specify the past date for due date.'が出力され処理終了している</t>
  </si>
  <si>
    <r>
      <t>オプションコード&lt;&gt;'0'かつ完了日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IC工場処理日の場合</t>
    </r>
  </si>
  <si>
    <t>オプションコード&lt;&gt;'0'かつ完了日&lt;IC工場処理日の場合</t>
  </si>
  <si>
    <t>品目タイプ='2'の場合（通過品目の特別処理）</t>
  </si>
  <si>
    <t>完了日が稼働日の場合</t>
  </si>
  <si>
    <t>完了日が稼働日でない場合</t>
  </si>
  <si>
    <t>エラーコードE.LDP10936、エラーメッセージ'The day you specified is not a working-day.'が出力され処理終了している</t>
  </si>
  <si>
    <t>着手日比較チェック</t>
  </si>
  <si>
    <t>着手日・完了日</t>
  </si>
  <si>
    <r>
      <t>処理識別='LD11'かつ完了日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着手日の場合</t>
    </r>
  </si>
  <si>
    <t>処理識別='LD11'かつ完了日&lt;着手日の場合</t>
  </si>
  <si>
    <t>エラーコードE.LDP10360、エラーメッセージ'For Due Date、 specify the date later than Start Date.'が出力され処理終了している</t>
  </si>
  <si>
    <r>
      <t>処理識別='LD41'かつ完了日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着手日の場合</t>
    </r>
  </si>
  <si>
    <t>処理識別='LD41'かつ完了日&lt;着手日の場合</t>
  </si>
  <si>
    <r>
      <t>処理識別='LD71'かつ完了日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着手日の場合</t>
    </r>
  </si>
  <si>
    <t>処理識別='LD71'かつ完了日&lt;着手日の場合</t>
  </si>
  <si>
    <t>エラーコードE.LDP10358、エラーメッセージ'For Start Date、 specify the date former than Due Date.'が出力され処理終了している</t>
  </si>
  <si>
    <t>払出日が稼働日かつMRP需要方針コード='2'の場合</t>
  </si>
  <si>
    <t>払出日が稼働日かつMRP需要方針コード&lt;&gt;'2'の場合</t>
  </si>
  <si>
    <t>払出日が稼働日でないかつMRP需要方針コード='2'の場合</t>
  </si>
  <si>
    <t>正常に処理されている（MRP需要方針コード='2'は稼働日チェック対象外）</t>
  </si>
  <si>
    <t>払出日が稼働日でないかつMRP需要方針コード&lt;&gt;'2'の場合</t>
  </si>
  <si>
    <t>エラーコードE.LDP10750、エラーメッセージ'The day you specified is not a working-day.'が出力され処理終了している</t>
  </si>
  <si>
    <t>完了日比較チェック</t>
  </si>
  <si>
    <t>払出日・完了日</t>
  </si>
  <si>
    <r>
      <t>払出日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完了日の場合</t>
    </r>
  </si>
  <si>
    <t>払出日&lt;完了日の場合</t>
  </si>
  <si>
    <t>エラーコードE.LDP10361、エラーメッセージ'For Disburse Date、 specify the date later than Due Date.'が出力され処理終了している</t>
  </si>
  <si>
    <t>期間チェック</t>
  </si>
  <si>
    <t>着手日・払出日</t>
  </si>
  <si>
    <t>着手日と払出日の月差が6ヶ月以内の場合</t>
  </si>
  <si>
    <t>着手日と払出日の月差が6ヶ月を超える場合</t>
  </si>
  <si>
    <t>エラーコードE.LDP10397、エラーメッセージ'Make the difference between Start Date and Disburse Date within 6 months.'が出力され処理終了している</t>
  </si>
  <si>
    <t>着手日と払出日の月差が丁度6ヶ月かつ日差が0の場合</t>
  </si>
  <si>
    <t>着手日と払出日の月差が丁度6ヶ月かつ日差が正の場合</t>
  </si>
  <si>
    <t>LEBS0010</t>
  </si>
  <si>
    <t>確定期間検索</t>
  </si>
  <si>
    <t>LEBS0010が正常に実行される場合</t>
  </si>
  <si>
    <t>確定期間最終日が正常に取得されている</t>
  </si>
  <si>
    <t>LEBS0010がエラー(-1)を返す場合</t>
  </si>
  <si>
    <t>エラーが返され処理が異常終了している</t>
  </si>
  <si>
    <t>LEBS0010がPGMエラー(-2)を返す場合</t>
  </si>
  <si>
    <t>例外が発生している</t>
  </si>
  <si>
    <t>SQLコードがスペースで設定されている</t>
  </si>
  <si>
    <t>エラーコードがスペースで設定されている</t>
  </si>
  <si>
    <t>エラー位置が'LDAS0301'で設定されている</t>
  </si>
  <si>
    <t>3. 処理パターン</t>
    <phoneticPr fontId="3"/>
  </si>
  <si>
    <t>4.共通関数呼び出し</t>
    <phoneticPr fontId="3"/>
  </si>
  <si>
    <t>5.戻り値</t>
    <phoneticPr fontId="3"/>
  </si>
  <si>
    <t>6.その他</t>
    <phoneticPr fontId="3"/>
  </si>
  <si>
    <t>LDAS0313</t>
    <phoneticPr fontId="3"/>
  </si>
  <si>
    <t>LDAS0313_Valid／オーダー登録</t>
    <phoneticPr fontId="3"/>
  </si>
  <si>
    <t>要</t>
  </si>
  <si>
    <t>着手日がカレンダーに存在しない場合</t>
    <phoneticPr fontId="3"/>
  </si>
  <si>
    <t>MRP情報値から確定期間IDを正常に検索</t>
    <phoneticPr fontId="3"/>
  </si>
  <si>
    <t>確定期間IDがMRP情報値に存在しない場合</t>
    <phoneticPr fontId="3"/>
  </si>
  <si>
    <t>エラーコード：'E.LDP10916、ラーメッセージ：'Item does not exist in the itemmast mrp.';が指定品目がＭＲＰ情報値に存在しません。</t>
    <phoneticPr fontId="3"/>
  </si>
  <si>
    <t>手動</t>
  </si>
  <si>
    <t>余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</si>
</sst>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sz val="10"/>
      <name val="Meiryo UI"/>
      <family val="3"/>
      <charset val="128"/>
    </font>
    <font>
      <sz val="11"/>
      <name val="ＭＳ ゴシック"/>
      <family val="3"/>
      <charset val="128"/>
    </font>
    <font>
      <sz val="18"/>
      <color theme="3"/>
      <name val="宋体"/>
      <family val="2"/>
      <charset val="128"/>
      <scheme val="major"/>
    </font>
    <font>
      <b/>
      <sz val="15"/>
      <color theme="3"/>
      <name val="宋体"/>
      <family val="2"/>
      <charset val="128"/>
      <scheme val="minor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sz val="8"/>
      <name val="ＭＳ Ｐゴシック"/>
      <family val="3"/>
      <charset val="128"/>
    </font>
    <font>
      <u/>
      <sz val="9"/>
      <color indexed="12"/>
      <name val="Meiryo UI"/>
      <family val="3"/>
      <charset val="128"/>
    </font>
    <font>
      <sz val="9"/>
      <color indexed="81"/>
      <name val="MS P ゴシック"/>
      <family val="3"/>
      <charset val="128"/>
    </font>
    <font>
      <u/>
      <sz val="9"/>
      <name val="Meiryo UI"/>
      <family val="3"/>
      <charset val="128"/>
    </font>
    <font>
      <u/>
      <sz val="10"/>
      <name val="Meiryo UI"/>
      <family val="3"/>
      <charset val="128"/>
    </font>
    <font>
      <sz val="9"/>
      <name val="宋体"/>
      <family val="3"/>
      <charset val="134"/>
    </font>
    <font>
      <b/>
      <sz val="9"/>
      <color rgb="FF0000FF"/>
      <name val="Meiryo UI"/>
      <family val="3"/>
      <charset val="128"/>
    </font>
    <font>
      <b/>
      <sz val="11"/>
      <color theme="1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2" fillId="0" borderId="0" xfId="4" applyFont="1" applyAlignment="1">
      <alignment vertical="center"/>
    </xf>
    <xf numFmtId="0" fontId="14" fillId="0" borderId="2" xfId="4" applyFont="1" applyBorder="1" applyAlignment="1">
      <alignment vertical="center"/>
    </xf>
    <xf numFmtId="0" fontId="15" fillId="0" borderId="2" xfId="4" applyFont="1" applyBorder="1" applyAlignment="1">
      <alignment horizontal="center" vertical="center"/>
    </xf>
    <xf numFmtId="0" fontId="16" fillId="4" borderId="6" xfId="5" applyFont="1" applyFill="1" applyBorder="1" applyAlignment="1">
      <alignment horizontal="center" vertical="center" wrapText="1" readingOrder="1"/>
    </xf>
    <xf numFmtId="0" fontId="17" fillId="0" borderId="0" xfId="6" applyFont="1"/>
    <xf numFmtId="2" fontId="17" fillId="0" borderId="2" xfId="6" applyNumberFormat="1" applyFont="1" applyBorder="1"/>
    <xf numFmtId="14" fontId="17" fillId="0" borderId="2" xfId="6" applyNumberFormat="1" applyFont="1" applyBorder="1"/>
    <xf numFmtId="0" fontId="17" fillId="0" borderId="2" xfId="6" applyFont="1" applyBorder="1"/>
    <xf numFmtId="14" fontId="17" fillId="0" borderId="2" xfId="6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9" fontId="5" fillId="6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7" xfId="7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1" fillId="0" borderId="7" xfId="8" applyFont="1" applyBorder="1" applyAlignment="1" applyProtection="1">
      <alignment horizontal="center" vertical="center" wrapText="1"/>
    </xf>
    <xf numFmtId="0" fontId="22" fillId="0" borderId="7" xfId="8" applyFont="1" applyBorder="1" applyAlignment="1" applyProtection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7" borderId="9" xfId="0" applyFont="1" applyFill="1" applyBorder="1" applyAlignment="1">
      <alignment horizontal="left" vertical="center"/>
    </xf>
    <xf numFmtId="0" fontId="14" fillId="0" borderId="2" xfId="4" applyFont="1" applyBorder="1" applyAlignment="1">
      <alignment horizontal="center" vertical="center"/>
    </xf>
    <xf numFmtId="14" fontId="14" fillId="0" borderId="2" xfId="4" applyNumberFormat="1" applyFont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0" fillId="5" borderId="4" xfId="4" applyFont="1" applyFill="1" applyBorder="1" applyAlignment="1">
      <alignment horizontal="center" vertical="center"/>
    </xf>
    <xf numFmtId="0" fontId="10" fillId="5" borderId="3" xfId="4" applyFont="1" applyFill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</cellXfs>
  <cellStyles count="9">
    <cellStyle name="ハイパーリンク 2" xfId="8" xr:uid="{D149D991-5776-4CD5-AAF4-AEFD62EAA993}"/>
    <cellStyle name="百分比" xfId="7" builtinId="5"/>
    <cellStyle name="标题" xfId="1" builtinId="15" hidden="1"/>
    <cellStyle name="标题 1" xfId="2" builtinId="16" hidden="1"/>
    <cellStyle name="標準 12" xfId="4" xr:uid="{2BAF3A1B-EF41-4FCB-8C53-3F485AF21B48}"/>
    <cellStyle name="標準 2" xfId="5" xr:uid="{013EF616-11C4-47C2-968D-263E3B0DFBF8}"/>
    <cellStyle name="標準 2 2" xfId="6" xr:uid="{92D69C64-EA5E-472F-9369-EA5A714066A4}"/>
    <cellStyle name="標準_com_calendar" xfId="3" xr:uid="{3F5F8C79-3F40-4195-AB61-8D095C796329}"/>
    <cellStyle name="常规" xfId="0" builtinId="0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E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DD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5F5F5F"/>
      <rgbColor rgb="00993300"/>
      <rgbColor rgb="00993366"/>
      <rgbColor rgb="00333399"/>
      <rgbColor rgb="00333333"/>
    </indexedColors>
    <mruColors>
      <color rgb="FFCCFFCC"/>
      <color rgb="FFCCFF99"/>
      <color rgb="FF99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40824CD-C5C0-4A4C-9FD9-C55F36393FA1}"/>
            </a:ext>
          </a:extLst>
        </xdr:cNvPr>
        <xdr:cNvSpPr>
          <a:spLocks noChangeArrowheads="1"/>
        </xdr:cNvSpPr>
      </xdr:nvSpPr>
      <xdr:spPr bwMode="auto">
        <a:xfrm>
          <a:off x="23812" y="1305377"/>
          <a:ext cx="5710238" cy="558348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TCS(PLpgSQL)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A4B78B9-999B-48C1-BBEE-EB557A01D44B}"/>
            </a:ext>
          </a:extLst>
        </xdr:cNvPr>
        <xdr:cNvSpPr/>
      </xdr:nvSpPr>
      <xdr:spPr>
        <a:xfrm>
          <a:off x="1518285" y="3449638"/>
          <a:ext cx="137160" cy="121920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77F76B-C214-4A45-B42D-1109CCD78704}"/>
            </a:ext>
          </a:extLst>
        </xdr:cNvPr>
        <xdr:cNvSpPr/>
      </xdr:nvSpPr>
      <xdr:spPr>
        <a:xfrm>
          <a:off x="2056447" y="3446145"/>
          <a:ext cx="11207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人員入力"/>
      <definedName name="総表印刷"/>
      <definedName name="売上入力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  <sheetName val="勤怠表日高0012"/>
      <sheetName val="JOBID"/>
      <sheetName val="代表ID"/>
      <sheetName val="見積基礎値"/>
      <sheetName val="見積り内訳"/>
      <sheetName val="仕入業者コード"/>
      <sheetName val="得意先コード"/>
      <sheetName val="WBS1"/>
      <sheetName val="基本契約KFC"/>
      <sheetName val="選択肢"/>
      <sheetName val="ｼﾞｪﾈﾚｰﾄ準備"/>
      <sheetName val="工数"/>
      <sheetName val="間接・販管費率"/>
      <sheetName val="データディクショナリ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EF5B-C835-4400-AC81-D786F6122B44}">
  <sheetPr codeName="Sheet1"/>
  <dimension ref="B12:H28"/>
  <sheetViews>
    <sheetView showGridLines="0" tabSelected="1" zoomScale="130" zoomScaleNormal="130" workbookViewId="0"/>
  </sheetViews>
  <sheetFormatPr defaultColWidth="9.375" defaultRowHeight="15.75"/>
  <cols>
    <col min="1" max="1" width="1.625" style="1" customWidth="1"/>
    <col min="2" max="2" width="8.125" style="1" customWidth="1"/>
    <col min="3" max="8" width="9.375" style="1"/>
    <col min="9" max="9" width="1.5" style="1" customWidth="1"/>
    <col min="10" max="16384" width="9.375" style="1"/>
  </cols>
  <sheetData>
    <row r="12" spans="2:8">
      <c r="B12" s="31" t="s">
        <v>5</v>
      </c>
      <c r="C12" s="33"/>
      <c r="D12" s="31" t="s">
        <v>6</v>
      </c>
      <c r="E12" s="33"/>
      <c r="F12" s="31" t="s">
        <v>7</v>
      </c>
      <c r="G12" s="32"/>
      <c r="H12" s="33"/>
    </row>
    <row r="13" spans="2:8">
      <c r="B13" s="36" t="s">
        <v>3</v>
      </c>
      <c r="C13" s="38"/>
      <c r="D13" s="42" t="s">
        <v>203</v>
      </c>
      <c r="E13" s="42"/>
      <c r="F13" s="43" t="s">
        <v>204</v>
      </c>
      <c r="G13" s="43"/>
      <c r="H13" s="43"/>
    </row>
    <row r="16" spans="2:8">
      <c r="B16" s="31" t="s">
        <v>8</v>
      </c>
      <c r="C16" s="33"/>
      <c r="D16" s="36" t="s">
        <v>9</v>
      </c>
      <c r="E16" s="37"/>
      <c r="F16" s="37"/>
      <c r="G16" s="37"/>
      <c r="H16" s="38"/>
    </row>
    <row r="17" spans="2:8">
      <c r="B17" s="31" t="s">
        <v>10</v>
      </c>
      <c r="C17" s="33"/>
      <c r="D17" s="36"/>
      <c r="E17" s="37"/>
      <c r="F17" s="37"/>
      <c r="G17" s="37"/>
      <c r="H17" s="38"/>
    </row>
    <row r="18" spans="2:8">
      <c r="B18" s="31" t="s">
        <v>11</v>
      </c>
      <c r="C18" s="33"/>
      <c r="D18" s="39"/>
      <c r="E18" s="40"/>
      <c r="F18" s="40"/>
      <c r="G18" s="40"/>
      <c r="H18" s="41"/>
    </row>
    <row r="20" spans="2:8">
      <c r="B20" s="31" t="s">
        <v>12</v>
      </c>
      <c r="C20" s="32"/>
      <c r="D20" s="32"/>
      <c r="E20" s="32"/>
      <c r="F20" s="32"/>
      <c r="G20" s="32"/>
      <c r="H20" s="33"/>
    </row>
    <row r="21" spans="2:8">
      <c r="B21" s="2"/>
      <c r="C21" s="34" t="s">
        <v>1</v>
      </c>
      <c r="D21" s="35"/>
      <c r="E21" s="34" t="s">
        <v>0</v>
      </c>
      <c r="F21" s="35"/>
      <c r="G21" s="34" t="s">
        <v>13</v>
      </c>
      <c r="H21" s="35"/>
    </row>
    <row r="22" spans="2:8">
      <c r="B22" s="3" t="s">
        <v>14</v>
      </c>
      <c r="C22" s="29" t="s">
        <v>211</v>
      </c>
      <c r="D22" s="29"/>
      <c r="E22" s="29"/>
      <c r="F22" s="29"/>
      <c r="G22" s="29"/>
      <c r="H22" s="29"/>
    </row>
    <row r="23" spans="2:8">
      <c r="B23" s="3" t="s">
        <v>2</v>
      </c>
      <c r="C23" s="30"/>
      <c r="D23" s="29"/>
      <c r="E23" s="30"/>
      <c r="F23" s="29"/>
      <c r="G23" s="30"/>
      <c r="H23" s="29"/>
    </row>
    <row r="25" spans="2:8">
      <c r="B25" s="31" t="s">
        <v>15</v>
      </c>
      <c r="C25" s="32"/>
      <c r="D25" s="32"/>
      <c r="E25" s="32"/>
      <c r="F25" s="32"/>
      <c r="G25" s="32"/>
      <c r="H25" s="33"/>
    </row>
    <row r="26" spans="2:8">
      <c r="B26" s="2"/>
      <c r="C26" s="34" t="s">
        <v>16</v>
      </c>
      <c r="D26" s="35"/>
      <c r="E26" s="34" t="s">
        <v>0</v>
      </c>
      <c r="F26" s="35"/>
      <c r="G26" s="34" t="s">
        <v>13</v>
      </c>
      <c r="H26" s="35"/>
    </row>
    <row r="27" spans="2:8">
      <c r="B27" s="3" t="s">
        <v>14</v>
      </c>
      <c r="C27" s="29"/>
      <c r="D27" s="29"/>
      <c r="E27" s="29"/>
      <c r="F27" s="29"/>
      <c r="G27" s="29"/>
      <c r="H27" s="29"/>
    </row>
    <row r="28" spans="2:8">
      <c r="B28" s="3" t="s">
        <v>2</v>
      </c>
      <c r="C28" s="30"/>
      <c r="D28" s="29"/>
      <c r="E28" s="30"/>
      <c r="F28" s="29"/>
      <c r="G28" s="30"/>
      <c r="H28" s="29"/>
    </row>
  </sheetData>
  <mergeCells count="32">
    <mergeCell ref="B12:C12"/>
    <mergeCell ref="D12:E12"/>
    <mergeCell ref="F12:H12"/>
    <mergeCell ref="B13:C13"/>
    <mergeCell ref="D13:E13"/>
    <mergeCell ref="F13:H13"/>
    <mergeCell ref="B16:C16"/>
    <mergeCell ref="D16:H16"/>
    <mergeCell ref="B17:C17"/>
    <mergeCell ref="D17:H17"/>
    <mergeCell ref="B18:C18"/>
    <mergeCell ref="D18:H18"/>
    <mergeCell ref="B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B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DBC-3145-4791-B23A-D2687C76D98E}">
  <sheetPr codeName="Sheet2"/>
  <dimension ref="B2:L27"/>
  <sheetViews>
    <sheetView zoomScaleNormal="100" zoomScaleSheetLayoutView="100" workbookViewId="0">
      <selection activeCell="F9" sqref="F9"/>
    </sheetView>
  </sheetViews>
  <sheetFormatPr defaultColWidth="7.5" defaultRowHeight="15.75"/>
  <cols>
    <col min="1" max="1" width="2.875" style="5" customWidth="1"/>
    <col min="2" max="2" width="6.25" style="5" bestFit="1" customWidth="1"/>
    <col min="3" max="3" width="11.125" style="5" bestFit="1" customWidth="1"/>
    <col min="4" max="4" width="8" style="5" customWidth="1"/>
    <col min="5" max="5" width="13.375" style="5" customWidth="1"/>
    <col min="6" max="6" width="42" style="5" customWidth="1"/>
    <col min="7" max="7" width="11.125" style="5" bestFit="1" customWidth="1"/>
    <col min="8" max="8" width="8" style="5" customWidth="1"/>
    <col min="9" max="9" width="11.125" style="5" bestFit="1" customWidth="1"/>
    <col min="10" max="10" width="8" style="5" customWidth="1"/>
    <col min="11" max="11" width="44.125" style="5" customWidth="1"/>
    <col min="12" max="12" width="3.625" style="5" customWidth="1"/>
    <col min="13" max="16384" width="7.5" style="5"/>
  </cols>
  <sheetData>
    <row r="2" spans="2:12">
      <c r="B2" s="4" t="s">
        <v>17</v>
      </c>
      <c r="C2" s="4" t="s">
        <v>18</v>
      </c>
      <c r="D2" s="4" t="s">
        <v>4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2:12">
      <c r="B3" s="6">
        <v>1</v>
      </c>
      <c r="C3" s="7"/>
      <c r="D3" s="8"/>
      <c r="E3" s="9"/>
      <c r="F3" s="8"/>
      <c r="G3" s="7"/>
      <c r="H3" s="8"/>
      <c r="I3" s="7"/>
      <c r="J3" s="8"/>
      <c r="K3" s="8"/>
      <c r="L3" s="5" t="s">
        <v>26</v>
      </c>
    </row>
    <row r="4" spans="2:12">
      <c r="B4" s="6"/>
      <c r="C4" s="8"/>
      <c r="D4" s="8"/>
      <c r="E4" s="8"/>
      <c r="F4" s="8"/>
      <c r="G4" s="8"/>
      <c r="H4" s="8"/>
      <c r="I4" s="8"/>
      <c r="J4" s="8"/>
      <c r="K4" s="8"/>
      <c r="L4" s="5" t="s">
        <v>26</v>
      </c>
    </row>
    <row r="5" spans="2:12">
      <c r="B5" s="6"/>
      <c r="C5" s="8"/>
      <c r="D5" s="8"/>
      <c r="E5" s="8"/>
      <c r="F5" s="8"/>
      <c r="G5" s="8"/>
      <c r="H5" s="8"/>
      <c r="I5" s="8"/>
      <c r="J5" s="8"/>
      <c r="K5" s="8"/>
      <c r="L5" s="5" t="s">
        <v>26</v>
      </c>
    </row>
    <row r="6" spans="2:12">
      <c r="B6" s="6"/>
      <c r="C6" s="8"/>
      <c r="D6" s="8"/>
      <c r="E6" s="8"/>
      <c r="F6" s="8"/>
      <c r="G6" s="8"/>
      <c r="H6" s="8"/>
      <c r="I6" s="8"/>
      <c r="J6" s="8"/>
      <c r="K6" s="8"/>
      <c r="L6" s="5" t="s">
        <v>26</v>
      </c>
    </row>
    <row r="7" spans="2:12">
      <c r="B7" s="6"/>
      <c r="C7" s="8"/>
      <c r="D7" s="8"/>
      <c r="E7" s="8"/>
      <c r="F7" s="8"/>
      <c r="G7" s="8"/>
      <c r="H7" s="8"/>
      <c r="I7" s="8"/>
      <c r="J7" s="8"/>
      <c r="K7" s="8"/>
      <c r="L7" s="5" t="s">
        <v>26</v>
      </c>
    </row>
    <row r="8" spans="2:12">
      <c r="B8" s="6"/>
      <c r="C8" s="8"/>
      <c r="D8" s="8"/>
      <c r="E8" s="8"/>
      <c r="F8" s="8"/>
      <c r="G8" s="8"/>
      <c r="H8" s="8"/>
      <c r="I8" s="8"/>
      <c r="J8" s="8"/>
      <c r="K8" s="8"/>
      <c r="L8" s="5" t="s">
        <v>26</v>
      </c>
    </row>
    <row r="9" spans="2:12">
      <c r="B9" s="6"/>
      <c r="C9" s="8"/>
      <c r="D9" s="8"/>
      <c r="E9" s="8"/>
      <c r="F9" s="8"/>
      <c r="G9" s="8"/>
      <c r="H9" s="8"/>
      <c r="I9" s="8"/>
      <c r="J9" s="8"/>
      <c r="K9" s="8"/>
      <c r="L9" s="5" t="s">
        <v>26</v>
      </c>
    </row>
    <row r="10" spans="2:12">
      <c r="B10" s="6"/>
      <c r="C10" s="8"/>
      <c r="D10" s="8"/>
      <c r="E10" s="8"/>
      <c r="F10" s="8"/>
      <c r="G10" s="8"/>
      <c r="H10" s="8"/>
      <c r="I10" s="8"/>
      <c r="J10" s="8"/>
      <c r="K10" s="8"/>
      <c r="L10" s="5" t="s">
        <v>26</v>
      </c>
    </row>
    <row r="11" spans="2:12">
      <c r="B11" s="6"/>
      <c r="C11" s="8"/>
      <c r="D11" s="8"/>
      <c r="E11" s="8"/>
      <c r="F11" s="8"/>
      <c r="G11" s="8"/>
      <c r="H11" s="8"/>
      <c r="I11" s="8"/>
      <c r="J11" s="8"/>
      <c r="K11" s="8"/>
      <c r="L11" s="5" t="s">
        <v>26</v>
      </c>
    </row>
    <row r="12" spans="2:12">
      <c r="B12" s="6"/>
      <c r="C12" s="8"/>
      <c r="D12" s="8"/>
      <c r="E12" s="8"/>
      <c r="F12" s="8"/>
      <c r="G12" s="8"/>
      <c r="H12" s="8"/>
      <c r="I12" s="8"/>
      <c r="J12" s="8"/>
      <c r="K12" s="8"/>
      <c r="L12" s="5" t="s">
        <v>26</v>
      </c>
    </row>
    <row r="13" spans="2:12">
      <c r="B13" s="6"/>
      <c r="C13" s="8"/>
      <c r="D13" s="8"/>
      <c r="E13" s="8"/>
      <c r="F13" s="8"/>
      <c r="G13" s="8"/>
      <c r="H13" s="8"/>
      <c r="I13" s="8"/>
      <c r="J13" s="8"/>
      <c r="K13" s="8"/>
      <c r="L13" s="5" t="s">
        <v>26</v>
      </c>
    </row>
    <row r="14" spans="2:12">
      <c r="B14" s="6"/>
      <c r="C14" s="8"/>
      <c r="D14" s="8"/>
      <c r="E14" s="8"/>
      <c r="F14" s="8"/>
      <c r="G14" s="8"/>
      <c r="H14" s="8"/>
      <c r="I14" s="8"/>
      <c r="J14" s="8"/>
      <c r="K14" s="8"/>
      <c r="L14" s="5" t="s">
        <v>26</v>
      </c>
    </row>
    <row r="15" spans="2:12">
      <c r="B15" s="6"/>
      <c r="C15" s="8"/>
      <c r="D15" s="8"/>
      <c r="E15" s="8"/>
      <c r="F15" s="8"/>
      <c r="G15" s="8"/>
      <c r="H15" s="8"/>
      <c r="I15" s="8"/>
      <c r="J15" s="8"/>
      <c r="K15" s="8"/>
      <c r="L15" s="5" t="s">
        <v>26</v>
      </c>
    </row>
    <row r="16" spans="2:12">
      <c r="B16" s="6"/>
      <c r="C16" s="8"/>
      <c r="D16" s="8"/>
      <c r="E16" s="8"/>
      <c r="F16" s="8"/>
      <c r="G16" s="8"/>
      <c r="H16" s="8"/>
      <c r="I16" s="8"/>
      <c r="J16" s="8"/>
      <c r="K16" s="8"/>
      <c r="L16" s="5" t="s">
        <v>26</v>
      </c>
    </row>
    <row r="17" spans="2:12">
      <c r="B17" s="6"/>
      <c r="C17" s="8"/>
      <c r="D17" s="8"/>
      <c r="E17" s="8"/>
      <c r="F17" s="8"/>
      <c r="G17" s="8"/>
      <c r="H17" s="8"/>
      <c r="I17" s="8"/>
      <c r="J17" s="8"/>
      <c r="K17" s="8"/>
      <c r="L17" s="5" t="s">
        <v>26</v>
      </c>
    </row>
    <row r="18" spans="2:12">
      <c r="B18" s="6"/>
      <c r="C18" s="8"/>
      <c r="D18" s="8"/>
      <c r="E18" s="8"/>
      <c r="F18" s="8"/>
      <c r="G18" s="8"/>
      <c r="H18" s="8"/>
      <c r="I18" s="8"/>
      <c r="J18" s="8"/>
      <c r="K18" s="8"/>
      <c r="L18" s="5" t="s">
        <v>26</v>
      </c>
    </row>
    <row r="19" spans="2:12">
      <c r="B19" s="6"/>
      <c r="C19" s="8"/>
      <c r="D19" s="8"/>
      <c r="E19" s="8"/>
      <c r="F19" s="8"/>
      <c r="G19" s="8"/>
      <c r="H19" s="8"/>
      <c r="I19" s="8"/>
      <c r="J19" s="8"/>
      <c r="K19" s="8"/>
      <c r="L19" s="5" t="s">
        <v>26</v>
      </c>
    </row>
    <row r="20" spans="2:12">
      <c r="B20" s="6"/>
      <c r="C20" s="8"/>
      <c r="D20" s="8"/>
      <c r="E20" s="8"/>
      <c r="F20" s="8"/>
      <c r="G20" s="8"/>
      <c r="H20" s="8"/>
      <c r="I20" s="8"/>
      <c r="J20" s="8"/>
      <c r="K20" s="8"/>
      <c r="L20" s="5" t="s">
        <v>26</v>
      </c>
    </row>
    <row r="21" spans="2:12">
      <c r="B21" s="6"/>
      <c r="C21" s="8"/>
      <c r="D21" s="8"/>
      <c r="E21" s="8"/>
      <c r="F21" s="8"/>
      <c r="G21" s="8"/>
      <c r="H21" s="8"/>
      <c r="I21" s="8"/>
      <c r="J21" s="8"/>
      <c r="K21" s="8"/>
      <c r="L21" s="5" t="s">
        <v>26</v>
      </c>
    </row>
    <row r="22" spans="2:12">
      <c r="B22" s="6"/>
      <c r="C22" s="8"/>
      <c r="D22" s="8"/>
      <c r="E22" s="8"/>
      <c r="F22" s="8"/>
      <c r="G22" s="8"/>
      <c r="H22" s="8"/>
      <c r="I22" s="8"/>
      <c r="J22" s="8"/>
      <c r="K22" s="8"/>
      <c r="L22" s="5" t="s">
        <v>26</v>
      </c>
    </row>
    <row r="23" spans="2:12">
      <c r="B23" s="6"/>
      <c r="C23" s="8"/>
      <c r="D23" s="8"/>
      <c r="E23" s="8"/>
      <c r="F23" s="8"/>
      <c r="G23" s="8"/>
      <c r="H23" s="8"/>
      <c r="I23" s="8"/>
      <c r="J23" s="8"/>
      <c r="K23" s="8"/>
      <c r="L23" s="5" t="s">
        <v>26</v>
      </c>
    </row>
    <row r="24" spans="2:12">
      <c r="B24" s="6"/>
      <c r="C24" s="8"/>
      <c r="D24" s="8"/>
      <c r="E24" s="8"/>
      <c r="F24" s="8"/>
      <c r="G24" s="8"/>
      <c r="H24" s="8"/>
      <c r="I24" s="8"/>
      <c r="J24" s="8"/>
      <c r="K24" s="8"/>
      <c r="L24" s="5" t="s">
        <v>26</v>
      </c>
    </row>
    <row r="25" spans="2:12">
      <c r="B25" s="6"/>
      <c r="C25" s="8"/>
      <c r="D25" s="8"/>
      <c r="E25" s="8"/>
      <c r="F25" s="8"/>
      <c r="G25" s="8"/>
      <c r="H25" s="8"/>
      <c r="I25" s="8"/>
      <c r="J25" s="8"/>
      <c r="K25" s="8"/>
      <c r="L25" s="5" t="s">
        <v>26</v>
      </c>
    </row>
    <row r="26" spans="2:12">
      <c r="B26" s="6"/>
      <c r="C26" s="8"/>
      <c r="D26" s="8"/>
      <c r="E26" s="8"/>
      <c r="F26" s="8"/>
      <c r="G26" s="8"/>
      <c r="H26" s="8"/>
      <c r="I26" s="7"/>
      <c r="J26" s="8"/>
      <c r="K26" s="8"/>
      <c r="L26" s="5" t="s">
        <v>26</v>
      </c>
    </row>
    <row r="27" spans="2:12"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</row>
  </sheetData>
  <phoneticPr fontId="3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CF0E-B3DC-427B-811A-6C994A1DBB31}">
  <sheetPr codeName="Sheet3"/>
  <dimension ref="A2:N178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" defaultRowHeight="12"/>
  <cols>
    <col min="1" max="1" width="6.75" style="10" customWidth="1"/>
    <col min="2" max="2" width="25.375" style="15" customWidth="1"/>
    <col min="3" max="3" width="22.375" style="15" customWidth="1"/>
    <col min="4" max="4" width="36.875" style="15" bestFit="1" customWidth="1"/>
    <col min="5" max="5" width="36.875" style="15" customWidth="1"/>
    <col min="6" max="6" width="12.375" style="17" customWidth="1"/>
    <col min="7" max="7" width="12.375" style="15" customWidth="1"/>
    <col min="8" max="9" width="8.25" style="15" customWidth="1"/>
    <col min="10" max="10" width="7.875" style="15" bestFit="1" customWidth="1"/>
    <col min="11" max="11" width="18.5" style="15" bestFit="1" customWidth="1"/>
    <col min="12" max="12" width="10.375" style="15" bestFit="1" customWidth="1"/>
    <col min="13" max="13" width="10.875" style="15" customWidth="1"/>
    <col min="14" max="14" width="16.25" style="15" customWidth="1"/>
    <col min="15" max="15" width="28" style="15" customWidth="1"/>
    <col min="16" max="16384" width="9" style="15"/>
  </cols>
  <sheetData>
    <row r="2" spans="1:14" ht="25.5" customHeight="1">
      <c r="B2" s="44" t="s">
        <v>27</v>
      </c>
      <c r="C2" s="45"/>
      <c r="D2" s="45"/>
      <c r="E2" s="45"/>
      <c r="F2" s="11" t="s">
        <v>28</v>
      </c>
      <c r="G2" s="12">
        <f>COUNTIF(G6:G454,"*")</f>
        <v>69</v>
      </c>
      <c r="H2" s="46" t="s">
        <v>29</v>
      </c>
      <c r="I2" s="46"/>
      <c r="J2" s="12">
        <f>COUNTIF(L6:L454,"*")</f>
        <v>0</v>
      </c>
      <c r="K2" s="13" t="s">
        <v>30</v>
      </c>
      <c r="L2" s="12">
        <f>G2-J2</f>
        <v>69</v>
      </c>
      <c r="M2" s="14" t="s">
        <v>31</v>
      </c>
      <c r="N2" s="12">
        <f>COUNTIF(L6:L454,"OK")</f>
        <v>0</v>
      </c>
    </row>
    <row r="3" spans="1:14" ht="25.5" customHeight="1">
      <c r="B3" s="44"/>
      <c r="C3" s="45"/>
      <c r="D3" s="45"/>
      <c r="E3" s="45"/>
      <c r="F3" s="13" t="s">
        <v>32</v>
      </c>
      <c r="G3" s="16">
        <f>J2/G2</f>
        <v>0</v>
      </c>
      <c r="H3" s="46" t="s">
        <v>33</v>
      </c>
      <c r="I3" s="46"/>
      <c r="J3" s="16">
        <f>IF(J2=0,0,N2/J2)</f>
        <v>0</v>
      </c>
      <c r="K3" s="13"/>
      <c r="L3" s="12"/>
      <c r="M3" s="14"/>
      <c r="N3" s="12"/>
    </row>
    <row r="4" spans="1:14">
      <c r="M4" s="15" t="s">
        <v>34</v>
      </c>
      <c r="N4" s="15" t="s">
        <v>35</v>
      </c>
    </row>
    <row r="5" spans="1:14" s="19" customFormat="1" ht="28.5">
      <c r="A5" s="18" t="s">
        <v>36</v>
      </c>
      <c r="B5" s="18" t="s">
        <v>37</v>
      </c>
      <c r="C5" s="18" t="s">
        <v>38</v>
      </c>
      <c r="D5" s="18" t="s">
        <v>39</v>
      </c>
      <c r="E5" s="18" t="s">
        <v>40</v>
      </c>
      <c r="F5" s="18" t="s">
        <v>41</v>
      </c>
      <c r="G5" s="18" t="s">
        <v>42</v>
      </c>
      <c r="H5" s="18" t="s">
        <v>43</v>
      </c>
      <c r="I5" s="18" t="s">
        <v>44</v>
      </c>
      <c r="J5" s="18" t="s">
        <v>45</v>
      </c>
      <c r="K5" s="18" t="s">
        <v>46</v>
      </c>
      <c r="L5" s="18" t="s">
        <v>47</v>
      </c>
      <c r="M5" s="18" t="s">
        <v>48</v>
      </c>
      <c r="N5" s="18" t="s">
        <v>49</v>
      </c>
    </row>
    <row r="6" spans="1:14">
      <c r="A6" s="28" t="s">
        <v>50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24">
      <c r="A7" s="20">
        <v>1</v>
      </c>
      <c r="B7" s="21" t="s">
        <v>51</v>
      </c>
      <c r="C7" s="21" t="s">
        <v>89</v>
      </c>
      <c r="D7" s="21" t="s">
        <v>90</v>
      </c>
      <c r="E7" s="21" t="s">
        <v>91</v>
      </c>
      <c r="F7" s="24"/>
      <c r="G7" s="21" t="s">
        <v>52</v>
      </c>
      <c r="H7" s="21"/>
      <c r="I7" s="12" t="s">
        <v>205</v>
      </c>
      <c r="J7" s="21"/>
      <c r="K7" s="21"/>
      <c r="L7" s="21"/>
      <c r="M7" s="21"/>
      <c r="N7" s="21"/>
    </row>
    <row r="8" spans="1:14" ht="24">
      <c r="A8" s="20">
        <v>2</v>
      </c>
      <c r="B8" s="21"/>
      <c r="C8" s="21"/>
      <c r="D8" s="21" t="s">
        <v>92</v>
      </c>
      <c r="E8" s="21" t="s">
        <v>91</v>
      </c>
      <c r="F8" s="25"/>
      <c r="G8" s="21" t="s">
        <v>52</v>
      </c>
      <c r="H8" s="21"/>
      <c r="I8" s="12" t="s">
        <v>205</v>
      </c>
      <c r="J8" s="21"/>
      <c r="K8" s="21"/>
      <c r="L8" s="21"/>
      <c r="M8" s="21"/>
      <c r="N8" s="21"/>
    </row>
    <row r="9" spans="1:14" ht="24">
      <c r="A9" s="20">
        <v>3</v>
      </c>
      <c r="B9" s="21"/>
      <c r="C9" s="21" t="s">
        <v>93</v>
      </c>
      <c r="D9" s="21" t="s">
        <v>94</v>
      </c>
      <c r="E9" s="21" t="s">
        <v>95</v>
      </c>
      <c r="F9" s="12"/>
      <c r="G9" s="21" t="s">
        <v>52</v>
      </c>
      <c r="H9" s="21"/>
      <c r="I9" s="12" t="s">
        <v>205</v>
      </c>
      <c r="J9" s="21"/>
      <c r="K9" s="21"/>
      <c r="L9" s="21"/>
      <c r="M9" s="21"/>
      <c r="N9" s="21"/>
    </row>
    <row r="10" spans="1:14" ht="24">
      <c r="A10" s="20">
        <v>4</v>
      </c>
      <c r="B10" s="21"/>
      <c r="C10" s="21"/>
      <c r="D10" s="21" t="s">
        <v>96</v>
      </c>
      <c r="E10" s="21" t="s">
        <v>95</v>
      </c>
      <c r="F10" s="12"/>
      <c r="G10" s="21" t="s">
        <v>52</v>
      </c>
      <c r="H10" s="21"/>
      <c r="I10" s="12" t="s">
        <v>205</v>
      </c>
      <c r="J10" s="21"/>
      <c r="K10" s="21"/>
      <c r="L10" s="21"/>
      <c r="M10" s="21"/>
      <c r="N10" s="21"/>
    </row>
    <row r="11" spans="1:14" ht="24">
      <c r="A11" s="20">
        <v>5</v>
      </c>
      <c r="B11" s="21"/>
      <c r="C11" s="21" t="s">
        <v>97</v>
      </c>
      <c r="D11" s="21" t="s">
        <v>98</v>
      </c>
      <c r="E11" s="21" t="s">
        <v>99</v>
      </c>
      <c r="F11" s="12"/>
      <c r="G11" s="21" t="s">
        <v>52</v>
      </c>
      <c r="H11" s="21"/>
      <c r="I11" s="12" t="s">
        <v>205</v>
      </c>
      <c r="J11" s="21"/>
      <c r="K11" s="21"/>
      <c r="L11" s="21"/>
      <c r="M11" s="21"/>
      <c r="N11" s="21"/>
    </row>
    <row r="12" spans="1:14" ht="24">
      <c r="A12" s="20">
        <v>6</v>
      </c>
      <c r="B12" s="22"/>
      <c r="C12" s="22"/>
      <c r="D12" s="22" t="s">
        <v>100</v>
      </c>
      <c r="E12" s="22" t="s">
        <v>99</v>
      </c>
      <c r="F12" s="23"/>
      <c r="G12" s="22" t="s">
        <v>52</v>
      </c>
      <c r="H12" s="21"/>
      <c r="I12" s="12" t="s">
        <v>205</v>
      </c>
      <c r="J12" s="21"/>
      <c r="K12" s="21"/>
      <c r="L12" s="21"/>
      <c r="M12" s="21"/>
      <c r="N12" s="21"/>
    </row>
    <row r="13" spans="1:14">
      <c r="A13" s="28" t="s">
        <v>53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4" ht="24">
      <c r="A14" s="20">
        <v>1</v>
      </c>
      <c r="B14" s="22" t="s">
        <v>54</v>
      </c>
      <c r="C14" s="22" t="s">
        <v>101</v>
      </c>
      <c r="D14" s="22" t="s">
        <v>102</v>
      </c>
      <c r="E14" s="22" t="s">
        <v>103</v>
      </c>
      <c r="F14" s="23"/>
      <c r="G14" s="22" t="s">
        <v>52</v>
      </c>
      <c r="H14" s="21"/>
      <c r="I14" s="12" t="s">
        <v>205</v>
      </c>
      <c r="J14" s="21"/>
      <c r="K14" s="21"/>
      <c r="L14" s="21"/>
      <c r="M14" s="21"/>
      <c r="N14" s="21"/>
    </row>
    <row r="15" spans="1:14" ht="36">
      <c r="A15" s="20">
        <v>2</v>
      </c>
      <c r="B15" s="22"/>
      <c r="C15" s="22"/>
      <c r="D15" s="22" t="s">
        <v>104</v>
      </c>
      <c r="E15" s="22" t="s">
        <v>105</v>
      </c>
      <c r="F15" s="23"/>
      <c r="G15" s="22" t="s">
        <v>52</v>
      </c>
      <c r="H15" s="21"/>
      <c r="I15" s="12" t="s">
        <v>205</v>
      </c>
      <c r="J15" s="21"/>
      <c r="K15" s="21"/>
      <c r="L15" s="21"/>
      <c r="M15" s="21"/>
      <c r="N15" s="21"/>
    </row>
    <row r="16" spans="1:14">
      <c r="A16" s="20">
        <v>3</v>
      </c>
      <c r="B16" s="22"/>
      <c r="C16" s="22" t="s">
        <v>106</v>
      </c>
      <c r="D16" s="22" t="s">
        <v>107</v>
      </c>
      <c r="E16" s="22" t="s">
        <v>108</v>
      </c>
      <c r="F16" s="23"/>
      <c r="G16" s="22" t="s">
        <v>52</v>
      </c>
      <c r="H16" s="21"/>
      <c r="I16" s="12" t="s">
        <v>205</v>
      </c>
      <c r="J16" s="21"/>
      <c r="K16" s="21"/>
      <c r="L16" s="21"/>
      <c r="M16" s="21"/>
      <c r="N16" s="21"/>
    </row>
    <row r="17" spans="1:14" ht="36">
      <c r="A17" s="20">
        <v>4</v>
      </c>
      <c r="B17" s="22"/>
      <c r="C17" s="22"/>
      <c r="D17" s="22" t="s">
        <v>206</v>
      </c>
      <c r="E17" s="22" t="s">
        <v>109</v>
      </c>
      <c r="F17" s="23"/>
      <c r="G17" s="22" t="s">
        <v>52</v>
      </c>
      <c r="H17" s="21"/>
      <c r="I17" s="12" t="s">
        <v>205</v>
      </c>
      <c r="J17" s="21"/>
      <c r="K17" s="21"/>
      <c r="L17" s="21"/>
      <c r="M17" s="21"/>
      <c r="N17" s="21"/>
    </row>
    <row r="18" spans="1:14">
      <c r="A18" s="20">
        <v>5</v>
      </c>
      <c r="B18" s="22"/>
      <c r="C18" s="22"/>
      <c r="D18" s="22" t="s">
        <v>110</v>
      </c>
      <c r="E18" s="22" t="s">
        <v>111</v>
      </c>
      <c r="F18" s="23"/>
      <c r="G18" s="22" t="s">
        <v>52</v>
      </c>
      <c r="H18" s="21"/>
      <c r="I18" s="12" t="s">
        <v>205</v>
      </c>
      <c r="J18" s="21"/>
      <c r="K18" s="21"/>
      <c r="L18" s="21"/>
      <c r="M18" s="21"/>
      <c r="N18" s="21"/>
    </row>
    <row r="19" spans="1:14" ht="36">
      <c r="A19" s="20">
        <v>6</v>
      </c>
      <c r="B19" s="22"/>
      <c r="C19" s="22"/>
      <c r="D19" s="22" t="s">
        <v>112</v>
      </c>
      <c r="E19" s="22" t="s">
        <v>109</v>
      </c>
      <c r="F19" s="23"/>
      <c r="G19" s="22" t="s">
        <v>52</v>
      </c>
      <c r="H19" s="21"/>
      <c r="I19" s="12" t="s">
        <v>205</v>
      </c>
      <c r="J19" s="21"/>
      <c r="K19" s="21"/>
      <c r="L19" s="21"/>
      <c r="M19" s="21"/>
      <c r="N19" s="21"/>
    </row>
    <row r="20" spans="1:14">
      <c r="A20" s="20">
        <v>7</v>
      </c>
      <c r="B20" s="22"/>
      <c r="C20" s="22"/>
      <c r="D20" s="22" t="s">
        <v>113</v>
      </c>
      <c r="E20" s="22" t="s">
        <v>114</v>
      </c>
      <c r="F20" s="23"/>
      <c r="G20" s="22" t="s">
        <v>52</v>
      </c>
      <c r="H20" s="21"/>
      <c r="I20" s="12" t="s">
        <v>205</v>
      </c>
      <c r="J20" s="21"/>
      <c r="K20" s="21"/>
      <c r="L20" s="21"/>
      <c r="M20" s="21"/>
      <c r="N20" s="21"/>
    </row>
    <row r="21" spans="1:14" ht="36">
      <c r="A21" s="20">
        <v>8</v>
      </c>
      <c r="B21" s="22"/>
      <c r="C21" s="22"/>
      <c r="D21" s="22" t="s">
        <v>115</v>
      </c>
      <c r="E21" s="22" t="s">
        <v>109</v>
      </c>
      <c r="F21" s="23"/>
      <c r="G21" s="22" t="s">
        <v>52</v>
      </c>
      <c r="H21" s="21"/>
      <c r="I21" s="12" t="s">
        <v>205</v>
      </c>
      <c r="J21" s="21"/>
      <c r="K21" s="21"/>
      <c r="L21" s="21"/>
      <c r="M21" s="21"/>
      <c r="N21" s="21"/>
    </row>
    <row r="22" spans="1:14" ht="24">
      <c r="A22" s="20">
        <v>9</v>
      </c>
      <c r="B22" s="22"/>
      <c r="C22" s="22" t="s">
        <v>56</v>
      </c>
      <c r="D22" s="22" t="s">
        <v>207</v>
      </c>
      <c r="E22" s="22" t="s">
        <v>116</v>
      </c>
      <c r="F22" s="23"/>
      <c r="G22" s="22" t="s">
        <v>52</v>
      </c>
      <c r="H22" s="21"/>
      <c r="I22" s="12" t="s">
        <v>205</v>
      </c>
      <c r="J22" s="21"/>
      <c r="K22" s="21"/>
      <c r="L22" s="21"/>
      <c r="M22" s="21"/>
      <c r="N22" s="21"/>
    </row>
    <row r="23" spans="1:14" ht="36">
      <c r="A23" s="20"/>
      <c r="B23" s="22"/>
      <c r="C23" s="22"/>
      <c r="D23" s="22" t="s">
        <v>208</v>
      </c>
      <c r="E23" s="22" t="s">
        <v>209</v>
      </c>
      <c r="F23" s="23"/>
      <c r="G23" s="22" t="s">
        <v>210</v>
      </c>
      <c r="H23" s="21"/>
      <c r="I23" s="12" t="s">
        <v>205</v>
      </c>
      <c r="J23" s="21"/>
      <c r="K23" s="21"/>
      <c r="L23" s="21"/>
      <c r="M23" s="21"/>
      <c r="N23" s="21"/>
    </row>
    <row r="24" spans="1:14" ht="24">
      <c r="A24" s="20">
        <v>10</v>
      </c>
      <c r="B24" s="22"/>
      <c r="C24" s="22" t="s">
        <v>117</v>
      </c>
      <c r="D24" s="22" t="s">
        <v>118</v>
      </c>
      <c r="E24" s="22" t="s">
        <v>119</v>
      </c>
      <c r="F24" s="23"/>
      <c r="G24" s="22" t="s">
        <v>52</v>
      </c>
      <c r="H24" s="21"/>
      <c r="I24" s="12" t="s">
        <v>205</v>
      </c>
      <c r="J24" s="21"/>
      <c r="K24" s="21"/>
      <c r="L24" s="21"/>
      <c r="M24" s="21"/>
      <c r="N24" s="21"/>
    </row>
    <row r="25" spans="1:14" ht="24">
      <c r="A25" s="20">
        <v>11</v>
      </c>
      <c r="B25" s="22"/>
      <c r="C25" s="22"/>
      <c r="D25" s="22" t="s">
        <v>120</v>
      </c>
      <c r="E25" s="22" t="s">
        <v>121</v>
      </c>
      <c r="F25" s="23"/>
      <c r="G25" s="22" t="s">
        <v>52</v>
      </c>
      <c r="H25" s="21"/>
      <c r="I25" s="12" t="s">
        <v>205</v>
      </c>
      <c r="J25" s="21"/>
      <c r="K25" s="21"/>
      <c r="L25" s="21"/>
      <c r="M25" s="21"/>
      <c r="N25" s="21"/>
    </row>
    <row r="26" spans="1:14" ht="24">
      <c r="A26" s="20">
        <v>12</v>
      </c>
      <c r="B26" s="22"/>
      <c r="C26" s="22" t="s">
        <v>122</v>
      </c>
      <c r="D26" s="22" t="s">
        <v>123</v>
      </c>
      <c r="E26" s="22" t="s">
        <v>124</v>
      </c>
      <c r="F26" s="23"/>
      <c r="G26" s="22" t="s">
        <v>52</v>
      </c>
      <c r="H26" s="21"/>
      <c r="I26" s="12" t="s">
        <v>205</v>
      </c>
      <c r="J26" s="21"/>
      <c r="K26" s="21"/>
      <c r="L26" s="21"/>
      <c r="M26" s="21"/>
      <c r="N26" s="21"/>
    </row>
    <row r="27" spans="1:14" ht="36">
      <c r="A27" s="20">
        <v>13</v>
      </c>
      <c r="B27" s="22"/>
      <c r="C27" s="22"/>
      <c r="D27" s="22" t="s">
        <v>125</v>
      </c>
      <c r="E27" s="22" t="s">
        <v>126</v>
      </c>
      <c r="F27" s="23"/>
      <c r="G27" s="22" t="s">
        <v>52</v>
      </c>
      <c r="H27" s="21"/>
      <c r="I27" s="12" t="s">
        <v>205</v>
      </c>
      <c r="J27" s="21"/>
      <c r="K27" s="21"/>
      <c r="L27" s="21"/>
      <c r="M27" s="21"/>
      <c r="N27" s="21"/>
    </row>
    <row r="28" spans="1:14" ht="24">
      <c r="A28" s="20">
        <v>14</v>
      </c>
      <c r="B28" s="22"/>
      <c r="C28" s="22" t="s">
        <v>55</v>
      </c>
      <c r="D28" s="22" t="s">
        <v>127</v>
      </c>
      <c r="E28" s="22" t="s">
        <v>128</v>
      </c>
      <c r="F28" s="26"/>
      <c r="G28" s="22" t="s">
        <v>52</v>
      </c>
      <c r="H28" s="21"/>
      <c r="I28" s="12" t="s">
        <v>205</v>
      </c>
      <c r="J28" s="21"/>
      <c r="K28" s="21"/>
      <c r="L28" s="21"/>
      <c r="M28" s="21"/>
      <c r="N28" s="21"/>
    </row>
    <row r="29" spans="1:14" ht="24">
      <c r="A29" s="20">
        <v>15</v>
      </c>
      <c r="B29" s="22"/>
      <c r="C29" s="22"/>
      <c r="D29" s="22" t="s">
        <v>129</v>
      </c>
      <c r="E29" s="22" t="s">
        <v>130</v>
      </c>
      <c r="F29" s="23"/>
      <c r="G29" s="22" t="s">
        <v>52</v>
      </c>
      <c r="H29" s="21"/>
      <c r="I29" s="12" t="s">
        <v>205</v>
      </c>
      <c r="J29" s="21"/>
      <c r="K29" s="21"/>
      <c r="L29" s="21"/>
      <c r="M29" s="21"/>
      <c r="N29" s="21"/>
    </row>
    <row r="30" spans="1:14">
      <c r="A30" s="28" t="s">
        <v>199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>
      <c r="A31" s="20">
        <v>1</v>
      </c>
      <c r="B31" s="22" t="s">
        <v>131</v>
      </c>
      <c r="C31" s="22" t="s">
        <v>89</v>
      </c>
      <c r="D31" s="22" t="s">
        <v>132</v>
      </c>
      <c r="E31" s="22" t="s">
        <v>133</v>
      </c>
      <c r="F31" s="23"/>
      <c r="G31" s="22" t="s">
        <v>52</v>
      </c>
      <c r="H31" s="21"/>
      <c r="I31" s="12" t="s">
        <v>205</v>
      </c>
      <c r="J31" s="21"/>
      <c r="K31" s="21"/>
      <c r="L31" s="21"/>
      <c r="M31" s="21"/>
      <c r="N31" s="21"/>
    </row>
    <row r="32" spans="1:14" ht="36">
      <c r="A32" s="20">
        <v>2</v>
      </c>
      <c r="B32" s="22"/>
      <c r="C32" s="22"/>
      <c r="D32" s="22" t="s">
        <v>134</v>
      </c>
      <c r="E32" s="22" t="s">
        <v>135</v>
      </c>
      <c r="F32" s="23"/>
      <c r="G32" s="22" t="s">
        <v>52</v>
      </c>
      <c r="H32" s="21"/>
      <c r="I32" s="12" t="s">
        <v>205</v>
      </c>
      <c r="J32" s="21"/>
      <c r="K32" s="21"/>
      <c r="L32" s="21"/>
      <c r="M32" s="21"/>
      <c r="N32" s="21"/>
    </row>
    <row r="33" spans="1:14" ht="24">
      <c r="A33" s="20">
        <v>3</v>
      </c>
      <c r="B33" s="22" t="s">
        <v>136</v>
      </c>
      <c r="C33" s="22" t="s">
        <v>137</v>
      </c>
      <c r="D33" s="22" t="s">
        <v>138</v>
      </c>
      <c r="E33" s="22" t="s">
        <v>139</v>
      </c>
      <c r="F33" s="26"/>
      <c r="G33" s="22" t="s">
        <v>52</v>
      </c>
      <c r="H33" s="21"/>
      <c r="I33" s="12" t="s">
        <v>205</v>
      </c>
      <c r="J33" s="21"/>
      <c r="K33" s="21"/>
      <c r="L33" s="21"/>
      <c r="M33" s="21"/>
      <c r="N33" s="21"/>
    </row>
    <row r="34" spans="1:14" ht="36">
      <c r="A34" s="20">
        <v>4</v>
      </c>
      <c r="B34" s="22"/>
      <c r="C34" s="22"/>
      <c r="D34" s="22" t="s">
        <v>140</v>
      </c>
      <c r="E34" s="22" t="s">
        <v>141</v>
      </c>
      <c r="F34" s="23"/>
      <c r="G34" s="22" t="s">
        <v>52</v>
      </c>
      <c r="H34" s="21"/>
      <c r="I34" s="12" t="s">
        <v>205</v>
      </c>
      <c r="J34" s="21"/>
      <c r="K34" s="21"/>
      <c r="L34" s="21"/>
      <c r="M34" s="21"/>
      <c r="N34" s="21"/>
    </row>
    <row r="35" spans="1:14" ht="24">
      <c r="A35" s="20">
        <v>5</v>
      </c>
      <c r="B35" s="22"/>
      <c r="C35" s="22"/>
      <c r="D35" s="22" t="s">
        <v>142</v>
      </c>
      <c r="E35" s="22" t="s">
        <v>139</v>
      </c>
      <c r="F35" s="23"/>
      <c r="G35" s="22" t="s">
        <v>52</v>
      </c>
      <c r="H35" s="21"/>
      <c r="I35" s="12" t="s">
        <v>205</v>
      </c>
      <c r="J35" s="21"/>
      <c r="K35" s="21"/>
      <c r="L35" s="21"/>
      <c r="M35" s="21"/>
      <c r="N35" s="21"/>
    </row>
    <row r="36" spans="1:14" ht="36">
      <c r="A36" s="20">
        <v>6</v>
      </c>
      <c r="B36" s="22"/>
      <c r="C36" s="22"/>
      <c r="D36" s="22" t="s">
        <v>143</v>
      </c>
      <c r="E36" s="22" t="s">
        <v>141</v>
      </c>
      <c r="F36" s="23"/>
      <c r="G36" s="22" t="s">
        <v>52</v>
      </c>
      <c r="H36" s="21"/>
      <c r="I36" s="12" t="s">
        <v>205</v>
      </c>
      <c r="J36" s="21"/>
      <c r="K36" s="21"/>
      <c r="L36" s="21"/>
      <c r="M36" s="21"/>
      <c r="N36" s="21"/>
    </row>
    <row r="37" spans="1:14">
      <c r="A37" s="20">
        <v>7</v>
      </c>
      <c r="B37" s="22"/>
      <c r="C37" s="22"/>
      <c r="D37" s="22" t="s">
        <v>144</v>
      </c>
      <c r="E37" s="22" t="s">
        <v>139</v>
      </c>
      <c r="F37" s="23"/>
      <c r="G37" s="22" t="s">
        <v>52</v>
      </c>
      <c r="H37" s="21"/>
      <c r="I37" s="12" t="s">
        <v>205</v>
      </c>
      <c r="J37" s="21"/>
      <c r="K37" s="21"/>
      <c r="L37" s="21"/>
      <c r="M37" s="21"/>
      <c r="N37" s="21"/>
    </row>
    <row r="38" spans="1:14" ht="36">
      <c r="A38" s="20">
        <v>8</v>
      </c>
      <c r="B38" s="22"/>
      <c r="C38" s="22"/>
      <c r="D38" s="22" t="s">
        <v>145</v>
      </c>
      <c r="E38" s="22" t="s">
        <v>141</v>
      </c>
      <c r="F38" s="26"/>
      <c r="G38" s="22" t="s">
        <v>52</v>
      </c>
      <c r="H38" s="21"/>
      <c r="I38" s="12" t="s">
        <v>205</v>
      </c>
      <c r="J38" s="21"/>
      <c r="K38" s="21"/>
      <c r="L38" s="21"/>
      <c r="M38" s="21"/>
      <c r="N38" s="21"/>
    </row>
    <row r="39" spans="1:14">
      <c r="A39" s="20">
        <v>9</v>
      </c>
      <c r="B39" s="22" t="s">
        <v>146</v>
      </c>
      <c r="C39" s="22" t="s">
        <v>117</v>
      </c>
      <c r="D39" s="22" t="s">
        <v>147</v>
      </c>
      <c r="E39" s="22" t="s">
        <v>139</v>
      </c>
      <c r="F39" s="23"/>
      <c r="G39" s="22" t="s">
        <v>52</v>
      </c>
      <c r="H39" s="21"/>
      <c r="I39" s="12" t="s">
        <v>205</v>
      </c>
      <c r="J39" s="21"/>
      <c r="K39" s="21"/>
      <c r="L39" s="21"/>
      <c r="M39" s="21"/>
      <c r="N39" s="21"/>
    </row>
    <row r="40" spans="1:14" ht="36">
      <c r="A40" s="20">
        <v>10</v>
      </c>
      <c r="B40" s="22"/>
      <c r="C40" s="22"/>
      <c r="D40" s="22" t="s">
        <v>148</v>
      </c>
      <c r="E40" s="22" t="s">
        <v>149</v>
      </c>
      <c r="F40" s="23"/>
      <c r="G40" s="22" t="s">
        <v>52</v>
      </c>
      <c r="H40" s="21"/>
      <c r="I40" s="12" t="s">
        <v>205</v>
      </c>
      <c r="J40" s="21"/>
      <c r="K40" s="21"/>
      <c r="L40" s="21"/>
      <c r="M40" s="21"/>
      <c r="N40" s="21"/>
    </row>
    <row r="41" spans="1:14" ht="24">
      <c r="A41" s="20">
        <v>11</v>
      </c>
      <c r="B41" s="22" t="s">
        <v>150</v>
      </c>
      <c r="C41" s="22" t="s">
        <v>93</v>
      </c>
      <c r="D41" s="22" t="s">
        <v>151</v>
      </c>
      <c r="E41" s="22" t="s">
        <v>139</v>
      </c>
      <c r="F41" s="23"/>
      <c r="G41" s="22" t="s">
        <v>52</v>
      </c>
      <c r="H41" s="21"/>
      <c r="I41" s="12" t="s">
        <v>205</v>
      </c>
      <c r="J41" s="21"/>
      <c r="K41" s="21"/>
      <c r="L41" s="21"/>
      <c r="M41" s="21"/>
      <c r="N41" s="21"/>
    </row>
    <row r="42" spans="1:14" ht="36">
      <c r="A42" s="20">
        <v>12</v>
      </c>
      <c r="B42" s="22"/>
      <c r="C42" s="22"/>
      <c r="D42" s="22" t="s">
        <v>152</v>
      </c>
      <c r="E42" s="22" t="s">
        <v>153</v>
      </c>
      <c r="F42" s="26"/>
      <c r="G42" s="22" t="s">
        <v>52</v>
      </c>
      <c r="H42" s="21"/>
      <c r="I42" s="12" t="s">
        <v>205</v>
      </c>
      <c r="J42" s="21"/>
      <c r="K42" s="21"/>
      <c r="L42" s="21"/>
      <c r="M42" s="21"/>
      <c r="N42" s="21"/>
    </row>
    <row r="43" spans="1:14">
      <c r="A43" s="20">
        <v>13</v>
      </c>
      <c r="B43" s="21"/>
      <c r="C43" s="22"/>
      <c r="D43" s="21" t="s">
        <v>154</v>
      </c>
      <c r="E43" s="21" t="s">
        <v>139</v>
      </c>
      <c r="F43" s="12"/>
      <c r="G43" s="21" t="s">
        <v>52</v>
      </c>
      <c r="H43" s="21"/>
      <c r="I43" s="12" t="s">
        <v>205</v>
      </c>
      <c r="J43" s="21"/>
      <c r="K43" s="21"/>
      <c r="L43" s="21"/>
      <c r="M43" s="21"/>
      <c r="N43" s="21"/>
    </row>
    <row r="44" spans="1:14" ht="36">
      <c r="A44" s="20">
        <v>14</v>
      </c>
      <c r="B44" s="21"/>
      <c r="C44" s="21"/>
      <c r="D44" s="21" t="s">
        <v>155</v>
      </c>
      <c r="E44" s="21" t="s">
        <v>153</v>
      </c>
      <c r="F44" s="12"/>
      <c r="G44" s="21" t="s">
        <v>52</v>
      </c>
      <c r="H44" s="21"/>
      <c r="I44" s="12" t="s">
        <v>205</v>
      </c>
      <c r="J44" s="21"/>
      <c r="K44" s="21"/>
      <c r="L44" s="21"/>
      <c r="M44" s="21"/>
      <c r="N44" s="21"/>
    </row>
    <row r="45" spans="1:14">
      <c r="A45" s="20">
        <v>15</v>
      </c>
      <c r="B45" s="21"/>
      <c r="C45" s="21"/>
      <c r="D45" s="21" t="s">
        <v>156</v>
      </c>
      <c r="E45" s="21" t="s">
        <v>139</v>
      </c>
      <c r="F45" s="12"/>
      <c r="G45" s="21" t="s">
        <v>210</v>
      </c>
      <c r="H45" s="21"/>
      <c r="I45" s="12" t="s">
        <v>205</v>
      </c>
      <c r="J45" s="21"/>
      <c r="K45" s="21"/>
      <c r="L45" s="21"/>
      <c r="M45" s="21"/>
      <c r="N45" s="21"/>
    </row>
    <row r="46" spans="1:14">
      <c r="A46" s="20">
        <v>16</v>
      </c>
      <c r="B46" s="21" t="s">
        <v>131</v>
      </c>
      <c r="C46" s="21" t="s">
        <v>93</v>
      </c>
      <c r="D46" s="21" t="s">
        <v>157</v>
      </c>
      <c r="E46" s="21" t="s">
        <v>133</v>
      </c>
      <c r="F46" s="12"/>
      <c r="G46" s="21" t="s">
        <v>52</v>
      </c>
      <c r="H46" s="21"/>
      <c r="I46" s="12" t="s">
        <v>205</v>
      </c>
      <c r="J46" s="21"/>
      <c r="K46" s="21"/>
      <c r="L46" s="21"/>
      <c r="M46" s="21"/>
      <c r="N46" s="21"/>
    </row>
    <row r="47" spans="1:14" ht="36">
      <c r="A47" s="20">
        <v>17</v>
      </c>
      <c r="B47" s="21"/>
      <c r="C47" s="21"/>
      <c r="D47" s="21" t="s">
        <v>158</v>
      </c>
      <c r="E47" s="21" t="s">
        <v>159</v>
      </c>
      <c r="F47" s="12"/>
      <c r="G47" s="21" t="s">
        <v>52</v>
      </c>
      <c r="H47" s="21"/>
      <c r="I47" s="12" t="s">
        <v>205</v>
      </c>
      <c r="J47" s="21"/>
      <c r="K47" s="21"/>
      <c r="L47" s="21"/>
      <c r="M47" s="21"/>
      <c r="N47" s="21"/>
    </row>
    <row r="48" spans="1:14">
      <c r="A48" s="20">
        <v>18</v>
      </c>
      <c r="B48" s="21" t="s">
        <v>160</v>
      </c>
      <c r="C48" s="21" t="s">
        <v>161</v>
      </c>
      <c r="D48" s="21" t="s">
        <v>162</v>
      </c>
      <c r="E48" s="21" t="s">
        <v>139</v>
      </c>
      <c r="F48" s="12"/>
      <c r="G48" s="21" t="s">
        <v>52</v>
      </c>
      <c r="H48" s="21"/>
      <c r="I48" s="12" t="s">
        <v>205</v>
      </c>
      <c r="J48" s="21"/>
      <c r="K48" s="21"/>
      <c r="L48" s="21"/>
      <c r="M48" s="21"/>
      <c r="N48" s="21"/>
    </row>
    <row r="49" spans="1:14" ht="36">
      <c r="A49" s="20">
        <v>19</v>
      </c>
      <c r="B49" s="21"/>
      <c r="C49" s="21"/>
      <c r="D49" s="21" t="s">
        <v>163</v>
      </c>
      <c r="E49" s="21" t="s">
        <v>164</v>
      </c>
      <c r="F49" s="12"/>
      <c r="G49" s="21" t="s">
        <v>52</v>
      </c>
      <c r="H49" s="21"/>
      <c r="I49" s="12" t="s">
        <v>205</v>
      </c>
      <c r="J49" s="21"/>
      <c r="K49" s="21"/>
      <c r="L49" s="21"/>
      <c r="M49" s="21"/>
      <c r="N49" s="21"/>
    </row>
    <row r="50" spans="1:14">
      <c r="A50" s="20">
        <v>20</v>
      </c>
      <c r="B50" s="21"/>
      <c r="C50" s="21"/>
      <c r="D50" s="21" t="s">
        <v>165</v>
      </c>
      <c r="E50" s="21" t="s">
        <v>139</v>
      </c>
      <c r="F50" s="12"/>
      <c r="G50" s="21" t="s">
        <v>52</v>
      </c>
      <c r="H50" s="21"/>
      <c r="I50" s="12" t="s">
        <v>205</v>
      </c>
      <c r="J50" s="21"/>
      <c r="K50" s="21"/>
      <c r="L50" s="21"/>
      <c r="M50" s="21"/>
      <c r="N50" s="21"/>
    </row>
    <row r="51" spans="1:14" ht="36">
      <c r="A51" s="20">
        <v>21</v>
      </c>
      <c r="B51" s="21"/>
      <c r="C51" s="21"/>
      <c r="D51" s="21" t="s">
        <v>166</v>
      </c>
      <c r="E51" s="21" t="s">
        <v>164</v>
      </c>
      <c r="F51" s="12"/>
      <c r="G51" s="21" t="s">
        <v>52</v>
      </c>
      <c r="H51" s="21"/>
      <c r="I51" s="12" t="s">
        <v>205</v>
      </c>
      <c r="J51" s="21"/>
      <c r="K51" s="21"/>
      <c r="L51" s="21"/>
      <c r="M51" s="21"/>
      <c r="N51" s="21"/>
    </row>
    <row r="52" spans="1:14">
      <c r="A52" s="20">
        <v>22</v>
      </c>
      <c r="B52" s="21"/>
      <c r="C52" s="21"/>
      <c r="D52" s="21" t="s">
        <v>167</v>
      </c>
      <c r="E52" s="21" t="s">
        <v>139</v>
      </c>
      <c r="F52" s="12"/>
      <c r="G52" s="21" t="s">
        <v>52</v>
      </c>
      <c r="H52" s="21"/>
      <c r="I52" s="12" t="s">
        <v>205</v>
      </c>
      <c r="J52" s="21"/>
      <c r="K52" s="21"/>
      <c r="L52" s="21"/>
      <c r="M52" s="21"/>
      <c r="N52" s="21"/>
    </row>
    <row r="53" spans="1:14" ht="36">
      <c r="A53" s="20">
        <v>23</v>
      </c>
      <c r="B53" s="21"/>
      <c r="C53" s="22"/>
      <c r="D53" s="21" t="s">
        <v>168</v>
      </c>
      <c r="E53" s="21" t="s">
        <v>169</v>
      </c>
      <c r="F53" s="12"/>
      <c r="G53" s="21" t="s">
        <v>52</v>
      </c>
      <c r="H53" s="21"/>
      <c r="I53" s="12" t="s">
        <v>205</v>
      </c>
      <c r="J53" s="21"/>
      <c r="K53" s="21"/>
      <c r="L53" s="21"/>
      <c r="M53" s="21"/>
      <c r="N53" s="21"/>
    </row>
    <row r="54" spans="1:14">
      <c r="A54" s="20">
        <v>24</v>
      </c>
      <c r="B54" s="21" t="s">
        <v>131</v>
      </c>
      <c r="C54" s="21" t="s">
        <v>97</v>
      </c>
      <c r="D54" s="21" t="s">
        <v>170</v>
      </c>
      <c r="E54" s="21" t="s">
        <v>139</v>
      </c>
      <c r="F54" s="12"/>
      <c r="G54" s="21" t="s">
        <v>52</v>
      </c>
      <c r="H54" s="21"/>
      <c r="I54" s="12" t="s">
        <v>205</v>
      </c>
      <c r="J54" s="21"/>
      <c r="K54" s="21"/>
      <c r="L54" s="21"/>
      <c r="M54" s="21"/>
      <c r="N54" s="21"/>
    </row>
    <row r="55" spans="1:14">
      <c r="A55" s="20">
        <v>25</v>
      </c>
      <c r="B55" s="21"/>
      <c r="C55" s="21"/>
      <c r="D55" s="21" t="s">
        <v>171</v>
      </c>
      <c r="E55" s="21" t="s">
        <v>139</v>
      </c>
      <c r="F55" s="12"/>
      <c r="G55" s="21" t="s">
        <v>52</v>
      </c>
      <c r="H55" s="21"/>
      <c r="I55" s="12" t="s">
        <v>205</v>
      </c>
      <c r="J55" s="21"/>
      <c r="K55" s="21"/>
      <c r="L55" s="21"/>
      <c r="M55" s="21"/>
      <c r="N55" s="21"/>
    </row>
    <row r="56" spans="1:14" ht="24">
      <c r="A56" s="20">
        <v>26</v>
      </c>
      <c r="B56" s="21"/>
      <c r="C56" s="21"/>
      <c r="D56" s="21" t="s">
        <v>172</v>
      </c>
      <c r="E56" s="21" t="s">
        <v>173</v>
      </c>
      <c r="F56" s="12"/>
      <c r="G56" s="21" t="s">
        <v>52</v>
      </c>
      <c r="H56" s="21"/>
      <c r="I56" s="12" t="s">
        <v>205</v>
      </c>
      <c r="J56" s="21"/>
      <c r="K56" s="21"/>
      <c r="L56" s="21"/>
      <c r="M56" s="21"/>
      <c r="N56" s="21"/>
    </row>
    <row r="57" spans="1:14" ht="36">
      <c r="A57" s="20">
        <v>27</v>
      </c>
      <c r="B57" s="21"/>
      <c r="C57" s="21"/>
      <c r="D57" s="21" t="s">
        <v>174</v>
      </c>
      <c r="E57" s="21" t="s">
        <v>175</v>
      </c>
      <c r="F57" s="27"/>
      <c r="G57" s="21" t="s">
        <v>52</v>
      </c>
      <c r="H57" s="21"/>
      <c r="I57" s="12" t="s">
        <v>205</v>
      </c>
      <c r="J57" s="21"/>
      <c r="K57" s="21"/>
      <c r="L57" s="21"/>
      <c r="M57" s="21"/>
      <c r="N57" s="21"/>
    </row>
    <row r="58" spans="1:14">
      <c r="A58" s="20">
        <v>28</v>
      </c>
      <c r="B58" s="21" t="s">
        <v>176</v>
      </c>
      <c r="C58" s="21" t="s">
        <v>177</v>
      </c>
      <c r="D58" s="21" t="s">
        <v>178</v>
      </c>
      <c r="E58" s="21" t="s">
        <v>139</v>
      </c>
      <c r="F58" s="12"/>
      <c r="G58" s="21" t="s">
        <v>52</v>
      </c>
      <c r="H58" s="21"/>
      <c r="I58" s="12" t="s">
        <v>205</v>
      </c>
      <c r="J58" s="21"/>
      <c r="K58" s="21"/>
      <c r="L58" s="21"/>
      <c r="M58" s="21"/>
      <c r="N58" s="21"/>
    </row>
    <row r="59" spans="1:14" ht="36">
      <c r="A59" s="20">
        <v>29</v>
      </c>
      <c r="B59" s="21"/>
      <c r="C59" s="21"/>
      <c r="D59" s="21" t="s">
        <v>179</v>
      </c>
      <c r="E59" s="21" t="s">
        <v>180</v>
      </c>
      <c r="F59" s="12"/>
      <c r="G59" s="21" t="s">
        <v>52</v>
      </c>
      <c r="H59" s="21"/>
      <c r="I59" s="12" t="s">
        <v>205</v>
      </c>
      <c r="J59" s="21"/>
      <c r="K59" s="21"/>
      <c r="L59" s="21"/>
      <c r="M59" s="21"/>
      <c r="N59" s="21"/>
    </row>
    <row r="60" spans="1:14">
      <c r="A60" s="20">
        <v>30</v>
      </c>
      <c r="B60" s="21" t="s">
        <v>181</v>
      </c>
      <c r="C60" s="21" t="s">
        <v>182</v>
      </c>
      <c r="D60" s="21" t="s">
        <v>183</v>
      </c>
      <c r="E60" s="21" t="s">
        <v>139</v>
      </c>
      <c r="F60" s="12"/>
      <c r="G60" s="21" t="s">
        <v>52</v>
      </c>
      <c r="H60" s="21"/>
      <c r="I60" s="12" t="s">
        <v>205</v>
      </c>
      <c r="J60" s="21"/>
      <c r="K60" s="21"/>
      <c r="L60" s="21"/>
      <c r="M60" s="21"/>
      <c r="N60" s="21"/>
    </row>
    <row r="61" spans="1:14" ht="36">
      <c r="A61" s="20">
        <v>31</v>
      </c>
      <c r="B61" s="21"/>
      <c r="C61" s="21"/>
      <c r="D61" s="21" t="s">
        <v>184</v>
      </c>
      <c r="E61" s="21" t="s">
        <v>185</v>
      </c>
      <c r="F61" s="12"/>
      <c r="G61" s="21" t="s">
        <v>52</v>
      </c>
      <c r="H61" s="21"/>
      <c r="I61" s="12" t="s">
        <v>205</v>
      </c>
      <c r="J61" s="21"/>
      <c r="K61" s="21"/>
      <c r="L61" s="21"/>
      <c r="M61" s="21"/>
      <c r="N61" s="21"/>
    </row>
    <row r="62" spans="1:14">
      <c r="A62" s="20">
        <v>32</v>
      </c>
      <c r="B62" s="21"/>
      <c r="C62" s="22"/>
      <c r="D62" s="21" t="s">
        <v>186</v>
      </c>
      <c r="E62" s="21" t="s">
        <v>139</v>
      </c>
      <c r="F62" s="12"/>
      <c r="G62" s="21" t="s">
        <v>52</v>
      </c>
      <c r="H62" s="21"/>
      <c r="I62" s="12" t="s">
        <v>205</v>
      </c>
      <c r="J62" s="21"/>
      <c r="K62" s="21"/>
      <c r="L62" s="21"/>
      <c r="M62" s="21"/>
      <c r="N62" s="21"/>
    </row>
    <row r="63" spans="1:14" ht="36">
      <c r="A63" s="20">
        <v>33</v>
      </c>
      <c r="B63" s="21"/>
      <c r="C63" s="21"/>
      <c r="D63" s="21" t="s">
        <v>187</v>
      </c>
      <c r="E63" s="21" t="s">
        <v>185</v>
      </c>
      <c r="F63" s="12"/>
      <c r="G63" s="21" t="s">
        <v>52</v>
      </c>
      <c r="H63" s="21"/>
      <c r="I63" s="12" t="s">
        <v>205</v>
      </c>
      <c r="J63" s="21"/>
      <c r="K63" s="21"/>
      <c r="L63" s="21"/>
      <c r="M63" s="21"/>
      <c r="N63" s="21"/>
    </row>
    <row r="64" spans="1:14">
      <c r="A64" s="28" t="s">
        <v>200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1:14">
      <c r="A65" s="20">
        <v>1</v>
      </c>
      <c r="B65" s="21" t="s">
        <v>188</v>
      </c>
      <c r="C65" s="21" t="s">
        <v>189</v>
      </c>
      <c r="D65" s="21" t="s">
        <v>190</v>
      </c>
      <c r="E65" s="21" t="s">
        <v>191</v>
      </c>
      <c r="F65" s="12"/>
      <c r="G65" s="21" t="s">
        <v>52</v>
      </c>
      <c r="H65" s="21"/>
      <c r="I65" s="12" t="s">
        <v>205</v>
      </c>
      <c r="J65" s="21"/>
      <c r="K65" s="21"/>
      <c r="L65" s="21"/>
      <c r="M65" s="21"/>
      <c r="N65" s="21"/>
    </row>
    <row r="66" spans="1:14">
      <c r="A66" s="20">
        <v>2</v>
      </c>
      <c r="B66" s="21"/>
      <c r="C66" s="21"/>
      <c r="D66" s="21" t="s">
        <v>192</v>
      </c>
      <c r="E66" s="21" t="s">
        <v>193</v>
      </c>
      <c r="F66" s="12"/>
      <c r="G66" s="21" t="s">
        <v>52</v>
      </c>
      <c r="H66" s="21"/>
      <c r="I66" s="12" t="s">
        <v>205</v>
      </c>
      <c r="J66" s="21"/>
      <c r="K66" s="21"/>
      <c r="L66" s="21"/>
      <c r="M66" s="21"/>
      <c r="N66" s="21"/>
    </row>
    <row r="67" spans="1:14">
      <c r="A67" s="20">
        <v>3</v>
      </c>
      <c r="B67" s="21"/>
      <c r="C67" s="21"/>
      <c r="D67" s="21" t="s">
        <v>194</v>
      </c>
      <c r="E67" s="21" t="s">
        <v>195</v>
      </c>
      <c r="F67" s="27"/>
      <c r="G67" s="21" t="s">
        <v>52</v>
      </c>
      <c r="H67" s="21"/>
      <c r="I67" s="12" t="s">
        <v>205</v>
      </c>
      <c r="J67" s="21"/>
      <c r="K67" s="21"/>
      <c r="L67" s="21"/>
      <c r="M67" s="21"/>
      <c r="N67" s="21"/>
    </row>
    <row r="68" spans="1:14">
      <c r="A68" s="28" t="s">
        <v>201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>
      <c r="A69" s="20">
        <v>1</v>
      </c>
      <c r="B69" s="21" t="s">
        <v>57</v>
      </c>
      <c r="C69" s="21" t="s">
        <v>58</v>
      </c>
      <c r="D69" s="21" t="s">
        <v>59</v>
      </c>
      <c r="E69" s="21" t="s">
        <v>60</v>
      </c>
      <c r="F69" s="12"/>
      <c r="G69" s="21" t="s">
        <v>52</v>
      </c>
      <c r="H69" s="21"/>
      <c r="I69" s="12" t="s">
        <v>205</v>
      </c>
      <c r="J69" s="21"/>
      <c r="K69" s="21"/>
      <c r="L69" s="21"/>
      <c r="M69" s="21"/>
      <c r="N69" s="21"/>
    </row>
    <row r="70" spans="1:14">
      <c r="A70" s="20">
        <v>2</v>
      </c>
      <c r="B70" s="21"/>
      <c r="C70" s="21" t="s">
        <v>61</v>
      </c>
      <c r="D70" s="21" t="s">
        <v>62</v>
      </c>
      <c r="E70" s="21" t="s">
        <v>196</v>
      </c>
      <c r="F70" s="12"/>
      <c r="G70" s="21" t="s">
        <v>52</v>
      </c>
      <c r="H70" s="21"/>
      <c r="I70" s="12" t="s">
        <v>205</v>
      </c>
      <c r="J70" s="21"/>
      <c r="K70" s="21"/>
      <c r="L70" s="21"/>
      <c r="M70" s="21"/>
      <c r="N70" s="21"/>
    </row>
    <row r="71" spans="1:14">
      <c r="A71" s="20">
        <v>3</v>
      </c>
      <c r="B71" s="21"/>
      <c r="C71" s="21" t="s">
        <v>63</v>
      </c>
      <c r="D71" s="21" t="s">
        <v>64</v>
      </c>
      <c r="E71" s="21" t="s">
        <v>197</v>
      </c>
      <c r="F71" s="12"/>
      <c r="G71" s="21" t="s">
        <v>52</v>
      </c>
      <c r="H71" s="21"/>
      <c r="I71" s="12" t="s">
        <v>205</v>
      </c>
      <c r="J71" s="21"/>
      <c r="K71" s="21"/>
      <c r="L71" s="21"/>
      <c r="M71" s="21"/>
      <c r="N71" s="21"/>
    </row>
    <row r="72" spans="1:14">
      <c r="A72" s="20">
        <v>4</v>
      </c>
      <c r="C72" s="21" t="s">
        <v>65</v>
      </c>
      <c r="D72" s="21" t="s">
        <v>66</v>
      </c>
      <c r="E72" s="21" t="s">
        <v>67</v>
      </c>
      <c r="F72" s="12"/>
      <c r="G72" s="21" t="s">
        <v>52</v>
      </c>
      <c r="H72" s="21"/>
      <c r="I72" s="12" t="s">
        <v>205</v>
      </c>
      <c r="J72" s="21"/>
      <c r="K72" s="21"/>
      <c r="L72" s="21"/>
      <c r="M72" s="21"/>
      <c r="N72" s="21"/>
    </row>
    <row r="73" spans="1:14">
      <c r="A73" s="20">
        <v>5</v>
      </c>
      <c r="B73" s="21"/>
      <c r="C73" s="21" t="s">
        <v>68</v>
      </c>
      <c r="D73" s="21" t="s">
        <v>69</v>
      </c>
      <c r="E73" s="21" t="s">
        <v>70</v>
      </c>
      <c r="F73" s="12"/>
      <c r="G73" s="21" t="s">
        <v>52</v>
      </c>
      <c r="H73" s="21"/>
      <c r="I73" s="12" t="s">
        <v>205</v>
      </c>
      <c r="J73" s="21"/>
      <c r="K73" s="21"/>
      <c r="L73" s="21"/>
      <c r="M73" s="21"/>
      <c r="N73" s="21"/>
    </row>
    <row r="74" spans="1:14">
      <c r="A74" s="20">
        <v>6</v>
      </c>
      <c r="B74" s="21" t="s">
        <v>71</v>
      </c>
      <c r="C74" s="21" t="s">
        <v>58</v>
      </c>
      <c r="D74" s="21" t="s">
        <v>72</v>
      </c>
      <c r="E74" s="21" t="s">
        <v>73</v>
      </c>
      <c r="F74" s="12"/>
      <c r="G74" s="21" t="s">
        <v>52</v>
      </c>
      <c r="H74" s="21"/>
      <c r="I74" s="12" t="s">
        <v>205</v>
      </c>
      <c r="J74" s="21"/>
      <c r="K74" s="21"/>
      <c r="L74" s="21"/>
      <c r="M74" s="21"/>
      <c r="N74" s="21"/>
    </row>
    <row r="75" spans="1:14">
      <c r="A75" s="20">
        <v>7</v>
      </c>
      <c r="B75" s="21"/>
      <c r="C75" s="21" t="s">
        <v>58</v>
      </c>
      <c r="D75" s="21" t="s">
        <v>74</v>
      </c>
      <c r="E75" s="21" t="s">
        <v>75</v>
      </c>
      <c r="F75" s="12"/>
      <c r="G75" s="21" t="s">
        <v>52</v>
      </c>
      <c r="H75" s="21"/>
      <c r="I75" s="12" t="s">
        <v>205</v>
      </c>
      <c r="J75" s="21"/>
      <c r="K75" s="21"/>
      <c r="L75" s="21"/>
      <c r="M75" s="21"/>
      <c r="N75" s="21"/>
    </row>
    <row r="76" spans="1:14">
      <c r="A76" s="20">
        <v>8</v>
      </c>
      <c r="B76" s="21"/>
      <c r="C76" s="21" t="s">
        <v>68</v>
      </c>
      <c r="D76" s="21" t="s">
        <v>76</v>
      </c>
      <c r="E76" s="21" t="s">
        <v>198</v>
      </c>
      <c r="F76" s="12"/>
      <c r="G76" s="21" t="s">
        <v>52</v>
      </c>
      <c r="H76" s="21"/>
      <c r="I76" s="12" t="s">
        <v>205</v>
      </c>
      <c r="J76" s="21"/>
      <c r="K76" s="21"/>
      <c r="L76" s="21"/>
      <c r="M76" s="21"/>
      <c r="N76" s="21"/>
    </row>
    <row r="77" spans="1:14">
      <c r="A77" s="28" t="s">
        <v>202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>
      <c r="A78" s="20">
        <v>1</v>
      </c>
      <c r="B78" s="21" t="s">
        <v>77</v>
      </c>
      <c r="C78" s="21" t="s">
        <v>78</v>
      </c>
      <c r="D78" s="21" t="s">
        <v>79</v>
      </c>
      <c r="E78" s="21" t="s">
        <v>80</v>
      </c>
      <c r="F78" s="12"/>
      <c r="G78" s="21" t="s">
        <v>52</v>
      </c>
      <c r="H78" s="21"/>
      <c r="I78" s="12" t="s">
        <v>205</v>
      </c>
      <c r="J78" s="21"/>
      <c r="K78" s="21"/>
      <c r="L78" s="21"/>
      <c r="M78" s="21"/>
      <c r="N78" s="21"/>
    </row>
    <row r="79" spans="1:14">
      <c r="A79" s="20">
        <v>2</v>
      </c>
      <c r="B79" s="21" t="s">
        <v>81</v>
      </c>
      <c r="C79" s="21" t="s">
        <v>82</v>
      </c>
      <c r="D79" s="21" t="s">
        <v>83</v>
      </c>
      <c r="E79" s="21" t="s">
        <v>84</v>
      </c>
      <c r="F79" s="12"/>
      <c r="G79" s="21" t="s">
        <v>52</v>
      </c>
      <c r="H79" s="21"/>
      <c r="I79" s="12" t="s">
        <v>205</v>
      </c>
      <c r="J79" s="21"/>
      <c r="K79" s="21"/>
      <c r="L79" s="21"/>
      <c r="M79" s="21"/>
      <c r="N79" s="21"/>
    </row>
    <row r="80" spans="1:14">
      <c r="A80" s="20">
        <v>3</v>
      </c>
      <c r="B80" s="21" t="s">
        <v>85</v>
      </c>
      <c r="C80" s="21" t="s">
        <v>86</v>
      </c>
      <c r="D80" s="21" t="s">
        <v>87</v>
      </c>
      <c r="E80" s="21" t="s">
        <v>88</v>
      </c>
      <c r="F80" s="12"/>
      <c r="G80" s="21" t="s">
        <v>52</v>
      </c>
      <c r="H80" s="21"/>
      <c r="I80" s="12" t="s">
        <v>205</v>
      </c>
      <c r="J80" s="21"/>
      <c r="K80" s="21"/>
      <c r="L80" s="21"/>
      <c r="M80" s="21"/>
      <c r="N80" s="21"/>
    </row>
    <row r="81" spans="1:14">
      <c r="A81" s="20"/>
      <c r="B81" s="21"/>
      <c r="C81" s="21"/>
      <c r="D81" s="21"/>
      <c r="E81" s="21"/>
      <c r="F81" s="12"/>
      <c r="G81" s="21"/>
      <c r="H81" s="21"/>
      <c r="I81" s="12"/>
      <c r="J81" s="21"/>
      <c r="K81" s="21"/>
      <c r="L81" s="21"/>
      <c r="M81" s="21"/>
      <c r="N81" s="21"/>
    </row>
    <row r="82" spans="1:14">
      <c r="A82" s="20"/>
      <c r="B82" s="21"/>
      <c r="C82" s="21"/>
      <c r="D82" s="21"/>
      <c r="E82" s="21"/>
      <c r="F82" s="12"/>
      <c r="G82" s="21"/>
      <c r="H82" s="21"/>
      <c r="I82" s="12"/>
      <c r="J82" s="21"/>
      <c r="K82" s="21"/>
      <c r="L82" s="21"/>
      <c r="M82" s="21"/>
      <c r="N82" s="21"/>
    </row>
    <row r="83" spans="1:14">
      <c r="A83" s="20"/>
      <c r="B83" s="21"/>
      <c r="C83" s="21"/>
      <c r="D83" s="21"/>
      <c r="E83" s="21"/>
      <c r="F83" s="12"/>
      <c r="G83" s="21"/>
      <c r="H83" s="21"/>
      <c r="I83" s="12"/>
      <c r="J83" s="21"/>
      <c r="K83" s="21"/>
      <c r="L83" s="21"/>
      <c r="M83" s="21"/>
      <c r="N83" s="21"/>
    </row>
    <row r="84" spans="1:14">
      <c r="A84" s="20"/>
      <c r="B84" s="21"/>
      <c r="C84" s="21"/>
      <c r="D84" s="21"/>
      <c r="E84" s="21"/>
      <c r="F84" s="12"/>
      <c r="G84" s="21"/>
      <c r="H84" s="21"/>
      <c r="I84" s="12"/>
      <c r="J84" s="21"/>
      <c r="K84" s="21"/>
      <c r="L84" s="21"/>
      <c r="M84" s="21"/>
      <c r="N84" s="21"/>
    </row>
    <row r="85" spans="1:14">
      <c r="A85" s="20"/>
      <c r="B85" s="21"/>
      <c r="C85" s="21"/>
      <c r="D85" s="21"/>
      <c r="E85" s="21"/>
      <c r="F85" s="12"/>
      <c r="G85" s="21"/>
      <c r="H85" s="21"/>
      <c r="I85" s="12"/>
      <c r="J85" s="21"/>
      <c r="K85" s="21"/>
      <c r="L85" s="21"/>
      <c r="M85" s="21"/>
      <c r="N85" s="21"/>
    </row>
    <row r="86" spans="1:14">
      <c r="A86" s="20"/>
      <c r="B86" s="21"/>
      <c r="C86" s="21"/>
      <c r="D86" s="21"/>
      <c r="E86" s="21"/>
      <c r="F86" s="12"/>
      <c r="G86" s="21"/>
      <c r="H86" s="21"/>
      <c r="I86" s="12"/>
      <c r="J86" s="21"/>
      <c r="K86" s="21"/>
      <c r="L86" s="21"/>
      <c r="M86" s="21"/>
      <c r="N86" s="21"/>
    </row>
    <row r="87" spans="1:14">
      <c r="A87" s="20"/>
      <c r="B87" s="21"/>
      <c r="C87" s="21"/>
      <c r="D87" s="21"/>
      <c r="E87" s="21"/>
      <c r="F87" s="12"/>
      <c r="G87" s="21"/>
      <c r="H87" s="21"/>
      <c r="I87" s="12"/>
      <c r="J87" s="21"/>
      <c r="K87" s="21"/>
      <c r="L87" s="21"/>
      <c r="M87" s="21"/>
      <c r="N87" s="21"/>
    </row>
    <row r="88" spans="1:14">
      <c r="A88" s="20"/>
      <c r="B88" s="21"/>
      <c r="C88" s="21"/>
      <c r="D88" s="21"/>
      <c r="E88" s="21"/>
      <c r="F88" s="12"/>
      <c r="G88" s="21"/>
      <c r="H88" s="21"/>
      <c r="I88" s="12"/>
      <c r="J88" s="21"/>
      <c r="K88" s="21"/>
      <c r="L88" s="21"/>
      <c r="M88" s="21"/>
      <c r="N88" s="21"/>
    </row>
    <row r="89" spans="1:14">
      <c r="A89" s="20"/>
      <c r="B89" s="21"/>
      <c r="C89" s="21"/>
      <c r="D89" s="21"/>
      <c r="E89" s="21"/>
      <c r="F89" s="12"/>
      <c r="G89" s="21"/>
      <c r="H89" s="21"/>
      <c r="I89" s="12"/>
      <c r="J89" s="21"/>
      <c r="K89" s="21"/>
      <c r="L89" s="21"/>
      <c r="M89" s="21"/>
      <c r="N89" s="21"/>
    </row>
    <row r="90" spans="1:14">
      <c r="A90" s="20"/>
      <c r="B90" s="21"/>
      <c r="C90" s="21"/>
      <c r="D90" s="21"/>
      <c r="E90" s="21"/>
      <c r="F90" s="12"/>
      <c r="G90" s="21"/>
      <c r="H90" s="21"/>
      <c r="I90" s="12"/>
      <c r="J90" s="21"/>
      <c r="K90" s="21"/>
      <c r="L90" s="21"/>
      <c r="M90" s="21"/>
      <c r="N90" s="21"/>
    </row>
    <row r="91" spans="1:14">
      <c r="A91" s="20"/>
      <c r="B91" s="21"/>
      <c r="C91" s="21"/>
      <c r="D91" s="21"/>
      <c r="E91" s="21"/>
      <c r="F91" s="12"/>
      <c r="G91" s="21"/>
      <c r="H91" s="21"/>
      <c r="I91" s="12"/>
      <c r="J91" s="21"/>
      <c r="K91" s="21"/>
      <c r="L91" s="21"/>
      <c r="M91" s="21"/>
      <c r="N91" s="21"/>
    </row>
    <row r="92" spans="1:14">
      <c r="A92" s="20"/>
      <c r="B92" s="21"/>
      <c r="C92" s="21"/>
      <c r="D92" s="21"/>
      <c r="E92" s="21"/>
      <c r="F92" s="12"/>
      <c r="G92" s="21"/>
      <c r="H92" s="21"/>
      <c r="I92" s="12"/>
      <c r="J92" s="21"/>
      <c r="K92" s="21"/>
      <c r="L92" s="21"/>
      <c r="M92" s="21"/>
      <c r="N92" s="21"/>
    </row>
    <row r="93" spans="1:14">
      <c r="A93" s="20"/>
      <c r="B93" s="21"/>
      <c r="C93" s="21"/>
      <c r="D93" s="21"/>
      <c r="E93" s="21"/>
      <c r="F93" s="12"/>
      <c r="G93" s="21"/>
      <c r="H93" s="21"/>
      <c r="I93" s="12"/>
      <c r="J93" s="21"/>
      <c r="K93" s="21"/>
      <c r="L93" s="21"/>
      <c r="M93" s="21"/>
      <c r="N93" s="21"/>
    </row>
    <row r="94" spans="1:14">
      <c r="A94" s="20"/>
      <c r="B94" s="21"/>
      <c r="C94" s="21"/>
      <c r="D94" s="21"/>
      <c r="E94" s="21"/>
      <c r="F94" s="12"/>
      <c r="G94" s="21"/>
      <c r="H94" s="21"/>
      <c r="I94" s="12"/>
      <c r="J94" s="21"/>
      <c r="K94" s="21"/>
      <c r="L94" s="21"/>
      <c r="M94" s="21"/>
      <c r="N94" s="21"/>
    </row>
    <row r="95" spans="1:14">
      <c r="A95" s="20"/>
      <c r="B95" s="21"/>
      <c r="C95" s="21"/>
      <c r="D95" s="21"/>
      <c r="E95" s="21"/>
      <c r="F95" s="12"/>
      <c r="G95" s="21"/>
      <c r="H95" s="21"/>
      <c r="I95" s="12"/>
      <c r="J95" s="21"/>
      <c r="K95" s="21"/>
      <c r="L95" s="21"/>
      <c r="M95" s="21"/>
      <c r="N95" s="21"/>
    </row>
    <row r="96" spans="1:14">
      <c r="A96" s="20"/>
      <c r="B96" s="21"/>
      <c r="C96" s="21"/>
      <c r="D96" s="21"/>
      <c r="E96" s="21"/>
      <c r="F96" s="12"/>
      <c r="G96" s="21"/>
      <c r="H96" s="21"/>
      <c r="I96" s="12"/>
      <c r="J96" s="21"/>
      <c r="K96" s="21"/>
      <c r="L96" s="21"/>
      <c r="M96" s="21"/>
      <c r="N96" s="21"/>
    </row>
    <row r="97" spans="1:14">
      <c r="A97" s="20"/>
      <c r="B97" s="21"/>
      <c r="C97" s="21"/>
      <c r="D97" s="21"/>
      <c r="E97" s="21"/>
      <c r="F97" s="12"/>
      <c r="G97" s="21"/>
      <c r="H97" s="21"/>
      <c r="I97" s="12"/>
      <c r="J97" s="21"/>
      <c r="K97" s="21"/>
      <c r="L97" s="21"/>
      <c r="M97" s="21"/>
      <c r="N97" s="21"/>
    </row>
    <row r="98" spans="1:14">
      <c r="A98" s="20"/>
      <c r="B98" s="21"/>
      <c r="C98" s="21"/>
      <c r="D98" s="21"/>
      <c r="E98" s="21"/>
      <c r="F98" s="12"/>
      <c r="G98" s="21"/>
      <c r="H98" s="21"/>
      <c r="I98" s="12"/>
      <c r="J98" s="21"/>
      <c r="K98" s="21"/>
      <c r="L98" s="21"/>
      <c r="M98" s="21"/>
      <c r="N98" s="21"/>
    </row>
    <row r="99" spans="1:14">
      <c r="A99" s="20"/>
      <c r="B99" s="21"/>
      <c r="C99" s="21"/>
      <c r="D99" s="21"/>
      <c r="E99" s="21"/>
      <c r="F99" s="12"/>
      <c r="G99" s="21"/>
      <c r="H99" s="21"/>
      <c r="I99" s="12"/>
      <c r="J99" s="21"/>
      <c r="K99" s="21"/>
      <c r="L99" s="21"/>
      <c r="M99" s="21"/>
      <c r="N99" s="21"/>
    </row>
    <row r="100" spans="1:14">
      <c r="A100" s="20"/>
      <c r="B100" s="21"/>
      <c r="C100" s="21"/>
      <c r="D100" s="21"/>
      <c r="E100" s="21"/>
      <c r="F100" s="12"/>
      <c r="G100" s="21"/>
      <c r="H100" s="21"/>
      <c r="I100" s="12"/>
      <c r="J100" s="21"/>
      <c r="K100" s="21"/>
      <c r="L100" s="21"/>
      <c r="M100" s="21"/>
      <c r="N100" s="21"/>
    </row>
    <row r="101" spans="1:14">
      <c r="A101" s="20"/>
      <c r="B101" s="21"/>
      <c r="C101" s="21"/>
      <c r="D101" s="21"/>
      <c r="E101" s="21"/>
      <c r="F101" s="12"/>
      <c r="G101" s="21"/>
      <c r="H101" s="21"/>
      <c r="I101" s="12"/>
      <c r="J101" s="21"/>
      <c r="K101" s="21"/>
      <c r="L101" s="21"/>
      <c r="M101" s="21"/>
      <c r="N101" s="21"/>
    </row>
    <row r="102" spans="1:14">
      <c r="A102" s="20"/>
      <c r="B102" s="21"/>
      <c r="C102" s="21"/>
      <c r="D102" s="21"/>
      <c r="E102" s="21"/>
      <c r="F102" s="12"/>
      <c r="G102" s="21"/>
      <c r="H102" s="21"/>
      <c r="I102" s="12"/>
      <c r="J102" s="21"/>
      <c r="K102" s="21"/>
      <c r="L102" s="21"/>
      <c r="M102" s="21"/>
      <c r="N102" s="21"/>
    </row>
    <row r="103" spans="1:14">
      <c r="A103" s="20"/>
      <c r="B103" s="21"/>
      <c r="C103" s="21"/>
      <c r="D103" s="21"/>
      <c r="E103" s="21"/>
      <c r="F103" s="12"/>
      <c r="G103" s="21"/>
      <c r="H103" s="21"/>
      <c r="I103" s="12"/>
      <c r="J103" s="21"/>
      <c r="K103" s="21"/>
      <c r="L103" s="21"/>
      <c r="M103" s="21"/>
      <c r="N103" s="21"/>
    </row>
    <row r="104" spans="1:14">
      <c r="A104" s="20"/>
      <c r="B104" s="21"/>
      <c r="C104" s="21"/>
      <c r="D104" s="21"/>
      <c r="E104" s="21"/>
      <c r="F104" s="12"/>
      <c r="G104" s="21"/>
      <c r="H104" s="21"/>
      <c r="I104" s="12"/>
      <c r="J104" s="21"/>
      <c r="K104" s="21"/>
      <c r="L104" s="21"/>
      <c r="M104" s="21"/>
      <c r="N104" s="21"/>
    </row>
    <row r="105" spans="1:14">
      <c r="A105" s="20"/>
      <c r="B105" s="21"/>
      <c r="C105" s="21"/>
      <c r="D105" s="21"/>
      <c r="E105" s="21"/>
      <c r="F105" s="12"/>
      <c r="G105" s="21"/>
      <c r="H105" s="21"/>
      <c r="I105" s="12"/>
      <c r="J105" s="21"/>
      <c r="K105" s="21"/>
      <c r="L105" s="21"/>
      <c r="M105" s="21"/>
      <c r="N105" s="21"/>
    </row>
    <row r="106" spans="1:14">
      <c r="A106" s="20"/>
      <c r="B106" s="21"/>
      <c r="C106" s="21"/>
      <c r="D106" s="21"/>
      <c r="E106" s="21"/>
      <c r="F106" s="12"/>
      <c r="G106" s="21"/>
      <c r="H106" s="21"/>
      <c r="I106" s="12"/>
      <c r="J106" s="21"/>
      <c r="K106" s="21"/>
      <c r="L106" s="21"/>
      <c r="M106" s="21"/>
      <c r="N106" s="21"/>
    </row>
    <row r="107" spans="1:14">
      <c r="A107" s="20"/>
      <c r="B107" s="21"/>
      <c r="C107" s="21"/>
      <c r="D107" s="21"/>
      <c r="E107" s="21"/>
      <c r="F107" s="12"/>
      <c r="G107" s="21"/>
      <c r="H107" s="21"/>
      <c r="I107" s="12"/>
      <c r="J107" s="21"/>
      <c r="K107" s="21"/>
      <c r="L107" s="21"/>
      <c r="M107" s="21"/>
      <c r="N107" s="21"/>
    </row>
    <row r="108" spans="1:14">
      <c r="A108" s="20"/>
      <c r="B108" s="21"/>
      <c r="C108" s="21"/>
      <c r="D108" s="21"/>
      <c r="E108" s="21"/>
      <c r="F108" s="12"/>
      <c r="G108" s="21"/>
      <c r="H108" s="21"/>
      <c r="I108" s="12"/>
      <c r="J108" s="21"/>
      <c r="K108" s="21"/>
      <c r="L108" s="21"/>
      <c r="M108" s="21"/>
      <c r="N108" s="21"/>
    </row>
    <row r="109" spans="1:14">
      <c r="A109" s="20"/>
      <c r="B109" s="21"/>
      <c r="C109" s="21"/>
      <c r="D109" s="21"/>
      <c r="E109" s="21"/>
      <c r="F109" s="12"/>
      <c r="G109" s="21"/>
      <c r="H109" s="21"/>
      <c r="I109" s="12"/>
      <c r="J109" s="21"/>
      <c r="K109" s="21"/>
      <c r="L109" s="21"/>
      <c r="M109" s="21"/>
      <c r="N109" s="21"/>
    </row>
    <row r="110" spans="1:14">
      <c r="A110" s="20"/>
      <c r="B110" s="21"/>
      <c r="C110" s="21"/>
      <c r="D110" s="21"/>
      <c r="E110" s="21"/>
      <c r="F110" s="12"/>
      <c r="G110" s="21"/>
      <c r="H110" s="21"/>
      <c r="I110" s="12"/>
      <c r="J110" s="21"/>
      <c r="K110" s="21"/>
      <c r="L110" s="21"/>
      <c r="M110" s="21"/>
      <c r="N110" s="21"/>
    </row>
    <row r="111" spans="1:14">
      <c r="A111" s="20"/>
      <c r="B111" s="21"/>
      <c r="C111" s="21"/>
      <c r="D111" s="21"/>
      <c r="E111" s="21"/>
      <c r="F111" s="12"/>
      <c r="G111" s="21"/>
      <c r="H111" s="21"/>
      <c r="I111" s="12"/>
      <c r="J111" s="21"/>
      <c r="K111" s="21"/>
      <c r="L111" s="21"/>
      <c r="M111" s="21"/>
      <c r="N111" s="21"/>
    </row>
    <row r="112" spans="1:14">
      <c r="A112" s="20"/>
      <c r="B112" s="21"/>
      <c r="C112" s="21"/>
      <c r="D112" s="21"/>
      <c r="E112" s="21"/>
      <c r="F112" s="12"/>
      <c r="G112" s="21"/>
      <c r="H112" s="21"/>
      <c r="I112" s="12"/>
      <c r="J112" s="21"/>
      <c r="K112" s="21"/>
      <c r="L112" s="21"/>
      <c r="M112" s="21"/>
      <c r="N112" s="21"/>
    </row>
    <row r="113" spans="1:14">
      <c r="A113" s="20"/>
      <c r="B113" s="21"/>
      <c r="C113" s="21"/>
      <c r="D113" s="21"/>
      <c r="E113" s="21"/>
      <c r="F113" s="12"/>
      <c r="G113" s="21"/>
      <c r="H113" s="21"/>
      <c r="I113" s="12"/>
      <c r="J113" s="21"/>
      <c r="K113" s="21"/>
      <c r="L113" s="21"/>
      <c r="M113" s="21"/>
      <c r="N113" s="21"/>
    </row>
    <row r="114" spans="1:14">
      <c r="A114" s="20"/>
      <c r="B114" s="21"/>
      <c r="C114" s="21"/>
      <c r="D114" s="21"/>
      <c r="E114" s="21"/>
      <c r="F114" s="12"/>
      <c r="G114" s="21"/>
      <c r="H114" s="21"/>
      <c r="I114" s="12"/>
      <c r="J114" s="21"/>
      <c r="K114" s="21"/>
      <c r="L114" s="21"/>
      <c r="M114" s="21"/>
      <c r="N114" s="21"/>
    </row>
    <row r="115" spans="1:14">
      <c r="A115" s="20"/>
      <c r="B115" s="21"/>
      <c r="C115" s="21"/>
      <c r="D115" s="21"/>
      <c r="E115" s="21"/>
      <c r="F115" s="12"/>
      <c r="G115" s="21"/>
      <c r="H115" s="21"/>
      <c r="I115" s="12"/>
      <c r="J115" s="21"/>
      <c r="K115" s="21"/>
      <c r="L115" s="21"/>
      <c r="M115" s="21"/>
      <c r="N115" s="21"/>
    </row>
    <row r="116" spans="1:14">
      <c r="A116" s="20"/>
      <c r="B116" s="21"/>
      <c r="C116" s="21"/>
      <c r="D116" s="21"/>
      <c r="E116" s="21"/>
      <c r="F116" s="12"/>
      <c r="G116" s="21"/>
      <c r="H116" s="21"/>
      <c r="I116" s="12"/>
      <c r="J116" s="21"/>
      <c r="K116" s="21"/>
      <c r="L116" s="21"/>
      <c r="M116" s="21"/>
      <c r="N116" s="21"/>
    </row>
    <row r="117" spans="1:14">
      <c r="A117" s="20"/>
      <c r="B117" s="21"/>
      <c r="C117" s="21"/>
      <c r="D117" s="21"/>
      <c r="E117" s="21"/>
      <c r="F117" s="12"/>
      <c r="G117" s="21"/>
      <c r="H117" s="21"/>
      <c r="I117" s="12"/>
      <c r="J117" s="21"/>
      <c r="K117" s="21"/>
      <c r="L117" s="21"/>
      <c r="M117" s="21"/>
      <c r="N117" s="21"/>
    </row>
    <row r="118" spans="1:14">
      <c r="A118" s="20"/>
      <c r="B118" s="21"/>
      <c r="C118" s="21"/>
      <c r="D118" s="21"/>
      <c r="E118" s="21"/>
      <c r="F118" s="12"/>
      <c r="G118" s="21"/>
      <c r="H118" s="21"/>
      <c r="I118" s="12"/>
      <c r="J118" s="21"/>
      <c r="K118" s="21"/>
      <c r="L118" s="21"/>
      <c r="M118" s="21"/>
      <c r="N118" s="21"/>
    </row>
    <row r="119" spans="1:14">
      <c r="A119" s="20"/>
      <c r="B119" s="21"/>
      <c r="C119" s="21"/>
      <c r="D119" s="21"/>
      <c r="E119" s="21"/>
      <c r="F119" s="12"/>
      <c r="G119" s="21"/>
      <c r="H119" s="21"/>
      <c r="I119" s="12"/>
      <c r="J119" s="21"/>
      <c r="K119" s="21"/>
      <c r="L119" s="21"/>
      <c r="M119" s="21"/>
      <c r="N119" s="21"/>
    </row>
    <row r="120" spans="1:14">
      <c r="A120" s="20"/>
      <c r="B120" s="21"/>
      <c r="C120" s="21"/>
      <c r="D120" s="21"/>
      <c r="E120" s="21"/>
      <c r="F120" s="12"/>
      <c r="G120" s="21"/>
      <c r="H120" s="21"/>
      <c r="I120" s="12"/>
      <c r="J120" s="21"/>
      <c r="K120" s="21"/>
      <c r="L120" s="21"/>
      <c r="M120" s="21"/>
      <c r="N120" s="21"/>
    </row>
    <row r="121" spans="1:14">
      <c r="A121" s="20"/>
      <c r="B121" s="21"/>
      <c r="C121" s="21"/>
      <c r="D121" s="21"/>
      <c r="E121" s="21"/>
      <c r="F121" s="12"/>
      <c r="G121" s="21"/>
      <c r="H121" s="21"/>
      <c r="I121" s="12"/>
      <c r="J121" s="21"/>
      <c r="K121" s="21"/>
      <c r="L121" s="21"/>
      <c r="M121" s="21"/>
      <c r="N121" s="21"/>
    </row>
    <row r="122" spans="1:14">
      <c r="A122" s="20"/>
      <c r="B122" s="21"/>
      <c r="C122" s="21"/>
      <c r="D122" s="21"/>
      <c r="E122" s="21"/>
      <c r="F122" s="12"/>
      <c r="G122" s="21"/>
      <c r="H122" s="21"/>
      <c r="I122" s="12"/>
      <c r="J122" s="21"/>
      <c r="K122" s="21"/>
      <c r="L122" s="21"/>
      <c r="M122" s="21"/>
      <c r="N122" s="21"/>
    </row>
    <row r="123" spans="1:14">
      <c r="A123" s="20"/>
      <c r="B123" s="21"/>
      <c r="C123" s="21"/>
      <c r="D123" s="21"/>
      <c r="E123" s="21"/>
      <c r="F123" s="12"/>
      <c r="G123" s="21"/>
      <c r="H123" s="21"/>
      <c r="I123" s="12"/>
      <c r="J123" s="21"/>
      <c r="K123" s="21"/>
      <c r="L123" s="21"/>
      <c r="M123" s="21"/>
      <c r="N123" s="21"/>
    </row>
    <row r="124" spans="1:14">
      <c r="A124" s="20"/>
      <c r="B124" s="21"/>
      <c r="C124" s="21"/>
      <c r="D124" s="21"/>
      <c r="E124" s="21"/>
      <c r="F124" s="12"/>
      <c r="G124" s="21"/>
      <c r="H124" s="21"/>
      <c r="I124" s="12"/>
      <c r="J124" s="21"/>
      <c r="K124" s="21"/>
      <c r="L124" s="21"/>
      <c r="M124" s="21"/>
      <c r="N124" s="21"/>
    </row>
    <row r="125" spans="1:14">
      <c r="A125" s="20"/>
      <c r="B125" s="21"/>
      <c r="C125" s="21"/>
      <c r="D125" s="21"/>
      <c r="E125" s="21"/>
      <c r="F125" s="12"/>
      <c r="G125" s="21"/>
      <c r="H125" s="21"/>
      <c r="I125" s="12"/>
      <c r="J125" s="21"/>
      <c r="K125" s="21"/>
      <c r="L125" s="21"/>
      <c r="M125" s="21"/>
      <c r="N125" s="21"/>
    </row>
    <row r="126" spans="1:14">
      <c r="A126" s="20"/>
      <c r="B126" s="21"/>
      <c r="C126" s="21"/>
      <c r="D126" s="21"/>
      <c r="E126" s="21"/>
      <c r="F126" s="12"/>
      <c r="G126" s="21"/>
      <c r="H126" s="21"/>
      <c r="I126" s="12"/>
      <c r="J126" s="21"/>
      <c r="K126" s="21"/>
      <c r="L126" s="21"/>
      <c r="M126" s="21"/>
      <c r="N126" s="21"/>
    </row>
    <row r="127" spans="1:14">
      <c r="A127" s="20"/>
      <c r="B127" s="21"/>
      <c r="C127" s="21"/>
      <c r="D127" s="21"/>
      <c r="E127" s="21"/>
      <c r="F127" s="12"/>
      <c r="G127" s="21"/>
      <c r="H127" s="21"/>
      <c r="I127" s="12"/>
      <c r="J127" s="21"/>
      <c r="K127" s="21"/>
      <c r="L127" s="21"/>
      <c r="M127" s="21"/>
      <c r="N127" s="21"/>
    </row>
    <row r="128" spans="1:14">
      <c r="A128" s="20"/>
      <c r="B128" s="21"/>
      <c r="C128" s="21"/>
      <c r="D128" s="21"/>
      <c r="E128" s="21"/>
      <c r="F128" s="12"/>
      <c r="G128" s="21"/>
      <c r="H128" s="21"/>
      <c r="I128" s="12"/>
      <c r="J128" s="21"/>
      <c r="K128" s="21"/>
      <c r="L128" s="21"/>
      <c r="M128" s="21"/>
      <c r="N128" s="21"/>
    </row>
    <row r="129" spans="1:14">
      <c r="A129" s="20"/>
      <c r="B129" s="21"/>
      <c r="C129" s="21"/>
      <c r="D129" s="21"/>
      <c r="E129" s="21"/>
      <c r="F129" s="12"/>
      <c r="G129" s="21"/>
      <c r="H129" s="21"/>
      <c r="I129" s="12"/>
      <c r="J129" s="21"/>
      <c r="K129" s="21"/>
      <c r="L129" s="21"/>
      <c r="M129" s="21"/>
      <c r="N129" s="21"/>
    </row>
    <row r="130" spans="1:14">
      <c r="A130" s="20"/>
      <c r="B130" s="21"/>
      <c r="C130" s="21"/>
      <c r="D130" s="21"/>
      <c r="E130" s="21"/>
      <c r="F130" s="12"/>
      <c r="G130" s="21"/>
      <c r="H130" s="21"/>
      <c r="I130" s="12"/>
      <c r="J130" s="21"/>
      <c r="K130" s="21"/>
      <c r="L130" s="21"/>
      <c r="M130" s="21"/>
      <c r="N130" s="21"/>
    </row>
    <row r="131" spans="1:14">
      <c r="A131" s="20"/>
      <c r="B131" s="21"/>
      <c r="C131" s="21"/>
      <c r="D131" s="21"/>
      <c r="E131" s="21"/>
      <c r="F131" s="12"/>
      <c r="G131" s="21"/>
      <c r="H131" s="21"/>
      <c r="I131" s="12"/>
      <c r="J131" s="21"/>
      <c r="K131" s="21"/>
      <c r="L131" s="21"/>
      <c r="M131" s="21"/>
      <c r="N131" s="21"/>
    </row>
    <row r="132" spans="1:14">
      <c r="A132" s="20"/>
      <c r="B132" s="21"/>
      <c r="C132" s="21"/>
      <c r="D132" s="21"/>
      <c r="E132" s="21"/>
      <c r="F132" s="12"/>
      <c r="G132" s="21"/>
      <c r="H132" s="21"/>
      <c r="I132" s="12"/>
      <c r="J132" s="21"/>
      <c r="K132" s="21"/>
      <c r="L132" s="21"/>
      <c r="M132" s="21"/>
      <c r="N132" s="21"/>
    </row>
    <row r="133" spans="1:14">
      <c r="A133" s="20"/>
      <c r="B133" s="21"/>
      <c r="C133" s="21"/>
      <c r="D133" s="21"/>
      <c r="E133" s="21"/>
      <c r="F133" s="12"/>
      <c r="G133" s="21"/>
      <c r="H133" s="21"/>
      <c r="I133" s="12"/>
      <c r="J133" s="21"/>
      <c r="K133" s="21"/>
      <c r="L133" s="21"/>
      <c r="M133" s="21"/>
      <c r="N133" s="21"/>
    </row>
    <row r="134" spans="1:14">
      <c r="A134" s="20"/>
      <c r="B134" s="21"/>
      <c r="C134" s="21"/>
      <c r="D134" s="21"/>
      <c r="E134" s="21"/>
      <c r="F134" s="12"/>
      <c r="G134" s="21"/>
      <c r="H134" s="21"/>
      <c r="I134" s="12"/>
      <c r="J134" s="21"/>
      <c r="K134" s="21"/>
      <c r="L134" s="21"/>
      <c r="M134" s="21"/>
      <c r="N134" s="21"/>
    </row>
    <row r="135" spans="1:14">
      <c r="A135" s="20"/>
      <c r="B135" s="21"/>
      <c r="C135" s="21"/>
      <c r="D135" s="21"/>
      <c r="E135" s="21"/>
      <c r="F135" s="12"/>
      <c r="G135" s="21"/>
      <c r="H135" s="21"/>
      <c r="I135" s="12"/>
      <c r="J135" s="21"/>
      <c r="K135" s="21"/>
      <c r="L135" s="21"/>
      <c r="M135" s="21"/>
      <c r="N135" s="21"/>
    </row>
    <row r="136" spans="1:14">
      <c r="A136" s="20"/>
      <c r="B136" s="21"/>
      <c r="C136" s="21"/>
      <c r="D136" s="21"/>
      <c r="E136" s="21"/>
      <c r="F136" s="12"/>
      <c r="G136" s="21"/>
      <c r="H136" s="21"/>
      <c r="I136" s="12"/>
      <c r="J136" s="21"/>
      <c r="K136" s="21"/>
      <c r="L136" s="21"/>
      <c r="M136" s="21"/>
      <c r="N136" s="21"/>
    </row>
    <row r="137" spans="1:14">
      <c r="A137" s="20"/>
      <c r="B137" s="21"/>
      <c r="C137" s="21"/>
      <c r="D137" s="21"/>
      <c r="E137" s="21"/>
      <c r="F137" s="12"/>
      <c r="G137" s="21"/>
      <c r="H137" s="21"/>
      <c r="I137" s="12"/>
      <c r="J137" s="21"/>
      <c r="K137" s="21"/>
      <c r="L137" s="21"/>
      <c r="M137" s="21"/>
      <c r="N137" s="21"/>
    </row>
    <row r="138" spans="1:14">
      <c r="A138" s="20"/>
      <c r="B138" s="21"/>
      <c r="C138" s="21"/>
      <c r="D138" s="21"/>
      <c r="E138" s="21"/>
      <c r="F138" s="12"/>
      <c r="G138" s="21"/>
      <c r="H138" s="21"/>
      <c r="I138" s="12"/>
      <c r="J138" s="21"/>
      <c r="K138" s="21"/>
      <c r="L138" s="21"/>
      <c r="M138" s="21"/>
      <c r="N138" s="21"/>
    </row>
    <row r="139" spans="1:14">
      <c r="A139" s="20"/>
      <c r="B139" s="21"/>
      <c r="C139" s="21"/>
      <c r="D139" s="21"/>
      <c r="E139" s="21"/>
      <c r="F139" s="12"/>
      <c r="G139" s="21"/>
      <c r="H139" s="21"/>
      <c r="I139" s="12"/>
      <c r="J139" s="21"/>
      <c r="K139" s="21"/>
      <c r="L139" s="21"/>
      <c r="M139" s="21"/>
      <c r="N139" s="21"/>
    </row>
    <row r="140" spans="1:14">
      <c r="A140" s="20"/>
      <c r="B140" s="21"/>
      <c r="C140" s="21"/>
      <c r="D140" s="21"/>
      <c r="E140" s="21"/>
      <c r="F140" s="12"/>
      <c r="G140" s="21"/>
      <c r="H140" s="21"/>
      <c r="I140" s="12"/>
      <c r="J140" s="21"/>
      <c r="K140" s="21"/>
      <c r="L140" s="21"/>
      <c r="M140" s="21"/>
      <c r="N140" s="21"/>
    </row>
    <row r="141" spans="1:14">
      <c r="A141" s="20"/>
      <c r="B141" s="21"/>
      <c r="C141" s="21"/>
      <c r="D141" s="21"/>
      <c r="E141" s="21"/>
      <c r="F141" s="12"/>
      <c r="G141" s="21"/>
      <c r="H141" s="21"/>
      <c r="I141" s="12"/>
      <c r="J141" s="21"/>
      <c r="K141" s="21"/>
      <c r="L141" s="21"/>
      <c r="M141" s="21"/>
      <c r="N141" s="21"/>
    </row>
    <row r="142" spans="1:14">
      <c r="A142" s="20"/>
      <c r="B142" s="21"/>
      <c r="C142" s="21"/>
      <c r="D142" s="21"/>
      <c r="E142" s="21"/>
      <c r="F142" s="12"/>
      <c r="G142" s="21"/>
      <c r="H142" s="21"/>
      <c r="I142" s="12"/>
      <c r="J142" s="21"/>
      <c r="K142" s="21"/>
      <c r="L142" s="21"/>
      <c r="M142" s="21"/>
      <c r="N142" s="21"/>
    </row>
    <row r="143" spans="1:14">
      <c r="A143" s="20"/>
      <c r="B143" s="21"/>
      <c r="C143" s="21"/>
      <c r="D143" s="21"/>
      <c r="E143" s="21"/>
      <c r="F143" s="12"/>
      <c r="G143" s="21"/>
      <c r="H143" s="21"/>
      <c r="I143" s="12"/>
      <c r="J143" s="21"/>
      <c r="K143" s="21"/>
      <c r="L143" s="21"/>
      <c r="M143" s="21"/>
      <c r="N143" s="21"/>
    </row>
    <row r="144" spans="1:14">
      <c r="A144" s="20"/>
      <c r="B144" s="21"/>
      <c r="C144" s="21"/>
      <c r="D144" s="21"/>
      <c r="E144" s="21"/>
      <c r="F144" s="12"/>
      <c r="G144" s="21"/>
      <c r="H144" s="21"/>
      <c r="I144" s="12"/>
      <c r="J144" s="21"/>
      <c r="K144" s="21"/>
      <c r="L144" s="21"/>
      <c r="M144" s="21"/>
      <c r="N144" s="21"/>
    </row>
    <row r="145" spans="1:14">
      <c r="A145" s="20"/>
      <c r="B145" s="21"/>
      <c r="C145" s="21"/>
      <c r="D145" s="21"/>
      <c r="E145" s="21"/>
      <c r="F145" s="12"/>
      <c r="G145" s="21"/>
      <c r="H145" s="21"/>
      <c r="I145" s="12"/>
      <c r="J145" s="21"/>
      <c r="K145" s="21"/>
      <c r="L145" s="21"/>
      <c r="M145" s="21"/>
      <c r="N145" s="21"/>
    </row>
    <row r="146" spans="1:14">
      <c r="A146" s="20"/>
      <c r="B146" s="21"/>
      <c r="C146" s="21"/>
      <c r="D146" s="21"/>
      <c r="E146" s="21"/>
      <c r="F146" s="12"/>
      <c r="G146" s="21"/>
      <c r="H146" s="21"/>
      <c r="I146" s="12"/>
      <c r="J146" s="21"/>
      <c r="K146" s="21"/>
      <c r="L146" s="21"/>
      <c r="M146" s="21"/>
      <c r="N146" s="21"/>
    </row>
    <row r="147" spans="1:14">
      <c r="A147" s="20"/>
      <c r="B147" s="21"/>
      <c r="C147" s="21"/>
      <c r="D147" s="21"/>
      <c r="E147" s="21"/>
      <c r="F147" s="12"/>
      <c r="G147" s="21"/>
      <c r="H147" s="21"/>
      <c r="I147" s="12"/>
      <c r="J147" s="21"/>
      <c r="K147" s="21"/>
      <c r="L147" s="21"/>
      <c r="M147" s="21"/>
      <c r="N147" s="21"/>
    </row>
    <row r="148" spans="1:14">
      <c r="A148" s="20"/>
      <c r="B148" s="21"/>
      <c r="C148" s="21"/>
      <c r="D148" s="21"/>
      <c r="E148" s="21"/>
      <c r="F148" s="12"/>
      <c r="G148" s="21"/>
      <c r="H148" s="21"/>
      <c r="I148" s="12"/>
      <c r="J148" s="21"/>
      <c r="K148" s="21"/>
      <c r="L148" s="21"/>
      <c r="M148" s="21"/>
      <c r="N148" s="21"/>
    </row>
    <row r="149" spans="1:14">
      <c r="A149" s="20"/>
      <c r="B149" s="21"/>
      <c r="C149" s="21"/>
      <c r="D149" s="21"/>
      <c r="E149" s="21"/>
      <c r="F149" s="12"/>
      <c r="G149" s="21"/>
      <c r="H149" s="21"/>
      <c r="I149" s="12"/>
      <c r="J149" s="21"/>
      <c r="K149" s="21"/>
      <c r="L149" s="21"/>
      <c r="M149" s="21"/>
      <c r="N149" s="21"/>
    </row>
    <row r="150" spans="1:14">
      <c r="A150" s="20"/>
      <c r="B150" s="21"/>
      <c r="C150" s="21"/>
      <c r="D150" s="21"/>
      <c r="E150" s="21"/>
      <c r="F150" s="12"/>
      <c r="G150" s="21"/>
      <c r="H150" s="21"/>
      <c r="I150" s="12"/>
      <c r="J150" s="21"/>
      <c r="K150" s="21"/>
      <c r="L150" s="21"/>
      <c r="M150" s="21"/>
      <c r="N150" s="21"/>
    </row>
    <row r="151" spans="1:14">
      <c r="A151" s="20"/>
      <c r="B151" s="21"/>
      <c r="C151" s="21"/>
      <c r="D151" s="21"/>
      <c r="E151" s="21"/>
      <c r="F151" s="12"/>
      <c r="G151" s="21"/>
      <c r="H151" s="21"/>
      <c r="I151" s="12"/>
      <c r="J151" s="21"/>
      <c r="K151" s="21"/>
      <c r="L151" s="21"/>
      <c r="M151" s="21"/>
      <c r="N151" s="21"/>
    </row>
    <row r="152" spans="1:14">
      <c r="A152" s="20"/>
      <c r="B152" s="21"/>
      <c r="C152" s="21"/>
      <c r="D152" s="21"/>
      <c r="E152" s="21"/>
      <c r="F152" s="12"/>
      <c r="G152" s="21"/>
      <c r="H152" s="21"/>
      <c r="I152" s="12"/>
      <c r="J152" s="21"/>
      <c r="K152" s="21"/>
      <c r="L152" s="21"/>
      <c r="M152" s="21"/>
      <c r="N152" s="21"/>
    </row>
    <row r="153" spans="1:14">
      <c r="A153" s="20"/>
      <c r="B153" s="21"/>
      <c r="C153" s="21"/>
      <c r="D153" s="21"/>
      <c r="E153" s="21"/>
      <c r="F153" s="12"/>
      <c r="G153" s="21"/>
      <c r="H153" s="21"/>
      <c r="I153" s="12"/>
      <c r="J153" s="21"/>
      <c r="K153" s="21"/>
      <c r="L153" s="21"/>
      <c r="M153" s="21"/>
      <c r="N153" s="21"/>
    </row>
    <row r="154" spans="1:14">
      <c r="A154" s="20"/>
      <c r="B154" s="21"/>
      <c r="C154" s="21"/>
      <c r="D154" s="21"/>
      <c r="E154" s="21"/>
      <c r="F154" s="12"/>
      <c r="G154" s="21"/>
      <c r="H154" s="21"/>
      <c r="I154" s="12"/>
      <c r="J154" s="21"/>
      <c r="K154" s="21"/>
      <c r="L154" s="21"/>
      <c r="M154" s="21"/>
      <c r="N154" s="21"/>
    </row>
    <row r="155" spans="1:14">
      <c r="A155" s="20"/>
      <c r="B155" s="21"/>
      <c r="C155" s="21"/>
      <c r="D155" s="21"/>
      <c r="E155" s="21"/>
      <c r="F155" s="12"/>
      <c r="G155" s="21"/>
      <c r="H155" s="21"/>
      <c r="I155" s="12"/>
      <c r="J155" s="21"/>
      <c r="K155" s="21"/>
      <c r="L155" s="21"/>
      <c r="M155" s="21"/>
      <c r="N155" s="21"/>
    </row>
    <row r="156" spans="1:14">
      <c r="A156" s="20"/>
      <c r="B156" s="21"/>
      <c r="C156" s="21"/>
      <c r="D156" s="21"/>
      <c r="E156" s="21"/>
      <c r="F156" s="12"/>
      <c r="G156" s="21"/>
      <c r="H156" s="21"/>
      <c r="I156" s="12"/>
      <c r="J156" s="21"/>
      <c r="K156" s="21"/>
      <c r="L156" s="21"/>
      <c r="M156" s="21"/>
      <c r="N156" s="21"/>
    </row>
    <row r="157" spans="1:14">
      <c r="A157" s="20"/>
      <c r="B157" s="21"/>
      <c r="C157" s="21"/>
      <c r="D157" s="21"/>
      <c r="E157" s="21"/>
      <c r="F157" s="12"/>
      <c r="G157" s="21"/>
      <c r="H157" s="21"/>
      <c r="I157" s="12"/>
      <c r="J157" s="21"/>
      <c r="K157" s="21"/>
      <c r="L157" s="21"/>
      <c r="M157" s="21"/>
      <c r="N157" s="21"/>
    </row>
    <row r="158" spans="1:14">
      <c r="A158" s="20"/>
      <c r="B158" s="21"/>
      <c r="C158" s="21"/>
      <c r="D158" s="21"/>
      <c r="E158" s="21"/>
      <c r="F158" s="12"/>
      <c r="G158" s="21"/>
      <c r="H158" s="21"/>
      <c r="I158" s="12"/>
      <c r="J158" s="21"/>
      <c r="K158" s="21"/>
      <c r="L158" s="21"/>
      <c r="M158" s="21"/>
      <c r="N158" s="21"/>
    </row>
    <row r="159" spans="1:14">
      <c r="A159" s="20"/>
      <c r="B159" s="21"/>
      <c r="C159" s="21"/>
      <c r="D159" s="21"/>
      <c r="E159" s="21"/>
      <c r="F159" s="12"/>
      <c r="G159" s="21"/>
      <c r="H159" s="21"/>
      <c r="I159" s="12"/>
      <c r="J159" s="21"/>
      <c r="K159" s="21"/>
      <c r="L159" s="21"/>
      <c r="M159" s="21"/>
      <c r="N159" s="21"/>
    </row>
    <row r="160" spans="1:14">
      <c r="A160" s="20"/>
      <c r="B160" s="21"/>
      <c r="C160" s="21"/>
      <c r="D160" s="21"/>
      <c r="E160" s="21"/>
      <c r="F160" s="12"/>
      <c r="G160" s="21"/>
      <c r="H160" s="21"/>
      <c r="I160" s="12"/>
      <c r="J160" s="21"/>
      <c r="K160" s="21"/>
      <c r="L160" s="21"/>
      <c r="M160" s="21"/>
      <c r="N160" s="21"/>
    </row>
    <row r="161" spans="1:14">
      <c r="A161" s="20"/>
      <c r="B161" s="21"/>
      <c r="C161" s="21"/>
      <c r="D161" s="21"/>
      <c r="E161" s="21"/>
      <c r="F161" s="12"/>
      <c r="G161" s="21"/>
      <c r="H161" s="21"/>
      <c r="I161" s="12"/>
      <c r="J161" s="21"/>
      <c r="K161" s="21"/>
      <c r="L161" s="21"/>
      <c r="M161" s="21"/>
      <c r="N161" s="21"/>
    </row>
    <row r="162" spans="1:14">
      <c r="A162" s="20"/>
      <c r="B162" s="21"/>
      <c r="C162" s="21"/>
      <c r="D162" s="21"/>
      <c r="E162" s="21"/>
      <c r="F162" s="12"/>
      <c r="G162" s="21"/>
      <c r="H162" s="21"/>
      <c r="I162" s="12"/>
      <c r="J162" s="21"/>
      <c r="K162" s="21"/>
      <c r="L162" s="21"/>
      <c r="M162" s="21"/>
      <c r="N162" s="21"/>
    </row>
    <row r="163" spans="1:14">
      <c r="A163" s="20"/>
      <c r="B163" s="21"/>
      <c r="C163" s="21"/>
      <c r="D163" s="21"/>
      <c r="E163" s="21"/>
      <c r="F163" s="12"/>
      <c r="G163" s="21"/>
      <c r="H163" s="21"/>
      <c r="I163" s="12"/>
      <c r="J163" s="21"/>
      <c r="K163" s="21"/>
      <c r="L163" s="21"/>
      <c r="M163" s="21"/>
      <c r="N163" s="21"/>
    </row>
    <row r="164" spans="1:14">
      <c r="A164" s="20"/>
      <c r="B164" s="21"/>
      <c r="C164" s="21"/>
      <c r="D164" s="21"/>
      <c r="E164" s="21"/>
      <c r="F164" s="12"/>
      <c r="G164" s="21"/>
      <c r="H164" s="21"/>
      <c r="I164" s="12"/>
      <c r="J164" s="21"/>
      <c r="K164" s="21"/>
      <c r="L164" s="21"/>
      <c r="M164" s="21"/>
      <c r="N164" s="21"/>
    </row>
    <row r="165" spans="1:14">
      <c r="A165" s="20"/>
      <c r="B165" s="21"/>
      <c r="C165" s="21"/>
      <c r="D165" s="21"/>
      <c r="E165" s="21"/>
      <c r="F165" s="12"/>
      <c r="G165" s="21"/>
      <c r="H165" s="21"/>
      <c r="I165" s="12"/>
      <c r="J165" s="21"/>
      <c r="K165" s="21"/>
      <c r="L165" s="21"/>
      <c r="M165" s="21"/>
      <c r="N165" s="21"/>
    </row>
    <row r="166" spans="1:14">
      <c r="A166" s="20"/>
      <c r="B166" s="21"/>
      <c r="C166" s="21"/>
      <c r="D166" s="21"/>
      <c r="E166" s="21"/>
      <c r="F166" s="12"/>
      <c r="G166" s="21"/>
      <c r="H166" s="21"/>
      <c r="I166" s="12"/>
      <c r="J166" s="21"/>
      <c r="K166" s="21"/>
      <c r="L166" s="21"/>
      <c r="M166" s="21"/>
      <c r="N166" s="21"/>
    </row>
    <row r="167" spans="1:14">
      <c r="A167" s="20"/>
      <c r="B167" s="21"/>
      <c r="C167" s="21"/>
      <c r="D167" s="21"/>
      <c r="E167" s="21"/>
      <c r="F167" s="12"/>
      <c r="G167" s="21"/>
      <c r="H167" s="21"/>
      <c r="I167" s="12"/>
      <c r="J167" s="21"/>
      <c r="K167" s="21"/>
      <c r="L167" s="21"/>
      <c r="M167" s="21"/>
      <c r="N167" s="21"/>
    </row>
    <row r="168" spans="1:14">
      <c r="A168" s="20"/>
      <c r="B168" s="21"/>
      <c r="C168" s="21"/>
      <c r="D168" s="21"/>
      <c r="E168" s="21"/>
      <c r="F168" s="12"/>
      <c r="G168" s="21"/>
      <c r="H168" s="21"/>
      <c r="I168" s="12"/>
      <c r="J168" s="21"/>
      <c r="K168" s="21"/>
      <c r="L168" s="21"/>
      <c r="M168" s="21"/>
      <c r="N168" s="21"/>
    </row>
    <row r="169" spans="1:14">
      <c r="A169" s="20"/>
      <c r="B169" s="21"/>
      <c r="C169" s="21"/>
      <c r="D169" s="21"/>
      <c r="E169" s="21"/>
      <c r="F169" s="12"/>
      <c r="G169" s="21"/>
      <c r="H169" s="21"/>
      <c r="I169" s="12"/>
      <c r="J169" s="21"/>
      <c r="K169" s="21"/>
      <c r="L169" s="21"/>
      <c r="M169" s="21"/>
      <c r="N169" s="21"/>
    </row>
    <row r="170" spans="1:14">
      <c r="A170" s="20"/>
      <c r="B170" s="21"/>
      <c r="C170" s="21"/>
      <c r="D170" s="21"/>
      <c r="E170" s="21"/>
      <c r="F170" s="12"/>
      <c r="G170" s="21"/>
      <c r="H170" s="21"/>
      <c r="I170" s="12"/>
      <c r="J170" s="21"/>
      <c r="K170" s="21"/>
      <c r="L170" s="21"/>
      <c r="M170" s="21"/>
      <c r="N170" s="21"/>
    </row>
    <row r="171" spans="1:14">
      <c r="A171" s="20"/>
      <c r="B171" s="21"/>
      <c r="C171" s="21"/>
      <c r="D171" s="21"/>
      <c r="E171" s="21"/>
      <c r="F171" s="12"/>
      <c r="G171" s="21"/>
      <c r="H171" s="21"/>
      <c r="I171" s="12"/>
      <c r="J171" s="21"/>
      <c r="K171" s="21"/>
      <c r="L171" s="21"/>
      <c r="M171" s="21"/>
      <c r="N171" s="21"/>
    </row>
    <row r="172" spans="1:14">
      <c r="A172" s="20"/>
      <c r="B172" s="21"/>
      <c r="C172" s="21"/>
      <c r="D172" s="21"/>
      <c r="E172" s="21"/>
      <c r="F172" s="12"/>
      <c r="G172" s="21"/>
      <c r="H172" s="21"/>
      <c r="I172" s="12"/>
      <c r="J172" s="21"/>
      <c r="K172" s="21"/>
      <c r="L172" s="21"/>
      <c r="M172" s="21"/>
      <c r="N172" s="21"/>
    </row>
    <row r="173" spans="1:14">
      <c r="A173" s="20"/>
      <c r="B173" s="21"/>
      <c r="C173" s="21"/>
      <c r="D173" s="21"/>
      <c r="E173" s="21"/>
      <c r="F173" s="12"/>
      <c r="G173" s="21"/>
      <c r="H173" s="21"/>
      <c r="I173" s="12"/>
      <c r="J173" s="21"/>
      <c r="K173" s="21"/>
      <c r="L173" s="21"/>
      <c r="M173" s="21"/>
      <c r="N173" s="21"/>
    </row>
    <row r="174" spans="1:14">
      <c r="A174" s="20"/>
      <c r="B174" s="21"/>
      <c r="C174" s="21"/>
      <c r="D174" s="21"/>
      <c r="E174" s="21"/>
      <c r="F174" s="12"/>
      <c r="G174" s="21"/>
      <c r="H174" s="21"/>
      <c r="I174" s="12"/>
      <c r="J174" s="21"/>
      <c r="K174" s="21"/>
      <c r="L174" s="21"/>
      <c r="M174" s="21"/>
      <c r="N174" s="21"/>
    </row>
    <row r="175" spans="1:14">
      <c r="A175" s="20"/>
      <c r="B175" s="21"/>
      <c r="C175" s="21"/>
      <c r="D175" s="21"/>
      <c r="E175" s="21"/>
      <c r="F175" s="12"/>
      <c r="G175" s="21"/>
      <c r="H175" s="21"/>
      <c r="I175" s="12"/>
      <c r="J175" s="21"/>
      <c r="K175" s="21"/>
      <c r="L175" s="21"/>
      <c r="M175" s="21"/>
      <c r="N175" s="21"/>
    </row>
    <row r="176" spans="1:14">
      <c r="A176" s="20"/>
      <c r="B176" s="21"/>
      <c r="C176" s="21"/>
      <c r="D176" s="21"/>
      <c r="E176" s="21"/>
      <c r="F176" s="12"/>
      <c r="G176" s="21"/>
      <c r="H176" s="21"/>
      <c r="I176" s="12"/>
      <c r="J176" s="21"/>
      <c r="K176" s="21"/>
      <c r="L176" s="21"/>
      <c r="M176" s="21"/>
      <c r="N176" s="21"/>
    </row>
    <row r="177" spans="1:14">
      <c r="A177" s="20"/>
      <c r="B177" s="21"/>
      <c r="C177" s="21"/>
      <c r="D177" s="21"/>
      <c r="E177" s="21"/>
      <c r="F177" s="12"/>
      <c r="G177" s="21"/>
      <c r="H177" s="21"/>
      <c r="I177" s="12"/>
      <c r="J177" s="21"/>
      <c r="K177" s="21"/>
      <c r="L177" s="21"/>
      <c r="M177" s="21"/>
      <c r="N177" s="21"/>
    </row>
    <row r="178" spans="1:14">
      <c r="A178" s="20"/>
      <c r="B178" s="21"/>
      <c r="C178" s="21"/>
      <c r="D178" s="21"/>
      <c r="E178" s="21"/>
      <c r="F178" s="12"/>
      <c r="G178" s="21"/>
      <c r="H178" s="21"/>
      <c r="I178" s="12"/>
      <c r="J178" s="21"/>
      <c r="K178" s="21"/>
      <c r="L178" s="21"/>
      <c r="M178" s="21"/>
      <c r="N178" s="21"/>
    </row>
  </sheetData>
  <mergeCells count="4">
    <mergeCell ref="B2:B3"/>
    <mergeCell ref="C2:E3"/>
    <mergeCell ref="H2:I2"/>
    <mergeCell ref="H3:I3"/>
  </mergeCells>
  <phoneticPr fontId="3"/>
  <conditionalFormatting sqref="I7:I12 I14:I29 I31:I63 I65:I67 I69:I76 I78:I178">
    <cfRule type="cellIs" dxfId="2" priority="3" stopIfTrue="1" operator="equal">
      <formula>"否"</formula>
    </cfRule>
  </conditionalFormatting>
  <conditionalFormatting sqref="J7:J12 L7:M12 K8 J14:J29 L14:M29 J31:J63 L31:M63 J65:J67 L65:M67 J69:J76 L69:M76 J78:J178 L78:M178">
    <cfRule type="cellIs" dxfId="1" priority="4" stopIfTrue="1" operator="equal">
      <formula>"NG"</formula>
    </cfRule>
  </conditionalFormatting>
  <conditionalFormatting sqref="M82:N82 M103:N113">
    <cfRule type="cellIs" dxfId="0" priority="7" stopIfTrue="1" operator="equal">
      <formula>"NG"</formula>
    </cfRule>
  </conditionalFormatting>
  <dataValidations count="4">
    <dataValidation type="list" allowBlank="1" showInputMessage="1" showErrorMessage="1" sqref="J8:K8 J9:J178 L6:M178 J6:J7" xr:uid="{FFC153D0-1D5B-414F-AD83-22875610DEB9}">
      <formula1>"OK,NG"</formula1>
    </dataValidation>
    <dataValidation type="list" allowBlank="1" showInputMessage="1" showErrorMessage="1" sqref="I6:I178" xr:uid="{428927EC-79D1-4235-9FBA-A45A4DF5AB72}">
      <formula1>"要,否"</formula1>
    </dataValidation>
    <dataValidation type="list" allowBlank="1" showInputMessage="1" showErrorMessage="1" sqref="H6:H178" xr:uid="{EF925F08-92D1-4C23-BC8A-7803F1D65B98}">
      <formula1>"ツール,手動"</formula1>
    </dataValidation>
    <dataValidation type="list" allowBlank="1" showInputMessage="1" showErrorMessage="1" sqref="G6:G178" xr:uid="{8CF506BF-CEA7-4022-9B75-8E42DE07E4E0}">
      <formula1>"生成AI,手動"</formula1>
    </dataValidation>
  </dataValidation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FADD67-DD7C-4D45-8940-C6EB8B5BA1F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d5f495e-8872-4613-b41e-44adb53a887e"/>
    <ds:schemaRef ds:uri="http://purl.org/dc/terms/"/>
    <ds:schemaRef ds:uri="http://schemas.microsoft.com/office/2006/documentManagement/types"/>
    <ds:schemaRef ds:uri="e47b21de-6aa2-4397-bc9c-dfadd9f0c5d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2B1990-BD69-40EB-A43C-6C4C780A6DE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7EEBDC7-076F-4ACD-8DBF-C49B4CC77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B6BF48-E3F6-4B13-9192-4EFFE42803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更新履歴</vt:lpstr>
      <vt:lpstr>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Yusuke</dc:creator>
  <cp:lastModifiedBy>Yu Xiaodong</cp:lastModifiedBy>
  <cp:lastPrinted>2012-11-07T00:24:04Z</cp:lastPrinted>
  <dcterms:created xsi:type="dcterms:W3CDTF">2006-06-14T00:06:44Z</dcterms:created>
  <dcterms:modified xsi:type="dcterms:W3CDTF">2025-10-17T03:10:08Z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0x010100CE4925CEB4767D4088405B3A37F02A88</vt:lpwstr>
  </property>
  <property fmtid="{D5CDD505-2E9C-101B-9397-08002B2CF9AE}" pid="3" name="MediaServiceImageTags">
    <vt:lpwstr/>
  </property>
</Properties>
</file>